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sient-my.sharepoint.com/personal/ndaru_guritno_sensient_com/Documents/Internal Finance/SCM-Finance File/Customer Service/Invoice/Address Update 2025/"/>
    </mc:Choice>
  </mc:AlternateContent>
  <xr:revisionPtr revIDLastSave="515" documentId="13_ncr:1_{F2E4944A-1342-4670-AFB5-535B79160FE2}" xr6:coauthVersionLast="47" xr6:coauthVersionMax="47" xr10:uidLastSave="{C8DB09B7-D828-42B1-85CA-A91E350D7743}"/>
  <bookViews>
    <workbookView xWindow="-120" yWindow="-120" windowWidth="29040" windowHeight="15720" activeTab="3" xr2:uid="{A38F0F53-DE25-4A15-92B0-DCC35EBCC747}"/>
  </bookViews>
  <sheets>
    <sheet name="Sheet1" sheetId="22" r:id="rId1"/>
    <sheet name="TDP" sheetId="1" r:id="rId2"/>
    <sheet name="OGAWA" sheetId="5" r:id="rId3"/>
    <sheet name="GMC" sheetId="2" r:id="rId4"/>
    <sheet name="COCA-COLA" sheetId="6" r:id="rId5"/>
    <sheet name="KIANTAKA" sheetId="15" r:id="rId6"/>
    <sheet name="PEPSICO" sheetId="25" r:id="rId7"/>
    <sheet name="Nutrifood" sheetId="14" r:id="rId8"/>
    <sheet name="PT. FORISA" sheetId="17" r:id="rId9"/>
    <sheet name="PT. TRIDAYA" sheetId="21" r:id="rId10"/>
    <sheet name="PT.TTS" sheetId="23" r:id="rId11"/>
    <sheet name="GLICO WINGS" sheetId="3" r:id="rId12"/>
    <sheet name="SARI INCOFOOD" sheetId="8" r:id="rId13"/>
    <sheet name="ADORE REMPAH INDONESIA" sheetId="16" r:id="rId14"/>
    <sheet name="GMI" sheetId="13" r:id="rId15"/>
    <sheet name="PT. RICH INDONESIA" sheetId="11" r:id="rId16"/>
    <sheet name="CIPTA SELERA SEMESTA" sheetId="18" r:id="rId17"/>
    <sheet name="RasaKita" sheetId="19" r:id="rId18"/>
    <sheet name="BRIGHT" sheetId="20" r:id="rId19"/>
    <sheet name="CALBEE WINGS" sheetId="4" r:id="rId20"/>
    <sheet name="PT. FRISIAN FLAG INDONESIA" sheetId="12" r:id="rId21"/>
    <sheet name="PITALA" sheetId="9" r:id="rId22"/>
    <sheet name="SXT AUSTRALIA" sheetId="7" r:id="rId23"/>
    <sheet name="SXT HONGKONG" sheetId="10" r:id="rId24"/>
  </sheets>
  <definedNames>
    <definedName name="_xlnm._FilterDatabase" localSheetId="13" hidden="1">'ADORE REMPAH INDONESIA'!$A$6:$XEY$6</definedName>
    <definedName name="_xlnm._FilterDatabase" localSheetId="18" hidden="1">BRIGHT!$A$6:$AV$6</definedName>
    <definedName name="_xlnm._FilterDatabase" localSheetId="19" hidden="1">'CALBEE WINGS'!$A$6:$AR$6</definedName>
    <definedName name="_xlnm._FilterDatabase" localSheetId="16" hidden="1">'CIPTA SELERA SEMESTA'!$A$6:$XEY$6</definedName>
    <definedName name="_xlnm._FilterDatabase" localSheetId="4" hidden="1">'COCA-COLA'!$A$6:$AN$6</definedName>
    <definedName name="_xlnm._FilterDatabase" localSheetId="11" hidden="1">'GLICO WINGS'!$A$6:$AN$6</definedName>
    <definedName name="_xlnm._FilterDatabase" localSheetId="3" hidden="1">GMC!$A$6:$AR$319</definedName>
    <definedName name="_xlnm._FilterDatabase" localSheetId="14" hidden="1">GMI!$A$6:$AO$175</definedName>
    <definedName name="_xlnm._FilterDatabase" localSheetId="5" hidden="1">KIANTAKA!$A$6:$XEY$6</definedName>
    <definedName name="_xlnm._FilterDatabase" localSheetId="7" hidden="1">Nutrifood!$A$6:$AP$6</definedName>
    <definedName name="_xlnm._FilterDatabase" localSheetId="2" hidden="1">OGAWA!$A$6:$AR$6</definedName>
    <definedName name="_xlnm._FilterDatabase" localSheetId="6" hidden="1">PEPSICO!$A$6:$AR$570</definedName>
    <definedName name="_xlnm._FilterDatabase" localSheetId="21" hidden="1">PITALA!$A$6:$AR$6</definedName>
    <definedName name="_xlnm._FilterDatabase" localSheetId="8" hidden="1">'PT. FORISA'!$A$6:$AT$179</definedName>
    <definedName name="_xlnm._FilterDatabase" localSheetId="20" hidden="1">'PT. FRISIAN FLAG INDONESIA'!$A$6:$AU$6</definedName>
    <definedName name="_xlnm._FilterDatabase" localSheetId="15" hidden="1">'PT. RICH INDONESIA'!$A$6:$AO$6</definedName>
    <definedName name="_xlnm._FilterDatabase" localSheetId="9" hidden="1">'PT. TRIDAYA'!$A$6:$XEZ$6</definedName>
    <definedName name="_xlnm._FilterDatabase" localSheetId="10" hidden="1">PT.TTS!$A$6:$AP$6</definedName>
    <definedName name="_xlnm._FilterDatabase" localSheetId="17" hidden="1">RasaKita!$A$6:$XEY$6</definedName>
    <definedName name="_xlnm._FilterDatabase" localSheetId="12" hidden="1">'SARI INCOFOOD'!$A$6:$AR$6</definedName>
    <definedName name="_xlnm._FilterDatabase" localSheetId="0" hidden="1">Sheet1!$A$1:$D$249</definedName>
    <definedName name="_xlnm._FilterDatabase" localSheetId="22" hidden="1">'SXT AUSTRALIA'!$A$1:$AW$1</definedName>
    <definedName name="_xlnm._FilterDatabase" localSheetId="23" hidden="1">'SXT HONGKONG'!$A$1:$AV$1</definedName>
    <definedName name="_xlnm._FilterDatabase" localSheetId="1" hidden="1">TDP!$A$6:$AR$570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951" i="1" l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8" i="25"/>
  <c r="AN9" i="25"/>
  <c r="AN10" i="25"/>
  <c r="AN11" i="25"/>
  <c r="AN12" i="25"/>
  <c r="AN13" i="25"/>
  <c r="AN14" i="25"/>
  <c r="AN15" i="25"/>
  <c r="AN16" i="25"/>
  <c r="AN17" i="25"/>
  <c r="AN18" i="25"/>
  <c r="AN19" i="25"/>
  <c r="AN20" i="25"/>
  <c r="AN21" i="25"/>
  <c r="AN22" i="25"/>
  <c r="AN23" i="25"/>
  <c r="AN24" i="25"/>
  <c r="AN25" i="25"/>
  <c r="AN26" i="25"/>
  <c r="AN27" i="25"/>
  <c r="AN28" i="25"/>
  <c r="AN29" i="25"/>
  <c r="AN30" i="25"/>
  <c r="AN31" i="25"/>
  <c r="AN32" i="25"/>
  <c r="AN33" i="25"/>
  <c r="AN34" i="25"/>
  <c r="AN35" i="25"/>
  <c r="AN36" i="25"/>
  <c r="AN37" i="25"/>
  <c r="AN38" i="25"/>
  <c r="AN39" i="25"/>
  <c r="AN40" i="25"/>
  <c r="AN41" i="25"/>
  <c r="AN42" i="25"/>
  <c r="AN43" i="25"/>
  <c r="AN44" i="25"/>
  <c r="AN45" i="25"/>
  <c r="AN46" i="25"/>
  <c r="AN47" i="25"/>
  <c r="AN48" i="25"/>
  <c r="AN49" i="25"/>
  <c r="AN50" i="25"/>
  <c r="AN51" i="25"/>
  <c r="AN52" i="25"/>
  <c r="AN53" i="25"/>
  <c r="AN54" i="25"/>
  <c r="AN55" i="25"/>
  <c r="AN56" i="25"/>
  <c r="AN57" i="25"/>
  <c r="AN58" i="25"/>
  <c r="AN59" i="25"/>
  <c r="AN60" i="25"/>
  <c r="AN61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N80" i="25"/>
  <c r="AN81" i="25"/>
  <c r="AN82" i="25"/>
  <c r="AN83" i="25"/>
  <c r="AN84" i="25"/>
  <c r="AN85" i="25"/>
  <c r="AN86" i="25"/>
  <c r="AN87" i="25"/>
  <c r="AN88" i="25"/>
  <c r="AN89" i="25"/>
  <c r="AN90" i="25"/>
  <c r="AN91" i="25"/>
  <c r="AN92" i="25"/>
  <c r="AN93" i="25"/>
  <c r="AN94" i="25"/>
  <c r="AN95" i="25"/>
  <c r="AN96" i="25"/>
  <c r="AN97" i="25"/>
  <c r="AN98" i="25"/>
  <c r="AN99" i="25"/>
  <c r="AN100" i="25"/>
  <c r="AN101" i="25"/>
  <c r="AN102" i="25"/>
  <c r="AN103" i="25"/>
  <c r="AN104" i="25"/>
  <c r="AN105" i="25"/>
  <c r="AN106" i="25"/>
  <c r="AN107" i="25"/>
  <c r="AN108" i="25"/>
  <c r="AN109" i="25"/>
  <c r="AN110" i="25"/>
  <c r="AN111" i="25"/>
  <c r="AN112" i="25"/>
  <c r="AN113" i="25"/>
  <c r="AN114" i="25"/>
  <c r="AN115" i="25"/>
  <c r="AN116" i="25"/>
  <c r="AN117" i="25"/>
  <c r="AN118" i="25"/>
  <c r="AN119" i="25"/>
  <c r="AN120" i="25"/>
  <c r="AN121" i="25"/>
  <c r="AN122" i="25"/>
  <c r="AN123" i="25"/>
  <c r="AN124" i="25"/>
  <c r="AN125" i="25"/>
  <c r="AN126" i="25"/>
  <c r="AN127" i="25"/>
  <c r="AN128" i="25"/>
  <c r="AN129" i="25"/>
  <c r="AN130" i="25"/>
  <c r="AN131" i="25"/>
  <c r="AN132" i="25"/>
  <c r="AN133" i="25"/>
  <c r="AN134" i="25"/>
  <c r="AN135" i="25"/>
  <c r="AN136" i="25"/>
  <c r="AN137" i="25"/>
  <c r="AN138" i="25"/>
  <c r="AN139" i="25"/>
  <c r="AN140" i="25"/>
  <c r="AN141" i="25"/>
  <c r="AN142" i="25"/>
  <c r="AN143" i="25"/>
  <c r="AN144" i="25"/>
  <c r="AN145" i="25"/>
  <c r="AN146" i="25"/>
  <c r="AN147" i="25"/>
  <c r="AN148" i="25"/>
  <c r="AN149" i="25"/>
  <c r="AN150" i="25"/>
  <c r="AN151" i="25"/>
  <c r="AN152" i="25"/>
  <c r="AN153" i="25"/>
  <c r="AN154" i="25"/>
  <c r="AN155" i="25"/>
  <c r="AN156" i="25"/>
  <c r="AN157" i="25"/>
  <c r="AN158" i="25"/>
  <c r="AN159" i="25"/>
  <c r="AN160" i="25"/>
  <c r="AN161" i="25"/>
  <c r="AN162" i="25"/>
  <c r="AN163" i="25"/>
  <c r="AN164" i="25"/>
  <c r="AN165" i="25"/>
  <c r="AN166" i="25"/>
  <c r="AN167" i="25"/>
  <c r="AN168" i="25"/>
  <c r="AN169" i="25"/>
  <c r="AN170" i="25"/>
  <c r="AN171" i="25"/>
  <c r="AN172" i="25"/>
  <c r="AN173" i="25"/>
  <c r="AN174" i="25"/>
  <c r="AN175" i="25"/>
  <c r="AN176" i="25"/>
  <c r="AN177" i="25"/>
  <c r="AN178" i="25"/>
  <c r="AN179" i="25"/>
  <c r="AN180" i="25"/>
  <c r="AN181" i="25"/>
  <c r="AN182" i="25"/>
  <c r="AN183" i="25"/>
  <c r="AN184" i="25"/>
  <c r="AN185" i="25"/>
  <c r="AN186" i="25"/>
  <c r="AN187" i="25"/>
  <c r="AN188" i="25"/>
  <c r="AN189" i="25"/>
  <c r="AN190" i="25"/>
  <c r="AN191" i="25"/>
  <c r="AN192" i="25"/>
  <c r="AN193" i="25"/>
  <c r="AN194" i="25"/>
  <c r="AN195" i="25"/>
  <c r="AN196" i="25"/>
  <c r="AN197" i="25"/>
  <c r="AN198" i="25"/>
  <c r="AN199" i="25"/>
  <c r="AN200" i="25"/>
  <c r="AN201" i="25"/>
  <c r="AN202" i="25"/>
  <c r="AN203" i="25"/>
  <c r="AN204" i="25"/>
  <c r="AN205" i="25"/>
  <c r="AN206" i="25"/>
  <c r="AN207" i="25"/>
  <c r="AN208" i="25"/>
  <c r="AN209" i="25"/>
  <c r="AN210" i="25"/>
  <c r="AN211" i="25"/>
  <c r="AN212" i="25"/>
  <c r="AN213" i="25"/>
  <c r="AN214" i="25"/>
  <c r="AN215" i="25"/>
  <c r="AN216" i="25"/>
  <c r="AN217" i="25"/>
  <c r="AN218" i="25"/>
  <c r="AN219" i="25"/>
  <c r="AN220" i="25"/>
  <c r="AN221" i="25"/>
  <c r="AN222" i="25"/>
  <c r="AN223" i="25"/>
  <c r="AN224" i="25"/>
  <c r="AN225" i="25"/>
  <c r="AN226" i="25"/>
  <c r="AN227" i="25"/>
  <c r="AN228" i="25"/>
  <c r="AN229" i="25"/>
  <c r="AN230" i="25"/>
  <c r="AN231" i="25"/>
  <c r="AN232" i="25"/>
  <c r="AN233" i="25"/>
  <c r="AN234" i="25"/>
  <c r="AN235" i="25"/>
  <c r="AN236" i="25"/>
  <c r="AN237" i="25"/>
  <c r="AN238" i="25"/>
  <c r="AN239" i="25"/>
  <c r="AN240" i="25"/>
  <c r="AN241" i="25"/>
  <c r="AN242" i="25"/>
  <c r="AN243" i="25"/>
  <c r="AN244" i="25"/>
  <c r="AN245" i="25"/>
  <c r="AN246" i="25"/>
  <c r="AN247" i="25"/>
  <c r="AN248" i="25"/>
  <c r="AN249" i="25"/>
  <c r="AN250" i="25"/>
  <c r="AN251" i="25"/>
  <c r="AN252" i="25"/>
  <c r="AN253" i="25"/>
  <c r="AN254" i="25"/>
  <c r="AN255" i="25"/>
  <c r="AN256" i="25"/>
  <c r="AN257" i="25"/>
  <c r="AN258" i="25"/>
  <c r="AN259" i="25"/>
  <c r="AN260" i="25"/>
  <c r="AN261" i="25"/>
  <c r="AN262" i="25"/>
  <c r="AN263" i="25"/>
  <c r="AN264" i="25"/>
  <c r="AN265" i="25"/>
  <c r="AN266" i="25"/>
  <c r="AN267" i="25"/>
  <c r="AN268" i="25"/>
  <c r="AN269" i="25"/>
  <c r="AN270" i="25"/>
  <c r="AN271" i="25"/>
  <c r="AN272" i="25"/>
  <c r="AN273" i="25"/>
  <c r="AN274" i="25"/>
  <c r="AN275" i="25"/>
  <c r="AN276" i="25"/>
  <c r="AN277" i="25"/>
  <c r="AN278" i="25"/>
  <c r="AN279" i="25"/>
  <c r="AN280" i="25"/>
  <c r="AN281" i="25"/>
  <c r="AN282" i="25"/>
  <c r="AN283" i="25"/>
  <c r="AN284" i="25"/>
  <c r="AN285" i="25"/>
  <c r="AN286" i="25"/>
  <c r="AN287" i="25"/>
  <c r="AN288" i="25"/>
  <c r="AN289" i="25"/>
  <c r="AN290" i="25"/>
  <c r="AN291" i="25"/>
  <c r="AN292" i="25"/>
  <c r="AN293" i="25"/>
  <c r="AN294" i="25"/>
  <c r="AN295" i="25"/>
  <c r="AN296" i="25"/>
  <c r="AN297" i="25"/>
  <c r="AN298" i="25"/>
  <c r="AN299" i="25"/>
  <c r="AN300" i="25"/>
  <c r="AN301" i="25"/>
  <c r="AN302" i="25"/>
  <c r="AN303" i="25"/>
  <c r="AN304" i="25"/>
  <c r="AN305" i="25"/>
  <c r="AN306" i="25"/>
  <c r="AN307" i="25"/>
  <c r="AN308" i="25"/>
  <c r="AN309" i="25"/>
  <c r="AN310" i="25"/>
  <c r="AN311" i="25"/>
  <c r="AN312" i="25"/>
  <c r="AN313" i="25"/>
  <c r="AN314" i="25"/>
  <c r="AN315" i="25"/>
  <c r="AN316" i="25"/>
  <c r="AN317" i="25"/>
  <c r="AN318" i="25"/>
  <c r="AN319" i="25"/>
  <c r="AN320" i="25"/>
  <c r="AN321" i="25"/>
  <c r="AN322" i="25"/>
  <c r="AN323" i="25"/>
  <c r="AN324" i="25"/>
  <c r="AN325" i="25"/>
  <c r="AN326" i="25"/>
  <c r="AN327" i="25"/>
  <c r="AN328" i="25"/>
  <c r="AN329" i="25"/>
  <c r="AN330" i="25"/>
  <c r="AN331" i="25"/>
  <c r="AN332" i="25"/>
  <c r="AN333" i="25"/>
  <c r="AN334" i="25"/>
  <c r="AN335" i="25"/>
  <c r="AN336" i="25"/>
  <c r="AN337" i="25"/>
  <c r="AN338" i="25"/>
  <c r="AN339" i="25"/>
  <c r="AN340" i="25"/>
  <c r="AN341" i="25"/>
  <c r="AN342" i="25"/>
  <c r="AN343" i="25"/>
  <c r="AN344" i="25"/>
  <c r="AN345" i="25"/>
  <c r="AN346" i="25"/>
  <c r="AN347" i="25"/>
  <c r="AN348" i="25"/>
  <c r="AN349" i="25"/>
  <c r="AN350" i="25"/>
  <c r="AN351" i="25"/>
  <c r="AN352" i="25"/>
  <c r="AN353" i="25"/>
  <c r="AN354" i="25"/>
  <c r="AN355" i="25"/>
  <c r="AN356" i="25"/>
  <c r="AN357" i="25"/>
  <c r="AN358" i="25"/>
  <c r="AN359" i="25"/>
  <c r="AN360" i="25"/>
  <c r="AN361" i="25"/>
  <c r="AN362" i="25"/>
  <c r="AN363" i="25"/>
  <c r="AN364" i="25"/>
  <c r="AN365" i="25"/>
  <c r="AN366" i="25"/>
  <c r="AN367" i="25"/>
  <c r="AN368" i="25"/>
  <c r="AN369" i="25"/>
  <c r="AN370" i="25"/>
  <c r="AN371" i="25"/>
  <c r="AN372" i="25"/>
  <c r="AN373" i="25"/>
  <c r="AN374" i="25"/>
  <c r="AN375" i="25"/>
  <c r="AN376" i="25"/>
  <c r="AN377" i="25"/>
  <c r="AN378" i="25"/>
  <c r="AN379" i="25"/>
  <c r="AN380" i="25"/>
  <c r="AN381" i="25"/>
  <c r="AN382" i="25"/>
  <c r="AN383" i="25"/>
  <c r="AN384" i="25"/>
  <c r="AN385" i="25"/>
  <c r="AN386" i="25"/>
  <c r="AN387" i="25"/>
  <c r="AN388" i="25"/>
  <c r="AN389" i="25"/>
  <c r="AN390" i="25"/>
  <c r="AN391" i="25"/>
  <c r="AN392" i="25"/>
  <c r="AN393" i="25"/>
  <c r="AN394" i="25"/>
  <c r="AN395" i="25"/>
  <c r="AN396" i="25"/>
  <c r="AN397" i="25"/>
  <c r="AN398" i="25"/>
  <c r="AN399" i="25"/>
  <c r="AN400" i="25"/>
  <c r="AN401" i="25"/>
  <c r="AN402" i="25"/>
  <c r="AN403" i="25"/>
  <c r="AN404" i="25"/>
  <c r="AN405" i="25"/>
  <c r="AN406" i="25"/>
  <c r="AN407" i="25"/>
  <c r="AN408" i="25"/>
  <c r="AN409" i="25"/>
  <c r="AN410" i="25"/>
  <c r="AN411" i="25"/>
  <c r="AN412" i="25"/>
  <c r="AN413" i="25"/>
  <c r="AN414" i="25"/>
  <c r="AN415" i="25"/>
  <c r="AN416" i="25"/>
  <c r="AN417" i="25"/>
  <c r="AN418" i="25"/>
  <c r="AN419" i="25"/>
  <c r="AN420" i="25"/>
  <c r="AN421" i="25"/>
  <c r="AN422" i="25"/>
  <c r="AN423" i="25"/>
  <c r="AN424" i="25"/>
  <c r="AN425" i="25"/>
  <c r="AN426" i="25"/>
  <c r="AN427" i="25"/>
  <c r="AN428" i="25"/>
  <c r="AN429" i="25"/>
  <c r="AN430" i="25"/>
  <c r="AN431" i="25"/>
  <c r="AN432" i="25"/>
  <c r="AN433" i="25"/>
  <c r="AN434" i="25"/>
  <c r="AN435" i="25"/>
  <c r="AN436" i="25"/>
  <c r="AN437" i="25"/>
  <c r="AN438" i="25"/>
  <c r="AN439" i="25"/>
  <c r="AN440" i="25"/>
  <c r="AN441" i="25"/>
  <c r="AN442" i="25"/>
  <c r="AN443" i="25"/>
  <c r="AN444" i="25"/>
  <c r="AN445" i="25"/>
  <c r="AN446" i="25"/>
  <c r="AN447" i="25"/>
  <c r="AN448" i="25"/>
  <c r="AN449" i="25"/>
  <c r="AN450" i="25"/>
  <c r="AN451" i="25"/>
  <c r="AN452" i="25"/>
  <c r="AN453" i="25"/>
  <c r="AN454" i="25"/>
  <c r="AN455" i="25"/>
  <c r="AN456" i="25"/>
  <c r="AN457" i="25"/>
  <c r="AN458" i="25"/>
  <c r="AN459" i="25"/>
  <c r="AN460" i="25"/>
  <c r="AN461" i="25"/>
  <c r="AN462" i="25"/>
  <c r="AN463" i="25"/>
  <c r="AN464" i="25"/>
  <c r="AN465" i="25"/>
  <c r="AN466" i="25"/>
  <c r="AN467" i="25"/>
  <c r="AN468" i="25"/>
  <c r="AN469" i="25"/>
  <c r="AN470" i="25"/>
  <c r="AN471" i="25"/>
  <c r="AN472" i="25"/>
  <c r="AN473" i="25"/>
  <c r="AN474" i="25"/>
  <c r="AN475" i="25"/>
  <c r="AN476" i="25"/>
  <c r="AN477" i="25"/>
  <c r="AN478" i="25"/>
  <c r="AN479" i="25"/>
  <c r="AN480" i="25"/>
  <c r="AN481" i="25"/>
  <c r="AN482" i="25"/>
  <c r="AN483" i="25"/>
  <c r="AN484" i="25"/>
  <c r="AN485" i="25"/>
  <c r="AN486" i="25"/>
  <c r="AN487" i="25"/>
  <c r="AN488" i="25"/>
  <c r="AN489" i="25"/>
  <c r="AN490" i="25"/>
  <c r="AN491" i="25"/>
  <c r="AN492" i="25"/>
  <c r="AN493" i="25"/>
  <c r="AN494" i="25"/>
  <c r="AN495" i="25"/>
  <c r="AN496" i="25"/>
  <c r="AN497" i="25"/>
  <c r="AN498" i="25"/>
  <c r="AN499" i="25"/>
  <c r="AN500" i="25"/>
  <c r="AN501" i="25"/>
  <c r="AN502" i="25"/>
  <c r="AN503" i="25"/>
  <c r="AN504" i="25"/>
  <c r="AN505" i="25"/>
  <c r="AN506" i="25"/>
  <c r="AN507" i="25"/>
  <c r="AN508" i="25"/>
  <c r="AN509" i="25"/>
  <c r="AN510" i="25"/>
  <c r="AN511" i="25"/>
  <c r="AN512" i="25"/>
  <c r="AN513" i="25"/>
  <c r="AN514" i="25"/>
  <c r="AN515" i="25"/>
  <c r="AN516" i="25"/>
  <c r="AN517" i="25"/>
  <c r="AN518" i="25"/>
  <c r="AN519" i="25"/>
  <c r="AN520" i="25"/>
  <c r="AN521" i="25"/>
  <c r="AN522" i="25"/>
  <c r="AN523" i="25"/>
  <c r="AN524" i="25"/>
  <c r="AN525" i="25"/>
  <c r="AN526" i="25"/>
  <c r="AN527" i="25"/>
  <c r="AN528" i="25"/>
  <c r="AN529" i="25"/>
  <c r="AN530" i="25"/>
  <c r="AN531" i="25"/>
  <c r="AN532" i="25"/>
  <c r="AN533" i="25"/>
  <c r="AN534" i="25"/>
  <c r="AN535" i="25"/>
  <c r="AN536" i="25"/>
  <c r="AN537" i="25"/>
  <c r="AN538" i="25"/>
  <c r="AN539" i="25"/>
  <c r="AN540" i="25"/>
  <c r="AN541" i="25"/>
  <c r="AN542" i="25"/>
  <c r="AN543" i="25"/>
  <c r="AN544" i="25"/>
  <c r="AN545" i="25"/>
  <c r="AN546" i="25"/>
  <c r="AN547" i="25"/>
  <c r="AN548" i="25"/>
  <c r="AN549" i="25"/>
  <c r="AN550" i="25"/>
  <c r="AN551" i="25"/>
  <c r="AN552" i="25"/>
  <c r="AN553" i="25"/>
  <c r="AN554" i="25"/>
  <c r="AN555" i="25"/>
  <c r="AN556" i="25"/>
  <c r="AN557" i="25"/>
  <c r="AN558" i="25"/>
  <c r="AN559" i="25"/>
  <c r="AN560" i="25"/>
  <c r="AN561" i="25"/>
  <c r="AN562" i="25"/>
  <c r="AN563" i="25"/>
  <c r="AN564" i="25"/>
  <c r="AN565" i="25"/>
  <c r="AN566" i="25"/>
  <c r="AN567" i="25"/>
  <c r="AN568" i="25"/>
  <c r="AN569" i="25"/>
  <c r="AN570" i="25"/>
  <c r="AN7" i="25"/>
  <c r="AN78" i="1"/>
  <c r="AN930" i="1"/>
  <c r="AN931" i="1"/>
  <c r="AN932" i="1"/>
  <c r="AN933" i="1"/>
  <c r="AN934" i="1"/>
  <c r="AN935" i="1"/>
  <c r="AN936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899" i="1"/>
  <c r="AN900" i="1"/>
  <c r="AN901" i="1"/>
  <c r="AN902" i="1"/>
  <c r="AN903" i="1"/>
  <c r="AN904" i="1"/>
  <c r="AN905" i="1"/>
  <c r="AN906" i="1"/>
  <c r="AN907" i="1"/>
  <c r="AN908" i="1"/>
  <c r="AN107" i="2"/>
  <c r="AN108" i="2"/>
  <c r="AN109" i="2"/>
  <c r="AN110" i="2"/>
  <c r="AN111" i="2"/>
  <c r="AN112" i="2"/>
  <c r="AN113" i="2"/>
  <c r="AN897" i="1"/>
  <c r="AN898" i="1"/>
  <c r="AN894" i="1"/>
  <c r="AN895" i="1"/>
  <c r="AN896" i="1"/>
  <c r="AN68" i="14"/>
  <c r="AN69" i="14"/>
  <c r="AN70" i="14"/>
  <c r="AN71" i="14"/>
  <c r="AN72" i="14"/>
  <c r="AN73" i="14"/>
  <c r="AN74" i="14"/>
  <c r="AN75" i="14"/>
  <c r="AN76" i="14"/>
  <c r="AN77" i="14"/>
  <c r="AN78" i="14"/>
  <c r="AN79" i="14"/>
  <c r="AN80" i="14"/>
  <c r="AN81" i="14"/>
  <c r="AN82" i="14"/>
  <c r="AN83" i="14"/>
  <c r="AN84" i="14"/>
  <c r="AN85" i="14"/>
  <c r="AN86" i="14"/>
  <c r="AN87" i="14"/>
  <c r="AN88" i="14"/>
  <c r="AN89" i="14"/>
  <c r="AN90" i="14"/>
  <c r="AN91" i="14"/>
  <c r="AN92" i="14"/>
  <c r="AN93" i="14"/>
  <c r="AN94" i="14"/>
  <c r="AN95" i="14"/>
  <c r="AN96" i="14"/>
  <c r="AN97" i="14"/>
  <c r="AN98" i="14"/>
  <c r="AN99" i="14"/>
  <c r="AN100" i="14"/>
  <c r="AN101" i="14"/>
  <c r="AN102" i="14"/>
  <c r="AN103" i="14"/>
  <c r="AN104" i="14"/>
  <c r="AN105" i="14"/>
  <c r="AN106" i="14"/>
  <c r="AN107" i="14"/>
  <c r="AN108" i="14"/>
  <c r="AN109" i="14"/>
  <c r="AN110" i="14"/>
  <c r="AN111" i="14"/>
  <c r="AN112" i="14"/>
  <c r="AN113" i="14"/>
  <c r="AN114" i="14"/>
  <c r="AN115" i="14"/>
  <c r="AN116" i="14"/>
  <c r="AN117" i="14"/>
  <c r="AN118" i="14"/>
  <c r="AN119" i="14"/>
  <c r="AN120" i="14"/>
  <c r="AN121" i="14"/>
  <c r="AN122" i="14"/>
  <c r="AN123" i="14"/>
  <c r="AN124" i="14"/>
  <c r="AN125" i="14"/>
  <c r="AN126" i="14"/>
  <c r="AN127" i="14"/>
  <c r="AN128" i="14"/>
  <c r="AN129" i="14"/>
  <c r="AN130" i="14"/>
  <c r="AN131" i="14"/>
  <c r="AN132" i="14"/>
  <c r="AN133" i="14"/>
  <c r="AN134" i="14"/>
  <c r="AN135" i="14"/>
  <c r="AN136" i="14"/>
  <c r="AN137" i="14"/>
  <c r="AN138" i="14"/>
  <c r="AN139" i="14"/>
  <c r="AN140" i="14"/>
  <c r="AN141" i="14"/>
  <c r="AN142" i="14"/>
  <c r="AN143" i="14"/>
  <c r="AN144" i="14"/>
  <c r="AN145" i="14"/>
  <c r="AN146" i="14"/>
  <c r="AN147" i="14"/>
  <c r="AN148" i="14"/>
  <c r="AN149" i="14"/>
  <c r="AN150" i="14"/>
  <c r="AN151" i="14"/>
  <c r="AN887" i="1"/>
  <c r="AN888" i="1"/>
  <c r="AN889" i="1"/>
  <c r="AN890" i="1"/>
  <c r="AN891" i="1"/>
  <c r="AN892" i="1"/>
  <c r="AN893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63" i="1"/>
  <c r="AN864" i="1"/>
  <c r="AN865" i="1"/>
  <c r="AN866" i="1"/>
  <c r="AN867" i="1"/>
  <c r="AN859" i="1"/>
  <c r="AN860" i="1"/>
  <c r="AN861" i="1"/>
  <c r="AN862" i="1"/>
  <c r="AN853" i="1" l="1"/>
  <c r="AN854" i="1"/>
  <c r="AN855" i="1"/>
  <c r="AN856" i="1"/>
  <c r="AN857" i="1"/>
  <c r="AN858" i="1"/>
  <c r="AN849" i="1"/>
  <c r="AN850" i="1"/>
  <c r="AN851" i="1"/>
  <c r="AN85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24" i="1"/>
  <c r="AN825" i="1"/>
  <c r="AN826" i="1"/>
  <c r="AN827" i="1"/>
  <c r="AN828" i="1"/>
  <c r="AN829" i="1"/>
  <c r="AN830" i="1"/>
  <c r="AN831" i="1"/>
  <c r="AN832" i="1"/>
  <c r="AN808" i="1" l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05" i="1"/>
  <c r="AN806" i="1"/>
  <c r="AN807" i="1"/>
  <c r="AN804" i="1"/>
  <c r="AN798" i="1"/>
  <c r="AN799" i="1"/>
  <c r="AN800" i="1"/>
  <c r="AN801" i="1"/>
  <c r="AN802" i="1"/>
  <c r="AN803" i="1"/>
  <c r="AN794" i="1"/>
  <c r="AN795" i="1"/>
  <c r="AN796" i="1"/>
  <c r="AN797" i="1"/>
  <c r="AN793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69" i="1"/>
  <c r="AN770" i="1"/>
  <c r="AN771" i="1"/>
  <c r="AN772" i="1"/>
  <c r="AN773" i="1"/>
  <c r="AN774" i="1"/>
  <c r="AN775" i="1"/>
  <c r="AN776" i="1"/>
  <c r="AN777" i="1"/>
  <c r="AN778" i="1"/>
  <c r="AN764" i="1"/>
  <c r="AN765" i="1"/>
  <c r="AN766" i="1"/>
  <c r="AN767" i="1"/>
  <c r="AN768" i="1"/>
  <c r="AN63" i="2"/>
  <c r="AN64" i="2"/>
  <c r="AN65" i="2"/>
  <c r="AN66" i="2"/>
  <c r="AN760" i="1"/>
  <c r="AN761" i="1"/>
  <c r="AN762" i="1"/>
  <c r="AN763" i="1"/>
  <c r="AN754" i="1"/>
  <c r="AN755" i="1"/>
  <c r="AN756" i="1"/>
  <c r="AN757" i="1"/>
  <c r="AN758" i="1"/>
  <c r="AN759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36" i="1"/>
  <c r="AN737" i="1"/>
  <c r="AN738" i="1"/>
  <c r="AN739" i="1"/>
  <c r="AN740" i="1"/>
  <c r="AN741" i="1"/>
  <c r="AN726" i="1"/>
  <c r="AN727" i="1"/>
  <c r="AN728" i="1"/>
  <c r="AN729" i="1"/>
  <c r="AN730" i="1"/>
  <c r="AN731" i="1"/>
  <c r="AN732" i="1"/>
  <c r="AN733" i="1"/>
  <c r="AN734" i="1"/>
  <c r="AN735" i="1"/>
  <c r="AN725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08" i="1"/>
  <c r="AN709" i="1"/>
  <c r="AN710" i="1"/>
  <c r="AN711" i="1"/>
  <c r="AN699" i="1"/>
  <c r="AN700" i="1"/>
  <c r="AN701" i="1"/>
  <c r="AN702" i="1"/>
  <c r="AN703" i="1"/>
  <c r="AN704" i="1"/>
  <c r="AN705" i="1"/>
  <c r="AN706" i="1"/>
  <c r="AN707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49" i="1"/>
  <c r="AN650" i="1"/>
  <c r="AN651" i="1"/>
  <c r="AN642" i="1"/>
  <c r="AN643" i="1"/>
  <c r="AN644" i="1"/>
  <c r="AN645" i="1"/>
  <c r="AN646" i="1"/>
  <c r="AN647" i="1"/>
  <c r="AN648" i="1"/>
  <c r="AN8" i="15"/>
  <c r="AN9" i="15"/>
  <c r="AN10" i="15"/>
  <c r="AN11" i="15"/>
  <c r="AN12" i="15"/>
  <c r="AN13" i="15"/>
  <c r="AN14" i="15"/>
  <c r="AN15" i="15"/>
  <c r="AN16" i="15"/>
  <c r="AN17" i="15"/>
  <c r="AN18" i="15"/>
  <c r="AN19" i="15"/>
  <c r="AN20" i="15"/>
  <c r="AN21" i="15"/>
  <c r="AN22" i="15"/>
  <c r="AN23" i="15"/>
  <c r="AN24" i="15"/>
  <c r="AN25" i="15"/>
  <c r="AN26" i="15"/>
  <c r="AN27" i="15"/>
  <c r="AN28" i="15"/>
  <c r="AN29" i="15"/>
  <c r="AN30" i="15"/>
  <c r="AN31" i="15"/>
  <c r="AN32" i="15"/>
  <c r="AN33" i="15"/>
  <c r="AN34" i="15"/>
  <c r="AN35" i="15"/>
  <c r="AN36" i="15"/>
  <c r="AN37" i="15"/>
  <c r="AN38" i="15"/>
  <c r="AN39" i="15"/>
  <c r="AN40" i="15"/>
  <c r="AN41" i="15"/>
  <c r="AN42" i="15"/>
  <c r="AN43" i="15"/>
  <c r="AN44" i="15"/>
  <c r="AN45" i="15"/>
  <c r="AN46" i="15"/>
  <c r="AN47" i="15"/>
  <c r="AN48" i="15"/>
  <c r="AN49" i="15"/>
  <c r="AN50" i="15"/>
  <c r="AN51" i="15"/>
  <c r="AN52" i="15"/>
  <c r="AN53" i="15"/>
  <c r="AN54" i="15"/>
  <c r="AN55" i="15"/>
  <c r="AN56" i="15"/>
  <c r="AN57" i="15"/>
  <c r="AN58" i="15"/>
  <c r="AN59" i="15"/>
  <c r="AN60" i="15"/>
  <c r="AN61" i="15"/>
  <c r="AN62" i="15"/>
  <c r="AN63" i="15"/>
  <c r="AN64" i="15"/>
  <c r="AN65" i="15"/>
  <c r="AN66" i="15"/>
  <c r="AN67" i="15"/>
  <c r="AN68" i="15"/>
  <c r="AN69" i="15"/>
  <c r="AN70" i="15"/>
  <c r="AN71" i="15"/>
  <c r="AN72" i="15"/>
  <c r="AN73" i="15"/>
  <c r="AN74" i="15"/>
  <c r="AN75" i="15"/>
  <c r="AN76" i="15"/>
  <c r="AN77" i="15"/>
  <c r="AN78" i="15"/>
  <c r="AN79" i="15"/>
  <c r="AN80" i="15"/>
  <c r="AN81" i="15"/>
  <c r="AN82" i="15"/>
  <c r="AN83" i="15"/>
  <c r="AN84" i="15"/>
  <c r="AN85" i="15"/>
  <c r="AN86" i="15"/>
  <c r="AN87" i="15"/>
  <c r="AN88" i="15"/>
  <c r="AN89" i="15"/>
  <c r="AN90" i="15"/>
  <c r="AN91" i="15"/>
  <c r="AN92" i="15"/>
  <c r="AN93" i="15"/>
  <c r="AN94" i="15"/>
  <c r="AN95" i="15"/>
  <c r="AN96" i="15"/>
  <c r="AN97" i="15"/>
  <c r="AN98" i="15"/>
  <c r="AN99" i="15"/>
  <c r="AN100" i="15"/>
  <c r="AN101" i="15"/>
  <c r="AN102" i="15"/>
  <c r="AN103" i="15"/>
  <c r="AN104" i="15"/>
  <c r="AN105" i="15"/>
  <c r="AN106" i="15"/>
  <c r="AN107" i="15"/>
  <c r="AN108" i="15"/>
  <c r="AN109" i="15"/>
  <c r="AN110" i="15"/>
  <c r="AN111" i="15"/>
  <c r="AN112" i="15"/>
  <c r="AN113" i="15"/>
  <c r="AN114" i="15"/>
  <c r="AN115" i="15"/>
  <c r="AN116" i="15"/>
  <c r="AN117" i="15"/>
  <c r="AN118" i="15"/>
  <c r="AN119" i="15"/>
  <c r="AN120" i="15"/>
  <c r="AN121" i="15"/>
  <c r="AN122" i="15"/>
  <c r="AN123" i="15"/>
  <c r="AN124" i="15"/>
  <c r="AN125" i="15"/>
  <c r="AN126" i="15"/>
  <c r="AN127" i="15"/>
  <c r="AN128" i="15"/>
  <c r="AN129" i="15"/>
  <c r="AN130" i="15"/>
  <c r="AN131" i="15"/>
  <c r="AN132" i="15"/>
  <c r="AN133" i="15"/>
  <c r="AN134" i="15"/>
  <c r="AN135" i="15"/>
  <c r="AN136" i="15"/>
  <c r="AN137" i="15"/>
  <c r="AN138" i="15"/>
  <c r="AN139" i="15"/>
  <c r="AN140" i="15"/>
  <c r="AN141" i="15"/>
  <c r="AN142" i="15"/>
  <c r="AN143" i="15"/>
  <c r="AN144" i="15"/>
  <c r="AN145" i="15"/>
  <c r="AN146" i="15"/>
  <c r="AN147" i="15"/>
  <c r="AN148" i="15"/>
  <c r="AN149" i="15"/>
  <c r="AN150" i="15"/>
  <c r="AN151" i="15"/>
  <c r="AN152" i="15"/>
  <c r="AN153" i="15"/>
  <c r="AN154" i="15"/>
  <c r="AN155" i="15"/>
  <c r="AN156" i="15"/>
  <c r="AN157" i="15"/>
  <c r="AN158" i="15"/>
  <c r="AN159" i="15"/>
  <c r="AN160" i="15"/>
  <c r="AN161" i="15"/>
  <c r="AN162" i="15"/>
  <c r="AN163" i="15"/>
  <c r="AN164" i="15"/>
  <c r="AN165" i="15"/>
  <c r="AN166" i="15"/>
  <c r="AN167" i="15"/>
  <c r="AN168" i="15"/>
  <c r="AN169" i="15"/>
  <c r="AN170" i="15"/>
  <c r="AN171" i="15"/>
  <c r="AN172" i="15"/>
  <c r="AN173" i="15"/>
  <c r="AN174" i="15"/>
  <c r="AN175" i="15"/>
  <c r="AN176" i="15"/>
  <c r="AN177" i="15"/>
  <c r="AN178" i="15"/>
  <c r="AN179" i="15"/>
  <c r="AN180" i="15"/>
  <c r="AN181" i="15"/>
  <c r="AN182" i="15"/>
  <c r="AN183" i="15"/>
  <c r="AN184" i="15"/>
  <c r="AN185" i="15"/>
  <c r="AN186" i="15"/>
  <c r="AN187" i="15"/>
  <c r="AN188" i="15"/>
  <c r="AN189" i="15"/>
  <c r="AN190" i="15"/>
  <c r="AN191" i="15"/>
  <c r="AN192" i="15"/>
  <c r="AN193" i="15"/>
  <c r="AN194" i="15"/>
  <c r="AN195" i="15"/>
  <c r="AN196" i="15"/>
  <c r="AN197" i="15"/>
  <c r="AN198" i="15"/>
  <c r="AN199" i="15"/>
  <c r="AN200" i="15"/>
  <c r="AN201" i="15"/>
  <c r="AN202" i="15"/>
  <c r="AN203" i="15"/>
  <c r="AN204" i="15"/>
  <c r="AN205" i="15"/>
  <c r="AN206" i="15"/>
  <c r="AN207" i="15"/>
  <c r="AN208" i="15"/>
  <c r="AN209" i="15"/>
  <c r="AN210" i="15"/>
  <c r="AN211" i="15"/>
  <c r="AN634" i="1"/>
  <c r="AN635" i="1"/>
  <c r="AN636" i="1"/>
  <c r="AN637" i="1"/>
  <c r="AN638" i="1"/>
  <c r="AN639" i="1"/>
  <c r="AN640" i="1"/>
  <c r="AN641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08" i="1"/>
  <c r="AN609" i="1"/>
  <c r="AN610" i="1"/>
  <c r="AN611" i="1"/>
  <c r="AN612" i="1"/>
  <c r="AN613" i="1"/>
  <c r="AN614" i="1"/>
  <c r="AN615" i="1"/>
  <c r="AN605" i="1"/>
  <c r="AN606" i="1"/>
  <c r="AN607" i="1"/>
  <c r="AN604" i="1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587" i="1"/>
  <c r="AN583" i="1"/>
  <c r="AN584" i="1"/>
  <c r="AN585" i="1"/>
  <c r="AN586" i="1"/>
  <c r="AN573" i="1"/>
  <c r="AN574" i="1"/>
  <c r="AN575" i="1"/>
  <c r="AN576" i="1"/>
  <c r="AN577" i="1"/>
  <c r="AN578" i="1"/>
  <c r="AN579" i="1"/>
  <c r="AN580" i="1"/>
  <c r="AN581" i="1"/>
  <c r="AN582" i="1"/>
  <c r="AN572" i="1"/>
  <c r="AN571" i="1"/>
  <c r="AN80" i="1"/>
  <c r="AN8" i="23"/>
  <c r="AN9" i="23"/>
  <c r="AN10" i="23"/>
  <c r="AN11" i="23"/>
  <c r="AN12" i="23"/>
  <c r="AN13" i="23"/>
  <c r="AN14" i="23"/>
  <c r="AN15" i="23"/>
  <c r="AN16" i="23"/>
  <c r="AN17" i="23"/>
  <c r="AN18" i="23"/>
  <c r="AN19" i="23"/>
  <c r="AN20" i="23"/>
  <c r="AN21" i="23"/>
  <c r="AN22" i="23"/>
  <c r="AN23" i="23"/>
  <c r="AN24" i="23"/>
  <c r="AN25" i="23"/>
  <c r="AN26" i="23"/>
  <c r="AN27" i="23"/>
  <c r="AN28" i="23"/>
  <c r="AN29" i="23"/>
  <c r="AN30" i="23"/>
  <c r="AN31" i="23"/>
  <c r="AN32" i="23"/>
  <c r="AN33" i="23"/>
  <c r="AN34" i="23"/>
  <c r="AN35" i="23"/>
  <c r="AN36" i="23"/>
  <c r="AN37" i="23"/>
  <c r="AN38" i="23"/>
  <c r="AN39" i="23"/>
  <c r="AN40" i="23"/>
  <c r="AN41" i="23"/>
  <c r="AN42" i="23"/>
  <c r="AN43" i="23"/>
  <c r="AN44" i="23"/>
  <c r="AN45" i="23"/>
  <c r="AN46" i="23"/>
  <c r="AN47" i="23"/>
  <c r="AN48" i="23"/>
  <c r="AN49" i="23"/>
  <c r="AN50" i="23"/>
  <c r="AN51" i="23"/>
  <c r="AN52" i="23"/>
  <c r="AN53" i="23"/>
  <c r="AN54" i="23"/>
  <c r="AN55" i="23"/>
  <c r="AN56" i="23"/>
  <c r="AN57" i="23"/>
  <c r="AN58" i="23"/>
  <c r="AN59" i="23"/>
  <c r="AN60" i="23"/>
  <c r="AN61" i="23"/>
  <c r="AN62" i="23"/>
  <c r="AN63" i="23"/>
  <c r="AN64" i="23"/>
  <c r="AN65" i="23"/>
  <c r="AN66" i="23"/>
  <c r="AN67" i="23"/>
  <c r="AN68" i="23"/>
  <c r="AN69" i="23"/>
  <c r="AN70" i="23"/>
  <c r="AN71" i="23"/>
  <c r="AN72" i="23"/>
  <c r="AN73" i="23"/>
  <c r="AN74" i="23"/>
  <c r="AN75" i="23"/>
  <c r="AN76" i="23"/>
  <c r="AN77" i="23"/>
  <c r="AN78" i="23"/>
  <c r="AN79" i="23"/>
  <c r="AN80" i="23"/>
  <c r="AN81" i="23"/>
  <c r="AN82" i="23"/>
  <c r="AN83" i="23"/>
  <c r="AN84" i="23"/>
  <c r="AN85" i="23"/>
  <c r="AN86" i="23"/>
  <c r="AN87" i="23"/>
  <c r="AN88" i="23"/>
  <c r="AN89" i="23"/>
  <c r="AN90" i="23"/>
  <c r="AN91" i="23"/>
  <c r="AN92" i="23"/>
  <c r="AN93" i="23"/>
  <c r="AN94" i="23"/>
  <c r="AN95" i="23"/>
  <c r="AN96" i="23"/>
  <c r="AN97" i="23"/>
  <c r="AN98" i="23"/>
  <c r="AN99" i="23"/>
  <c r="AN100" i="23"/>
  <c r="AN101" i="23"/>
  <c r="AN102" i="23"/>
  <c r="AN103" i="23"/>
  <c r="AN104" i="23"/>
  <c r="AN105" i="23"/>
  <c r="AN106" i="23"/>
  <c r="AN107" i="23"/>
  <c r="AN108" i="23"/>
  <c r="AN109" i="23"/>
  <c r="AN110" i="23"/>
  <c r="AN111" i="23"/>
  <c r="AN112" i="23"/>
  <c r="AN113" i="23"/>
  <c r="AN114" i="23"/>
  <c r="AN115" i="23"/>
  <c r="AN116" i="23"/>
  <c r="AN117" i="23"/>
  <c r="AN118" i="23"/>
  <c r="AN119" i="23"/>
  <c r="AN120" i="23"/>
  <c r="AN121" i="23"/>
  <c r="AN122" i="23"/>
  <c r="AN123" i="23"/>
  <c r="AN124" i="23"/>
  <c r="AN125" i="23"/>
  <c r="AN126" i="23"/>
  <c r="AN127" i="23"/>
  <c r="AN128" i="23"/>
  <c r="AN129" i="23"/>
  <c r="AN130" i="23"/>
  <c r="AN131" i="23"/>
  <c r="AN132" i="23"/>
  <c r="AN133" i="23"/>
  <c r="AN134" i="23"/>
  <c r="AN135" i="23"/>
  <c r="AN136" i="23"/>
  <c r="AN137" i="23"/>
  <c r="AN138" i="23"/>
  <c r="AN139" i="23"/>
  <c r="AN140" i="23"/>
  <c r="AN141" i="23"/>
  <c r="AN142" i="23"/>
  <c r="AN143" i="23"/>
  <c r="AN144" i="23"/>
  <c r="AN145" i="23"/>
  <c r="AN146" i="23"/>
  <c r="AN147" i="23"/>
  <c r="AN148" i="23"/>
  <c r="AN149" i="23"/>
  <c r="AN150" i="23"/>
  <c r="AN151" i="23"/>
  <c r="AN152" i="23"/>
  <c r="AN153" i="23"/>
  <c r="AN154" i="23"/>
  <c r="AN155" i="23"/>
  <c r="AN156" i="23"/>
  <c r="AN157" i="23"/>
  <c r="AN158" i="23"/>
  <c r="AN159" i="23"/>
  <c r="AN160" i="23"/>
  <c r="AN161" i="23"/>
  <c r="AN162" i="23"/>
  <c r="AN163" i="23"/>
  <c r="AN164" i="23"/>
  <c r="AN165" i="23"/>
  <c r="AN166" i="23"/>
  <c r="AN167" i="23"/>
  <c r="AN168" i="23"/>
  <c r="AN169" i="23"/>
  <c r="AN170" i="23"/>
  <c r="AN171" i="23"/>
  <c r="AN172" i="23"/>
  <c r="AN173" i="23"/>
  <c r="AN174" i="23"/>
  <c r="AN175" i="23"/>
  <c r="AN176" i="23"/>
  <c r="AN177" i="23"/>
  <c r="AN178" i="23"/>
  <c r="AN179" i="23"/>
  <c r="AN180" i="23"/>
  <c r="AN181" i="23"/>
  <c r="AN182" i="23"/>
  <c r="AN183" i="23"/>
  <c r="AN184" i="23"/>
  <c r="AN185" i="23"/>
  <c r="AN186" i="23"/>
  <c r="AN187" i="23"/>
  <c r="AN188" i="23"/>
  <c r="AN189" i="23"/>
  <c r="AN190" i="23"/>
  <c r="AN191" i="23"/>
  <c r="AN192" i="23"/>
  <c r="AN193" i="23"/>
  <c r="AN194" i="23"/>
  <c r="AN195" i="23"/>
  <c r="AN196" i="23"/>
  <c r="AN197" i="23"/>
  <c r="AN198" i="23"/>
  <c r="AN199" i="23"/>
  <c r="AN200" i="23"/>
  <c r="AN201" i="23"/>
  <c r="AN202" i="23"/>
  <c r="AN203" i="23"/>
  <c r="AN204" i="23"/>
  <c r="AN205" i="23"/>
  <c r="AN206" i="23"/>
  <c r="AN207" i="23"/>
  <c r="AN208" i="23"/>
  <c r="AN209" i="23"/>
  <c r="AN210" i="23"/>
  <c r="AN211" i="23"/>
  <c r="AN212" i="23"/>
  <c r="AN213" i="23"/>
  <c r="AN214" i="23"/>
  <c r="AN215" i="23"/>
  <c r="AN216" i="23"/>
  <c r="AN217" i="23"/>
  <c r="AN218" i="23"/>
  <c r="AN219" i="23"/>
  <c r="AN220" i="23"/>
  <c r="AN221" i="23"/>
  <c r="AN222" i="23"/>
  <c r="AN223" i="23"/>
  <c r="AN224" i="23"/>
  <c r="AN225" i="23"/>
  <c r="AN226" i="23"/>
  <c r="AN227" i="23"/>
  <c r="AN228" i="23"/>
  <c r="AN229" i="23"/>
  <c r="AN230" i="23"/>
  <c r="AN231" i="23"/>
  <c r="AN232" i="23"/>
  <c r="AN233" i="23"/>
  <c r="AN234" i="23"/>
  <c r="AN235" i="23"/>
  <c r="AN236" i="23"/>
  <c r="AN237" i="23"/>
  <c r="AN238" i="23"/>
  <c r="AN239" i="23"/>
  <c r="AN240" i="23"/>
  <c r="AN241" i="23"/>
  <c r="AN242" i="23"/>
  <c r="AN243" i="23"/>
  <c r="AN244" i="23"/>
  <c r="AN245" i="23"/>
  <c r="AN246" i="23"/>
  <c r="AN247" i="23"/>
  <c r="AN248" i="23"/>
  <c r="AN249" i="23"/>
  <c r="AN250" i="23"/>
  <c r="AN251" i="23"/>
  <c r="AN252" i="23"/>
  <c r="AN253" i="23"/>
  <c r="AN254" i="23"/>
  <c r="AN255" i="23"/>
  <c r="AN256" i="23"/>
  <c r="AN257" i="23"/>
  <c r="AN258" i="23"/>
  <c r="AN259" i="23"/>
  <c r="AN260" i="23"/>
  <c r="AN261" i="23"/>
  <c r="AN262" i="23"/>
  <c r="AN263" i="23"/>
  <c r="AN264" i="23"/>
  <c r="AN265" i="23"/>
  <c r="AN266" i="23"/>
  <c r="AN267" i="23"/>
  <c r="AN268" i="23"/>
  <c r="AN269" i="23"/>
  <c r="AN270" i="23"/>
  <c r="AN271" i="23"/>
  <c r="AN272" i="23"/>
  <c r="AN273" i="23"/>
  <c r="AN274" i="23"/>
  <c r="AN275" i="23"/>
  <c r="AN276" i="23"/>
  <c r="AN277" i="23"/>
  <c r="AN278" i="23"/>
  <c r="AN279" i="23"/>
  <c r="AN280" i="23"/>
  <c r="AN281" i="23"/>
  <c r="AN282" i="23"/>
  <c r="AN283" i="23"/>
  <c r="AN284" i="23"/>
  <c r="AN285" i="23"/>
  <c r="AN286" i="23"/>
  <c r="AN287" i="23"/>
  <c r="AN288" i="23"/>
  <c r="AN289" i="23"/>
  <c r="AN290" i="23"/>
  <c r="AN291" i="23"/>
  <c r="AN292" i="23"/>
  <c r="AN293" i="23"/>
  <c r="AN294" i="23"/>
  <c r="AN295" i="23"/>
  <c r="AN296" i="23"/>
  <c r="AN297" i="23"/>
  <c r="AN298" i="23"/>
  <c r="AN299" i="23"/>
  <c r="AN300" i="23"/>
  <c r="AN301" i="23"/>
  <c r="AN302" i="23"/>
  <c r="AN303" i="23"/>
  <c r="AN304" i="23"/>
  <c r="AN305" i="23"/>
  <c r="AN306" i="23"/>
  <c r="AN307" i="23"/>
  <c r="AN308" i="23"/>
  <c r="AN309" i="23"/>
  <c r="AN310" i="23"/>
  <c r="AN311" i="23"/>
  <c r="AN312" i="23"/>
  <c r="AN313" i="23"/>
  <c r="AN314" i="23"/>
  <c r="AN315" i="23"/>
  <c r="AN316" i="23"/>
  <c r="AN317" i="23"/>
  <c r="AN318" i="23"/>
  <c r="AN319" i="23"/>
  <c r="AN320" i="23"/>
  <c r="AN321" i="23"/>
  <c r="AN322" i="23"/>
  <c r="AN323" i="23"/>
  <c r="AN324" i="23"/>
  <c r="AN325" i="23"/>
  <c r="AN326" i="23"/>
  <c r="AN327" i="23"/>
  <c r="AN328" i="23"/>
  <c r="AN329" i="23"/>
  <c r="AN330" i="23"/>
  <c r="AN331" i="23"/>
  <c r="AN332" i="23"/>
  <c r="AN333" i="23"/>
  <c r="AN334" i="23"/>
  <c r="AN335" i="23"/>
  <c r="AN336" i="23"/>
  <c r="AN337" i="23"/>
  <c r="AN338" i="23"/>
  <c r="AN339" i="23"/>
  <c r="AN340" i="23"/>
  <c r="AN341" i="23"/>
  <c r="AN342" i="23"/>
  <c r="AN343" i="23"/>
  <c r="AN344" i="23"/>
  <c r="AN345" i="23"/>
  <c r="AN346" i="23"/>
  <c r="AN347" i="23"/>
  <c r="AN348" i="23"/>
  <c r="AN349" i="23"/>
  <c r="AN350" i="23"/>
  <c r="AN351" i="23"/>
  <c r="AN352" i="23"/>
  <c r="AN353" i="23"/>
  <c r="AN354" i="23"/>
  <c r="AN355" i="23"/>
  <c r="AN356" i="23"/>
  <c r="AN357" i="23"/>
  <c r="AN358" i="23"/>
  <c r="AN359" i="23"/>
  <c r="AN360" i="23"/>
  <c r="AN361" i="23"/>
  <c r="AN362" i="23"/>
  <c r="AN363" i="23"/>
  <c r="AN364" i="23"/>
  <c r="AN365" i="23"/>
  <c r="AN366" i="23"/>
  <c r="AN367" i="23"/>
  <c r="AN368" i="23"/>
  <c r="AN369" i="23"/>
  <c r="AN370" i="23"/>
  <c r="AN371" i="23"/>
  <c r="AN372" i="23"/>
  <c r="AN373" i="23"/>
  <c r="AN374" i="23"/>
  <c r="AN375" i="23"/>
  <c r="AN376" i="23"/>
  <c r="AN377" i="23"/>
  <c r="AN378" i="23"/>
  <c r="AN379" i="23"/>
  <c r="AN380" i="23"/>
  <c r="AN381" i="23"/>
  <c r="AN382" i="23"/>
  <c r="AN383" i="23"/>
  <c r="AN384" i="23"/>
  <c r="AN385" i="23"/>
  <c r="AN386" i="23"/>
  <c r="AN387" i="23"/>
  <c r="AN388" i="23"/>
  <c r="AN389" i="23"/>
  <c r="AN390" i="23"/>
  <c r="AN391" i="23"/>
  <c r="AN392" i="23"/>
  <c r="AN393" i="23"/>
  <c r="AN394" i="23"/>
  <c r="AN395" i="23"/>
  <c r="AN396" i="23"/>
  <c r="AN397" i="23"/>
  <c r="AN398" i="23"/>
  <c r="AN399" i="23"/>
  <c r="AN400" i="23"/>
  <c r="AN401" i="23"/>
  <c r="AN402" i="23"/>
  <c r="AN403" i="23"/>
  <c r="AN404" i="23"/>
  <c r="AN405" i="23"/>
  <c r="AN406" i="23"/>
  <c r="AN407" i="23"/>
  <c r="AN408" i="23"/>
  <c r="AN409" i="23"/>
  <c r="AN410" i="23"/>
  <c r="AN411" i="23"/>
  <c r="AN412" i="23"/>
  <c r="AN413" i="23"/>
  <c r="AN414" i="23"/>
  <c r="AN415" i="23"/>
  <c r="AN416" i="23"/>
  <c r="AN417" i="23"/>
  <c r="AN418" i="23"/>
  <c r="AN419" i="23"/>
  <c r="AN420" i="23"/>
  <c r="AN421" i="23"/>
  <c r="AN422" i="23"/>
  <c r="AN423" i="23"/>
  <c r="AN424" i="23"/>
  <c r="AN425" i="23"/>
  <c r="AN426" i="23"/>
  <c r="AN427" i="23"/>
  <c r="AN428" i="23"/>
  <c r="AN429" i="23"/>
  <c r="AN430" i="23"/>
  <c r="AN431" i="23"/>
  <c r="AN432" i="23"/>
  <c r="AN433" i="23"/>
  <c r="AN434" i="23"/>
  <c r="AN435" i="23"/>
  <c r="AN436" i="23"/>
  <c r="AN437" i="23"/>
  <c r="AN438" i="23"/>
  <c r="AN439" i="23"/>
  <c r="AN440" i="23"/>
  <c r="AN441" i="23"/>
  <c r="AN442" i="23"/>
  <c r="AN443" i="23"/>
  <c r="AN444" i="23"/>
  <c r="AN445" i="23"/>
  <c r="AN446" i="23"/>
  <c r="AN447" i="23"/>
  <c r="AN448" i="23"/>
  <c r="AN449" i="23"/>
  <c r="AN450" i="23"/>
  <c r="AN451" i="23"/>
  <c r="AN452" i="23"/>
  <c r="AN453" i="23"/>
  <c r="AN454" i="23"/>
  <c r="AN455" i="23"/>
  <c r="AN456" i="23"/>
  <c r="AN457" i="23"/>
  <c r="AN458" i="23"/>
  <c r="AN459" i="23"/>
  <c r="AN460" i="23"/>
  <c r="AN461" i="23"/>
  <c r="AN462" i="23"/>
  <c r="AN463" i="23"/>
  <c r="AN464" i="23"/>
  <c r="AN465" i="23"/>
  <c r="AN466" i="23"/>
  <c r="AN467" i="23"/>
  <c r="AN468" i="23"/>
  <c r="AN469" i="23"/>
  <c r="AN470" i="23"/>
  <c r="AN471" i="23"/>
  <c r="AN472" i="23"/>
  <c r="AN473" i="23"/>
  <c r="AN474" i="23"/>
  <c r="AN475" i="23"/>
  <c r="AN476" i="23"/>
  <c r="AN477" i="23"/>
  <c r="AN478" i="23"/>
  <c r="AN479" i="23"/>
  <c r="AN480" i="23"/>
  <c r="AN481" i="23"/>
  <c r="AN482" i="23"/>
  <c r="AN483" i="23"/>
  <c r="AN484" i="23"/>
  <c r="AN485" i="23"/>
  <c r="AN486" i="23"/>
  <c r="AN487" i="23"/>
  <c r="AN488" i="23"/>
  <c r="AN489" i="23"/>
  <c r="AN490" i="23"/>
  <c r="AN491" i="23"/>
  <c r="AN492" i="23"/>
  <c r="AN493" i="23"/>
  <c r="AN494" i="23"/>
  <c r="AN495" i="23"/>
  <c r="AN496" i="23"/>
  <c r="AN497" i="23"/>
  <c r="AN498" i="23"/>
  <c r="AN499" i="23"/>
  <c r="AN500" i="23"/>
  <c r="AN501" i="23"/>
  <c r="AN7" i="23"/>
  <c r="AN16" i="2"/>
  <c r="AN64" i="1"/>
  <c r="AN65" i="1"/>
  <c r="AN66" i="1"/>
  <c r="AN67" i="1"/>
  <c r="AN68" i="1"/>
  <c r="AN69" i="1"/>
  <c r="AN15" i="2"/>
  <c r="AN17" i="2"/>
  <c r="AN18" i="2"/>
  <c r="AN19" i="2"/>
  <c r="AN20" i="2"/>
  <c r="AN21" i="2"/>
  <c r="AN70" i="1"/>
  <c r="AN9" i="13"/>
  <c r="AN62" i="1"/>
  <c r="AN7" i="6"/>
  <c r="AN8" i="6"/>
  <c r="AN9" i="6"/>
  <c r="AN184" i="16"/>
  <c r="AN183" i="16"/>
  <c r="AN182" i="16"/>
  <c r="AN181" i="16"/>
  <c r="AN180" i="16"/>
  <c r="AN179" i="16"/>
  <c r="AN178" i="16"/>
  <c r="AN177" i="16"/>
  <c r="AN176" i="16"/>
  <c r="AN175" i="16"/>
  <c r="AN174" i="16"/>
  <c r="AN173" i="16"/>
  <c r="AN172" i="16"/>
  <c r="AN171" i="16"/>
  <c r="AN170" i="16"/>
  <c r="AN169" i="16"/>
  <c r="AN168" i="16"/>
  <c r="AN167" i="16"/>
  <c r="AN166" i="16"/>
  <c r="AN165" i="16"/>
  <c r="AN164" i="16"/>
  <c r="AN163" i="16"/>
  <c r="AN162" i="16"/>
  <c r="AN161" i="16"/>
  <c r="AN160" i="16"/>
  <c r="AN159" i="16"/>
  <c r="AN158" i="16"/>
  <c r="AN157" i="16"/>
  <c r="AN156" i="16"/>
  <c r="AN155" i="16"/>
  <c r="AN154" i="16"/>
  <c r="AN153" i="16"/>
  <c r="AN152" i="16"/>
  <c r="AN151" i="16"/>
  <c r="AN150" i="16"/>
  <c r="AN149" i="16"/>
  <c r="AN148" i="16"/>
  <c r="AN147" i="16"/>
  <c r="AN146" i="16"/>
  <c r="AN145" i="16"/>
  <c r="AN144" i="16"/>
  <c r="AN143" i="16"/>
  <c r="AN142" i="16"/>
  <c r="AN141" i="16"/>
  <c r="AN140" i="16"/>
  <c r="AN139" i="16"/>
  <c r="AN138" i="16"/>
  <c r="AN137" i="16"/>
  <c r="AN136" i="16"/>
  <c r="AN135" i="16"/>
  <c r="AN134" i="16"/>
  <c r="AN133" i="16"/>
  <c r="AN132" i="16"/>
  <c r="AN131" i="16"/>
  <c r="AN130" i="16"/>
  <c r="AN129" i="16"/>
  <c r="AN128" i="16"/>
  <c r="AN127" i="16"/>
  <c r="AN126" i="16"/>
  <c r="AN125" i="16"/>
  <c r="AN124" i="16"/>
  <c r="AN123" i="16"/>
  <c r="AN122" i="16"/>
  <c r="AN121" i="16"/>
  <c r="AN120" i="16"/>
  <c r="AN119" i="16"/>
  <c r="AN118" i="16"/>
  <c r="AN117" i="16"/>
  <c r="AN116" i="16"/>
  <c r="AN115" i="16"/>
  <c r="AN114" i="16"/>
  <c r="AN113" i="16"/>
  <c r="AN112" i="16"/>
  <c r="AN111" i="16"/>
  <c r="AN110" i="16"/>
  <c r="AN109" i="16"/>
  <c r="AN108" i="16"/>
  <c r="AN107" i="16"/>
  <c r="AN106" i="16"/>
  <c r="AN105" i="16"/>
  <c r="AN104" i="16"/>
  <c r="AN103" i="16"/>
  <c r="AN102" i="16"/>
  <c r="AN101" i="16"/>
  <c r="AN100" i="16"/>
  <c r="AN99" i="16"/>
  <c r="AN98" i="16"/>
  <c r="AN97" i="16"/>
  <c r="AN96" i="16"/>
  <c r="AN95" i="16"/>
  <c r="AN94" i="16"/>
  <c r="AN93" i="16"/>
  <c r="AN92" i="16"/>
  <c r="AN91" i="16"/>
  <c r="AN90" i="16"/>
  <c r="AN89" i="16"/>
  <c r="AN88" i="16"/>
  <c r="AN87" i="16"/>
  <c r="AN86" i="16"/>
  <c r="AN85" i="16"/>
  <c r="AN84" i="16"/>
  <c r="AN83" i="16"/>
  <c r="AN82" i="16"/>
  <c r="AN81" i="16"/>
  <c r="AN80" i="16"/>
  <c r="AN79" i="16"/>
  <c r="AN78" i="16"/>
  <c r="AN77" i="16"/>
  <c r="AN76" i="16"/>
  <c r="AN75" i="16"/>
  <c r="AN74" i="16"/>
  <c r="AN73" i="16"/>
  <c r="AN72" i="16"/>
  <c r="AN71" i="16"/>
  <c r="AN70" i="16"/>
  <c r="AN69" i="16"/>
  <c r="AN68" i="16"/>
  <c r="AN67" i="16"/>
  <c r="AN66" i="16"/>
  <c r="AN65" i="16"/>
  <c r="AN64" i="16"/>
  <c r="AN63" i="16"/>
  <c r="AN62" i="16"/>
  <c r="AN61" i="16"/>
  <c r="AN60" i="16"/>
  <c r="AN59" i="16"/>
  <c r="AN58" i="16"/>
  <c r="AN57" i="16"/>
  <c r="AN56" i="16"/>
  <c r="AN55" i="16"/>
  <c r="AN54" i="16"/>
  <c r="AN53" i="16"/>
  <c r="AN52" i="16"/>
  <c r="AN51" i="16"/>
  <c r="AN50" i="16"/>
  <c r="AN49" i="16"/>
  <c r="AN48" i="16"/>
  <c r="AN47" i="16"/>
  <c r="AN46" i="16"/>
  <c r="AN45" i="16"/>
  <c r="AN44" i="16"/>
  <c r="AN43" i="16"/>
  <c r="AN42" i="16"/>
  <c r="AN41" i="16"/>
  <c r="AN40" i="16"/>
  <c r="AN39" i="16"/>
  <c r="AN38" i="16"/>
  <c r="AN37" i="16"/>
  <c r="AN36" i="16"/>
  <c r="AN35" i="16"/>
  <c r="AN34" i="16"/>
  <c r="AN33" i="16"/>
  <c r="AN32" i="16"/>
  <c r="AN31" i="16"/>
  <c r="AN30" i="16"/>
  <c r="AN29" i="16"/>
  <c r="AN28" i="16"/>
  <c r="AN27" i="16"/>
  <c r="AN26" i="16"/>
  <c r="AN25" i="16"/>
  <c r="AN24" i="16"/>
  <c r="AN23" i="16"/>
  <c r="AN22" i="16"/>
  <c r="AN21" i="16"/>
  <c r="AN20" i="16"/>
  <c r="AN19" i="16"/>
  <c r="AN18" i="16"/>
  <c r="AN17" i="16"/>
  <c r="AN16" i="16"/>
  <c r="AN15" i="16"/>
  <c r="AN14" i="16"/>
  <c r="AN13" i="16"/>
  <c r="AN12" i="16"/>
  <c r="AN11" i="16"/>
  <c r="AN10" i="16"/>
  <c r="AN9" i="16"/>
  <c r="AN8" i="16"/>
  <c r="AN7" i="16"/>
  <c r="AN236" i="12"/>
  <c r="AN235" i="12"/>
  <c r="AN234" i="12"/>
  <c r="AN233" i="12"/>
  <c r="AN232" i="12"/>
  <c r="AN231" i="12"/>
  <c r="AN230" i="12"/>
  <c r="AN229" i="12"/>
  <c r="AN228" i="12"/>
  <c r="AN227" i="12"/>
  <c r="AN226" i="12"/>
  <c r="AN225" i="12"/>
  <c r="AN224" i="12"/>
  <c r="AN223" i="12"/>
  <c r="AN222" i="12"/>
  <c r="AN221" i="12"/>
  <c r="AN220" i="12"/>
  <c r="AN219" i="12"/>
  <c r="AN218" i="12"/>
  <c r="AN217" i="12"/>
  <c r="AN216" i="12"/>
  <c r="AN215" i="12"/>
  <c r="AN214" i="12"/>
  <c r="AN213" i="12"/>
  <c r="AN212" i="12"/>
  <c r="AN211" i="12"/>
  <c r="AN210" i="12"/>
  <c r="AN209" i="12"/>
  <c r="AN208" i="12"/>
  <c r="AN207" i="12"/>
  <c r="AN206" i="12"/>
  <c r="AN205" i="12"/>
  <c r="AN204" i="12"/>
  <c r="AN203" i="12"/>
  <c r="AN202" i="12"/>
  <c r="AN201" i="12"/>
  <c r="AN200" i="12"/>
  <c r="AN199" i="12"/>
  <c r="AN198" i="12"/>
  <c r="AN197" i="12"/>
  <c r="AN196" i="12"/>
  <c r="AN195" i="12"/>
  <c r="AN194" i="12"/>
  <c r="AN193" i="12"/>
  <c r="AN192" i="12"/>
  <c r="AN191" i="12"/>
  <c r="AN190" i="12"/>
  <c r="AN189" i="12"/>
  <c r="AN188" i="12"/>
  <c r="AN187" i="12"/>
  <c r="AN186" i="12"/>
  <c r="AN185" i="12"/>
  <c r="AN184" i="12"/>
  <c r="AN183" i="12"/>
  <c r="AN182" i="12"/>
  <c r="AN181" i="12"/>
  <c r="AN180" i="12"/>
  <c r="AN179" i="12"/>
  <c r="AN178" i="12"/>
  <c r="AN177" i="12"/>
  <c r="AN176" i="12"/>
  <c r="AN175" i="12"/>
  <c r="AN174" i="12"/>
  <c r="AN173" i="12"/>
  <c r="AN172" i="12"/>
  <c r="AN171" i="12"/>
  <c r="AN170" i="12"/>
  <c r="AN169" i="12"/>
  <c r="AN168" i="12"/>
  <c r="AN167" i="12"/>
  <c r="AN166" i="12"/>
  <c r="AN165" i="12"/>
  <c r="AN164" i="12"/>
  <c r="AN163" i="12"/>
  <c r="AN162" i="12"/>
  <c r="AN161" i="12"/>
  <c r="AN160" i="12"/>
  <c r="AN159" i="12"/>
  <c r="AN158" i="12"/>
  <c r="AN157" i="12"/>
  <c r="AN156" i="12"/>
  <c r="AN155" i="12"/>
  <c r="AN154" i="12"/>
  <c r="AN153" i="12"/>
  <c r="AN152" i="12"/>
  <c r="AN151" i="12"/>
  <c r="AN150" i="12"/>
  <c r="AN149" i="12"/>
  <c r="AN148" i="12"/>
  <c r="AN147" i="12"/>
  <c r="AN146" i="12"/>
  <c r="AN145" i="12"/>
  <c r="AN144" i="12"/>
  <c r="AN143" i="12"/>
  <c r="AN142" i="12"/>
  <c r="AN141" i="12"/>
  <c r="AN140" i="12"/>
  <c r="AN139" i="12"/>
  <c r="AN138" i="12"/>
  <c r="AN137" i="12"/>
  <c r="AN136" i="12"/>
  <c r="AN135" i="12"/>
  <c r="AN134" i="12"/>
  <c r="AN133" i="12"/>
  <c r="AN132" i="12"/>
  <c r="AN131" i="12"/>
  <c r="AN130" i="12"/>
  <c r="AN129" i="12"/>
  <c r="AN128" i="12"/>
  <c r="AN127" i="12"/>
  <c r="AN126" i="12"/>
  <c r="AN125" i="12"/>
  <c r="AN124" i="12"/>
  <c r="AN123" i="12"/>
  <c r="AN122" i="12"/>
  <c r="AN121" i="12"/>
  <c r="AN120" i="12"/>
  <c r="AN119" i="12"/>
  <c r="AN118" i="12"/>
  <c r="AN117" i="12"/>
  <c r="AN116" i="12"/>
  <c r="AN115" i="12"/>
  <c r="AN114" i="12"/>
  <c r="AN113" i="12"/>
  <c r="AN112" i="12"/>
  <c r="AN111" i="12"/>
  <c r="AN110" i="12"/>
  <c r="AN109" i="12"/>
  <c r="AN108" i="12"/>
  <c r="AN107" i="12"/>
  <c r="AN106" i="12"/>
  <c r="AN105" i="12"/>
  <c r="AN104" i="12"/>
  <c r="AN103" i="12"/>
  <c r="AN102" i="12"/>
  <c r="AN101" i="12"/>
  <c r="AN100" i="12"/>
  <c r="AN99" i="12"/>
  <c r="AN98" i="12"/>
  <c r="AN97" i="12"/>
  <c r="AN96" i="12"/>
  <c r="AN95" i="12"/>
  <c r="AN94" i="12"/>
  <c r="AN93" i="12"/>
  <c r="AN92" i="12"/>
  <c r="AN91" i="12"/>
  <c r="AN90" i="12"/>
  <c r="AN89" i="12"/>
  <c r="AN88" i="12"/>
  <c r="AN87" i="12"/>
  <c r="AN86" i="12"/>
  <c r="AN85" i="12"/>
  <c r="AN84" i="12"/>
  <c r="AN83" i="12"/>
  <c r="AN82" i="12"/>
  <c r="AN81" i="12"/>
  <c r="AN80" i="12"/>
  <c r="AN79" i="12"/>
  <c r="AN78" i="12"/>
  <c r="AN77" i="12"/>
  <c r="AN76" i="12"/>
  <c r="AN75" i="12"/>
  <c r="AN74" i="12"/>
  <c r="AN73" i="12"/>
  <c r="AN72" i="12"/>
  <c r="AN71" i="12"/>
  <c r="AN70" i="12"/>
  <c r="AN69" i="12"/>
  <c r="AN68" i="12"/>
  <c r="AN67" i="12"/>
  <c r="AN66" i="12"/>
  <c r="AN65" i="12"/>
  <c r="AN64" i="12"/>
  <c r="AN63" i="12"/>
  <c r="AN62" i="12"/>
  <c r="AN61" i="12"/>
  <c r="AN60" i="12"/>
  <c r="AN59" i="12"/>
  <c r="AN58" i="12"/>
  <c r="AN57" i="12"/>
  <c r="AN56" i="12"/>
  <c r="AN55" i="12"/>
  <c r="AN54" i="12"/>
  <c r="AN53" i="12"/>
  <c r="AN52" i="12"/>
  <c r="AN51" i="12"/>
  <c r="AN50" i="12"/>
  <c r="AN49" i="12"/>
  <c r="AN48" i="12"/>
  <c r="AN47" i="12"/>
  <c r="AN46" i="12"/>
  <c r="AN45" i="12"/>
  <c r="AN44" i="12"/>
  <c r="AN43" i="12"/>
  <c r="AN42" i="12"/>
  <c r="AN41" i="12"/>
  <c r="AN40" i="12"/>
  <c r="AN39" i="12"/>
  <c r="AN38" i="12"/>
  <c r="AN37" i="12"/>
  <c r="AN36" i="12"/>
  <c r="AN35" i="12"/>
  <c r="AN34" i="12"/>
  <c r="AN33" i="12"/>
  <c r="AN32" i="12"/>
  <c r="AN31" i="12"/>
  <c r="AN30" i="12"/>
  <c r="AN29" i="12"/>
  <c r="AN28" i="12"/>
  <c r="AN27" i="12"/>
  <c r="AN26" i="12"/>
  <c r="AN25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N9" i="12"/>
  <c r="AN8" i="12"/>
  <c r="AN7" i="12"/>
  <c r="AN258" i="21"/>
  <c r="AN257" i="21"/>
  <c r="AN256" i="21"/>
  <c r="AN255" i="21"/>
  <c r="AN254" i="21"/>
  <c r="AN253" i="21"/>
  <c r="AN252" i="21"/>
  <c r="AN251" i="21"/>
  <c r="AN250" i="21"/>
  <c r="AN249" i="21"/>
  <c r="AN248" i="21"/>
  <c r="AN247" i="21"/>
  <c r="AN246" i="21"/>
  <c r="AN245" i="21"/>
  <c r="AN244" i="21"/>
  <c r="AN243" i="21"/>
  <c r="AN242" i="21"/>
  <c r="AN241" i="21"/>
  <c r="AN240" i="21"/>
  <c r="AN239" i="21"/>
  <c r="AN238" i="21"/>
  <c r="AN237" i="21"/>
  <c r="AN236" i="21"/>
  <c r="AN235" i="21"/>
  <c r="AN234" i="21"/>
  <c r="AN233" i="21"/>
  <c r="AN232" i="21"/>
  <c r="AN231" i="21"/>
  <c r="AN230" i="21"/>
  <c r="AN229" i="21"/>
  <c r="AN228" i="21"/>
  <c r="AN227" i="21"/>
  <c r="AN226" i="21"/>
  <c r="AN225" i="21"/>
  <c r="AN224" i="21"/>
  <c r="AN223" i="21"/>
  <c r="AN222" i="21"/>
  <c r="AN221" i="21"/>
  <c r="AN220" i="21"/>
  <c r="AN219" i="21"/>
  <c r="AN218" i="21"/>
  <c r="AN217" i="21"/>
  <c r="AN216" i="21"/>
  <c r="AN215" i="21"/>
  <c r="AN214" i="21"/>
  <c r="AN213" i="21"/>
  <c r="AN212" i="21"/>
  <c r="AN211" i="21"/>
  <c r="AN210" i="21"/>
  <c r="AN209" i="21"/>
  <c r="AN208" i="21"/>
  <c r="AN207" i="21"/>
  <c r="AN206" i="21"/>
  <c r="AN205" i="21"/>
  <c r="AN204" i="21"/>
  <c r="AN203" i="21"/>
  <c r="AN202" i="21"/>
  <c r="AN201" i="21"/>
  <c r="AN200" i="21"/>
  <c r="AN199" i="21"/>
  <c r="AN198" i="21"/>
  <c r="AN197" i="21"/>
  <c r="AN196" i="21"/>
  <c r="AN195" i="21"/>
  <c r="AN194" i="21"/>
  <c r="AN193" i="21"/>
  <c r="AN192" i="21"/>
  <c r="AN191" i="21"/>
  <c r="AN190" i="21"/>
  <c r="AN189" i="21"/>
  <c r="AN188" i="21"/>
  <c r="AN187" i="21"/>
  <c r="AN186" i="21"/>
  <c r="AN185" i="21"/>
  <c r="AN184" i="21"/>
  <c r="AN183" i="21"/>
  <c r="AN182" i="21"/>
  <c r="AN181" i="21"/>
  <c r="AN180" i="21"/>
  <c r="AN179" i="21"/>
  <c r="AN178" i="21"/>
  <c r="AN177" i="21"/>
  <c r="AN176" i="21"/>
  <c r="AN175" i="21"/>
  <c r="AN174" i="21"/>
  <c r="AN173" i="21"/>
  <c r="AN172" i="21"/>
  <c r="AN171" i="21"/>
  <c r="AN170" i="21"/>
  <c r="AN169" i="21"/>
  <c r="AN168" i="21"/>
  <c r="AN167" i="21"/>
  <c r="AN166" i="21"/>
  <c r="AN165" i="21"/>
  <c r="AN164" i="21"/>
  <c r="AN163" i="21"/>
  <c r="AN162" i="21"/>
  <c r="AN161" i="21"/>
  <c r="AN160" i="21"/>
  <c r="AN159" i="21"/>
  <c r="AN158" i="21"/>
  <c r="AN157" i="21"/>
  <c r="AN156" i="21"/>
  <c r="AN155" i="21"/>
  <c r="AN154" i="21"/>
  <c r="AN153" i="21"/>
  <c r="AN152" i="21"/>
  <c r="AN151" i="21"/>
  <c r="AN150" i="21"/>
  <c r="AN149" i="21"/>
  <c r="AN148" i="21"/>
  <c r="AN147" i="21"/>
  <c r="AN146" i="21"/>
  <c r="AN145" i="21"/>
  <c r="AN144" i="21"/>
  <c r="AN143" i="21"/>
  <c r="AN142" i="21"/>
  <c r="AN141" i="21"/>
  <c r="AN140" i="21"/>
  <c r="AN139" i="21"/>
  <c r="AN138" i="21"/>
  <c r="AN137" i="21"/>
  <c r="AN136" i="21"/>
  <c r="AN135" i="21"/>
  <c r="AN134" i="21"/>
  <c r="AN133" i="21"/>
  <c r="AN132" i="21"/>
  <c r="AN131" i="21"/>
  <c r="AN130" i="21"/>
  <c r="AN129" i="21"/>
  <c r="AN128" i="21"/>
  <c r="AN127" i="21"/>
  <c r="AN126" i="21"/>
  <c r="AN125" i="21"/>
  <c r="AN124" i="21"/>
  <c r="AN123" i="21"/>
  <c r="AN122" i="21"/>
  <c r="AN121" i="21"/>
  <c r="AN120" i="21"/>
  <c r="AN119" i="21"/>
  <c r="AN118" i="21"/>
  <c r="AN117" i="21"/>
  <c r="AN116" i="21"/>
  <c r="AN115" i="21"/>
  <c r="AN114" i="21"/>
  <c r="AN113" i="21"/>
  <c r="AN112" i="21"/>
  <c r="AN111" i="21"/>
  <c r="AN110" i="21"/>
  <c r="AN109" i="21"/>
  <c r="AN108" i="21"/>
  <c r="AN107" i="21"/>
  <c r="AN106" i="21"/>
  <c r="AN105" i="21"/>
  <c r="AN104" i="21"/>
  <c r="AN103" i="21"/>
  <c r="AN102" i="21"/>
  <c r="AN101" i="21"/>
  <c r="AN100" i="21"/>
  <c r="AN99" i="21"/>
  <c r="AN98" i="21"/>
  <c r="AN97" i="21"/>
  <c r="AN96" i="21"/>
  <c r="AN95" i="21"/>
  <c r="AN94" i="21"/>
  <c r="AN93" i="21"/>
  <c r="AN92" i="21"/>
  <c r="AN91" i="21"/>
  <c r="AN90" i="21"/>
  <c r="AN89" i="21"/>
  <c r="AN88" i="21"/>
  <c r="AN87" i="21"/>
  <c r="AN86" i="21"/>
  <c r="AN85" i="21"/>
  <c r="AN84" i="21"/>
  <c r="AN83" i="21"/>
  <c r="AN82" i="21"/>
  <c r="AN81" i="21"/>
  <c r="AN80" i="21"/>
  <c r="AN79" i="21"/>
  <c r="AN78" i="21"/>
  <c r="AN77" i="21"/>
  <c r="AN76" i="21"/>
  <c r="AN75" i="21"/>
  <c r="AN74" i="21"/>
  <c r="AN73" i="21"/>
  <c r="AN72" i="21"/>
  <c r="AN71" i="21"/>
  <c r="AN70" i="21"/>
  <c r="AN69" i="21"/>
  <c r="AN68" i="21"/>
  <c r="AN67" i="21"/>
  <c r="AN66" i="21"/>
  <c r="AN65" i="21"/>
  <c r="AN64" i="21"/>
  <c r="AN63" i="21"/>
  <c r="AN62" i="21"/>
  <c r="AN61" i="21"/>
  <c r="AN60" i="21"/>
  <c r="AN59" i="21"/>
  <c r="AN58" i="21"/>
  <c r="AN57" i="21"/>
  <c r="AN56" i="21"/>
  <c r="AN55" i="21"/>
  <c r="AN54" i="21"/>
  <c r="AN53" i="21"/>
  <c r="AN52" i="21"/>
  <c r="AN51" i="21"/>
  <c r="AN50" i="21"/>
  <c r="AN49" i="21"/>
  <c r="AN48" i="21"/>
  <c r="AN47" i="21"/>
  <c r="AN46" i="21"/>
  <c r="AN45" i="21"/>
  <c r="AN44" i="21"/>
  <c r="AN43" i="21"/>
  <c r="AN42" i="21"/>
  <c r="AN41" i="21"/>
  <c r="AN40" i="21"/>
  <c r="AN39" i="21"/>
  <c r="AN38" i="21"/>
  <c r="AN37" i="21"/>
  <c r="AN36" i="21"/>
  <c r="AN35" i="21"/>
  <c r="AN34" i="21"/>
  <c r="AN33" i="21"/>
  <c r="AN32" i="21"/>
  <c r="AN31" i="21"/>
  <c r="AN30" i="21"/>
  <c r="AN29" i="21"/>
  <c r="AN28" i="21"/>
  <c r="AN27" i="21"/>
  <c r="AN26" i="21"/>
  <c r="AN25" i="21"/>
  <c r="AN24" i="21"/>
  <c r="AN23" i="21"/>
  <c r="AN22" i="21"/>
  <c r="AN21" i="21"/>
  <c r="AN20" i="21"/>
  <c r="AN19" i="21"/>
  <c r="AN18" i="21"/>
  <c r="AN17" i="21"/>
  <c r="AN16" i="21"/>
  <c r="AN15" i="21"/>
  <c r="AN14" i="21"/>
  <c r="AN13" i="21"/>
  <c r="AN12" i="21"/>
  <c r="AN11" i="21"/>
  <c r="AN10" i="21"/>
  <c r="AN9" i="21"/>
  <c r="AN8" i="21"/>
  <c r="AN7" i="21"/>
  <c r="AN321" i="3"/>
  <c r="AN320" i="3"/>
  <c r="AN319" i="3"/>
  <c r="AN318" i="3"/>
  <c r="AN317" i="3"/>
  <c r="AN316" i="3"/>
  <c r="AN315" i="3"/>
  <c r="AN314" i="3"/>
  <c r="AN313" i="3"/>
  <c r="AN312" i="3"/>
  <c r="AN311" i="3"/>
  <c r="AN310" i="3"/>
  <c r="AN309" i="3"/>
  <c r="AN308" i="3"/>
  <c r="AN307" i="3"/>
  <c r="AN306" i="3"/>
  <c r="AN305" i="3"/>
  <c r="AN304" i="3"/>
  <c r="AN303" i="3"/>
  <c r="AN302" i="3"/>
  <c r="AN301" i="3"/>
  <c r="AN300" i="3"/>
  <c r="AN299" i="3"/>
  <c r="AN298" i="3"/>
  <c r="AN297" i="3"/>
  <c r="AN296" i="3"/>
  <c r="AN295" i="3"/>
  <c r="AN294" i="3"/>
  <c r="AN293" i="3"/>
  <c r="AN292" i="3"/>
  <c r="AN291" i="3"/>
  <c r="AN290" i="3"/>
  <c r="AN289" i="3"/>
  <c r="AN288" i="3"/>
  <c r="AN287" i="3"/>
  <c r="AN286" i="3"/>
  <c r="AN285" i="3"/>
  <c r="AN284" i="3"/>
  <c r="AN283" i="3"/>
  <c r="AN282" i="3"/>
  <c r="AN281" i="3"/>
  <c r="AN280" i="3"/>
  <c r="AN279" i="3"/>
  <c r="AN278" i="3"/>
  <c r="AN277" i="3"/>
  <c r="AN276" i="3"/>
  <c r="AN275" i="3"/>
  <c r="AN274" i="3"/>
  <c r="AN273" i="3"/>
  <c r="AN272" i="3"/>
  <c r="AN271" i="3"/>
  <c r="AN270" i="3"/>
  <c r="AN269" i="3"/>
  <c r="AN268" i="3"/>
  <c r="AN267" i="3"/>
  <c r="AN266" i="3"/>
  <c r="AN265" i="3"/>
  <c r="AN264" i="3"/>
  <c r="AN263" i="3"/>
  <c r="AN262" i="3"/>
  <c r="AN261" i="3"/>
  <c r="AN260" i="3"/>
  <c r="AN259" i="3"/>
  <c r="AN258" i="3"/>
  <c r="AN257" i="3"/>
  <c r="AN256" i="3"/>
  <c r="AN255" i="3"/>
  <c r="AN254" i="3"/>
  <c r="AN253" i="3"/>
  <c r="AN252" i="3"/>
  <c r="AN251" i="3"/>
  <c r="AN250" i="3"/>
  <c r="AN249" i="3"/>
  <c r="AN248" i="3"/>
  <c r="AN247" i="3"/>
  <c r="AN246" i="3"/>
  <c r="AN245" i="3"/>
  <c r="AN244" i="3"/>
  <c r="AN243" i="3"/>
  <c r="AN242" i="3"/>
  <c r="AN241" i="3"/>
  <c r="AN240" i="3"/>
  <c r="AN239" i="3"/>
  <c r="AN238" i="3"/>
  <c r="AN237" i="3"/>
  <c r="AN236" i="3"/>
  <c r="AN235" i="3"/>
  <c r="AN234" i="3"/>
  <c r="AN233" i="3"/>
  <c r="AN232" i="3"/>
  <c r="AN231" i="3"/>
  <c r="AN230" i="3"/>
  <c r="AN229" i="3"/>
  <c r="AN228" i="3"/>
  <c r="AN227" i="3"/>
  <c r="AN226" i="3"/>
  <c r="AN225" i="3"/>
  <c r="AN224" i="3"/>
  <c r="AN223" i="3"/>
  <c r="AN222" i="3"/>
  <c r="AN221" i="3"/>
  <c r="AN220" i="3"/>
  <c r="AN219" i="3"/>
  <c r="AN218" i="3"/>
  <c r="AN217" i="3"/>
  <c r="AN216" i="3"/>
  <c r="AN215" i="3"/>
  <c r="AN214" i="3"/>
  <c r="AN213" i="3"/>
  <c r="AN212" i="3"/>
  <c r="AN211" i="3"/>
  <c r="AN210" i="3"/>
  <c r="AN209" i="3"/>
  <c r="AN208" i="3"/>
  <c r="AN207" i="3"/>
  <c r="AN206" i="3"/>
  <c r="AN205" i="3"/>
  <c r="AN204" i="3"/>
  <c r="AN203" i="3"/>
  <c r="AN202" i="3"/>
  <c r="AN201" i="3"/>
  <c r="AN200" i="3"/>
  <c r="AN199" i="3"/>
  <c r="AN198" i="3"/>
  <c r="AN197" i="3"/>
  <c r="AN196" i="3"/>
  <c r="AN195" i="3"/>
  <c r="AN194" i="3"/>
  <c r="AN193" i="3"/>
  <c r="AN192" i="3"/>
  <c r="AN191" i="3"/>
  <c r="AN190" i="3"/>
  <c r="AN189" i="3"/>
  <c r="AN188" i="3"/>
  <c r="AN187" i="3"/>
  <c r="AN186" i="3"/>
  <c r="AN185" i="3"/>
  <c r="AN184" i="3"/>
  <c r="AN183" i="3"/>
  <c r="AN182" i="3"/>
  <c r="AN181" i="3"/>
  <c r="AN180" i="3"/>
  <c r="AN179" i="3"/>
  <c r="AN178" i="3"/>
  <c r="AN177" i="3"/>
  <c r="AN176" i="3"/>
  <c r="AN175" i="3"/>
  <c r="AN174" i="3"/>
  <c r="AN173" i="3"/>
  <c r="AN172" i="3"/>
  <c r="AN171" i="3"/>
  <c r="AN170" i="3"/>
  <c r="AN169" i="3"/>
  <c r="AN168" i="3"/>
  <c r="AN167" i="3"/>
  <c r="AN166" i="3"/>
  <c r="AN165" i="3"/>
  <c r="AN164" i="3"/>
  <c r="AN163" i="3"/>
  <c r="AN162" i="3"/>
  <c r="AN161" i="3"/>
  <c r="AN160" i="3"/>
  <c r="AN159" i="3"/>
  <c r="AN158" i="3"/>
  <c r="AN157" i="3"/>
  <c r="AN156" i="3"/>
  <c r="AN155" i="3"/>
  <c r="AN154" i="3"/>
  <c r="AN153" i="3"/>
  <c r="AN152" i="3"/>
  <c r="AN151" i="3"/>
  <c r="AN150" i="3"/>
  <c r="AN149" i="3"/>
  <c r="AN148" i="3"/>
  <c r="AN147" i="3"/>
  <c r="AN146" i="3"/>
  <c r="AN145" i="3"/>
  <c r="AN144" i="3"/>
  <c r="AN143" i="3"/>
  <c r="AN142" i="3"/>
  <c r="AN141" i="3"/>
  <c r="AN140" i="3"/>
  <c r="AN139" i="3"/>
  <c r="AN138" i="3"/>
  <c r="AN137" i="3"/>
  <c r="AN136" i="3"/>
  <c r="AN135" i="3"/>
  <c r="AN134" i="3"/>
  <c r="AN133" i="3"/>
  <c r="AN132" i="3"/>
  <c r="AN131" i="3"/>
  <c r="AN130" i="3"/>
  <c r="AN129" i="3"/>
  <c r="AN128" i="3"/>
  <c r="AN127" i="3"/>
  <c r="AN126" i="3"/>
  <c r="AN125" i="3"/>
  <c r="AN124" i="3"/>
  <c r="AN123" i="3"/>
  <c r="AN122" i="3"/>
  <c r="AN121" i="3"/>
  <c r="AN120" i="3"/>
  <c r="AN119" i="3"/>
  <c r="AN118" i="3"/>
  <c r="AN117" i="3"/>
  <c r="AN116" i="3"/>
  <c r="AN115" i="3"/>
  <c r="AN114" i="3"/>
  <c r="AN113" i="3"/>
  <c r="AN112" i="3"/>
  <c r="AN111" i="3"/>
  <c r="AN110" i="3"/>
  <c r="AN109" i="3"/>
  <c r="AN108" i="3"/>
  <c r="AN107" i="3"/>
  <c r="AN106" i="3"/>
  <c r="AN105" i="3"/>
  <c r="AN104" i="3"/>
  <c r="AN103" i="3"/>
  <c r="AN102" i="3"/>
  <c r="AN101" i="3"/>
  <c r="AN100" i="3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7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213" i="4"/>
  <c r="AN212" i="4"/>
  <c r="AN211" i="4"/>
  <c r="AN210" i="4"/>
  <c r="AN209" i="4"/>
  <c r="AN208" i="4"/>
  <c r="AN207" i="4"/>
  <c r="AN206" i="4"/>
  <c r="AN205" i="4"/>
  <c r="AN204" i="4"/>
  <c r="AN203" i="4"/>
  <c r="AN202" i="4"/>
  <c r="AN201" i="4"/>
  <c r="AN200" i="4"/>
  <c r="AN199" i="4"/>
  <c r="AN198" i="4"/>
  <c r="AN197" i="4"/>
  <c r="AN196" i="4"/>
  <c r="AN195" i="4"/>
  <c r="AN194" i="4"/>
  <c r="AN193" i="4"/>
  <c r="AN192" i="4"/>
  <c r="AN191" i="4"/>
  <c r="AN190" i="4"/>
  <c r="AN189" i="4"/>
  <c r="AN188" i="4"/>
  <c r="AN187" i="4"/>
  <c r="AN186" i="4"/>
  <c r="AN185" i="4"/>
  <c r="AN184" i="4"/>
  <c r="AN183" i="4"/>
  <c r="AN182" i="4"/>
  <c r="AN181" i="4"/>
  <c r="AN180" i="4"/>
  <c r="AN179" i="4"/>
  <c r="AN178" i="4"/>
  <c r="AN177" i="4"/>
  <c r="AN176" i="4"/>
  <c r="AN175" i="4"/>
  <c r="AN174" i="4"/>
  <c r="AN173" i="4"/>
  <c r="AN172" i="4"/>
  <c r="AN171" i="4"/>
  <c r="AN170" i="4"/>
  <c r="AN169" i="4"/>
  <c r="AN168" i="4"/>
  <c r="AN167" i="4"/>
  <c r="AN166" i="4"/>
  <c r="AN165" i="4"/>
  <c r="AN164" i="4"/>
  <c r="AN163" i="4"/>
  <c r="AN162" i="4"/>
  <c r="AN161" i="4"/>
  <c r="AN160" i="4"/>
  <c r="AN159" i="4"/>
  <c r="AN158" i="4"/>
  <c r="AN157" i="4"/>
  <c r="AN156" i="4"/>
  <c r="AN155" i="4"/>
  <c r="AN154" i="4"/>
  <c r="AN153" i="4"/>
  <c r="AN152" i="4"/>
  <c r="AN151" i="4"/>
  <c r="AN150" i="4"/>
  <c r="AN149" i="4"/>
  <c r="AN148" i="4"/>
  <c r="AN147" i="4"/>
  <c r="AN146" i="4"/>
  <c r="AN145" i="4"/>
  <c r="AN144" i="4"/>
  <c r="AN143" i="4"/>
  <c r="AN142" i="4"/>
  <c r="AN141" i="4"/>
  <c r="AN140" i="4"/>
  <c r="AN139" i="4"/>
  <c r="AN138" i="4"/>
  <c r="AN137" i="4"/>
  <c r="AN136" i="4"/>
  <c r="AN135" i="4"/>
  <c r="AN134" i="4"/>
  <c r="AN133" i="4"/>
  <c r="AN132" i="4"/>
  <c r="AN131" i="4"/>
  <c r="AN130" i="4"/>
  <c r="AN129" i="4"/>
  <c r="AN128" i="4"/>
  <c r="AN127" i="4"/>
  <c r="AN126" i="4"/>
  <c r="AN125" i="4"/>
  <c r="AN124" i="4"/>
  <c r="AN123" i="4"/>
  <c r="AN122" i="4"/>
  <c r="AN121" i="4"/>
  <c r="AN120" i="4"/>
  <c r="AN119" i="4"/>
  <c r="AN118" i="4"/>
  <c r="AN117" i="4"/>
  <c r="AN116" i="4"/>
  <c r="AN115" i="4"/>
  <c r="AN114" i="4"/>
  <c r="AN113" i="4"/>
  <c r="AN112" i="4"/>
  <c r="AN111" i="4"/>
  <c r="AN110" i="4"/>
  <c r="AN109" i="4"/>
  <c r="AN108" i="4"/>
  <c r="AN107" i="4"/>
  <c r="AN106" i="4"/>
  <c r="AN105" i="4"/>
  <c r="AN104" i="4"/>
  <c r="AN103" i="4"/>
  <c r="AN102" i="4"/>
  <c r="AN101" i="4"/>
  <c r="AN100" i="4"/>
  <c r="AN99" i="4"/>
  <c r="AN98" i="4"/>
  <c r="AN97" i="4"/>
  <c r="AN96" i="4"/>
  <c r="AN95" i="4"/>
  <c r="AN94" i="4"/>
  <c r="AN93" i="4"/>
  <c r="AN92" i="4"/>
  <c r="AN91" i="4"/>
  <c r="AN90" i="4"/>
  <c r="AN89" i="4"/>
  <c r="AN88" i="4"/>
  <c r="AN87" i="4"/>
  <c r="AN86" i="4"/>
  <c r="AN85" i="4"/>
  <c r="AN84" i="4"/>
  <c r="AN83" i="4"/>
  <c r="AN82" i="4"/>
  <c r="AN81" i="4"/>
  <c r="AN80" i="4"/>
  <c r="AN79" i="4"/>
  <c r="AN78" i="4"/>
  <c r="AN77" i="4"/>
  <c r="AN76" i="4"/>
  <c r="AN75" i="4"/>
  <c r="AN74" i="4"/>
  <c r="AN73" i="4"/>
  <c r="AN72" i="4"/>
  <c r="AN71" i="4"/>
  <c r="AN70" i="4"/>
  <c r="AN69" i="4"/>
  <c r="AN68" i="4"/>
  <c r="AN67" i="4"/>
  <c r="AN66" i="4"/>
  <c r="AN65" i="4"/>
  <c r="AN64" i="4"/>
  <c r="AN63" i="4"/>
  <c r="AN62" i="4"/>
  <c r="AN61" i="4"/>
  <c r="AN60" i="4"/>
  <c r="AN59" i="4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3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30" i="4"/>
  <c r="AN29" i="4"/>
  <c r="AN28" i="4"/>
  <c r="AN27" i="4"/>
  <c r="AN26" i="4"/>
  <c r="AN25" i="4"/>
  <c r="AN24" i="4"/>
  <c r="AN23" i="4"/>
  <c r="AN22" i="4"/>
  <c r="AN21" i="4"/>
  <c r="AN20" i="4"/>
  <c r="AN19" i="4"/>
  <c r="AN18" i="4"/>
  <c r="AN17" i="4"/>
  <c r="AN16" i="4"/>
  <c r="AN15" i="4"/>
  <c r="AN14" i="4"/>
  <c r="AN13" i="4"/>
  <c r="AN12" i="4"/>
  <c r="AN11" i="4"/>
  <c r="AN10" i="4"/>
  <c r="AN9" i="4"/>
  <c r="AN8" i="4"/>
  <c r="AN7" i="4"/>
  <c r="AN139" i="20"/>
  <c r="AN138" i="20"/>
  <c r="AN137" i="20"/>
  <c r="AN136" i="20"/>
  <c r="AN135" i="20"/>
  <c r="AN134" i="20"/>
  <c r="AN133" i="20"/>
  <c r="AN132" i="20"/>
  <c r="AN131" i="20"/>
  <c r="AN130" i="20"/>
  <c r="AN129" i="20"/>
  <c r="AN128" i="20"/>
  <c r="AN127" i="20"/>
  <c r="AN126" i="20"/>
  <c r="AN125" i="20"/>
  <c r="AN124" i="20"/>
  <c r="AN123" i="20"/>
  <c r="AN122" i="20"/>
  <c r="AN121" i="20"/>
  <c r="AN120" i="20"/>
  <c r="AN119" i="20"/>
  <c r="AN118" i="20"/>
  <c r="AN117" i="20"/>
  <c r="AN116" i="20"/>
  <c r="AN115" i="20"/>
  <c r="AN114" i="20"/>
  <c r="AN113" i="20"/>
  <c r="AN112" i="20"/>
  <c r="AN111" i="20"/>
  <c r="AN110" i="20"/>
  <c r="AN109" i="20"/>
  <c r="AN108" i="20"/>
  <c r="AN107" i="20"/>
  <c r="AN106" i="20"/>
  <c r="AN105" i="20"/>
  <c r="AN104" i="20"/>
  <c r="AN103" i="20"/>
  <c r="AN102" i="20"/>
  <c r="AN101" i="20"/>
  <c r="AN100" i="20"/>
  <c r="AN99" i="20"/>
  <c r="AN98" i="20"/>
  <c r="AN97" i="20"/>
  <c r="AN96" i="20"/>
  <c r="AN95" i="20"/>
  <c r="AN94" i="20"/>
  <c r="AN93" i="20"/>
  <c r="AN92" i="20"/>
  <c r="AN91" i="20"/>
  <c r="AN90" i="20"/>
  <c r="AN89" i="20"/>
  <c r="AN88" i="20"/>
  <c r="AN87" i="20"/>
  <c r="AN86" i="20"/>
  <c r="AN85" i="20"/>
  <c r="AN84" i="20"/>
  <c r="AN83" i="20"/>
  <c r="AN82" i="20"/>
  <c r="AN81" i="20"/>
  <c r="AN80" i="20"/>
  <c r="AN79" i="20"/>
  <c r="AN78" i="20"/>
  <c r="AN77" i="20"/>
  <c r="AN76" i="20"/>
  <c r="AN75" i="20"/>
  <c r="AN74" i="20"/>
  <c r="AN73" i="20"/>
  <c r="AN72" i="20"/>
  <c r="AN71" i="20"/>
  <c r="AN70" i="20"/>
  <c r="AN69" i="20"/>
  <c r="AN68" i="20"/>
  <c r="AN67" i="20"/>
  <c r="AN66" i="20"/>
  <c r="AN65" i="20"/>
  <c r="AN64" i="20"/>
  <c r="AN63" i="20"/>
  <c r="AN62" i="20"/>
  <c r="AN61" i="20"/>
  <c r="AN60" i="20"/>
  <c r="AN59" i="20"/>
  <c r="AN58" i="20"/>
  <c r="AN57" i="20"/>
  <c r="AN56" i="20"/>
  <c r="AN55" i="20"/>
  <c r="AN54" i="20"/>
  <c r="AN53" i="20"/>
  <c r="AN52" i="20"/>
  <c r="AN51" i="20"/>
  <c r="AN50" i="20"/>
  <c r="AN49" i="20"/>
  <c r="AN48" i="20"/>
  <c r="AN47" i="20"/>
  <c r="AN46" i="20"/>
  <c r="AN45" i="20"/>
  <c r="AN44" i="20"/>
  <c r="AN43" i="20"/>
  <c r="AN42" i="20"/>
  <c r="AN41" i="20"/>
  <c r="AN40" i="20"/>
  <c r="AN39" i="20"/>
  <c r="AN38" i="20"/>
  <c r="AN37" i="20"/>
  <c r="AN36" i="20"/>
  <c r="AN35" i="20"/>
  <c r="AN34" i="20"/>
  <c r="AN33" i="20"/>
  <c r="AN32" i="20"/>
  <c r="AN31" i="20"/>
  <c r="AN30" i="20"/>
  <c r="AN29" i="20"/>
  <c r="AN28" i="20"/>
  <c r="AN27" i="20"/>
  <c r="AN26" i="20"/>
  <c r="AN25" i="20"/>
  <c r="AN24" i="20"/>
  <c r="AN23" i="20"/>
  <c r="AN22" i="20"/>
  <c r="AN21" i="20"/>
  <c r="AN20" i="20"/>
  <c r="AN19" i="20"/>
  <c r="AN18" i="20"/>
  <c r="AN17" i="20"/>
  <c r="AN16" i="20"/>
  <c r="AN15" i="20"/>
  <c r="AN14" i="20"/>
  <c r="AN13" i="20"/>
  <c r="AN12" i="20"/>
  <c r="AN11" i="20"/>
  <c r="AN10" i="20"/>
  <c r="AN9" i="20"/>
  <c r="AN8" i="20"/>
  <c r="AN7" i="20"/>
  <c r="AN231" i="19"/>
  <c r="AN230" i="19"/>
  <c r="AN229" i="19"/>
  <c r="AN228" i="19"/>
  <c r="AN227" i="19"/>
  <c r="AN226" i="19"/>
  <c r="AN225" i="19"/>
  <c r="AN224" i="19"/>
  <c r="AN223" i="19"/>
  <c r="AN222" i="19"/>
  <c r="AN221" i="19"/>
  <c r="AN220" i="19"/>
  <c r="AN219" i="19"/>
  <c r="AN218" i="19"/>
  <c r="AN217" i="19"/>
  <c r="AN216" i="19"/>
  <c r="AN215" i="19"/>
  <c r="AN214" i="19"/>
  <c r="AN213" i="19"/>
  <c r="AN212" i="19"/>
  <c r="AN211" i="19"/>
  <c r="AN210" i="19"/>
  <c r="AN209" i="19"/>
  <c r="AN208" i="19"/>
  <c r="AN207" i="19"/>
  <c r="AN206" i="19"/>
  <c r="AN205" i="19"/>
  <c r="AN204" i="19"/>
  <c r="AN203" i="19"/>
  <c r="AN202" i="19"/>
  <c r="AN201" i="19"/>
  <c r="AN200" i="19"/>
  <c r="AN199" i="19"/>
  <c r="AN198" i="19"/>
  <c r="AN197" i="19"/>
  <c r="AN196" i="19"/>
  <c r="AN195" i="19"/>
  <c r="AN194" i="19"/>
  <c r="AN193" i="19"/>
  <c r="AN192" i="19"/>
  <c r="AN191" i="19"/>
  <c r="AN190" i="19"/>
  <c r="AN189" i="19"/>
  <c r="AN188" i="19"/>
  <c r="AN187" i="19"/>
  <c r="AN186" i="19"/>
  <c r="AN185" i="19"/>
  <c r="AN184" i="19"/>
  <c r="AN183" i="19"/>
  <c r="AN182" i="19"/>
  <c r="AN181" i="19"/>
  <c r="AN180" i="19"/>
  <c r="AN179" i="19"/>
  <c r="AN178" i="19"/>
  <c r="AN177" i="19"/>
  <c r="AN176" i="19"/>
  <c r="AN175" i="19"/>
  <c r="AN174" i="19"/>
  <c r="AN173" i="19"/>
  <c r="AN172" i="19"/>
  <c r="AN171" i="19"/>
  <c r="AN170" i="19"/>
  <c r="AN169" i="19"/>
  <c r="AN168" i="19"/>
  <c r="AN167" i="19"/>
  <c r="AN166" i="19"/>
  <c r="AN165" i="19"/>
  <c r="AN164" i="19"/>
  <c r="AN163" i="19"/>
  <c r="AN162" i="19"/>
  <c r="AN161" i="19"/>
  <c r="AN160" i="19"/>
  <c r="AN159" i="19"/>
  <c r="AN158" i="19"/>
  <c r="AN157" i="19"/>
  <c r="AN156" i="19"/>
  <c r="AN155" i="19"/>
  <c r="AN154" i="19"/>
  <c r="AN153" i="19"/>
  <c r="AN152" i="19"/>
  <c r="AN151" i="19"/>
  <c r="AN150" i="19"/>
  <c r="AN149" i="19"/>
  <c r="AN148" i="19"/>
  <c r="AN147" i="19"/>
  <c r="AN146" i="19"/>
  <c r="AN145" i="19"/>
  <c r="AN144" i="19"/>
  <c r="AN143" i="19"/>
  <c r="AN142" i="19"/>
  <c r="AN141" i="19"/>
  <c r="AN140" i="19"/>
  <c r="AN139" i="19"/>
  <c r="AN138" i="19"/>
  <c r="AN137" i="19"/>
  <c r="AN136" i="19"/>
  <c r="AN135" i="19"/>
  <c r="AN134" i="19"/>
  <c r="AN133" i="19"/>
  <c r="AN132" i="19"/>
  <c r="AN131" i="19"/>
  <c r="AN130" i="19"/>
  <c r="AN129" i="19"/>
  <c r="AN128" i="19"/>
  <c r="AN127" i="19"/>
  <c r="AN126" i="19"/>
  <c r="AN125" i="19"/>
  <c r="AN124" i="19"/>
  <c r="AN123" i="19"/>
  <c r="AN122" i="19"/>
  <c r="AN121" i="19"/>
  <c r="AN120" i="19"/>
  <c r="AN119" i="19"/>
  <c r="AN118" i="19"/>
  <c r="AN117" i="19"/>
  <c r="AN116" i="19"/>
  <c r="AN115" i="19"/>
  <c r="AN114" i="19"/>
  <c r="AN113" i="19"/>
  <c r="AN112" i="19"/>
  <c r="AN111" i="19"/>
  <c r="AN110" i="19"/>
  <c r="AN109" i="19"/>
  <c r="AN108" i="19"/>
  <c r="AN107" i="19"/>
  <c r="AN106" i="19"/>
  <c r="AN105" i="19"/>
  <c r="AN104" i="19"/>
  <c r="AN103" i="19"/>
  <c r="AN102" i="19"/>
  <c r="AN101" i="19"/>
  <c r="AN100" i="19"/>
  <c r="AN99" i="19"/>
  <c r="AN98" i="19"/>
  <c r="AN97" i="19"/>
  <c r="AN96" i="19"/>
  <c r="AN95" i="19"/>
  <c r="AN94" i="19"/>
  <c r="AN93" i="19"/>
  <c r="AN92" i="19"/>
  <c r="AN91" i="19"/>
  <c r="AN90" i="19"/>
  <c r="AN89" i="19"/>
  <c r="AN88" i="19"/>
  <c r="AN87" i="19"/>
  <c r="AN86" i="19"/>
  <c r="AN85" i="19"/>
  <c r="AN84" i="19"/>
  <c r="AN83" i="19"/>
  <c r="AN82" i="19"/>
  <c r="AN81" i="19"/>
  <c r="AN80" i="19"/>
  <c r="AN79" i="19"/>
  <c r="AN78" i="19"/>
  <c r="AN77" i="19"/>
  <c r="AN76" i="19"/>
  <c r="AN75" i="19"/>
  <c r="AN74" i="19"/>
  <c r="AN73" i="19"/>
  <c r="AN72" i="19"/>
  <c r="AN71" i="19"/>
  <c r="AN70" i="19"/>
  <c r="AN69" i="19"/>
  <c r="AN68" i="19"/>
  <c r="AN67" i="19"/>
  <c r="AN66" i="19"/>
  <c r="AN65" i="19"/>
  <c r="AN64" i="19"/>
  <c r="AN63" i="19"/>
  <c r="AN62" i="19"/>
  <c r="AN61" i="19"/>
  <c r="AN60" i="19"/>
  <c r="AN59" i="19"/>
  <c r="AN58" i="19"/>
  <c r="AN57" i="19"/>
  <c r="AN56" i="19"/>
  <c r="AN55" i="19"/>
  <c r="AN54" i="19"/>
  <c r="AN53" i="19"/>
  <c r="AN52" i="19"/>
  <c r="AN51" i="19"/>
  <c r="AN50" i="19"/>
  <c r="AN49" i="19"/>
  <c r="AN48" i="19"/>
  <c r="AN47" i="19"/>
  <c r="AN46" i="19"/>
  <c r="AN45" i="19"/>
  <c r="AN44" i="19"/>
  <c r="AN43" i="19"/>
  <c r="AN42" i="19"/>
  <c r="AN41" i="19"/>
  <c r="AN40" i="19"/>
  <c r="AN39" i="19"/>
  <c r="AN38" i="19"/>
  <c r="AN37" i="19"/>
  <c r="AN36" i="19"/>
  <c r="AN35" i="19"/>
  <c r="AN34" i="19"/>
  <c r="AN33" i="19"/>
  <c r="AN32" i="19"/>
  <c r="AN31" i="19"/>
  <c r="AN30" i="19"/>
  <c r="AN29" i="19"/>
  <c r="AN28" i="19"/>
  <c r="AN27" i="19"/>
  <c r="AN26" i="19"/>
  <c r="AN25" i="19"/>
  <c r="AN24" i="19"/>
  <c r="AN23" i="19"/>
  <c r="AN22" i="19"/>
  <c r="AN21" i="19"/>
  <c r="AN20" i="19"/>
  <c r="AN19" i="19"/>
  <c r="AN18" i="19"/>
  <c r="AN17" i="19"/>
  <c r="AN16" i="19"/>
  <c r="AN15" i="19"/>
  <c r="AN14" i="19"/>
  <c r="AN13" i="19"/>
  <c r="AN12" i="19"/>
  <c r="AN11" i="19"/>
  <c r="AN10" i="19"/>
  <c r="AN9" i="19"/>
  <c r="AN8" i="19"/>
  <c r="AN7" i="19"/>
  <c r="AN212" i="8"/>
  <c r="AN211" i="8"/>
  <c r="AN210" i="8"/>
  <c r="AN209" i="8"/>
  <c r="AN208" i="8"/>
  <c r="AN207" i="8"/>
  <c r="AN206" i="8"/>
  <c r="AN205" i="8"/>
  <c r="AN204" i="8"/>
  <c r="AN203" i="8"/>
  <c r="AN202" i="8"/>
  <c r="AN201" i="8"/>
  <c r="AN200" i="8"/>
  <c r="AN199" i="8"/>
  <c r="AN198" i="8"/>
  <c r="AN197" i="8"/>
  <c r="AN196" i="8"/>
  <c r="AN195" i="8"/>
  <c r="AN194" i="8"/>
  <c r="AN193" i="8"/>
  <c r="AN192" i="8"/>
  <c r="AN191" i="8"/>
  <c r="AN190" i="8"/>
  <c r="AN189" i="8"/>
  <c r="AN188" i="8"/>
  <c r="AN187" i="8"/>
  <c r="AN186" i="8"/>
  <c r="AN185" i="8"/>
  <c r="AN184" i="8"/>
  <c r="AN183" i="8"/>
  <c r="AN182" i="8"/>
  <c r="AN181" i="8"/>
  <c r="AN180" i="8"/>
  <c r="AN179" i="8"/>
  <c r="AN178" i="8"/>
  <c r="AN177" i="8"/>
  <c r="AN176" i="8"/>
  <c r="AN175" i="8"/>
  <c r="AN174" i="8"/>
  <c r="AN173" i="8"/>
  <c r="AN172" i="8"/>
  <c r="AN171" i="8"/>
  <c r="AN170" i="8"/>
  <c r="AN169" i="8"/>
  <c r="AN168" i="8"/>
  <c r="AN167" i="8"/>
  <c r="AN166" i="8"/>
  <c r="AN165" i="8"/>
  <c r="AN164" i="8"/>
  <c r="AN163" i="8"/>
  <c r="AN162" i="8"/>
  <c r="AN161" i="8"/>
  <c r="AN160" i="8"/>
  <c r="AN159" i="8"/>
  <c r="AN158" i="8"/>
  <c r="AN157" i="8"/>
  <c r="AN156" i="8"/>
  <c r="AN155" i="8"/>
  <c r="AN154" i="8"/>
  <c r="AN153" i="8"/>
  <c r="AN152" i="8"/>
  <c r="AN151" i="8"/>
  <c r="AN150" i="8"/>
  <c r="AN149" i="8"/>
  <c r="AN148" i="8"/>
  <c r="AN147" i="8"/>
  <c r="AN146" i="8"/>
  <c r="AN145" i="8"/>
  <c r="AN144" i="8"/>
  <c r="AN143" i="8"/>
  <c r="AN142" i="8"/>
  <c r="AN141" i="8"/>
  <c r="AN140" i="8"/>
  <c r="AN139" i="8"/>
  <c r="AN138" i="8"/>
  <c r="AN137" i="8"/>
  <c r="AN136" i="8"/>
  <c r="AN135" i="8"/>
  <c r="AN134" i="8"/>
  <c r="AN133" i="8"/>
  <c r="AN132" i="8"/>
  <c r="AN131" i="8"/>
  <c r="AN130" i="8"/>
  <c r="AN129" i="8"/>
  <c r="AN128" i="8"/>
  <c r="AN127" i="8"/>
  <c r="AN126" i="8"/>
  <c r="AN125" i="8"/>
  <c r="AN124" i="8"/>
  <c r="AN123" i="8"/>
  <c r="AN122" i="8"/>
  <c r="AN121" i="8"/>
  <c r="AN120" i="8"/>
  <c r="AN119" i="8"/>
  <c r="AN118" i="8"/>
  <c r="AN117" i="8"/>
  <c r="AN116" i="8"/>
  <c r="AN115" i="8"/>
  <c r="AN114" i="8"/>
  <c r="AN113" i="8"/>
  <c r="AN112" i="8"/>
  <c r="AN111" i="8"/>
  <c r="AN110" i="8"/>
  <c r="AN109" i="8"/>
  <c r="AN108" i="8"/>
  <c r="AN107" i="8"/>
  <c r="AN106" i="8"/>
  <c r="AN105" i="8"/>
  <c r="AN104" i="8"/>
  <c r="AN103" i="8"/>
  <c r="AN102" i="8"/>
  <c r="AN101" i="8"/>
  <c r="AN100" i="8"/>
  <c r="AN99" i="8"/>
  <c r="AN98" i="8"/>
  <c r="AN97" i="8"/>
  <c r="AN96" i="8"/>
  <c r="AN95" i="8"/>
  <c r="AN94" i="8"/>
  <c r="AN93" i="8"/>
  <c r="AN92" i="8"/>
  <c r="AN91" i="8"/>
  <c r="AN90" i="8"/>
  <c r="AN89" i="8"/>
  <c r="AN88" i="8"/>
  <c r="AN87" i="8"/>
  <c r="AN86" i="8"/>
  <c r="AN85" i="8"/>
  <c r="AN84" i="8"/>
  <c r="AN83" i="8"/>
  <c r="AN82" i="8"/>
  <c r="AN81" i="8"/>
  <c r="AN80" i="8"/>
  <c r="AN79" i="8"/>
  <c r="AN78" i="8"/>
  <c r="AN77" i="8"/>
  <c r="AN76" i="8"/>
  <c r="AN75" i="8"/>
  <c r="AN74" i="8"/>
  <c r="AN73" i="8"/>
  <c r="AN72" i="8"/>
  <c r="AN71" i="8"/>
  <c r="AN70" i="8"/>
  <c r="AN69" i="8"/>
  <c r="AN68" i="8"/>
  <c r="AN67" i="8"/>
  <c r="AN66" i="8"/>
  <c r="AN65" i="8"/>
  <c r="AN64" i="8"/>
  <c r="AN63" i="8"/>
  <c r="AN62" i="8"/>
  <c r="AN61" i="8"/>
  <c r="AN60" i="8"/>
  <c r="AN59" i="8"/>
  <c r="AN58" i="8"/>
  <c r="AN57" i="8"/>
  <c r="AN56" i="8"/>
  <c r="AN55" i="8"/>
  <c r="AN54" i="8"/>
  <c r="AN53" i="8"/>
  <c r="AN52" i="8"/>
  <c r="AN51" i="8"/>
  <c r="AN50" i="8"/>
  <c r="AN49" i="8"/>
  <c r="AN48" i="8"/>
  <c r="AN47" i="8"/>
  <c r="AN46" i="8"/>
  <c r="AN45" i="8"/>
  <c r="AN44" i="8"/>
  <c r="AN43" i="8"/>
  <c r="AN42" i="8"/>
  <c r="AN41" i="8"/>
  <c r="AN40" i="8"/>
  <c r="AN39" i="8"/>
  <c r="AN38" i="8"/>
  <c r="AN37" i="8"/>
  <c r="AN36" i="8"/>
  <c r="AN35" i="8"/>
  <c r="AN34" i="8"/>
  <c r="AN33" i="8"/>
  <c r="AN32" i="8"/>
  <c r="AN31" i="8"/>
  <c r="AN30" i="8"/>
  <c r="AN29" i="8"/>
  <c r="AN28" i="8"/>
  <c r="AN27" i="8"/>
  <c r="AN26" i="8"/>
  <c r="AN25" i="8"/>
  <c r="AN24" i="8"/>
  <c r="AN23" i="8"/>
  <c r="AN22" i="8"/>
  <c r="AN21" i="8"/>
  <c r="AN20" i="8"/>
  <c r="AN19" i="8"/>
  <c r="AN18" i="8"/>
  <c r="AN17" i="8"/>
  <c r="AN16" i="8"/>
  <c r="AN15" i="8"/>
  <c r="AN14" i="8"/>
  <c r="AN13" i="8"/>
  <c r="AN12" i="8"/>
  <c r="AN11" i="8"/>
  <c r="AN10" i="8"/>
  <c r="AN9" i="8"/>
  <c r="AN8" i="8"/>
  <c r="AN7" i="8"/>
  <c r="AN147" i="6"/>
  <c r="AN146" i="6"/>
  <c r="AN145" i="6"/>
  <c r="AN144" i="6"/>
  <c r="AN143" i="6"/>
  <c r="AN142" i="6"/>
  <c r="AN141" i="6"/>
  <c r="AN140" i="6"/>
  <c r="AN139" i="6"/>
  <c r="AN138" i="6"/>
  <c r="AN137" i="6"/>
  <c r="AN136" i="6"/>
  <c r="AN135" i="6"/>
  <c r="AN134" i="6"/>
  <c r="AN133" i="6"/>
  <c r="AN132" i="6"/>
  <c r="AN131" i="6"/>
  <c r="AN130" i="6"/>
  <c r="AN129" i="6"/>
  <c r="AN128" i="6"/>
  <c r="AN127" i="6"/>
  <c r="AN126" i="6"/>
  <c r="AN125" i="6"/>
  <c r="AN124" i="6"/>
  <c r="AN123" i="6"/>
  <c r="AN122" i="6"/>
  <c r="AN121" i="6"/>
  <c r="AN120" i="6"/>
  <c r="AN119" i="6"/>
  <c r="AN118" i="6"/>
  <c r="AN117" i="6"/>
  <c r="AN116" i="6"/>
  <c r="AN115" i="6"/>
  <c r="AN114" i="6"/>
  <c r="AN113" i="6"/>
  <c r="AN112" i="6"/>
  <c r="AN111" i="6"/>
  <c r="AN110" i="6"/>
  <c r="AN109" i="6"/>
  <c r="AN108" i="6"/>
  <c r="AN107" i="6"/>
  <c r="AN106" i="6"/>
  <c r="AN105" i="6"/>
  <c r="AN104" i="6"/>
  <c r="AN103" i="6"/>
  <c r="AN102" i="6"/>
  <c r="AN101" i="6"/>
  <c r="AN100" i="6"/>
  <c r="AN99" i="6"/>
  <c r="AN98" i="6"/>
  <c r="AN97" i="6"/>
  <c r="AN96" i="6"/>
  <c r="AN95" i="6"/>
  <c r="AN94" i="6"/>
  <c r="AN93" i="6"/>
  <c r="AN92" i="6"/>
  <c r="AN91" i="6"/>
  <c r="AN90" i="6"/>
  <c r="AN89" i="6"/>
  <c r="AN88" i="6"/>
  <c r="AN87" i="6"/>
  <c r="AN86" i="6"/>
  <c r="AN85" i="6"/>
  <c r="AN84" i="6"/>
  <c r="AN83" i="6"/>
  <c r="AN82" i="6"/>
  <c r="AN81" i="6"/>
  <c r="AN80" i="6"/>
  <c r="AN79" i="6"/>
  <c r="AN78" i="6"/>
  <c r="AN77" i="6"/>
  <c r="AN76" i="6"/>
  <c r="AN75" i="6"/>
  <c r="AN74" i="6"/>
  <c r="AN73" i="6"/>
  <c r="AN72" i="6"/>
  <c r="AN71" i="6"/>
  <c r="AN70" i="6"/>
  <c r="AN69" i="6"/>
  <c r="AN68" i="6"/>
  <c r="AN67" i="6"/>
  <c r="AN66" i="6"/>
  <c r="AN65" i="6"/>
  <c r="AN64" i="6"/>
  <c r="AN63" i="6"/>
  <c r="AN62" i="6"/>
  <c r="AN61" i="6"/>
  <c r="AN60" i="6"/>
  <c r="AN59" i="6"/>
  <c r="AN58" i="6"/>
  <c r="AN57" i="6"/>
  <c r="AN56" i="6"/>
  <c r="AN55" i="6"/>
  <c r="AN54" i="6"/>
  <c r="AN53" i="6"/>
  <c r="AN52" i="6"/>
  <c r="AN51" i="6"/>
  <c r="AN50" i="6"/>
  <c r="AN49" i="6"/>
  <c r="AN48" i="6"/>
  <c r="AN47" i="6"/>
  <c r="AN46" i="6"/>
  <c r="AN45" i="6"/>
  <c r="AN44" i="6"/>
  <c r="AN43" i="6"/>
  <c r="AN42" i="6"/>
  <c r="AN41" i="6"/>
  <c r="AN40" i="6"/>
  <c r="AN39" i="6"/>
  <c r="AN38" i="6"/>
  <c r="AN37" i="6"/>
  <c r="AN36" i="6"/>
  <c r="AN35" i="6"/>
  <c r="AN34" i="6"/>
  <c r="AN33" i="6"/>
  <c r="AN32" i="6"/>
  <c r="AN31" i="6"/>
  <c r="AN30" i="6"/>
  <c r="AN29" i="6"/>
  <c r="AN28" i="6"/>
  <c r="AN27" i="6"/>
  <c r="AN26" i="6"/>
  <c r="AN25" i="6"/>
  <c r="AN24" i="6"/>
  <c r="AN23" i="6"/>
  <c r="AN22" i="6"/>
  <c r="AN21" i="6"/>
  <c r="AN20" i="6"/>
  <c r="AN19" i="6"/>
  <c r="AN18" i="6"/>
  <c r="AN17" i="6"/>
  <c r="AN16" i="6"/>
  <c r="AN15" i="6"/>
  <c r="AN14" i="6"/>
  <c r="AN13" i="6"/>
  <c r="AN12" i="6"/>
  <c r="AN11" i="6"/>
  <c r="AN10" i="6"/>
  <c r="AN196" i="18"/>
  <c r="AN195" i="18"/>
  <c r="AN194" i="18"/>
  <c r="AN193" i="18"/>
  <c r="AN192" i="18"/>
  <c r="AN191" i="18"/>
  <c r="AN190" i="18"/>
  <c r="AN189" i="18"/>
  <c r="AN188" i="18"/>
  <c r="AN187" i="18"/>
  <c r="AN186" i="18"/>
  <c r="AN185" i="18"/>
  <c r="AN184" i="18"/>
  <c r="AN183" i="18"/>
  <c r="AN182" i="18"/>
  <c r="AN181" i="18"/>
  <c r="AN180" i="18"/>
  <c r="AN179" i="18"/>
  <c r="AN178" i="18"/>
  <c r="AN177" i="18"/>
  <c r="AN176" i="18"/>
  <c r="AN175" i="18"/>
  <c r="AN174" i="18"/>
  <c r="AN173" i="18"/>
  <c r="AN172" i="18"/>
  <c r="AN171" i="18"/>
  <c r="AN170" i="18"/>
  <c r="AN169" i="18"/>
  <c r="AN168" i="18"/>
  <c r="AN167" i="18"/>
  <c r="AN166" i="18"/>
  <c r="AN165" i="18"/>
  <c r="AN164" i="18"/>
  <c r="AN163" i="18"/>
  <c r="AN162" i="18"/>
  <c r="AN161" i="18"/>
  <c r="AN160" i="18"/>
  <c r="AN159" i="18"/>
  <c r="AN158" i="18"/>
  <c r="AN157" i="18"/>
  <c r="AN156" i="18"/>
  <c r="AN155" i="18"/>
  <c r="AN154" i="18"/>
  <c r="AN153" i="18"/>
  <c r="AN152" i="18"/>
  <c r="AN151" i="18"/>
  <c r="AN150" i="18"/>
  <c r="AN149" i="18"/>
  <c r="AN148" i="18"/>
  <c r="AN147" i="18"/>
  <c r="AN146" i="18"/>
  <c r="AN145" i="18"/>
  <c r="AN144" i="18"/>
  <c r="AN143" i="18"/>
  <c r="AN142" i="18"/>
  <c r="AN141" i="18"/>
  <c r="AN140" i="18"/>
  <c r="AN139" i="18"/>
  <c r="AN138" i="18"/>
  <c r="AN137" i="18"/>
  <c r="AN136" i="18"/>
  <c r="AN135" i="18"/>
  <c r="AN134" i="18"/>
  <c r="AN133" i="18"/>
  <c r="AN132" i="18"/>
  <c r="AN131" i="18"/>
  <c r="AN130" i="18"/>
  <c r="AN129" i="18"/>
  <c r="AN128" i="18"/>
  <c r="AN127" i="18"/>
  <c r="AN126" i="18"/>
  <c r="AN125" i="18"/>
  <c r="AN124" i="18"/>
  <c r="AN123" i="18"/>
  <c r="AN122" i="18"/>
  <c r="AN121" i="18"/>
  <c r="AN120" i="18"/>
  <c r="AN119" i="18"/>
  <c r="AN118" i="18"/>
  <c r="AN117" i="18"/>
  <c r="AN116" i="18"/>
  <c r="AN115" i="18"/>
  <c r="AN114" i="18"/>
  <c r="AN113" i="18"/>
  <c r="AN112" i="18"/>
  <c r="AN111" i="18"/>
  <c r="AN110" i="18"/>
  <c r="AN109" i="18"/>
  <c r="AN108" i="18"/>
  <c r="AN107" i="18"/>
  <c r="AN106" i="18"/>
  <c r="AN105" i="18"/>
  <c r="AN104" i="18"/>
  <c r="AN103" i="18"/>
  <c r="AN102" i="18"/>
  <c r="AN101" i="18"/>
  <c r="AN100" i="18"/>
  <c r="AN99" i="18"/>
  <c r="AN98" i="18"/>
  <c r="AN97" i="18"/>
  <c r="AN96" i="18"/>
  <c r="AN95" i="18"/>
  <c r="AN94" i="18"/>
  <c r="AN93" i="18"/>
  <c r="AN92" i="18"/>
  <c r="AN91" i="18"/>
  <c r="AN90" i="18"/>
  <c r="AN89" i="18"/>
  <c r="AN88" i="18"/>
  <c r="AN87" i="18"/>
  <c r="AN86" i="18"/>
  <c r="AN85" i="18"/>
  <c r="AN84" i="18"/>
  <c r="AN83" i="18"/>
  <c r="AN82" i="18"/>
  <c r="AN81" i="18"/>
  <c r="AN80" i="18"/>
  <c r="AN79" i="18"/>
  <c r="AN78" i="18"/>
  <c r="AN77" i="18"/>
  <c r="AN76" i="18"/>
  <c r="AN75" i="18"/>
  <c r="AN74" i="18"/>
  <c r="AN73" i="18"/>
  <c r="AN72" i="18"/>
  <c r="AN71" i="18"/>
  <c r="AN70" i="18"/>
  <c r="AN69" i="18"/>
  <c r="AN68" i="18"/>
  <c r="AN67" i="18"/>
  <c r="AN66" i="18"/>
  <c r="AN65" i="18"/>
  <c r="AN64" i="18"/>
  <c r="AN63" i="18"/>
  <c r="AN62" i="18"/>
  <c r="AN61" i="18"/>
  <c r="AN60" i="18"/>
  <c r="AN59" i="18"/>
  <c r="AN58" i="18"/>
  <c r="AN57" i="18"/>
  <c r="AN56" i="18"/>
  <c r="AN55" i="18"/>
  <c r="AN54" i="18"/>
  <c r="AN53" i="18"/>
  <c r="AN52" i="18"/>
  <c r="AN51" i="18"/>
  <c r="AN50" i="18"/>
  <c r="AN49" i="18"/>
  <c r="AN48" i="18"/>
  <c r="AN47" i="18"/>
  <c r="AN46" i="18"/>
  <c r="AN45" i="18"/>
  <c r="AN44" i="18"/>
  <c r="AN43" i="18"/>
  <c r="AN42" i="18"/>
  <c r="AN41" i="18"/>
  <c r="AN40" i="18"/>
  <c r="AN39" i="18"/>
  <c r="AN38" i="18"/>
  <c r="AN37" i="18"/>
  <c r="AN36" i="18"/>
  <c r="AN35" i="18"/>
  <c r="AN34" i="18"/>
  <c r="AN33" i="18"/>
  <c r="AN32" i="18"/>
  <c r="AN31" i="18"/>
  <c r="AN30" i="18"/>
  <c r="AN29" i="18"/>
  <c r="AN28" i="18"/>
  <c r="AN27" i="18"/>
  <c r="AN26" i="18"/>
  <c r="AN25" i="18"/>
  <c r="AN24" i="18"/>
  <c r="AN23" i="18"/>
  <c r="AN22" i="18"/>
  <c r="AN21" i="18"/>
  <c r="AN20" i="18"/>
  <c r="AN19" i="18"/>
  <c r="AN18" i="18"/>
  <c r="AN17" i="18"/>
  <c r="AN16" i="18"/>
  <c r="AN15" i="18"/>
  <c r="AN14" i="18"/>
  <c r="AN13" i="18"/>
  <c r="AN12" i="18"/>
  <c r="AN11" i="18"/>
  <c r="AN10" i="18"/>
  <c r="AN9" i="18"/>
  <c r="AN8" i="18"/>
  <c r="AN7" i="18"/>
  <c r="AN226" i="11"/>
  <c r="AN225" i="11"/>
  <c r="AN224" i="11"/>
  <c r="AN223" i="11"/>
  <c r="AN222" i="11"/>
  <c r="AN221" i="11"/>
  <c r="AN220" i="11"/>
  <c r="AN219" i="11"/>
  <c r="AN218" i="11"/>
  <c r="AN217" i="11"/>
  <c r="AN216" i="11"/>
  <c r="AN215" i="11"/>
  <c r="AN214" i="11"/>
  <c r="AN213" i="11"/>
  <c r="AN212" i="11"/>
  <c r="AN211" i="11"/>
  <c r="AN210" i="11"/>
  <c r="AN209" i="11"/>
  <c r="AN208" i="11"/>
  <c r="AN207" i="11"/>
  <c r="AN206" i="11"/>
  <c r="AN205" i="11"/>
  <c r="AN204" i="11"/>
  <c r="AN203" i="11"/>
  <c r="AN202" i="11"/>
  <c r="AN201" i="11"/>
  <c r="AN200" i="11"/>
  <c r="AN199" i="11"/>
  <c r="AN198" i="11"/>
  <c r="AN197" i="11"/>
  <c r="AN196" i="11"/>
  <c r="AN195" i="11"/>
  <c r="AN194" i="11"/>
  <c r="AN193" i="11"/>
  <c r="AN192" i="11"/>
  <c r="AN191" i="11"/>
  <c r="AN190" i="11"/>
  <c r="AN189" i="11"/>
  <c r="AN188" i="11"/>
  <c r="AN187" i="11"/>
  <c r="AN186" i="11"/>
  <c r="AN185" i="11"/>
  <c r="AN184" i="11"/>
  <c r="AN183" i="11"/>
  <c r="AN182" i="11"/>
  <c r="AN181" i="11"/>
  <c r="AN180" i="11"/>
  <c r="AN179" i="11"/>
  <c r="AN178" i="11"/>
  <c r="AN177" i="11"/>
  <c r="AN176" i="11"/>
  <c r="AN175" i="11"/>
  <c r="AN174" i="11"/>
  <c r="AN173" i="11"/>
  <c r="AN172" i="11"/>
  <c r="AN171" i="11"/>
  <c r="AN170" i="11"/>
  <c r="AN169" i="11"/>
  <c r="AN168" i="11"/>
  <c r="AN167" i="11"/>
  <c r="AN166" i="11"/>
  <c r="AN165" i="11"/>
  <c r="AN164" i="11"/>
  <c r="AN163" i="11"/>
  <c r="AN162" i="11"/>
  <c r="AN161" i="11"/>
  <c r="AN160" i="11"/>
  <c r="AN159" i="11"/>
  <c r="AN158" i="11"/>
  <c r="AN157" i="11"/>
  <c r="AN156" i="11"/>
  <c r="AN155" i="11"/>
  <c r="AN154" i="11"/>
  <c r="AN153" i="11"/>
  <c r="AN152" i="11"/>
  <c r="AN151" i="11"/>
  <c r="AN150" i="11"/>
  <c r="AN149" i="11"/>
  <c r="AN148" i="11"/>
  <c r="AN147" i="11"/>
  <c r="AN146" i="11"/>
  <c r="AN145" i="11"/>
  <c r="AN144" i="11"/>
  <c r="AN143" i="11"/>
  <c r="AN142" i="11"/>
  <c r="AN141" i="11"/>
  <c r="AN140" i="11"/>
  <c r="AN139" i="11"/>
  <c r="AN138" i="11"/>
  <c r="AN137" i="11"/>
  <c r="AN136" i="11"/>
  <c r="AN135" i="11"/>
  <c r="AN134" i="11"/>
  <c r="AN133" i="11"/>
  <c r="AN132" i="11"/>
  <c r="AN131" i="11"/>
  <c r="AN130" i="11"/>
  <c r="AN129" i="11"/>
  <c r="AN128" i="11"/>
  <c r="AN127" i="11"/>
  <c r="AN126" i="11"/>
  <c r="AN125" i="11"/>
  <c r="AN124" i="11"/>
  <c r="AN123" i="11"/>
  <c r="AN122" i="11"/>
  <c r="AN121" i="11"/>
  <c r="AN120" i="11"/>
  <c r="AN119" i="11"/>
  <c r="AN118" i="11"/>
  <c r="AN117" i="11"/>
  <c r="AN116" i="11"/>
  <c r="AN115" i="11"/>
  <c r="AN114" i="11"/>
  <c r="AN113" i="11"/>
  <c r="AN112" i="11"/>
  <c r="AN111" i="11"/>
  <c r="AN110" i="11"/>
  <c r="AN109" i="11"/>
  <c r="AN108" i="11"/>
  <c r="AN107" i="11"/>
  <c r="AN106" i="11"/>
  <c r="AN105" i="11"/>
  <c r="AN104" i="11"/>
  <c r="AN103" i="11"/>
  <c r="AN102" i="11"/>
  <c r="AN101" i="11"/>
  <c r="AN100" i="11"/>
  <c r="AN99" i="11"/>
  <c r="AN98" i="11"/>
  <c r="AN97" i="11"/>
  <c r="AN96" i="11"/>
  <c r="AN95" i="11"/>
  <c r="AN94" i="11"/>
  <c r="AN93" i="11"/>
  <c r="AN92" i="11"/>
  <c r="AN91" i="11"/>
  <c r="AN90" i="11"/>
  <c r="AN89" i="11"/>
  <c r="AN88" i="11"/>
  <c r="AN87" i="11"/>
  <c r="AN86" i="11"/>
  <c r="AN85" i="11"/>
  <c r="AN84" i="11"/>
  <c r="AN83" i="11"/>
  <c r="AN82" i="11"/>
  <c r="AN81" i="11"/>
  <c r="AN80" i="11"/>
  <c r="AN79" i="11"/>
  <c r="AN78" i="11"/>
  <c r="AN77" i="11"/>
  <c r="AN76" i="11"/>
  <c r="AN75" i="11"/>
  <c r="AN74" i="11"/>
  <c r="AN73" i="11"/>
  <c r="AN72" i="11"/>
  <c r="AN71" i="11"/>
  <c r="AN70" i="11"/>
  <c r="AN69" i="11"/>
  <c r="AN68" i="11"/>
  <c r="AN67" i="11"/>
  <c r="AN66" i="11"/>
  <c r="AN65" i="11"/>
  <c r="AN64" i="11"/>
  <c r="AN63" i="11"/>
  <c r="AN62" i="11"/>
  <c r="AN61" i="11"/>
  <c r="AN60" i="11"/>
  <c r="AN59" i="11"/>
  <c r="AN58" i="11"/>
  <c r="AN57" i="11"/>
  <c r="AN56" i="11"/>
  <c r="AN55" i="11"/>
  <c r="AN54" i="11"/>
  <c r="AN53" i="11"/>
  <c r="AN52" i="11"/>
  <c r="AN51" i="11"/>
  <c r="AN50" i="11"/>
  <c r="AN49" i="11"/>
  <c r="AN48" i="11"/>
  <c r="AN47" i="11"/>
  <c r="AN46" i="11"/>
  <c r="AN45" i="11"/>
  <c r="AN44" i="11"/>
  <c r="AN43" i="11"/>
  <c r="AN42" i="11"/>
  <c r="AN41" i="11"/>
  <c r="AN40" i="11"/>
  <c r="AN39" i="11"/>
  <c r="AN38" i="11"/>
  <c r="AN37" i="11"/>
  <c r="AN36" i="11"/>
  <c r="AN35" i="11"/>
  <c r="AN34" i="11"/>
  <c r="AN33" i="11"/>
  <c r="AN32" i="11"/>
  <c r="AN31" i="11"/>
  <c r="AN30" i="11"/>
  <c r="AN29" i="11"/>
  <c r="AN28" i="11"/>
  <c r="AN27" i="11"/>
  <c r="AN26" i="11"/>
  <c r="AN25" i="11"/>
  <c r="AN24" i="11"/>
  <c r="AN23" i="11"/>
  <c r="AN22" i="11"/>
  <c r="AN21" i="11"/>
  <c r="AN20" i="11"/>
  <c r="AN19" i="11"/>
  <c r="AN18" i="11"/>
  <c r="AN17" i="11"/>
  <c r="AN16" i="11"/>
  <c r="AN15" i="11"/>
  <c r="AN14" i="11"/>
  <c r="AN13" i="11"/>
  <c r="AN12" i="11"/>
  <c r="AN11" i="11"/>
  <c r="AN10" i="11"/>
  <c r="AN9" i="11"/>
  <c r="AN8" i="11"/>
  <c r="AN7" i="11"/>
  <c r="AN175" i="13"/>
  <c r="AN174" i="13"/>
  <c r="AN173" i="13"/>
  <c r="AN172" i="13"/>
  <c r="AN171" i="13"/>
  <c r="AN170" i="13"/>
  <c r="AN169" i="13"/>
  <c r="AN168" i="13"/>
  <c r="AN167" i="13"/>
  <c r="AN166" i="13"/>
  <c r="AN165" i="13"/>
  <c r="AN164" i="13"/>
  <c r="AN163" i="13"/>
  <c r="AN162" i="13"/>
  <c r="AN161" i="13"/>
  <c r="AN160" i="13"/>
  <c r="AN159" i="13"/>
  <c r="AN158" i="13"/>
  <c r="AN157" i="13"/>
  <c r="AN156" i="13"/>
  <c r="AN155" i="13"/>
  <c r="AN154" i="13"/>
  <c r="AN153" i="13"/>
  <c r="AN152" i="13"/>
  <c r="AN151" i="13"/>
  <c r="AN150" i="13"/>
  <c r="AN149" i="13"/>
  <c r="AN148" i="13"/>
  <c r="AN147" i="13"/>
  <c r="AN146" i="13"/>
  <c r="AN145" i="13"/>
  <c r="AN144" i="13"/>
  <c r="AN143" i="13"/>
  <c r="AN142" i="13"/>
  <c r="AN141" i="13"/>
  <c r="AN140" i="13"/>
  <c r="AN139" i="13"/>
  <c r="AN138" i="13"/>
  <c r="AN137" i="13"/>
  <c r="AN136" i="13"/>
  <c r="AN135" i="13"/>
  <c r="AN134" i="13"/>
  <c r="AN133" i="13"/>
  <c r="AN132" i="13"/>
  <c r="AN131" i="13"/>
  <c r="AN130" i="13"/>
  <c r="AN129" i="13"/>
  <c r="AN128" i="13"/>
  <c r="AN127" i="13"/>
  <c r="AN126" i="13"/>
  <c r="AN125" i="13"/>
  <c r="AN124" i="13"/>
  <c r="AN123" i="13"/>
  <c r="AN122" i="13"/>
  <c r="AN121" i="13"/>
  <c r="AN120" i="13"/>
  <c r="AN119" i="13"/>
  <c r="AN118" i="13"/>
  <c r="AN117" i="13"/>
  <c r="AN116" i="13"/>
  <c r="AN115" i="13"/>
  <c r="AN114" i="13"/>
  <c r="AN113" i="13"/>
  <c r="AN112" i="13"/>
  <c r="AN111" i="13"/>
  <c r="AN110" i="13"/>
  <c r="AN109" i="13"/>
  <c r="AN108" i="13"/>
  <c r="AN107" i="13"/>
  <c r="AN106" i="13"/>
  <c r="AN105" i="13"/>
  <c r="AN104" i="13"/>
  <c r="AN103" i="13"/>
  <c r="AN102" i="13"/>
  <c r="AN101" i="13"/>
  <c r="AN100" i="13"/>
  <c r="AN99" i="13"/>
  <c r="AN98" i="13"/>
  <c r="AN97" i="13"/>
  <c r="AN96" i="13"/>
  <c r="AN95" i="13"/>
  <c r="AN94" i="13"/>
  <c r="AN93" i="13"/>
  <c r="AN92" i="13"/>
  <c r="AN91" i="13"/>
  <c r="AN90" i="13"/>
  <c r="AN89" i="13"/>
  <c r="AN88" i="13"/>
  <c r="AN87" i="13"/>
  <c r="AN86" i="13"/>
  <c r="AN85" i="13"/>
  <c r="AN84" i="13"/>
  <c r="AN83" i="13"/>
  <c r="AN82" i="13"/>
  <c r="AN81" i="13"/>
  <c r="AN80" i="13"/>
  <c r="AN79" i="13"/>
  <c r="AN78" i="13"/>
  <c r="AN77" i="13"/>
  <c r="AN76" i="13"/>
  <c r="AN75" i="13"/>
  <c r="AN74" i="13"/>
  <c r="AN73" i="13"/>
  <c r="AN72" i="13"/>
  <c r="AN71" i="13"/>
  <c r="AN70" i="13"/>
  <c r="AN69" i="13"/>
  <c r="AN68" i="13"/>
  <c r="AN67" i="13"/>
  <c r="AN66" i="13"/>
  <c r="AN65" i="13"/>
  <c r="AN64" i="13"/>
  <c r="AN63" i="13"/>
  <c r="AN62" i="13"/>
  <c r="AN61" i="13"/>
  <c r="AN60" i="13"/>
  <c r="AN59" i="13"/>
  <c r="AN58" i="13"/>
  <c r="AN57" i="13"/>
  <c r="AN56" i="13"/>
  <c r="AN55" i="13"/>
  <c r="AN54" i="13"/>
  <c r="AN53" i="13"/>
  <c r="AN52" i="13"/>
  <c r="AN51" i="13"/>
  <c r="AN50" i="13"/>
  <c r="AN49" i="13"/>
  <c r="AN48" i="13"/>
  <c r="AN47" i="13"/>
  <c r="AN46" i="13"/>
  <c r="AN45" i="13"/>
  <c r="AN44" i="13"/>
  <c r="AN43" i="13"/>
  <c r="AN42" i="13"/>
  <c r="AN41" i="13"/>
  <c r="AN40" i="13"/>
  <c r="AN39" i="13"/>
  <c r="AN38" i="13"/>
  <c r="AN37" i="13"/>
  <c r="AN36" i="13"/>
  <c r="AN35" i="13"/>
  <c r="AN34" i="13"/>
  <c r="AN33" i="13"/>
  <c r="AN32" i="13"/>
  <c r="AN31" i="13"/>
  <c r="AN30" i="13"/>
  <c r="AN29" i="13"/>
  <c r="AN28" i="13"/>
  <c r="AN27" i="13"/>
  <c r="AN26" i="13"/>
  <c r="AN25" i="13"/>
  <c r="AN24" i="13"/>
  <c r="AN23" i="13"/>
  <c r="AN22" i="13"/>
  <c r="AN21" i="13"/>
  <c r="AN20" i="13"/>
  <c r="AN19" i="13"/>
  <c r="AN18" i="13"/>
  <c r="AN17" i="13"/>
  <c r="AN16" i="13"/>
  <c r="AN15" i="13"/>
  <c r="AN14" i="13"/>
  <c r="AN13" i="13"/>
  <c r="AN12" i="13"/>
  <c r="AN11" i="13"/>
  <c r="AN10" i="13"/>
  <c r="AN8" i="13"/>
  <c r="AN7" i="13"/>
  <c r="AN232" i="5"/>
  <c r="AN231" i="5"/>
  <c r="AN230" i="5"/>
  <c r="AN229" i="5"/>
  <c r="AN228" i="5"/>
  <c r="AN227" i="5"/>
  <c r="AN226" i="5"/>
  <c r="AN225" i="5"/>
  <c r="AN224" i="5"/>
  <c r="AN223" i="5"/>
  <c r="AN222" i="5"/>
  <c r="AN221" i="5"/>
  <c r="AN220" i="5"/>
  <c r="AN219" i="5"/>
  <c r="AN218" i="5"/>
  <c r="AN217" i="5"/>
  <c r="AN216" i="5"/>
  <c r="AN215" i="5"/>
  <c r="AN214" i="5"/>
  <c r="AN213" i="5"/>
  <c r="AN212" i="5"/>
  <c r="AN211" i="5"/>
  <c r="AN210" i="5"/>
  <c r="AN209" i="5"/>
  <c r="AN208" i="5"/>
  <c r="AN207" i="5"/>
  <c r="AN206" i="5"/>
  <c r="AN205" i="5"/>
  <c r="AN204" i="5"/>
  <c r="AN203" i="5"/>
  <c r="AN202" i="5"/>
  <c r="AN201" i="5"/>
  <c r="AN200" i="5"/>
  <c r="AN199" i="5"/>
  <c r="AN198" i="5"/>
  <c r="AN197" i="5"/>
  <c r="AN196" i="5"/>
  <c r="AN195" i="5"/>
  <c r="AN194" i="5"/>
  <c r="AN193" i="5"/>
  <c r="AN192" i="5"/>
  <c r="AN191" i="5"/>
  <c r="AN190" i="5"/>
  <c r="AN189" i="5"/>
  <c r="AN188" i="5"/>
  <c r="AN187" i="5"/>
  <c r="AN186" i="5"/>
  <c r="AN185" i="5"/>
  <c r="AN184" i="5"/>
  <c r="AN183" i="5"/>
  <c r="AN182" i="5"/>
  <c r="AN181" i="5"/>
  <c r="AN180" i="5"/>
  <c r="AN179" i="5"/>
  <c r="AN178" i="5"/>
  <c r="AN177" i="5"/>
  <c r="AN176" i="5"/>
  <c r="AN175" i="5"/>
  <c r="AN174" i="5"/>
  <c r="AN173" i="5"/>
  <c r="AN172" i="5"/>
  <c r="AN171" i="5"/>
  <c r="AN170" i="5"/>
  <c r="AN169" i="5"/>
  <c r="AN168" i="5"/>
  <c r="AN167" i="5"/>
  <c r="AN166" i="5"/>
  <c r="AN165" i="5"/>
  <c r="AN164" i="5"/>
  <c r="AN163" i="5"/>
  <c r="AN162" i="5"/>
  <c r="AN161" i="5"/>
  <c r="AN160" i="5"/>
  <c r="AN159" i="5"/>
  <c r="AN158" i="5"/>
  <c r="AN157" i="5"/>
  <c r="AN156" i="5"/>
  <c r="AN155" i="5"/>
  <c r="AN154" i="5"/>
  <c r="AN153" i="5"/>
  <c r="AN152" i="5"/>
  <c r="AN151" i="5"/>
  <c r="AN150" i="5"/>
  <c r="AN149" i="5"/>
  <c r="AN148" i="5"/>
  <c r="AN147" i="5"/>
  <c r="AN146" i="5"/>
  <c r="AN145" i="5"/>
  <c r="AN144" i="5"/>
  <c r="AN143" i="5"/>
  <c r="AN142" i="5"/>
  <c r="AN141" i="5"/>
  <c r="AN140" i="5"/>
  <c r="AN139" i="5"/>
  <c r="AN138" i="5"/>
  <c r="AN137" i="5"/>
  <c r="AN136" i="5"/>
  <c r="AN135" i="5"/>
  <c r="AN134" i="5"/>
  <c r="AN133" i="5"/>
  <c r="AN132" i="5"/>
  <c r="AN131" i="5"/>
  <c r="AN130" i="5"/>
  <c r="AN129" i="5"/>
  <c r="AN128" i="5"/>
  <c r="AN127" i="5"/>
  <c r="AN126" i="5"/>
  <c r="AN125" i="5"/>
  <c r="AN124" i="5"/>
  <c r="AN123" i="5"/>
  <c r="AN122" i="5"/>
  <c r="AN121" i="5"/>
  <c r="AN120" i="5"/>
  <c r="AN119" i="5"/>
  <c r="AN118" i="5"/>
  <c r="AN117" i="5"/>
  <c r="AN116" i="5"/>
  <c r="AN115" i="5"/>
  <c r="AN114" i="5"/>
  <c r="AN113" i="5"/>
  <c r="AN112" i="5"/>
  <c r="AN111" i="5"/>
  <c r="AN110" i="5"/>
  <c r="AN109" i="5"/>
  <c r="AN108" i="5"/>
  <c r="AN107" i="5"/>
  <c r="AN106" i="5"/>
  <c r="AN105" i="5"/>
  <c r="AN104" i="5"/>
  <c r="AN103" i="5"/>
  <c r="AN102" i="5"/>
  <c r="AN101" i="5"/>
  <c r="AN100" i="5"/>
  <c r="AN99" i="5"/>
  <c r="AN98" i="5"/>
  <c r="AN97" i="5"/>
  <c r="AN96" i="5"/>
  <c r="AN95" i="5"/>
  <c r="AN94" i="5"/>
  <c r="AN93" i="5"/>
  <c r="AN92" i="5"/>
  <c r="AN91" i="5"/>
  <c r="AN90" i="5"/>
  <c r="AN89" i="5"/>
  <c r="AN88" i="5"/>
  <c r="AN87" i="5"/>
  <c r="AN86" i="5"/>
  <c r="AN85" i="5"/>
  <c r="AN84" i="5"/>
  <c r="AN83" i="5"/>
  <c r="AN82" i="5"/>
  <c r="AN81" i="5"/>
  <c r="AN80" i="5"/>
  <c r="AN79" i="5"/>
  <c r="AN78" i="5"/>
  <c r="AN77" i="5"/>
  <c r="AN76" i="5"/>
  <c r="AN75" i="5"/>
  <c r="AN74" i="5"/>
  <c r="AN73" i="5"/>
  <c r="AN72" i="5"/>
  <c r="AN71" i="5"/>
  <c r="AN70" i="5"/>
  <c r="AN69" i="5"/>
  <c r="AN68" i="5"/>
  <c r="AN67" i="5"/>
  <c r="AN66" i="5"/>
  <c r="AN65" i="5"/>
  <c r="AN64" i="5"/>
  <c r="AN63" i="5"/>
  <c r="AN62" i="5"/>
  <c r="AN61" i="5"/>
  <c r="AN60" i="5"/>
  <c r="AN59" i="5"/>
  <c r="AN58" i="5"/>
  <c r="AN57" i="5"/>
  <c r="AN56" i="5"/>
  <c r="AN55" i="5"/>
  <c r="AN54" i="5"/>
  <c r="AN53" i="5"/>
  <c r="AN52" i="5"/>
  <c r="AN51" i="5"/>
  <c r="AN50" i="5"/>
  <c r="AN49" i="5"/>
  <c r="AN48" i="5"/>
  <c r="AN47" i="5"/>
  <c r="AN46" i="5"/>
  <c r="AN45" i="5"/>
  <c r="AN44" i="5"/>
  <c r="AN43" i="5"/>
  <c r="AN42" i="5"/>
  <c r="AN41" i="5"/>
  <c r="AN40" i="5"/>
  <c r="AN39" i="5"/>
  <c r="AN38" i="5"/>
  <c r="AN37" i="5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N13" i="5"/>
  <c r="AN12" i="5"/>
  <c r="AN11" i="5"/>
  <c r="AN10" i="5"/>
  <c r="AN9" i="5"/>
  <c r="AN8" i="5"/>
  <c r="AN7" i="5"/>
  <c r="AN233" i="5"/>
  <c r="AN7" i="15"/>
  <c r="AN179" i="17"/>
  <c r="AN178" i="17"/>
  <c r="AN177" i="17"/>
  <c r="AN176" i="17"/>
  <c r="AN175" i="17"/>
  <c r="AN174" i="17"/>
  <c r="AN173" i="17"/>
  <c r="AN172" i="17"/>
  <c r="AN171" i="17"/>
  <c r="AN170" i="17"/>
  <c r="AN169" i="17"/>
  <c r="AN168" i="17"/>
  <c r="AN167" i="17"/>
  <c r="AN166" i="17"/>
  <c r="AN165" i="17"/>
  <c r="AN164" i="17"/>
  <c r="AN163" i="17"/>
  <c r="AN162" i="17"/>
  <c r="AN161" i="17"/>
  <c r="AN160" i="17"/>
  <c r="AN159" i="17"/>
  <c r="AN158" i="17"/>
  <c r="AN157" i="17"/>
  <c r="AN156" i="17"/>
  <c r="AN155" i="17"/>
  <c r="AN154" i="17"/>
  <c r="AN153" i="17"/>
  <c r="AN152" i="17"/>
  <c r="AN151" i="17"/>
  <c r="AN150" i="17"/>
  <c r="AN149" i="17"/>
  <c r="AN148" i="17"/>
  <c r="AN147" i="17"/>
  <c r="AN146" i="17"/>
  <c r="AN145" i="17"/>
  <c r="AN144" i="17"/>
  <c r="AN143" i="17"/>
  <c r="AN142" i="17"/>
  <c r="AN141" i="17"/>
  <c r="AN140" i="17"/>
  <c r="AN139" i="17"/>
  <c r="AN138" i="17"/>
  <c r="AN137" i="17"/>
  <c r="AN136" i="17"/>
  <c r="AN135" i="17"/>
  <c r="AN134" i="17"/>
  <c r="AN133" i="17"/>
  <c r="AN132" i="17"/>
  <c r="AN131" i="17"/>
  <c r="AN130" i="17"/>
  <c r="AN129" i="17"/>
  <c r="AN128" i="17"/>
  <c r="AN127" i="17"/>
  <c r="AN126" i="17"/>
  <c r="AN125" i="17"/>
  <c r="AN124" i="17"/>
  <c r="AN123" i="17"/>
  <c r="AN122" i="17"/>
  <c r="AN121" i="17"/>
  <c r="AN120" i="17"/>
  <c r="AN119" i="17"/>
  <c r="AN118" i="17"/>
  <c r="AN117" i="17"/>
  <c r="AN116" i="17"/>
  <c r="AN115" i="17"/>
  <c r="AN114" i="17"/>
  <c r="AN113" i="17"/>
  <c r="AN112" i="17"/>
  <c r="AN111" i="17"/>
  <c r="AN110" i="17"/>
  <c r="AN109" i="17"/>
  <c r="AN108" i="17"/>
  <c r="AN107" i="17"/>
  <c r="AN106" i="17"/>
  <c r="AN105" i="17"/>
  <c r="AN104" i="17"/>
  <c r="AN103" i="17"/>
  <c r="AN102" i="17"/>
  <c r="AN101" i="17"/>
  <c r="AN100" i="17"/>
  <c r="AN99" i="17"/>
  <c r="AN98" i="17"/>
  <c r="AN97" i="17"/>
  <c r="AN96" i="17"/>
  <c r="AN95" i="17"/>
  <c r="AN94" i="17"/>
  <c r="AN93" i="17"/>
  <c r="AN92" i="17"/>
  <c r="AN91" i="17"/>
  <c r="AN90" i="17"/>
  <c r="AN89" i="17"/>
  <c r="AN88" i="17"/>
  <c r="AN87" i="17"/>
  <c r="AN86" i="17"/>
  <c r="AN85" i="17"/>
  <c r="AN84" i="17"/>
  <c r="AN83" i="17"/>
  <c r="AN82" i="17"/>
  <c r="AN81" i="17"/>
  <c r="AN80" i="17"/>
  <c r="AN79" i="17"/>
  <c r="AN78" i="17"/>
  <c r="AN77" i="17"/>
  <c r="AN76" i="17"/>
  <c r="AN75" i="17"/>
  <c r="AN74" i="17"/>
  <c r="AN73" i="17"/>
  <c r="AN72" i="17"/>
  <c r="AN71" i="17"/>
  <c r="AN70" i="17"/>
  <c r="AN69" i="17"/>
  <c r="AN68" i="17"/>
  <c r="AN67" i="17"/>
  <c r="AN66" i="17"/>
  <c r="AN65" i="17"/>
  <c r="AN64" i="17"/>
  <c r="AN63" i="17"/>
  <c r="AN62" i="17"/>
  <c r="AN61" i="17"/>
  <c r="AN60" i="17"/>
  <c r="AN59" i="17"/>
  <c r="AN58" i="17"/>
  <c r="AN57" i="17"/>
  <c r="AN56" i="17"/>
  <c r="AN55" i="17"/>
  <c r="AN54" i="17"/>
  <c r="AN53" i="17"/>
  <c r="AN52" i="17"/>
  <c r="AN51" i="17"/>
  <c r="AN50" i="17"/>
  <c r="AN49" i="17"/>
  <c r="AN48" i="17"/>
  <c r="AN47" i="17"/>
  <c r="AN46" i="17"/>
  <c r="AN45" i="17"/>
  <c r="AN44" i="17"/>
  <c r="AN43" i="17"/>
  <c r="AN42" i="17"/>
  <c r="AN41" i="17"/>
  <c r="AN40" i="17"/>
  <c r="AN39" i="17"/>
  <c r="AN38" i="17"/>
  <c r="AN37" i="17"/>
  <c r="AN36" i="17"/>
  <c r="AN35" i="17"/>
  <c r="AN34" i="17"/>
  <c r="AN33" i="17"/>
  <c r="AN32" i="17"/>
  <c r="AN31" i="17"/>
  <c r="AN30" i="17"/>
  <c r="AN29" i="17"/>
  <c r="AN28" i="17"/>
  <c r="AN27" i="17"/>
  <c r="AN26" i="17"/>
  <c r="AN25" i="17"/>
  <c r="AN24" i="17"/>
  <c r="AN23" i="17"/>
  <c r="AN22" i="17"/>
  <c r="AN21" i="17"/>
  <c r="AN20" i="17"/>
  <c r="AN19" i="17"/>
  <c r="AN18" i="17"/>
  <c r="AN17" i="17"/>
  <c r="AN16" i="17"/>
  <c r="AN15" i="17"/>
  <c r="AN14" i="17"/>
  <c r="AN13" i="17"/>
  <c r="AN12" i="17"/>
  <c r="AN11" i="17"/>
  <c r="AN10" i="17"/>
  <c r="AN9" i="17"/>
  <c r="AN8" i="17"/>
  <c r="AN7" i="17"/>
  <c r="AN67" i="14"/>
  <c r="AN66" i="14"/>
  <c r="AN65" i="14"/>
  <c r="AN64" i="14"/>
  <c r="AN63" i="14"/>
  <c r="AN62" i="14"/>
  <c r="AN61" i="14"/>
  <c r="AN60" i="14"/>
  <c r="AN59" i="14"/>
  <c r="AN58" i="14"/>
  <c r="AN57" i="14"/>
  <c r="AN56" i="14"/>
  <c r="AN55" i="14"/>
  <c r="AN54" i="14"/>
  <c r="AN53" i="14"/>
  <c r="AN52" i="14"/>
  <c r="AN51" i="14"/>
  <c r="AN50" i="14"/>
  <c r="AN49" i="14"/>
  <c r="AN48" i="14"/>
  <c r="AN47" i="14"/>
  <c r="AN46" i="14"/>
  <c r="AN45" i="14"/>
  <c r="AN44" i="14"/>
  <c r="AN43" i="14"/>
  <c r="AN42" i="14"/>
  <c r="AN41" i="14"/>
  <c r="AN40" i="14"/>
  <c r="AN39" i="14"/>
  <c r="AN38" i="14"/>
  <c r="AN37" i="14"/>
  <c r="AN36" i="14"/>
  <c r="AN35" i="14"/>
  <c r="AN34" i="14"/>
  <c r="AN33" i="14"/>
  <c r="AN32" i="14"/>
  <c r="AN31" i="14"/>
  <c r="AN30" i="14"/>
  <c r="AN29" i="14"/>
  <c r="AN28" i="14"/>
  <c r="AN27" i="14"/>
  <c r="AN26" i="14"/>
  <c r="AN25" i="14"/>
  <c r="AN24" i="14"/>
  <c r="AN23" i="14"/>
  <c r="AN22" i="14"/>
  <c r="AN21" i="14"/>
  <c r="AN20" i="14"/>
  <c r="AN19" i="14"/>
  <c r="AN18" i="14"/>
  <c r="AN17" i="14"/>
  <c r="AN16" i="14"/>
  <c r="AN15" i="14"/>
  <c r="AN14" i="14"/>
  <c r="AN13" i="14"/>
  <c r="AN12" i="14"/>
  <c r="AN11" i="14"/>
  <c r="AN10" i="14"/>
  <c r="AN9" i="14"/>
  <c r="AN8" i="14"/>
  <c r="AN7" i="14"/>
  <c r="AN30" i="2"/>
  <c r="AN29" i="2"/>
  <c r="AN28" i="2"/>
  <c r="AN27" i="2"/>
  <c r="AN26" i="2"/>
  <c r="AN25" i="2"/>
  <c r="AN24" i="2"/>
  <c r="AN23" i="2"/>
  <c r="AN22" i="2"/>
  <c r="AN14" i="2"/>
  <c r="AN13" i="2"/>
  <c r="AN12" i="2"/>
  <c r="AN11" i="2"/>
  <c r="AN10" i="2"/>
  <c r="AN9" i="2"/>
  <c r="AN8" i="2"/>
  <c r="AN7" i="2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424" i="1"/>
  <c r="AN423" i="1"/>
  <c r="AN422" i="1"/>
  <c r="AN421" i="1"/>
  <c r="AN420" i="1"/>
  <c r="AN419" i="1"/>
  <c r="AN418" i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79" i="1"/>
  <c r="AN77" i="1"/>
  <c r="AN76" i="1"/>
  <c r="AN75" i="1"/>
  <c r="AN74" i="1"/>
  <c r="AN73" i="1"/>
  <c r="AN72" i="1"/>
  <c r="AN71" i="1"/>
  <c r="AN63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</calcChain>
</file>

<file path=xl/sharedStrings.xml><?xml version="1.0" encoding="utf-8"?>
<sst xmlns="http://schemas.openxmlformats.org/spreadsheetml/2006/main" count="19103" uniqueCount="1367">
  <si>
    <t>Date - Period</t>
  </si>
  <si>
    <t>StatusType</t>
  </si>
  <si>
    <t>Order Type</t>
  </si>
  <si>
    <t>Customer Order</t>
  </si>
  <si>
    <t>Invoice</t>
  </si>
  <si>
    <t>Order</t>
  </si>
  <si>
    <t>Ship Date</t>
  </si>
  <si>
    <t>Customer Group</t>
  </si>
  <si>
    <t>Item Number</t>
  </si>
  <si>
    <t>Item Description</t>
  </si>
  <si>
    <t>Input Quantity</t>
  </si>
  <si>
    <t>Input UOM</t>
  </si>
  <si>
    <t>Total KG</t>
  </si>
  <si>
    <t>Unit Price</t>
  </si>
  <si>
    <t>Amount</t>
  </si>
  <si>
    <t>Amount - Sales and orders Only</t>
  </si>
  <si>
    <t>Foreign per unit</t>
  </si>
  <si>
    <t>Foreign Amount</t>
  </si>
  <si>
    <t>Currency</t>
  </si>
  <si>
    <t>StandardCost</t>
  </si>
  <si>
    <t>StandardCost- Sales and orders Only</t>
  </si>
  <si>
    <t>Gross Margin</t>
  </si>
  <si>
    <t>Gross Margin %</t>
  </si>
  <si>
    <t>Margin - Sales and orders Only</t>
  </si>
  <si>
    <t>IncoTerms</t>
  </si>
  <si>
    <t>IncoTerms Description</t>
  </si>
  <si>
    <t>Ship To</t>
  </si>
  <si>
    <t>Ship To Name</t>
  </si>
  <si>
    <t>Sales Region Desc</t>
  </si>
  <si>
    <t>Sales Region</t>
  </si>
  <si>
    <t>Delivery Days</t>
  </si>
  <si>
    <t>GL Category</t>
  </si>
  <si>
    <t>Cat6</t>
  </si>
  <si>
    <t>Cat 6 Desc</t>
  </si>
  <si>
    <t>Cat7</t>
  </si>
  <si>
    <t>Cat 7 Desc</t>
  </si>
  <si>
    <t>SaleType</t>
  </si>
  <si>
    <t>AffiliateType</t>
  </si>
  <si>
    <t>CustomerType</t>
  </si>
  <si>
    <t>Note Finance MB</t>
  </si>
  <si>
    <t>Invoiced</t>
  </si>
  <si>
    <t>SO</t>
  </si>
  <si>
    <t>KG</t>
  </si>
  <si>
    <t>IDR</t>
  </si>
  <si>
    <t>Delivered</t>
  </si>
  <si>
    <t>ELLY HENDRA</t>
  </si>
  <si>
    <t>.</t>
  </si>
  <si>
    <t>M</t>
  </si>
  <si>
    <t>Non-Affiliate</t>
  </si>
  <si>
    <t>Distributor</t>
  </si>
  <si>
    <t>IDF2017</t>
  </si>
  <si>
    <t>IDF2005</t>
  </si>
  <si>
    <t>IDF2016</t>
  </si>
  <si>
    <t>TRA COL NAT POWDER</t>
  </si>
  <si>
    <t>T</t>
  </si>
  <si>
    <t>503750.010</t>
  </si>
  <si>
    <t>AGNESYA ADIFILIA</t>
  </si>
  <si>
    <t>TRA COL SYN DYE POWDER</t>
  </si>
  <si>
    <t>House Accounts</t>
  </si>
  <si>
    <t>Alamat</t>
  </si>
  <si>
    <t>PT. RICH PRODUCTS MANUFACTURING INDONESI</t>
  </si>
  <si>
    <t>05058C</t>
  </si>
  <si>
    <t>IDF2004</t>
  </si>
  <si>
    <t>Adress</t>
  </si>
  <si>
    <t>Domestic</t>
  </si>
  <si>
    <t>MB</t>
  </si>
  <si>
    <t xml:space="preserve">DEL   </t>
  </si>
  <si>
    <t xml:space="preserve">35 </t>
  </si>
  <si>
    <t xml:space="preserve">966 </t>
  </si>
  <si>
    <t xml:space="preserve">      </t>
  </si>
  <si>
    <t xml:space="preserve">MIDNIGHT BLACK P-WD 10KG      </t>
  </si>
  <si>
    <t xml:space="preserve">TCNP  </t>
  </si>
  <si>
    <t xml:space="preserve">960 </t>
  </si>
  <si>
    <t xml:space="preserve">PT. GRAND MULTI CHEMICALS JAKARTA       </t>
  </si>
  <si>
    <t xml:space="preserve">DB N2945 (FML10) 10KG         </t>
  </si>
  <si>
    <t xml:space="preserve">PT. GRAND MULTI CHEMICALS TANGERANG     </t>
  </si>
  <si>
    <t xml:space="preserve">202 </t>
  </si>
  <si>
    <t xml:space="preserve">94 </t>
  </si>
  <si>
    <t xml:space="preserve">208 </t>
  </si>
  <si>
    <t xml:space="preserve">DB XF1951 10KG                </t>
  </si>
  <si>
    <t xml:space="preserve">DB XF1745 10KG                </t>
  </si>
  <si>
    <t xml:space="preserve">TCSP  </t>
  </si>
  <si>
    <t xml:space="preserve">PT. FORISA NUSAPERSADA                  </t>
  </si>
  <si>
    <t xml:space="preserve">DB XF1591 10KG                </t>
  </si>
  <si>
    <t xml:space="preserve">37 </t>
  </si>
  <si>
    <t>POPD/GMC/24070273</t>
  </si>
  <si>
    <t>POPD/GMC/24110404</t>
  </si>
  <si>
    <t>POPD/GMC/24120418</t>
  </si>
  <si>
    <t>4100165947</t>
  </si>
  <si>
    <t>4100165948</t>
  </si>
  <si>
    <t>RMID-PUR001769</t>
  </si>
  <si>
    <t xml:space="preserve">NUT BROWN SHADE R             </t>
  </si>
  <si>
    <t>POPD/GMC/24120465</t>
  </si>
  <si>
    <t>POPD/GMC/24120432</t>
  </si>
  <si>
    <t>9624950020</t>
  </si>
  <si>
    <t>DAIRYBOOST BUTTER FLVR 20KG *A</t>
  </si>
  <si>
    <t>Invoice di kasih Tanggal 15/01/25.baru bisa karena Tax Cortex n di seetting sama IT. Invoice tgl 2/1/25.MB terima di tanggal 15/01/25 jam 16:48</t>
  </si>
  <si>
    <t>POPD/GMC/24120431</t>
  </si>
  <si>
    <t>PT. GRAND MULTI CHEMICALS JAKARTA-AA</t>
  </si>
  <si>
    <t>9637050025</t>
  </si>
  <si>
    <t>SWEETEASE 3G FLAV N11839 25KG</t>
  </si>
  <si>
    <t/>
  </si>
  <si>
    <t>PT. GRAND MULTI CHEMICALS TANGERANG-AA</t>
  </si>
  <si>
    <t>94</t>
  </si>
  <si>
    <t>101</t>
  </si>
  <si>
    <t>POPD/GMC/25010008</t>
  </si>
  <si>
    <t>96393200.25</t>
  </si>
  <si>
    <t>LVR024</t>
  </si>
  <si>
    <t>208</t>
  </si>
  <si>
    <t>POPD/GMC/24120437</t>
  </si>
  <si>
    <t>IF2576</t>
  </si>
  <si>
    <t>SPEARMINT FLAVOUR</t>
  </si>
  <si>
    <t xml:space="preserve"> </t>
  </si>
  <si>
    <t>Invoice di kasih tanggal 17/1/25. invoice tanggal 8 &amp; 14/01/25.MB terima di tanggal 17/1/25. Cortexnya masih belum bisa.</t>
  </si>
  <si>
    <t>241200149</t>
  </si>
  <si>
    <t xml:space="preserve">PT. TIGAKA DISTRINDO PERKASA JAKARTA    </t>
  </si>
  <si>
    <t>096091020</t>
  </si>
  <si>
    <t>FD&amp;C YELLOW 5 ALLK 35-42% 20KG</t>
  </si>
  <si>
    <t xml:space="preserve">PT. TIGAKA DISTRINDO PERKASA CIKARANG   </t>
  </si>
  <si>
    <t xml:space="preserve">963 </t>
  </si>
  <si>
    <t xml:space="preserve">TCSK  </t>
  </si>
  <si>
    <t>TRA COL SYN LAKE</t>
  </si>
  <si>
    <t>077001020</t>
  </si>
  <si>
    <t xml:space="preserve">FD&amp;C RED NO.40 POWDER 20KG    </t>
  </si>
  <si>
    <t xml:space="preserve">961 </t>
  </si>
  <si>
    <t>241100199</t>
  </si>
  <si>
    <t xml:space="preserve">PT. TIGAKA DISTRINDO PERKASA PHARMA     </t>
  </si>
  <si>
    <t>056011020</t>
  </si>
  <si>
    <t xml:space="preserve">FD&amp;C BLUE NO 1 POWDER 20KG    </t>
  </si>
  <si>
    <t>K71811020</t>
  </si>
  <si>
    <t>D&amp;C YELLW #10 ALLK 14-18% 20KG</t>
  </si>
  <si>
    <t xml:space="preserve">TMCC  </t>
  </si>
  <si>
    <t>TRA COS COSMETIC COLOUR</t>
  </si>
  <si>
    <t>241100227</t>
  </si>
  <si>
    <t>503262.010</t>
  </si>
  <si>
    <t xml:space="preserve">RASPBERRY RED P-WS 10KG       </t>
  </si>
  <si>
    <t>241100250</t>
  </si>
  <si>
    <t>409541-0010</t>
  </si>
  <si>
    <t xml:space="preserve">RUBY RED P-WS                 </t>
  </si>
  <si>
    <t>241200189</t>
  </si>
  <si>
    <t>503651.010</t>
  </si>
  <si>
    <t xml:space="preserve">HICKORY BROWN L-WS            </t>
  </si>
  <si>
    <t xml:space="preserve">TCNL  </t>
  </si>
  <si>
    <t>TRA COL NAT LIQUID</t>
  </si>
  <si>
    <t>241100279</t>
  </si>
  <si>
    <t>241200218</t>
  </si>
  <si>
    <t>979007.001</t>
  </si>
  <si>
    <t xml:space="preserve">MINT GREEN 97P-WS 1KG         </t>
  </si>
  <si>
    <t>241100295</t>
  </si>
  <si>
    <t>241200225</t>
  </si>
  <si>
    <t>PT. TIGAKA DISTRINDO PERKASA JAKARTA -HI</t>
  </si>
  <si>
    <t>03509A014</t>
  </si>
  <si>
    <t xml:space="preserve">PEACH ORANGE 13.5KG           </t>
  </si>
  <si>
    <t>PT. TIGAKA DISTRINDO PERKASA CIKARANG-HI</t>
  </si>
  <si>
    <t>Handy Inarto</t>
  </si>
  <si>
    <t>104</t>
  </si>
  <si>
    <t>241200226</t>
  </si>
  <si>
    <t>241200228</t>
  </si>
  <si>
    <t>PT. TIGAKA DISTRINDO PERKASA JAKARTA -AA</t>
  </si>
  <si>
    <t>979007.005</t>
  </si>
  <si>
    <t xml:space="preserve">MINT GREEN 97P-WS 5KG         </t>
  </si>
  <si>
    <t>PT. TIGAKA DISTRINDO PERKASA CIKARANG-AA</t>
  </si>
  <si>
    <t>241200233</t>
  </si>
  <si>
    <t>241100225</t>
  </si>
  <si>
    <t>952360010</t>
  </si>
  <si>
    <t xml:space="preserve">PONCEAU 4R LAKE MD 10KG       </t>
  </si>
  <si>
    <t>241100257</t>
  </si>
  <si>
    <t>909324B10</t>
  </si>
  <si>
    <t xml:space="preserve">EUROLAKE CARMOISINE 10KG      </t>
  </si>
  <si>
    <t>241100262</t>
  </si>
  <si>
    <t>097331001</t>
  </si>
  <si>
    <t xml:space="preserve">FD&amp;C YELLOW 5 ALLK 14-16% 1KG </t>
  </si>
  <si>
    <t>241100269</t>
  </si>
  <si>
    <t>241200215</t>
  </si>
  <si>
    <t>091451020</t>
  </si>
  <si>
    <t xml:space="preserve">BROWN LAKE BLEND R            </t>
  </si>
  <si>
    <t>241200219</t>
  </si>
  <si>
    <t>036431020</t>
  </si>
  <si>
    <t xml:space="preserve">BERRY MICROFINE 20KG          </t>
  </si>
  <si>
    <t>97CB0935</t>
  </si>
  <si>
    <t xml:space="preserve">CM RED 500CPWD                </t>
  </si>
  <si>
    <t xml:space="preserve">TCSB  </t>
  </si>
  <si>
    <t>TRA COL SYN DYE POWDER BLEND</t>
  </si>
  <si>
    <t>241200229</t>
  </si>
  <si>
    <t>T230104</t>
  </si>
  <si>
    <t xml:space="preserve">EUROBLEND GREEN 973           </t>
  </si>
  <si>
    <t>Invoaice di kasih sore jam pulang kerja jam 17:38.invoaice tanggal 2,10/1/25. MB terima di tanggal 17/1/25. Cortexnya masih belum bisa.</t>
  </si>
  <si>
    <t>B2410011</t>
  </si>
  <si>
    <t>PT KIANTAKA RASA</t>
  </si>
  <si>
    <t>11100094</t>
  </si>
  <si>
    <t>CARMINE LAKE HIGH TINTING 50%</t>
  </si>
  <si>
    <t>966</t>
  </si>
  <si>
    <t>LF-2852/24</t>
  </si>
  <si>
    <t>PT. SARI INCOFOOD CORPORATION</t>
  </si>
  <si>
    <t>MINT GREEN 97P-WS 1KG</t>
  </si>
  <si>
    <t>4500014241</t>
  </si>
  <si>
    <t>PT. GLICO MANUFACTURING INDONESIA</t>
  </si>
  <si>
    <t>T40283000</t>
  </si>
  <si>
    <t>T40283000 RED DISPERSION OB</t>
  </si>
  <si>
    <t>35</t>
  </si>
  <si>
    <t>964</t>
  </si>
  <si>
    <t>Multinational</t>
  </si>
  <si>
    <t>225984</t>
  </si>
  <si>
    <t>NUTRIFOOD</t>
  </si>
  <si>
    <t>C86040O20</t>
  </si>
  <si>
    <t>EUROCERT SUNSET YELLOW BG</t>
  </si>
  <si>
    <t>PT. NUTRIFOOD INDONESIA BOGOR</t>
  </si>
  <si>
    <t>960</t>
  </si>
  <si>
    <t>225432</t>
  </si>
  <si>
    <t>056011001</t>
  </si>
  <si>
    <t>FD&amp;C BLUE NO 1 POWDER 1KG</t>
  </si>
  <si>
    <t>PT. NUTRIFOOD INDONESIA MM2100</t>
  </si>
  <si>
    <t>961</t>
  </si>
  <si>
    <t>TCSP</t>
  </si>
  <si>
    <t>225433</t>
  </si>
  <si>
    <t>225439</t>
  </si>
  <si>
    <t>M70000020</t>
  </si>
  <si>
    <t>CARMOISINE  20KG</t>
  </si>
  <si>
    <t>225440</t>
  </si>
  <si>
    <t>228541</t>
  </si>
  <si>
    <t>97CB0361</t>
  </si>
  <si>
    <t>SPIRULINA COLOR EXTRACT 1KG</t>
  </si>
  <si>
    <t>227514</t>
  </si>
  <si>
    <t>97CB1001.01</t>
  </si>
  <si>
    <t>BEET RED 2000 SPWS</t>
  </si>
  <si>
    <t>225988</t>
  </si>
  <si>
    <t>M86030020</t>
  </si>
  <si>
    <t>EUROCERT TARTRAZINE BG 311050</t>
  </si>
  <si>
    <t>229720</t>
  </si>
  <si>
    <t>Invoice di kasih pagi jam 09:30. Invoice tanggal 17/1/25.MB terima di tanggal 22/1/25.</t>
  </si>
  <si>
    <t xml:space="preserve">PT. Sensient Technologies Indonesia </t>
  </si>
  <si>
    <t>025710</t>
  </si>
  <si>
    <t>PT. OGAWA INDONESIA</t>
  </si>
  <si>
    <t>1206750</t>
  </si>
  <si>
    <t>LIME EXTRACT SNO C2122</t>
  </si>
  <si>
    <t>DEL</t>
  </si>
  <si>
    <t>Invoice  dikasih jam 09:30. invoice tanggal 3/1/25. MB terima di tanggal 23/1/25.</t>
  </si>
  <si>
    <t>PT. TIGAKA DISTRINDO PERKASA PHARMA</t>
  </si>
  <si>
    <t>FD&amp;C RED NO.40 POWDER 20KG</t>
  </si>
  <si>
    <t>241100256</t>
  </si>
  <si>
    <t>030131005</t>
  </si>
  <si>
    <t>BETA CAROTENE ORANGE P 10% 5KG</t>
  </si>
  <si>
    <t>TCNP</t>
  </si>
  <si>
    <t>BERRY MICROFINE 20KG</t>
  </si>
  <si>
    <t>241200205</t>
  </si>
  <si>
    <t>PT. TIGAKA DISTRINDO PERKASA JAKARTA</t>
  </si>
  <si>
    <t>PT. TIGAKA DISTRINDO PERKASA CIKARANG</t>
  </si>
  <si>
    <t>241200216</t>
  </si>
  <si>
    <t>97CA0826</t>
  </si>
  <si>
    <t>SPIRULINA DISPERSION OB</t>
  </si>
  <si>
    <t>251200003</t>
  </si>
  <si>
    <t>251200004</t>
  </si>
  <si>
    <t>251200006</t>
  </si>
  <si>
    <t>IC10348</t>
  </si>
  <si>
    <t>BRIGHT RED P-WS</t>
  </si>
  <si>
    <t>Invoice  dikasih jam 09:30. invoice tanggal 2,10,14,17/1/25. MB terima di tanggal 23/1/25.</t>
  </si>
  <si>
    <t>Catatan MB</t>
  </si>
  <si>
    <t>4100166892</t>
  </si>
  <si>
    <t>PT. FORISA NUSAPERSADA</t>
  </si>
  <si>
    <t>MIDNIGHT BLACK P-WD 10KG</t>
  </si>
  <si>
    <t>4100166891</t>
  </si>
  <si>
    <t>HICKORY BROWN L-WS</t>
  </si>
  <si>
    <t>TCNL</t>
  </si>
  <si>
    <t>241200209</t>
  </si>
  <si>
    <t>506091C-0013</t>
  </si>
  <si>
    <t>FUSION HAZELNUT BROWN L-WS</t>
  </si>
  <si>
    <t>241200214</t>
  </si>
  <si>
    <t>409050.005</t>
  </si>
  <si>
    <t>PAPRIKA EXT 20000 CU L-WS 5KG</t>
  </si>
  <si>
    <t>241100304</t>
  </si>
  <si>
    <t>MINT GREEN 97P-WS 5KG</t>
  </si>
  <si>
    <t>251200012</t>
  </si>
  <si>
    <t>086211020</t>
  </si>
  <si>
    <t>SUNSET YELLOW CS 20KG</t>
  </si>
  <si>
    <t>4100167349</t>
  </si>
  <si>
    <t>Invoice di kasih tanggal 28/1/25. Invoice tgl 15,23,24. coratex masih nyoba,MB terima di tanggal 28/1/25. jam 11:08.</t>
  </si>
  <si>
    <t>HS-Code</t>
  </si>
  <si>
    <t>1109656820</t>
  </si>
  <si>
    <t>OVP-L</t>
  </si>
  <si>
    <t>1050478800</t>
  </si>
  <si>
    <t>2024444</t>
  </si>
  <si>
    <t>093101020</t>
  </si>
  <si>
    <t>IDF5028</t>
  </si>
  <si>
    <t>IDF2003</t>
  </si>
  <si>
    <t>509231020</t>
  </si>
  <si>
    <t>043771020</t>
  </si>
  <si>
    <t>503650.010</t>
  </si>
  <si>
    <t>503269-0013</t>
  </si>
  <si>
    <t>099011020</t>
  </si>
  <si>
    <t>1050598980</t>
  </si>
  <si>
    <t>97AB6464</t>
  </si>
  <si>
    <t>11100444</t>
  </si>
  <si>
    <t>AA000682015</t>
  </si>
  <si>
    <t>096051020</t>
  </si>
  <si>
    <t>953019</t>
  </si>
  <si>
    <t>409812-0010</t>
  </si>
  <si>
    <t>500254</t>
  </si>
  <si>
    <t>419450-0005</t>
  </si>
  <si>
    <t>501841010</t>
  </si>
  <si>
    <t>97CB0713</t>
  </si>
  <si>
    <t>CARGILL BROWN 01</t>
  </si>
  <si>
    <t>11100101</t>
  </si>
  <si>
    <t>312726B20A</t>
  </si>
  <si>
    <t>080061020</t>
  </si>
  <si>
    <t>661541300</t>
  </si>
  <si>
    <t>K71561005</t>
  </si>
  <si>
    <t>409197.005</t>
  </si>
  <si>
    <t>503252.005</t>
  </si>
  <si>
    <t>812726.001</t>
  </si>
  <si>
    <t>1008421740</t>
  </si>
  <si>
    <t>AA000486.015</t>
  </si>
  <si>
    <t>97CB0245</t>
  </si>
  <si>
    <t>1008421</t>
  </si>
  <si>
    <t>993030010</t>
  </si>
  <si>
    <t>044921620</t>
  </si>
  <si>
    <t>037171725</t>
  </si>
  <si>
    <t>1050629980</t>
  </si>
  <si>
    <t>1104204820</t>
  </si>
  <si>
    <t>66137015</t>
  </si>
  <si>
    <t>048341001</t>
  </si>
  <si>
    <t>61128015</t>
  </si>
  <si>
    <t>1050404861</t>
  </si>
  <si>
    <t>311804020</t>
  </si>
  <si>
    <t>97AD1108</t>
  </si>
  <si>
    <t>SN1000067330</t>
  </si>
  <si>
    <t>503660.0010</t>
  </si>
  <si>
    <t>20MF860</t>
  </si>
  <si>
    <t>CM-0018</t>
  </si>
  <si>
    <t>9629410010</t>
  </si>
  <si>
    <t>419360-0010</t>
  </si>
  <si>
    <t>1050359878</t>
  </si>
  <si>
    <t>9632640010</t>
  </si>
  <si>
    <t>9633780010</t>
  </si>
  <si>
    <t>9632820010</t>
  </si>
  <si>
    <t>099021020</t>
  </si>
  <si>
    <t>080051020</t>
  </si>
  <si>
    <t>M73010020</t>
  </si>
  <si>
    <t>952113</t>
  </si>
  <si>
    <t>503556-0010</t>
  </si>
  <si>
    <t>K70641001</t>
  </si>
  <si>
    <t>036431005</t>
  </si>
  <si>
    <t>K70071001</t>
  </si>
  <si>
    <t>057581005</t>
  </si>
  <si>
    <t>K70151001</t>
  </si>
  <si>
    <t>070041005</t>
  </si>
  <si>
    <t>98AF5140</t>
  </si>
  <si>
    <t>032551001</t>
  </si>
  <si>
    <t>59016C</t>
  </si>
  <si>
    <t>31030</t>
  </si>
  <si>
    <t>31071</t>
  </si>
  <si>
    <t>36003</t>
  </si>
  <si>
    <t>050351001</t>
  </si>
  <si>
    <t>31012</t>
  </si>
  <si>
    <t>36005</t>
  </si>
  <si>
    <t>077041020</t>
  </si>
  <si>
    <t>9636400025</t>
  </si>
  <si>
    <t>035091714</t>
  </si>
  <si>
    <t>1050569980</t>
  </si>
  <si>
    <t>035551020</t>
  </si>
  <si>
    <t>66180015</t>
  </si>
  <si>
    <t>003771256</t>
  </si>
  <si>
    <t>095709005</t>
  </si>
  <si>
    <t>054601020</t>
  </si>
  <si>
    <t>97AA1999</t>
  </si>
  <si>
    <t>65769010B</t>
  </si>
  <si>
    <t>66146015</t>
  </si>
  <si>
    <t>03030C</t>
  </si>
  <si>
    <t>350601020</t>
  </si>
  <si>
    <t>2285</t>
  </si>
  <si>
    <t>046401005</t>
  </si>
  <si>
    <t>517884702</t>
  </si>
  <si>
    <t>964072.20</t>
  </si>
  <si>
    <t>620501020</t>
  </si>
  <si>
    <t>96322600.20</t>
  </si>
  <si>
    <t>312726B20</t>
  </si>
  <si>
    <t>C86040020</t>
  </si>
  <si>
    <t>099011001</t>
  </si>
  <si>
    <t>97CB0772</t>
  </si>
  <si>
    <t>CM-0015</t>
  </si>
  <si>
    <t>9629410020</t>
  </si>
  <si>
    <t>525851720</t>
  </si>
  <si>
    <t>97CB0711</t>
  </si>
  <si>
    <t>038021300</t>
  </si>
  <si>
    <t>042111701</t>
  </si>
  <si>
    <t>952366</t>
  </si>
  <si>
    <t>97CB0486</t>
  </si>
  <si>
    <t>054391020</t>
  </si>
  <si>
    <t>98AF0353</t>
  </si>
  <si>
    <t>1052117983</t>
  </si>
  <si>
    <t>97CB1001</t>
  </si>
  <si>
    <t>97CB0725</t>
  </si>
  <si>
    <t>M73030020</t>
  </si>
  <si>
    <t>M70010020</t>
  </si>
  <si>
    <t>409197A-0005</t>
  </si>
  <si>
    <t>500095X25</t>
  </si>
  <si>
    <t>086201005</t>
  </si>
  <si>
    <t>67202015</t>
  </si>
  <si>
    <t>503006.010</t>
  </si>
  <si>
    <t>089401020</t>
  </si>
  <si>
    <t>030291700</t>
  </si>
  <si>
    <t>K70591001</t>
  </si>
  <si>
    <t>C71331020</t>
  </si>
  <si>
    <t>IF2001</t>
  </si>
  <si>
    <t>03802</t>
  </si>
  <si>
    <t>K71561020</t>
  </si>
  <si>
    <t>AA001037010</t>
  </si>
  <si>
    <t>K70571001</t>
  </si>
  <si>
    <t>057001005</t>
  </si>
  <si>
    <t>065081020</t>
  </si>
  <si>
    <t>967081</t>
  </si>
  <si>
    <t>037391020</t>
  </si>
  <si>
    <t>97CB0907</t>
  </si>
  <si>
    <t>952616</t>
  </si>
  <si>
    <t>057581020</t>
  </si>
  <si>
    <t>952777</t>
  </si>
  <si>
    <t>2608</t>
  </si>
  <si>
    <t>070031020</t>
  </si>
  <si>
    <t>993060010</t>
  </si>
  <si>
    <t>964129</t>
  </si>
  <si>
    <t>503213.020</t>
  </si>
  <si>
    <t>509191020</t>
  </si>
  <si>
    <t>952893</t>
  </si>
  <si>
    <t>97CB0988</t>
  </si>
  <si>
    <t>503001C</t>
  </si>
  <si>
    <t>099031020</t>
  </si>
  <si>
    <t>096061020</t>
  </si>
  <si>
    <t>355.005</t>
  </si>
  <si>
    <t>11100488</t>
  </si>
  <si>
    <t>096101020</t>
  </si>
  <si>
    <t>951090B003</t>
  </si>
  <si>
    <t>096231020</t>
  </si>
  <si>
    <t>509231320</t>
  </si>
  <si>
    <t>M98110C20</t>
  </si>
  <si>
    <t>97CB0781</t>
  </si>
  <si>
    <t>9642640025</t>
  </si>
  <si>
    <t>1050560829</t>
  </si>
  <si>
    <t>1103880820</t>
  </si>
  <si>
    <t>9642640025.S</t>
  </si>
  <si>
    <t>C15P.030-0020</t>
  </si>
  <si>
    <t>506531020</t>
  </si>
  <si>
    <t>50986C-001</t>
  </si>
  <si>
    <t>20MF300</t>
  </si>
  <si>
    <t>97CB0148</t>
  </si>
  <si>
    <t>9027-0010</t>
  </si>
  <si>
    <t>9638860005</t>
  </si>
  <si>
    <t>C15P.029-0020</t>
  </si>
  <si>
    <t>AA001021010</t>
  </si>
  <si>
    <t>9632690025</t>
  </si>
  <si>
    <t>419333.0005</t>
  </si>
  <si>
    <t>K71771005</t>
  </si>
  <si>
    <t>419104-0010</t>
  </si>
  <si>
    <t>503212-0010</t>
  </si>
  <si>
    <t>AA000545</t>
  </si>
  <si>
    <t>9630310005</t>
  </si>
  <si>
    <t>9631080010</t>
  </si>
  <si>
    <t>9638940010</t>
  </si>
  <si>
    <t>IF4149</t>
  </si>
  <si>
    <t>065091005</t>
  </si>
  <si>
    <t>AA001095010</t>
  </si>
  <si>
    <t>9634860010</t>
  </si>
  <si>
    <t>9637990020</t>
  </si>
  <si>
    <t>AA001247010</t>
  </si>
  <si>
    <t>043771005</t>
  </si>
  <si>
    <t>503201.0010</t>
  </si>
  <si>
    <t>IC10387</t>
  </si>
  <si>
    <t>IC10779</t>
  </si>
  <si>
    <t>506091-0013</t>
  </si>
  <si>
    <t>88513C</t>
  </si>
  <si>
    <t>952895</t>
  </si>
  <si>
    <t>9639790020</t>
  </si>
  <si>
    <t>IF4851</t>
  </si>
  <si>
    <t>056021020</t>
  </si>
  <si>
    <t>50195C</t>
  </si>
  <si>
    <t>97CB0896</t>
  </si>
  <si>
    <t>11100414</t>
  </si>
  <si>
    <t>20MF804</t>
  </si>
  <si>
    <t>9643250010</t>
  </si>
  <si>
    <t>9639370025</t>
  </si>
  <si>
    <t>AA000934010</t>
  </si>
  <si>
    <t>K71771001</t>
  </si>
  <si>
    <t>CHEESEMATE 3036</t>
  </si>
  <si>
    <t>OVP-L - 25KG</t>
  </si>
  <si>
    <t>PROTEX 2617 - 25KG</t>
  </si>
  <si>
    <t>DB XF1951 10KG</t>
  </si>
  <si>
    <t>CINNABON Caramel Topping</t>
  </si>
  <si>
    <t>PEACH ORANGE 13.5KG</t>
  </si>
  <si>
    <t>DB XF1591 10KG</t>
  </si>
  <si>
    <t>FD&amp;C RED 40 ALLK 35-42% (20KG)</t>
  </si>
  <si>
    <t>DB N2945 (FML10) 10KG</t>
  </si>
  <si>
    <t>HONEY FLAVOR</t>
  </si>
  <si>
    <t>DB XF1589 10KG</t>
  </si>
  <si>
    <t>BLACK IRON OXIDE</t>
  </si>
  <si>
    <t>YELLOW MICROFINE</t>
  </si>
  <si>
    <t>HICKORY BROWN P-WS</t>
  </si>
  <si>
    <t>RASPBERRY RED L-WS 13KG</t>
  </si>
  <si>
    <t>FD&amp;C BLUE 1 ALLK 11-13% 20KG</t>
  </si>
  <si>
    <t>PROTEX BEFSATE 4</t>
  </si>
  <si>
    <t>HONEYDEW MELON FLAVOR - 20KG</t>
  </si>
  <si>
    <t>LIQUID CARMINE PURPLE 2G</t>
  </si>
  <si>
    <t>YEAST BLEND 15KG</t>
  </si>
  <si>
    <t>FD&amp;C YELLOW 5 ALLK 24-28% 20KG</t>
  </si>
  <si>
    <t>CLA005</t>
  </si>
  <si>
    <t>BROWN LAKE BLEND R</t>
  </si>
  <si>
    <t>TRUE PINEAPPLE YELLOW 13L-WS</t>
  </si>
  <si>
    <t>ENOCOLOR PA P-WS E163</t>
  </si>
  <si>
    <t>NATURAL GREEN  L-OS</t>
  </si>
  <si>
    <t>YELLOW IRON OXIDE 10KG</t>
  </si>
  <si>
    <t>FD&amp;C YELLOW 5 ALLK 14-16% 1KG</t>
  </si>
  <si>
    <t>BC YELLOW 10CLWS</t>
  </si>
  <si>
    <t>CARMINE WS RED BLUE 50%</t>
  </si>
  <si>
    <t>EUROCERT PATENT BLUE V</t>
  </si>
  <si>
    <t>FD&amp;C YELLOW 6 POWDER 20KG</t>
  </si>
  <si>
    <t>SPECTRACOL QUINOLINE YELLOW LK</t>
  </si>
  <si>
    <t>D&amp;C RED 30 AL LK 5KG</t>
  </si>
  <si>
    <t>CM RED 500CPWD</t>
  </si>
  <si>
    <t>TRUE MANDARIN ORANGE 10 P-WD</t>
  </si>
  <si>
    <t>CARDINAL RED 20P-WS</t>
  </si>
  <si>
    <t>SPECTRACOL PATENT BLUE V</t>
  </si>
  <si>
    <t>TERPENELESS LEMON EXTRACT 0.9</t>
  </si>
  <si>
    <t>DB XF1745 10KG</t>
  </si>
  <si>
    <t>CONDENSED MILK FLAVOR</t>
  </si>
  <si>
    <t>97CB0245 NAT.YELLOW COLOR P-WS</t>
  </si>
  <si>
    <t>NUT BROWN SHADE R</t>
  </si>
  <si>
    <t>TERPENELESS LEMON EXTRACT</t>
  </si>
  <si>
    <t>EUROLAKE ERYTHROSINE MD 10KG</t>
  </si>
  <si>
    <t>04492 PURPLE BLEND 720 GRAM</t>
  </si>
  <si>
    <t>ORGANIC CARAMEL LIQUID COLOR</t>
  </si>
  <si>
    <t>PROFLAV 3148</t>
  </si>
  <si>
    <t>FLAVORMATE 67010</t>
  </si>
  <si>
    <t>NATURAL CRANBERRY FLAVOUR 15KG</t>
  </si>
  <si>
    <t>RED MICROFINE 1KG</t>
  </si>
  <si>
    <t>ORANGE FLAV SOLUBLE 15KG</t>
  </si>
  <si>
    <t>PROTEX 202 PASTE</t>
  </si>
  <si>
    <t>EUROCERT CARMOISINE 311804</t>
  </si>
  <si>
    <t>CHERRY FLAVOR - 20KG</t>
  </si>
  <si>
    <t>HAZELNUT FLAVOR SN1000067330</t>
  </si>
  <si>
    <t>CARDEA MACCHIATO BROWN P-WS</t>
  </si>
  <si>
    <t>PURPLE MF 5KG</t>
  </si>
  <si>
    <t>PONCEAU 4R LAKE MD 10KG</t>
  </si>
  <si>
    <t>SPECTRABLEND WHITE</t>
  </si>
  <si>
    <t>ORANGE FLAVOUR SD N6136</t>
  </si>
  <si>
    <t>AVALANCHE MB P-WD 10KG</t>
  </si>
  <si>
    <t>MEAT FLAVOURING</t>
  </si>
  <si>
    <t>BOYSENBERRY FLAV SD N7031</t>
  </si>
  <si>
    <t>KIWIFRUIT FLV SD NAT N7760</t>
  </si>
  <si>
    <t>BLUEBERRY FLAVOUR SD N7586</t>
  </si>
  <si>
    <t>FD&amp;C BLUE 2 ALLK 12-14% 20KG</t>
  </si>
  <si>
    <t>FD&amp;C YELLOW 5 POWDER 20KG</t>
  </si>
  <si>
    <t>EUROCERT PONCEU 4R PDC85% 20KG</t>
  </si>
  <si>
    <t>FOAMING AGENT 25 KG</t>
  </si>
  <si>
    <t>FD&amp;C BLUE NO 1 POWDER 20KG</t>
  </si>
  <si>
    <t>CARDEA PEAR GREEN P-WD</t>
  </si>
  <si>
    <t>D&amp;C YELLOW NO.11 1KG</t>
  </si>
  <si>
    <t>BERRY MICROFINE 5KG</t>
  </si>
  <si>
    <t>D&amp;C RED NO.17 1KG</t>
  </si>
  <si>
    <t>GRAPE SHADE R SD 5KG</t>
  </si>
  <si>
    <t>D&amp;C GREEN NO.5 1KG</t>
  </si>
  <si>
    <t>FD&amp;C RED NO.4 POWDER 5KG</t>
  </si>
  <si>
    <t>HAZELNUT FLAVOR</t>
  </si>
  <si>
    <t>TUMERIC CG 90</t>
  </si>
  <si>
    <t>AVALANCHE XTRA</t>
  </si>
  <si>
    <t>SALT</t>
  </si>
  <si>
    <t>CHILLI POWDER</t>
  </si>
  <si>
    <t>CHINESE GARLIC POWDER</t>
  </si>
  <si>
    <t>NUT BROWN SHADE R 1KG</t>
  </si>
  <si>
    <t>MSG</t>
  </si>
  <si>
    <t>TOASTED ONION POWDER</t>
  </si>
  <si>
    <t>FD&amp;C RED NO.40 GRAN DM 20KG</t>
  </si>
  <si>
    <t>ALMOND FLAVOUR N9629 25KG</t>
  </si>
  <si>
    <t>PAPRIKA OLEORESIN 2000 ASTA</t>
  </si>
  <si>
    <t>PROTEX 305</t>
  </si>
  <si>
    <t>STRAWBERRY MICROFINE 20KG</t>
  </si>
  <si>
    <t>BLUEBERRY FLAVOUR NI 15KG</t>
  </si>
  <si>
    <t>LIQUID CARAMEL COLOR 25 KG</t>
  </si>
  <si>
    <t>D&amp;C RED LAKE BLEND 5KG</t>
  </si>
  <si>
    <t>BROWN MICROFINE 20KG</t>
  </si>
  <si>
    <t>LONGAN FLAVOUR</t>
  </si>
  <si>
    <t>401119 ORANGE EMULSION 10KG</t>
  </si>
  <si>
    <t>CLASSIC NAT STRAWBERRY FL 15KG</t>
  </si>
  <si>
    <t>BC ORANGE 20CLWS 10KG</t>
  </si>
  <si>
    <t>YELLOW IRON OXDE BC RM806 20KG</t>
  </si>
  <si>
    <t>CARMINE WS RED SHADE 20%</t>
  </si>
  <si>
    <t>SUPRA RED POWDER</t>
  </si>
  <si>
    <t>PVH JED C/A 5178847B.A</t>
  </si>
  <si>
    <t>DBOOST BUTTER FLV N14534 *A</t>
  </si>
  <si>
    <t>COSMETIC RED IRON OXIDE 20KG</t>
  </si>
  <si>
    <t>YOGHURT FLV SD N7989 (H) 20KG</t>
  </si>
  <si>
    <t>PATENT BLUE V 20KG</t>
  </si>
  <si>
    <t>EUROCERT SUNSET YELLOW BG 20KG</t>
  </si>
  <si>
    <t>FD&amp;C BLUE 1 ALLK 11-13% 1KG</t>
  </si>
  <si>
    <t>CARMINE L-WS</t>
  </si>
  <si>
    <t>SPECTRABLEND RED</t>
  </si>
  <si>
    <t>ORANGE FLAVOUR SD N6136 20KG</t>
  </si>
  <si>
    <t>RED DISPERSION OB</t>
  </si>
  <si>
    <t>PR RED 1500SLOS</t>
  </si>
  <si>
    <t>PURPLE SWEET POTATO POWDER</t>
  </si>
  <si>
    <t>SPIRULINA EXTRACT 1KG</t>
  </si>
  <si>
    <t>EUROLAKE BROWN 601118@</t>
  </si>
  <si>
    <t>MR RED 390SPWS 20KG</t>
  </si>
  <si>
    <t>CARAMEL POWDERED COLOR 22.68KG</t>
  </si>
  <si>
    <t>CARAMEL FLAVOR - 20KG</t>
  </si>
  <si>
    <t>SAVORYMATE 515 - 15KG</t>
  </si>
  <si>
    <t>CM RED 500CPWS</t>
  </si>
  <si>
    <t>EUROCERT PONCEAU 4R</t>
  </si>
  <si>
    <t>EUROCERT CARMOISIN 311804 20KG</t>
  </si>
  <si>
    <t>TRUE MANDARIN ORANGE10P-WD 5KG</t>
  </si>
  <si>
    <t>KOWET TITANIUM DIOXIDE 25KG*</t>
  </si>
  <si>
    <t>SUNSET YELLOW FCF E 110 5KG</t>
  </si>
  <si>
    <t>BERRY BLEND MF 15KG</t>
  </si>
  <si>
    <t>SUNNY PINEAPPLE YELLOW 17P-WS</t>
  </si>
  <si>
    <t>QUINOLINE YELLOW E104</t>
  </si>
  <si>
    <t>RED SUSPENSION AF</t>
  </si>
  <si>
    <t>D&amp;C YELLOW NO.10 1KG</t>
  </si>
  <si>
    <t>PURIFIED BLACK OXIDE BC 20KG</t>
  </si>
  <si>
    <t>CHEDDAR CHEESE FLAVOUR</t>
  </si>
  <si>
    <t>D&amp;C RED 30 AL LK 20KG</t>
  </si>
  <si>
    <t>MINT GREEN P-WS 10KG</t>
  </si>
  <si>
    <t>D&amp;C RED NO.33 (1KG)</t>
  </si>
  <si>
    <t>FD&amp;C BLUE NO.1 GRAN DM 5KG</t>
  </si>
  <si>
    <t>FAST LIME GREEN 20KG</t>
  </si>
  <si>
    <t>DAIRYBOOST PARMESAN CHEESE *A</t>
  </si>
  <si>
    <t>CARAMEL POWDER DS ACID PROOF</t>
  </si>
  <si>
    <t>NATURAL CAROTENE LOS</t>
  </si>
  <si>
    <t>BROWN HT</t>
  </si>
  <si>
    <t>GRAPE SHADE R SD</t>
  </si>
  <si>
    <t>EUROBLEND GREEN 973</t>
  </si>
  <si>
    <t>YELLOW COLOR</t>
  </si>
  <si>
    <t>EUROLAKE CARMOISINE 10KG</t>
  </si>
  <si>
    <t>CARMINE WS 5% - 20KG</t>
  </si>
  <si>
    <t>FD&amp;C RED NO.3 POWDER 20KG</t>
  </si>
  <si>
    <t>EUROLAKE ERYTHROSINE 10KG 10KG</t>
  </si>
  <si>
    <t>DB BUTTER FLV N14142 *A</t>
  </si>
  <si>
    <t>VITIS RED 4P-WS 20KG</t>
  </si>
  <si>
    <t>NO.50919 RED IRON OXIDE 20KG</t>
  </si>
  <si>
    <t>RED POWDER 362</t>
  </si>
  <si>
    <t>NATURAL CAROTENE EMULSION</t>
  </si>
  <si>
    <t>FB Orange 3C LOS</t>
  </si>
  <si>
    <t>FD&amp;C BLUE 1 ALLK 35-42% 20KG</t>
  </si>
  <si>
    <t>FD&amp;C YELLOW 6 ALLK 17-19% 20KG</t>
  </si>
  <si>
    <t>CARMINE LAKE 30%</t>
  </si>
  <si>
    <t>RUBY RED P-WS</t>
  </si>
  <si>
    <t>FD&amp;C YELLOW 6 ALLK 35-42% 20KG</t>
  </si>
  <si>
    <t>CINNABON CARAMEL TOPPING @</t>
  </si>
  <si>
    <t>FD&amp;C YELLOW 6 AL LK20-24% 20KG</t>
  </si>
  <si>
    <t>BLACK IRON OXIDE 509231320</t>
  </si>
  <si>
    <t>RASPBERRY RED P-WS 10KG</t>
  </si>
  <si>
    <t>RED NO 5 E 122 EXTRUKLEEN</t>
  </si>
  <si>
    <t>LZ 0414</t>
  </si>
  <si>
    <t>PROTEX 2526</t>
  </si>
  <si>
    <t>FSS-060301-SN</t>
  </si>
  <si>
    <t>RED BEET P</t>
  </si>
  <si>
    <t>DARK TABLT BROWN IRON OXD 20KG</t>
  </si>
  <si>
    <t>RED IRON OXIDE</t>
  </si>
  <si>
    <t>YELLOW MF</t>
  </si>
  <si>
    <t>INTENSE YELLOW 75L-WS</t>
  </si>
  <si>
    <t>VANILLA FLV N12459 5KG</t>
  </si>
  <si>
    <t>BEETROOT P</t>
  </si>
  <si>
    <t>NAT PEPPERMINT SD FLVF+ 10KG</t>
  </si>
  <si>
    <t>WATERMELON FLAVOUR N8178 25KG</t>
  </si>
  <si>
    <t>Apple Green 10L-OS</t>
  </si>
  <si>
    <t>D&amp;C RED NO. 27 ALUM LAKE</t>
  </si>
  <si>
    <t>Bright Pink P-WS</t>
  </si>
  <si>
    <t>Vitis Red 3P-WS</t>
  </si>
  <si>
    <t>EUROCERT COFFEE BROWN @</t>
  </si>
  <si>
    <t>COFFEE FLAVOUR N4592 5KG</t>
  </si>
  <si>
    <t>CHOCOLATE FLAVOUR SD N7314</t>
  </si>
  <si>
    <t>COFFEE FLV SD N7526</t>
  </si>
  <si>
    <t>CAPPUCCINO FLAVOUR</t>
  </si>
  <si>
    <t>PISTACHIO GREEN SHADE</t>
  </si>
  <si>
    <t>NAT STRAWBERRY SD FLVF+ 10KG</t>
  </si>
  <si>
    <t>COCONUT FL NAT SD N10258</t>
  </si>
  <si>
    <t>DAIRYBOOST BUTTER FL N12049 *A</t>
  </si>
  <si>
    <t>NAT GRAPE SD FLVF+ 10KG</t>
  </si>
  <si>
    <t>YELLOW MICROFINE 5KG</t>
  </si>
  <si>
    <t>Cardinal Red 10L-WS 10KG</t>
  </si>
  <si>
    <t>NAT VIOLET DISPERSION L-OD</t>
  </si>
  <si>
    <t>DARK BROWN L-OD</t>
  </si>
  <si>
    <t>SPECTRABLEND GREEN</t>
  </si>
  <si>
    <t>PURPLE BLEND</t>
  </si>
  <si>
    <t>DB MILK FLV N13888 *A</t>
  </si>
  <si>
    <t>PEACH FLAVOUR OS</t>
  </si>
  <si>
    <t>FD&amp;C BLUE NO 2 POWDER 20KG</t>
  </si>
  <si>
    <t>YELLOW IRON OXIDE</t>
  </si>
  <si>
    <t>GB BLUE 260SPWS</t>
  </si>
  <si>
    <t>BERRY MF</t>
  </si>
  <si>
    <t>NAT INTENSE ORANGE FLV SD</t>
  </si>
  <si>
    <t>SMOOTHENOL FLV N13757 25KG</t>
  </si>
  <si>
    <t>NAT CREAMY CLASSIC VANILLA SD</t>
  </si>
  <si>
    <t>Item Segment</t>
  </si>
  <si>
    <t>Savory</t>
  </si>
  <si>
    <t>Colors</t>
  </si>
  <si>
    <t>Sweet</t>
  </si>
  <si>
    <t>Beverages</t>
  </si>
  <si>
    <t>Dairy</t>
  </si>
  <si>
    <t>A320400</t>
  </si>
  <si>
    <t>A210600</t>
  </si>
  <si>
    <t>Hs-Code</t>
  </si>
  <si>
    <t>Ship To Adress</t>
  </si>
  <si>
    <t>Ciawi Pusat</t>
  </si>
  <si>
    <t>Cibitung</t>
  </si>
  <si>
    <t>4100190669</t>
  </si>
  <si>
    <t xml:space="preserve">PT. COCA COLA INDONESIA JAKARTA         </t>
  </si>
  <si>
    <t xml:space="preserve">RED NO 5 E 122 EXTRUKLEEN     </t>
  </si>
  <si>
    <t xml:space="preserve">PT. COCA COLA INDONESIA BOGOR           </t>
  </si>
  <si>
    <t>4100190668</t>
  </si>
  <si>
    <t>241200200</t>
  </si>
  <si>
    <t xml:space="preserve">EUROCERT SUNSET YELLOW BG     </t>
  </si>
  <si>
    <t>241200210</t>
  </si>
  <si>
    <t xml:space="preserve">YELLOW MICROFINE              </t>
  </si>
  <si>
    <t>241200220</t>
  </si>
  <si>
    <t>241200222</t>
  </si>
  <si>
    <t xml:space="preserve">SPIRULINA DISPERSION OB       </t>
  </si>
  <si>
    <t>241200227</t>
  </si>
  <si>
    <t xml:space="preserve">NATURAL CAROTENE LOS          </t>
  </si>
  <si>
    <t>251100002</t>
  </si>
  <si>
    <t>241200153</t>
  </si>
  <si>
    <t xml:space="preserve">VITIS RED 4P-WS 20KG          </t>
  </si>
  <si>
    <t>241100228</t>
  </si>
  <si>
    <t>241100251</t>
  </si>
  <si>
    <t>241200190</t>
  </si>
  <si>
    <t>241100276</t>
  </si>
  <si>
    <t>241100284</t>
  </si>
  <si>
    <t>Invoice di kasih  tanggal 7/02/25. Finance abis clossing. MB terima di tanggal 7/2/25 jam 18:19</t>
  </si>
  <si>
    <t>POPD/GMC/25010028</t>
  </si>
  <si>
    <t>POPD/GMC/24110399</t>
  </si>
  <si>
    <t>POPD/GMC/25010030</t>
  </si>
  <si>
    <t>Invoice dikasih sore jam 15:30.Invoice tanggal 03/02/2025,MB terima di tanggal 10/2/25.</t>
  </si>
  <si>
    <t>963</t>
  </si>
  <si>
    <t>TCSK</t>
  </si>
  <si>
    <t>PT. GRAND MULTI CHEMICALS JAKARTA</t>
  </si>
  <si>
    <t>PT. GRAND MULTI CHEMICALS TANGERANG</t>
  </si>
  <si>
    <t>202</t>
  </si>
  <si>
    <t>102</t>
  </si>
  <si>
    <t>251100027</t>
  </si>
  <si>
    <t>241200199</t>
  </si>
  <si>
    <t>POPD/GMC/25010027</t>
  </si>
  <si>
    <t>4500017282</t>
  </si>
  <si>
    <t xml:space="preserve">PT. GLICO MANUFACTURING INDONESIA       </t>
  </si>
  <si>
    <t xml:space="preserve">T40283000 RED DISPERSION OB   </t>
  </si>
  <si>
    <t xml:space="preserve">964 </t>
  </si>
  <si>
    <t>Invoice di kasih Jam 15:00, invoice tanggal 6/2/25. MB terima di tanggal 11/2/25</t>
  </si>
  <si>
    <t>251100026</t>
  </si>
  <si>
    <t>88011C</t>
  </si>
  <si>
    <t>SPECTRABLEND CLEAR</t>
  </si>
  <si>
    <t>CM-2234</t>
  </si>
  <si>
    <t>SPECTRABLEND CCZ WHITE</t>
  </si>
  <si>
    <t>POPD/GMC/24120456</t>
  </si>
  <si>
    <t>PT. GRAND MULTI CHEMICALS JAKARTA-HI</t>
  </si>
  <si>
    <t>PT. GRAND MULTI CHEMICALS TANGERANG-HI</t>
  </si>
  <si>
    <t>4100167350</t>
  </si>
  <si>
    <t>4100168234</t>
  </si>
  <si>
    <t>Invoice dikasih jam 09:25.Invoice tanggal 11/2/25.MB terima di tanggal 13/2/25.pagi</t>
  </si>
  <si>
    <t xml:space="preserve">CARMINE WS 5% - 20KG          </t>
  </si>
  <si>
    <t>251200010</t>
  </si>
  <si>
    <t xml:space="preserve">PAPRIKA EXT 20000 CU L-WS 5KG </t>
  </si>
  <si>
    <t>251200005</t>
  </si>
  <si>
    <t xml:space="preserve">AVALANCHE MB P-WD 10KG        </t>
  </si>
  <si>
    <t>251100012</t>
  </si>
  <si>
    <t>251100022</t>
  </si>
  <si>
    <t>251200020</t>
  </si>
  <si>
    <t>4200028741</t>
  </si>
  <si>
    <t>PT. GLICO WINGS</t>
  </si>
  <si>
    <t>Invoaice di kasih tanggal 19/2/25. jam 17:30. Invoice tanggal 12/2/25.MB terrima tanggal 19/2/25. Ifah lupa masukin di TT.tgl 19/2/25 baru ada di TT.</t>
  </si>
  <si>
    <t>Invoice di kasih jam 17:30.Invoice tanggal 11,15/2/25. MB terima di tanggal 19/2/25. Sore di tanggal yang sama</t>
  </si>
  <si>
    <t>227724</t>
  </si>
  <si>
    <t>227731</t>
  </si>
  <si>
    <t>225990</t>
  </si>
  <si>
    <t>227737</t>
  </si>
  <si>
    <t>226599</t>
  </si>
  <si>
    <t>228542</t>
  </si>
  <si>
    <t>229721</t>
  </si>
  <si>
    <t>225986</t>
  </si>
  <si>
    <t>227732</t>
  </si>
  <si>
    <t>227736</t>
  </si>
  <si>
    <t>227738</t>
  </si>
  <si>
    <t>226598</t>
  </si>
  <si>
    <t>Invoice  dikasih siang abis makan siang tanggal 20/2/25, invoice tanggal 13/2/25. MB terima di tanggal 20/2/25. jam 14:38</t>
  </si>
  <si>
    <t>POPD/GMC/25010010</t>
  </si>
  <si>
    <t>251100018</t>
  </si>
  <si>
    <t xml:space="preserve">NO.50919 RED IRON OXIDE 20KG  </t>
  </si>
  <si>
    <t xml:space="preserve">968 </t>
  </si>
  <si>
    <t>251200032</t>
  </si>
  <si>
    <t xml:space="preserve">BLACK IRON OXIDE              </t>
  </si>
  <si>
    <t>POPD/GMC/24080292</t>
  </si>
  <si>
    <t xml:space="preserve">FSS-060301-SN                 </t>
  </si>
  <si>
    <t xml:space="preserve">201 </t>
  </si>
  <si>
    <t xml:space="preserve">TSYE  </t>
  </si>
  <si>
    <t>TRA SAV YEAST EXTRACT</t>
  </si>
  <si>
    <t>251200029</t>
  </si>
  <si>
    <t xml:space="preserve">SUNSET YELLOW CS 20KG         </t>
  </si>
  <si>
    <t>Invoice dikasih pas Mau Makan Siang, Invoice tgl 17,12,19,.MB terima Di tanggal 25/2/25. jam 12:25</t>
  </si>
  <si>
    <t xml:space="preserve">YELLOW IRON OXIDE 10KG        </t>
  </si>
  <si>
    <t>TTS - 0005</t>
  </si>
  <si>
    <t xml:space="preserve">PT. TIGA TEMAN SEKOLAH                  </t>
  </si>
  <si>
    <t xml:space="preserve">CAPPUCCINO FLAVOUR            </t>
  </si>
  <si>
    <t xml:space="preserve">CHOCOLATE FLAVOUR SD N7314    </t>
  </si>
  <si>
    <t xml:space="preserve">COFFEE FLAVOUR N4592 5KG      </t>
  </si>
  <si>
    <t xml:space="preserve">COFFEE FLV SD N7526           </t>
  </si>
  <si>
    <t xml:space="preserve">102 </t>
  </si>
  <si>
    <t>POPD/GMC/25020072</t>
  </si>
  <si>
    <t xml:space="preserve">PT. GRAND MULTI CHEMICALS JAKARTA-HI    </t>
  </si>
  <si>
    <t>9645360025</t>
  </si>
  <si>
    <t xml:space="preserve">SWEET FLAVOR MSW 001          </t>
  </si>
  <si>
    <t xml:space="preserve">PT. GRAND MULTI CHEMICALS TANGERANG-HI  </t>
  </si>
  <si>
    <t>POPD/GMC/25010036</t>
  </si>
  <si>
    <t xml:space="preserve">LZ 0414                       </t>
  </si>
  <si>
    <t xml:space="preserve">101 </t>
  </si>
  <si>
    <t>POPD/GMC/25010045</t>
  </si>
  <si>
    <t xml:space="preserve">PT. GRAND MULTI CHEMICALS JAKARTA-AA    </t>
  </si>
  <si>
    <t xml:space="preserve">SWEETEASE 3G FLAV N11839 25KG </t>
  </si>
  <si>
    <t xml:space="preserve">PT. GRAND MULTI CHEMICALS TANGERANG-AA  </t>
  </si>
  <si>
    <t>232597</t>
  </si>
  <si>
    <t xml:space="preserve">PURPLE SWEET POTATO POWDER    </t>
  </si>
  <si>
    <t xml:space="preserve">PT. NUTRIFOOD INDONESIA BOGOR           </t>
  </si>
  <si>
    <t>Invoice dikasih sore tanggal 26/2/25. Invoice tanggal 19,24/2/25. MB terima di tanggal 26/2/25 jam 15:45</t>
  </si>
  <si>
    <t>251200007</t>
  </si>
  <si>
    <t xml:space="preserve">RASPBERRY RED L-WS 13KG       </t>
  </si>
  <si>
    <t xml:space="preserve">TRUE PINEAPPLE YELLOW 13L-WS  </t>
  </si>
  <si>
    <t>251200009</t>
  </si>
  <si>
    <t xml:space="preserve">Bright Pink P-WS              </t>
  </si>
  <si>
    <t xml:space="preserve">Vitis Red 3P-WS               </t>
  </si>
  <si>
    <t xml:space="preserve">TRUE MANDARIN ORANGE 10 P-WD  </t>
  </si>
  <si>
    <t>251200021</t>
  </si>
  <si>
    <t>251200036</t>
  </si>
  <si>
    <t>4100169307</t>
  </si>
  <si>
    <t>241100220</t>
  </si>
  <si>
    <t xml:space="preserve">EUROCERT COFFEE BROWN @       </t>
  </si>
  <si>
    <t xml:space="preserve">MCSP  </t>
  </si>
  <si>
    <t>MAN COL SYN DYE POWDER</t>
  </si>
  <si>
    <t xml:space="preserve">9611  </t>
  </si>
  <si>
    <t>COLOUR DYE BLENDS</t>
  </si>
  <si>
    <t xml:space="preserve">BROWN HT                      </t>
  </si>
  <si>
    <t>251200001</t>
  </si>
  <si>
    <t xml:space="preserve">YELLOW COLOR                  </t>
  </si>
  <si>
    <t>Invoice dikasih jam 12:38. Invoice tgl 24,25,26/2/25. MB terima di tanggal 27/2/25. Abis Maksi terima</t>
  </si>
  <si>
    <t>Invoice dikasih sore jam balik kerja jam 17:46. Invoice tgl 24/2/25.MB terima di tanggal 28/2/25.</t>
  </si>
  <si>
    <t>POPD/GMC/25010037</t>
  </si>
  <si>
    <t xml:space="preserve">CINNABON CARAMEL TOPPING @    </t>
  </si>
  <si>
    <t xml:space="preserve">308 </t>
  </si>
  <si>
    <t xml:space="preserve">MKBR  </t>
  </si>
  <si>
    <t>MAN KET BROWN BASED</t>
  </si>
  <si>
    <t>4100190670</t>
  </si>
  <si>
    <t>4100169912</t>
  </si>
  <si>
    <t xml:space="preserve">QUINOLINE YELLOW E104         </t>
  </si>
  <si>
    <t xml:space="preserve">HICKORY BROWN P-WS            </t>
  </si>
  <si>
    <t>Invoice dikasih Pagi jam 09:38 tanggal 7/3/25. Invoice tgl 03/3/25.MB terima ditanggal 07/3/25,abis Clossing Finance</t>
  </si>
  <si>
    <t>251100011</t>
  </si>
  <si>
    <t xml:space="preserve">CARAMEL POWDER DS ACID PROOF  </t>
  </si>
  <si>
    <t>251100013</t>
  </si>
  <si>
    <t>251200017</t>
  </si>
  <si>
    <t>251100025</t>
  </si>
  <si>
    <t xml:space="preserve">D&amp;C YELLOW NO.10 1KG          </t>
  </si>
  <si>
    <t xml:space="preserve">D&amp;C RED 30 AL LK 20KG         </t>
  </si>
  <si>
    <t>4100169306</t>
  </si>
  <si>
    <t>251200016</t>
  </si>
  <si>
    <t>251200022</t>
  </si>
  <si>
    <t xml:space="preserve">BC YELLOW 10CLWS              </t>
  </si>
  <si>
    <t>251200026</t>
  </si>
  <si>
    <t xml:space="preserve">CARMINE L-WS                  </t>
  </si>
  <si>
    <t>Invoice di kasih pagi jam 09:30. Invoice tanggal 03/03/2025. MB terima di tanggal 10/3/25. finance abis clossing</t>
  </si>
  <si>
    <t>227922</t>
  </si>
  <si>
    <t xml:space="preserve">CARMOISINE  20KG              </t>
  </si>
  <si>
    <t xml:space="preserve">PT. NUTRIFOOD INDONESIA MM2100          </t>
  </si>
  <si>
    <t>229719</t>
  </si>
  <si>
    <t xml:space="preserve">BEET RED 2000 SPWS            </t>
  </si>
  <si>
    <t>231119</t>
  </si>
  <si>
    <t xml:space="preserve">SPIRULINA COLOR EXTRACT 1KG   </t>
  </si>
  <si>
    <t>227920</t>
  </si>
  <si>
    <t xml:space="preserve">FD&amp;C BLUE NO 1 POWDER 1KG     </t>
  </si>
  <si>
    <t>227734</t>
  </si>
  <si>
    <t>227921</t>
  </si>
  <si>
    <t>Invoice di kasih siang pas mau makan siang. Hari Jumat tanggal 14/3/25. MB terima tanggal 14/3/25. Invoice tgl 13/3/25.</t>
  </si>
  <si>
    <t>251200023</t>
  </si>
  <si>
    <t xml:space="preserve">D&amp;C YELLOW #10 AL LK          </t>
  </si>
  <si>
    <t>241200231</t>
  </si>
  <si>
    <t xml:space="preserve">LIQUID CARMINE PURPLE 2G      </t>
  </si>
  <si>
    <t>251100049</t>
  </si>
  <si>
    <t>251100054</t>
  </si>
  <si>
    <t>251200037</t>
  </si>
  <si>
    <t>251200035</t>
  </si>
  <si>
    <t>251100061</t>
  </si>
  <si>
    <t>241100293</t>
  </si>
  <si>
    <t>241100292</t>
  </si>
  <si>
    <t>241100294</t>
  </si>
  <si>
    <t>251200046</t>
  </si>
  <si>
    <t>4100170347</t>
  </si>
  <si>
    <t>4100170368</t>
  </si>
  <si>
    <t>Invoice dikasih Sore jam 16:35. Invoice tgl 13/3/25. MB terima ditanggal 17/3/25.</t>
  </si>
  <si>
    <t>001-I/25-Tifi</t>
  </si>
  <si>
    <t xml:space="preserve">PT. TRIDAYA INTERNUSA FOOD INDUSTRY     </t>
  </si>
  <si>
    <t xml:space="preserve">Apple Green 10L-OS            </t>
  </si>
  <si>
    <t>Invoice di kasih sore jam pulang kerja.Invoice tgl 15/3/25. MB terima ditanggal 21/3/25. pagi</t>
  </si>
  <si>
    <t>POPD/GMC/25010029</t>
  </si>
  <si>
    <t>POPD/GMC/25030088</t>
  </si>
  <si>
    <t>251100010</t>
  </si>
  <si>
    <t>953292</t>
  </si>
  <si>
    <t xml:space="preserve">EUROCERT STRAWBERRY           </t>
  </si>
  <si>
    <t xml:space="preserve">MCSB  </t>
  </si>
  <si>
    <t>MAN COL SYN DYE POWDER BLEND</t>
  </si>
  <si>
    <t xml:space="preserve">961   </t>
  </si>
  <si>
    <t>DYES</t>
  </si>
  <si>
    <t>POPD/GMC/25030089</t>
  </si>
  <si>
    <t>POPD/GMC/25030107</t>
  </si>
  <si>
    <t>9643730025</t>
  </si>
  <si>
    <t xml:space="preserve">SMOOTH FLAVOR MST 002         </t>
  </si>
  <si>
    <t>POPD/GMC/25030106</t>
  </si>
  <si>
    <t>Invoice dikasih sore jam balik kerja 21/3/25  jam 17:30. Invaoice tgl 20/3/25. MB terima di tanggal 24/3/25 pagi</t>
  </si>
  <si>
    <t>POPD/GMC/24120469</t>
  </si>
  <si>
    <t xml:space="preserve">CHEESEMATE 3036               </t>
  </si>
  <si>
    <t xml:space="preserve">973 </t>
  </si>
  <si>
    <t xml:space="preserve">TSYB  </t>
  </si>
  <si>
    <t>TRA SAV YEAST BLEND CONC.</t>
  </si>
  <si>
    <t>POPD/GMC/24120470</t>
  </si>
  <si>
    <t>251100053</t>
  </si>
  <si>
    <t xml:space="preserve">YELLOW IRON OXIDE             </t>
  </si>
  <si>
    <t>251200038</t>
  </si>
  <si>
    <t>251100075</t>
  </si>
  <si>
    <t>CM-2207</t>
  </si>
  <si>
    <t xml:space="preserve">Spectrablend CCZ Pink         </t>
  </si>
  <si>
    <t>Invoice dikasih Sore jam 16:00, Invoice tgl 25,21/03/2025. MB terima di tanggal 25/3/25. pagi</t>
  </si>
  <si>
    <t>241100288</t>
  </si>
  <si>
    <t>TMCC</t>
  </si>
  <si>
    <t>251200030</t>
  </si>
  <si>
    <t>251100079</t>
  </si>
  <si>
    <t>251200031</t>
  </si>
  <si>
    <t>TURMERIC CG 90</t>
  </si>
  <si>
    <t>Invoice clossing bulan maret.dikasih jam 11:45 tgl 26/3/26. Invoice tgl 24/3/25.MB terima Ditanggal 26/3/25.</t>
  </si>
  <si>
    <t>4100170287</t>
  </si>
  <si>
    <t xml:space="preserve">FD&amp;C BLUE 1 ALLK 35-42% 20KG  </t>
  </si>
  <si>
    <t>251200002</t>
  </si>
  <si>
    <t>251100003</t>
  </si>
  <si>
    <t>251200013</t>
  </si>
  <si>
    <t>251200033</t>
  </si>
  <si>
    <t>251100062</t>
  </si>
  <si>
    <t xml:space="preserve">EUROLAKE BROWN 601118@        </t>
  </si>
  <si>
    <t xml:space="preserve">D&amp;C RED NO.33 (1KG)           </t>
  </si>
  <si>
    <t xml:space="preserve">EUROCERT TARTRAZINE BG 311050 </t>
  </si>
  <si>
    <t xml:space="preserve">YELLOW MICROFINE 5KG          </t>
  </si>
  <si>
    <t>Invoice di kasih jumat sore pas MB sudah pulang tanggal 11/4/25. MB terima di tanggal 14/4/25 pagi. Finance abis clossing n Eid Mubarak</t>
  </si>
  <si>
    <t>007/ADR/PRO/03/2025</t>
  </si>
  <si>
    <t xml:space="preserve">PT. ADORE REMPAH INDONESIA              </t>
  </si>
  <si>
    <t xml:space="preserve">VANILLA FLV N12459 5KG        </t>
  </si>
  <si>
    <t xml:space="preserve">203 </t>
  </si>
  <si>
    <t>TTS - 02</t>
  </si>
  <si>
    <t>Invoice di kasih jam pulang kerja tgl 14/4/25.MB terima di tanggal 15/4/25 pagi tgl 15/4/25.</t>
  </si>
  <si>
    <t>B2502016</t>
  </si>
  <si>
    <t>11100602</t>
  </si>
  <si>
    <t>PINK CARMINE LAKE 50%</t>
  </si>
  <si>
    <t>POPD/GMC/24120419</t>
  </si>
  <si>
    <t>251200008</t>
  </si>
  <si>
    <t>251200034</t>
  </si>
  <si>
    <t>251200055</t>
  </si>
  <si>
    <t>251200056</t>
  </si>
  <si>
    <t>PT. TIGA TEMAN SEKOLAH</t>
  </si>
  <si>
    <t>251200040</t>
  </si>
  <si>
    <t>251100093</t>
  </si>
  <si>
    <t>251200058</t>
  </si>
  <si>
    <t>4100290287</t>
  </si>
  <si>
    <t>PT. COCA COLA INDONESIA JAKARTA</t>
  </si>
  <si>
    <t>PT. COCA COLA INDONESIA BOGOR</t>
  </si>
  <si>
    <t>Invoice di kasih jam 11:30 tanggal 17/4/25.Invoice tanggal 14,1516.MB terima ditanggal 17/4/25.</t>
  </si>
  <si>
    <t>POPD/GMC/25030098</t>
  </si>
  <si>
    <t>POPD/GMC/25030103</t>
  </si>
  <si>
    <t>251200039</t>
  </si>
  <si>
    <t>251200042</t>
  </si>
  <si>
    <t>251100068</t>
  </si>
  <si>
    <t>251200049</t>
  </si>
  <si>
    <t>Invoice dikasih sore jam 16:30 Invoice tgl 15,16/04/25. MB terima tanggal 21/4/25 sore itu juga.</t>
  </si>
  <si>
    <t xml:space="preserve">SPECTRABLEND GREEN            </t>
  </si>
  <si>
    <t>251200045</t>
  </si>
  <si>
    <t>251100098</t>
  </si>
  <si>
    <t>Invoice dikasih sore jam 17:00 tanggal 21/4/25. MB terima ditanggal 22/4/25 pagi. Invoice tgl 21/4/25.</t>
  </si>
  <si>
    <t>227733</t>
  </si>
  <si>
    <t>227739</t>
  </si>
  <si>
    <t>227741</t>
  </si>
  <si>
    <t>230904</t>
  </si>
  <si>
    <t>POPD/GMC/25030102</t>
  </si>
  <si>
    <t>251200043</t>
  </si>
  <si>
    <t>251200014</t>
  </si>
  <si>
    <t>241100305</t>
  </si>
  <si>
    <t>251200054</t>
  </si>
  <si>
    <t>4100171620</t>
  </si>
  <si>
    <t>Invoice Dikasih Sore jam pulang kerja jam 17:30. Invoice tanggal 24,28/4/25. MB terima ditanggal 30/4/25. Sore jam 18:45</t>
  </si>
  <si>
    <t>POPD/GMC/25030085</t>
  </si>
  <si>
    <t xml:space="preserve">DB BUTTER FLV N14142 *A       </t>
  </si>
  <si>
    <t>POPD/GMC/25040135</t>
  </si>
  <si>
    <t>POPD/GMC/25040137</t>
  </si>
  <si>
    <t>POPD/GMC/25010031</t>
  </si>
  <si>
    <t>POPD/GMC/25040136</t>
  </si>
  <si>
    <t>251200041</t>
  </si>
  <si>
    <t>251100066</t>
  </si>
  <si>
    <t>251100069</t>
  </si>
  <si>
    <t>251100078</t>
  </si>
  <si>
    <t xml:space="preserve">GRAPE SHADE R SD              </t>
  </si>
  <si>
    <t>251100083</t>
  </si>
  <si>
    <t xml:space="preserve">FD&amp;C RED NO.3 POWDER 20KG     </t>
  </si>
  <si>
    <t>251200051</t>
  </si>
  <si>
    <t>251200052</t>
  </si>
  <si>
    <t>251100086</t>
  </si>
  <si>
    <t>251100094</t>
  </si>
  <si>
    <t>251100096</t>
  </si>
  <si>
    <t>251200059</t>
  </si>
  <si>
    <t xml:space="preserve">FD&amp;C YELLOW 5 POWDER 20KG     </t>
  </si>
  <si>
    <t>241200224</t>
  </si>
  <si>
    <t>Invoice di kasih sore jam pulang kerja tgl 8/5/25,invoice tgl 2/05/2025 Finance abis clossing.MB terima di tanggal 09/5/25.</t>
  </si>
  <si>
    <t>251100077</t>
  </si>
  <si>
    <t xml:space="preserve">TFNT  </t>
  </si>
  <si>
    <t>TRA FLA NAT TOPNOTE LIQUID</t>
  </si>
  <si>
    <t>251100076</t>
  </si>
  <si>
    <t>251200048</t>
  </si>
  <si>
    <t>251200047</t>
  </si>
  <si>
    <t>251200053</t>
  </si>
  <si>
    <t xml:space="preserve">Cardinal Red 10L-WS 10KG      </t>
  </si>
  <si>
    <t>251200071</t>
  </si>
  <si>
    <t>Invoice di kasih sore jam 15:30 tgl 9/5/25,invoice tgl 5,6/05/2025 Finance abis clossing.MB terima di tanggal 09/5/25.</t>
  </si>
  <si>
    <t>251200027</t>
  </si>
  <si>
    <t>Invoice dikasih sore tanggal 15/5/25. Invoice tgl 9/5/25. MB terima di tanggal 16/5/25.</t>
  </si>
  <si>
    <t>POPD/GMC/25030095</t>
  </si>
  <si>
    <t xml:space="preserve">PEACH FLAVOUR OS              </t>
  </si>
  <si>
    <t>4100171734</t>
  </si>
  <si>
    <t>Invoice dikasih jam 17:26. Invoice tgl 14,15/5/25. MB terima di hari yang sama.</t>
  </si>
  <si>
    <t>241100301</t>
  </si>
  <si>
    <t xml:space="preserve">D&amp;C RED NO. 27 ALUM LAKE      </t>
  </si>
  <si>
    <t>251100097</t>
  </si>
  <si>
    <t xml:space="preserve">SUNSET YELLOW FCF E 110 5KG   </t>
  </si>
  <si>
    <t>251200073</t>
  </si>
  <si>
    <t xml:space="preserve">04492 PURPLE BLEND 720 GRAM   </t>
  </si>
  <si>
    <t xml:space="preserve">TCNB  </t>
  </si>
  <si>
    <t>TRA COL NAT POWDER BLEND</t>
  </si>
  <si>
    <t>Invoice dikasih abis makan siang tgl 19/5/25. invaoice tgl 14/5/25. MB terima di tanggal 19/5/25.</t>
  </si>
  <si>
    <t>251200062</t>
  </si>
  <si>
    <t>POPD/GMC/25050166</t>
  </si>
  <si>
    <t>POPD/GMC/25040122</t>
  </si>
  <si>
    <t>9645410020</t>
  </si>
  <si>
    <t xml:space="preserve">MILK FLV DB N16484 *A*        </t>
  </si>
  <si>
    <t xml:space="preserve">399 </t>
  </si>
  <si>
    <t>Invoice dikasih sore jam 17:30. invoice tgl 16,17/05/2025. MB terima pagi tgl 22/05/2025.</t>
  </si>
  <si>
    <t>251200061</t>
  </si>
  <si>
    <t>251200065</t>
  </si>
  <si>
    <t>251200068</t>
  </si>
  <si>
    <t>251200069</t>
  </si>
  <si>
    <t>251200072</t>
  </si>
  <si>
    <t xml:space="preserve">FD&amp;C BLUE 1 ALLK 11-13% 20KG  </t>
  </si>
  <si>
    <t>Invoice dikasih Sore Jam 17:30. Invoice tgl 19,20/05/2025. MB terima di tanggal 23/5/25 pagi.</t>
  </si>
  <si>
    <t>230661</t>
  </si>
  <si>
    <t>229507</t>
  </si>
  <si>
    <t>234103</t>
  </si>
  <si>
    <t>234102</t>
  </si>
  <si>
    <t>230905</t>
  </si>
  <si>
    <t>230899</t>
  </si>
  <si>
    <t>228879</t>
  </si>
  <si>
    <t>228881</t>
  </si>
  <si>
    <t>251100109</t>
  </si>
  <si>
    <t>251100118</t>
  </si>
  <si>
    <t xml:space="preserve">FD&amp;C BLUE 2 ALLK 12-14% 20KG  </t>
  </si>
  <si>
    <t>Invoice dikasih sore jam pulang kerja tgl 23/05/2025. Invoice tgl 26/5/25 Clossing. MB terima pagi tgl 26/5/25.</t>
  </si>
  <si>
    <t>LF-1649/25</t>
  </si>
  <si>
    <t xml:space="preserve">PT. SARI INCOFOOD CORPORATION           </t>
  </si>
  <si>
    <t>026949</t>
  </si>
  <si>
    <t xml:space="preserve">PT. OGAWA INDONESIA                     </t>
  </si>
  <si>
    <t xml:space="preserve">LIME EXTRACT SNO C2122        </t>
  </si>
  <si>
    <t>251200060</t>
  </si>
  <si>
    <t>251100114</t>
  </si>
  <si>
    <t>251200074</t>
  </si>
  <si>
    <t>251200077</t>
  </si>
  <si>
    <t>251200075</t>
  </si>
  <si>
    <t>251100120</t>
  </si>
  <si>
    <t>251200080</t>
  </si>
  <si>
    <t>251200076</t>
  </si>
  <si>
    <t>Invoice dikasih jam 14:00. invoice tgl 3/6/25. Finance abis Clossing,mB terima di tgl 9/6/25.</t>
  </si>
  <si>
    <t>4100172702</t>
  </si>
  <si>
    <t>4100173510</t>
  </si>
  <si>
    <t>Invoice dikasih jam 14:10. Invoice tgl 5/6/25.MB terima di tanggal 10/6/25.</t>
  </si>
  <si>
    <t>230900</t>
  </si>
  <si>
    <t>232123</t>
  </si>
  <si>
    <t>232503</t>
  </si>
  <si>
    <t>232504</t>
  </si>
  <si>
    <t>237606</t>
  </si>
  <si>
    <t>POPD/GMC/25050171</t>
  </si>
  <si>
    <t>POPD/GMC/25050204</t>
  </si>
  <si>
    <t>Invoice dikasih jam 17:50 Jam pulang kerja. Invoice tgl 11,12/06/2025.MB terima di tanggal 13/6/25 Sore itu juga.</t>
  </si>
  <si>
    <t>4200031069</t>
  </si>
  <si>
    <t xml:space="preserve">PT. GLICO WINGS                         </t>
  </si>
  <si>
    <t>B2506003</t>
  </si>
  <si>
    <t xml:space="preserve">PT KIANTAKA RASA                        </t>
  </si>
  <si>
    <t>Invoice dikasih jam pulang kerja.invoice tgl 16 /6/25. MB terima di tanggal 17/6/25.</t>
  </si>
  <si>
    <t>POPD/GMC/25050172</t>
  </si>
  <si>
    <t>251200064</t>
  </si>
  <si>
    <t>251200066</t>
  </si>
  <si>
    <t>251200067</t>
  </si>
  <si>
    <t>251200085</t>
  </si>
  <si>
    <t>251200088</t>
  </si>
  <si>
    <t>POPD/GMC/25050181</t>
  </si>
  <si>
    <t>POPD/GMC/25060216</t>
  </si>
  <si>
    <t xml:space="preserve">HONEY FLAVOR                  </t>
  </si>
  <si>
    <t>251200025</t>
  </si>
  <si>
    <t xml:space="preserve">BERRY BLEND MF 15KG           </t>
  </si>
  <si>
    <t>POPD/GMC/25050185</t>
  </si>
  <si>
    <t xml:space="preserve">CONDENSED MILK FLAVOR         </t>
  </si>
  <si>
    <t>Invoice dikasih jam 15:00.Invoice tgl 12,13,16/06/25.MB terima di tanggal 18/6/25. jam 15:25</t>
  </si>
  <si>
    <t>251100067</t>
  </si>
  <si>
    <t xml:space="preserve">RED SUSPENSION AF             </t>
  </si>
  <si>
    <t>251200082</t>
  </si>
  <si>
    <t>Invoice di kasih jam makan siang. Invoice tgl 20/6/25. MB terima di tanggal 24/6/25.</t>
  </si>
  <si>
    <t>009/ADR/COM/06/2025</t>
  </si>
  <si>
    <t>251100004</t>
  </si>
  <si>
    <t>251100087</t>
  </si>
  <si>
    <t>251100136</t>
  </si>
  <si>
    <t>Invoice di kasih jam sore. Invoice tgl 20,24/6/25. MB terima di tanggal 25/6/25 sore juga</t>
  </si>
  <si>
    <t xml:space="preserve">FD&amp;C YELLOW 6 POWDER 20KG     </t>
  </si>
  <si>
    <t>Invoice di kasih jam 17:35 sore. Invoice tgl 18/6/25. MB terima di tanggal 25/6/25 sore juga</t>
  </si>
  <si>
    <t>Invoice di kasih jam 12:38. Invoice tgl 20,24/6/25. MB terima di tanggal 25/6/25 siang juga</t>
  </si>
  <si>
    <t>251200070</t>
  </si>
  <si>
    <t xml:space="preserve">YELLOW MF                     </t>
  </si>
  <si>
    <t>251200092</t>
  </si>
  <si>
    <t>251100115</t>
  </si>
  <si>
    <t>251100116</t>
  </si>
  <si>
    <t>251200086</t>
  </si>
  <si>
    <t>251200095</t>
  </si>
  <si>
    <t>Invoice di kasih jam 15:00 sore. Invoice tgl 20,24,25/6/25. MB terima di tanggal 26/6/25 hari itu juga</t>
  </si>
  <si>
    <t>251100135</t>
  </si>
  <si>
    <t xml:space="preserve">EUROCERT PATENT BLUE V        </t>
  </si>
  <si>
    <t>Invoice dikasih jam 16:38. Sore, Invoice tgl 1,2,3.Finance abis clossing. MB terima di tgl 4/7/25.</t>
  </si>
  <si>
    <t>251200015</t>
  </si>
  <si>
    <t xml:space="preserve">KOWET TITANIUM DIOXIDE 25KG*  </t>
  </si>
  <si>
    <t>Invoice di kasih tanggal 8/7/25. abis makan siang invoice tgl 1/7/25. Finance abis clossing. MB terima di tanggal 8/7/25.</t>
  </si>
  <si>
    <t>251200089</t>
  </si>
  <si>
    <t>POPD/GMC/25050206</t>
  </si>
  <si>
    <t>POPD/GMC/25060217</t>
  </si>
  <si>
    <t>POPD/GMC/25060238</t>
  </si>
  <si>
    <t>Invoice di kasih abis makan siang jam 14:35. Invoice tgl 02,03/7/25. MB terima di tanggal 9/7/25.</t>
  </si>
  <si>
    <t>013/ADR/COM/06/2025</t>
  </si>
  <si>
    <t>POPD/GMC/25060219</t>
  </si>
  <si>
    <t>251200084</t>
  </si>
  <si>
    <t xml:space="preserve">NAT VIOLET DISPERSION L-OD    </t>
  </si>
  <si>
    <t>POPD/GMC/25060227</t>
  </si>
  <si>
    <t xml:space="preserve">LVR024                        </t>
  </si>
  <si>
    <t>POPD/GMC/25060231</t>
  </si>
  <si>
    <t>POPD/GMC/25060245</t>
  </si>
  <si>
    <t xml:space="preserve">DAIRYBOOST PARMESAN CHEESE *A </t>
  </si>
  <si>
    <t>POPD/GMC/25070255</t>
  </si>
  <si>
    <t xml:space="preserve">DB MILK FLV N13888 *A         </t>
  </si>
  <si>
    <t>Invoice di kasih abis makan siang jam 14:35. Invoice tgl 07/7/25. MB terima di tanggal 10/7/25.</t>
  </si>
  <si>
    <t>POPD/GMC/25060218</t>
  </si>
  <si>
    <t>POPD/GMC/25060230</t>
  </si>
  <si>
    <t>Invoice di kasih abis makan siang jam 14:35. Invoice tgl 02,07/7/25. MB terima di tanggal 11/7/25.</t>
  </si>
  <si>
    <t>POPD/GMC/25060228</t>
  </si>
  <si>
    <t>POPD/GMC/25060229</t>
  </si>
  <si>
    <t>Invoice di kasihsudah jam pulang 17:39. Invoice tgl 11/7/25. MB terima di tanggal 14/7/25.</t>
  </si>
  <si>
    <t>251200099</t>
  </si>
  <si>
    <t>251200083</t>
  </si>
  <si>
    <t>Invoice dikasih jam makan siang. Invoice tgl 14/7/25. satu Credit Note TDP. MB terima ditanggal 17/7/25.</t>
  </si>
  <si>
    <t>POPD/GMC/25050193</t>
  </si>
  <si>
    <t>251200108</t>
  </si>
  <si>
    <t>Invoice dikasih sore jam pulang kerja.Invoice tgl 14&amp;17/07/2025. MB terima di tanggal 18/7/25. abis magrib</t>
  </si>
  <si>
    <t>232495</t>
  </si>
  <si>
    <t>236840</t>
  </si>
  <si>
    <t>234355</t>
  </si>
  <si>
    <t>229504</t>
  </si>
  <si>
    <t>230663</t>
  </si>
  <si>
    <t>229503</t>
  </si>
  <si>
    <t>230667</t>
  </si>
  <si>
    <t>234190</t>
  </si>
  <si>
    <t>234191</t>
  </si>
  <si>
    <t>236839</t>
  </si>
  <si>
    <t>Invoice dikasih siang jam 10:45. Invoice tgl 22/7/25. MB terima di tanggal 24/7/25.</t>
  </si>
  <si>
    <t>POPD/GMC/25060251</t>
  </si>
  <si>
    <t>POPD/GMC/25070263</t>
  </si>
  <si>
    <t>251200090</t>
  </si>
  <si>
    <t>251100145</t>
  </si>
  <si>
    <t>251100152</t>
  </si>
  <si>
    <t>251100169</t>
  </si>
  <si>
    <t>251200103</t>
  </si>
  <si>
    <t>251200111</t>
  </si>
  <si>
    <t>251100153</t>
  </si>
  <si>
    <t>251200107</t>
  </si>
  <si>
    <t>251200097</t>
  </si>
  <si>
    <t>Invoice dikasih pas mau makan siang. Invoice tgl 22/7/25 dan CN 1. MB terima di tgl 29/7/25. karena 25&amp;28 MB cuti.</t>
  </si>
  <si>
    <t>251100173</t>
  </si>
  <si>
    <t>251200094</t>
  </si>
  <si>
    <t>251200100</t>
  </si>
  <si>
    <t xml:space="preserve">INTENSE YELLOW 75L-WS         </t>
  </si>
  <si>
    <t>251100168</t>
  </si>
  <si>
    <t>251100182</t>
  </si>
  <si>
    <t>Invoice dikasih pas makan siang, Invoice tgl 23,30/07/2025. MB terima di tanggal 31/7/25. abis makan siang</t>
  </si>
  <si>
    <t>251200019</t>
  </si>
  <si>
    <t xml:space="preserve">FAST LIME GREEN 20KG          </t>
  </si>
  <si>
    <t>251100108</t>
  </si>
  <si>
    <t xml:space="preserve">FD&amp;C BLUE NO.1 GRAN DM 5KG    </t>
  </si>
  <si>
    <t>invoice dikasih abis makan siang jam 14:50. Invoice tgl 30/7/25. MB terima di tanggal 1/8/25. sore, invoice clossed</t>
  </si>
  <si>
    <t>LF-2057/25</t>
  </si>
  <si>
    <t>251200125</t>
  </si>
  <si>
    <t>20MF205</t>
  </si>
  <si>
    <t xml:space="preserve">BLUE MF                       </t>
  </si>
  <si>
    <t>251200123</t>
  </si>
  <si>
    <t xml:space="preserve">GB BLUE 260SPWS               </t>
  </si>
  <si>
    <t>Invoice di kasih sblm makan siang. Invoice tgl 04,06/08/2025. Finance abis clossing. MB terima di tanggal 7/8/25.</t>
  </si>
  <si>
    <t>237962</t>
  </si>
  <si>
    <t>237963</t>
  </si>
  <si>
    <t>234192</t>
  </si>
  <si>
    <t>234193</t>
  </si>
  <si>
    <t>234194</t>
  </si>
  <si>
    <t>50986C</t>
  </si>
  <si>
    <t xml:space="preserve">RED IRON OXIDE                </t>
  </si>
  <si>
    <t>251200079</t>
  </si>
  <si>
    <t>251200110</t>
  </si>
  <si>
    <t>251200115</t>
  </si>
  <si>
    <t>Invoice di kasih Sore jam pulang kerja.Invoice tgl 4,6,7/08/2025. MB terima di tgl 8/8/25. sore itu juga</t>
  </si>
  <si>
    <t>251200106</t>
  </si>
  <si>
    <t>251200105</t>
  </si>
  <si>
    <t>251200118</t>
  </si>
  <si>
    <t>251200126</t>
  </si>
  <si>
    <t xml:space="preserve">CARMINE WS RED BLUE 50%       </t>
  </si>
  <si>
    <t>Invoice di kasih sore jam balik kantor. Invoice tgl 01,04,06/08/2025. Mb terima di tanggal 13/8/25.</t>
  </si>
  <si>
    <t>POPD/GMC/25060252</t>
  </si>
  <si>
    <t>975</t>
  </si>
  <si>
    <t>4100369945</t>
  </si>
  <si>
    <t>251100202</t>
  </si>
  <si>
    <t>251200112</t>
  </si>
  <si>
    <t>251200119</t>
  </si>
  <si>
    <t>POPD/GMC/25060220</t>
  </si>
  <si>
    <t>POPD/GMC/25080307</t>
  </si>
  <si>
    <t xml:space="preserve">DB XF1589 10KG                </t>
  </si>
  <si>
    <t>POPD/GMC/25080308</t>
  </si>
  <si>
    <t>Invoice di kasih jam pulang kerja tgl 15/8/25. Invoice tgl 13,14/08/2025. MB terima di tanggal 19/8/25.</t>
  </si>
  <si>
    <t>251200078</t>
  </si>
  <si>
    <t>251200104</t>
  </si>
  <si>
    <t>251200120</t>
  </si>
  <si>
    <t>251200127</t>
  </si>
  <si>
    <t>251200128</t>
  </si>
  <si>
    <t>251100194</t>
  </si>
  <si>
    <t>251200130</t>
  </si>
  <si>
    <t>251200134</t>
  </si>
  <si>
    <t>251200133</t>
  </si>
  <si>
    <t>251100190</t>
  </si>
  <si>
    <t>251100160</t>
  </si>
  <si>
    <t>4200031655</t>
  </si>
  <si>
    <t>Invoice dikasih siang jam 10:00. Invoice tgl 14,15,19/08/25. MB terima di tanggal 21/8/25 siang juga.</t>
  </si>
  <si>
    <t>POPD/GMC/25070275</t>
  </si>
  <si>
    <t>POPD/GMC/25070292</t>
  </si>
  <si>
    <t>POPD/GMC/25080327</t>
  </si>
  <si>
    <t>POPD/GMC/25050168</t>
  </si>
  <si>
    <t>POPD/GMC/25050170</t>
  </si>
  <si>
    <t>POPD/GMC/25050174</t>
  </si>
  <si>
    <t>POPD/GMC/25050191</t>
  </si>
  <si>
    <t>POPD/GMC/25050192</t>
  </si>
  <si>
    <t>POPD/GMC/25050194</t>
  </si>
  <si>
    <t>Invoice di kasih pagi jam 10:00. Invoice tgl 20,22/08/2025. MB terima di tanggal 26/8/25 juga.</t>
  </si>
  <si>
    <t>243058</t>
  </si>
  <si>
    <t>409588-0020</t>
  </si>
  <si>
    <t xml:space="preserve">Natural Brown L-WS            </t>
  </si>
  <si>
    <t>243059</t>
  </si>
  <si>
    <t>251100189</t>
  </si>
  <si>
    <t>251100193</t>
  </si>
  <si>
    <t>251100101</t>
  </si>
  <si>
    <t>251100132</t>
  </si>
  <si>
    <t>AA001084010</t>
  </si>
  <si>
    <t xml:space="preserve">NAT BUBBLEGUM SD FLVF+ 10KG   </t>
  </si>
  <si>
    <t xml:space="preserve">906 </t>
  </si>
  <si>
    <t>251100208</t>
  </si>
  <si>
    <t>251100207</t>
  </si>
  <si>
    <t>Invoice dikasih pagi jam 09:50. Invoice tgl 25,26/08/2025. MB terima di tanggal 28/8/25. pagi itu juuga</t>
  </si>
  <si>
    <t>251200129</t>
  </si>
  <si>
    <t>251200141</t>
  </si>
  <si>
    <t>001-V/25-Tifi</t>
  </si>
  <si>
    <t>POPD/GMC/25080309</t>
  </si>
  <si>
    <t>Invoice dikasih sore jam 16:00. Invoice tgl 27/8/25.MB terima di tanggal 29/8/25. ( sore les Inggris</t>
  </si>
  <si>
    <t>4100177651</t>
  </si>
  <si>
    <t>251200142</t>
  </si>
  <si>
    <t>IC1867</t>
  </si>
  <si>
    <t>MINT GREEN 120L-OS</t>
  </si>
  <si>
    <t>251200143</t>
  </si>
  <si>
    <t>POPD/GMC/25050184</t>
  </si>
  <si>
    <t>IF10820</t>
  </si>
  <si>
    <t>CHEESEMATE 3036 IND</t>
  </si>
  <si>
    <t>Invoice di kasih jam 12:00. Invoice tgl 1,3,4/09/2025. MB terima di tanggal 9/9/25 Finance Abis Clossing.</t>
  </si>
  <si>
    <t>235117</t>
  </si>
  <si>
    <t>234357</t>
  </si>
  <si>
    <t>239878</t>
  </si>
  <si>
    <t>232129</t>
  </si>
  <si>
    <t>232131</t>
  </si>
  <si>
    <t>235118</t>
  </si>
  <si>
    <t>235119</t>
  </si>
  <si>
    <t>Invoice dikasih pas jam pulang kerja, Invoice tgl 9/9/25. MB terima di tanggal 12/9/25. sore</t>
  </si>
  <si>
    <t>001-VII/25-Tifi</t>
  </si>
  <si>
    <t>PT. TRIDAYA INTERNUSA FOOD INDUSTRY</t>
  </si>
  <si>
    <t>001-IX/25-Tifi</t>
  </si>
  <si>
    <t>251200135</t>
  </si>
  <si>
    <t>251200150</t>
  </si>
  <si>
    <t>251200144</t>
  </si>
  <si>
    <t>251200152</t>
  </si>
  <si>
    <t>251200139</t>
  </si>
  <si>
    <t>251200147</t>
  </si>
  <si>
    <t>20MF301</t>
  </si>
  <si>
    <t>Yellow MF</t>
  </si>
  <si>
    <t>251200149</t>
  </si>
  <si>
    <t>TCNB</t>
  </si>
  <si>
    <t>Invoice dikasih jam pulang kerja tgl 15/9/25. Invoice tgl 4,7,9,11/09/2025. MB terima di tanggal 15/09/2025.</t>
  </si>
  <si>
    <t>251200138</t>
  </si>
  <si>
    <t>251200121</t>
  </si>
  <si>
    <t>251200137</t>
  </si>
  <si>
    <t>251100217</t>
  </si>
  <si>
    <t>D&amp;C YELLOW #10 AL LK</t>
  </si>
  <si>
    <t>251100137</t>
  </si>
  <si>
    <t>251200102</t>
  </si>
  <si>
    <t>251100192</t>
  </si>
  <si>
    <t>251200151</t>
  </si>
  <si>
    <t>251100174</t>
  </si>
  <si>
    <t>968</t>
  </si>
  <si>
    <t>251100175</t>
  </si>
  <si>
    <t>251100223</t>
  </si>
  <si>
    <t>251100219</t>
  </si>
  <si>
    <t>251100220</t>
  </si>
  <si>
    <t>906</t>
  </si>
  <si>
    <t>MFNP</t>
  </si>
  <si>
    <t>MAN FLA NAT POWDER</t>
  </si>
  <si>
    <t>9061</t>
  </si>
  <si>
    <t>PHARMACEUTICAL FLAVOURS</t>
  </si>
  <si>
    <t>POPD/GMC/25090362</t>
  </si>
  <si>
    <t>POPD/GMC/25080315</t>
  </si>
  <si>
    <t>POPD/GMC/25080318</t>
  </si>
  <si>
    <t>POPD/GMC/25080333</t>
  </si>
  <si>
    <t>POPD/GMC/25090365</t>
  </si>
  <si>
    <t>251200132</t>
  </si>
  <si>
    <t>Invoice di kasih Sore jam, 15:30. Invoice tgl 7,8,10,12,15/09/2025. MB terima di tanggal 19/9/25.</t>
  </si>
  <si>
    <t>251200153</t>
  </si>
  <si>
    <t>97CN8290</t>
  </si>
  <si>
    <t>RADISH CONCENTRATE POWDER</t>
  </si>
  <si>
    <t>251200161</t>
  </si>
  <si>
    <t>251100149</t>
  </si>
  <si>
    <t>251100151</t>
  </si>
  <si>
    <t>251100150</t>
  </si>
  <si>
    <t>Invoice di kasih jam pulang kerja jam 18:45.invoice tgl 16/9/25. MB terima di tanggal 19/9/25.</t>
  </si>
  <si>
    <t>POPD/GMC/25080334</t>
  </si>
  <si>
    <t>9624950004</t>
  </si>
  <si>
    <t>DAIRYBOOST BUTTER FLAVOUR *A</t>
  </si>
  <si>
    <t>4100177915</t>
  </si>
  <si>
    <t>B2508005</t>
  </si>
  <si>
    <t>251200124</t>
  </si>
  <si>
    <t>251200140</t>
  </si>
  <si>
    <t>251200146</t>
  </si>
  <si>
    <t>251100225</t>
  </si>
  <si>
    <t>251100226</t>
  </si>
  <si>
    <t>251100227</t>
  </si>
  <si>
    <t>POPD/GMC/25090367</t>
  </si>
  <si>
    <t>9640600020</t>
  </si>
  <si>
    <t>VEGAN DB COND MILK FL N14136</t>
  </si>
  <si>
    <t>399</t>
  </si>
  <si>
    <t>242015</t>
  </si>
  <si>
    <t>4514751715</t>
  </si>
  <si>
    <t>PT PEPSICO INDONESIA FOODS AND BEVERAGES</t>
  </si>
  <si>
    <t>invoice dikasih jam 14:50 tgl 24/9/25, invoice tgl 12,18,19,20,22.MB terima di tanggal 24/9/25.</t>
  </si>
  <si>
    <t>251200087</t>
  </si>
  <si>
    <t>251200113</t>
  </si>
  <si>
    <t>251200155</t>
  </si>
  <si>
    <t>028122</t>
  </si>
  <si>
    <t>P208</t>
  </si>
  <si>
    <t>POPD/GMC/25080351</t>
  </si>
  <si>
    <t>POPD/GMC/25080348</t>
  </si>
  <si>
    <t>SMOOTH FLAVOR MST 002</t>
  </si>
  <si>
    <t>POPD/GMC/25090379</t>
  </si>
  <si>
    <t>Invoice dikasih siang pas jam makan siang. Invoice tgl 20,23,24/09/2025. MB terima ditanggal 26/9/25.</t>
  </si>
  <si>
    <t>251100218</t>
  </si>
  <si>
    <t>251100154</t>
  </si>
  <si>
    <t>251200162</t>
  </si>
  <si>
    <t>B2506018</t>
  </si>
  <si>
    <t>4100388189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</si>
</sst>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[$-13809]dd/mm/yyyy;@"/>
    <numFmt numFmtId="165" formatCode="#0"/>
    <numFmt numFmtId="166" formatCode="#,##0.00;&quot;-&quot;#,##0.00"/>
    <numFmt numFmtId="167" formatCode="#,##0%"/>
    <numFmt numFmtId="168" formatCode="[$-F800]dddd\,\ mmmm\ dd\,\ yyyy"/>
    <numFmt numFmtId="169" formatCode="_-* #,##0.00_-;\-* #,##0.00_-;_-* &quot;-&quot;_-;_-@_-"/>
    <numFmt numFmtId="170" formatCode="_-* #,##0.000_-;\-* #,##0.00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name val="Calibri"/>
      <family val="2"/>
      <scheme val="minor"/>
    </font>
    <font>
      <sz val="1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316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41" fontId="0" fillId="2" borderId="1" xfId="1" applyFont="1" applyFill="1" applyBorder="1"/>
    <xf numFmtId="0" fontId="0" fillId="0" borderId="1" xfId="0" applyBorder="1"/>
    <xf numFmtId="168" fontId="0" fillId="2" borderId="1" xfId="0" applyNumberFormat="1" applyFill="1" applyBorder="1" applyAlignment="1">
      <alignment horizontal="center"/>
    </xf>
    <xf numFmtId="168" fontId="0" fillId="0" borderId="1" xfId="0" applyNumberFormat="1" applyBorder="1"/>
    <xf numFmtId="0" fontId="0" fillId="2" borderId="1" xfId="0" applyFill="1" applyBorder="1" applyAlignment="1">
      <alignment horizontal="center"/>
    </xf>
    <xf numFmtId="41" fontId="0" fillId="0" borderId="1" xfId="1" applyFont="1" applyBorder="1"/>
    <xf numFmtId="169" fontId="0" fillId="2" borderId="1" xfId="1" applyNumberFormat="1" applyFont="1" applyFill="1" applyBorder="1"/>
    <xf numFmtId="169" fontId="0" fillId="0" borderId="1" xfId="1" applyNumberFormat="1" applyFont="1" applyBorder="1"/>
    <xf numFmtId="9" fontId="0" fillId="2" borderId="1" xfId="3" applyFont="1" applyFill="1" applyBorder="1"/>
    <xf numFmtId="9" fontId="0" fillId="0" borderId="1" xfId="3" applyFont="1" applyBorder="1"/>
    <xf numFmtId="168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3" xfId="0" applyFill="1" applyBorder="1"/>
    <xf numFmtId="0" fontId="0" fillId="2" borderId="2" xfId="0" applyFill="1" applyBorder="1" applyAlignment="1">
      <alignment horizontal="center"/>
    </xf>
    <xf numFmtId="168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8" fontId="0" fillId="0" borderId="0" xfId="0" applyNumberFormat="1"/>
    <xf numFmtId="168" fontId="0" fillId="2" borderId="1" xfId="0" applyNumberFormat="1" applyFill="1" applyBorder="1"/>
    <xf numFmtId="41" fontId="0" fillId="0" borderId="0" xfId="1" applyFont="1"/>
    <xf numFmtId="169" fontId="0" fillId="0" borderId="0" xfId="1" applyNumberFormat="1" applyFont="1"/>
    <xf numFmtId="170" fontId="0" fillId="2" borderId="1" xfId="1" applyNumberFormat="1" applyFont="1" applyFill="1" applyBorder="1"/>
    <xf numFmtId="170" fontId="0" fillId="0" borderId="0" xfId="1" applyNumberFormat="1" applyFont="1"/>
    <xf numFmtId="170" fontId="0" fillId="0" borderId="1" xfId="1" applyNumberFormat="1" applyFont="1" applyBorder="1"/>
    <xf numFmtId="14" fontId="0" fillId="0" borderId="0" xfId="0" applyNumberFormat="1"/>
    <xf numFmtId="14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left"/>
    </xf>
    <xf numFmtId="168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9" fontId="3" fillId="0" borderId="1" xfId="1" applyNumberFormat="1" applyFont="1" applyBorder="1"/>
    <xf numFmtId="0" fontId="3" fillId="0" borderId="1" xfId="0" applyFont="1" applyBorder="1" applyAlignment="1">
      <alignment horizontal="right"/>
    </xf>
    <xf numFmtId="170" fontId="3" fillId="0" borderId="1" xfId="1" applyNumberFormat="1" applyFont="1" applyBorder="1"/>
    <xf numFmtId="41" fontId="3" fillId="0" borderId="1" xfId="1" applyFont="1" applyBorder="1"/>
    <xf numFmtId="164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vertical="center"/>
    </xf>
    <xf numFmtId="169" fontId="0" fillId="0" borderId="1" xfId="1" applyNumberFormat="1" applyFont="1" applyFill="1" applyBorder="1"/>
    <xf numFmtId="41" fontId="0" fillId="0" borderId="1" xfId="1" applyFont="1" applyFill="1" applyBorder="1"/>
    <xf numFmtId="9" fontId="0" fillId="0" borderId="1" xfId="3" applyFont="1" applyFill="1" applyBorder="1"/>
    <xf numFmtId="0" fontId="0" fillId="0" borderId="4" xfId="0" applyBorder="1"/>
    <xf numFmtId="0" fontId="3" fillId="0" borderId="2" xfId="0" applyFont="1" applyBorder="1"/>
    <xf numFmtId="169" fontId="3" fillId="0" borderId="1" xfId="1" applyNumberFormat="1" applyFont="1" applyFill="1" applyBorder="1"/>
    <xf numFmtId="170" fontId="3" fillId="0" borderId="1" xfId="1" applyNumberFormat="1" applyFont="1" applyFill="1" applyBorder="1"/>
    <xf numFmtId="41" fontId="3" fillId="0" borderId="1" xfId="1" applyFont="1" applyFill="1" applyBorder="1"/>
    <xf numFmtId="9" fontId="3" fillId="0" borderId="1" xfId="3" applyFont="1" applyFill="1" applyBorder="1"/>
    <xf numFmtId="14" fontId="3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4" xfId="0" applyFont="1" applyBorder="1"/>
    <xf numFmtId="168" fontId="3" fillId="0" borderId="1" xfId="0" applyNumberFormat="1" applyFont="1" applyBorder="1"/>
    <xf numFmtId="14" fontId="3" fillId="0" borderId="1" xfId="0" applyNumberFormat="1" applyFont="1" applyBorder="1"/>
    <xf numFmtId="0" fontId="5" fillId="0" borderId="1" xfId="0" applyFont="1" applyBorder="1" applyAlignment="1">
      <alignment vertical="center"/>
    </xf>
    <xf numFmtId="0" fontId="3" fillId="0" borderId="3" xfId="0" applyFont="1" applyBorder="1"/>
    <xf numFmtId="168" fontId="3" fillId="0" borderId="0" xfId="0" applyNumberFormat="1" applyFont="1"/>
    <xf numFmtId="0" fontId="3" fillId="0" borderId="0" xfId="0" applyFont="1"/>
    <xf numFmtId="14" fontId="3" fillId="0" borderId="0" xfId="0" applyNumberFormat="1" applyFont="1"/>
    <xf numFmtId="41" fontId="3" fillId="0" borderId="0" xfId="1" applyFont="1"/>
    <xf numFmtId="0" fontId="3" fillId="0" borderId="0" xfId="0" applyFont="1" applyAlignment="1">
      <alignment horizontal="left"/>
    </xf>
    <xf numFmtId="164" fontId="3" fillId="0" borderId="1" xfId="0" applyNumberFormat="1" applyFont="1" applyBorder="1"/>
    <xf numFmtId="164" fontId="3" fillId="0" borderId="0" xfId="0" applyNumberFormat="1" applyFont="1"/>
    <xf numFmtId="169" fontId="3" fillId="0" borderId="0" xfId="1" applyNumberFormat="1" applyFont="1" applyFill="1"/>
    <xf numFmtId="170" fontId="3" fillId="0" borderId="0" xfId="1" applyNumberFormat="1" applyFont="1" applyFill="1"/>
    <xf numFmtId="41" fontId="3" fillId="0" borderId="0" xfId="1" applyFont="1" applyFill="1"/>
    <xf numFmtId="169" fontId="3" fillId="0" borderId="0" xfId="1" applyNumberFormat="1" applyFont="1"/>
    <xf numFmtId="170" fontId="3" fillId="0" borderId="0" xfId="1" applyNumberFormat="1" applyFont="1"/>
    <xf numFmtId="168" fontId="0" fillId="5" borderId="0" xfId="0" applyNumberFormat="1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14" fontId="0" fillId="5" borderId="0" xfId="0" applyNumberFormat="1" applyFill="1" applyAlignment="1">
      <alignment horizontal="left"/>
    </xf>
    <xf numFmtId="169" fontId="0" fillId="5" borderId="0" xfId="1" applyNumberFormat="1" applyFont="1" applyFill="1" applyBorder="1"/>
    <xf numFmtId="0" fontId="0" fillId="5" borderId="0" xfId="0" applyFill="1" applyAlignment="1">
      <alignment horizontal="right"/>
    </xf>
    <xf numFmtId="41" fontId="0" fillId="5" borderId="0" xfId="1" applyFont="1" applyFill="1" applyBorder="1"/>
    <xf numFmtId="9" fontId="0" fillId="5" borderId="0" xfId="3" applyFont="1" applyFill="1" applyBorder="1"/>
    <xf numFmtId="164" fontId="0" fillId="5" borderId="0" xfId="0" applyNumberFormat="1" applyFill="1" applyAlignment="1">
      <alignment horizontal="left"/>
    </xf>
    <xf numFmtId="170" fontId="0" fillId="5" borderId="0" xfId="1" applyNumberFormat="1" applyFont="1" applyFill="1" applyBorder="1"/>
    <xf numFmtId="168" fontId="0" fillId="2" borderId="4" xfId="0" applyNumberFormat="1" applyFill="1" applyBorder="1" applyAlignment="1">
      <alignment horizontal="center"/>
    </xf>
    <xf numFmtId="0" fontId="0" fillId="2" borderId="4" xfId="0" applyFill="1" applyBorder="1"/>
    <xf numFmtId="14" fontId="0" fillId="2" borderId="4" xfId="0" applyNumberFormat="1" applyFill="1" applyBorder="1"/>
    <xf numFmtId="41" fontId="0" fillId="2" borderId="4" xfId="1" applyFont="1" applyFill="1" applyBorder="1"/>
    <xf numFmtId="9" fontId="0" fillId="2" borderId="4" xfId="3" applyFont="1" applyFill="1" applyBorder="1"/>
    <xf numFmtId="0" fontId="0" fillId="2" borderId="4" xfId="0" applyFill="1" applyBorder="1" applyAlignment="1">
      <alignment horizontal="center"/>
    </xf>
    <xf numFmtId="168" fontId="0" fillId="5" borderId="0" xfId="0" applyNumberFormat="1" applyFill="1"/>
    <xf numFmtId="14" fontId="0" fillId="5" borderId="0" xfId="0" applyNumberFormat="1" applyFill="1"/>
    <xf numFmtId="168" fontId="0" fillId="4" borderId="4" xfId="0" applyNumberFormat="1" applyFill="1" applyBorder="1" applyAlignment="1">
      <alignment horizontal="left"/>
    </xf>
    <xf numFmtId="0" fontId="0" fillId="4" borderId="4" xfId="0" applyFill="1" applyBorder="1"/>
    <xf numFmtId="0" fontId="0" fillId="4" borderId="4" xfId="0" applyFill="1" applyBorder="1" applyAlignment="1">
      <alignment horizontal="left"/>
    </xf>
    <xf numFmtId="14" fontId="0" fillId="4" borderId="4" xfId="0" applyNumberFormat="1" applyFill="1" applyBorder="1" applyAlignment="1">
      <alignment horizontal="left"/>
    </xf>
    <xf numFmtId="169" fontId="0" fillId="4" borderId="4" xfId="1" applyNumberFormat="1" applyFont="1" applyFill="1" applyBorder="1"/>
    <xf numFmtId="0" fontId="0" fillId="4" borderId="4" xfId="0" applyFill="1" applyBorder="1" applyAlignment="1">
      <alignment horizontal="right"/>
    </xf>
    <xf numFmtId="41" fontId="0" fillId="4" borderId="4" xfId="1" applyFont="1" applyFill="1" applyBorder="1"/>
    <xf numFmtId="0" fontId="0" fillId="4" borderId="7" xfId="0" applyFill="1" applyBorder="1"/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4" fillId="5" borderId="0" xfId="0" applyFont="1" applyFill="1" applyAlignment="1">
      <alignment vertical="center"/>
    </xf>
    <xf numFmtId="168" fontId="0" fillId="2" borderId="9" xfId="0" applyNumberFormat="1" applyFill="1" applyBorder="1" applyAlignment="1">
      <alignment horizontal="center"/>
    </xf>
    <xf numFmtId="0" fontId="0" fillId="2" borderId="10" xfId="0" applyFill="1" applyBorder="1"/>
    <xf numFmtId="14" fontId="0" fillId="2" borderId="10" xfId="0" applyNumberFormat="1" applyFill="1" applyBorder="1"/>
    <xf numFmtId="41" fontId="0" fillId="2" borderId="10" xfId="1" applyFont="1" applyFill="1" applyBorder="1"/>
    <xf numFmtId="0" fontId="0" fillId="0" borderId="10" xfId="0" applyBorder="1"/>
    <xf numFmtId="168" fontId="0" fillId="2" borderId="4" xfId="0" applyNumberFormat="1" applyFill="1" applyBorder="1" applyAlignment="1">
      <alignment horizontal="left"/>
    </xf>
    <xf numFmtId="14" fontId="0" fillId="2" borderId="4" xfId="0" applyNumberFormat="1" applyFill="1" applyBorder="1" applyAlignment="1">
      <alignment horizontal="left"/>
    </xf>
    <xf numFmtId="169" fontId="0" fillId="2" borderId="4" xfId="1" applyNumberFormat="1" applyFont="1" applyFill="1" applyBorder="1"/>
    <xf numFmtId="0" fontId="0" fillId="2" borderId="4" xfId="0" applyFill="1" applyBorder="1" applyAlignment="1">
      <alignment horizontal="right"/>
    </xf>
    <xf numFmtId="41" fontId="0" fillId="2" borderId="4" xfId="1" applyFont="1" applyFill="1" applyBorder="1" applyAlignment="1">
      <alignment horizontal="right"/>
    </xf>
    <xf numFmtId="168" fontId="0" fillId="2" borderId="13" xfId="0" applyNumberFormat="1" applyFill="1" applyBorder="1" applyAlignment="1">
      <alignment horizontal="center"/>
    </xf>
    <xf numFmtId="0" fontId="0" fillId="2" borderId="14" xfId="0" applyFill="1" applyBorder="1"/>
    <xf numFmtId="14" fontId="0" fillId="2" borderId="14" xfId="0" applyNumberFormat="1" applyFill="1" applyBorder="1"/>
    <xf numFmtId="41" fontId="0" fillId="2" borderId="14" xfId="1" applyFont="1" applyFill="1" applyBorder="1"/>
    <xf numFmtId="0" fontId="0" fillId="2" borderId="15" xfId="0" applyFill="1" applyBorder="1" applyAlignment="1">
      <alignment horizontal="center"/>
    </xf>
    <xf numFmtId="0" fontId="0" fillId="0" borderId="16" xfId="0" applyBorder="1"/>
    <xf numFmtId="0" fontId="0" fillId="0" borderId="14" xfId="0" applyBorder="1"/>
    <xf numFmtId="0" fontId="0" fillId="2" borderId="14" xfId="0" applyFill="1" applyBorder="1" applyAlignment="1">
      <alignment horizontal="center"/>
    </xf>
    <xf numFmtId="0" fontId="0" fillId="2" borderId="10" xfId="0" applyFill="1" applyBorder="1" applyAlignment="1">
      <alignment horizontal="left"/>
    </xf>
    <xf numFmtId="170" fontId="0" fillId="2" borderId="10" xfId="1" applyNumberFormat="1" applyFont="1" applyFill="1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 wrapText="1"/>
    </xf>
    <xf numFmtId="0" fontId="0" fillId="2" borderId="18" xfId="0" applyFill="1" applyBorder="1" applyAlignment="1">
      <alignment wrapText="1"/>
    </xf>
    <xf numFmtId="0" fontId="0" fillId="2" borderId="7" xfId="0" applyFill="1" applyBorder="1" applyAlignment="1">
      <alignment wrapText="1"/>
    </xf>
    <xf numFmtId="14" fontId="0" fillId="2" borderId="4" xfId="0" applyNumberFormat="1" applyFill="1" applyBorder="1" applyAlignment="1">
      <alignment horizontal="center"/>
    </xf>
    <xf numFmtId="168" fontId="0" fillId="2" borderId="4" xfId="0" applyNumberFormat="1" applyFill="1" applyBorder="1"/>
    <xf numFmtId="0" fontId="0" fillId="4" borderId="4" xfId="0" applyFill="1" applyBorder="1" applyAlignment="1">
      <alignment horizontal="center"/>
    </xf>
    <xf numFmtId="168" fontId="3" fillId="6" borderId="1" xfId="0" applyNumberFormat="1" applyFont="1" applyFill="1" applyBorder="1"/>
    <xf numFmtId="0" fontId="3" fillId="6" borderId="1" xfId="0" applyFont="1" applyFill="1" applyBorder="1"/>
    <xf numFmtId="1" fontId="3" fillId="6" borderId="1" xfId="0" applyNumberFormat="1" applyFont="1" applyFill="1" applyBorder="1"/>
    <xf numFmtId="14" fontId="3" fillId="6" borderId="1" xfId="0" applyNumberFormat="1" applyFont="1" applyFill="1" applyBorder="1"/>
    <xf numFmtId="41" fontId="3" fillId="6" borderId="1" xfId="1" applyFont="1" applyFill="1" applyBorder="1"/>
    <xf numFmtId="168" fontId="3" fillId="6" borderId="1" xfId="2" applyNumberFormat="1" applyFont="1" applyFill="1" applyBorder="1" applyAlignment="1">
      <alignment horizontal="left" vertical="top"/>
    </xf>
    <xf numFmtId="0" fontId="3" fillId="6" borderId="1" xfId="2" applyFont="1" applyFill="1" applyBorder="1" applyAlignment="1">
      <alignment horizontal="left" vertical="top"/>
    </xf>
    <xf numFmtId="165" fontId="3" fillId="6" borderId="1" xfId="2" applyNumberFormat="1" applyFont="1" applyFill="1" applyBorder="1" applyAlignment="1">
      <alignment horizontal="left" vertical="top"/>
    </xf>
    <xf numFmtId="14" fontId="3" fillId="6" borderId="1" xfId="2" applyNumberFormat="1" applyFont="1" applyFill="1" applyBorder="1" applyAlignment="1">
      <alignment horizontal="left" vertical="top"/>
    </xf>
    <xf numFmtId="169" fontId="3" fillId="6" borderId="1" xfId="1" applyNumberFormat="1" applyFont="1" applyFill="1" applyBorder="1" applyAlignment="1">
      <alignment horizontal="right" vertical="top"/>
    </xf>
    <xf numFmtId="0" fontId="3" fillId="6" borderId="1" xfId="2" applyFont="1" applyFill="1" applyBorder="1" applyAlignment="1">
      <alignment horizontal="right" vertical="top"/>
    </xf>
    <xf numFmtId="41" fontId="3" fillId="6" borderId="1" xfId="1" applyFont="1" applyFill="1" applyBorder="1" applyAlignment="1">
      <alignment horizontal="right" vertical="top"/>
    </xf>
    <xf numFmtId="9" fontId="3" fillId="6" borderId="1" xfId="3" applyFont="1" applyFill="1" applyBorder="1" applyAlignment="1">
      <alignment horizontal="right" vertical="top"/>
    </xf>
    <xf numFmtId="165" fontId="3" fillId="6" borderId="1" xfId="2" applyNumberFormat="1" applyFont="1" applyFill="1" applyBorder="1" applyAlignment="1">
      <alignment horizontal="right" vertical="top"/>
    </xf>
    <xf numFmtId="3" fontId="3" fillId="6" borderId="1" xfId="2" applyNumberFormat="1" applyFont="1" applyFill="1" applyBorder="1" applyAlignment="1">
      <alignment horizontal="right" vertical="top"/>
    </xf>
    <xf numFmtId="0" fontId="0" fillId="6" borderId="1" xfId="0" applyFill="1" applyBorder="1" applyAlignment="1">
      <alignment vertical="top" wrapText="1"/>
    </xf>
    <xf numFmtId="0" fontId="0" fillId="6" borderId="2" xfId="0" applyFill="1" applyBorder="1"/>
    <xf numFmtId="168" fontId="3" fillId="6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14" fontId="3" fillId="6" borderId="1" xfId="0" applyNumberFormat="1" applyFont="1" applyFill="1" applyBorder="1" applyAlignment="1">
      <alignment horizontal="left"/>
    </xf>
    <xf numFmtId="169" fontId="3" fillId="6" borderId="1" xfId="1" applyNumberFormat="1" applyFont="1" applyFill="1" applyBorder="1"/>
    <xf numFmtId="0" fontId="3" fillId="6" borderId="1" xfId="0" applyFont="1" applyFill="1" applyBorder="1" applyAlignment="1">
      <alignment horizontal="right"/>
    </xf>
    <xf numFmtId="9" fontId="3" fillId="6" borderId="1" xfId="3" applyFont="1" applyFill="1" applyBorder="1"/>
    <xf numFmtId="0" fontId="3" fillId="6" borderId="2" xfId="0" applyFont="1" applyFill="1" applyBorder="1"/>
    <xf numFmtId="170" fontId="3" fillId="6" borderId="1" xfId="1" applyNumberFormat="1" applyFont="1" applyFill="1" applyBorder="1"/>
    <xf numFmtId="164" fontId="3" fillId="6" borderId="1" xfId="2" applyNumberFormat="1" applyFont="1" applyFill="1" applyBorder="1" applyAlignment="1">
      <alignment horizontal="left" vertical="top"/>
    </xf>
    <xf numFmtId="169" fontId="3" fillId="6" borderId="1" xfId="1" applyNumberFormat="1" applyFont="1" applyFill="1" applyBorder="1" applyAlignment="1">
      <alignment horizontal="left" vertical="top"/>
    </xf>
    <xf numFmtId="170" fontId="3" fillId="6" borderId="1" xfId="1" applyNumberFormat="1" applyFont="1" applyFill="1" applyBorder="1" applyAlignment="1">
      <alignment horizontal="left" vertical="top"/>
    </xf>
    <xf numFmtId="41" fontId="3" fillId="6" borderId="1" xfId="1" applyFont="1" applyFill="1" applyBorder="1" applyAlignment="1">
      <alignment horizontal="left" vertical="top"/>
    </xf>
    <xf numFmtId="166" fontId="3" fillId="6" borderId="1" xfId="2" applyNumberFormat="1" applyFont="1" applyFill="1" applyBorder="1" applyAlignment="1">
      <alignment horizontal="left" vertical="top"/>
    </xf>
    <xf numFmtId="167" fontId="3" fillId="6" borderId="1" xfId="2" applyNumberFormat="1" applyFont="1" applyFill="1" applyBorder="1" applyAlignment="1">
      <alignment horizontal="left" vertical="top"/>
    </xf>
    <xf numFmtId="3" fontId="3" fillId="6" borderId="1" xfId="2" applyNumberFormat="1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 wrapText="1"/>
    </xf>
    <xf numFmtId="1" fontId="3" fillId="6" borderId="1" xfId="0" applyNumberFormat="1" applyFont="1" applyFill="1" applyBorder="1" applyAlignment="1">
      <alignment horizontal="left"/>
    </xf>
    <xf numFmtId="164" fontId="3" fillId="6" borderId="1" xfId="0" applyNumberFormat="1" applyFont="1" applyFill="1" applyBorder="1" applyAlignment="1">
      <alignment horizontal="left"/>
    </xf>
    <xf numFmtId="169" fontId="3" fillId="6" borderId="1" xfId="1" applyNumberFormat="1" applyFont="1" applyFill="1" applyBorder="1" applyAlignment="1">
      <alignment horizontal="left"/>
    </xf>
    <xf numFmtId="170" fontId="3" fillId="6" borderId="1" xfId="1" applyNumberFormat="1" applyFont="1" applyFill="1" applyBorder="1" applyAlignment="1">
      <alignment horizontal="left"/>
    </xf>
    <xf numFmtId="41" fontId="3" fillId="6" borderId="1" xfId="1" applyFont="1" applyFill="1" applyBorder="1" applyAlignment="1">
      <alignment horizontal="left"/>
    </xf>
    <xf numFmtId="9" fontId="3" fillId="6" borderId="1" xfId="3" applyFont="1" applyFill="1" applyBorder="1" applyAlignment="1">
      <alignment horizontal="left"/>
    </xf>
    <xf numFmtId="1" fontId="3" fillId="6" borderId="1" xfId="1" applyNumberFormat="1" applyFont="1" applyFill="1" applyBorder="1"/>
    <xf numFmtId="0" fontId="3" fillId="6" borderId="3" xfId="0" applyFont="1" applyFill="1" applyBorder="1"/>
    <xf numFmtId="0" fontId="0" fillId="6" borderId="4" xfId="0" applyFill="1" applyBorder="1"/>
    <xf numFmtId="0" fontId="3" fillId="6" borderId="4" xfId="0" applyFont="1" applyFill="1" applyBorder="1"/>
    <xf numFmtId="168" fontId="3" fillId="6" borderId="4" xfId="0" applyNumberFormat="1" applyFont="1" applyFill="1" applyBorder="1"/>
    <xf numFmtId="0" fontId="3" fillId="6" borderId="4" xfId="0" applyFont="1" applyFill="1" applyBorder="1" applyAlignment="1">
      <alignment horizontal="left"/>
    </xf>
    <xf numFmtId="14" fontId="3" fillId="6" borderId="4" xfId="0" applyNumberFormat="1" applyFont="1" applyFill="1" applyBorder="1"/>
    <xf numFmtId="41" fontId="3" fillId="6" borderId="4" xfId="1" applyFont="1" applyFill="1" applyBorder="1"/>
    <xf numFmtId="0" fontId="4" fillId="0" borderId="0" xfId="0" applyFont="1"/>
    <xf numFmtId="0" fontId="3" fillId="6" borderId="1" xfId="0" applyFont="1" applyFill="1" applyBorder="1" applyAlignment="1">
      <alignment vertical="center"/>
    </xf>
    <xf numFmtId="1" fontId="0" fillId="5" borderId="0" xfId="0" applyNumberFormat="1" applyFill="1"/>
    <xf numFmtId="1" fontId="0" fillId="2" borderId="4" xfId="0" applyNumberFormat="1" applyFill="1" applyBorder="1"/>
    <xf numFmtId="1" fontId="3" fillId="0" borderId="1" xfId="0" applyNumberFormat="1" applyFont="1" applyBorder="1"/>
    <xf numFmtId="1" fontId="3" fillId="0" borderId="0" xfId="0" applyNumberFormat="1" applyFont="1"/>
    <xf numFmtId="1" fontId="0" fillId="0" borderId="0" xfId="0" applyNumberFormat="1"/>
    <xf numFmtId="168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169" fontId="3" fillId="3" borderId="1" xfId="1" applyNumberFormat="1" applyFont="1" applyFill="1" applyBorder="1"/>
    <xf numFmtId="0" fontId="3" fillId="3" borderId="1" xfId="0" applyFont="1" applyFill="1" applyBorder="1" applyAlignment="1">
      <alignment horizontal="right"/>
    </xf>
    <xf numFmtId="41" fontId="3" fillId="3" borderId="1" xfId="1" applyFont="1" applyFill="1" applyBorder="1"/>
    <xf numFmtId="14" fontId="3" fillId="3" borderId="1" xfId="0" applyNumberFormat="1" applyFont="1" applyFill="1" applyBorder="1" applyAlignment="1">
      <alignment horizontal="left"/>
    </xf>
    <xf numFmtId="9" fontId="3" fillId="3" borderId="1" xfId="3" applyFont="1" applyFill="1" applyBorder="1"/>
    <xf numFmtId="0" fontId="3" fillId="3" borderId="4" xfId="0" applyFont="1" applyFill="1" applyBorder="1"/>
    <xf numFmtId="168" fontId="3" fillId="3" borderId="1" xfId="0" applyNumberFormat="1" applyFont="1" applyFill="1" applyBorder="1"/>
    <xf numFmtId="14" fontId="3" fillId="3" borderId="1" xfId="0" applyNumberFormat="1" applyFont="1" applyFill="1" applyBorder="1"/>
    <xf numFmtId="0" fontId="0" fillId="3" borderId="0" xfId="0" applyFill="1"/>
    <xf numFmtId="0" fontId="3" fillId="3" borderId="2" xfId="0" applyFont="1" applyFill="1" applyBorder="1"/>
    <xf numFmtId="0" fontId="3" fillId="3" borderId="3" xfId="0" applyFont="1" applyFill="1" applyBorder="1"/>
    <xf numFmtId="168" fontId="3" fillId="6" borderId="1" xfId="0" applyNumberFormat="1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165" fontId="3" fillId="6" borderId="1" xfId="0" applyNumberFormat="1" applyFont="1" applyFill="1" applyBorder="1" applyAlignment="1">
      <alignment horizontal="left" vertical="top"/>
    </xf>
    <xf numFmtId="14" fontId="3" fillId="6" borderId="1" xfId="0" applyNumberFormat="1" applyFont="1" applyFill="1" applyBorder="1" applyAlignment="1">
      <alignment horizontal="left" vertical="top"/>
    </xf>
    <xf numFmtId="165" fontId="3" fillId="6" borderId="1" xfId="0" applyNumberFormat="1" applyFont="1" applyFill="1" applyBorder="1" applyAlignment="1">
      <alignment horizontal="right" vertical="top"/>
    </xf>
    <xf numFmtId="3" fontId="3" fillId="6" borderId="1" xfId="0" applyNumberFormat="1" applyFont="1" applyFill="1" applyBorder="1" applyAlignment="1">
      <alignment horizontal="right" vertical="top"/>
    </xf>
    <xf numFmtId="0" fontId="0" fillId="6" borderId="1" xfId="0" applyFill="1" applyBorder="1"/>
    <xf numFmtId="0" fontId="5" fillId="6" borderId="1" xfId="0" applyFont="1" applyFill="1" applyBorder="1" applyAlignment="1">
      <alignment vertical="center"/>
    </xf>
    <xf numFmtId="0" fontId="3" fillId="6" borderId="6" xfId="0" applyFont="1" applyFill="1" applyBorder="1"/>
    <xf numFmtId="0" fontId="0" fillId="7" borderId="0" xfId="0" applyFill="1"/>
    <xf numFmtId="168" fontId="0" fillId="2" borderId="6" xfId="0" applyNumberFormat="1" applyFill="1" applyBorder="1" applyAlignment="1">
      <alignment horizontal="left"/>
    </xf>
    <xf numFmtId="0" fontId="0" fillId="2" borderId="6" xfId="0" applyFill="1" applyBorder="1"/>
    <xf numFmtId="0" fontId="0" fillId="2" borderId="6" xfId="0" applyFill="1" applyBorder="1" applyAlignment="1">
      <alignment horizontal="left"/>
    </xf>
    <xf numFmtId="14" fontId="0" fillId="2" borderId="6" xfId="0" applyNumberFormat="1" applyFill="1" applyBorder="1" applyAlignment="1">
      <alignment horizontal="left"/>
    </xf>
    <xf numFmtId="169" fontId="0" fillId="2" borderId="6" xfId="1" applyNumberFormat="1" applyFont="1" applyFill="1" applyBorder="1"/>
    <xf numFmtId="0" fontId="0" fillId="2" borderId="6" xfId="0" applyFill="1" applyBorder="1" applyAlignment="1">
      <alignment horizontal="right"/>
    </xf>
    <xf numFmtId="170" fontId="0" fillId="2" borderId="6" xfId="1" applyNumberFormat="1" applyFont="1" applyFill="1" applyBorder="1"/>
    <xf numFmtId="41" fontId="0" fillId="2" borderId="6" xfId="1" applyFont="1" applyFill="1" applyBorder="1"/>
    <xf numFmtId="1" fontId="0" fillId="2" borderId="6" xfId="0" applyNumberFormat="1" applyFill="1" applyBorder="1"/>
    <xf numFmtId="1" fontId="0" fillId="0" borderId="1" xfId="0" applyNumberFormat="1" applyBorder="1"/>
    <xf numFmtId="0" fontId="0" fillId="7" borderId="0" xfId="0" applyFill="1" applyAlignment="1">
      <alignment horizontal="center"/>
    </xf>
    <xf numFmtId="0" fontId="0" fillId="6" borderId="1" xfId="0" applyFill="1" applyBorder="1" applyAlignment="1">
      <alignment horizontal="left"/>
    </xf>
    <xf numFmtId="168" fontId="0" fillId="6" borderId="1" xfId="0" applyNumberFormat="1" applyFill="1" applyBorder="1"/>
    <xf numFmtId="14" fontId="0" fillId="6" borderId="1" xfId="0" applyNumberFormat="1" applyFill="1" applyBorder="1"/>
    <xf numFmtId="41" fontId="0" fillId="6" borderId="1" xfId="1" applyFont="1" applyFill="1" applyBorder="1"/>
    <xf numFmtId="1" fontId="0" fillId="6" borderId="1" xfId="0" applyNumberFormat="1" applyFill="1" applyBorder="1"/>
    <xf numFmtId="168" fontId="0" fillId="6" borderId="1" xfId="0" applyNumberFormat="1" applyFill="1" applyBorder="1" applyAlignment="1">
      <alignment horizontal="left"/>
    </xf>
    <xf numFmtId="14" fontId="0" fillId="6" borderId="1" xfId="0" applyNumberFormat="1" applyFill="1" applyBorder="1" applyAlignment="1">
      <alignment horizontal="left"/>
    </xf>
    <xf numFmtId="169" fontId="0" fillId="6" borderId="1" xfId="1" applyNumberFormat="1" applyFont="1" applyFill="1" applyBorder="1"/>
    <xf numFmtId="0" fontId="0" fillId="6" borderId="1" xfId="0" applyFill="1" applyBorder="1" applyAlignment="1">
      <alignment horizontal="right"/>
    </xf>
    <xf numFmtId="9" fontId="0" fillId="6" borderId="1" xfId="3" applyFont="1" applyFill="1" applyBorder="1"/>
    <xf numFmtId="1" fontId="0" fillId="2" borderId="4" xfId="0" applyNumberFormat="1" applyFill="1" applyBorder="1" applyAlignment="1">
      <alignment horizontal="left"/>
    </xf>
    <xf numFmtId="1" fontId="0" fillId="5" borderId="0" xfId="1" applyNumberFormat="1" applyFont="1" applyFill="1" applyBorder="1"/>
    <xf numFmtId="1" fontId="0" fillId="2" borderId="4" xfId="1" applyNumberFormat="1" applyFont="1" applyFill="1" applyBorder="1"/>
    <xf numFmtId="1" fontId="3" fillId="0" borderId="1" xfId="1" applyNumberFormat="1" applyFont="1" applyBorder="1"/>
    <xf numFmtId="1" fontId="0" fillId="0" borderId="1" xfId="1" applyNumberFormat="1" applyFont="1" applyBorder="1"/>
    <xf numFmtId="1" fontId="0" fillId="0" borderId="0" xfId="1" applyNumberFormat="1" applyFont="1"/>
    <xf numFmtId="14" fontId="0" fillId="5" borderId="0" xfId="1" applyNumberFormat="1" applyFont="1" applyFill="1" applyBorder="1"/>
    <xf numFmtId="14" fontId="0" fillId="2" borderId="4" xfId="1" applyNumberFormat="1" applyFont="1" applyFill="1" applyBorder="1"/>
    <xf numFmtId="14" fontId="3" fillId="0" borderId="1" xfId="1" applyNumberFormat="1" applyFont="1" applyBorder="1"/>
    <xf numFmtId="14" fontId="3" fillId="0" borderId="0" xfId="1" applyNumberFormat="1" applyFont="1"/>
    <xf numFmtId="14" fontId="0" fillId="0" borderId="0" xfId="1" applyNumberFormat="1" applyFont="1"/>
    <xf numFmtId="14" fontId="3" fillId="6" borderId="1" xfId="1" applyNumberFormat="1" applyFont="1" applyFill="1" applyBorder="1"/>
    <xf numFmtId="0" fontId="7" fillId="6" borderId="1" xfId="0" applyFont="1" applyFill="1" applyBorder="1"/>
    <xf numFmtId="168" fontId="6" fillId="6" borderId="1" xfId="0" applyNumberFormat="1" applyFont="1" applyFill="1" applyBorder="1" applyAlignment="1">
      <alignment horizontal="left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left"/>
    </xf>
    <xf numFmtId="14" fontId="6" fillId="6" borderId="1" xfId="0" applyNumberFormat="1" applyFont="1" applyFill="1" applyBorder="1" applyAlignment="1">
      <alignment horizontal="left"/>
    </xf>
    <xf numFmtId="169" fontId="6" fillId="6" borderId="1" xfId="1" applyNumberFormat="1" applyFont="1" applyFill="1" applyBorder="1"/>
    <xf numFmtId="0" fontId="6" fillId="6" borderId="1" xfId="0" applyFont="1" applyFill="1" applyBorder="1" applyAlignment="1">
      <alignment horizontal="right"/>
    </xf>
    <xf numFmtId="41" fontId="6" fillId="6" borderId="1" xfId="1" applyFont="1" applyFill="1" applyBorder="1"/>
    <xf numFmtId="9" fontId="6" fillId="6" borderId="1" xfId="3" applyFont="1" applyFill="1" applyBorder="1"/>
    <xf numFmtId="0" fontId="3" fillId="6" borderId="5" xfId="0" applyFont="1" applyFill="1" applyBorder="1"/>
    <xf numFmtId="168" fontId="3" fillId="8" borderId="1" xfId="0" applyNumberFormat="1" applyFont="1" applyFill="1" applyBorder="1"/>
    <xf numFmtId="0" fontId="3" fillId="8" borderId="1" xfId="0" applyFont="1" applyFill="1" applyBorder="1"/>
    <xf numFmtId="14" fontId="3" fillId="8" borderId="1" xfId="0" applyNumberFormat="1" applyFont="1" applyFill="1" applyBorder="1"/>
    <xf numFmtId="41" fontId="3" fillId="8" borderId="1" xfId="1" applyFont="1" applyFill="1" applyBorder="1"/>
    <xf numFmtId="168" fontId="6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69" fontId="6" fillId="0" borderId="1" xfId="1" applyNumberFormat="1" applyFont="1" applyFill="1" applyBorder="1"/>
    <xf numFmtId="0" fontId="6" fillId="0" borderId="1" xfId="0" applyFont="1" applyBorder="1" applyAlignment="1">
      <alignment horizontal="right"/>
    </xf>
    <xf numFmtId="41" fontId="6" fillId="0" borderId="1" xfId="1" applyFont="1" applyFill="1" applyBorder="1"/>
    <xf numFmtId="9" fontId="6" fillId="0" borderId="1" xfId="3" applyFont="1" applyFill="1" applyBorder="1"/>
    <xf numFmtId="0" fontId="7" fillId="0" borderId="1" xfId="0" applyFont="1" applyBorder="1"/>
    <xf numFmtId="168" fontId="3" fillId="0" borderId="1" xfId="2" applyNumberFormat="1" applyFont="1" applyBorder="1" applyAlignment="1">
      <alignment horizontal="left" vertical="top"/>
    </xf>
    <xf numFmtId="0" fontId="3" fillId="0" borderId="1" xfId="2" applyFont="1" applyBorder="1" applyAlignment="1">
      <alignment horizontal="left" vertical="top"/>
    </xf>
    <xf numFmtId="165" fontId="3" fillId="0" borderId="1" xfId="2" applyNumberFormat="1" applyFont="1" applyBorder="1" applyAlignment="1">
      <alignment horizontal="left" vertical="top"/>
    </xf>
    <xf numFmtId="14" fontId="3" fillId="0" borderId="1" xfId="2" applyNumberFormat="1" applyFont="1" applyBorder="1" applyAlignment="1">
      <alignment horizontal="left" vertical="top"/>
    </xf>
    <xf numFmtId="169" fontId="3" fillId="0" borderId="1" xfId="1" applyNumberFormat="1" applyFont="1" applyFill="1" applyBorder="1" applyAlignment="1">
      <alignment horizontal="right" vertical="top"/>
    </xf>
    <xf numFmtId="0" fontId="3" fillId="0" borderId="1" xfId="2" applyFont="1" applyBorder="1" applyAlignment="1">
      <alignment horizontal="right" vertical="top"/>
    </xf>
    <xf numFmtId="41" fontId="3" fillId="0" borderId="1" xfId="1" applyFont="1" applyFill="1" applyBorder="1" applyAlignment="1">
      <alignment horizontal="right" vertical="top"/>
    </xf>
    <xf numFmtId="9" fontId="3" fillId="0" borderId="1" xfId="3" applyFont="1" applyFill="1" applyBorder="1" applyAlignment="1">
      <alignment horizontal="right" vertical="top"/>
    </xf>
    <xf numFmtId="165" fontId="3" fillId="0" borderId="1" xfId="2" applyNumberFormat="1" applyFont="1" applyBorder="1" applyAlignment="1">
      <alignment horizontal="right" vertical="top"/>
    </xf>
    <xf numFmtId="3" fontId="3" fillId="0" borderId="1" xfId="2" applyNumberFormat="1" applyFont="1" applyBorder="1" applyAlignment="1">
      <alignment horizontal="right" vertical="top"/>
    </xf>
    <xf numFmtId="0" fontId="0" fillId="0" borderId="1" xfId="0" applyBorder="1" applyAlignment="1">
      <alignment vertical="top" wrapText="1"/>
    </xf>
    <xf numFmtId="164" fontId="3" fillId="3" borderId="1" xfId="0" applyNumberFormat="1" applyFont="1" applyFill="1" applyBorder="1" applyAlignment="1">
      <alignment horizontal="left"/>
    </xf>
    <xf numFmtId="170" fontId="3" fillId="3" borderId="1" xfId="1" applyNumberFormat="1" applyFont="1" applyFill="1" applyBorder="1"/>
    <xf numFmtId="0" fontId="0" fillId="0" borderId="2" xfId="0" applyBorder="1"/>
    <xf numFmtId="0" fontId="3" fillId="0" borderId="1" xfId="0" applyFont="1" applyBorder="1" applyAlignment="1">
      <alignment vertical="center"/>
    </xf>
    <xf numFmtId="0" fontId="0" fillId="8" borderId="1" xfId="0" applyFill="1" applyBorder="1" applyAlignment="1">
      <alignment vertical="top"/>
    </xf>
    <xf numFmtId="0" fontId="3" fillId="8" borderId="2" xfId="0" applyFont="1" applyFill="1" applyBorder="1"/>
    <xf numFmtId="0" fontId="3" fillId="8" borderId="3" xfId="0" applyFont="1" applyFill="1" applyBorder="1"/>
    <xf numFmtId="168" fontId="0" fillId="8" borderId="1" xfId="0" applyNumberFormat="1" applyFill="1" applyBorder="1"/>
    <xf numFmtId="0" fontId="0" fillId="8" borderId="1" xfId="0" applyFill="1" applyBorder="1"/>
    <xf numFmtId="14" fontId="0" fillId="8" borderId="1" xfId="0" applyNumberFormat="1" applyFill="1" applyBorder="1"/>
    <xf numFmtId="41" fontId="0" fillId="8" borderId="1" xfId="1" applyFont="1" applyFill="1" applyBorder="1"/>
    <xf numFmtId="9" fontId="0" fillId="8" borderId="1" xfId="3" applyFont="1" applyFill="1" applyBorder="1"/>
    <xf numFmtId="168" fontId="3" fillId="8" borderId="1" xfId="0" applyNumberFormat="1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164" fontId="3" fillId="8" borderId="1" xfId="0" applyNumberFormat="1" applyFont="1" applyFill="1" applyBorder="1" applyAlignment="1">
      <alignment horizontal="left"/>
    </xf>
    <xf numFmtId="169" fontId="3" fillId="8" borderId="1" xfId="1" applyNumberFormat="1" applyFont="1" applyFill="1" applyBorder="1"/>
    <xf numFmtId="0" fontId="3" fillId="8" borderId="1" xfId="0" applyFont="1" applyFill="1" applyBorder="1" applyAlignment="1">
      <alignment horizontal="right"/>
    </xf>
    <xf numFmtId="170" fontId="3" fillId="8" borderId="1" xfId="1" applyNumberFormat="1" applyFont="1" applyFill="1" applyBorder="1"/>
    <xf numFmtId="168" fontId="3" fillId="8" borderId="1" xfId="2" applyNumberFormat="1" applyFont="1" applyFill="1" applyBorder="1" applyAlignment="1">
      <alignment horizontal="left" vertical="top"/>
    </xf>
    <xf numFmtId="0" fontId="3" fillId="8" borderId="1" xfId="2" applyFont="1" applyFill="1" applyBorder="1" applyAlignment="1">
      <alignment horizontal="left" vertical="top"/>
    </xf>
    <xf numFmtId="165" fontId="3" fillId="8" borderId="1" xfId="2" applyNumberFormat="1" applyFont="1" applyFill="1" applyBorder="1" applyAlignment="1">
      <alignment horizontal="left" vertical="top"/>
    </xf>
    <xf numFmtId="14" fontId="3" fillId="8" borderId="1" xfId="2" applyNumberFormat="1" applyFont="1" applyFill="1" applyBorder="1" applyAlignment="1">
      <alignment horizontal="left" vertical="top"/>
    </xf>
    <xf numFmtId="169" fontId="3" fillId="8" borderId="1" xfId="1" applyNumberFormat="1" applyFont="1" applyFill="1" applyBorder="1" applyAlignment="1">
      <alignment horizontal="right" vertical="top"/>
    </xf>
    <xf numFmtId="0" fontId="3" fillId="8" borderId="1" xfId="2" applyFont="1" applyFill="1" applyBorder="1" applyAlignment="1">
      <alignment horizontal="right" vertical="top"/>
    </xf>
    <xf numFmtId="41" fontId="3" fillId="8" borderId="1" xfId="1" applyFont="1" applyFill="1" applyBorder="1" applyAlignment="1">
      <alignment horizontal="right" vertical="top"/>
    </xf>
    <xf numFmtId="9" fontId="3" fillId="8" borderId="1" xfId="3" applyFont="1" applyFill="1" applyBorder="1" applyAlignment="1">
      <alignment horizontal="right" vertical="top"/>
    </xf>
    <xf numFmtId="165" fontId="3" fillId="8" borderId="1" xfId="2" applyNumberFormat="1" applyFont="1" applyFill="1" applyBorder="1" applyAlignment="1">
      <alignment horizontal="right" vertical="top"/>
    </xf>
    <xf numFmtId="3" fontId="3" fillId="8" borderId="1" xfId="2" applyNumberFormat="1" applyFont="1" applyFill="1" applyBorder="1" applyAlignment="1">
      <alignment horizontal="right" vertical="top"/>
    </xf>
    <xf numFmtId="0" fontId="0" fillId="8" borderId="1" xfId="0" applyFill="1" applyBorder="1" applyAlignment="1">
      <alignment vertical="top" wrapText="1"/>
    </xf>
    <xf numFmtId="168" fontId="0" fillId="8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169" fontId="0" fillId="8" borderId="1" xfId="1" applyNumberFormat="1" applyFont="1" applyFill="1" applyBorder="1"/>
    <xf numFmtId="0" fontId="0" fillId="8" borderId="1" xfId="0" applyFill="1" applyBorder="1" applyAlignment="1">
      <alignment horizontal="right"/>
    </xf>
    <xf numFmtId="0" fontId="7" fillId="8" borderId="1" xfId="0" applyFont="1" applyFill="1" applyBorder="1"/>
    <xf numFmtId="0" fontId="0" fillId="2" borderId="4" xfId="0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" fontId="3" fillId="3" borderId="1" xfId="0" applyNumberFormat="1" applyFont="1" applyFill="1" applyBorder="1"/>
  </cellXfs>
  <cellStyles count="4">
    <cellStyle name="Comma [0]" xfId="1" builtinId="6"/>
    <cellStyle name="Normal" xfId="0" builtinId="0"/>
    <cellStyle name="Normal 2" xfId="2" xr:uid="{D56F61C5-9636-42F2-8770-36CFAA1FAC49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85724</xdr:rowOff>
    </xdr:from>
    <xdr:to>
      <xdr:col>1</xdr:col>
      <xdr:colOff>152400</xdr:colOff>
      <xdr:row>4</xdr:row>
      <xdr:rowOff>19049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CE1EA9-CDDA-4BF0-BE4B-E3B924E35C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4"/>
          <a:ext cx="24479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428625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D9C024-026B-4433-A282-500A3E68CD5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66675</xdr:rowOff>
    </xdr:from>
    <xdr:to>
      <xdr:col>1</xdr:col>
      <xdr:colOff>161925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690A9B-6623-42D3-968D-86DF0CD9CC7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66675"/>
          <a:ext cx="24479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</xdr:col>
      <xdr:colOff>514350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67FDF-9E09-4553-A112-C30155A987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1</xdr:col>
      <xdr:colOff>152400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2A713-A3BB-488F-8FCB-F53C9D89D02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24479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85724</xdr:rowOff>
    </xdr:from>
    <xdr:to>
      <xdr:col>1</xdr:col>
      <xdr:colOff>152400</xdr:colOff>
      <xdr:row>4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D5EA8-9FCD-45F7-AB9B-1927E875198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4"/>
          <a:ext cx="24479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371475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45B0D-5541-4AC8-81A2-9DC3FD92751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24479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1</xdr:col>
      <xdr:colOff>152400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7D02BC-EBB6-4131-A897-B86FA3EBAAC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24479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1</xdr:col>
      <xdr:colOff>76200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0F568A-7477-4101-B202-DD5E8B9BF1C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66675</xdr:rowOff>
    </xdr:from>
    <xdr:to>
      <xdr:col>3</xdr:col>
      <xdr:colOff>180975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2C5875-4E43-44AB-9787-81FB803AE3E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66675"/>
          <a:ext cx="24479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590550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308A44-A1D4-4758-AC5F-B4A0D80E206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3</xdr:col>
      <xdr:colOff>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4CFDD-FECB-4EE8-9C4F-9291FFB713F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561975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5BF6C6-27A7-4892-8653-6C6E385618B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552450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C47A3-2B93-4602-8434-5AD9F45E5B8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3</xdr:col>
      <xdr:colOff>38100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CEB9CB-3815-4C79-AD40-031A4A123E3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47625</xdr:rowOff>
    </xdr:from>
    <xdr:to>
      <xdr:col>3</xdr:col>
      <xdr:colOff>28575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05B1E-4676-4B2D-9643-02D54C74D1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7625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3</xdr:col>
      <xdr:colOff>304800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78AB1C-2F77-4493-9928-B55C266773A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590550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918705-20F0-4566-BD18-BEF0B107EA3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3</xdr:col>
      <xdr:colOff>257175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86732F-A21F-40B4-9A12-B38FBF05053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66675</xdr:rowOff>
    </xdr:from>
    <xdr:to>
      <xdr:col>3</xdr:col>
      <xdr:colOff>180975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2B4BA-FEE1-4259-9CF9-A9099ECE9F3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66675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3</xdr:col>
      <xdr:colOff>438150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D2E637-FDD9-400C-AECB-BBBA45F3D46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2371725" cy="6953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219A-7CE6-45D9-ABD2-DCACA22FFD7A}">
  <dimension ref="A1:D260"/>
  <sheetViews>
    <sheetView workbookViewId="0">
      <pane ySplit="1" topLeftCell="A242" activePane="bottomLeft" state="frozen"/>
      <selection pane="bottomLeft" activeCell="D259" sqref="D259:D260"/>
    </sheetView>
  </sheetViews>
  <sheetFormatPr defaultRowHeight="15" x14ac:dyDescent="0.25"/>
  <cols>
    <col min="1" max="1" width="18.28515625" bestFit="1" customWidth="1"/>
    <col min="2" max="2" width="35.7109375" bestFit="1" customWidth="1"/>
    <col min="3" max="3" width="13.5703125" bestFit="1" customWidth="1"/>
    <col min="4" max="4" width="8.5703125" bestFit="1" customWidth="1"/>
  </cols>
  <sheetData>
    <row r="1" spans="1:4" x14ac:dyDescent="0.25">
      <c r="A1" s="179" t="s">
        <v>8</v>
      </c>
      <c r="B1" s="179" t="s">
        <v>9</v>
      </c>
      <c r="C1" s="179" t="s">
        <v>688</v>
      </c>
      <c r="D1" s="179" t="s">
        <v>276</v>
      </c>
    </row>
    <row r="2" spans="1:4" x14ac:dyDescent="0.25">
      <c r="A2" t="s">
        <v>277</v>
      </c>
      <c r="B2" t="s">
        <v>480</v>
      </c>
      <c r="C2" t="s">
        <v>689</v>
      </c>
      <c r="D2" t="s">
        <v>695</v>
      </c>
    </row>
    <row r="3" spans="1:4" x14ac:dyDescent="0.25">
      <c r="A3" t="s">
        <v>278</v>
      </c>
      <c r="B3" t="s">
        <v>481</v>
      </c>
      <c r="C3" t="s">
        <v>689</v>
      </c>
      <c r="D3" t="s">
        <v>695</v>
      </c>
    </row>
    <row r="4" spans="1:4" x14ac:dyDescent="0.25">
      <c r="A4" t="s">
        <v>122</v>
      </c>
      <c r="B4" t="s">
        <v>238</v>
      </c>
      <c r="C4" t="s">
        <v>690</v>
      </c>
      <c r="D4" t="s">
        <v>694</v>
      </c>
    </row>
    <row r="5" spans="1:4" x14ac:dyDescent="0.25">
      <c r="A5" t="s">
        <v>279</v>
      </c>
      <c r="B5" t="s">
        <v>482</v>
      </c>
      <c r="C5" t="s">
        <v>689</v>
      </c>
      <c r="D5" t="s">
        <v>695</v>
      </c>
    </row>
    <row r="6" spans="1:4" x14ac:dyDescent="0.25">
      <c r="A6" t="s">
        <v>51</v>
      </c>
      <c r="B6" t="s">
        <v>483</v>
      </c>
      <c r="C6" t="s">
        <v>691</v>
      </c>
      <c r="D6" t="s">
        <v>695</v>
      </c>
    </row>
    <row r="7" spans="1:4" x14ac:dyDescent="0.25">
      <c r="A7" t="s">
        <v>280</v>
      </c>
      <c r="B7" t="s">
        <v>484</v>
      </c>
      <c r="C7" t="s">
        <v>691</v>
      </c>
      <c r="D7" t="s">
        <v>695</v>
      </c>
    </row>
    <row r="8" spans="1:4" x14ac:dyDescent="0.25">
      <c r="A8" t="s">
        <v>151</v>
      </c>
      <c r="B8" t="s">
        <v>485</v>
      </c>
      <c r="C8" t="s">
        <v>690</v>
      </c>
      <c r="D8" t="s">
        <v>694</v>
      </c>
    </row>
    <row r="9" spans="1:4" x14ac:dyDescent="0.25">
      <c r="A9" t="s">
        <v>62</v>
      </c>
      <c r="B9" t="s">
        <v>486</v>
      </c>
      <c r="C9" t="s">
        <v>691</v>
      </c>
      <c r="D9" t="s">
        <v>695</v>
      </c>
    </row>
    <row r="10" spans="1:4" x14ac:dyDescent="0.25">
      <c r="A10" t="s">
        <v>281</v>
      </c>
      <c r="B10" t="s">
        <v>487</v>
      </c>
      <c r="C10" t="s">
        <v>690</v>
      </c>
      <c r="D10" t="s">
        <v>694</v>
      </c>
    </row>
    <row r="11" spans="1:4" x14ac:dyDescent="0.25">
      <c r="A11" t="s">
        <v>226</v>
      </c>
      <c r="B11" t="s">
        <v>227</v>
      </c>
      <c r="C11" t="s">
        <v>690</v>
      </c>
      <c r="D11" t="s">
        <v>694</v>
      </c>
    </row>
    <row r="12" spans="1:4" x14ac:dyDescent="0.25">
      <c r="A12" t="s">
        <v>50</v>
      </c>
      <c r="B12" t="s">
        <v>488</v>
      </c>
      <c r="C12" t="s">
        <v>691</v>
      </c>
      <c r="D12" t="s">
        <v>695</v>
      </c>
    </row>
    <row r="13" spans="1:4" x14ac:dyDescent="0.25">
      <c r="A13" t="s">
        <v>267</v>
      </c>
      <c r="B13" t="s">
        <v>268</v>
      </c>
      <c r="C13" t="s">
        <v>690</v>
      </c>
      <c r="D13" t="s">
        <v>694</v>
      </c>
    </row>
    <row r="14" spans="1:4" x14ac:dyDescent="0.25">
      <c r="A14" t="s">
        <v>282</v>
      </c>
      <c r="B14" t="s">
        <v>489</v>
      </c>
      <c r="C14" t="s">
        <v>692</v>
      </c>
      <c r="D14" t="s">
        <v>695</v>
      </c>
    </row>
    <row r="15" spans="1:4" x14ac:dyDescent="0.25">
      <c r="A15" t="s">
        <v>283</v>
      </c>
      <c r="B15" t="s">
        <v>490</v>
      </c>
      <c r="C15" t="s">
        <v>691</v>
      </c>
      <c r="D15" t="s">
        <v>695</v>
      </c>
    </row>
    <row r="16" spans="1:4" x14ac:dyDescent="0.25">
      <c r="A16" t="s">
        <v>284</v>
      </c>
      <c r="B16" t="s">
        <v>491</v>
      </c>
      <c r="C16" t="s">
        <v>690</v>
      </c>
      <c r="D16" t="s">
        <v>694</v>
      </c>
    </row>
    <row r="17" spans="1:4" x14ac:dyDescent="0.25">
      <c r="A17" t="s">
        <v>285</v>
      </c>
      <c r="B17" t="s">
        <v>492</v>
      </c>
      <c r="C17" t="s">
        <v>690</v>
      </c>
      <c r="D17" t="s">
        <v>694</v>
      </c>
    </row>
    <row r="18" spans="1:4" x14ac:dyDescent="0.25">
      <c r="A18" t="s">
        <v>286</v>
      </c>
      <c r="B18" t="s">
        <v>493</v>
      </c>
      <c r="C18" t="s">
        <v>690</v>
      </c>
      <c r="D18" t="s">
        <v>694</v>
      </c>
    </row>
    <row r="19" spans="1:4" x14ac:dyDescent="0.25">
      <c r="A19" t="s">
        <v>116</v>
      </c>
      <c r="B19" t="s">
        <v>117</v>
      </c>
      <c r="C19" t="s">
        <v>690</v>
      </c>
      <c r="D19" t="s">
        <v>694</v>
      </c>
    </row>
    <row r="20" spans="1:4" x14ac:dyDescent="0.25">
      <c r="A20" t="s">
        <v>287</v>
      </c>
      <c r="B20" t="s">
        <v>494</v>
      </c>
      <c r="C20" t="s">
        <v>690</v>
      </c>
      <c r="D20" t="s">
        <v>694</v>
      </c>
    </row>
    <row r="21" spans="1:4" x14ac:dyDescent="0.25">
      <c r="A21" t="s">
        <v>288</v>
      </c>
      <c r="B21" t="s">
        <v>495</v>
      </c>
      <c r="C21" t="s">
        <v>690</v>
      </c>
      <c r="D21" t="s">
        <v>694</v>
      </c>
    </row>
    <row r="22" spans="1:4" x14ac:dyDescent="0.25">
      <c r="A22" t="s">
        <v>106</v>
      </c>
      <c r="B22" t="s">
        <v>107</v>
      </c>
      <c r="C22" t="s">
        <v>691</v>
      </c>
      <c r="D22" t="s">
        <v>695</v>
      </c>
    </row>
    <row r="23" spans="1:4" x14ac:dyDescent="0.25">
      <c r="A23" t="s">
        <v>289</v>
      </c>
      <c r="B23" t="s">
        <v>496</v>
      </c>
      <c r="C23" t="s">
        <v>689</v>
      </c>
      <c r="D23" t="s">
        <v>695</v>
      </c>
    </row>
    <row r="24" spans="1:4" x14ac:dyDescent="0.25">
      <c r="A24" t="s">
        <v>290</v>
      </c>
      <c r="B24" t="s">
        <v>497</v>
      </c>
      <c r="C24" t="s">
        <v>692</v>
      </c>
      <c r="D24" t="s">
        <v>695</v>
      </c>
    </row>
    <row r="25" spans="1:4" x14ac:dyDescent="0.25">
      <c r="A25" t="s">
        <v>291</v>
      </c>
      <c r="B25" t="s">
        <v>498</v>
      </c>
      <c r="C25" t="s">
        <v>690</v>
      </c>
      <c r="D25" t="s">
        <v>694</v>
      </c>
    </row>
    <row r="26" spans="1:4" x14ac:dyDescent="0.25">
      <c r="A26" t="s">
        <v>292</v>
      </c>
      <c r="B26" t="s">
        <v>499</v>
      </c>
      <c r="C26" t="s">
        <v>689</v>
      </c>
      <c r="D26" t="s">
        <v>695</v>
      </c>
    </row>
    <row r="27" spans="1:4" x14ac:dyDescent="0.25">
      <c r="A27" t="s">
        <v>216</v>
      </c>
      <c r="B27" t="s">
        <v>217</v>
      </c>
      <c r="C27" t="s">
        <v>690</v>
      </c>
      <c r="D27" t="s">
        <v>694</v>
      </c>
    </row>
    <row r="28" spans="1:4" x14ac:dyDescent="0.25">
      <c r="A28" t="s">
        <v>293</v>
      </c>
      <c r="B28" t="s">
        <v>500</v>
      </c>
      <c r="C28" t="s">
        <v>690</v>
      </c>
      <c r="D28" t="s">
        <v>694</v>
      </c>
    </row>
    <row r="29" spans="1:4" x14ac:dyDescent="0.25">
      <c r="A29" t="s">
        <v>294</v>
      </c>
      <c r="B29" t="s">
        <v>501</v>
      </c>
      <c r="C29" t="s">
        <v>690</v>
      </c>
      <c r="D29" t="s">
        <v>694</v>
      </c>
    </row>
    <row r="30" spans="1:4" x14ac:dyDescent="0.25">
      <c r="A30" t="s">
        <v>174</v>
      </c>
      <c r="B30" t="s">
        <v>502</v>
      </c>
      <c r="C30" t="s">
        <v>690</v>
      </c>
      <c r="D30" t="s">
        <v>694</v>
      </c>
    </row>
    <row r="31" spans="1:4" x14ac:dyDescent="0.25">
      <c r="A31" t="s">
        <v>295</v>
      </c>
      <c r="B31" t="s">
        <v>503</v>
      </c>
      <c r="C31" t="s">
        <v>690</v>
      </c>
      <c r="D31" t="s">
        <v>694</v>
      </c>
    </row>
    <row r="32" spans="1:4" x14ac:dyDescent="0.25">
      <c r="A32" t="s">
        <v>296</v>
      </c>
      <c r="B32" t="s">
        <v>504</v>
      </c>
      <c r="C32" t="s">
        <v>690</v>
      </c>
      <c r="D32" t="s">
        <v>694</v>
      </c>
    </row>
    <row r="33" spans="1:4" x14ac:dyDescent="0.25">
      <c r="A33" t="s">
        <v>297</v>
      </c>
      <c r="B33" t="s">
        <v>505</v>
      </c>
      <c r="C33" t="s">
        <v>690</v>
      </c>
      <c r="D33" t="s">
        <v>694</v>
      </c>
    </row>
    <row r="34" spans="1:4" x14ac:dyDescent="0.25">
      <c r="A34" t="s">
        <v>298</v>
      </c>
      <c r="B34" t="s">
        <v>506</v>
      </c>
      <c r="C34" t="s">
        <v>690</v>
      </c>
      <c r="D34" t="s">
        <v>694</v>
      </c>
    </row>
    <row r="35" spans="1:4" x14ac:dyDescent="0.25">
      <c r="A35" t="s">
        <v>170</v>
      </c>
      <c r="B35" t="s">
        <v>507</v>
      </c>
      <c r="C35" t="s">
        <v>690</v>
      </c>
      <c r="D35" t="s">
        <v>694</v>
      </c>
    </row>
    <row r="36" spans="1:4" x14ac:dyDescent="0.25">
      <c r="A36" t="s">
        <v>240</v>
      </c>
      <c r="B36" t="s">
        <v>241</v>
      </c>
      <c r="C36" t="s">
        <v>690</v>
      </c>
      <c r="D36" t="s">
        <v>694</v>
      </c>
    </row>
    <row r="37" spans="1:4" x14ac:dyDescent="0.25">
      <c r="A37" t="s">
        <v>299</v>
      </c>
      <c r="B37" t="s">
        <v>508</v>
      </c>
      <c r="C37" t="s">
        <v>690</v>
      </c>
      <c r="D37" t="s">
        <v>694</v>
      </c>
    </row>
    <row r="38" spans="1:4" x14ac:dyDescent="0.25">
      <c r="A38" t="s">
        <v>300</v>
      </c>
      <c r="B38" t="s">
        <v>300</v>
      </c>
      <c r="C38" t="s">
        <v>690</v>
      </c>
      <c r="D38" t="s">
        <v>694</v>
      </c>
    </row>
    <row r="39" spans="1:4" x14ac:dyDescent="0.25">
      <c r="A39" t="s">
        <v>301</v>
      </c>
      <c r="B39" t="s">
        <v>509</v>
      </c>
      <c r="C39" t="s">
        <v>690</v>
      </c>
      <c r="D39" t="s">
        <v>694</v>
      </c>
    </row>
    <row r="40" spans="1:4" x14ac:dyDescent="0.25">
      <c r="A40" t="s">
        <v>302</v>
      </c>
      <c r="B40" t="s">
        <v>510</v>
      </c>
      <c r="C40" t="s">
        <v>690</v>
      </c>
      <c r="D40" t="s">
        <v>694</v>
      </c>
    </row>
    <row r="41" spans="1:4" x14ac:dyDescent="0.25">
      <c r="A41" t="s">
        <v>303</v>
      </c>
      <c r="B41" t="s">
        <v>511</v>
      </c>
      <c r="C41" t="s">
        <v>690</v>
      </c>
      <c r="D41" t="s">
        <v>694</v>
      </c>
    </row>
    <row r="42" spans="1:4" x14ac:dyDescent="0.25">
      <c r="A42" t="s">
        <v>304</v>
      </c>
      <c r="B42" t="s">
        <v>512</v>
      </c>
      <c r="C42" t="s">
        <v>690</v>
      </c>
      <c r="D42" t="s">
        <v>694</v>
      </c>
    </row>
    <row r="43" spans="1:4" x14ac:dyDescent="0.25">
      <c r="A43" t="s">
        <v>159</v>
      </c>
      <c r="B43" t="s">
        <v>270</v>
      </c>
      <c r="C43" t="s">
        <v>690</v>
      </c>
      <c r="D43" t="s">
        <v>694</v>
      </c>
    </row>
    <row r="44" spans="1:4" x14ac:dyDescent="0.25">
      <c r="A44" t="s">
        <v>305</v>
      </c>
      <c r="B44" t="s">
        <v>513</v>
      </c>
      <c r="C44" t="s">
        <v>690</v>
      </c>
      <c r="D44" t="s">
        <v>694</v>
      </c>
    </row>
    <row r="45" spans="1:4" x14ac:dyDescent="0.25">
      <c r="A45" t="s">
        <v>179</v>
      </c>
      <c r="B45" t="s">
        <v>514</v>
      </c>
      <c r="C45" t="s">
        <v>690</v>
      </c>
      <c r="D45" t="s">
        <v>694</v>
      </c>
    </row>
    <row r="46" spans="1:4" x14ac:dyDescent="0.25">
      <c r="A46" t="s">
        <v>306</v>
      </c>
      <c r="B46" t="s">
        <v>515</v>
      </c>
      <c r="C46" t="s">
        <v>690</v>
      </c>
      <c r="D46" t="s">
        <v>694</v>
      </c>
    </row>
    <row r="47" spans="1:4" x14ac:dyDescent="0.25">
      <c r="A47" t="s">
        <v>307</v>
      </c>
      <c r="B47" t="s">
        <v>516</v>
      </c>
      <c r="C47" t="s">
        <v>690</v>
      </c>
      <c r="D47" t="s">
        <v>694</v>
      </c>
    </row>
    <row r="48" spans="1:4" x14ac:dyDescent="0.25">
      <c r="A48" t="s">
        <v>308</v>
      </c>
      <c r="B48" t="s">
        <v>517</v>
      </c>
      <c r="C48" t="s">
        <v>690</v>
      </c>
      <c r="D48" t="s">
        <v>694</v>
      </c>
    </row>
    <row r="49" spans="1:4" x14ac:dyDescent="0.25">
      <c r="A49" t="s">
        <v>309</v>
      </c>
      <c r="B49" t="s">
        <v>518</v>
      </c>
      <c r="C49" t="s">
        <v>691</v>
      </c>
      <c r="D49" t="s">
        <v>695</v>
      </c>
    </row>
    <row r="50" spans="1:4" x14ac:dyDescent="0.25">
      <c r="A50" t="s">
        <v>233</v>
      </c>
      <c r="B50" t="s">
        <v>234</v>
      </c>
      <c r="C50" t="s">
        <v>691</v>
      </c>
      <c r="D50" t="s">
        <v>695</v>
      </c>
    </row>
    <row r="51" spans="1:4" x14ac:dyDescent="0.25">
      <c r="A51" t="s">
        <v>52</v>
      </c>
      <c r="B51" t="s">
        <v>519</v>
      </c>
      <c r="C51" t="s">
        <v>691</v>
      </c>
      <c r="D51" t="s">
        <v>695</v>
      </c>
    </row>
    <row r="52" spans="1:4" x14ac:dyDescent="0.25">
      <c r="A52" t="s">
        <v>310</v>
      </c>
      <c r="B52" t="s">
        <v>520</v>
      </c>
      <c r="C52" t="s">
        <v>691</v>
      </c>
      <c r="D52" t="s">
        <v>695</v>
      </c>
    </row>
    <row r="53" spans="1:4" x14ac:dyDescent="0.25">
      <c r="A53" t="s">
        <v>311</v>
      </c>
      <c r="B53" t="s">
        <v>521</v>
      </c>
      <c r="C53" t="s">
        <v>690</v>
      </c>
      <c r="D53" t="s">
        <v>694</v>
      </c>
    </row>
    <row r="54" spans="1:4" x14ac:dyDescent="0.25">
      <c r="A54" t="s">
        <v>61</v>
      </c>
      <c r="B54" t="s">
        <v>522</v>
      </c>
      <c r="C54" t="s">
        <v>690</v>
      </c>
      <c r="D54" t="s">
        <v>694</v>
      </c>
    </row>
    <row r="55" spans="1:4" x14ac:dyDescent="0.25">
      <c r="A55" t="s">
        <v>209</v>
      </c>
      <c r="B55" t="s">
        <v>210</v>
      </c>
      <c r="C55" t="s">
        <v>690</v>
      </c>
      <c r="D55" t="s">
        <v>694</v>
      </c>
    </row>
    <row r="56" spans="1:4" x14ac:dyDescent="0.25">
      <c r="A56" t="s">
        <v>312</v>
      </c>
      <c r="B56" t="s">
        <v>523</v>
      </c>
      <c r="C56" t="s">
        <v>690</v>
      </c>
      <c r="D56" t="s">
        <v>694</v>
      </c>
    </row>
    <row r="57" spans="1:4" x14ac:dyDescent="0.25">
      <c r="A57" t="s">
        <v>313</v>
      </c>
      <c r="B57" t="s">
        <v>524</v>
      </c>
      <c r="C57" t="s">
        <v>690</v>
      </c>
      <c r="D57" t="s">
        <v>694</v>
      </c>
    </row>
    <row r="58" spans="1:4" x14ac:dyDescent="0.25">
      <c r="A58" t="s">
        <v>129</v>
      </c>
      <c r="B58" t="s">
        <v>130</v>
      </c>
      <c r="C58" t="s">
        <v>690</v>
      </c>
      <c r="D58" t="s">
        <v>694</v>
      </c>
    </row>
    <row r="59" spans="1:4" x14ac:dyDescent="0.25">
      <c r="A59" t="s">
        <v>314</v>
      </c>
      <c r="B59" t="s">
        <v>525</v>
      </c>
      <c r="C59" t="s">
        <v>690</v>
      </c>
      <c r="D59" t="s">
        <v>694</v>
      </c>
    </row>
    <row r="60" spans="1:4" x14ac:dyDescent="0.25">
      <c r="A60" t="s">
        <v>315</v>
      </c>
      <c r="B60" t="s">
        <v>526</v>
      </c>
      <c r="C60" t="s">
        <v>690</v>
      </c>
      <c r="D60" t="s">
        <v>694</v>
      </c>
    </row>
    <row r="61" spans="1:4" x14ac:dyDescent="0.25">
      <c r="A61" t="s">
        <v>316</v>
      </c>
      <c r="B61" t="s">
        <v>527</v>
      </c>
      <c r="C61" t="s">
        <v>689</v>
      </c>
      <c r="D61" t="s">
        <v>695</v>
      </c>
    </row>
    <row r="62" spans="1:4" x14ac:dyDescent="0.25">
      <c r="A62" t="s">
        <v>317</v>
      </c>
      <c r="B62" t="s">
        <v>528</v>
      </c>
      <c r="C62" t="s">
        <v>691</v>
      </c>
      <c r="D62" t="s">
        <v>695</v>
      </c>
    </row>
    <row r="63" spans="1:4" x14ac:dyDescent="0.25">
      <c r="A63" t="s">
        <v>318</v>
      </c>
      <c r="B63" t="s">
        <v>529</v>
      </c>
      <c r="C63" t="s">
        <v>692</v>
      </c>
      <c r="D63" t="s">
        <v>695</v>
      </c>
    </row>
    <row r="64" spans="1:4" x14ac:dyDescent="0.25">
      <c r="A64" t="s">
        <v>319</v>
      </c>
      <c r="B64" t="s">
        <v>530</v>
      </c>
      <c r="C64" t="s">
        <v>690</v>
      </c>
      <c r="D64" t="s">
        <v>694</v>
      </c>
    </row>
    <row r="65" spans="1:4" x14ac:dyDescent="0.25">
      <c r="A65" t="s">
        <v>320</v>
      </c>
      <c r="B65" t="s">
        <v>531</v>
      </c>
      <c r="C65" t="s">
        <v>692</v>
      </c>
      <c r="D65" t="s">
        <v>695</v>
      </c>
    </row>
    <row r="66" spans="1:4" x14ac:dyDescent="0.25">
      <c r="A66" t="s">
        <v>321</v>
      </c>
      <c r="B66" t="s">
        <v>532</v>
      </c>
      <c r="C66" t="s">
        <v>691</v>
      </c>
      <c r="D66" t="s">
        <v>695</v>
      </c>
    </row>
    <row r="67" spans="1:4" x14ac:dyDescent="0.25">
      <c r="A67" t="s">
        <v>322</v>
      </c>
      <c r="B67" t="s">
        <v>533</v>
      </c>
      <c r="C67" t="s">
        <v>690</v>
      </c>
      <c r="D67" t="s">
        <v>694</v>
      </c>
    </row>
    <row r="68" spans="1:4" x14ac:dyDescent="0.25">
      <c r="A68" t="s">
        <v>323</v>
      </c>
      <c r="B68" t="s">
        <v>534</v>
      </c>
      <c r="C68" t="s">
        <v>692</v>
      </c>
      <c r="D68" t="s">
        <v>695</v>
      </c>
    </row>
    <row r="69" spans="1:4" x14ac:dyDescent="0.25">
      <c r="A69" t="s">
        <v>324</v>
      </c>
      <c r="B69" t="s">
        <v>535</v>
      </c>
      <c r="C69" t="s">
        <v>692</v>
      </c>
      <c r="D69" t="s">
        <v>695</v>
      </c>
    </row>
    <row r="70" spans="1:4" x14ac:dyDescent="0.25">
      <c r="A70" t="s">
        <v>325</v>
      </c>
      <c r="B70" t="s">
        <v>536</v>
      </c>
      <c r="C70" t="s">
        <v>690</v>
      </c>
      <c r="D70" t="s">
        <v>694</v>
      </c>
    </row>
    <row r="71" spans="1:4" x14ac:dyDescent="0.25">
      <c r="A71" t="s">
        <v>326</v>
      </c>
      <c r="B71" t="s">
        <v>537</v>
      </c>
      <c r="C71" t="s">
        <v>690</v>
      </c>
      <c r="D71" t="s">
        <v>694</v>
      </c>
    </row>
    <row r="72" spans="1:4" x14ac:dyDescent="0.25">
      <c r="A72" t="s">
        <v>164</v>
      </c>
      <c r="B72" t="s">
        <v>538</v>
      </c>
      <c r="C72" t="s">
        <v>690</v>
      </c>
      <c r="D72" t="s">
        <v>694</v>
      </c>
    </row>
    <row r="73" spans="1:4" x14ac:dyDescent="0.25">
      <c r="A73" t="s">
        <v>327</v>
      </c>
      <c r="B73" t="s">
        <v>539</v>
      </c>
      <c r="C73" t="s">
        <v>690</v>
      </c>
      <c r="D73" t="s">
        <v>694</v>
      </c>
    </row>
    <row r="74" spans="1:4" x14ac:dyDescent="0.25">
      <c r="A74" t="s">
        <v>328</v>
      </c>
      <c r="B74" t="s">
        <v>540</v>
      </c>
      <c r="C74" t="s">
        <v>691</v>
      </c>
      <c r="D74" t="s">
        <v>695</v>
      </c>
    </row>
    <row r="75" spans="1:4" x14ac:dyDescent="0.25">
      <c r="A75" t="s">
        <v>329</v>
      </c>
      <c r="B75" t="s">
        <v>541</v>
      </c>
      <c r="C75" t="s">
        <v>690</v>
      </c>
      <c r="D75" t="s">
        <v>694</v>
      </c>
    </row>
    <row r="76" spans="1:4" x14ac:dyDescent="0.25">
      <c r="A76" t="s">
        <v>330</v>
      </c>
      <c r="B76" t="s">
        <v>542</v>
      </c>
      <c r="C76" t="s">
        <v>691</v>
      </c>
      <c r="D76" t="s">
        <v>695</v>
      </c>
    </row>
    <row r="77" spans="1:4" x14ac:dyDescent="0.25">
      <c r="A77" t="s">
        <v>331</v>
      </c>
      <c r="B77" t="s">
        <v>543</v>
      </c>
      <c r="C77" t="s">
        <v>691</v>
      </c>
      <c r="D77" t="s">
        <v>695</v>
      </c>
    </row>
    <row r="78" spans="1:4" x14ac:dyDescent="0.25">
      <c r="A78" t="s">
        <v>332</v>
      </c>
      <c r="B78" t="s">
        <v>544</v>
      </c>
      <c r="C78" t="s">
        <v>691</v>
      </c>
      <c r="D78" t="s">
        <v>695</v>
      </c>
    </row>
    <row r="79" spans="1:4" x14ac:dyDescent="0.25">
      <c r="A79" t="s">
        <v>333</v>
      </c>
      <c r="B79" t="s">
        <v>545</v>
      </c>
      <c r="C79" t="s">
        <v>691</v>
      </c>
      <c r="D79" t="s">
        <v>695</v>
      </c>
    </row>
    <row r="80" spans="1:4" x14ac:dyDescent="0.25">
      <c r="A80" t="s">
        <v>334</v>
      </c>
      <c r="B80" t="s">
        <v>546</v>
      </c>
      <c r="C80" t="s">
        <v>690</v>
      </c>
      <c r="D80" t="s">
        <v>694</v>
      </c>
    </row>
    <row r="81" spans="1:4" x14ac:dyDescent="0.25">
      <c r="A81" t="s">
        <v>335</v>
      </c>
      <c r="B81" t="s">
        <v>547</v>
      </c>
      <c r="C81" t="s">
        <v>690</v>
      </c>
      <c r="D81" t="s">
        <v>694</v>
      </c>
    </row>
    <row r="82" spans="1:4" x14ac:dyDescent="0.25">
      <c r="A82" t="s">
        <v>336</v>
      </c>
      <c r="B82" t="s">
        <v>548</v>
      </c>
      <c r="C82" t="s">
        <v>690</v>
      </c>
      <c r="D82" t="s">
        <v>694</v>
      </c>
    </row>
    <row r="83" spans="1:4" x14ac:dyDescent="0.25">
      <c r="A83" t="s">
        <v>337</v>
      </c>
      <c r="B83" t="s">
        <v>549</v>
      </c>
      <c r="C83" t="s">
        <v>692</v>
      </c>
      <c r="D83" t="s">
        <v>695</v>
      </c>
    </row>
    <row r="84" spans="1:4" x14ac:dyDescent="0.25">
      <c r="A84" t="s">
        <v>127</v>
      </c>
      <c r="B84" t="s">
        <v>550</v>
      </c>
      <c r="C84" t="s">
        <v>690</v>
      </c>
      <c r="D84" t="s">
        <v>694</v>
      </c>
    </row>
    <row r="85" spans="1:4" x14ac:dyDescent="0.25">
      <c r="A85" t="s">
        <v>338</v>
      </c>
      <c r="B85" t="s">
        <v>551</v>
      </c>
      <c r="C85" t="s">
        <v>690</v>
      </c>
      <c r="D85" t="s">
        <v>694</v>
      </c>
    </row>
    <row r="86" spans="1:4" x14ac:dyDescent="0.25">
      <c r="A86" t="s">
        <v>339</v>
      </c>
      <c r="B86" t="s">
        <v>552</v>
      </c>
      <c r="C86" t="s">
        <v>690</v>
      </c>
      <c r="D86" t="s">
        <v>694</v>
      </c>
    </row>
    <row r="87" spans="1:4" x14ac:dyDescent="0.25">
      <c r="A87" t="s">
        <v>340</v>
      </c>
      <c r="B87" t="s">
        <v>553</v>
      </c>
      <c r="C87" t="s">
        <v>690</v>
      </c>
      <c r="D87" t="s">
        <v>694</v>
      </c>
    </row>
    <row r="88" spans="1:4" x14ac:dyDescent="0.25">
      <c r="A88" t="s">
        <v>341</v>
      </c>
      <c r="B88" t="s">
        <v>554</v>
      </c>
      <c r="C88" t="s">
        <v>690</v>
      </c>
      <c r="D88" t="s">
        <v>694</v>
      </c>
    </row>
    <row r="89" spans="1:4" x14ac:dyDescent="0.25">
      <c r="A89" t="s">
        <v>342</v>
      </c>
      <c r="B89" t="s">
        <v>555</v>
      </c>
      <c r="C89" t="s">
        <v>690</v>
      </c>
      <c r="D89" t="s">
        <v>694</v>
      </c>
    </row>
    <row r="90" spans="1:4" x14ac:dyDescent="0.25">
      <c r="A90" t="s">
        <v>343</v>
      </c>
      <c r="B90" t="s">
        <v>556</v>
      </c>
      <c r="C90" t="s">
        <v>690</v>
      </c>
      <c r="D90" t="s">
        <v>694</v>
      </c>
    </row>
    <row r="91" spans="1:4" x14ac:dyDescent="0.25">
      <c r="A91" t="s">
        <v>344</v>
      </c>
      <c r="B91" t="s">
        <v>557</v>
      </c>
      <c r="C91" t="s">
        <v>690</v>
      </c>
      <c r="D91" t="s">
        <v>694</v>
      </c>
    </row>
    <row r="92" spans="1:4" x14ac:dyDescent="0.25">
      <c r="A92" t="s">
        <v>345</v>
      </c>
      <c r="B92" t="s">
        <v>558</v>
      </c>
      <c r="C92" t="s">
        <v>691</v>
      </c>
      <c r="D92" t="s">
        <v>695</v>
      </c>
    </row>
    <row r="93" spans="1:4" x14ac:dyDescent="0.25">
      <c r="A93" t="s">
        <v>346</v>
      </c>
      <c r="B93" t="s">
        <v>559</v>
      </c>
      <c r="C93" t="s">
        <v>690</v>
      </c>
      <c r="D93" t="s">
        <v>694</v>
      </c>
    </row>
    <row r="94" spans="1:4" x14ac:dyDescent="0.25">
      <c r="A94" t="s">
        <v>347</v>
      </c>
      <c r="B94" t="s">
        <v>560</v>
      </c>
      <c r="C94" t="s">
        <v>690</v>
      </c>
      <c r="D94" t="s">
        <v>694</v>
      </c>
    </row>
    <row r="95" spans="1:4" x14ac:dyDescent="0.25">
      <c r="A95" t="s">
        <v>348</v>
      </c>
      <c r="B95" t="s">
        <v>561</v>
      </c>
      <c r="C95" t="s">
        <v>689</v>
      </c>
      <c r="D95" t="s">
        <v>695</v>
      </c>
    </row>
    <row r="96" spans="1:4" x14ac:dyDescent="0.25">
      <c r="A96" t="s">
        <v>349</v>
      </c>
      <c r="B96" t="s">
        <v>562</v>
      </c>
      <c r="C96" t="s">
        <v>689</v>
      </c>
      <c r="D96" t="s">
        <v>695</v>
      </c>
    </row>
    <row r="97" spans="1:4" x14ac:dyDescent="0.25">
      <c r="A97" t="s">
        <v>350</v>
      </c>
      <c r="B97" t="s">
        <v>563</v>
      </c>
      <c r="C97" t="s">
        <v>689</v>
      </c>
      <c r="D97" t="s">
        <v>695</v>
      </c>
    </row>
    <row r="98" spans="1:4" x14ac:dyDescent="0.25">
      <c r="A98" t="s">
        <v>351</v>
      </c>
      <c r="B98" t="s">
        <v>564</v>
      </c>
      <c r="C98" t="s">
        <v>690</v>
      </c>
      <c r="D98" t="s">
        <v>694</v>
      </c>
    </row>
    <row r="99" spans="1:4" x14ac:dyDescent="0.25">
      <c r="A99" t="s">
        <v>352</v>
      </c>
      <c r="B99" t="s">
        <v>565</v>
      </c>
      <c r="C99" t="s">
        <v>689</v>
      </c>
      <c r="D99" t="s">
        <v>695</v>
      </c>
    </row>
    <row r="100" spans="1:4" x14ac:dyDescent="0.25">
      <c r="A100" t="s">
        <v>353</v>
      </c>
      <c r="B100" t="s">
        <v>566</v>
      </c>
      <c r="C100" t="s">
        <v>689</v>
      </c>
      <c r="D100" t="s">
        <v>695</v>
      </c>
    </row>
    <row r="101" spans="1:4" x14ac:dyDescent="0.25">
      <c r="A101" t="s">
        <v>354</v>
      </c>
      <c r="B101" t="s">
        <v>567</v>
      </c>
      <c r="C101" t="s">
        <v>690</v>
      </c>
      <c r="D101" t="s">
        <v>694</v>
      </c>
    </row>
    <row r="102" spans="1:4" x14ac:dyDescent="0.25">
      <c r="A102" t="s">
        <v>355</v>
      </c>
      <c r="B102" t="s">
        <v>568</v>
      </c>
      <c r="C102" t="s">
        <v>691</v>
      </c>
      <c r="D102" t="s">
        <v>695</v>
      </c>
    </row>
    <row r="103" spans="1:4" x14ac:dyDescent="0.25">
      <c r="A103" t="s">
        <v>356</v>
      </c>
      <c r="B103" t="s">
        <v>569</v>
      </c>
      <c r="C103" t="s">
        <v>690</v>
      </c>
      <c r="D103" t="s">
        <v>694</v>
      </c>
    </row>
    <row r="104" spans="1:4" x14ac:dyDescent="0.25">
      <c r="A104" t="s">
        <v>357</v>
      </c>
      <c r="B104" t="s">
        <v>570</v>
      </c>
      <c r="C104" t="s">
        <v>689</v>
      </c>
      <c r="D104" t="s">
        <v>695</v>
      </c>
    </row>
    <row r="105" spans="1:4" x14ac:dyDescent="0.25">
      <c r="A105" t="s">
        <v>358</v>
      </c>
      <c r="B105" t="s">
        <v>571</v>
      </c>
      <c r="C105" t="s">
        <v>690</v>
      </c>
      <c r="D105" t="s">
        <v>694</v>
      </c>
    </row>
    <row r="106" spans="1:4" x14ac:dyDescent="0.25">
      <c r="A106" t="s">
        <v>359</v>
      </c>
      <c r="B106" t="s">
        <v>572</v>
      </c>
      <c r="C106" t="s">
        <v>692</v>
      </c>
      <c r="D106" t="s">
        <v>695</v>
      </c>
    </row>
    <row r="107" spans="1:4" x14ac:dyDescent="0.25">
      <c r="A107" t="s">
        <v>360</v>
      </c>
      <c r="B107" t="s">
        <v>573</v>
      </c>
      <c r="C107" t="s">
        <v>690</v>
      </c>
      <c r="D107" t="s">
        <v>694</v>
      </c>
    </row>
    <row r="108" spans="1:4" x14ac:dyDescent="0.25">
      <c r="A108" t="s">
        <v>361</v>
      </c>
      <c r="B108" t="s">
        <v>574</v>
      </c>
      <c r="C108" t="s">
        <v>690</v>
      </c>
      <c r="D108" t="s">
        <v>694</v>
      </c>
    </row>
    <row r="109" spans="1:4" x14ac:dyDescent="0.25">
      <c r="A109" t="s">
        <v>362</v>
      </c>
      <c r="B109" t="s">
        <v>575</v>
      </c>
      <c r="C109" t="s">
        <v>690</v>
      </c>
      <c r="D109" t="s">
        <v>694</v>
      </c>
    </row>
    <row r="110" spans="1:4" x14ac:dyDescent="0.25">
      <c r="A110" t="s">
        <v>363</v>
      </c>
      <c r="B110" t="s">
        <v>576</v>
      </c>
      <c r="C110" t="s">
        <v>691</v>
      </c>
      <c r="D110" t="s">
        <v>695</v>
      </c>
    </row>
    <row r="111" spans="1:4" x14ac:dyDescent="0.25">
      <c r="A111" t="s">
        <v>364</v>
      </c>
      <c r="B111" t="s">
        <v>577</v>
      </c>
      <c r="C111" t="s">
        <v>692</v>
      </c>
      <c r="D111" t="s">
        <v>695</v>
      </c>
    </row>
    <row r="112" spans="1:4" x14ac:dyDescent="0.25">
      <c r="A112" t="s">
        <v>365</v>
      </c>
      <c r="B112" t="s">
        <v>578</v>
      </c>
      <c r="C112" t="s">
        <v>693</v>
      </c>
      <c r="D112" t="s">
        <v>695</v>
      </c>
    </row>
    <row r="113" spans="1:4" x14ac:dyDescent="0.25">
      <c r="A113" t="s">
        <v>366</v>
      </c>
      <c r="B113" t="s">
        <v>579</v>
      </c>
      <c r="C113" t="s">
        <v>690</v>
      </c>
      <c r="D113" t="s">
        <v>694</v>
      </c>
    </row>
    <row r="114" spans="1:4" x14ac:dyDescent="0.25">
      <c r="A114" t="s">
        <v>367</v>
      </c>
      <c r="B114" t="s">
        <v>580</v>
      </c>
      <c r="C114" t="s">
        <v>690</v>
      </c>
      <c r="D114" t="s">
        <v>694</v>
      </c>
    </row>
    <row r="115" spans="1:4" x14ac:dyDescent="0.25">
      <c r="A115" t="s">
        <v>368</v>
      </c>
      <c r="B115" t="s">
        <v>581</v>
      </c>
      <c r="C115" t="s">
        <v>690</v>
      </c>
      <c r="D115" t="s">
        <v>694</v>
      </c>
    </row>
    <row r="116" spans="1:4" x14ac:dyDescent="0.25">
      <c r="A116" t="s">
        <v>369</v>
      </c>
      <c r="B116" t="s">
        <v>582</v>
      </c>
      <c r="C116" t="s">
        <v>690</v>
      </c>
      <c r="D116" t="s">
        <v>694</v>
      </c>
    </row>
    <row r="117" spans="1:4" x14ac:dyDescent="0.25">
      <c r="A117" t="s">
        <v>370</v>
      </c>
      <c r="B117" t="s">
        <v>583</v>
      </c>
      <c r="C117" t="s">
        <v>689</v>
      </c>
      <c r="D117" t="s">
        <v>695</v>
      </c>
    </row>
    <row r="118" spans="1:4" x14ac:dyDescent="0.25">
      <c r="A118" t="s">
        <v>371</v>
      </c>
      <c r="B118" t="s">
        <v>584</v>
      </c>
      <c r="C118" t="s">
        <v>691</v>
      </c>
      <c r="D118" t="s">
        <v>695</v>
      </c>
    </row>
    <row r="119" spans="1:4" x14ac:dyDescent="0.25">
      <c r="A119" t="s">
        <v>372</v>
      </c>
      <c r="B119" t="s">
        <v>585</v>
      </c>
      <c r="C119" t="s">
        <v>690</v>
      </c>
      <c r="D119" t="s">
        <v>694</v>
      </c>
    </row>
    <row r="120" spans="1:4" x14ac:dyDescent="0.25">
      <c r="A120" t="s">
        <v>373</v>
      </c>
      <c r="B120" t="s">
        <v>586</v>
      </c>
      <c r="C120" t="s">
        <v>691</v>
      </c>
      <c r="D120" t="s">
        <v>695</v>
      </c>
    </row>
    <row r="121" spans="1:4" x14ac:dyDescent="0.25">
      <c r="A121" t="s">
        <v>374</v>
      </c>
      <c r="B121" t="s">
        <v>587</v>
      </c>
      <c r="C121" t="s">
        <v>690</v>
      </c>
      <c r="D121" t="s">
        <v>694</v>
      </c>
    </row>
    <row r="122" spans="1:4" x14ac:dyDescent="0.25">
      <c r="A122" t="s">
        <v>375</v>
      </c>
      <c r="B122" t="s">
        <v>588</v>
      </c>
      <c r="C122" t="s">
        <v>690</v>
      </c>
      <c r="D122" t="s">
        <v>694</v>
      </c>
    </row>
    <row r="123" spans="1:4" x14ac:dyDescent="0.25">
      <c r="A123" t="s">
        <v>376</v>
      </c>
      <c r="B123" t="s">
        <v>589</v>
      </c>
      <c r="C123" t="s">
        <v>690</v>
      </c>
      <c r="D123" t="s">
        <v>694</v>
      </c>
    </row>
    <row r="124" spans="1:4" x14ac:dyDescent="0.25">
      <c r="A124" t="s">
        <v>377</v>
      </c>
      <c r="B124" t="s">
        <v>590</v>
      </c>
      <c r="C124" t="s">
        <v>690</v>
      </c>
      <c r="D124" t="s">
        <v>694</v>
      </c>
    </row>
    <row r="125" spans="1:4" x14ac:dyDescent="0.25">
      <c r="A125" t="s">
        <v>378</v>
      </c>
      <c r="B125" t="s">
        <v>591</v>
      </c>
      <c r="C125" t="s">
        <v>690</v>
      </c>
      <c r="D125" t="s">
        <v>694</v>
      </c>
    </row>
    <row r="126" spans="1:4" x14ac:dyDescent="0.25">
      <c r="A126" t="s">
        <v>379</v>
      </c>
      <c r="B126" t="s">
        <v>592</v>
      </c>
      <c r="C126" t="s">
        <v>690</v>
      </c>
      <c r="D126" t="s">
        <v>694</v>
      </c>
    </row>
    <row r="127" spans="1:4" x14ac:dyDescent="0.25">
      <c r="A127" t="s">
        <v>380</v>
      </c>
      <c r="B127" t="s">
        <v>593</v>
      </c>
      <c r="C127" t="s">
        <v>690</v>
      </c>
      <c r="D127" t="s">
        <v>694</v>
      </c>
    </row>
    <row r="128" spans="1:4" x14ac:dyDescent="0.25">
      <c r="A128" t="s">
        <v>381</v>
      </c>
      <c r="B128" t="s">
        <v>594</v>
      </c>
      <c r="C128" t="s">
        <v>690</v>
      </c>
      <c r="D128" t="s">
        <v>694</v>
      </c>
    </row>
    <row r="129" spans="1:4" x14ac:dyDescent="0.25">
      <c r="A129" t="s">
        <v>382</v>
      </c>
      <c r="B129" t="s">
        <v>595</v>
      </c>
      <c r="C129" t="s">
        <v>690</v>
      </c>
      <c r="D129" t="s">
        <v>694</v>
      </c>
    </row>
    <row r="130" spans="1:4" x14ac:dyDescent="0.25">
      <c r="A130" t="s">
        <v>383</v>
      </c>
      <c r="B130" t="s">
        <v>596</v>
      </c>
      <c r="C130" t="s">
        <v>690</v>
      </c>
      <c r="D130" t="s">
        <v>694</v>
      </c>
    </row>
    <row r="131" spans="1:4" x14ac:dyDescent="0.25">
      <c r="A131" t="s">
        <v>384</v>
      </c>
      <c r="B131" t="s">
        <v>597</v>
      </c>
      <c r="C131" t="s">
        <v>690</v>
      </c>
      <c r="D131" t="s">
        <v>694</v>
      </c>
    </row>
    <row r="132" spans="1:4" x14ac:dyDescent="0.25">
      <c r="A132" t="s">
        <v>385</v>
      </c>
      <c r="B132" t="s">
        <v>598</v>
      </c>
      <c r="C132" t="s">
        <v>690</v>
      </c>
      <c r="D132" t="s">
        <v>694</v>
      </c>
    </row>
    <row r="133" spans="1:4" x14ac:dyDescent="0.25">
      <c r="A133" t="s">
        <v>386</v>
      </c>
      <c r="B133" t="s">
        <v>599</v>
      </c>
      <c r="C133" t="s">
        <v>690</v>
      </c>
      <c r="D133" t="s">
        <v>694</v>
      </c>
    </row>
    <row r="134" spans="1:4" x14ac:dyDescent="0.25">
      <c r="A134" t="s">
        <v>387</v>
      </c>
      <c r="B134" t="s">
        <v>600</v>
      </c>
      <c r="C134" t="s">
        <v>692</v>
      </c>
      <c r="D134" t="s">
        <v>695</v>
      </c>
    </row>
    <row r="135" spans="1:4" x14ac:dyDescent="0.25">
      <c r="A135" t="s">
        <v>388</v>
      </c>
      <c r="B135" t="s">
        <v>601</v>
      </c>
      <c r="C135" t="s">
        <v>689</v>
      </c>
      <c r="D135" t="s">
        <v>695</v>
      </c>
    </row>
    <row r="136" spans="1:4" x14ac:dyDescent="0.25">
      <c r="A136" t="s">
        <v>389</v>
      </c>
      <c r="B136" t="s">
        <v>224</v>
      </c>
      <c r="C136" t="s">
        <v>690</v>
      </c>
      <c r="D136" t="s">
        <v>694</v>
      </c>
    </row>
    <row r="137" spans="1:4" x14ac:dyDescent="0.25">
      <c r="A137" t="s">
        <v>390</v>
      </c>
      <c r="B137" t="s">
        <v>602</v>
      </c>
      <c r="C137" t="s">
        <v>690</v>
      </c>
      <c r="D137" t="s">
        <v>694</v>
      </c>
    </row>
    <row r="138" spans="1:4" x14ac:dyDescent="0.25">
      <c r="A138" t="s">
        <v>391</v>
      </c>
      <c r="B138" t="s">
        <v>603</v>
      </c>
      <c r="C138" t="s">
        <v>690</v>
      </c>
      <c r="D138" t="s">
        <v>694</v>
      </c>
    </row>
    <row r="139" spans="1:4" x14ac:dyDescent="0.25">
      <c r="A139" t="s">
        <v>392</v>
      </c>
      <c r="B139" t="s">
        <v>604</v>
      </c>
      <c r="C139" t="s">
        <v>690</v>
      </c>
      <c r="D139" t="s">
        <v>694</v>
      </c>
    </row>
    <row r="140" spans="1:4" x14ac:dyDescent="0.25">
      <c r="A140" t="s">
        <v>272</v>
      </c>
      <c r="B140" t="s">
        <v>273</v>
      </c>
      <c r="C140" t="s">
        <v>690</v>
      </c>
      <c r="D140" t="s">
        <v>694</v>
      </c>
    </row>
    <row r="141" spans="1:4" x14ac:dyDescent="0.25">
      <c r="A141" t="s">
        <v>393</v>
      </c>
      <c r="B141" t="s">
        <v>605</v>
      </c>
      <c r="C141" t="s">
        <v>690</v>
      </c>
      <c r="D141" t="s">
        <v>694</v>
      </c>
    </row>
    <row r="142" spans="1:4" x14ac:dyDescent="0.25">
      <c r="A142" t="s">
        <v>394</v>
      </c>
      <c r="B142" t="s">
        <v>606</v>
      </c>
      <c r="C142" t="s">
        <v>690</v>
      </c>
      <c r="D142" t="s">
        <v>694</v>
      </c>
    </row>
    <row r="143" spans="1:4" x14ac:dyDescent="0.25">
      <c r="A143" t="s">
        <v>395</v>
      </c>
      <c r="B143" t="s">
        <v>607</v>
      </c>
      <c r="C143" t="s">
        <v>690</v>
      </c>
      <c r="D143" t="s">
        <v>694</v>
      </c>
    </row>
    <row r="144" spans="1:4" x14ac:dyDescent="0.25">
      <c r="A144" t="s">
        <v>396</v>
      </c>
      <c r="B144" t="s">
        <v>608</v>
      </c>
      <c r="C144" t="s">
        <v>690</v>
      </c>
      <c r="D144" t="s">
        <v>694</v>
      </c>
    </row>
    <row r="145" spans="1:4" x14ac:dyDescent="0.25">
      <c r="A145" t="s">
        <v>397</v>
      </c>
      <c r="B145" t="s">
        <v>609</v>
      </c>
      <c r="C145" t="s">
        <v>690</v>
      </c>
      <c r="D145" t="s">
        <v>694</v>
      </c>
    </row>
    <row r="146" spans="1:4" x14ac:dyDescent="0.25">
      <c r="A146" t="s">
        <v>99</v>
      </c>
      <c r="B146" t="s">
        <v>100</v>
      </c>
      <c r="C146" t="s">
        <v>692</v>
      </c>
      <c r="D146" t="s">
        <v>695</v>
      </c>
    </row>
    <row r="147" spans="1:4" x14ac:dyDescent="0.25">
      <c r="A147" t="s">
        <v>398</v>
      </c>
      <c r="B147" t="s">
        <v>610</v>
      </c>
      <c r="C147" t="s">
        <v>690</v>
      </c>
      <c r="D147" t="s">
        <v>694</v>
      </c>
    </row>
    <row r="148" spans="1:4" x14ac:dyDescent="0.25">
      <c r="A148" t="s">
        <v>399</v>
      </c>
      <c r="B148" t="s">
        <v>611</v>
      </c>
      <c r="C148" t="s">
        <v>690</v>
      </c>
      <c r="D148" t="s">
        <v>694</v>
      </c>
    </row>
    <row r="149" spans="1:4" x14ac:dyDescent="0.25">
      <c r="A149" t="s">
        <v>223</v>
      </c>
      <c r="B149" t="s">
        <v>224</v>
      </c>
      <c r="C149" t="s">
        <v>690</v>
      </c>
      <c r="D149" t="s">
        <v>694</v>
      </c>
    </row>
    <row r="150" spans="1:4" x14ac:dyDescent="0.25">
      <c r="A150" t="s">
        <v>400</v>
      </c>
      <c r="B150" t="s">
        <v>612</v>
      </c>
      <c r="C150" t="s">
        <v>690</v>
      </c>
      <c r="D150" t="s">
        <v>694</v>
      </c>
    </row>
    <row r="151" spans="1:4" x14ac:dyDescent="0.25">
      <c r="A151" t="s">
        <v>401</v>
      </c>
      <c r="B151" t="s">
        <v>613</v>
      </c>
      <c r="C151" t="s">
        <v>690</v>
      </c>
      <c r="D151" t="s">
        <v>694</v>
      </c>
    </row>
    <row r="152" spans="1:4" x14ac:dyDescent="0.25">
      <c r="A152" t="s">
        <v>146</v>
      </c>
      <c r="B152" t="s">
        <v>194</v>
      </c>
      <c r="C152" t="s">
        <v>690</v>
      </c>
      <c r="D152" t="s">
        <v>694</v>
      </c>
    </row>
    <row r="153" spans="1:4" x14ac:dyDescent="0.25">
      <c r="A153" t="s">
        <v>220</v>
      </c>
      <c r="B153" t="s">
        <v>221</v>
      </c>
      <c r="C153" t="s">
        <v>690</v>
      </c>
      <c r="D153" t="s">
        <v>694</v>
      </c>
    </row>
    <row r="154" spans="1:4" x14ac:dyDescent="0.25">
      <c r="A154" t="s">
        <v>402</v>
      </c>
      <c r="B154" t="s">
        <v>614</v>
      </c>
      <c r="C154" t="s">
        <v>691</v>
      </c>
      <c r="D154" t="s">
        <v>695</v>
      </c>
    </row>
    <row r="155" spans="1:4" x14ac:dyDescent="0.25">
      <c r="A155" t="s">
        <v>403</v>
      </c>
      <c r="B155" t="s">
        <v>595</v>
      </c>
      <c r="C155" t="s">
        <v>690</v>
      </c>
      <c r="D155" t="s">
        <v>694</v>
      </c>
    </row>
    <row r="156" spans="1:4" x14ac:dyDescent="0.25">
      <c r="A156" t="s">
        <v>404</v>
      </c>
      <c r="B156" t="s">
        <v>615</v>
      </c>
      <c r="C156" t="s">
        <v>690</v>
      </c>
      <c r="D156" t="s">
        <v>694</v>
      </c>
    </row>
    <row r="157" spans="1:4" x14ac:dyDescent="0.25">
      <c r="A157" t="s">
        <v>405</v>
      </c>
      <c r="B157" t="s">
        <v>616</v>
      </c>
      <c r="C157" t="s">
        <v>690</v>
      </c>
      <c r="D157" t="s">
        <v>694</v>
      </c>
    </row>
    <row r="158" spans="1:4" x14ac:dyDescent="0.25">
      <c r="A158" t="s">
        <v>406</v>
      </c>
      <c r="B158" t="s">
        <v>617</v>
      </c>
      <c r="C158" t="s">
        <v>690</v>
      </c>
      <c r="D158" t="s">
        <v>694</v>
      </c>
    </row>
    <row r="159" spans="1:4" x14ac:dyDescent="0.25">
      <c r="A159" t="s">
        <v>407</v>
      </c>
      <c r="B159" t="s">
        <v>618</v>
      </c>
      <c r="C159" t="s">
        <v>690</v>
      </c>
      <c r="D159" t="s">
        <v>694</v>
      </c>
    </row>
    <row r="160" spans="1:4" x14ac:dyDescent="0.25">
      <c r="A160" t="s">
        <v>408</v>
      </c>
      <c r="B160" t="s">
        <v>619</v>
      </c>
      <c r="C160" t="s">
        <v>690</v>
      </c>
      <c r="D160" t="s">
        <v>694</v>
      </c>
    </row>
    <row r="161" spans="1:4" x14ac:dyDescent="0.25">
      <c r="A161" t="s">
        <v>409</v>
      </c>
      <c r="B161" t="s">
        <v>620</v>
      </c>
      <c r="C161" t="s">
        <v>693</v>
      </c>
      <c r="D161" t="s">
        <v>695</v>
      </c>
    </row>
    <row r="162" spans="1:4" x14ac:dyDescent="0.25">
      <c r="A162" t="s">
        <v>410</v>
      </c>
      <c r="B162" t="s">
        <v>621</v>
      </c>
      <c r="C162" t="s">
        <v>690</v>
      </c>
      <c r="D162" t="s">
        <v>694</v>
      </c>
    </row>
    <row r="163" spans="1:4" x14ac:dyDescent="0.25">
      <c r="A163" t="s">
        <v>411</v>
      </c>
      <c r="B163" t="s">
        <v>622</v>
      </c>
      <c r="C163" t="s">
        <v>690</v>
      </c>
      <c r="D163" t="s">
        <v>694</v>
      </c>
    </row>
    <row r="164" spans="1:4" x14ac:dyDescent="0.25">
      <c r="A164" t="s">
        <v>412</v>
      </c>
      <c r="B164" t="s">
        <v>623</v>
      </c>
      <c r="C164" t="s">
        <v>690</v>
      </c>
      <c r="D164" t="s">
        <v>694</v>
      </c>
    </row>
    <row r="165" spans="1:4" x14ac:dyDescent="0.25">
      <c r="A165" t="s">
        <v>413</v>
      </c>
      <c r="B165" t="s">
        <v>624</v>
      </c>
      <c r="C165" t="s">
        <v>690</v>
      </c>
      <c r="D165" t="s">
        <v>694</v>
      </c>
    </row>
    <row r="166" spans="1:4" x14ac:dyDescent="0.25">
      <c r="A166" t="s">
        <v>110</v>
      </c>
      <c r="B166" t="s">
        <v>111</v>
      </c>
      <c r="C166" t="s">
        <v>691</v>
      </c>
      <c r="D166" t="s">
        <v>695</v>
      </c>
    </row>
    <row r="167" spans="1:4" x14ac:dyDescent="0.25">
      <c r="A167" t="s">
        <v>184</v>
      </c>
      <c r="B167" t="s">
        <v>625</v>
      </c>
      <c r="C167" t="s">
        <v>690</v>
      </c>
      <c r="D167" t="s">
        <v>694</v>
      </c>
    </row>
    <row r="168" spans="1:4" x14ac:dyDescent="0.25">
      <c r="A168" t="s">
        <v>414</v>
      </c>
      <c r="B168" t="s">
        <v>626</v>
      </c>
      <c r="C168" t="s">
        <v>690</v>
      </c>
      <c r="D168" t="s">
        <v>694</v>
      </c>
    </row>
    <row r="169" spans="1:4" x14ac:dyDescent="0.25">
      <c r="A169" t="s">
        <v>140</v>
      </c>
      <c r="B169" t="s">
        <v>261</v>
      </c>
      <c r="C169" t="s">
        <v>690</v>
      </c>
      <c r="D169" t="s">
        <v>694</v>
      </c>
    </row>
    <row r="170" spans="1:4" x14ac:dyDescent="0.25">
      <c r="A170" t="s">
        <v>167</v>
      </c>
      <c r="B170" t="s">
        <v>627</v>
      </c>
      <c r="C170" t="s">
        <v>690</v>
      </c>
      <c r="D170" t="s">
        <v>694</v>
      </c>
    </row>
    <row r="171" spans="1:4" x14ac:dyDescent="0.25">
      <c r="A171" t="s">
        <v>415</v>
      </c>
      <c r="B171" t="s">
        <v>628</v>
      </c>
      <c r="C171" t="s">
        <v>690</v>
      </c>
      <c r="D171" t="s">
        <v>694</v>
      </c>
    </row>
    <row r="172" spans="1:4" x14ac:dyDescent="0.25">
      <c r="A172" t="s">
        <v>416</v>
      </c>
      <c r="B172" t="s">
        <v>629</v>
      </c>
      <c r="C172" t="s">
        <v>690</v>
      </c>
      <c r="D172" t="s">
        <v>694</v>
      </c>
    </row>
    <row r="173" spans="1:4" x14ac:dyDescent="0.25">
      <c r="A173" t="s">
        <v>417</v>
      </c>
      <c r="B173" t="s">
        <v>630</v>
      </c>
      <c r="C173" t="s">
        <v>690</v>
      </c>
      <c r="D173" t="s">
        <v>694</v>
      </c>
    </row>
    <row r="174" spans="1:4" x14ac:dyDescent="0.25">
      <c r="A174" t="s">
        <v>418</v>
      </c>
      <c r="B174" t="s">
        <v>631</v>
      </c>
      <c r="C174" t="s">
        <v>691</v>
      </c>
      <c r="D174" t="s">
        <v>695</v>
      </c>
    </row>
    <row r="175" spans="1:4" x14ac:dyDescent="0.25">
      <c r="A175" t="s">
        <v>419</v>
      </c>
      <c r="B175" t="s">
        <v>632</v>
      </c>
      <c r="C175" t="s">
        <v>690</v>
      </c>
      <c r="D175" t="s">
        <v>694</v>
      </c>
    </row>
    <row r="176" spans="1:4" x14ac:dyDescent="0.25">
      <c r="A176" t="s">
        <v>420</v>
      </c>
      <c r="B176" t="s">
        <v>633</v>
      </c>
      <c r="C176" t="s">
        <v>690</v>
      </c>
      <c r="D176" t="s">
        <v>694</v>
      </c>
    </row>
    <row r="177" spans="1:4" x14ac:dyDescent="0.25">
      <c r="A177" t="s">
        <v>421</v>
      </c>
      <c r="B177" t="s">
        <v>634</v>
      </c>
      <c r="C177" t="s">
        <v>690</v>
      </c>
      <c r="D177" t="s">
        <v>694</v>
      </c>
    </row>
    <row r="178" spans="1:4" x14ac:dyDescent="0.25">
      <c r="A178" t="s">
        <v>197</v>
      </c>
      <c r="B178" t="s">
        <v>198</v>
      </c>
      <c r="C178" t="s">
        <v>690</v>
      </c>
      <c r="D178" t="s">
        <v>694</v>
      </c>
    </row>
    <row r="179" spans="1:4" x14ac:dyDescent="0.25">
      <c r="A179" t="s">
        <v>422</v>
      </c>
      <c r="B179" t="s">
        <v>635</v>
      </c>
      <c r="C179" t="s">
        <v>690</v>
      </c>
      <c r="D179" t="s">
        <v>694</v>
      </c>
    </row>
    <row r="180" spans="1:4" x14ac:dyDescent="0.25">
      <c r="A180" t="s">
        <v>423</v>
      </c>
      <c r="B180" t="s">
        <v>636</v>
      </c>
      <c r="C180" t="s">
        <v>690</v>
      </c>
      <c r="D180" t="s">
        <v>694</v>
      </c>
    </row>
    <row r="181" spans="1:4" x14ac:dyDescent="0.25">
      <c r="A181" t="s">
        <v>424</v>
      </c>
      <c r="B181" t="s">
        <v>637</v>
      </c>
      <c r="C181" t="s">
        <v>690</v>
      </c>
      <c r="D181" t="s">
        <v>694</v>
      </c>
    </row>
    <row r="182" spans="1:4" x14ac:dyDescent="0.25">
      <c r="A182" t="s">
        <v>425</v>
      </c>
      <c r="B182" t="s">
        <v>638</v>
      </c>
      <c r="C182" t="s">
        <v>690</v>
      </c>
      <c r="D182" t="s">
        <v>694</v>
      </c>
    </row>
    <row r="183" spans="1:4" x14ac:dyDescent="0.25">
      <c r="A183" t="s">
        <v>426</v>
      </c>
      <c r="B183" t="e">
        <v>#N/A</v>
      </c>
      <c r="C183" t="e">
        <v>#N/A</v>
      </c>
    </row>
    <row r="184" spans="1:4" x14ac:dyDescent="0.25">
      <c r="A184" t="s">
        <v>427</v>
      </c>
      <c r="B184" t="s">
        <v>639</v>
      </c>
      <c r="C184" t="s">
        <v>690</v>
      </c>
      <c r="D184" t="s">
        <v>694</v>
      </c>
    </row>
    <row r="185" spans="1:4" x14ac:dyDescent="0.25">
      <c r="A185" t="s">
        <v>177</v>
      </c>
      <c r="B185" t="s">
        <v>243</v>
      </c>
      <c r="C185" t="s">
        <v>690</v>
      </c>
      <c r="D185" t="s">
        <v>694</v>
      </c>
    </row>
    <row r="186" spans="1:4" x14ac:dyDescent="0.25">
      <c r="A186" t="s">
        <v>137</v>
      </c>
      <c r="B186" t="s">
        <v>640</v>
      </c>
      <c r="C186" t="s">
        <v>690</v>
      </c>
      <c r="D186" t="s">
        <v>694</v>
      </c>
    </row>
    <row r="187" spans="1:4" x14ac:dyDescent="0.25">
      <c r="A187" t="s">
        <v>428</v>
      </c>
      <c r="B187" t="s">
        <v>641</v>
      </c>
      <c r="C187" t="s">
        <v>690</v>
      </c>
      <c r="D187" t="s">
        <v>694</v>
      </c>
    </row>
    <row r="188" spans="1:4" x14ac:dyDescent="0.25">
      <c r="A188" t="s">
        <v>429</v>
      </c>
      <c r="B188" t="s">
        <v>642</v>
      </c>
      <c r="C188" t="s">
        <v>693</v>
      </c>
      <c r="D188" t="s">
        <v>695</v>
      </c>
    </row>
    <row r="189" spans="1:4" x14ac:dyDescent="0.25">
      <c r="A189" t="s">
        <v>430</v>
      </c>
      <c r="B189" t="s">
        <v>643</v>
      </c>
      <c r="C189" t="s">
        <v>690</v>
      </c>
      <c r="D189" t="s">
        <v>694</v>
      </c>
    </row>
    <row r="190" spans="1:4" x14ac:dyDescent="0.25">
      <c r="A190" t="s">
        <v>55</v>
      </c>
      <c r="B190" t="s">
        <v>259</v>
      </c>
      <c r="C190" t="s">
        <v>690</v>
      </c>
      <c r="D190" t="s">
        <v>694</v>
      </c>
    </row>
    <row r="191" spans="1:4" x14ac:dyDescent="0.25">
      <c r="A191" t="s">
        <v>204</v>
      </c>
      <c r="B191" t="s">
        <v>205</v>
      </c>
      <c r="C191" t="s">
        <v>690</v>
      </c>
      <c r="D191" t="s">
        <v>694</v>
      </c>
    </row>
    <row r="192" spans="1:4" x14ac:dyDescent="0.25">
      <c r="A192" t="s">
        <v>431</v>
      </c>
      <c r="B192" t="s">
        <v>644</v>
      </c>
      <c r="C192" t="s">
        <v>690</v>
      </c>
      <c r="D192" t="s">
        <v>694</v>
      </c>
    </row>
    <row r="193" spans="1:4" x14ac:dyDescent="0.25">
      <c r="A193" t="s">
        <v>134</v>
      </c>
      <c r="B193" t="s">
        <v>645</v>
      </c>
      <c r="C193" t="s">
        <v>690</v>
      </c>
      <c r="D193" t="s">
        <v>694</v>
      </c>
    </row>
    <row r="194" spans="1:4" x14ac:dyDescent="0.25">
      <c r="A194" t="s">
        <v>432</v>
      </c>
      <c r="B194" t="s">
        <v>646</v>
      </c>
      <c r="C194" t="s">
        <v>690</v>
      </c>
      <c r="D194" t="s">
        <v>694</v>
      </c>
    </row>
    <row r="195" spans="1:4" x14ac:dyDescent="0.25">
      <c r="A195" t="s">
        <v>433</v>
      </c>
      <c r="B195" t="s">
        <v>635</v>
      </c>
      <c r="C195" t="s">
        <v>690</v>
      </c>
      <c r="D195" t="s">
        <v>694</v>
      </c>
    </row>
    <row r="196" spans="1:4" x14ac:dyDescent="0.25">
      <c r="A196" t="s">
        <v>434</v>
      </c>
      <c r="B196" t="s">
        <v>647</v>
      </c>
      <c r="C196" t="s">
        <v>692</v>
      </c>
      <c r="D196" t="s">
        <v>695</v>
      </c>
    </row>
    <row r="197" spans="1:4" x14ac:dyDescent="0.25">
      <c r="A197" t="s">
        <v>435</v>
      </c>
      <c r="B197" t="s">
        <v>648</v>
      </c>
      <c r="C197" t="s">
        <v>691</v>
      </c>
      <c r="D197" t="s">
        <v>695</v>
      </c>
    </row>
    <row r="198" spans="1:4" x14ac:dyDescent="0.25">
      <c r="A198" t="s">
        <v>436</v>
      </c>
      <c r="B198" t="s">
        <v>649</v>
      </c>
      <c r="C198" t="s">
        <v>689</v>
      </c>
      <c r="D198" t="s">
        <v>695</v>
      </c>
    </row>
    <row r="199" spans="1:4" x14ac:dyDescent="0.25">
      <c r="A199" t="s">
        <v>437</v>
      </c>
      <c r="B199" t="s">
        <v>647</v>
      </c>
      <c r="C199" t="s">
        <v>692</v>
      </c>
      <c r="D199" t="s">
        <v>695</v>
      </c>
    </row>
    <row r="200" spans="1:4" x14ac:dyDescent="0.25">
      <c r="A200" t="s">
        <v>438</v>
      </c>
      <c r="B200" t="s">
        <v>650</v>
      </c>
      <c r="C200" t="s">
        <v>690</v>
      </c>
      <c r="D200" t="s">
        <v>694</v>
      </c>
    </row>
    <row r="201" spans="1:4" x14ac:dyDescent="0.25">
      <c r="A201" t="s">
        <v>439</v>
      </c>
      <c r="B201" t="s">
        <v>651</v>
      </c>
      <c r="C201" t="s">
        <v>690</v>
      </c>
      <c r="D201" t="s">
        <v>694</v>
      </c>
    </row>
    <row r="202" spans="1:4" x14ac:dyDescent="0.25">
      <c r="A202" t="s">
        <v>440</v>
      </c>
      <c r="B202" t="s">
        <v>652</v>
      </c>
      <c r="C202" t="s">
        <v>690</v>
      </c>
      <c r="D202" t="s">
        <v>694</v>
      </c>
    </row>
    <row r="203" spans="1:4" x14ac:dyDescent="0.25">
      <c r="A203" t="s">
        <v>441</v>
      </c>
      <c r="B203" t="s">
        <v>653</v>
      </c>
      <c r="C203" t="s">
        <v>690</v>
      </c>
      <c r="D203" t="s">
        <v>694</v>
      </c>
    </row>
    <row r="204" spans="1:4" x14ac:dyDescent="0.25">
      <c r="A204" t="s">
        <v>442</v>
      </c>
      <c r="B204" t="s">
        <v>514</v>
      </c>
      <c r="C204" t="s">
        <v>690</v>
      </c>
      <c r="D204" t="s">
        <v>694</v>
      </c>
    </row>
    <row r="205" spans="1:4" x14ac:dyDescent="0.25">
      <c r="A205" t="s">
        <v>443</v>
      </c>
      <c r="B205" t="s">
        <v>654</v>
      </c>
      <c r="C205" t="s">
        <v>690</v>
      </c>
      <c r="D205" t="s">
        <v>694</v>
      </c>
    </row>
    <row r="206" spans="1:4" x14ac:dyDescent="0.25">
      <c r="A206" t="s">
        <v>444</v>
      </c>
      <c r="B206" t="s">
        <v>655</v>
      </c>
      <c r="C206" t="s">
        <v>691</v>
      </c>
      <c r="D206" t="s">
        <v>695</v>
      </c>
    </row>
    <row r="207" spans="1:4" x14ac:dyDescent="0.25">
      <c r="A207" t="s">
        <v>445</v>
      </c>
      <c r="B207" t="s">
        <v>656</v>
      </c>
      <c r="C207" t="s">
        <v>690</v>
      </c>
      <c r="D207" t="s">
        <v>694</v>
      </c>
    </row>
    <row r="208" spans="1:4" x14ac:dyDescent="0.25">
      <c r="A208" t="s">
        <v>446</v>
      </c>
      <c r="B208" t="s">
        <v>657</v>
      </c>
      <c r="C208" t="s">
        <v>690</v>
      </c>
      <c r="D208" t="s">
        <v>694</v>
      </c>
    </row>
    <row r="209" spans="1:4" x14ac:dyDescent="0.25">
      <c r="A209" t="s">
        <v>447</v>
      </c>
      <c r="B209" t="s">
        <v>658</v>
      </c>
      <c r="C209" t="s">
        <v>692</v>
      </c>
      <c r="D209" t="s">
        <v>695</v>
      </c>
    </row>
    <row r="210" spans="1:4" x14ac:dyDescent="0.25">
      <c r="A210" t="s">
        <v>448</v>
      </c>
      <c r="B210" t="s">
        <v>659</v>
      </c>
      <c r="C210" t="s">
        <v>690</v>
      </c>
      <c r="D210" t="s">
        <v>694</v>
      </c>
    </row>
    <row r="211" spans="1:4" x14ac:dyDescent="0.25">
      <c r="A211" t="s">
        <v>449</v>
      </c>
      <c r="B211" t="s">
        <v>660</v>
      </c>
      <c r="C211" t="s">
        <v>690</v>
      </c>
      <c r="D211" t="s">
        <v>694</v>
      </c>
    </row>
    <row r="212" spans="1:4" x14ac:dyDescent="0.25">
      <c r="A212" t="s">
        <v>450</v>
      </c>
      <c r="B212" t="s">
        <v>661</v>
      </c>
      <c r="C212" t="s">
        <v>690</v>
      </c>
      <c r="D212" t="s">
        <v>694</v>
      </c>
    </row>
    <row r="213" spans="1:4" x14ac:dyDescent="0.25">
      <c r="A213" t="s">
        <v>451</v>
      </c>
      <c r="B213" t="s">
        <v>662</v>
      </c>
      <c r="C213" t="s">
        <v>690</v>
      </c>
      <c r="D213" t="s">
        <v>694</v>
      </c>
    </row>
    <row r="214" spans="1:4" x14ac:dyDescent="0.25">
      <c r="A214" t="s">
        <v>452</v>
      </c>
      <c r="B214" t="s">
        <v>663</v>
      </c>
      <c r="C214" t="s">
        <v>690</v>
      </c>
      <c r="D214" t="s">
        <v>694</v>
      </c>
    </row>
    <row r="215" spans="1:4" x14ac:dyDescent="0.25">
      <c r="A215" t="s">
        <v>453</v>
      </c>
      <c r="B215" t="s">
        <v>664</v>
      </c>
      <c r="C215" t="s">
        <v>691</v>
      </c>
      <c r="D215" t="s">
        <v>695</v>
      </c>
    </row>
    <row r="216" spans="1:4" x14ac:dyDescent="0.25">
      <c r="A216" t="s">
        <v>454</v>
      </c>
      <c r="B216" t="s">
        <v>665</v>
      </c>
      <c r="C216" t="s">
        <v>691</v>
      </c>
      <c r="D216" t="s">
        <v>695</v>
      </c>
    </row>
    <row r="217" spans="1:4" x14ac:dyDescent="0.25">
      <c r="A217" t="s">
        <v>455</v>
      </c>
      <c r="B217" t="s">
        <v>666</v>
      </c>
      <c r="C217" t="s">
        <v>692</v>
      </c>
      <c r="D217" t="s">
        <v>695</v>
      </c>
    </row>
    <row r="218" spans="1:4" x14ac:dyDescent="0.25">
      <c r="A218" t="s">
        <v>456</v>
      </c>
      <c r="B218" t="s">
        <v>667</v>
      </c>
      <c r="C218" t="s">
        <v>691</v>
      </c>
      <c r="D218" t="s">
        <v>695</v>
      </c>
    </row>
    <row r="219" spans="1:4" x14ac:dyDescent="0.25">
      <c r="A219" t="s">
        <v>457</v>
      </c>
      <c r="B219" t="s">
        <v>668</v>
      </c>
      <c r="C219" t="s">
        <v>690</v>
      </c>
      <c r="D219" t="s">
        <v>694</v>
      </c>
    </row>
    <row r="220" spans="1:4" x14ac:dyDescent="0.25">
      <c r="A220" t="s">
        <v>458</v>
      </c>
      <c r="B220" t="s">
        <v>669</v>
      </c>
      <c r="C220" t="s">
        <v>690</v>
      </c>
      <c r="D220" t="s">
        <v>694</v>
      </c>
    </row>
    <row r="221" spans="1:4" x14ac:dyDescent="0.25">
      <c r="A221" t="s">
        <v>459</v>
      </c>
      <c r="B221" t="s">
        <v>670</v>
      </c>
      <c r="C221" t="s">
        <v>691</v>
      </c>
      <c r="D221" t="s">
        <v>695</v>
      </c>
    </row>
    <row r="222" spans="1:4" x14ac:dyDescent="0.25">
      <c r="A222" t="s">
        <v>460</v>
      </c>
      <c r="B222" t="s">
        <v>671</v>
      </c>
      <c r="C222" t="s">
        <v>691</v>
      </c>
      <c r="D222" t="s">
        <v>695</v>
      </c>
    </row>
    <row r="223" spans="1:4" x14ac:dyDescent="0.25">
      <c r="A223" t="s">
        <v>461</v>
      </c>
      <c r="B223" t="s">
        <v>672</v>
      </c>
      <c r="C223" t="s">
        <v>690</v>
      </c>
      <c r="D223" t="s">
        <v>694</v>
      </c>
    </row>
    <row r="224" spans="1:4" x14ac:dyDescent="0.25">
      <c r="A224" t="s">
        <v>462</v>
      </c>
      <c r="B224" t="s">
        <v>673</v>
      </c>
      <c r="C224" t="s">
        <v>690</v>
      </c>
      <c r="D224" t="s">
        <v>694</v>
      </c>
    </row>
    <row r="225" spans="1:4" x14ac:dyDescent="0.25">
      <c r="A225" t="s">
        <v>463</v>
      </c>
      <c r="B225" t="s">
        <v>674</v>
      </c>
      <c r="C225" t="s">
        <v>690</v>
      </c>
      <c r="D225" t="s">
        <v>694</v>
      </c>
    </row>
    <row r="226" spans="1:4" x14ac:dyDescent="0.25">
      <c r="A226" t="s">
        <v>464</v>
      </c>
      <c r="B226" t="s">
        <v>675</v>
      </c>
      <c r="C226" t="s">
        <v>690</v>
      </c>
      <c r="D226" t="s">
        <v>694</v>
      </c>
    </row>
    <row r="227" spans="1:4" x14ac:dyDescent="0.25">
      <c r="A227" t="s">
        <v>465</v>
      </c>
      <c r="B227" t="s">
        <v>676</v>
      </c>
      <c r="C227" t="s">
        <v>690</v>
      </c>
      <c r="D227" t="s">
        <v>694</v>
      </c>
    </row>
    <row r="228" spans="1:4" x14ac:dyDescent="0.25">
      <c r="A228" t="s">
        <v>466</v>
      </c>
      <c r="B228" t="s">
        <v>265</v>
      </c>
      <c r="C228" t="s">
        <v>690</v>
      </c>
      <c r="D228" t="s">
        <v>694</v>
      </c>
    </row>
    <row r="229" spans="1:4" x14ac:dyDescent="0.25">
      <c r="A229" t="s">
        <v>467</v>
      </c>
      <c r="B229" t="s">
        <v>677</v>
      </c>
      <c r="C229" t="s">
        <v>690</v>
      </c>
      <c r="D229" t="s">
        <v>694</v>
      </c>
    </row>
    <row r="230" spans="1:4" x14ac:dyDescent="0.25">
      <c r="A230" t="s">
        <v>468</v>
      </c>
      <c r="B230" t="s">
        <v>678</v>
      </c>
      <c r="C230" t="s">
        <v>690</v>
      </c>
      <c r="D230" t="s">
        <v>694</v>
      </c>
    </row>
    <row r="231" spans="1:4" x14ac:dyDescent="0.25">
      <c r="A231" t="s">
        <v>469</v>
      </c>
      <c r="B231" t="s">
        <v>679</v>
      </c>
      <c r="C231" t="s">
        <v>691</v>
      </c>
      <c r="D231" t="s">
        <v>695</v>
      </c>
    </row>
    <row r="232" spans="1:4" x14ac:dyDescent="0.25">
      <c r="A232" t="s">
        <v>470</v>
      </c>
      <c r="B232" t="s">
        <v>680</v>
      </c>
      <c r="C232" t="s">
        <v>691</v>
      </c>
      <c r="D232" t="s">
        <v>695</v>
      </c>
    </row>
    <row r="233" spans="1:4" x14ac:dyDescent="0.25">
      <c r="A233" t="s">
        <v>471</v>
      </c>
      <c r="B233" t="s">
        <v>681</v>
      </c>
      <c r="C233" t="s">
        <v>690</v>
      </c>
      <c r="D233" t="s">
        <v>694</v>
      </c>
    </row>
    <row r="234" spans="1:4" x14ac:dyDescent="0.25">
      <c r="A234" t="s">
        <v>189</v>
      </c>
      <c r="B234" t="s">
        <v>190</v>
      </c>
      <c r="C234" t="s">
        <v>690</v>
      </c>
      <c r="D234" t="s">
        <v>694</v>
      </c>
    </row>
    <row r="235" spans="1:4" x14ac:dyDescent="0.25">
      <c r="A235" t="s">
        <v>472</v>
      </c>
      <c r="B235" t="s">
        <v>682</v>
      </c>
      <c r="C235" t="s">
        <v>690</v>
      </c>
      <c r="D235" t="s">
        <v>694</v>
      </c>
    </row>
    <row r="236" spans="1:4" x14ac:dyDescent="0.25">
      <c r="A236" t="s">
        <v>473</v>
      </c>
      <c r="B236" t="s">
        <v>683</v>
      </c>
      <c r="C236" t="s">
        <v>690</v>
      </c>
      <c r="D236" t="s">
        <v>694</v>
      </c>
    </row>
    <row r="237" spans="1:4" x14ac:dyDescent="0.25">
      <c r="A237" t="s">
        <v>474</v>
      </c>
      <c r="B237" t="s">
        <v>628</v>
      </c>
      <c r="C237" t="s">
        <v>690</v>
      </c>
      <c r="D237" t="s">
        <v>694</v>
      </c>
    </row>
    <row r="238" spans="1:4" x14ac:dyDescent="0.25">
      <c r="A238" t="s">
        <v>475</v>
      </c>
      <c r="B238" t="s">
        <v>684</v>
      </c>
      <c r="C238" t="s">
        <v>690</v>
      </c>
      <c r="D238" t="s">
        <v>694</v>
      </c>
    </row>
    <row r="239" spans="1:4" x14ac:dyDescent="0.25">
      <c r="A239" t="s">
        <v>476</v>
      </c>
      <c r="B239" t="s">
        <v>685</v>
      </c>
      <c r="C239" t="s">
        <v>691</v>
      </c>
      <c r="D239" t="s">
        <v>695</v>
      </c>
    </row>
    <row r="240" spans="1:4" x14ac:dyDescent="0.25">
      <c r="A240" t="s">
        <v>477</v>
      </c>
      <c r="B240" t="s">
        <v>686</v>
      </c>
      <c r="C240" t="s">
        <v>691</v>
      </c>
      <c r="D240" t="s">
        <v>695</v>
      </c>
    </row>
    <row r="241" spans="1:4" x14ac:dyDescent="0.25">
      <c r="A241" t="s">
        <v>478</v>
      </c>
      <c r="B241" t="s">
        <v>687</v>
      </c>
      <c r="C241" t="s">
        <v>691</v>
      </c>
      <c r="D241" t="s">
        <v>695</v>
      </c>
    </row>
    <row r="242" spans="1:4" x14ac:dyDescent="0.25">
      <c r="A242" t="s">
        <v>479</v>
      </c>
      <c r="B242" t="s">
        <v>660</v>
      </c>
      <c r="C242" t="s">
        <v>690</v>
      </c>
      <c r="D242" t="s">
        <v>694</v>
      </c>
    </row>
    <row r="243" spans="1:4" x14ac:dyDescent="0.25">
      <c r="A243" t="s">
        <v>248</v>
      </c>
      <c r="B243" t="s">
        <v>249</v>
      </c>
      <c r="C243" t="s">
        <v>690</v>
      </c>
      <c r="D243" t="s">
        <v>694</v>
      </c>
    </row>
    <row r="244" spans="1:4" x14ac:dyDescent="0.25">
      <c r="A244" t="s">
        <v>253</v>
      </c>
      <c r="B244" t="s">
        <v>254</v>
      </c>
      <c r="C244" t="s">
        <v>690</v>
      </c>
      <c r="D244" t="s">
        <v>694</v>
      </c>
    </row>
    <row r="245" spans="1:4" x14ac:dyDescent="0.25">
      <c r="A245" t="s">
        <v>264</v>
      </c>
      <c r="B245" t="s">
        <v>265</v>
      </c>
      <c r="C245" t="s">
        <v>690</v>
      </c>
      <c r="D245" t="s">
        <v>694</v>
      </c>
    </row>
    <row r="246" spans="1:4" x14ac:dyDescent="0.25">
      <c r="A246" t="s">
        <v>94</v>
      </c>
      <c r="B246" t="s">
        <v>95</v>
      </c>
      <c r="C246" t="s">
        <v>691</v>
      </c>
      <c r="D246" t="s">
        <v>695</v>
      </c>
    </row>
    <row r="247" spans="1:4" x14ac:dyDescent="0.25">
      <c r="A247" t="s">
        <v>946</v>
      </c>
      <c r="B247" t="s">
        <v>947</v>
      </c>
      <c r="C247" t="s">
        <v>690</v>
      </c>
      <c r="D247" t="s">
        <v>694</v>
      </c>
    </row>
    <row r="248" spans="1:4" x14ac:dyDescent="0.25">
      <c r="A248" t="s">
        <v>801</v>
      </c>
      <c r="B248" t="s">
        <v>802</v>
      </c>
      <c r="C248" t="s">
        <v>691</v>
      </c>
      <c r="D248" t="s">
        <v>695</v>
      </c>
    </row>
    <row r="249" spans="1:4" x14ac:dyDescent="0.25">
      <c r="A249" t="s">
        <v>903</v>
      </c>
      <c r="B249" t="s">
        <v>904</v>
      </c>
      <c r="C249" t="s">
        <v>691</v>
      </c>
      <c r="D249" t="s">
        <v>695</v>
      </c>
    </row>
    <row r="250" spans="1:4" x14ac:dyDescent="0.25">
      <c r="A250" t="s">
        <v>1192</v>
      </c>
      <c r="B250" t="s">
        <v>1193</v>
      </c>
      <c r="C250" t="s">
        <v>690</v>
      </c>
      <c r="D250" t="s">
        <v>694</v>
      </c>
    </row>
    <row r="251" spans="1:4" x14ac:dyDescent="0.25">
      <c r="A251" t="s">
        <v>1202</v>
      </c>
      <c r="B251" t="s">
        <v>1203</v>
      </c>
      <c r="C251" t="s">
        <v>690</v>
      </c>
      <c r="D251" t="s">
        <v>694</v>
      </c>
    </row>
    <row r="252" spans="1:4" x14ac:dyDescent="0.25">
      <c r="A252" t="s">
        <v>1256</v>
      </c>
      <c r="B252" t="s">
        <v>1257</v>
      </c>
      <c r="C252" t="s">
        <v>690</v>
      </c>
      <c r="D252" t="s">
        <v>694</v>
      </c>
    </row>
    <row r="253" spans="1:4" x14ac:dyDescent="0.25">
      <c r="A253" t="s">
        <v>1249</v>
      </c>
      <c r="B253" t="s">
        <v>1250</v>
      </c>
      <c r="C253" t="s">
        <v>690</v>
      </c>
      <c r="D253" t="s">
        <v>694</v>
      </c>
    </row>
    <row r="254" spans="1:4" x14ac:dyDescent="0.25">
      <c r="A254" t="s">
        <v>1269</v>
      </c>
      <c r="B254" t="s">
        <v>1270</v>
      </c>
      <c r="C254" t="s">
        <v>690</v>
      </c>
      <c r="D254" t="s">
        <v>694</v>
      </c>
    </row>
    <row r="255" spans="1:4" x14ac:dyDescent="0.25">
      <c r="A255" t="s">
        <v>1273</v>
      </c>
      <c r="B255" t="s">
        <v>1274</v>
      </c>
      <c r="C255" t="s">
        <v>691</v>
      </c>
      <c r="D255" t="s">
        <v>695</v>
      </c>
    </row>
    <row r="256" spans="1:4" x14ac:dyDescent="0.25">
      <c r="A256" t="s">
        <v>1293</v>
      </c>
      <c r="B256" t="s">
        <v>1294</v>
      </c>
      <c r="C256" t="s">
        <v>690</v>
      </c>
      <c r="D256" t="s">
        <v>694</v>
      </c>
    </row>
    <row r="257" spans="1:4" x14ac:dyDescent="0.25">
      <c r="A257" t="s">
        <v>1326</v>
      </c>
      <c r="B257" t="s">
        <v>1327</v>
      </c>
      <c r="C257" t="s">
        <v>690</v>
      </c>
      <c r="D257" t="s">
        <v>694</v>
      </c>
    </row>
    <row r="258" spans="1:4" x14ac:dyDescent="0.25">
      <c r="A258" t="s">
        <v>55</v>
      </c>
      <c r="B258" t="s">
        <v>259</v>
      </c>
      <c r="C258" t="s">
        <v>690</v>
      </c>
      <c r="D258" t="s">
        <v>694</v>
      </c>
    </row>
    <row r="259" spans="1:4" x14ac:dyDescent="0.25">
      <c r="A259" t="s">
        <v>1334</v>
      </c>
      <c r="B259" t="s">
        <v>1335</v>
      </c>
      <c r="C259" t="s">
        <v>691</v>
      </c>
      <c r="D259" t="s">
        <v>695</v>
      </c>
    </row>
    <row r="260" spans="1:4" x14ac:dyDescent="0.25">
      <c r="A260" t="s">
        <v>1345</v>
      </c>
      <c r="B260" t="s">
        <v>1346</v>
      </c>
      <c r="C260" t="s">
        <v>691</v>
      </c>
      <c r="D260" t="s">
        <v>695</v>
      </c>
    </row>
  </sheetData>
  <autoFilter ref="A1:D249" xr:uid="{2D5C219A-7CE6-45D9-ABD2-DCACA22FFD7A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87AA-2677-4754-A771-FD982C703ECC}">
  <sheetPr filterMode="1"/>
  <dimension ref="A1:AQ971"/>
  <sheetViews>
    <sheetView zoomScaleNormal="100" workbookViewId="0">
      <pane ySplit="6" topLeftCell="A943" activePane="bottomLeft" state="frozen"/>
      <selection pane="bottomLeft" activeCell="A951" sqref="A951:XFD971"/>
    </sheetView>
  </sheetViews>
  <sheetFormatPr defaultColWidth="12.140625" defaultRowHeight="15" x14ac:dyDescent="0.25"/>
  <cols>
    <col min="1" max="1" width="34.42578125" style="18" bestFit="1" customWidth="1"/>
    <col min="2" max="2" width="13" style="4" bestFit="1" customWidth="1"/>
    <col min="3" max="3" width="13.140625" style="4" bestFit="1" customWidth="1"/>
    <col min="4" max="4" width="10.140625" style="22" bestFit="1" customWidth="1"/>
    <col min="5" max="5" width="17.5703125" style="22" bestFit="1" customWidth="1"/>
    <col min="6" max="6" width="11.28515625" style="22" bestFit="1" customWidth="1"/>
    <col min="7" max="7" width="11.85546875" style="19" bestFit="1" customWidth="1"/>
    <col min="8" max="8" width="48.7109375" style="4" bestFit="1" customWidth="1"/>
    <col min="9" max="9" width="15.140625" style="4" bestFit="1" customWidth="1"/>
    <col min="10" max="10" width="37" style="4" bestFit="1" customWidth="1"/>
    <col min="11" max="11" width="17.7109375" style="10" bestFit="1" customWidth="1"/>
    <col min="12" max="12" width="10.5703125" style="20" bestFit="1" customWidth="1"/>
    <col min="13" max="13" width="12" style="10" bestFit="1" customWidth="1"/>
    <col min="14" max="14" width="16.140625" style="10" bestFit="1" customWidth="1"/>
    <col min="15" max="15" width="17.42578125" style="10" bestFit="1" customWidth="1"/>
    <col min="16" max="16" width="33.140625" style="10" bestFit="1" customWidth="1"/>
    <col min="17" max="17" width="19" style="8" bestFit="1" customWidth="1"/>
    <col min="18" max="18" width="19.140625" style="8" bestFit="1" customWidth="1"/>
    <col min="19" max="19" width="8.85546875" style="20" bestFit="1" customWidth="1"/>
    <col min="20" max="20" width="21.7109375" style="10" customWidth="1"/>
    <col min="21" max="21" width="37.42578125" style="10" bestFit="1" customWidth="1"/>
    <col min="22" max="22" width="17.42578125" style="10" bestFit="1" customWidth="1"/>
    <col min="23" max="23" width="16.85546875" style="12" bestFit="1" customWidth="1"/>
    <col min="24" max="24" width="32.140625" style="10" bestFit="1" customWidth="1"/>
    <col min="25" max="25" width="12.42578125" style="4" bestFit="1" customWidth="1"/>
    <col min="26" max="26" width="23.28515625" style="4" bestFit="1" customWidth="1"/>
    <col min="27" max="27" width="9.7109375" style="4" bestFit="1" customWidth="1"/>
    <col min="28" max="28" width="49.42578125" style="4" bestFit="1" customWidth="1"/>
    <col min="29" max="29" width="19.85546875" style="4" bestFit="1" customWidth="1"/>
    <col min="30" max="30" width="14.42578125" style="4" bestFit="1" customWidth="1"/>
    <col min="31" max="31" width="15.42578125" style="4" bestFit="1" customWidth="1"/>
    <col min="32" max="32" width="13.7109375" style="4" bestFit="1" customWidth="1"/>
    <col min="33" max="33" width="8.140625" style="4" bestFit="1" customWidth="1"/>
    <col min="34" max="34" width="36.140625" style="4" bestFit="1" customWidth="1"/>
    <col min="35" max="35" width="7.140625" style="4" bestFit="1" customWidth="1"/>
    <col min="36" max="36" width="12.140625" style="4"/>
    <col min="37" max="37" width="11.28515625" style="4" bestFit="1" customWidth="1"/>
    <col min="38" max="38" width="14.85546875" style="4" bestFit="1" customWidth="1"/>
    <col min="39" max="39" width="16.28515625" style="4" bestFit="1" customWidth="1"/>
    <col min="40" max="40" width="12.140625" style="4"/>
    <col min="41" max="41" width="12.140625" style="4" customWidth="1"/>
    <col min="42" max="42" width="134.42578125" style="4" hidden="1" customWidth="1"/>
    <col min="43" max="43" width="12.140625" style="4" customWidth="1"/>
    <col min="44" max="16384" width="12.140625" style="4"/>
  </cols>
  <sheetData>
    <row r="1" spans="1:43" s="74" customFormat="1" x14ac:dyDescent="0.25">
      <c r="A1" s="73"/>
      <c r="D1" s="75"/>
      <c r="E1" s="75"/>
      <c r="F1" s="75"/>
      <c r="G1" s="76"/>
      <c r="K1" s="77"/>
      <c r="L1" s="78"/>
      <c r="M1" s="77"/>
      <c r="N1" s="77"/>
      <c r="O1" s="77"/>
      <c r="P1" s="77"/>
      <c r="Q1" s="79"/>
      <c r="R1" s="79"/>
      <c r="S1" s="78"/>
      <c r="T1" s="77"/>
      <c r="U1" s="77"/>
      <c r="V1" s="77"/>
      <c r="W1" s="80"/>
      <c r="X1" s="77"/>
    </row>
    <row r="2" spans="1:43" s="74" customFormat="1" x14ac:dyDescent="0.25">
      <c r="A2" s="73"/>
      <c r="D2" s="75"/>
      <c r="E2" s="75"/>
      <c r="F2" s="75"/>
      <c r="G2" s="76"/>
      <c r="K2" s="77"/>
      <c r="L2" s="78"/>
      <c r="M2" s="77"/>
      <c r="N2" s="77"/>
      <c r="O2" s="77"/>
      <c r="P2" s="77"/>
      <c r="Q2" s="79"/>
      <c r="R2" s="79"/>
      <c r="S2" s="78"/>
      <c r="T2" s="77"/>
      <c r="U2" s="77"/>
      <c r="V2" s="77"/>
      <c r="W2" s="80"/>
      <c r="X2" s="77"/>
    </row>
    <row r="3" spans="1:43" s="74" customFormat="1" x14ac:dyDescent="0.25">
      <c r="A3" s="73"/>
      <c r="D3" s="75"/>
      <c r="E3" s="75"/>
      <c r="F3" s="75"/>
      <c r="G3" s="76"/>
      <c r="K3" s="77"/>
      <c r="L3" s="78"/>
      <c r="M3" s="77"/>
      <c r="N3" s="77"/>
      <c r="O3" s="77"/>
      <c r="P3" s="77"/>
      <c r="Q3" s="79"/>
      <c r="R3" s="79"/>
      <c r="S3" s="78"/>
      <c r="T3" s="77"/>
      <c r="U3" s="77"/>
      <c r="V3" s="77"/>
      <c r="W3" s="80"/>
      <c r="X3" s="77"/>
    </row>
    <row r="4" spans="1:43" s="74" customFormat="1" x14ac:dyDescent="0.25">
      <c r="A4" s="73"/>
      <c r="D4" s="75"/>
      <c r="E4" s="75"/>
      <c r="F4" s="75"/>
      <c r="G4" s="76"/>
      <c r="K4" s="77"/>
      <c r="L4" s="78"/>
      <c r="M4" s="77"/>
      <c r="N4" s="77"/>
      <c r="O4" s="77"/>
      <c r="P4" s="77"/>
      <c r="Q4" s="79"/>
      <c r="R4" s="79"/>
      <c r="S4" s="78"/>
      <c r="T4" s="77"/>
      <c r="U4" s="77"/>
      <c r="V4" s="77"/>
      <c r="W4" s="80"/>
      <c r="X4" s="77"/>
    </row>
    <row r="5" spans="1:43" s="74" customFormat="1" x14ac:dyDescent="0.25">
      <c r="A5" s="73" t="s">
        <v>230</v>
      </c>
      <c r="D5" s="75"/>
      <c r="E5" s="75"/>
      <c r="F5" s="75"/>
      <c r="G5" s="76"/>
      <c r="K5" s="77"/>
      <c r="L5" s="78"/>
      <c r="M5" s="77"/>
      <c r="N5" s="77"/>
      <c r="O5" s="77"/>
      <c r="P5" s="77"/>
      <c r="Q5" s="79"/>
      <c r="R5" s="79"/>
      <c r="S5" s="78"/>
      <c r="T5" s="77"/>
      <c r="U5" s="77"/>
      <c r="V5" s="77"/>
      <c r="W5" s="80"/>
      <c r="X5" s="77"/>
    </row>
    <row r="6" spans="1:43" x14ac:dyDescent="0.25">
      <c r="A6" s="13" t="s">
        <v>0</v>
      </c>
      <c r="B6" s="1" t="s">
        <v>1</v>
      </c>
      <c r="C6" s="1" t="s">
        <v>2</v>
      </c>
      <c r="D6" s="21" t="s">
        <v>4</v>
      </c>
      <c r="E6" s="21" t="s">
        <v>3</v>
      </c>
      <c r="F6" s="21" t="s">
        <v>5</v>
      </c>
      <c r="G6" s="14" t="s">
        <v>6</v>
      </c>
      <c r="H6" s="1" t="s">
        <v>7</v>
      </c>
      <c r="I6" s="1" t="s">
        <v>8</v>
      </c>
      <c r="J6" s="1" t="s">
        <v>9</v>
      </c>
      <c r="K6" s="9" t="s">
        <v>10</v>
      </c>
      <c r="L6" s="15" t="s">
        <v>11</v>
      </c>
      <c r="M6" s="9" t="s">
        <v>12</v>
      </c>
      <c r="N6" s="9" t="s">
        <v>13</v>
      </c>
      <c r="O6" s="9" t="s">
        <v>14</v>
      </c>
      <c r="P6" s="9" t="s">
        <v>15</v>
      </c>
      <c r="Q6" s="3" t="s">
        <v>16</v>
      </c>
      <c r="R6" s="3" t="s">
        <v>17</v>
      </c>
      <c r="S6" s="15" t="s">
        <v>18</v>
      </c>
      <c r="T6" s="9" t="s">
        <v>19</v>
      </c>
      <c r="U6" s="9" t="s">
        <v>20</v>
      </c>
      <c r="V6" s="9" t="s">
        <v>21</v>
      </c>
      <c r="W6" s="11" t="s">
        <v>22</v>
      </c>
      <c r="X6" s="9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  <c r="AN6" s="1" t="s">
        <v>276</v>
      </c>
      <c r="AO6" s="16"/>
      <c r="AP6" s="17" t="s">
        <v>39</v>
      </c>
      <c r="AQ6" s="16"/>
    </row>
    <row r="7" spans="1:43" s="147" customFormat="1" ht="14.25" hidden="1" customHeight="1" x14ac:dyDescent="0.25">
      <c r="A7" s="137">
        <v>45658</v>
      </c>
      <c r="B7" s="138" t="s">
        <v>40</v>
      </c>
      <c r="C7" s="138" t="s">
        <v>41</v>
      </c>
      <c r="D7" s="138">
        <v>25707908</v>
      </c>
      <c r="E7" s="139">
        <v>24106304</v>
      </c>
      <c r="F7" s="139" t="s">
        <v>114</v>
      </c>
      <c r="G7" s="140">
        <v>45659</v>
      </c>
      <c r="H7" s="138" t="s">
        <v>115</v>
      </c>
      <c r="I7" s="138" t="s">
        <v>116</v>
      </c>
      <c r="J7" s="138" t="s">
        <v>117</v>
      </c>
      <c r="K7" s="141">
        <v>300</v>
      </c>
      <c r="L7" s="142" t="s">
        <v>42</v>
      </c>
      <c r="M7" s="141">
        <v>300</v>
      </c>
      <c r="N7" s="141">
        <v>386598.59</v>
      </c>
      <c r="O7" s="141">
        <v>115979577</v>
      </c>
      <c r="P7" s="141">
        <v>115979577</v>
      </c>
      <c r="Q7" s="143">
        <v>0</v>
      </c>
      <c r="R7" s="143">
        <v>0</v>
      </c>
      <c r="S7" s="142" t="s">
        <v>43</v>
      </c>
      <c r="T7" s="141">
        <v>90253620</v>
      </c>
      <c r="U7" s="141">
        <v>90253620</v>
      </c>
      <c r="V7" s="141">
        <v>25725957</v>
      </c>
      <c r="W7" s="144">
        <v>0.22181454412400001</v>
      </c>
      <c r="X7" s="141">
        <v>25725957</v>
      </c>
      <c r="Y7" s="138" t="s">
        <v>66</v>
      </c>
      <c r="Z7" s="138" t="s">
        <v>44</v>
      </c>
      <c r="AA7" s="145">
        <v>15159</v>
      </c>
      <c r="AB7" s="138" t="s">
        <v>118</v>
      </c>
      <c r="AC7" s="138" t="s">
        <v>45</v>
      </c>
      <c r="AD7" s="138" t="s">
        <v>67</v>
      </c>
      <c r="AE7" s="146">
        <v>0</v>
      </c>
      <c r="AF7" s="138" t="s">
        <v>119</v>
      </c>
      <c r="AG7" s="138" t="s">
        <v>120</v>
      </c>
      <c r="AH7" s="138" t="s">
        <v>121</v>
      </c>
      <c r="AI7" s="138" t="s">
        <v>69</v>
      </c>
      <c r="AJ7" s="138" t="s">
        <v>46</v>
      </c>
      <c r="AK7" s="138" t="s">
        <v>54</v>
      </c>
      <c r="AL7" s="138" t="s">
        <v>48</v>
      </c>
      <c r="AM7" s="138" t="s">
        <v>49</v>
      </c>
      <c r="AN7" s="133" t="str">
        <f>VLOOKUP(I7,Sheet1!A:D,4,)</f>
        <v>A320400</v>
      </c>
      <c r="AP7" s="148" t="s">
        <v>186</v>
      </c>
    </row>
    <row r="8" spans="1:43" s="147" customFormat="1" hidden="1" x14ac:dyDescent="0.25">
      <c r="A8" s="137">
        <v>45658</v>
      </c>
      <c r="B8" s="138" t="s">
        <v>40</v>
      </c>
      <c r="C8" s="138" t="s">
        <v>41</v>
      </c>
      <c r="D8" s="138">
        <v>25707908</v>
      </c>
      <c r="E8" s="139">
        <v>24106304</v>
      </c>
      <c r="F8" s="139" t="s">
        <v>114</v>
      </c>
      <c r="G8" s="140">
        <v>45659</v>
      </c>
      <c r="H8" s="138" t="s">
        <v>115</v>
      </c>
      <c r="I8" s="138" t="s">
        <v>122</v>
      </c>
      <c r="J8" s="138" t="s">
        <v>123</v>
      </c>
      <c r="K8" s="141">
        <v>220</v>
      </c>
      <c r="L8" s="142" t="s">
        <v>42</v>
      </c>
      <c r="M8" s="141">
        <v>220</v>
      </c>
      <c r="N8" s="141">
        <v>457480.42</v>
      </c>
      <c r="O8" s="141">
        <v>100645692.40000001</v>
      </c>
      <c r="P8" s="141">
        <v>100645692.40000001</v>
      </c>
      <c r="Q8" s="143">
        <v>0</v>
      </c>
      <c r="R8" s="143">
        <v>0</v>
      </c>
      <c r="S8" s="142" t="s">
        <v>43</v>
      </c>
      <c r="T8" s="141">
        <v>52666862.07</v>
      </c>
      <c r="U8" s="141">
        <v>52666862.07</v>
      </c>
      <c r="V8" s="141">
        <v>47978830.329999998</v>
      </c>
      <c r="W8" s="144">
        <v>0.47671022162799997</v>
      </c>
      <c r="X8" s="141">
        <v>47978830.329999998</v>
      </c>
      <c r="Y8" s="138" t="s">
        <v>66</v>
      </c>
      <c r="Z8" s="138" t="s">
        <v>44</v>
      </c>
      <c r="AA8" s="145">
        <v>15159</v>
      </c>
      <c r="AB8" s="138" t="s">
        <v>118</v>
      </c>
      <c r="AC8" s="138" t="s">
        <v>45</v>
      </c>
      <c r="AD8" s="138" t="s">
        <v>67</v>
      </c>
      <c r="AE8" s="146">
        <v>0</v>
      </c>
      <c r="AF8" s="138" t="s">
        <v>124</v>
      </c>
      <c r="AG8" s="138" t="s">
        <v>81</v>
      </c>
      <c r="AH8" s="138" t="s">
        <v>57</v>
      </c>
      <c r="AI8" s="138" t="s">
        <v>69</v>
      </c>
      <c r="AJ8" s="138" t="s">
        <v>46</v>
      </c>
      <c r="AK8" s="138" t="s">
        <v>54</v>
      </c>
      <c r="AL8" s="138" t="s">
        <v>48</v>
      </c>
      <c r="AM8" s="138" t="s">
        <v>49</v>
      </c>
      <c r="AN8" s="133" t="str">
        <f>VLOOKUP(I8,Sheet1!A:D,4,)</f>
        <v>A320400</v>
      </c>
      <c r="AP8" s="148" t="s">
        <v>186</v>
      </c>
    </row>
    <row r="9" spans="1:43" s="147" customFormat="1" hidden="1" x14ac:dyDescent="0.25">
      <c r="A9" s="137">
        <v>45658</v>
      </c>
      <c r="B9" s="138" t="s">
        <v>40</v>
      </c>
      <c r="C9" s="138" t="s">
        <v>41</v>
      </c>
      <c r="D9" s="138">
        <v>25707909</v>
      </c>
      <c r="E9" s="139">
        <v>24106305</v>
      </c>
      <c r="F9" s="139" t="s">
        <v>125</v>
      </c>
      <c r="G9" s="140">
        <v>45659</v>
      </c>
      <c r="H9" s="138" t="s">
        <v>126</v>
      </c>
      <c r="I9" s="138" t="s">
        <v>127</v>
      </c>
      <c r="J9" s="138" t="s">
        <v>128</v>
      </c>
      <c r="K9" s="141">
        <v>100</v>
      </c>
      <c r="L9" s="142" t="s">
        <v>42</v>
      </c>
      <c r="M9" s="141">
        <v>100</v>
      </c>
      <c r="N9" s="141">
        <v>715321.2</v>
      </c>
      <c r="O9" s="141">
        <v>71532120</v>
      </c>
      <c r="P9" s="141">
        <v>71532120</v>
      </c>
      <c r="Q9" s="143">
        <v>0</v>
      </c>
      <c r="R9" s="143">
        <v>0</v>
      </c>
      <c r="S9" s="142" t="s">
        <v>43</v>
      </c>
      <c r="T9" s="141">
        <v>55963280</v>
      </c>
      <c r="U9" s="141">
        <v>55963280</v>
      </c>
      <c r="V9" s="141">
        <v>15568840</v>
      </c>
      <c r="W9" s="144">
        <v>0.21764823969899999</v>
      </c>
      <c r="X9" s="141">
        <v>15568840</v>
      </c>
      <c r="Y9" s="138" t="s">
        <v>69</v>
      </c>
      <c r="Z9" s="138" t="s">
        <v>46</v>
      </c>
      <c r="AA9" s="145">
        <v>2306153</v>
      </c>
      <c r="AB9" s="138" t="s">
        <v>126</v>
      </c>
      <c r="AC9" s="138" t="s">
        <v>45</v>
      </c>
      <c r="AD9" s="138" t="s">
        <v>67</v>
      </c>
      <c r="AE9" s="146">
        <v>0</v>
      </c>
      <c r="AF9" s="138" t="s">
        <v>124</v>
      </c>
      <c r="AG9" s="138" t="s">
        <v>81</v>
      </c>
      <c r="AH9" s="138" t="s">
        <v>57</v>
      </c>
      <c r="AI9" s="138" t="s">
        <v>69</v>
      </c>
      <c r="AJ9" s="138" t="s">
        <v>46</v>
      </c>
      <c r="AK9" s="138" t="s">
        <v>54</v>
      </c>
      <c r="AL9" s="138" t="s">
        <v>48</v>
      </c>
      <c r="AM9" s="138" t="s">
        <v>49</v>
      </c>
      <c r="AN9" s="133" t="str">
        <f>VLOOKUP(I9,Sheet1!A:D,4,)</f>
        <v>A320400</v>
      </c>
      <c r="AP9" s="148" t="s">
        <v>186</v>
      </c>
    </row>
    <row r="10" spans="1:43" s="147" customFormat="1" hidden="1" x14ac:dyDescent="0.25">
      <c r="A10" s="137">
        <v>45658</v>
      </c>
      <c r="B10" s="138" t="s">
        <v>40</v>
      </c>
      <c r="C10" s="138" t="s">
        <v>41</v>
      </c>
      <c r="D10" s="138">
        <v>25707909</v>
      </c>
      <c r="E10" s="139">
        <v>24106305</v>
      </c>
      <c r="F10" s="139" t="s">
        <v>125</v>
      </c>
      <c r="G10" s="140">
        <v>45659</v>
      </c>
      <c r="H10" s="138" t="s">
        <v>126</v>
      </c>
      <c r="I10" s="138" t="s">
        <v>129</v>
      </c>
      <c r="J10" s="138" t="s">
        <v>130</v>
      </c>
      <c r="K10" s="141">
        <v>200</v>
      </c>
      <c r="L10" s="142" t="s">
        <v>42</v>
      </c>
      <c r="M10" s="141">
        <v>200</v>
      </c>
      <c r="N10" s="141">
        <v>906832.19</v>
      </c>
      <c r="O10" s="141">
        <v>181366438</v>
      </c>
      <c r="P10" s="141">
        <v>181366438</v>
      </c>
      <c r="Q10" s="143">
        <v>0</v>
      </c>
      <c r="R10" s="143">
        <v>0</v>
      </c>
      <c r="S10" s="142" t="s">
        <v>43</v>
      </c>
      <c r="T10" s="141">
        <v>95025017.569999993</v>
      </c>
      <c r="U10" s="141">
        <v>95025017.569999993</v>
      </c>
      <c r="V10" s="141">
        <v>86341420.430000007</v>
      </c>
      <c r="W10" s="144">
        <v>0.47606062831700002</v>
      </c>
      <c r="X10" s="141">
        <v>86341420.430000007</v>
      </c>
      <c r="Y10" s="138" t="s">
        <v>69</v>
      </c>
      <c r="Z10" s="138" t="s">
        <v>46</v>
      </c>
      <c r="AA10" s="145">
        <v>2306153</v>
      </c>
      <c r="AB10" s="138" t="s">
        <v>126</v>
      </c>
      <c r="AC10" s="138" t="s">
        <v>45</v>
      </c>
      <c r="AD10" s="138" t="s">
        <v>67</v>
      </c>
      <c r="AE10" s="146">
        <v>0</v>
      </c>
      <c r="AF10" s="138" t="s">
        <v>124</v>
      </c>
      <c r="AG10" s="138" t="s">
        <v>131</v>
      </c>
      <c r="AH10" s="138" t="s">
        <v>132</v>
      </c>
      <c r="AI10" s="138" t="s">
        <v>69</v>
      </c>
      <c r="AJ10" s="138" t="s">
        <v>46</v>
      </c>
      <c r="AK10" s="138" t="s">
        <v>54</v>
      </c>
      <c r="AL10" s="138" t="s">
        <v>48</v>
      </c>
      <c r="AM10" s="138" t="s">
        <v>49</v>
      </c>
      <c r="AN10" s="133" t="str">
        <f>VLOOKUP(I10,Sheet1!A:D,4,)</f>
        <v>A320400</v>
      </c>
      <c r="AP10" s="148" t="s">
        <v>186</v>
      </c>
    </row>
    <row r="11" spans="1:43" s="147" customFormat="1" hidden="1" x14ac:dyDescent="0.25">
      <c r="A11" s="137">
        <v>45658</v>
      </c>
      <c r="B11" s="138" t="s">
        <v>40</v>
      </c>
      <c r="C11" s="138" t="s">
        <v>41</v>
      </c>
      <c r="D11" s="138">
        <v>25707910</v>
      </c>
      <c r="E11" s="139">
        <v>24106355</v>
      </c>
      <c r="F11" s="139" t="s">
        <v>133</v>
      </c>
      <c r="G11" s="140">
        <v>45659</v>
      </c>
      <c r="H11" s="138" t="s">
        <v>126</v>
      </c>
      <c r="I11" s="138" t="s">
        <v>134</v>
      </c>
      <c r="J11" s="138" t="s">
        <v>135</v>
      </c>
      <c r="K11" s="141">
        <v>1800</v>
      </c>
      <c r="L11" s="142" t="s">
        <v>42</v>
      </c>
      <c r="M11" s="141">
        <v>1800</v>
      </c>
      <c r="N11" s="141">
        <v>410282.59</v>
      </c>
      <c r="O11" s="141">
        <v>738508662</v>
      </c>
      <c r="P11" s="141">
        <v>738508662</v>
      </c>
      <c r="Q11" s="143">
        <v>0</v>
      </c>
      <c r="R11" s="143">
        <v>0</v>
      </c>
      <c r="S11" s="142" t="s">
        <v>43</v>
      </c>
      <c r="T11" s="141">
        <v>325458269.81999999</v>
      </c>
      <c r="U11" s="141">
        <v>325458269.81999999</v>
      </c>
      <c r="V11" s="141">
        <v>413050392.18000001</v>
      </c>
      <c r="W11" s="144">
        <v>0.55930338184700001</v>
      </c>
      <c r="X11" s="141">
        <v>413050392.18000001</v>
      </c>
      <c r="Y11" s="138" t="s">
        <v>69</v>
      </c>
      <c r="Z11" s="138" t="s">
        <v>46</v>
      </c>
      <c r="AA11" s="145">
        <v>2306153</v>
      </c>
      <c r="AB11" s="138" t="s">
        <v>126</v>
      </c>
      <c r="AC11" s="138" t="s">
        <v>45</v>
      </c>
      <c r="AD11" s="138" t="s">
        <v>67</v>
      </c>
      <c r="AE11" s="146">
        <v>0</v>
      </c>
      <c r="AF11" s="138" t="s">
        <v>68</v>
      </c>
      <c r="AG11" s="138" t="s">
        <v>71</v>
      </c>
      <c r="AH11" s="138" t="s">
        <v>53</v>
      </c>
      <c r="AI11" s="138" t="s">
        <v>69</v>
      </c>
      <c r="AJ11" s="138" t="s">
        <v>46</v>
      </c>
      <c r="AK11" s="138" t="s">
        <v>54</v>
      </c>
      <c r="AL11" s="138" t="s">
        <v>48</v>
      </c>
      <c r="AM11" s="138" t="s">
        <v>49</v>
      </c>
      <c r="AN11" s="133" t="str">
        <f>VLOOKUP(I11,Sheet1!A:D,4,)</f>
        <v>A320400</v>
      </c>
      <c r="AP11" s="148" t="s">
        <v>186</v>
      </c>
    </row>
    <row r="12" spans="1:43" s="147" customFormat="1" hidden="1" x14ac:dyDescent="0.25">
      <c r="A12" s="137">
        <v>45658</v>
      </c>
      <c r="B12" s="138" t="s">
        <v>40</v>
      </c>
      <c r="C12" s="138" t="s">
        <v>41</v>
      </c>
      <c r="D12" s="138">
        <v>25707911</v>
      </c>
      <c r="E12" s="139">
        <v>24106387</v>
      </c>
      <c r="F12" s="139" t="s">
        <v>136</v>
      </c>
      <c r="G12" s="140">
        <v>45659</v>
      </c>
      <c r="H12" s="138" t="s">
        <v>126</v>
      </c>
      <c r="I12" s="138" t="s">
        <v>137</v>
      </c>
      <c r="J12" s="138" t="s">
        <v>138</v>
      </c>
      <c r="K12" s="141">
        <v>600</v>
      </c>
      <c r="L12" s="142" t="s">
        <v>42</v>
      </c>
      <c r="M12" s="141">
        <v>600</v>
      </c>
      <c r="N12" s="141">
        <v>698810.88</v>
      </c>
      <c r="O12" s="141">
        <v>419286528</v>
      </c>
      <c r="P12" s="141">
        <v>419286528</v>
      </c>
      <c r="Q12" s="143">
        <v>0</v>
      </c>
      <c r="R12" s="143">
        <v>0</v>
      </c>
      <c r="S12" s="142" t="s">
        <v>43</v>
      </c>
      <c r="T12" s="141">
        <v>255678464.63999999</v>
      </c>
      <c r="U12" s="141">
        <v>255678464.63999999</v>
      </c>
      <c r="V12" s="141">
        <v>163608063.36000001</v>
      </c>
      <c r="W12" s="144">
        <v>0.39020586743000002</v>
      </c>
      <c r="X12" s="141">
        <v>163608063.36000001</v>
      </c>
      <c r="Y12" s="138" t="s">
        <v>69</v>
      </c>
      <c r="Z12" s="138" t="s">
        <v>46</v>
      </c>
      <c r="AA12" s="145">
        <v>2306153</v>
      </c>
      <c r="AB12" s="138" t="s">
        <v>126</v>
      </c>
      <c r="AC12" s="138" t="s">
        <v>45</v>
      </c>
      <c r="AD12" s="138" t="s">
        <v>67</v>
      </c>
      <c r="AE12" s="146">
        <v>0</v>
      </c>
      <c r="AF12" s="138" t="s">
        <v>72</v>
      </c>
      <c r="AG12" s="138" t="s">
        <v>69</v>
      </c>
      <c r="AH12" s="138" t="s">
        <v>46</v>
      </c>
      <c r="AI12" s="138" t="s">
        <v>69</v>
      </c>
      <c r="AJ12" s="138" t="s">
        <v>46</v>
      </c>
      <c r="AK12" s="138" t="s">
        <v>54</v>
      </c>
      <c r="AL12" s="138" t="s">
        <v>48</v>
      </c>
      <c r="AM12" s="138" t="s">
        <v>49</v>
      </c>
      <c r="AN12" s="133" t="str">
        <f>VLOOKUP(I12,Sheet1!A:D,4,)</f>
        <v>A320400</v>
      </c>
      <c r="AP12" s="148" t="s">
        <v>186</v>
      </c>
    </row>
    <row r="13" spans="1:43" s="147" customFormat="1" hidden="1" x14ac:dyDescent="0.25">
      <c r="A13" s="137">
        <v>45658</v>
      </c>
      <c r="B13" s="138" t="s">
        <v>40</v>
      </c>
      <c r="C13" s="138" t="s">
        <v>41</v>
      </c>
      <c r="D13" s="138">
        <v>25707912</v>
      </c>
      <c r="E13" s="139">
        <v>24106404</v>
      </c>
      <c r="F13" s="139" t="s">
        <v>139</v>
      </c>
      <c r="G13" s="140">
        <v>45659</v>
      </c>
      <c r="H13" s="138" t="s">
        <v>115</v>
      </c>
      <c r="I13" s="138" t="s">
        <v>140</v>
      </c>
      <c r="J13" s="138" t="s">
        <v>141</v>
      </c>
      <c r="K13" s="141">
        <v>80</v>
      </c>
      <c r="L13" s="142" t="s">
        <v>42</v>
      </c>
      <c r="M13" s="141">
        <v>80</v>
      </c>
      <c r="N13" s="141">
        <v>496676.77</v>
      </c>
      <c r="O13" s="141">
        <v>39734141.600000001</v>
      </c>
      <c r="P13" s="141">
        <v>39734141.600000001</v>
      </c>
      <c r="Q13" s="143">
        <v>0</v>
      </c>
      <c r="R13" s="143">
        <v>0</v>
      </c>
      <c r="S13" s="142" t="s">
        <v>43</v>
      </c>
      <c r="T13" s="141">
        <v>14470468.59</v>
      </c>
      <c r="U13" s="141">
        <v>14470468.59</v>
      </c>
      <c r="V13" s="141">
        <v>25263673.010000002</v>
      </c>
      <c r="W13" s="144">
        <v>0.63581776257599998</v>
      </c>
      <c r="X13" s="141">
        <v>25263673.010000002</v>
      </c>
      <c r="Y13" s="138" t="s">
        <v>66</v>
      </c>
      <c r="Z13" s="138" t="s">
        <v>44</v>
      </c>
      <c r="AA13" s="145">
        <v>15159</v>
      </c>
      <c r="AB13" s="138" t="s">
        <v>118</v>
      </c>
      <c r="AC13" s="138" t="s">
        <v>45</v>
      </c>
      <c r="AD13" s="138" t="s">
        <v>67</v>
      </c>
      <c r="AE13" s="146">
        <v>0</v>
      </c>
      <c r="AF13" s="138" t="s">
        <v>68</v>
      </c>
      <c r="AG13" s="138" t="s">
        <v>142</v>
      </c>
      <c r="AH13" s="138" t="s">
        <v>143</v>
      </c>
      <c r="AI13" s="138" t="s">
        <v>69</v>
      </c>
      <c r="AJ13" s="138" t="s">
        <v>46</v>
      </c>
      <c r="AK13" s="138" t="s">
        <v>54</v>
      </c>
      <c r="AL13" s="138" t="s">
        <v>48</v>
      </c>
      <c r="AM13" s="138" t="s">
        <v>49</v>
      </c>
      <c r="AN13" s="133" t="str">
        <f>VLOOKUP(I13,Sheet1!A:D,4,)</f>
        <v>A320400</v>
      </c>
      <c r="AP13" s="148" t="s">
        <v>186</v>
      </c>
    </row>
    <row r="14" spans="1:43" s="147" customFormat="1" hidden="1" x14ac:dyDescent="0.25">
      <c r="A14" s="137">
        <v>45658</v>
      </c>
      <c r="B14" s="138" t="s">
        <v>40</v>
      </c>
      <c r="C14" s="138" t="s">
        <v>41</v>
      </c>
      <c r="D14" s="138">
        <v>25707913</v>
      </c>
      <c r="E14" s="139">
        <v>24106451</v>
      </c>
      <c r="F14" s="139" t="s">
        <v>144</v>
      </c>
      <c r="G14" s="140">
        <v>45659</v>
      </c>
      <c r="H14" s="138" t="s">
        <v>126</v>
      </c>
      <c r="I14" s="138" t="s">
        <v>140</v>
      </c>
      <c r="J14" s="138" t="s">
        <v>141</v>
      </c>
      <c r="K14" s="141">
        <v>200</v>
      </c>
      <c r="L14" s="142" t="s">
        <v>42</v>
      </c>
      <c r="M14" s="141">
        <v>200</v>
      </c>
      <c r="N14" s="141">
        <v>504485.63</v>
      </c>
      <c r="O14" s="141">
        <v>100897126</v>
      </c>
      <c r="P14" s="141">
        <v>100897126</v>
      </c>
      <c r="Q14" s="143">
        <v>0</v>
      </c>
      <c r="R14" s="143">
        <v>0</v>
      </c>
      <c r="S14" s="142" t="s">
        <v>43</v>
      </c>
      <c r="T14" s="141">
        <v>36176171.469999999</v>
      </c>
      <c r="U14" s="141">
        <v>36176171.469999999</v>
      </c>
      <c r="V14" s="141">
        <v>64720954.530000001</v>
      </c>
      <c r="W14" s="144">
        <v>0.64145488673200002</v>
      </c>
      <c r="X14" s="141">
        <v>64720954.530000001</v>
      </c>
      <c r="Y14" s="138" t="s">
        <v>69</v>
      </c>
      <c r="Z14" s="138" t="s">
        <v>46</v>
      </c>
      <c r="AA14" s="145">
        <v>2306153</v>
      </c>
      <c r="AB14" s="138" t="s">
        <v>126</v>
      </c>
      <c r="AC14" s="138" t="s">
        <v>45</v>
      </c>
      <c r="AD14" s="138" t="s">
        <v>67</v>
      </c>
      <c r="AE14" s="146">
        <v>0</v>
      </c>
      <c r="AF14" s="138" t="s">
        <v>68</v>
      </c>
      <c r="AG14" s="138" t="s">
        <v>142</v>
      </c>
      <c r="AH14" s="138" t="s">
        <v>143</v>
      </c>
      <c r="AI14" s="138" t="s">
        <v>69</v>
      </c>
      <c r="AJ14" s="138" t="s">
        <v>46</v>
      </c>
      <c r="AK14" s="138" t="s">
        <v>54</v>
      </c>
      <c r="AL14" s="138" t="s">
        <v>48</v>
      </c>
      <c r="AM14" s="138" t="s">
        <v>49</v>
      </c>
      <c r="AN14" s="133" t="str">
        <f>VLOOKUP(I14,Sheet1!A:D,4,)</f>
        <v>A320400</v>
      </c>
      <c r="AP14" s="148" t="s">
        <v>186</v>
      </c>
    </row>
    <row r="15" spans="1:43" s="147" customFormat="1" hidden="1" x14ac:dyDescent="0.25">
      <c r="A15" s="137">
        <v>45658</v>
      </c>
      <c r="B15" s="138" t="s">
        <v>40</v>
      </c>
      <c r="C15" s="138" t="s">
        <v>41</v>
      </c>
      <c r="D15" s="138">
        <v>25707914</v>
      </c>
      <c r="E15" s="139">
        <v>24106478</v>
      </c>
      <c r="F15" s="139" t="s">
        <v>145</v>
      </c>
      <c r="G15" s="140">
        <v>45659</v>
      </c>
      <c r="H15" s="138" t="s">
        <v>115</v>
      </c>
      <c r="I15" s="138" t="s">
        <v>146</v>
      </c>
      <c r="J15" s="138" t="s">
        <v>147</v>
      </c>
      <c r="K15" s="141">
        <v>3</v>
      </c>
      <c r="L15" s="142" t="s">
        <v>42</v>
      </c>
      <c r="M15" s="141">
        <v>3</v>
      </c>
      <c r="N15" s="141">
        <v>10434182.49</v>
      </c>
      <c r="O15" s="141">
        <v>31302547.469999999</v>
      </c>
      <c r="P15" s="141">
        <v>31302547.469999999</v>
      </c>
      <c r="Q15" s="143">
        <v>0</v>
      </c>
      <c r="R15" s="143">
        <v>0</v>
      </c>
      <c r="S15" s="142" t="s">
        <v>43</v>
      </c>
      <c r="T15" s="141">
        <v>19437844.489999998</v>
      </c>
      <c r="U15" s="141">
        <v>19437844.489999998</v>
      </c>
      <c r="V15" s="141">
        <v>11864702.98</v>
      </c>
      <c r="W15" s="144">
        <v>0.37903314391100001</v>
      </c>
      <c r="X15" s="141">
        <v>11864702.98</v>
      </c>
      <c r="Y15" s="138" t="s">
        <v>66</v>
      </c>
      <c r="Z15" s="138" t="s">
        <v>44</v>
      </c>
      <c r="AA15" s="145">
        <v>15159</v>
      </c>
      <c r="AB15" s="138" t="s">
        <v>118</v>
      </c>
      <c r="AC15" s="138" t="s">
        <v>45</v>
      </c>
      <c r="AD15" s="138" t="s">
        <v>67</v>
      </c>
      <c r="AE15" s="146">
        <v>0</v>
      </c>
      <c r="AF15" s="138" t="s">
        <v>68</v>
      </c>
      <c r="AG15" s="138" t="s">
        <v>69</v>
      </c>
      <c r="AH15" s="138" t="s">
        <v>46</v>
      </c>
      <c r="AI15" s="138" t="s">
        <v>69</v>
      </c>
      <c r="AJ15" s="138" t="s">
        <v>46</v>
      </c>
      <c r="AK15" s="138" t="s">
        <v>54</v>
      </c>
      <c r="AL15" s="138" t="s">
        <v>48</v>
      </c>
      <c r="AM15" s="138" t="s">
        <v>49</v>
      </c>
      <c r="AN15" s="133" t="str">
        <f>VLOOKUP(I15,Sheet1!A:D,4,)</f>
        <v>A320400</v>
      </c>
      <c r="AP15" s="148" t="s">
        <v>186</v>
      </c>
    </row>
    <row r="16" spans="1:43" s="147" customFormat="1" hidden="1" x14ac:dyDescent="0.25">
      <c r="A16" s="137">
        <v>45658</v>
      </c>
      <c r="B16" s="138" t="s">
        <v>40</v>
      </c>
      <c r="C16" s="138" t="s">
        <v>41</v>
      </c>
      <c r="D16" s="138">
        <v>25707915</v>
      </c>
      <c r="E16" s="139">
        <v>24106481</v>
      </c>
      <c r="F16" s="139" t="s">
        <v>148</v>
      </c>
      <c r="G16" s="140">
        <v>45659</v>
      </c>
      <c r="H16" s="138" t="s">
        <v>126</v>
      </c>
      <c r="I16" s="138" t="s">
        <v>140</v>
      </c>
      <c r="J16" s="138" t="s">
        <v>141</v>
      </c>
      <c r="K16" s="141">
        <v>40</v>
      </c>
      <c r="L16" s="142" t="s">
        <v>42</v>
      </c>
      <c r="M16" s="141">
        <v>40</v>
      </c>
      <c r="N16" s="141">
        <v>504485.63</v>
      </c>
      <c r="O16" s="141">
        <v>20179425.199999999</v>
      </c>
      <c r="P16" s="141">
        <v>20179425.199999999</v>
      </c>
      <c r="Q16" s="143">
        <v>0</v>
      </c>
      <c r="R16" s="143">
        <v>0</v>
      </c>
      <c r="S16" s="142" t="s">
        <v>43</v>
      </c>
      <c r="T16" s="141">
        <v>7235234.29</v>
      </c>
      <c r="U16" s="141">
        <v>7235234.29</v>
      </c>
      <c r="V16" s="141">
        <v>12944190.91</v>
      </c>
      <c r="W16" s="144">
        <v>0.64145488693099995</v>
      </c>
      <c r="X16" s="141">
        <v>12944190.91</v>
      </c>
      <c r="Y16" s="138" t="s">
        <v>69</v>
      </c>
      <c r="Z16" s="138" t="s">
        <v>46</v>
      </c>
      <c r="AA16" s="145">
        <v>2306153</v>
      </c>
      <c r="AB16" s="138" t="s">
        <v>126</v>
      </c>
      <c r="AC16" s="138" t="s">
        <v>45</v>
      </c>
      <c r="AD16" s="138" t="s">
        <v>67</v>
      </c>
      <c r="AE16" s="146">
        <v>0</v>
      </c>
      <c r="AF16" s="138" t="s">
        <v>68</v>
      </c>
      <c r="AG16" s="138" t="s">
        <v>142</v>
      </c>
      <c r="AH16" s="138" t="s">
        <v>143</v>
      </c>
      <c r="AI16" s="138" t="s">
        <v>69</v>
      </c>
      <c r="AJ16" s="138" t="s">
        <v>46</v>
      </c>
      <c r="AK16" s="138" t="s">
        <v>54</v>
      </c>
      <c r="AL16" s="138" t="s">
        <v>48</v>
      </c>
      <c r="AM16" s="138" t="s">
        <v>49</v>
      </c>
      <c r="AN16" s="133" t="str">
        <f>VLOOKUP(I16,Sheet1!A:D,4,)</f>
        <v>A320400</v>
      </c>
      <c r="AP16" s="148" t="s">
        <v>186</v>
      </c>
    </row>
    <row r="17" spans="1:42" s="147" customFormat="1" hidden="1" x14ac:dyDescent="0.25">
      <c r="A17" s="137">
        <v>45658</v>
      </c>
      <c r="B17" s="138" t="s">
        <v>40</v>
      </c>
      <c r="C17" s="138" t="s">
        <v>41</v>
      </c>
      <c r="D17" s="138">
        <v>25707916</v>
      </c>
      <c r="E17" s="139">
        <v>24106497</v>
      </c>
      <c r="F17" s="139" t="s">
        <v>149</v>
      </c>
      <c r="G17" s="140">
        <v>45659</v>
      </c>
      <c r="H17" s="138" t="s">
        <v>150</v>
      </c>
      <c r="I17" s="138" t="s">
        <v>151</v>
      </c>
      <c r="J17" s="138" t="s">
        <v>152</v>
      </c>
      <c r="K17" s="141">
        <v>54</v>
      </c>
      <c r="L17" s="142" t="s">
        <v>42</v>
      </c>
      <c r="M17" s="141">
        <v>54</v>
      </c>
      <c r="N17" s="141">
        <v>889177.2</v>
      </c>
      <c r="O17" s="141">
        <v>48015568.799999997</v>
      </c>
      <c r="P17" s="141">
        <v>48015568.799999997</v>
      </c>
      <c r="Q17" s="143">
        <v>0</v>
      </c>
      <c r="R17" s="143">
        <v>0</v>
      </c>
      <c r="S17" s="142" t="s">
        <v>43</v>
      </c>
      <c r="T17" s="141">
        <v>25437202.399999999</v>
      </c>
      <c r="U17" s="141">
        <v>25437202.399999999</v>
      </c>
      <c r="V17" s="141">
        <v>22578366.399999999</v>
      </c>
      <c r="W17" s="144">
        <v>0.47023011419499999</v>
      </c>
      <c r="X17" s="141">
        <v>22578366.399999999</v>
      </c>
      <c r="Y17" s="138" t="s">
        <v>69</v>
      </c>
      <c r="Z17" s="138" t="s">
        <v>46</v>
      </c>
      <c r="AA17" s="145">
        <v>2306392</v>
      </c>
      <c r="AB17" s="138" t="s">
        <v>153</v>
      </c>
      <c r="AC17" s="138" t="s">
        <v>154</v>
      </c>
      <c r="AD17" s="138" t="s">
        <v>155</v>
      </c>
      <c r="AE17" s="146">
        <v>0</v>
      </c>
      <c r="AF17" s="138" t="s">
        <v>68</v>
      </c>
      <c r="AG17" s="138" t="s">
        <v>69</v>
      </c>
      <c r="AH17" s="138" t="s">
        <v>46</v>
      </c>
      <c r="AI17" s="138" t="s">
        <v>69</v>
      </c>
      <c r="AJ17" s="138" t="s">
        <v>46</v>
      </c>
      <c r="AK17" s="138" t="s">
        <v>54</v>
      </c>
      <c r="AL17" s="138" t="s">
        <v>48</v>
      </c>
      <c r="AM17" s="138" t="s">
        <v>49</v>
      </c>
      <c r="AN17" s="133" t="str">
        <f>VLOOKUP(I17,Sheet1!A:D,4,)</f>
        <v>A320400</v>
      </c>
      <c r="AP17" s="148" t="s">
        <v>186</v>
      </c>
    </row>
    <row r="18" spans="1:42" s="147" customFormat="1" hidden="1" x14ac:dyDescent="0.25">
      <c r="A18" s="137">
        <v>45658</v>
      </c>
      <c r="B18" s="138" t="s">
        <v>40</v>
      </c>
      <c r="C18" s="138" t="s">
        <v>41</v>
      </c>
      <c r="D18" s="138">
        <v>25707917</v>
      </c>
      <c r="E18" s="139">
        <v>24106498</v>
      </c>
      <c r="F18" s="139" t="s">
        <v>156</v>
      </c>
      <c r="G18" s="140">
        <v>45659</v>
      </c>
      <c r="H18" s="138" t="s">
        <v>150</v>
      </c>
      <c r="I18" s="138" t="s">
        <v>151</v>
      </c>
      <c r="J18" s="138" t="s">
        <v>152</v>
      </c>
      <c r="K18" s="141">
        <v>54</v>
      </c>
      <c r="L18" s="142" t="s">
        <v>42</v>
      </c>
      <c r="M18" s="141">
        <v>54</v>
      </c>
      <c r="N18" s="141">
        <v>879817.44</v>
      </c>
      <c r="O18" s="141">
        <v>47510141.759999998</v>
      </c>
      <c r="P18" s="141">
        <v>47510141.759999998</v>
      </c>
      <c r="Q18" s="143">
        <v>0</v>
      </c>
      <c r="R18" s="143">
        <v>0</v>
      </c>
      <c r="S18" s="142" t="s">
        <v>43</v>
      </c>
      <c r="T18" s="141">
        <v>25437202.399999999</v>
      </c>
      <c r="U18" s="141">
        <v>25437202.399999999</v>
      </c>
      <c r="V18" s="141">
        <v>22072939.359999999</v>
      </c>
      <c r="W18" s="144">
        <v>0.46459426434599999</v>
      </c>
      <c r="X18" s="141">
        <v>22072939.359999999</v>
      </c>
      <c r="Y18" s="138" t="s">
        <v>69</v>
      </c>
      <c r="Z18" s="138" t="s">
        <v>46</v>
      </c>
      <c r="AA18" s="145">
        <v>2306392</v>
      </c>
      <c r="AB18" s="138" t="s">
        <v>153</v>
      </c>
      <c r="AC18" s="138" t="s">
        <v>154</v>
      </c>
      <c r="AD18" s="138" t="s">
        <v>155</v>
      </c>
      <c r="AE18" s="146">
        <v>0</v>
      </c>
      <c r="AF18" s="138" t="s">
        <v>68</v>
      </c>
      <c r="AG18" s="138" t="s">
        <v>69</v>
      </c>
      <c r="AH18" s="138" t="s">
        <v>46</v>
      </c>
      <c r="AI18" s="138" t="s">
        <v>69</v>
      </c>
      <c r="AJ18" s="138" t="s">
        <v>46</v>
      </c>
      <c r="AK18" s="138" t="s">
        <v>54</v>
      </c>
      <c r="AL18" s="138" t="s">
        <v>48</v>
      </c>
      <c r="AM18" s="138" t="s">
        <v>49</v>
      </c>
      <c r="AN18" s="133" t="str">
        <f>VLOOKUP(I18,Sheet1!A:D,4,)</f>
        <v>A320400</v>
      </c>
      <c r="AP18" s="148" t="s">
        <v>186</v>
      </c>
    </row>
    <row r="19" spans="1:42" s="133" customFormat="1" ht="12.75" hidden="1" customHeight="1" x14ac:dyDescent="0.2">
      <c r="A19" s="149">
        <v>45658</v>
      </c>
      <c r="B19" s="133" t="s">
        <v>40</v>
      </c>
      <c r="C19" s="133" t="s">
        <v>41</v>
      </c>
      <c r="D19" s="150">
        <v>25707918</v>
      </c>
      <c r="E19" s="150">
        <v>24106500</v>
      </c>
      <c r="F19" s="150" t="s">
        <v>157</v>
      </c>
      <c r="G19" s="151">
        <v>45659</v>
      </c>
      <c r="H19" s="133" t="s">
        <v>158</v>
      </c>
      <c r="I19" s="133" t="s">
        <v>159</v>
      </c>
      <c r="J19" s="133" t="s">
        <v>160</v>
      </c>
      <c r="K19" s="152">
        <v>15</v>
      </c>
      <c r="L19" s="153" t="s">
        <v>42</v>
      </c>
      <c r="M19" s="152">
        <v>15</v>
      </c>
      <c r="N19" s="152">
        <v>9178191.2799999993</v>
      </c>
      <c r="O19" s="152">
        <v>137672869.19999999</v>
      </c>
      <c r="P19" s="152">
        <v>137672869.19999999</v>
      </c>
      <c r="Q19" s="136">
        <v>0</v>
      </c>
      <c r="R19" s="136">
        <v>0</v>
      </c>
      <c r="S19" s="153" t="s">
        <v>43</v>
      </c>
      <c r="T19" s="152">
        <v>95184330.329999998</v>
      </c>
      <c r="U19" s="152">
        <v>95184330.329999998</v>
      </c>
      <c r="V19" s="152">
        <v>42488538.869999997</v>
      </c>
      <c r="W19" s="154">
        <v>0.30861954949300002</v>
      </c>
      <c r="X19" s="152">
        <v>42488538.869999997</v>
      </c>
      <c r="Y19" s="133" t="s">
        <v>69</v>
      </c>
      <c r="Z19" s="133" t="s">
        <v>46</v>
      </c>
      <c r="AA19" s="133">
        <v>2306495</v>
      </c>
      <c r="AB19" s="133" t="s">
        <v>161</v>
      </c>
      <c r="AC19" s="133" t="s">
        <v>56</v>
      </c>
      <c r="AD19" s="133" t="s">
        <v>77</v>
      </c>
      <c r="AE19" s="133">
        <v>0</v>
      </c>
      <c r="AF19" s="133" t="s">
        <v>68</v>
      </c>
      <c r="AG19" s="133" t="s">
        <v>142</v>
      </c>
      <c r="AH19" s="133" t="s">
        <v>143</v>
      </c>
      <c r="AI19" s="133" t="s">
        <v>69</v>
      </c>
      <c r="AJ19" s="133" t="s">
        <v>46</v>
      </c>
      <c r="AK19" s="133" t="s">
        <v>54</v>
      </c>
      <c r="AL19" s="133" t="s">
        <v>48</v>
      </c>
      <c r="AM19" s="133" t="s">
        <v>49</v>
      </c>
      <c r="AN19" s="133" t="str">
        <f>VLOOKUP(I19,Sheet1!A:D,4,)</f>
        <v>A320400</v>
      </c>
      <c r="AP19" s="155" t="s">
        <v>186</v>
      </c>
    </row>
    <row r="20" spans="1:42" s="133" customFormat="1" ht="14.25" hidden="1" x14ac:dyDescent="0.2">
      <c r="A20" s="149">
        <v>45658</v>
      </c>
      <c r="B20" s="133" t="s">
        <v>40</v>
      </c>
      <c r="C20" s="133" t="s">
        <v>41</v>
      </c>
      <c r="D20" s="150">
        <v>25707919</v>
      </c>
      <c r="E20" s="150">
        <v>24106542</v>
      </c>
      <c r="F20" s="150" t="s">
        <v>162</v>
      </c>
      <c r="G20" s="151">
        <v>45659</v>
      </c>
      <c r="H20" s="133" t="s">
        <v>150</v>
      </c>
      <c r="I20" s="133" t="s">
        <v>146</v>
      </c>
      <c r="J20" s="133" t="s">
        <v>147</v>
      </c>
      <c r="K20" s="152">
        <v>8</v>
      </c>
      <c r="L20" s="153" t="s">
        <v>42</v>
      </c>
      <c r="M20" s="152">
        <v>8</v>
      </c>
      <c r="N20" s="152">
        <v>9801577.5</v>
      </c>
      <c r="O20" s="152">
        <v>78412620</v>
      </c>
      <c r="P20" s="152">
        <v>78412620</v>
      </c>
      <c r="Q20" s="136">
        <v>0</v>
      </c>
      <c r="R20" s="136">
        <v>0</v>
      </c>
      <c r="S20" s="153" t="s">
        <v>43</v>
      </c>
      <c r="T20" s="152">
        <v>51834251.990000002</v>
      </c>
      <c r="U20" s="152">
        <v>51834251.990000002</v>
      </c>
      <c r="V20" s="152">
        <v>26578368.010000002</v>
      </c>
      <c r="W20" s="154">
        <v>0.33895523462900001</v>
      </c>
      <c r="X20" s="152">
        <v>26578368.010000002</v>
      </c>
      <c r="Y20" s="133" t="s">
        <v>69</v>
      </c>
      <c r="Z20" s="133" t="s">
        <v>46</v>
      </c>
      <c r="AA20" s="133">
        <v>2306392</v>
      </c>
      <c r="AB20" s="133" t="s">
        <v>153</v>
      </c>
      <c r="AC20" s="133" t="s">
        <v>154</v>
      </c>
      <c r="AD20" s="133" t="s">
        <v>155</v>
      </c>
      <c r="AE20" s="133">
        <v>0</v>
      </c>
      <c r="AF20" s="133" t="s">
        <v>68</v>
      </c>
      <c r="AG20" s="133" t="s">
        <v>69</v>
      </c>
      <c r="AH20" s="133" t="s">
        <v>46</v>
      </c>
      <c r="AI20" s="133" t="s">
        <v>69</v>
      </c>
      <c r="AJ20" s="133" t="s">
        <v>46</v>
      </c>
      <c r="AK20" s="133" t="s">
        <v>54</v>
      </c>
      <c r="AL20" s="133" t="s">
        <v>48</v>
      </c>
      <c r="AM20" s="133" t="s">
        <v>49</v>
      </c>
      <c r="AN20" s="133" t="str">
        <f>VLOOKUP(I20,Sheet1!A:D,4,)</f>
        <v>A320400</v>
      </c>
      <c r="AP20" s="155" t="s">
        <v>186</v>
      </c>
    </row>
    <row r="21" spans="1:42" s="133" customFormat="1" ht="14.25" hidden="1" x14ac:dyDescent="0.2">
      <c r="A21" s="149">
        <v>45658</v>
      </c>
      <c r="B21" s="133" t="s">
        <v>40</v>
      </c>
      <c r="C21" s="133" t="s">
        <v>41</v>
      </c>
      <c r="D21" s="150">
        <v>25707920</v>
      </c>
      <c r="E21" s="150">
        <v>24106353</v>
      </c>
      <c r="F21" s="150" t="s">
        <v>163</v>
      </c>
      <c r="G21" s="151">
        <v>45667</v>
      </c>
      <c r="H21" s="133" t="s">
        <v>126</v>
      </c>
      <c r="I21" s="133" t="s">
        <v>164</v>
      </c>
      <c r="J21" s="133" t="s">
        <v>165</v>
      </c>
      <c r="K21" s="152">
        <v>300</v>
      </c>
      <c r="L21" s="153" t="s">
        <v>42</v>
      </c>
      <c r="M21" s="152">
        <v>300</v>
      </c>
      <c r="N21" s="152">
        <v>414064</v>
      </c>
      <c r="O21" s="152">
        <v>124219200</v>
      </c>
      <c r="P21" s="152">
        <v>124219200</v>
      </c>
      <c r="Q21" s="136">
        <v>0</v>
      </c>
      <c r="R21" s="136">
        <v>0</v>
      </c>
      <c r="S21" s="153" t="s">
        <v>43</v>
      </c>
      <c r="T21" s="152">
        <v>94383150</v>
      </c>
      <c r="U21" s="152">
        <v>94383150</v>
      </c>
      <c r="V21" s="152">
        <v>29836050</v>
      </c>
      <c r="W21" s="154">
        <v>0.240188714788</v>
      </c>
      <c r="X21" s="152">
        <v>29836050</v>
      </c>
      <c r="Y21" s="133" t="s">
        <v>69</v>
      </c>
      <c r="Z21" s="133" t="s">
        <v>46</v>
      </c>
      <c r="AA21" s="133">
        <v>2306153</v>
      </c>
      <c r="AB21" s="133" t="s">
        <v>126</v>
      </c>
      <c r="AC21" s="133" t="s">
        <v>45</v>
      </c>
      <c r="AD21" s="133" t="s">
        <v>67</v>
      </c>
      <c r="AE21" s="133">
        <v>0</v>
      </c>
      <c r="AF21" s="133" t="s">
        <v>119</v>
      </c>
      <c r="AG21" s="133" t="s">
        <v>120</v>
      </c>
      <c r="AH21" s="133" t="s">
        <v>121</v>
      </c>
      <c r="AI21" s="133" t="s">
        <v>69</v>
      </c>
      <c r="AJ21" s="133" t="s">
        <v>46</v>
      </c>
      <c r="AK21" s="133" t="s">
        <v>54</v>
      </c>
      <c r="AL21" s="133" t="s">
        <v>48</v>
      </c>
      <c r="AM21" s="133" t="s">
        <v>49</v>
      </c>
      <c r="AN21" s="133" t="str">
        <f>VLOOKUP(I21,Sheet1!A:D,4,)</f>
        <v>A320400</v>
      </c>
      <c r="AP21" s="155" t="s">
        <v>186</v>
      </c>
    </row>
    <row r="22" spans="1:42" s="133" customFormat="1" ht="14.25" hidden="1" x14ac:dyDescent="0.2">
      <c r="A22" s="149">
        <v>45658</v>
      </c>
      <c r="B22" s="133" t="s">
        <v>40</v>
      </c>
      <c r="C22" s="133" t="s">
        <v>41</v>
      </c>
      <c r="D22" s="150">
        <v>25707921</v>
      </c>
      <c r="E22" s="150">
        <v>24106394</v>
      </c>
      <c r="F22" s="150" t="s">
        <v>166</v>
      </c>
      <c r="G22" s="151">
        <v>45667</v>
      </c>
      <c r="H22" s="133" t="s">
        <v>126</v>
      </c>
      <c r="I22" s="133" t="s">
        <v>167</v>
      </c>
      <c r="J22" s="133" t="s">
        <v>168</v>
      </c>
      <c r="K22" s="152">
        <v>40</v>
      </c>
      <c r="L22" s="153" t="s">
        <v>42</v>
      </c>
      <c r="M22" s="152">
        <v>40</v>
      </c>
      <c r="N22" s="152">
        <v>916576.29</v>
      </c>
      <c r="O22" s="152">
        <v>36663051.600000001</v>
      </c>
      <c r="P22" s="152">
        <v>36663051.600000001</v>
      </c>
      <c r="Q22" s="136">
        <v>0</v>
      </c>
      <c r="R22" s="136">
        <v>0</v>
      </c>
      <c r="S22" s="153" t="s">
        <v>43</v>
      </c>
      <c r="T22" s="152">
        <v>15708414</v>
      </c>
      <c r="U22" s="152">
        <v>15708414</v>
      </c>
      <c r="V22" s="152">
        <v>20954637.600000001</v>
      </c>
      <c r="W22" s="154">
        <v>0.57154646668800002</v>
      </c>
      <c r="X22" s="152">
        <v>20954637.600000001</v>
      </c>
      <c r="Y22" s="133" t="s">
        <v>69</v>
      </c>
      <c r="Z22" s="133" t="s">
        <v>46</v>
      </c>
      <c r="AA22" s="133">
        <v>2306153</v>
      </c>
      <c r="AB22" s="133" t="s">
        <v>126</v>
      </c>
      <c r="AC22" s="133" t="s">
        <v>45</v>
      </c>
      <c r="AD22" s="133" t="s">
        <v>67</v>
      </c>
      <c r="AE22" s="133">
        <v>0</v>
      </c>
      <c r="AF22" s="133" t="s">
        <v>119</v>
      </c>
      <c r="AG22" s="133" t="s">
        <v>120</v>
      </c>
      <c r="AH22" s="133" t="s">
        <v>121</v>
      </c>
      <c r="AI22" s="133" t="s">
        <v>69</v>
      </c>
      <c r="AJ22" s="133" t="s">
        <v>46</v>
      </c>
      <c r="AK22" s="133" t="s">
        <v>54</v>
      </c>
      <c r="AL22" s="133" t="s">
        <v>48</v>
      </c>
      <c r="AM22" s="133" t="s">
        <v>49</v>
      </c>
      <c r="AN22" s="133" t="str">
        <f>VLOOKUP(I22,Sheet1!A:D,4,)</f>
        <v>A320400</v>
      </c>
      <c r="AP22" s="155" t="s">
        <v>186</v>
      </c>
    </row>
    <row r="23" spans="1:42" s="133" customFormat="1" ht="14.25" hidden="1" x14ac:dyDescent="0.2">
      <c r="A23" s="149">
        <v>45658</v>
      </c>
      <c r="B23" s="133" t="s">
        <v>40</v>
      </c>
      <c r="C23" s="133" t="s">
        <v>41</v>
      </c>
      <c r="D23" s="150">
        <v>25707922</v>
      </c>
      <c r="E23" s="150">
        <v>24106414</v>
      </c>
      <c r="F23" s="150" t="s">
        <v>169</v>
      </c>
      <c r="G23" s="151">
        <v>45667</v>
      </c>
      <c r="H23" s="133" t="s">
        <v>126</v>
      </c>
      <c r="I23" s="133" t="s">
        <v>170</v>
      </c>
      <c r="J23" s="133" t="s">
        <v>171</v>
      </c>
      <c r="K23" s="152">
        <v>14</v>
      </c>
      <c r="L23" s="153" t="s">
        <v>42</v>
      </c>
      <c r="M23" s="152">
        <v>14</v>
      </c>
      <c r="N23" s="152">
        <v>2440321.15</v>
      </c>
      <c r="O23" s="152">
        <v>34164496.100000001</v>
      </c>
      <c r="P23" s="152">
        <v>34164496.100000001</v>
      </c>
      <c r="Q23" s="136">
        <v>0</v>
      </c>
      <c r="R23" s="136">
        <v>0</v>
      </c>
      <c r="S23" s="153" t="s">
        <v>43</v>
      </c>
      <c r="T23" s="152">
        <v>7027874.2800000003</v>
      </c>
      <c r="U23" s="152">
        <v>7027874.2800000003</v>
      </c>
      <c r="V23" s="152">
        <v>27136621.82</v>
      </c>
      <c r="W23" s="154">
        <v>0.79429305032200004</v>
      </c>
      <c r="X23" s="152">
        <v>27136621.82</v>
      </c>
      <c r="Y23" s="133" t="s">
        <v>69</v>
      </c>
      <c r="Z23" s="133" t="s">
        <v>46</v>
      </c>
      <c r="AA23" s="133">
        <v>2306153</v>
      </c>
      <c r="AB23" s="133" t="s">
        <v>126</v>
      </c>
      <c r="AC23" s="133" t="s">
        <v>45</v>
      </c>
      <c r="AD23" s="133" t="s">
        <v>67</v>
      </c>
      <c r="AE23" s="133">
        <v>0</v>
      </c>
      <c r="AF23" s="133" t="s">
        <v>119</v>
      </c>
      <c r="AG23" s="133" t="s">
        <v>120</v>
      </c>
      <c r="AH23" s="133" t="s">
        <v>121</v>
      </c>
      <c r="AI23" s="133" t="s">
        <v>69</v>
      </c>
      <c r="AJ23" s="133" t="s">
        <v>46</v>
      </c>
      <c r="AK23" s="133" t="s">
        <v>54</v>
      </c>
      <c r="AL23" s="133" t="s">
        <v>48</v>
      </c>
      <c r="AM23" s="133" t="s">
        <v>49</v>
      </c>
      <c r="AN23" s="133" t="str">
        <f>VLOOKUP(I23,Sheet1!A:D,4,)</f>
        <v>A320400</v>
      </c>
      <c r="AP23" s="155" t="s">
        <v>186</v>
      </c>
    </row>
    <row r="24" spans="1:42" s="133" customFormat="1" ht="14.25" hidden="1" x14ac:dyDescent="0.2">
      <c r="A24" s="149">
        <v>45658</v>
      </c>
      <c r="B24" s="133" t="s">
        <v>40</v>
      </c>
      <c r="C24" s="133" t="s">
        <v>41</v>
      </c>
      <c r="D24" s="150">
        <v>25707923</v>
      </c>
      <c r="E24" s="150">
        <v>24106422</v>
      </c>
      <c r="F24" s="150" t="s">
        <v>172</v>
      </c>
      <c r="G24" s="151">
        <v>45667</v>
      </c>
      <c r="H24" s="133" t="s">
        <v>126</v>
      </c>
      <c r="I24" s="133" t="s">
        <v>170</v>
      </c>
      <c r="J24" s="133" t="s">
        <v>171</v>
      </c>
      <c r="K24" s="152">
        <v>6</v>
      </c>
      <c r="L24" s="153" t="s">
        <v>42</v>
      </c>
      <c r="M24" s="152">
        <v>6</v>
      </c>
      <c r="N24" s="152">
        <v>2440321.15</v>
      </c>
      <c r="O24" s="152">
        <v>14641926.9</v>
      </c>
      <c r="P24" s="152">
        <v>14641926.9</v>
      </c>
      <c r="Q24" s="136">
        <v>0</v>
      </c>
      <c r="R24" s="136">
        <v>0</v>
      </c>
      <c r="S24" s="153" t="s">
        <v>43</v>
      </c>
      <c r="T24" s="152">
        <v>3011946.12</v>
      </c>
      <c r="U24" s="152">
        <v>3011946.12</v>
      </c>
      <c r="V24" s="152">
        <v>11629980.779999999</v>
      </c>
      <c r="W24" s="154">
        <v>0.79429305032200004</v>
      </c>
      <c r="X24" s="152">
        <v>11629980.779999999</v>
      </c>
      <c r="Y24" s="133" t="s">
        <v>69</v>
      </c>
      <c r="Z24" s="133" t="s">
        <v>46</v>
      </c>
      <c r="AA24" s="133">
        <v>2306153</v>
      </c>
      <c r="AB24" s="133" t="s">
        <v>126</v>
      </c>
      <c r="AC24" s="133" t="s">
        <v>45</v>
      </c>
      <c r="AD24" s="133" t="s">
        <v>67</v>
      </c>
      <c r="AE24" s="133">
        <v>0</v>
      </c>
      <c r="AF24" s="133" t="s">
        <v>119</v>
      </c>
      <c r="AG24" s="133" t="s">
        <v>120</v>
      </c>
      <c r="AH24" s="133" t="s">
        <v>121</v>
      </c>
      <c r="AI24" s="133" t="s">
        <v>69</v>
      </c>
      <c r="AJ24" s="133" t="s">
        <v>46</v>
      </c>
      <c r="AK24" s="133" t="s">
        <v>54</v>
      </c>
      <c r="AL24" s="133" t="s">
        <v>48</v>
      </c>
      <c r="AM24" s="133" t="s">
        <v>49</v>
      </c>
      <c r="AN24" s="133" t="str">
        <f>VLOOKUP(I24,Sheet1!A:D,4,)</f>
        <v>A320400</v>
      </c>
      <c r="AP24" s="155" t="s">
        <v>186</v>
      </c>
    </row>
    <row r="25" spans="1:42" s="133" customFormat="1" ht="14.25" hidden="1" x14ac:dyDescent="0.2">
      <c r="A25" s="149">
        <v>45658</v>
      </c>
      <c r="B25" s="133" t="s">
        <v>40</v>
      </c>
      <c r="C25" s="133" t="s">
        <v>41</v>
      </c>
      <c r="D25" s="150">
        <v>25707924</v>
      </c>
      <c r="E25" s="150">
        <v>24106472</v>
      </c>
      <c r="F25" s="150" t="s">
        <v>173</v>
      </c>
      <c r="G25" s="151">
        <v>45667</v>
      </c>
      <c r="H25" s="133" t="s">
        <v>150</v>
      </c>
      <c r="I25" s="133" t="s">
        <v>174</v>
      </c>
      <c r="J25" s="133" t="s">
        <v>175</v>
      </c>
      <c r="K25" s="152">
        <v>40</v>
      </c>
      <c r="L25" s="153" t="s">
        <v>42</v>
      </c>
      <c r="M25" s="152">
        <v>40</v>
      </c>
      <c r="N25" s="152">
        <v>1290582.24</v>
      </c>
      <c r="O25" s="152">
        <v>51623289.600000001</v>
      </c>
      <c r="P25" s="152">
        <v>51623289.600000001</v>
      </c>
      <c r="Q25" s="136">
        <v>0</v>
      </c>
      <c r="R25" s="136">
        <v>0</v>
      </c>
      <c r="S25" s="153" t="s">
        <v>43</v>
      </c>
      <c r="T25" s="152">
        <v>28066874</v>
      </c>
      <c r="U25" s="152">
        <v>28066874</v>
      </c>
      <c r="V25" s="152">
        <v>23556415.600000001</v>
      </c>
      <c r="W25" s="154">
        <v>0.45631372550100002</v>
      </c>
      <c r="X25" s="152">
        <v>23556415.600000001</v>
      </c>
      <c r="Y25" s="133" t="s">
        <v>69</v>
      </c>
      <c r="Z25" s="133" t="s">
        <v>46</v>
      </c>
      <c r="AA25" s="133">
        <v>2306392</v>
      </c>
      <c r="AB25" s="133" t="s">
        <v>153</v>
      </c>
      <c r="AC25" s="133" t="s">
        <v>154</v>
      </c>
      <c r="AD25" s="133" t="s">
        <v>155</v>
      </c>
      <c r="AE25" s="133">
        <v>0</v>
      </c>
      <c r="AF25" s="133" t="s">
        <v>72</v>
      </c>
      <c r="AG25" s="133" t="s">
        <v>69</v>
      </c>
      <c r="AH25" s="133" t="s">
        <v>46</v>
      </c>
      <c r="AI25" s="133" t="s">
        <v>69</v>
      </c>
      <c r="AJ25" s="133" t="s">
        <v>46</v>
      </c>
      <c r="AK25" s="133" t="s">
        <v>54</v>
      </c>
      <c r="AL25" s="133" t="s">
        <v>48</v>
      </c>
      <c r="AM25" s="133" t="s">
        <v>49</v>
      </c>
      <c r="AN25" s="133" t="str">
        <f>VLOOKUP(I25,Sheet1!A:D,4,)</f>
        <v>A320400</v>
      </c>
      <c r="AP25" s="155" t="s">
        <v>186</v>
      </c>
    </row>
    <row r="26" spans="1:42" s="133" customFormat="1" ht="14.25" hidden="1" x14ac:dyDescent="0.2">
      <c r="A26" s="149">
        <v>45658</v>
      </c>
      <c r="B26" s="133" t="s">
        <v>40</v>
      </c>
      <c r="C26" s="133" t="s">
        <v>41</v>
      </c>
      <c r="D26" s="150">
        <v>25707925</v>
      </c>
      <c r="E26" s="150">
        <v>24106482</v>
      </c>
      <c r="F26" s="150" t="s">
        <v>176</v>
      </c>
      <c r="G26" s="151">
        <v>45667</v>
      </c>
      <c r="H26" s="133" t="s">
        <v>115</v>
      </c>
      <c r="I26" s="133" t="s">
        <v>177</v>
      </c>
      <c r="J26" s="133" t="s">
        <v>178</v>
      </c>
      <c r="K26" s="152">
        <v>40</v>
      </c>
      <c r="L26" s="153" t="s">
        <v>42</v>
      </c>
      <c r="M26" s="152">
        <v>40</v>
      </c>
      <c r="N26" s="152">
        <v>739372.65</v>
      </c>
      <c r="O26" s="152">
        <v>29574906</v>
      </c>
      <c r="P26" s="152">
        <v>29574906</v>
      </c>
      <c r="Q26" s="136">
        <v>0</v>
      </c>
      <c r="R26" s="136">
        <v>0</v>
      </c>
      <c r="S26" s="153" t="s">
        <v>43</v>
      </c>
      <c r="T26" s="152">
        <v>21789982.66</v>
      </c>
      <c r="U26" s="152">
        <v>21789982.66</v>
      </c>
      <c r="V26" s="152">
        <v>7784923.3399999999</v>
      </c>
      <c r="W26" s="154">
        <v>0.26322732318999997</v>
      </c>
      <c r="X26" s="152">
        <v>7784923.3399999999</v>
      </c>
      <c r="Y26" s="133" t="s">
        <v>66</v>
      </c>
      <c r="Z26" s="133" t="s">
        <v>44</v>
      </c>
      <c r="AA26" s="133">
        <v>15159</v>
      </c>
      <c r="AB26" s="133" t="s">
        <v>118</v>
      </c>
      <c r="AC26" s="133" t="s">
        <v>45</v>
      </c>
      <c r="AD26" s="133" t="s">
        <v>67</v>
      </c>
      <c r="AE26" s="133">
        <v>0</v>
      </c>
      <c r="AF26" s="133" t="s">
        <v>72</v>
      </c>
      <c r="AG26" s="133" t="s">
        <v>69</v>
      </c>
      <c r="AH26" s="133" t="s">
        <v>46</v>
      </c>
      <c r="AI26" s="133" t="s">
        <v>69</v>
      </c>
      <c r="AJ26" s="133" t="s">
        <v>46</v>
      </c>
      <c r="AK26" s="133" t="s">
        <v>54</v>
      </c>
      <c r="AL26" s="133" t="s">
        <v>48</v>
      </c>
      <c r="AM26" s="133" t="s">
        <v>49</v>
      </c>
      <c r="AN26" s="133" t="str">
        <f>VLOOKUP(I26,Sheet1!A:D,4,)</f>
        <v>A320400</v>
      </c>
      <c r="AP26" s="155" t="s">
        <v>186</v>
      </c>
    </row>
    <row r="27" spans="1:42" s="133" customFormat="1" ht="14.25" hidden="1" x14ac:dyDescent="0.2">
      <c r="A27" s="149">
        <v>45658</v>
      </c>
      <c r="B27" s="133" t="s">
        <v>40</v>
      </c>
      <c r="C27" s="133" t="s">
        <v>41</v>
      </c>
      <c r="D27" s="150">
        <v>25707926</v>
      </c>
      <c r="E27" s="150">
        <v>24106486</v>
      </c>
      <c r="F27" s="150">
        <v>241200221</v>
      </c>
      <c r="G27" s="151">
        <v>45667</v>
      </c>
      <c r="H27" s="133" t="s">
        <v>115</v>
      </c>
      <c r="I27" s="133" t="s">
        <v>179</v>
      </c>
      <c r="J27" s="133" t="s">
        <v>180</v>
      </c>
      <c r="K27" s="152">
        <v>10</v>
      </c>
      <c r="L27" s="153" t="s">
        <v>42</v>
      </c>
      <c r="M27" s="152">
        <v>10</v>
      </c>
      <c r="N27" s="152">
        <v>6944461.5</v>
      </c>
      <c r="O27" s="152">
        <v>69444615</v>
      </c>
      <c r="P27" s="152">
        <v>69444615</v>
      </c>
      <c r="Q27" s="136">
        <v>0</v>
      </c>
      <c r="R27" s="136">
        <v>0</v>
      </c>
      <c r="S27" s="153" t="s">
        <v>43</v>
      </c>
      <c r="T27" s="152">
        <v>71648052.599999994</v>
      </c>
      <c r="U27" s="152">
        <v>71648052.599999994</v>
      </c>
      <c r="V27" s="152">
        <v>-2203437.5999999898</v>
      </c>
      <c r="W27" s="154">
        <v>-3.1729423511999998E-2</v>
      </c>
      <c r="X27" s="152">
        <v>-2203437.5999999898</v>
      </c>
      <c r="Y27" s="133" t="s">
        <v>66</v>
      </c>
      <c r="Z27" s="133" t="s">
        <v>44</v>
      </c>
      <c r="AA27" s="133">
        <v>15159</v>
      </c>
      <c r="AB27" s="133" t="s">
        <v>118</v>
      </c>
      <c r="AC27" s="133" t="s">
        <v>45</v>
      </c>
      <c r="AD27" s="133" t="s">
        <v>67</v>
      </c>
      <c r="AE27" s="133">
        <v>0</v>
      </c>
      <c r="AF27" s="133" t="s">
        <v>68</v>
      </c>
      <c r="AG27" s="133" t="s">
        <v>181</v>
      </c>
      <c r="AH27" s="133" t="s">
        <v>182</v>
      </c>
      <c r="AI27" s="133" t="s">
        <v>69</v>
      </c>
      <c r="AJ27" s="133" t="s">
        <v>46</v>
      </c>
      <c r="AK27" s="133" t="s">
        <v>54</v>
      </c>
      <c r="AL27" s="133" t="s">
        <v>48</v>
      </c>
      <c r="AM27" s="133" t="s">
        <v>49</v>
      </c>
      <c r="AN27" s="133" t="str">
        <f>VLOOKUP(I27,Sheet1!A:D,4,)</f>
        <v>A320400</v>
      </c>
      <c r="AP27" s="155" t="s">
        <v>186</v>
      </c>
    </row>
    <row r="28" spans="1:42" s="133" customFormat="1" ht="14.25" hidden="1" x14ac:dyDescent="0.2">
      <c r="A28" s="149">
        <v>45658</v>
      </c>
      <c r="B28" s="133" t="s">
        <v>40</v>
      </c>
      <c r="C28" s="133" t="s">
        <v>41</v>
      </c>
      <c r="D28" s="150">
        <v>25707927</v>
      </c>
      <c r="E28" s="150">
        <v>24106528</v>
      </c>
      <c r="F28" s="150" t="s">
        <v>183</v>
      </c>
      <c r="G28" s="151">
        <v>45667</v>
      </c>
      <c r="H28" s="133" t="s">
        <v>158</v>
      </c>
      <c r="I28" s="133" t="s">
        <v>184</v>
      </c>
      <c r="J28" s="133" t="s">
        <v>185</v>
      </c>
      <c r="K28" s="152">
        <v>75</v>
      </c>
      <c r="L28" s="153" t="s">
        <v>42</v>
      </c>
      <c r="M28" s="152">
        <v>75</v>
      </c>
      <c r="N28" s="152">
        <v>568857.30000000005</v>
      </c>
      <c r="O28" s="152">
        <v>42664297.5</v>
      </c>
      <c r="P28" s="152">
        <v>42664297.5</v>
      </c>
      <c r="Q28" s="136">
        <v>0</v>
      </c>
      <c r="R28" s="136">
        <v>0</v>
      </c>
      <c r="S28" s="153" t="s">
        <v>43</v>
      </c>
      <c r="T28" s="152">
        <v>26080628.43</v>
      </c>
      <c r="U28" s="152">
        <v>26080628.43</v>
      </c>
      <c r="V28" s="152">
        <v>16583669.07</v>
      </c>
      <c r="W28" s="154">
        <v>0.38870132738000002</v>
      </c>
      <c r="X28" s="152">
        <v>16583669.07</v>
      </c>
      <c r="Y28" s="133" t="s">
        <v>69</v>
      </c>
      <c r="Z28" s="133" t="s">
        <v>46</v>
      </c>
      <c r="AA28" s="133">
        <v>2306495</v>
      </c>
      <c r="AB28" s="133" t="s">
        <v>161</v>
      </c>
      <c r="AC28" s="133" t="s">
        <v>56</v>
      </c>
      <c r="AD28" s="133" t="s">
        <v>77</v>
      </c>
      <c r="AE28" s="133">
        <v>0</v>
      </c>
      <c r="AF28" s="133" t="s">
        <v>72</v>
      </c>
      <c r="AG28" s="133" t="s">
        <v>69</v>
      </c>
      <c r="AH28" s="133" t="s">
        <v>46</v>
      </c>
      <c r="AI28" s="133" t="s">
        <v>69</v>
      </c>
      <c r="AJ28" s="133" t="s">
        <v>46</v>
      </c>
      <c r="AK28" s="133" t="s">
        <v>54</v>
      </c>
      <c r="AL28" s="133" t="s">
        <v>48</v>
      </c>
      <c r="AM28" s="133" t="s">
        <v>49</v>
      </c>
      <c r="AN28" s="133" t="str">
        <f>VLOOKUP(I28,Sheet1!A:D,4,)</f>
        <v>A320400</v>
      </c>
      <c r="AP28" s="155" t="s">
        <v>186</v>
      </c>
    </row>
    <row r="29" spans="1:42" s="133" customFormat="1" ht="14.25" hidden="1" x14ac:dyDescent="0.2">
      <c r="A29" s="149">
        <v>45658</v>
      </c>
      <c r="B29" s="133" t="s">
        <v>40</v>
      </c>
      <c r="C29" s="133" t="s">
        <v>41</v>
      </c>
      <c r="D29" s="150">
        <v>25707941</v>
      </c>
      <c r="E29" s="150">
        <v>24106353</v>
      </c>
      <c r="F29" s="150" t="s">
        <v>163</v>
      </c>
      <c r="G29" s="151">
        <v>45659</v>
      </c>
      <c r="H29" s="133" t="s">
        <v>237</v>
      </c>
      <c r="I29" s="133" t="s">
        <v>122</v>
      </c>
      <c r="J29" s="133" t="s">
        <v>238</v>
      </c>
      <c r="K29" s="152">
        <v>180</v>
      </c>
      <c r="L29" s="153" t="s">
        <v>42</v>
      </c>
      <c r="M29" s="152">
        <v>180</v>
      </c>
      <c r="N29" s="152">
        <v>860427.52</v>
      </c>
      <c r="O29" s="152">
        <v>154876953.59999999</v>
      </c>
      <c r="P29" s="152">
        <v>154876953.59999999</v>
      </c>
      <c r="Q29" s="136">
        <v>0</v>
      </c>
      <c r="R29" s="136">
        <v>0</v>
      </c>
      <c r="S29" s="153" t="s">
        <v>43</v>
      </c>
      <c r="T29" s="152">
        <v>43091068.969999999</v>
      </c>
      <c r="U29" s="152">
        <v>43091068.969999999</v>
      </c>
      <c r="V29" s="152">
        <v>111785884.63</v>
      </c>
      <c r="W29" s="154">
        <v>0.72177223293399995</v>
      </c>
      <c r="X29" s="152">
        <v>111785884.63</v>
      </c>
      <c r="Y29" s="133" t="s">
        <v>101</v>
      </c>
      <c r="Z29" s="133" t="s">
        <v>46</v>
      </c>
      <c r="AA29" s="133">
        <v>2306153</v>
      </c>
      <c r="AB29" s="133" t="s">
        <v>237</v>
      </c>
      <c r="AC29" s="133" t="s">
        <v>45</v>
      </c>
      <c r="AD29" s="133" t="s">
        <v>199</v>
      </c>
      <c r="AE29" s="133">
        <v>0</v>
      </c>
      <c r="AF29" s="133" t="s">
        <v>212</v>
      </c>
      <c r="AG29" s="133" t="s">
        <v>213</v>
      </c>
      <c r="AH29" s="133" t="s">
        <v>57</v>
      </c>
      <c r="AI29" s="133" t="s">
        <v>101</v>
      </c>
      <c r="AJ29" s="133" t="s">
        <v>46</v>
      </c>
      <c r="AK29" s="133" t="s">
        <v>54</v>
      </c>
      <c r="AL29" s="133" t="s">
        <v>48</v>
      </c>
      <c r="AM29" s="133" t="s">
        <v>49</v>
      </c>
      <c r="AN29" s="133" t="str">
        <f>VLOOKUP(I29,Sheet1!A:D,4,)</f>
        <v>A320400</v>
      </c>
      <c r="AP29" s="133" t="s">
        <v>255</v>
      </c>
    </row>
    <row r="30" spans="1:42" s="133" customFormat="1" ht="14.25" hidden="1" x14ac:dyDescent="0.2">
      <c r="A30" s="149">
        <v>45658</v>
      </c>
      <c r="B30" s="133" t="s">
        <v>40</v>
      </c>
      <c r="C30" s="133" t="s">
        <v>41</v>
      </c>
      <c r="D30" s="150">
        <v>25707942</v>
      </c>
      <c r="E30" s="150">
        <v>24106393</v>
      </c>
      <c r="F30" s="150" t="s">
        <v>239</v>
      </c>
      <c r="G30" s="151">
        <v>45659</v>
      </c>
      <c r="H30" s="133" t="s">
        <v>237</v>
      </c>
      <c r="I30" s="133" t="s">
        <v>240</v>
      </c>
      <c r="J30" s="133" t="s">
        <v>241</v>
      </c>
      <c r="K30" s="152">
        <v>5</v>
      </c>
      <c r="L30" s="153" t="s">
        <v>42</v>
      </c>
      <c r="M30" s="152">
        <v>5</v>
      </c>
      <c r="N30" s="152">
        <v>4207423.84</v>
      </c>
      <c r="O30" s="152">
        <v>21037119.199999999</v>
      </c>
      <c r="P30" s="152">
        <v>21037119.199999999</v>
      </c>
      <c r="Q30" s="136">
        <v>0</v>
      </c>
      <c r="R30" s="136">
        <v>0</v>
      </c>
      <c r="S30" s="153" t="s">
        <v>43</v>
      </c>
      <c r="T30" s="152">
        <v>15728978.109999999</v>
      </c>
      <c r="U30" s="152">
        <v>15728978.109999999</v>
      </c>
      <c r="V30" s="152">
        <v>5308141.09</v>
      </c>
      <c r="W30" s="154">
        <v>0.25232262267099997</v>
      </c>
      <c r="X30" s="152">
        <v>5308141.09</v>
      </c>
      <c r="Y30" s="133" t="s">
        <v>101</v>
      </c>
      <c r="Z30" s="133" t="s">
        <v>46</v>
      </c>
      <c r="AA30" s="133">
        <v>2306153</v>
      </c>
      <c r="AB30" s="133" t="s">
        <v>237</v>
      </c>
      <c r="AC30" s="133" t="s">
        <v>45</v>
      </c>
      <c r="AD30" s="133" t="s">
        <v>199</v>
      </c>
      <c r="AE30" s="133">
        <v>0</v>
      </c>
      <c r="AF30" s="133" t="s">
        <v>191</v>
      </c>
      <c r="AG30" s="133" t="s">
        <v>242</v>
      </c>
      <c r="AH30" s="133" t="s">
        <v>53</v>
      </c>
      <c r="AI30" s="133" t="s">
        <v>101</v>
      </c>
      <c r="AJ30" s="133" t="s">
        <v>46</v>
      </c>
      <c r="AK30" s="133" t="s">
        <v>54</v>
      </c>
      <c r="AL30" s="133" t="s">
        <v>48</v>
      </c>
      <c r="AM30" s="133" t="s">
        <v>49</v>
      </c>
      <c r="AN30" s="133" t="str">
        <f>VLOOKUP(I30,Sheet1!A:D,4,)</f>
        <v>A320400</v>
      </c>
      <c r="AP30" s="133" t="s">
        <v>255</v>
      </c>
    </row>
    <row r="31" spans="1:42" s="133" customFormat="1" ht="14.25" hidden="1" x14ac:dyDescent="0.2">
      <c r="A31" s="149">
        <v>45658</v>
      </c>
      <c r="B31" s="133" t="s">
        <v>40</v>
      </c>
      <c r="C31" s="133" t="s">
        <v>41</v>
      </c>
      <c r="D31" s="150">
        <v>25707943</v>
      </c>
      <c r="E31" s="150">
        <v>24106387</v>
      </c>
      <c r="F31" s="150" t="s">
        <v>136</v>
      </c>
      <c r="G31" s="151">
        <v>45667</v>
      </c>
      <c r="H31" s="133" t="s">
        <v>237</v>
      </c>
      <c r="I31" s="133" t="s">
        <v>177</v>
      </c>
      <c r="J31" s="133" t="s">
        <v>243</v>
      </c>
      <c r="K31" s="152">
        <v>120</v>
      </c>
      <c r="L31" s="153" t="s">
        <v>42</v>
      </c>
      <c r="M31" s="156">
        <v>120</v>
      </c>
      <c r="N31" s="156">
        <v>790453.18</v>
      </c>
      <c r="O31" s="156">
        <v>94854381.599999994</v>
      </c>
      <c r="P31" s="152">
        <v>94854381.599999994</v>
      </c>
      <c r="Q31" s="136">
        <v>0</v>
      </c>
      <c r="R31" s="136">
        <v>0</v>
      </c>
      <c r="S31" s="153" t="s">
        <v>43</v>
      </c>
      <c r="T31" s="152">
        <v>65369947.979999997</v>
      </c>
      <c r="U31" s="152">
        <v>65369947.979999997</v>
      </c>
      <c r="V31" s="152">
        <v>29484433.620000001</v>
      </c>
      <c r="W31" s="154">
        <v>0.31083892090800003</v>
      </c>
      <c r="X31" s="152">
        <v>29484433.620000001</v>
      </c>
      <c r="Y31" s="133" t="s">
        <v>101</v>
      </c>
      <c r="Z31" s="133" t="s">
        <v>46</v>
      </c>
      <c r="AA31" s="133">
        <v>2306153</v>
      </c>
      <c r="AB31" s="133" t="s">
        <v>237</v>
      </c>
      <c r="AC31" s="133" t="s">
        <v>45</v>
      </c>
      <c r="AD31" s="133" t="s">
        <v>199</v>
      </c>
      <c r="AE31" s="133">
        <v>0</v>
      </c>
      <c r="AF31" s="133" t="s">
        <v>207</v>
      </c>
      <c r="AG31" s="133" t="s">
        <v>101</v>
      </c>
      <c r="AH31" s="133" t="s">
        <v>46</v>
      </c>
      <c r="AI31" s="133" t="s">
        <v>101</v>
      </c>
      <c r="AJ31" s="133" t="s">
        <v>46</v>
      </c>
      <c r="AK31" s="133" t="s">
        <v>54</v>
      </c>
      <c r="AL31" s="133" t="s">
        <v>48</v>
      </c>
      <c r="AM31" s="133" t="s">
        <v>49</v>
      </c>
      <c r="AN31" s="133" t="str">
        <f>VLOOKUP(I31,Sheet1!A:D,4,)</f>
        <v>A320400</v>
      </c>
      <c r="AP31" s="133" t="s">
        <v>255</v>
      </c>
    </row>
    <row r="32" spans="1:42" s="133" customFormat="1" ht="14.25" hidden="1" x14ac:dyDescent="0.2">
      <c r="A32" s="149">
        <v>45658</v>
      </c>
      <c r="B32" s="133" t="s">
        <v>40</v>
      </c>
      <c r="C32" s="133" t="s">
        <v>41</v>
      </c>
      <c r="D32" s="138">
        <v>25707944</v>
      </c>
      <c r="E32" s="150">
        <v>24106447</v>
      </c>
      <c r="F32" s="150" t="s">
        <v>244</v>
      </c>
      <c r="G32" s="151">
        <v>45667</v>
      </c>
      <c r="H32" s="133" t="s">
        <v>245</v>
      </c>
      <c r="I32" s="133" t="s">
        <v>240</v>
      </c>
      <c r="J32" s="133" t="s">
        <v>241</v>
      </c>
      <c r="K32" s="152">
        <v>5</v>
      </c>
      <c r="L32" s="153" t="s">
        <v>42</v>
      </c>
      <c r="M32" s="152">
        <v>5</v>
      </c>
      <c r="N32" s="152">
        <v>4185316.17</v>
      </c>
      <c r="O32" s="152">
        <v>20926580.850000001</v>
      </c>
      <c r="P32" s="152">
        <v>20926580.850000001</v>
      </c>
      <c r="Q32" s="136">
        <v>0</v>
      </c>
      <c r="R32" s="136">
        <v>0</v>
      </c>
      <c r="S32" s="153" t="s">
        <v>43</v>
      </c>
      <c r="T32" s="152">
        <v>15728978.109999999</v>
      </c>
      <c r="U32" s="152">
        <v>15728978.109999999</v>
      </c>
      <c r="V32" s="152">
        <v>5197602.74</v>
      </c>
      <c r="W32" s="154">
        <v>0.24837324249199999</v>
      </c>
      <c r="X32" s="152">
        <v>5197602.74</v>
      </c>
      <c r="Y32" s="133" t="s">
        <v>235</v>
      </c>
      <c r="Z32" s="133" t="s">
        <v>44</v>
      </c>
      <c r="AA32" s="133">
        <v>15159</v>
      </c>
      <c r="AB32" s="133" t="s">
        <v>246</v>
      </c>
      <c r="AC32" s="133" t="s">
        <v>45</v>
      </c>
      <c r="AD32" s="133" t="s">
        <v>199</v>
      </c>
      <c r="AE32" s="133">
        <v>0</v>
      </c>
      <c r="AF32" s="133" t="s">
        <v>191</v>
      </c>
      <c r="AG32" s="133" t="s">
        <v>242</v>
      </c>
      <c r="AH32" s="133" t="s">
        <v>53</v>
      </c>
      <c r="AI32" s="133" t="s">
        <v>101</v>
      </c>
      <c r="AJ32" s="133" t="s">
        <v>46</v>
      </c>
      <c r="AK32" s="133" t="s">
        <v>54</v>
      </c>
      <c r="AL32" s="133" t="s">
        <v>48</v>
      </c>
      <c r="AM32" s="133" t="s">
        <v>49</v>
      </c>
      <c r="AN32" s="133" t="str">
        <f>VLOOKUP(I32,Sheet1!A:D,4,)</f>
        <v>A320400</v>
      </c>
      <c r="AP32" s="133" t="s">
        <v>255</v>
      </c>
    </row>
    <row r="33" spans="1:42" s="133" customFormat="1" ht="14.25" hidden="1" x14ac:dyDescent="0.2">
      <c r="A33" s="149">
        <v>45658</v>
      </c>
      <c r="B33" s="133" t="s">
        <v>40</v>
      </c>
      <c r="C33" s="133" t="s">
        <v>41</v>
      </c>
      <c r="D33" s="138">
        <v>25707945</v>
      </c>
      <c r="E33" s="138">
        <v>24106474</v>
      </c>
      <c r="F33" s="150" t="s">
        <v>247</v>
      </c>
      <c r="G33" s="151">
        <v>45667</v>
      </c>
      <c r="H33" s="133" t="s">
        <v>245</v>
      </c>
      <c r="I33" s="133" t="s">
        <v>248</v>
      </c>
      <c r="J33" s="133" t="s">
        <v>249</v>
      </c>
      <c r="K33" s="152">
        <v>200</v>
      </c>
      <c r="L33" s="153" t="s">
        <v>42</v>
      </c>
      <c r="M33" s="152">
        <v>200</v>
      </c>
      <c r="N33" s="152">
        <v>1459753.65</v>
      </c>
      <c r="O33" s="152">
        <v>291950730</v>
      </c>
      <c r="P33" s="152">
        <v>291950730</v>
      </c>
      <c r="Q33" s="136">
        <v>0</v>
      </c>
      <c r="R33" s="136">
        <v>0</v>
      </c>
      <c r="S33" s="153" t="s">
        <v>43</v>
      </c>
      <c r="T33" s="152">
        <v>223293582.40000001</v>
      </c>
      <c r="U33" s="152">
        <v>223293582.40000001</v>
      </c>
      <c r="V33" s="152">
        <v>68657147.599999994</v>
      </c>
      <c r="W33" s="154">
        <v>0.235166898195</v>
      </c>
      <c r="X33" s="152">
        <v>68657147.599999994</v>
      </c>
      <c r="Y33" s="133" t="s">
        <v>235</v>
      </c>
      <c r="Z33" s="133" t="s">
        <v>44</v>
      </c>
      <c r="AA33" s="133">
        <v>15159</v>
      </c>
      <c r="AB33" s="133" t="s">
        <v>246</v>
      </c>
      <c r="AC33" s="133" t="s">
        <v>45</v>
      </c>
      <c r="AD33" s="133" t="s">
        <v>199</v>
      </c>
      <c r="AE33" s="133">
        <v>0</v>
      </c>
      <c r="AF33" s="133" t="s">
        <v>207</v>
      </c>
      <c r="AG33" s="133" t="s">
        <v>101</v>
      </c>
      <c r="AH33" s="133" t="s">
        <v>46</v>
      </c>
      <c r="AI33" s="133" t="s">
        <v>101</v>
      </c>
      <c r="AJ33" s="133" t="s">
        <v>46</v>
      </c>
      <c r="AK33" s="133" t="s">
        <v>54</v>
      </c>
      <c r="AL33" s="133" t="s">
        <v>48</v>
      </c>
      <c r="AM33" s="133" t="s">
        <v>49</v>
      </c>
      <c r="AN33" s="133" t="str">
        <f>VLOOKUP(I33,Sheet1!A:D,4,)</f>
        <v>A320400</v>
      </c>
      <c r="AP33" s="133" t="s">
        <v>255</v>
      </c>
    </row>
    <row r="34" spans="1:42" s="133" customFormat="1" ht="14.25" hidden="1" x14ac:dyDescent="0.2">
      <c r="A34" s="149">
        <v>45658</v>
      </c>
      <c r="B34" s="133" t="s">
        <v>40</v>
      </c>
      <c r="C34" s="133" t="s">
        <v>41</v>
      </c>
      <c r="D34" s="138">
        <v>25707946</v>
      </c>
      <c r="E34" s="138">
        <v>25106558</v>
      </c>
      <c r="F34" s="150" t="s">
        <v>250</v>
      </c>
      <c r="G34" s="151">
        <v>45671</v>
      </c>
      <c r="H34" s="133" t="s">
        <v>158</v>
      </c>
      <c r="I34" s="133" t="s">
        <v>146</v>
      </c>
      <c r="J34" s="133" t="s">
        <v>194</v>
      </c>
      <c r="K34" s="152">
        <v>1</v>
      </c>
      <c r="L34" s="153" t="s">
        <v>42</v>
      </c>
      <c r="M34" s="152">
        <v>1</v>
      </c>
      <c r="N34" s="152">
        <v>10445174</v>
      </c>
      <c r="O34" s="152">
        <v>10445174</v>
      </c>
      <c r="P34" s="152">
        <v>10445174</v>
      </c>
      <c r="Q34" s="136">
        <v>0</v>
      </c>
      <c r="R34" s="136">
        <v>0</v>
      </c>
      <c r="S34" s="153" t="s">
        <v>43</v>
      </c>
      <c r="T34" s="152">
        <v>6479281.5</v>
      </c>
      <c r="U34" s="152">
        <v>6479281.5</v>
      </c>
      <c r="V34" s="152">
        <v>3965892.5</v>
      </c>
      <c r="W34" s="154">
        <v>0.37968659018899997</v>
      </c>
      <c r="X34" s="152">
        <v>3965892.5</v>
      </c>
      <c r="Y34" s="133" t="s">
        <v>101</v>
      </c>
      <c r="Z34" s="133" t="s">
        <v>46</v>
      </c>
      <c r="AA34" s="133">
        <v>2306495</v>
      </c>
      <c r="AB34" s="133" t="s">
        <v>161</v>
      </c>
      <c r="AC34" s="133" t="s">
        <v>56</v>
      </c>
      <c r="AD34" s="133" t="s">
        <v>103</v>
      </c>
      <c r="AE34" s="133">
        <v>0</v>
      </c>
      <c r="AF34" s="133" t="s">
        <v>191</v>
      </c>
      <c r="AG34" s="133" t="s">
        <v>101</v>
      </c>
      <c r="AH34" s="133" t="s">
        <v>46</v>
      </c>
      <c r="AI34" s="133" t="s">
        <v>101</v>
      </c>
      <c r="AJ34" s="133" t="s">
        <v>46</v>
      </c>
      <c r="AK34" s="133" t="s">
        <v>54</v>
      </c>
      <c r="AL34" s="133" t="s">
        <v>48</v>
      </c>
      <c r="AM34" s="133" t="s">
        <v>49</v>
      </c>
      <c r="AN34" s="133" t="str">
        <f>VLOOKUP(I34,Sheet1!A:D,4,)</f>
        <v>A320400</v>
      </c>
      <c r="AP34" s="133" t="s">
        <v>255</v>
      </c>
    </row>
    <row r="35" spans="1:42" s="133" customFormat="1" ht="14.25" hidden="1" x14ac:dyDescent="0.2">
      <c r="A35" s="149">
        <v>45658</v>
      </c>
      <c r="B35" s="133" t="s">
        <v>40</v>
      </c>
      <c r="C35" s="133" t="s">
        <v>41</v>
      </c>
      <c r="D35" s="138">
        <v>25707947</v>
      </c>
      <c r="E35" s="138">
        <v>25106559</v>
      </c>
      <c r="F35" s="150" t="s">
        <v>251</v>
      </c>
      <c r="G35" s="151">
        <v>45671</v>
      </c>
      <c r="H35" s="133" t="s">
        <v>245</v>
      </c>
      <c r="I35" s="133" t="s">
        <v>146</v>
      </c>
      <c r="J35" s="133" t="s">
        <v>194</v>
      </c>
      <c r="K35" s="152">
        <v>1</v>
      </c>
      <c r="L35" s="153" t="s">
        <v>42</v>
      </c>
      <c r="M35" s="152">
        <v>1</v>
      </c>
      <c r="N35" s="152">
        <v>10751121.220000001</v>
      </c>
      <c r="O35" s="152">
        <v>10751121.220000001</v>
      </c>
      <c r="P35" s="152">
        <v>10751121.220000001</v>
      </c>
      <c r="Q35" s="136">
        <v>0</v>
      </c>
      <c r="R35" s="136">
        <v>0</v>
      </c>
      <c r="S35" s="153" t="s">
        <v>43</v>
      </c>
      <c r="T35" s="152">
        <v>6479281.5</v>
      </c>
      <c r="U35" s="152">
        <v>6479281.5</v>
      </c>
      <c r="V35" s="152">
        <v>4271839.72</v>
      </c>
      <c r="W35" s="154">
        <v>0.39733899679700002</v>
      </c>
      <c r="X35" s="152">
        <v>4271839.72</v>
      </c>
      <c r="Y35" s="133" t="s">
        <v>235</v>
      </c>
      <c r="Z35" s="133" t="s">
        <v>44</v>
      </c>
      <c r="AA35" s="133">
        <v>15159</v>
      </c>
      <c r="AB35" s="133" t="s">
        <v>246</v>
      </c>
      <c r="AC35" s="133" t="s">
        <v>45</v>
      </c>
      <c r="AD35" s="133" t="s">
        <v>199</v>
      </c>
      <c r="AE35" s="133">
        <v>0</v>
      </c>
      <c r="AF35" s="133" t="s">
        <v>191</v>
      </c>
      <c r="AG35" s="133" t="s">
        <v>101</v>
      </c>
      <c r="AH35" s="133" t="s">
        <v>46</v>
      </c>
      <c r="AI35" s="133" t="s">
        <v>101</v>
      </c>
      <c r="AJ35" s="133" t="s">
        <v>46</v>
      </c>
      <c r="AK35" s="133" t="s">
        <v>54</v>
      </c>
      <c r="AL35" s="133" t="s">
        <v>48</v>
      </c>
      <c r="AM35" s="133" t="s">
        <v>49</v>
      </c>
      <c r="AN35" s="133" t="str">
        <f>VLOOKUP(I35,Sheet1!A:D,4,)</f>
        <v>A320400</v>
      </c>
      <c r="AP35" s="133" t="s">
        <v>255</v>
      </c>
    </row>
    <row r="36" spans="1:42" s="133" customFormat="1" ht="14.25" hidden="1" x14ac:dyDescent="0.2">
      <c r="A36" s="149">
        <v>45658</v>
      </c>
      <c r="B36" s="133" t="s">
        <v>40</v>
      </c>
      <c r="C36" s="133" t="s">
        <v>41</v>
      </c>
      <c r="D36" s="138">
        <v>25707948</v>
      </c>
      <c r="E36" s="138">
        <v>25106563</v>
      </c>
      <c r="F36" s="150" t="s">
        <v>252</v>
      </c>
      <c r="G36" s="151">
        <v>45674</v>
      </c>
      <c r="H36" s="133" t="s">
        <v>150</v>
      </c>
      <c r="I36" s="133" t="s">
        <v>253</v>
      </c>
      <c r="J36" s="133" t="s">
        <v>254</v>
      </c>
      <c r="K36" s="152">
        <v>2</v>
      </c>
      <c r="L36" s="153" t="s">
        <v>42</v>
      </c>
      <c r="M36" s="152">
        <v>2</v>
      </c>
      <c r="N36" s="152">
        <v>2706505.31</v>
      </c>
      <c r="O36" s="152">
        <v>5413010.6200000001</v>
      </c>
      <c r="P36" s="152">
        <v>5413010.6200000001</v>
      </c>
      <c r="Q36" s="136">
        <v>0</v>
      </c>
      <c r="R36" s="136">
        <v>0</v>
      </c>
      <c r="S36" s="153" t="s">
        <v>43</v>
      </c>
      <c r="T36" s="152">
        <v>0</v>
      </c>
      <c r="U36" s="152">
        <v>0</v>
      </c>
      <c r="V36" s="152">
        <v>5413010.6200000001</v>
      </c>
      <c r="W36" s="154">
        <v>1</v>
      </c>
      <c r="X36" s="152">
        <v>5413010.6200000001</v>
      </c>
      <c r="Y36" s="133" t="s">
        <v>101</v>
      </c>
      <c r="Z36" s="133" t="s">
        <v>46</v>
      </c>
      <c r="AA36" s="133">
        <v>2306392</v>
      </c>
      <c r="AB36" s="133" t="s">
        <v>153</v>
      </c>
      <c r="AC36" s="133" t="s">
        <v>154</v>
      </c>
      <c r="AD36" s="133" t="s">
        <v>155</v>
      </c>
      <c r="AE36" s="133">
        <v>0</v>
      </c>
      <c r="AF36" s="133" t="s">
        <v>207</v>
      </c>
      <c r="AG36" s="133" t="s">
        <v>101</v>
      </c>
      <c r="AH36" s="133" t="s">
        <v>46</v>
      </c>
      <c r="AI36" s="133" t="s">
        <v>101</v>
      </c>
      <c r="AJ36" s="133" t="s">
        <v>46</v>
      </c>
      <c r="AK36" s="133" t="s">
        <v>54</v>
      </c>
      <c r="AL36" s="133" t="s">
        <v>48</v>
      </c>
      <c r="AM36" s="133" t="s">
        <v>49</v>
      </c>
      <c r="AN36" s="133" t="str">
        <f>VLOOKUP(I36,Sheet1!A:D,4,)</f>
        <v>A320400</v>
      </c>
      <c r="AP36" s="133" t="s">
        <v>255</v>
      </c>
    </row>
    <row r="37" spans="1:42" s="133" customFormat="1" ht="14.25" hidden="1" x14ac:dyDescent="0.2">
      <c r="A37" s="149">
        <v>45658</v>
      </c>
      <c r="B37" s="133" t="s">
        <v>40</v>
      </c>
      <c r="C37" s="133" t="s">
        <v>41</v>
      </c>
      <c r="D37" s="138">
        <v>25707951</v>
      </c>
      <c r="E37" s="138">
        <v>24106304</v>
      </c>
      <c r="F37" s="150" t="s">
        <v>114</v>
      </c>
      <c r="G37" s="151">
        <v>45680</v>
      </c>
      <c r="H37" s="133" t="s">
        <v>245</v>
      </c>
      <c r="I37" s="133" t="s">
        <v>122</v>
      </c>
      <c r="J37" s="133" t="s">
        <v>238</v>
      </c>
      <c r="K37" s="152">
        <v>20</v>
      </c>
      <c r="L37" s="153" t="s">
        <v>42</v>
      </c>
      <c r="M37" s="152">
        <v>20</v>
      </c>
      <c r="N37" s="152">
        <v>457480.42</v>
      </c>
      <c r="O37" s="152">
        <v>9149608.4000000004</v>
      </c>
      <c r="P37" s="152">
        <v>9149608.4000000004</v>
      </c>
      <c r="Q37" s="136">
        <v>0</v>
      </c>
      <c r="R37" s="136">
        <v>0</v>
      </c>
      <c r="S37" s="153" t="s">
        <v>43</v>
      </c>
      <c r="T37" s="152">
        <v>4787896.55</v>
      </c>
      <c r="U37" s="152">
        <v>4787896.55</v>
      </c>
      <c r="V37" s="152">
        <v>4361711.8499999996</v>
      </c>
      <c r="W37" s="154">
        <v>0.47671022182700001</v>
      </c>
      <c r="X37" s="152">
        <v>4361711.8499999996</v>
      </c>
      <c r="Y37" s="133" t="s">
        <v>235</v>
      </c>
      <c r="Z37" s="133" t="s">
        <v>44</v>
      </c>
      <c r="AA37" s="133">
        <v>15159</v>
      </c>
      <c r="AB37" s="133" t="s">
        <v>246</v>
      </c>
      <c r="AC37" s="133" t="s">
        <v>45</v>
      </c>
      <c r="AD37" s="133" t="s">
        <v>199</v>
      </c>
      <c r="AE37" s="133">
        <v>0</v>
      </c>
      <c r="AF37" s="133" t="s">
        <v>212</v>
      </c>
      <c r="AG37" s="133" t="s">
        <v>213</v>
      </c>
      <c r="AH37" s="133" t="s">
        <v>57</v>
      </c>
      <c r="AI37" s="133" t="s">
        <v>101</v>
      </c>
      <c r="AJ37" s="133" t="s">
        <v>46</v>
      </c>
      <c r="AK37" s="133" t="s">
        <v>54</v>
      </c>
      <c r="AL37" s="133" t="s">
        <v>48</v>
      </c>
      <c r="AM37" s="133" t="s">
        <v>49</v>
      </c>
      <c r="AN37" s="133" t="str">
        <f>VLOOKUP(I37,Sheet1!A:D,4,)</f>
        <v>A320400</v>
      </c>
      <c r="AP37" s="180" t="s">
        <v>275</v>
      </c>
    </row>
    <row r="38" spans="1:42" s="133" customFormat="1" ht="14.25" hidden="1" x14ac:dyDescent="0.2">
      <c r="A38" s="149">
        <v>45658</v>
      </c>
      <c r="B38" s="133" t="s">
        <v>40</v>
      </c>
      <c r="C38" s="133" t="s">
        <v>41</v>
      </c>
      <c r="D38" s="138">
        <v>25707952</v>
      </c>
      <c r="E38" s="138">
        <v>24106393</v>
      </c>
      <c r="F38" s="150" t="s">
        <v>239</v>
      </c>
      <c r="G38" s="151">
        <v>45680</v>
      </c>
      <c r="H38" s="133" t="s">
        <v>237</v>
      </c>
      <c r="I38" s="133" t="s">
        <v>240</v>
      </c>
      <c r="J38" s="133" t="s">
        <v>241</v>
      </c>
      <c r="K38" s="152">
        <v>5</v>
      </c>
      <c r="L38" s="153" t="s">
        <v>42</v>
      </c>
      <c r="M38" s="152">
        <v>5</v>
      </c>
      <c r="N38" s="152">
        <v>4207423.84</v>
      </c>
      <c r="O38" s="152">
        <v>21037119.199999999</v>
      </c>
      <c r="P38" s="152">
        <v>21037119.199999999</v>
      </c>
      <c r="Q38" s="136">
        <v>0</v>
      </c>
      <c r="R38" s="136">
        <v>0</v>
      </c>
      <c r="S38" s="153" t="s">
        <v>43</v>
      </c>
      <c r="T38" s="152">
        <v>15728978.109999999</v>
      </c>
      <c r="U38" s="152">
        <v>15728978.109999999</v>
      </c>
      <c r="V38" s="152">
        <v>5308141.09</v>
      </c>
      <c r="W38" s="154">
        <v>0.25232262267099997</v>
      </c>
      <c r="X38" s="152">
        <v>5308141.09</v>
      </c>
      <c r="Y38" s="133" t="s">
        <v>101</v>
      </c>
      <c r="Z38" s="133" t="s">
        <v>46</v>
      </c>
      <c r="AA38" s="133">
        <v>2306153</v>
      </c>
      <c r="AB38" s="133" t="s">
        <v>237</v>
      </c>
      <c r="AC38" s="133" t="s">
        <v>45</v>
      </c>
      <c r="AD38" s="133" t="s">
        <v>199</v>
      </c>
      <c r="AE38" s="133">
        <v>0</v>
      </c>
      <c r="AF38" s="133" t="s">
        <v>191</v>
      </c>
      <c r="AG38" s="133" t="s">
        <v>242</v>
      </c>
      <c r="AH38" s="133" t="s">
        <v>53</v>
      </c>
      <c r="AI38" s="133" t="s">
        <v>101</v>
      </c>
      <c r="AJ38" s="133" t="s">
        <v>46</v>
      </c>
      <c r="AK38" s="133" t="s">
        <v>54</v>
      </c>
      <c r="AL38" s="133" t="s">
        <v>48</v>
      </c>
      <c r="AM38" s="133" t="s">
        <v>49</v>
      </c>
      <c r="AN38" s="133" t="str">
        <f>VLOOKUP(I38,Sheet1!A:D,4,)</f>
        <v>A320400</v>
      </c>
      <c r="AP38" s="180" t="s">
        <v>275</v>
      </c>
    </row>
    <row r="39" spans="1:42" s="133" customFormat="1" ht="14.25" hidden="1" x14ac:dyDescent="0.2">
      <c r="A39" s="149">
        <v>45658</v>
      </c>
      <c r="B39" s="133" t="s">
        <v>40</v>
      </c>
      <c r="C39" s="133" t="s">
        <v>41</v>
      </c>
      <c r="D39" s="138">
        <v>25707953</v>
      </c>
      <c r="E39" s="138">
        <v>24106404</v>
      </c>
      <c r="F39" s="150" t="s">
        <v>139</v>
      </c>
      <c r="G39" s="151">
        <v>45680</v>
      </c>
      <c r="H39" s="133" t="s">
        <v>245</v>
      </c>
      <c r="I39" s="133" t="s">
        <v>140</v>
      </c>
      <c r="J39" s="133" t="s">
        <v>261</v>
      </c>
      <c r="K39" s="152">
        <v>40</v>
      </c>
      <c r="L39" s="153" t="s">
        <v>42</v>
      </c>
      <c r="M39" s="152">
        <v>40</v>
      </c>
      <c r="N39" s="152">
        <v>496676.77</v>
      </c>
      <c r="O39" s="152">
        <v>19867070.800000001</v>
      </c>
      <c r="P39" s="152">
        <v>19867070.800000001</v>
      </c>
      <c r="Q39" s="136">
        <v>0</v>
      </c>
      <c r="R39" s="136">
        <v>0</v>
      </c>
      <c r="S39" s="153" t="s">
        <v>43</v>
      </c>
      <c r="T39" s="152">
        <v>7235234.29</v>
      </c>
      <c r="U39" s="152">
        <v>7235234.29</v>
      </c>
      <c r="V39" s="152">
        <v>12631836.51</v>
      </c>
      <c r="W39" s="154">
        <v>0.63581776282699998</v>
      </c>
      <c r="X39" s="152">
        <v>12631836.51</v>
      </c>
      <c r="Y39" s="133" t="s">
        <v>235</v>
      </c>
      <c r="Z39" s="133" t="s">
        <v>44</v>
      </c>
      <c r="AA39" s="133">
        <v>15159</v>
      </c>
      <c r="AB39" s="133" t="s">
        <v>246</v>
      </c>
      <c r="AC39" s="133" t="s">
        <v>45</v>
      </c>
      <c r="AD39" s="133" t="s">
        <v>199</v>
      </c>
      <c r="AE39" s="133">
        <v>0</v>
      </c>
      <c r="AF39" s="133" t="s">
        <v>191</v>
      </c>
      <c r="AG39" s="133" t="s">
        <v>262</v>
      </c>
      <c r="AH39" s="133" t="s">
        <v>143</v>
      </c>
      <c r="AI39" s="133" t="s">
        <v>101</v>
      </c>
      <c r="AJ39" s="133" t="s">
        <v>46</v>
      </c>
      <c r="AK39" s="133" t="s">
        <v>54</v>
      </c>
      <c r="AL39" s="133" t="s">
        <v>48</v>
      </c>
      <c r="AM39" s="133" t="s">
        <v>49</v>
      </c>
      <c r="AN39" s="133" t="str">
        <f>VLOOKUP(I39,Sheet1!A:D,4,)</f>
        <v>A320400</v>
      </c>
      <c r="AP39" s="180" t="s">
        <v>275</v>
      </c>
    </row>
    <row r="40" spans="1:42" s="133" customFormat="1" ht="14.25" hidden="1" x14ac:dyDescent="0.2">
      <c r="A40" s="149">
        <v>45658</v>
      </c>
      <c r="B40" s="133" t="s">
        <v>40</v>
      </c>
      <c r="C40" s="133" t="s">
        <v>41</v>
      </c>
      <c r="D40" s="138">
        <v>25707954</v>
      </c>
      <c r="E40" s="138">
        <v>24106454</v>
      </c>
      <c r="F40" s="150" t="s">
        <v>263</v>
      </c>
      <c r="G40" s="151">
        <v>45680</v>
      </c>
      <c r="H40" s="133" t="s">
        <v>245</v>
      </c>
      <c r="I40" s="133" t="s">
        <v>264</v>
      </c>
      <c r="J40" s="133" t="s">
        <v>265</v>
      </c>
      <c r="K40" s="152">
        <v>13</v>
      </c>
      <c r="L40" s="153" t="s">
        <v>42</v>
      </c>
      <c r="M40" s="152">
        <v>13</v>
      </c>
      <c r="N40" s="152">
        <v>730500.18</v>
      </c>
      <c r="O40" s="152">
        <v>9496502.3399999999</v>
      </c>
      <c r="P40" s="152">
        <v>9496502.3399999999</v>
      </c>
      <c r="Q40" s="136">
        <v>0</v>
      </c>
      <c r="R40" s="136">
        <v>0</v>
      </c>
      <c r="S40" s="153" t="s">
        <v>43</v>
      </c>
      <c r="T40" s="152">
        <v>3426516</v>
      </c>
      <c r="U40" s="152">
        <v>3426516</v>
      </c>
      <c r="V40" s="152">
        <v>6069986.3399999999</v>
      </c>
      <c r="W40" s="154">
        <v>0.63918126091799998</v>
      </c>
      <c r="X40" s="152">
        <v>6069986.3399999999</v>
      </c>
      <c r="Y40" s="133" t="s">
        <v>235</v>
      </c>
      <c r="Z40" s="133" t="s">
        <v>44</v>
      </c>
      <c r="AA40" s="133">
        <v>15159</v>
      </c>
      <c r="AB40" s="133" t="s">
        <v>246</v>
      </c>
      <c r="AC40" s="133" t="s">
        <v>45</v>
      </c>
      <c r="AD40" s="133" t="s">
        <v>199</v>
      </c>
      <c r="AE40" s="133">
        <v>0</v>
      </c>
      <c r="AF40" s="133" t="s">
        <v>207</v>
      </c>
      <c r="AG40" s="133" t="s">
        <v>101</v>
      </c>
      <c r="AH40" s="133" t="s">
        <v>46</v>
      </c>
      <c r="AI40" s="133" t="s">
        <v>101</v>
      </c>
      <c r="AJ40" s="133" t="s">
        <v>46</v>
      </c>
      <c r="AK40" s="133" t="s">
        <v>54</v>
      </c>
      <c r="AL40" s="133" t="s">
        <v>48</v>
      </c>
      <c r="AM40" s="133" t="s">
        <v>49</v>
      </c>
      <c r="AN40" s="133" t="str">
        <f>VLOOKUP(I40,Sheet1!A:D,4,)</f>
        <v>A320400</v>
      </c>
      <c r="AP40" s="180" t="s">
        <v>275</v>
      </c>
    </row>
    <row r="41" spans="1:42" s="133" customFormat="1" ht="14.25" hidden="1" x14ac:dyDescent="0.2">
      <c r="A41" s="149">
        <v>45658</v>
      </c>
      <c r="B41" s="133" t="s">
        <v>40</v>
      </c>
      <c r="C41" s="133" t="s">
        <v>41</v>
      </c>
      <c r="D41" s="138">
        <v>25707955</v>
      </c>
      <c r="E41" s="138">
        <v>24106471</v>
      </c>
      <c r="F41" s="150" t="s">
        <v>266</v>
      </c>
      <c r="G41" s="151">
        <v>45680</v>
      </c>
      <c r="H41" s="133" t="s">
        <v>245</v>
      </c>
      <c r="I41" s="133" t="s">
        <v>267</v>
      </c>
      <c r="J41" s="133" t="s">
        <v>268</v>
      </c>
      <c r="K41" s="152">
        <v>25</v>
      </c>
      <c r="L41" s="153" t="s">
        <v>42</v>
      </c>
      <c r="M41" s="152">
        <v>25</v>
      </c>
      <c r="N41" s="152">
        <v>1452750.51</v>
      </c>
      <c r="O41" s="152">
        <v>36318762.75</v>
      </c>
      <c r="P41" s="152">
        <v>36318762.75</v>
      </c>
      <c r="Q41" s="136">
        <v>0</v>
      </c>
      <c r="R41" s="136">
        <v>0</v>
      </c>
      <c r="S41" s="153" t="s">
        <v>43</v>
      </c>
      <c r="T41" s="152">
        <v>8948520.5299999993</v>
      </c>
      <c r="U41" s="152">
        <v>8948520.5299999993</v>
      </c>
      <c r="V41" s="152">
        <v>27370242.219999999</v>
      </c>
      <c r="W41" s="154">
        <v>0.75361163617799998</v>
      </c>
      <c r="X41" s="152">
        <v>27370242.219999999</v>
      </c>
      <c r="Y41" s="133" t="s">
        <v>235</v>
      </c>
      <c r="Z41" s="133" t="s">
        <v>44</v>
      </c>
      <c r="AA41" s="133">
        <v>15159</v>
      </c>
      <c r="AB41" s="133" t="s">
        <v>246</v>
      </c>
      <c r="AC41" s="133" t="s">
        <v>45</v>
      </c>
      <c r="AD41" s="133" t="s">
        <v>199</v>
      </c>
      <c r="AE41" s="133">
        <v>0</v>
      </c>
      <c r="AF41" s="133" t="s">
        <v>191</v>
      </c>
      <c r="AG41" s="133" t="s">
        <v>262</v>
      </c>
      <c r="AH41" s="133" t="s">
        <v>143</v>
      </c>
      <c r="AI41" s="133" t="s">
        <v>101</v>
      </c>
      <c r="AJ41" s="133" t="s">
        <v>46</v>
      </c>
      <c r="AK41" s="133" t="s">
        <v>54</v>
      </c>
      <c r="AL41" s="133" t="s">
        <v>48</v>
      </c>
      <c r="AM41" s="133" t="s">
        <v>49</v>
      </c>
      <c r="AN41" s="133" t="str">
        <f>VLOOKUP(I41,Sheet1!A:D,4,)</f>
        <v>A320400</v>
      </c>
      <c r="AP41" s="180" t="s">
        <v>275</v>
      </c>
    </row>
    <row r="42" spans="1:42" s="133" customFormat="1" ht="14.25" hidden="1" x14ac:dyDescent="0.2">
      <c r="A42" s="149">
        <v>45658</v>
      </c>
      <c r="B42" s="133" t="s">
        <v>40</v>
      </c>
      <c r="C42" s="133" t="s">
        <v>41</v>
      </c>
      <c r="D42" s="138">
        <v>25707956</v>
      </c>
      <c r="E42" s="138">
        <v>24106495</v>
      </c>
      <c r="F42" s="150">
        <v>241100301</v>
      </c>
      <c r="G42" s="151">
        <v>45680</v>
      </c>
      <c r="H42" s="133" t="s">
        <v>237</v>
      </c>
      <c r="I42" s="133" t="s">
        <v>140</v>
      </c>
      <c r="J42" s="133" t="s">
        <v>261</v>
      </c>
      <c r="K42" s="152">
        <v>140</v>
      </c>
      <c r="L42" s="153" t="s">
        <v>42</v>
      </c>
      <c r="M42" s="152">
        <v>140</v>
      </c>
      <c r="N42" s="152">
        <v>512722.96</v>
      </c>
      <c r="O42" s="152">
        <v>71781214.400000006</v>
      </c>
      <c r="P42" s="152">
        <v>71781214.400000006</v>
      </c>
      <c r="Q42" s="136">
        <v>0</v>
      </c>
      <c r="R42" s="136">
        <v>0</v>
      </c>
      <c r="S42" s="153" t="s">
        <v>43</v>
      </c>
      <c r="T42" s="152">
        <v>25323320.030000001</v>
      </c>
      <c r="U42" s="152">
        <v>25323320.030000001</v>
      </c>
      <c r="V42" s="152">
        <v>46457894.369999997</v>
      </c>
      <c r="W42" s="154">
        <v>0.64721521860999998</v>
      </c>
      <c r="X42" s="152">
        <v>46457894.369999997</v>
      </c>
      <c r="Y42" s="133" t="s">
        <v>101</v>
      </c>
      <c r="Z42" s="133" t="s">
        <v>46</v>
      </c>
      <c r="AA42" s="133">
        <v>2306153</v>
      </c>
      <c r="AB42" s="133" t="s">
        <v>237</v>
      </c>
      <c r="AC42" s="133" t="s">
        <v>45</v>
      </c>
      <c r="AD42" s="133" t="s">
        <v>199</v>
      </c>
      <c r="AE42" s="133">
        <v>0</v>
      </c>
      <c r="AF42" s="133" t="s">
        <v>191</v>
      </c>
      <c r="AG42" s="133" t="s">
        <v>262</v>
      </c>
      <c r="AH42" s="133" t="s">
        <v>143</v>
      </c>
      <c r="AI42" s="133" t="s">
        <v>101</v>
      </c>
      <c r="AJ42" s="133" t="s">
        <v>46</v>
      </c>
      <c r="AK42" s="133" t="s">
        <v>54</v>
      </c>
      <c r="AL42" s="133" t="s">
        <v>48</v>
      </c>
      <c r="AM42" s="133" t="s">
        <v>49</v>
      </c>
      <c r="AN42" s="133" t="str">
        <f>VLOOKUP(I42,Sheet1!A:D,4,)</f>
        <v>A320400</v>
      </c>
      <c r="AP42" s="180" t="s">
        <v>275</v>
      </c>
    </row>
    <row r="43" spans="1:42" s="133" customFormat="1" ht="14.25" hidden="1" x14ac:dyDescent="0.2">
      <c r="A43" s="149">
        <v>45658</v>
      </c>
      <c r="B43" s="133" t="s">
        <v>40</v>
      </c>
      <c r="C43" s="133" t="s">
        <v>41</v>
      </c>
      <c r="D43" s="138">
        <v>25707957</v>
      </c>
      <c r="E43" s="138">
        <v>24106502</v>
      </c>
      <c r="F43" s="150" t="s">
        <v>269</v>
      </c>
      <c r="G43" s="151">
        <v>45680</v>
      </c>
      <c r="H43" s="133" t="s">
        <v>237</v>
      </c>
      <c r="I43" s="133" t="s">
        <v>140</v>
      </c>
      <c r="J43" s="133" t="s">
        <v>261</v>
      </c>
      <c r="K43" s="152">
        <v>10</v>
      </c>
      <c r="L43" s="153" t="s">
        <v>42</v>
      </c>
      <c r="M43" s="152">
        <v>10</v>
      </c>
      <c r="N43" s="152">
        <v>512722.96</v>
      </c>
      <c r="O43" s="152">
        <v>5127229.5999999996</v>
      </c>
      <c r="P43" s="152">
        <v>5127229.5999999996</v>
      </c>
      <c r="Q43" s="136">
        <v>0</v>
      </c>
      <c r="R43" s="136">
        <v>0</v>
      </c>
      <c r="S43" s="153" t="s">
        <v>43</v>
      </c>
      <c r="T43" s="152">
        <v>1808808.57</v>
      </c>
      <c r="U43" s="152">
        <v>1808808.57</v>
      </c>
      <c r="V43" s="152">
        <v>3318421.03</v>
      </c>
      <c r="W43" s="154">
        <v>0.64721521930600001</v>
      </c>
      <c r="X43" s="152">
        <v>3318421.03</v>
      </c>
      <c r="Y43" s="133" t="s">
        <v>101</v>
      </c>
      <c r="Z43" s="133" t="s">
        <v>46</v>
      </c>
      <c r="AA43" s="133">
        <v>2306153</v>
      </c>
      <c r="AB43" s="133" t="s">
        <v>237</v>
      </c>
      <c r="AC43" s="133" t="s">
        <v>45</v>
      </c>
      <c r="AD43" s="133" t="s">
        <v>199</v>
      </c>
      <c r="AE43" s="133">
        <v>0</v>
      </c>
      <c r="AF43" s="133" t="s">
        <v>191</v>
      </c>
      <c r="AG43" s="133" t="s">
        <v>262</v>
      </c>
      <c r="AH43" s="133" t="s">
        <v>143</v>
      </c>
      <c r="AI43" s="133" t="s">
        <v>101</v>
      </c>
      <c r="AJ43" s="133" t="s">
        <v>46</v>
      </c>
      <c r="AK43" s="133" t="s">
        <v>54</v>
      </c>
      <c r="AL43" s="133" t="s">
        <v>48</v>
      </c>
      <c r="AM43" s="133" t="s">
        <v>49</v>
      </c>
      <c r="AN43" s="133" t="str">
        <f>VLOOKUP(I43,Sheet1!A:D,4,)</f>
        <v>A320400</v>
      </c>
      <c r="AP43" s="180" t="s">
        <v>275</v>
      </c>
    </row>
    <row r="44" spans="1:42" s="133" customFormat="1" ht="14.25" hidden="1" x14ac:dyDescent="0.2">
      <c r="A44" s="149">
        <v>45658</v>
      </c>
      <c r="B44" s="133" t="s">
        <v>40</v>
      </c>
      <c r="C44" s="133" t="s">
        <v>41</v>
      </c>
      <c r="D44" s="150">
        <v>25707958</v>
      </c>
      <c r="E44" s="138">
        <v>24106528</v>
      </c>
      <c r="F44" s="150" t="s">
        <v>183</v>
      </c>
      <c r="G44" s="151">
        <v>45680</v>
      </c>
      <c r="H44" s="133" t="s">
        <v>158</v>
      </c>
      <c r="I44" s="133" t="s">
        <v>159</v>
      </c>
      <c r="J44" s="133" t="s">
        <v>270</v>
      </c>
      <c r="K44" s="152">
        <v>15</v>
      </c>
      <c r="L44" s="153" t="s">
        <v>42</v>
      </c>
      <c r="M44" s="152">
        <v>15</v>
      </c>
      <c r="N44" s="152">
        <v>9178191.2799999993</v>
      </c>
      <c r="O44" s="152">
        <v>137672869.19999999</v>
      </c>
      <c r="P44" s="152">
        <v>137672869.19999999</v>
      </c>
      <c r="Q44" s="136">
        <v>0</v>
      </c>
      <c r="R44" s="136">
        <v>0</v>
      </c>
      <c r="S44" s="153" t="s">
        <v>43</v>
      </c>
      <c r="T44" s="152">
        <v>95184330.329999998</v>
      </c>
      <c r="U44" s="152">
        <v>95184330.329999998</v>
      </c>
      <c r="V44" s="152">
        <v>42488538.869999997</v>
      </c>
      <c r="W44" s="154">
        <v>0.30861954949300002</v>
      </c>
      <c r="X44" s="152">
        <v>42488538.869999997</v>
      </c>
      <c r="Y44" s="133" t="s">
        <v>101</v>
      </c>
      <c r="Z44" s="133" t="s">
        <v>46</v>
      </c>
      <c r="AA44" s="133">
        <v>2306495</v>
      </c>
      <c r="AB44" s="133" t="s">
        <v>161</v>
      </c>
      <c r="AC44" s="133" t="s">
        <v>56</v>
      </c>
      <c r="AD44" s="133" t="s">
        <v>103</v>
      </c>
      <c r="AE44" s="133">
        <v>0</v>
      </c>
      <c r="AF44" s="133" t="s">
        <v>191</v>
      </c>
      <c r="AG44" s="133" t="s">
        <v>262</v>
      </c>
      <c r="AH44" s="133" t="s">
        <v>143</v>
      </c>
      <c r="AI44" s="133" t="s">
        <v>101</v>
      </c>
      <c r="AJ44" s="133" t="s">
        <v>46</v>
      </c>
      <c r="AK44" s="133" t="s">
        <v>54</v>
      </c>
      <c r="AL44" s="133" t="s">
        <v>48</v>
      </c>
      <c r="AM44" s="133" t="s">
        <v>49</v>
      </c>
      <c r="AN44" s="133" t="str">
        <f>VLOOKUP(I44,Sheet1!A:D,4,)</f>
        <v>A320400</v>
      </c>
      <c r="AP44" s="180" t="s">
        <v>275</v>
      </c>
    </row>
    <row r="45" spans="1:42" s="133" customFormat="1" ht="14.25" hidden="1" x14ac:dyDescent="0.2">
      <c r="A45" s="149">
        <v>45658</v>
      </c>
      <c r="B45" s="133" t="s">
        <v>40</v>
      </c>
      <c r="C45" s="133" t="s">
        <v>41</v>
      </c>
      <c r="D45" s="150">
        <v>25707959</v>
      </c>
      <c r="E45" s="150">
        <v>25106575</v>
      </c>
      <c r="F45" s="150" t="s">
        <v>271</v>
      </c>
      <c r="G45" s="151">
        <v>45680</v>
      </c>
      <c r="H45" s="133" t="s">
        <v>158</v>
      </c>
      <c r="I45" s="133" t="s">
        <v>272</v>
      </c>
      <c r="J45" s="133" t="s">
        <v>273</v>
      </c>
      <c r="K45" s="152">
        <v>80</v>
      </c>
      <c r="L45" s="153" t="s">
        <v>42</v>
      </c>
      <c r="M45" s="152">
        <v>80</v>
      </c>
      <c r="N45" s="152">
        <v>321116.34000000003</v>
      </c>
      <c r="O45" s="152">
        <v>25689307.199999999</v>
      </c>
      <c r="P45" s="152">
        <v>25689307.199999999</v>
      </c>
      <c r="Q45" s="136">
        <v>0</v>
      </c>
      <c r="R45" s="136">
        <v>0</v>
      </c>
      <c r="S45" s="153" t="s">
        <v>43</v>
      </c>
      <c r="T45" s="152">
        <v>11548865.439999999</v>
      </c>
      <c r="U45" s="152">
        <v>11548865.439999999</v>
      </c>
      <c r="V45" s="152">
        <v>14140441.76</v>
      </c>
      <c r="W45" s="154">
        <v>0.55044075925799996</v>
      </c>
      <c r="X45" s="152">
        <v>14140441.76</v>
      </c>
      <c r="Y45" s="133" t="s">
        <v>101</v>
      </c>
      <c r="Z45" s="133" t="s">
        <v>46</v>
      </c>
      <c r="AA45" s="133">
        <v>2306495</v>
      </c>
      <c r="AB45" s="133" t="s">
        <v>161</v>
      </c>
      <c r="AC45" s="133" t="s">
        <v>56</v>
      </c>
      <c r="AD45" s="133" t="s">
        <v>103</v>
      </c>
      <c r="AE45" s="133">
        <v>0</v>
      </c>
      <c r="AF45" s="133" t="s">
        <v>212</v>
      </c>
      <c r="AG45" s="133" t="s">
        <v>213</v>
      </c>
      <c r="AH45" s="133" t="s">
        <v>57</v>
      </c>
      <c r="AI45" s="133" t="s">
        <v>101</v>
      </c>
      <c r="AJ45" s="133" t="s">
        <v>46</v>
      </c>
      <c r="AK45" s="133" t="s">
        <v>54</v>
      </c>
      <c r="AL45" s="133" t="s">
        <v>48</v>
      </c>
      <c r="AM45" s="133" t="s">
        <v>49</v>
      </c>
      <c r="AN45" s="133" t="str">
        <f>VLOOKUP(I45,Sheet1!A:D,4,)</f>
        <v>A320400</v>
      </c>
      <c r="AP45" s="180" t="s">
        <v>275</v>
      </c>
    </row>
    <row r="46" spans="1:42" s="133" customFormat="1" ht="14.25" hidden="1" x14ac:dyDescent="0.2">
      <c r="A46" s="149">
        <v>45658</v>
      </c>
      <c r="B46" s="133" t="s">
        <v>40</v>
      </c>
      <c r="C46" s="133" t="s">
        <v>41</v>
      </c>
      <c r="D46" s="150">
        <v>25707961</v>
      </c>
      <c r="E46" s="150">
        <v>25106585</v>
      </c>
      <c r="F46" s="150" t="s">
        <v>252</v>
      </c>
      <c r="G46" s="151">
        <v>45674</v>
      </c>
      <c r="H46" s="133" t="s">
        <v>245</v>
      </c>
      <c r="I46" s="133" t="s">
        <v>253</v>
      </c>
      <c r="J46" s="133" t="s">
        <v>254</v>
      </c>
      <c r="K46" s="152">
        <v>2</v>
      </c>
      <c r="L46" s="153" t="s">
        <v>42</v>
      </c>
      <c r="M46" s="152">
        <v>2</v>
      </c>
      <c r="N46" s="152">
        <v>2706505.31</v>
      </c>
      <c r="O46" s="152">
        <v>5413010.6200000001</v>
      </c>
      <c r="P46" s="152">
        <v>5413010.6200000001</v>
      </c>
      <c r="Q46" s="136">
        <v>0</v>
      </c>
      <c r="R46" s="136">
        <v>0</v>
      </c>
      <c r="S46" s="153" t="s">
        <v>43</v>
      </c>
      <c r="T46" s="152">
        <v>4160416.8</v>
      </c>
      <c r="U46" s="152">
        <v>4160416.8</v>
      </c>
      <c r="V46" s="152">
        <v>1252593.82</v>
      </c>
      <c r="W46" s="154">
        <v>0.23140427904700001</v>
      </c>
      <c r="X46" s="152">
        <v>1252593.82</v>
      </c>
      <c r="Y46" s="133" t="s">
        <v>235</v>
      </c>
      <c r="Z46" s="133" t="s">
        <v>44</v>
      </c>
      <c r="AA46" s="133">
        <v>15159</v>
      </c>
      <c r="AB46" s="133" t="s">
        <v>246</v>
      </c>
      <c r="AC46" s="133" t="s">
        <v>45</v>
      </c>
      <c r="AD46" s="133" t="s">
        <v>199</v>
      </c>
      <c r="AE46" s="133">
        <v>0</v>
      </c>
      <c r="AF46" s="133" t="s">
        <v>207</v>
      </c>
      <c r="AG46" s="133" t="s">
        <v>101</v>
      </c>
      <c r="AH46" s="133" t="s">
        <v>46</v>
      </c>
      <c r="AI46" s="133" t="s">
        <v>101</v>
      </c>
      <c r="AJ46" s="133" t="s">
        <v>46</v>
      </c>
      <c r="AK46" s="133" t="s">
        <v>54</v>
      </c>
      <c r="AL46" s="133" t="s">
        <v>48</v>
      </c>
      <c r="AM46" s="133" t="s">
        <v>49</v>
      </c>
      <c r="AN46" s="133" t="str">
        <f>VLOOKUP(I46,Sheet1!A:D,4,)</f>
        <v>A320400</v>
      </c>
      <c r="AP46" s="180" t="s">
        <v>275</v>
      </c>
    </row>
    <row r="47" spans="1:42" s="133" customFormat="1" ht="14.25" hidden="1" x14ac:dyDescent="0.2">
      <c r="A47" s="149">
        <v>45689</v>
      </c>
      <c r="B47" s="133" t="s">
        <v>40</v>
      </c>
      <c r="C47" s="133" t="s">
        <v>41</v>
      </c>
      <c r="D47" s="150">
        <v>25707966</v>
      </c>
      <c r="E47" s="150">
        <v>24106442</v>
      </c>
      <c r="F47" s="150" t="s">
        <v>705</v>
      </c>
      <c r="G47" s="151">
        <v>45692</v>
      </c>
      <c r="H47" s="133" t="s">
        <v>115</v>
      </c>
      <c r="I47" s="133" t="s">
        <v>204</v>
      </c>
      <c r="J47" s="133" t="s">
        <v>706</v>
      </c>
      <c r="K47" s="152">
        <v>300</v>
      </c>
      <c r="L47" s="153" t="s">
        <v>42</v>
      </c>
      <c r="M47" s="152">
        <v>300</v>
      </c>
      <c r="N47" s="152">
        <v>192785.98</v>
      </c>
      <c r="O47" s="152">
        <v>57835794</v>
      </c>
      <c r="P47" s="152">
        <v>57835794</v>
      </c>
      <c r="Q47" s="136">
        <v>0</v>
      </c>
      <c r="R47" s="136">
        <v>0</v>
      </c>
      <c r="S47" s="153" t="s">
        <v>43</v>
      </c>
      <c r="T47" s="152">
        <v>35293705.340000004</v>
      </c>
      <c r="U47" s="152">
        <v>35293705.340000004</v>
      </c>
      <c r="V47" s="152">
        <v>22542088.66</v>
      </c>
      <c r="W47" s="154">
        <v>0.38976016582299999</v>
      </c>
      <c r="X47" s="152">
        <v>22542088.66</v>
      </c>
      <c r="Y47" s="133" t="s">
        <v>66</v>
      </c>
      <c r="Z47" s="133" t="s">
        <v>44</v>
      </c>
      <c r="AA47" s="133">
        <v>15159</v>
      </c>
      <c r="AB47" s="133" t="s">
        <v>118</v>
      </c>
      <c r="AC47" s="133" t="s">
        <v>45</v>
      </c>
      <c r="AD47" s="133" t="s">
        <v>67</v>
      </c>
      <c r="AE47" s="133">
        <v>0</v>
      </c>
      <c r="AF47" s="133" t="s">
        <v>72</v>
      </c>
      <c r="AG47" s="133" t="s">
        <v>69</v>
      </c>
      <c r="AH47" s="133" t="s">
        <v>46</v>
      </c>
      <c r="AI47" s="133" t="s">
        <v>69</v>
      </c>
      <c r="AJ47" s="133" t="s">
        <v>46</v>
      </c>
      <c r="AK47" s="133" t="s">
        <v>54</v>
      </c>
      <c r="AL47" s="133" t="s">
        <v>48</v>
      </c>
      <c r="AM47" s="133" t="s">
        <v>49</v>
      </c>
      <c r="AN47" s="133" t="str">
        <f>VLOOKUP(I47,Sheet1!A:D,4,)</f>
        <v>A320400</v>
      </c>
      <c r="AP47" s="194" t="s">
        <v>722</v>
      </c>
    </row>
    <row r="48" spans="1:42" s="133" customFormat="1" ht="14.25" hidden="1" x14ac:dyDescent="0.2">
      <c r="A48" s="149">
        <v>45689</v>
      </c>
      <c r="B48" s="133" t="s">
        <v>40</v>
      </c>
      <c r="C48" s="133" t="s">
        <v>41</v>
      </c>
      <c r="D48" s="150">
        <v>25707967</v>
      </c>
      <c r="E48" s="150">
        <v>24106459</v>
      </c>
      <c r="F48" s="150" t="s">
        <v>707</v>
      </c>
      <c r="G48" s="151">
        <v>45692</v>
      </c>
      <c r="H48" s="133" t="s">
        <v>115</v>
      </c>
      <c r="I48" s="133" t="s">
        <v>285</v>
      </c>
      <c r="J48" s="133" t="s">
        <v>708</v>
      </c>
      <c r="K48" s="152">
        <v>100</v>
      </c>
      <c r="L48" s="153" t="s">
        <v>42</v>
      </c>
      <c r="M48" s="152">
        <v>100</v>
      </c>
      <c r="N48" s="152">
        <v>1715811.52</v>
      </c>
      <c r="O48" s="152">
        <v>171581152</v>
      </c>
      <c r="P48" s="152">
        <v>171581152</v>
      </c>
      <c r="Q48" s="136">
        <v>0</v>
      </c>
      <c r="R48" s="136">
        <v>0</v>
      </c>
      <c r="S48" s="153" t="s">
        <v>43</v>
      </c>
      <c r="T48" s="152">
        <v>143785899.34999999</v>
      </c>
      <c r="U48" s="152">
        <v>143785899.34999999</v>
      </c>
      <c r="V48" s="152">
        <v>27795252.649999999</v>
      </c>
      <c r="W48" s="154">
        <v>0.161994789789</v>
      </c>
      <c r="X48" s="152">
        <v>27795252.649999999</v>
      </c>
      <c r="Y48" s="133" t="s">
        <v>66</v>
      </c>
      <c r="Z48" s="133" t="s">
        <v>44</v>
      </c>
      <c r="AA48" s="133">
        <v>15159</v>
      </c>
      <c r="AB48" s="133" t="s">
        <v>118</v>
      </c>
      <c r="AC48" s="133" t="s">
        <v>45</v>
      </c>
      <c r="AD48" s="133" t="s">
        <v>67</v>
      </c>
      <c r="AE48" s="133">
        <v>0</v>
      </c>
      <c r="AF48" s="133" t="s">
        <v>68</v>
      </c>
      <c r="AG48" s="133" t="s">
        <v>69</v>
      </c>
      <c r="AH48" s="133" t="s">
        <v>46</v>
      </c>
      <c r="AI48" s="133" t="s">
        <v>69</v>
      </c>
      <c r="AJ48" s="133" t="s">
        <v>46</v>
      </c>
      <c r="AK48" s="133" t="s">
        <v>54</v>
      </c>
      <c r="AL48" s="133" t="s">
        <v>48</v>
      </c>
      <c r="AM48" s="133" t="s">
        <v>49</v>
      </c>
      <c r="AN48" s="133" t="str">
        <f>VLOOKUP(I48,Sheet1!A:D,4,)</f>
        <v>A320400</v>
      </c>
      <c r="AP48" s="194" t="s">
        <v>722</v>
      </c>
    </row>
    <row r="49" spans="1:42" s="133" customFormat="1" ht="14.25" hidden="1" x14ac:dyDescent="0.2">
      <c r="A49" s="149">
        <v>45689</v>
      </c>
      <c r="B49" s="133" t="s">
        <v>40</v>
      </c>
      <c r="C49" s="133" t="s">
        <v>41</v>
      </c>
      <c r="D49" s="150">
        <v>25707968</v>
      </c>
      <c r="E49" s="150">
        <v>24106484</v>
      </c>
      <c r="F49" s="150" t="s">
        <v>709</v>
      </c>
      <c r="G49" s="151">
        <v>45692</v>
      </c>
      <c r="H49" s="133" t="s">
        <v>115</v>
      </c>
      <c r="I49" s="133" t="s">
        <v>140</v>
      </c>
      <c r="J49" s="133" t="s">
        <v>141</v>
      </c>
      <c r="K49" s="152">
        <v>60</v>
      </c>
      <c r="L49" s="153" t="s">
        <v>42</v>
      </c>
      <c r="M49" s="152">
        <v>60</v>
      </c>
      <c r="N49" s="152">
        <v>504485.63</v>
      </c>
      <c r="O49" s="152">
        <v>30269137.800000001</v>
      </c>
      <c r="P49" s="152">
        <v>30269137.800000001</v>
      </c>
      <c r="Q49" s="136">
        <v>0</v>
      </c>
      <c r="R49" s="136">
        <v>0</v>
      </c>
      <c r="S49" s="153" t="s">
        <v>43</v>
      </c>
      <c r="T49" s="152">
        <v>10861707.4</v>
      </c>
      <c r="U49" s="152">
        <v>10861707.4</v>
      </c>
      <c r="V49" s="152">
        <v>19407430.399999999</v>
      </c>
      <c r="W49" s="154">
        <v>0.64116231285500003</v>
      </c>
      <c r="X49" s="152">
        <v>19407430.399999999</v>
      </c>
      <c r="Y49" s="133" t="s">
        <v>66</v>
      </c>
      <c r="Z49" s="133" t="s">
        <v>44</v>
      </c>
      <c r="AA49" s="133">
        <v>15159</v>
      </c>
      <c r="AB49" s="133" t="s">
        <v>118</v>
      </c>
      <c r="AC49" s="133" t="s">
        <v>45</v>
      </c>
      <c r="AD49" s="133" t="s">
        <v>67</v>
      </c>
      <c r="AE49" s="133">
        <v>0</v>
      </c>
      <c r="AF49" s="133" t="s">
        <v>68</v>
      </c>
      <c r="AG49" s="133" t="s">
        <v>142</v>
      </c>
      <c r="AH49" s="133" t="s">
        <v>143</v>
      </c>
      <c r="AI49" s="133" t="s">
        <v>69</v>
      </c>
      <c r="AJ49" s="133" t="s">
        <v>46</v>
      </c>
      <c r="AK49" s="133" t="s">
        <v>54</v>
      </c>
      <c r="AL49" s="133" t="s">
        <v>48</v>
      </c>
      <c r="AM49" s="133" t="s">
        <v>49</v>
      </c>
      <c r="AN49" s="133" t="str">
        <f>VLOOKUP(I49,Sheet1!A:D,4,)</f>
        <v>A320400</v>
      </c>
      <c r="AP49" s="194" t="s">
        <v>722</v>
      </c>
    </row>
    <row r="50" spans="1:42" s="133" customFormat="1" ht="14.25" hidden="1" x14ac:dyDescent="0.2">
      <c r="A50" s="149">
        <v>45689</v>
      </c>
      <c r="B50" s="133" t="s">
        <v>40</v>
      </c>
      <c r="C50" s="133" t="s">
        <v>41</v>
      </c>
      <c r="D50" s="150">
        <v>25707969</v>
      </c>
      <c r="E50" s="150">
        <v>24106489</v>
      </c>
      <c r="F50" s="150" t="s">
        <v>710</v>
      </c>
      <c r="G50" s="151">
        <v>45692</v>
      </c>
      <c r="H50" s="133" t="s">
        <v>115</v>
      </c>
      <c r="I50" s="133" t="s">
        <v>248</v>
      </c>
      <c r="J50" s="133" t="s">
        <v>711</v>
      </c>
      <c r="K50" s="152">
        <v>200</v>
      </c>
      <c r="L50" s="153" t="s">
        <v>42</v>
      </c>
      <c r="M50" s="152">
        <v>200</v>
      </c>
      <c r="N50" s="152">
        <v>1459753.65</v>
      </c>
      <c r="O50" s="152">
        <v>291950730</v>
      </c>
      <c r="P50" s="152">
        <v>291950730</v>
      </c>
      <c r="Q50" s="136">
        <v>0</v>
      </c>
      <c r="R50" s="136">
        <v>0</v>
      </c>
      <c r="S50" s="153" t="s">
        <v>43</v>
      </c>
      <c r="T50" s="152">
        <v>225790166.40000001</v>
      </c>
      <c r="U50" s="152">
        <v>225790166.40000001</v>
      </c>
      <c r="V50" s="152">
        <v>66160563.600000001</v>
      </c>
      <c r="W50" s="154">
        <v>0.22661551008899999</v>
      </c>
      <c r="X50" s="152">
        <v>66160563.600000001</v>
      </c>
      <c r="Y50" s="133" t="s">
        <v>66</v>
      </c>
      <c r="Z50" s="133" t="s">
        <v>44</v>
      </c>
      <c r="AA50" s="133">
        <v>15159</v>
      </c>
      <c r="AB50" s="133" t="s">
        <v>118</v>
      </c>
      <c r="AC50" s="133" t="s">
        <v>45</v>
      </c>
      <c r="AD50" s="133" t="s">
        <v>67</v>
      </c>
      <c r="AE50" s="133">
        <v>0</v>
      </c>
      <c r="AF50" s="133" t="s">
        <v>72</v>
      </c>
      <c r="AG50" s="133" t="s">
        <v>69</v>
      </c>
      <c r="AH50" s="133" t="s">
        <v>46</v>
      </c>
      <c r="AI50" s="133" t="s">
        <v>69</v>
      </c>
      <c r="AJ50" s="133" t="s">
        <v>46</v>
      </c>
      <c r="AK50" s="133" t="s">
        <v>54</v>
      </c>
      <c r="AL50" s="133" t="s">
        <v>48</v>
      </c>
      <c r="AM50" s="133" t="s">
        <v>49</v>
      </c>
      <c r="AN50" s="133" t="str">
        <f>VLOOKUP(I50,Sheet1!A:D,4,)</f>
        <v>A320400</v>
      </c>
      <c r="AP50" s="194" t="s">
        <v>722</v>
      </c>
    </row>
    <row r="51" spans="1:42" s="133" customFormat="1" ht="14.25" hidden="1" x14ac:dyDescent="0.2">
      <c r="A51" s="149">
        <v>45689</v>
      </c>
      <c r="B51" s="133" t="s">
        <v>40</v>
      </c>
      <c r="C51" s="133" t="s">
        <v>41</v>
      </c>
      <c r="D51" s="150">
        <v>25707970</v>
      </c>
      <c r="E51" s="150">
        <v>24106499</v>
      </c>
      <c r="F51" s="150" t="s">
        <v>712</v>
      </c>
      <c r="G51" s="151">
        <v>45692</v>
      </c>
      <c r="H51" s="133" t="s">
        <v>115</v>
      </c>
      <c r="I51" s="133" t="s">
        <v>411</v>
      </c>
      <c r="J51" s="133" t="s">
        <v>713</v>
      </c>
      <c r="K51" s="152">
        <v>15</v>
      </c>
      <c r="L51" s="153" t="s">
        <v>42</v>
      </c>
      <c r="M51" s="152">
        <v>15</v>
      </c>
      <c r="N51" s="152">
        <v>1990618.02</v>
      </c>
      <c r="O51" s="152">
        <v>29859270.300000001</v>
      </c>
      <c r="P51" s="152">
        <v>29859270.300000001</v>
      </c>
      <c r="Q51" s="136">
        <v>0</v>
      </c>
      <c r="R51" s="136">
        <v>0</v>
      </c>
      <c r="S51" s="153" t="s">
        <v>43</v>
      </c>
      <c r="T51" s="152">
        <v>15229819.74</v>
      </c>
      <c r="U51" s="152">
        <v>15229819.74</v>
      </c>
      <c r="V51" s="152">
        <v>14629450.560000001</v>
      </c>
      <c r="W51" s="154">
        <v>0.48994668700900001</v>
      </c>
      <c r="X51" s="152">
        <v>14629450.560000001</v>
      </c>
      <c r="Y51" s="133" t="s">
        <v>66</v>
      </c>
      <c r="Z51" s="133" t="s">
        <v>44</v>
      </c>
      <c r="AA51" s="133">
        <v>15159</v>
      </c>
      <c r="AB51" s="133" t="s">
        <v>118</v>
      </c>
      <c r="AC51" s="133" t="s">
        <v>45</v>
      </c>
      <c r="AD51" s="133" t="s">
        <v>67</v>
      </c>
      <c r="AE51" s="133">
        <v>0</v>
      </c>
      <c r="AF51" s="133" t="s">
        <v>68</v>
      </c>
      <c r="AG51" s="133" t="s">
        <v>69</v>
      </c>
      <c r="AH51" s="133" t="s">
        <v>46</v>
      </c>
      <c r="AI51" s="133" t="s">
        <v>69</v>
      </c>
      <c r="AJ51" s="133" t="s">
        <v>46</v>
      </c>
      <c r="AK51" s="133" t="s">
        <v>54</v>
      </c>
      <c r="AL51" s="133" t="s">
        <v>48</v>
      </c>
      <c r="AM51" s="133" t="s">
        <v>49</v>
      </c>
      <c r="AN51" s="133" t="str">
        <f>VLOOKUP(I51,Sheet1!A:D,4,)</f>
        <v>A320400</v>
      </c>
      <c r="AP51" s="194" t="s">
        <v>722</v>
      </c>
    </row>
    <row r="52" spans="1:42" s="133" customFormat="1" ht="14.25" hidden="1" x14ac:dyDescent="0.2">
      <c r="A52" s="149">
        <v>45689</v>
      </c>
      <c r="B52" s="133" t="s">
        <v>40</v>
      </c>
      <c r="C52" s="133" t="s">
        <v>41</v>
      </c>
      <c r="D52" s="150">
        <v>25707971</v>
      </c>
      <c r="E52" s="150">
        <v>25106548</v>
      </c>
      <c r="F52" s="150" t="s">
        <v>714</v>
      </c>
      <c r="G52" s="151">
        <v>45692</v>
      </c>
      <c r="H52" s="133" t="s">
        <v>126</v>
      </c>
      <c r="I52" s="133" t="s">
        <v>140</v>
      </c>
      <c r="J52" s="133" t="s">
        <v>141</v>
      </c>
      <c r="K52" s="152">
        <v>120</v>
      </c>
      <c r="L52" s="153" t="s">
        <v>42</v>
      </c>
      <c r="M52" s="152">
        <v>120</v>
      </c>
      <c r="N52" s="152">
        <v>519809.41</v>
      </c>
      <c r="O52" s="152">
        <v>62377129.200000003</v>
      </c>
      <c r="P52" s="152">
        <v>62377129.200000003</v>
      </c>
      <c r="Q52" s="136">
        <v>0</v>
      </c>
      <c r="R52" s="136">
        <v>0</v>
      </c>
      <c r="S52" s="153" t="s">
        <v>43</v>
      </c>
      <c r="T52" s="152">
        <v>21723414.809999999</v>
      </c>
      <c r="U52" s="152">
        <v>21723414.809999999</v>
      </c>
      <c r="V52" s="152">
        <v>40653714.390000001</v>
      </c>
      <c r="W52" s="154">
        <v>0.65174070867599998</v>
      </c>
      <c r="X52" s="152">
        <v>40653714.390000001</v>
      </c>
      <c r="Y52" s="133" t="s">
        <v>69</v>
      </c>
      <c r="Z52" s="133" t="s">
        <v>46</v>
      </c>
      <c r="AA52" s="133">
        <v>2306153</v>
      </c>
      <c r="AB52" s="133" t="s">
        <v>126</v>
      </c>
      <c r="AC52" s="133" t="s">
        <v>45</v>
      </c>
      <c r="AD52" s="133" t="s">
        <v>67</v>
      </c>
      <c r="AE52" s="133">
        <v>0</v>
      </c>
      <c r="AF52" s="133" t="s">
        <v>68</v>
      </c>
      <c r="AG52" s="133" t="s">
        <v>142</v>
      </c>
      <c r="AH52" s="133" t="s">
        <v>143</v>
      </c>
      <c r="AI52" s="133" t="s">
        <v>69</v>
      </c>
      <c r="AJ52" s="133" t="s">
        <v>46</v>
      </c>
      <c r="AK52" s="133" t="s">
        <v>54</v>
      </c>
      <c r="AL52" s="133" t="s">
        <v>48</v>
      </c>
      <c r="AM52" s="133" t="s">
        <v>49</v>
      </c>
      <c r="AN52" s="133" t="str">
        <f>VLOOKUP(I52,Sheet1!A:D,4,)</f>
        <v>A320400</v>
      </c>
      <c r="AP52" s="194" t="s">
        <v>722</v>
      </c>
    </row>
    <row r="53" spans="1:42" s="133" customFormat="1" ht="14.25" hidden="1" x14ac:dyDescent="0.2">
      <c r="A53" s="149">
        <v>45689</v>
      </c>
      <c r="B53" s="133" t="s">
        <v>40</v>
      </c>
      <c r="C53" s="133" t="s">
        <v>41</v>
      </c>
      <c r="D53" s="150">
        <v>25707972</v>
      </c>
      <c r="E53" s="150">
        <v>24106315</v>
      </c>
      <c r="F53" s="150" t="s">
        <v>715</v>
      </c>
      <c r="G53" s="151">
        <v>45692</v>
      </c>
      <c r="H53" s="133" t="s">
        <v>115</v>
      </c>
      <c r="I53" s="133" t="s">
        <v>417</v>
      </c>
      <c r="J53" s="133" t="s">
        <v>630</v>
      </c>
      <c r="K53" s="152">
        <v>100</v>
      </c>
      <c r="L53" s="153" t="s">
        <v>42</v>
      </c>
      <c r="M53" s="152">
        <v>100</v>
      </c>
      <c r="N53" s="152">
        <v>1593215.4</v>
      </c>
      <c r="O53" s="152">
        <v>159321540</v>
      </c>
      <c r="P53" s="152">
        <v>159321540</v>
      </c>
      <c r="Q53" s="136">
        <v>0</v>
      </c>
      <c r="R53" s="136">
        <v>0</v>
      </c>
      <c r="S53" s="153" t="s">
        <v>43</v>
      </c>
      <c r="T53" s="152">
        <v>124665800</v>
      </c>
      <c r="U53" s="152">
        <v>124665800</v>
      </c>
      <c r="V53" s="152">
        <v>34655740</v>
      </c>
      <c r="W53" s="154">
        <v>0.21752074452699999</v>
      </c>
      <c r="X53" s="152">
        <v>34655740</v>
      </c>
      <c r="Y53" s="133" t="s">
        <v>66</v>
      </c>
      <c r="Z53" s="133" t="s">
        <v>44</v>
      </c>
      <c r="AA53" s="133">
        <v>15159</v>
      </c>
      <c r="AB53" s="133" t="s">
        <v>118</v>
      </c>
      <c r="AC53" s="133" t="s">
        <v>45</v>
      </c>
      <c r="AD53" s="133" t="s">
        <v>67</v>
      </c>
      <c r="AE53" s="133">
        <v>0</v>
      </c>
      <c r="AF53" s="133" t="s">
        <v>119</v>
      </c>
      <c r="AG53" s="133" t="s">
        <v>120</v>
      </c>
      <c r="AH53" s="133" t="s">
        <v>121</v>
      </c>
      <c r="AI53" s="133" t="s">
        <v>69</v>
      </c>
      <c r="AJ53" s="133" t="s">
        <v>46</v>
      </c>
      <c r="AK53" s="133" t="s">
        <v>54</v>
      </c>
      <c r="AL53" s="133" t="s">
        <v>48</v>
      </c>
      <c r="AM53" s="133" t="s">
        <v>49</v>
      </c>
      <c r="AN53" s="133" t="str">
        <f>VLOOKUP(I53,Sheet1!A:D,4,)</f>
        <v>A320400</v>
      </c>
      <c r="AP53" s="194" t="s">
        <v>722</v>
      </c>
    </row>
    <row r="54" spans="1:42" s="133" customFormat="1" ht="14.25" hidden="1" x14ac:dyDescent="0.2">
      <c r="A54" s="149">
        <v>45689</v>
      </c>
      <c r="B54" s="133" t="s">
        <v>40</v>
      </c>
      <c r="C54" s="133" t="s">
        <v>41</v>
      </c>
      <c r="D54" s="150">
        <v>25707973</v>
      </c>
      <c r="E54" s="150">
        <v>24106353</v>
      </c>
      <c r="F54" s="150" t="s">
        <v>163</v>
      </c>
      <c r="G54" s="151">
        <v>45692</v>
      </c>
      <c r="H54" s="133" t="s">
        <v>126</v>
      </c>
      <c r="I54" s="133" t="s">
        <v>430</v>
      </c>
      <c r="J54" s="133" t="s">
        <v>643</v>
      </c>
      <c r="K54" s="152">
        <v>300</v>
      </c>
      <c r="L54" s="153" t="s">
        <v>42</v>
      </c>
      <c r="M54" s="152">
        <v>300</v>
      </c>
      <c r="N54" s="152">
        <v>384600.54</v>
      </c>
      <c r="O54" s="152">
        <v>115380162</v>
      </c>
      <c r="P54" s="152">
        <v>115380162</v>
      </c>
      <c r="Q54" s="136">
        <v>0</v>
      </c>
      <c r="R54" s="136">
        <v>0</v>
      </c>
      <c r="S54" s="153" t="s">
        <v>43</v>
      </c>
      <c r="T54" s="152">
        <v>69828751.019999996</v>
      </c>
      <c r="U54" s="152">
        <v>69828751.019999996</v>
      </c>
      <c r="V54" s="152">
        <v>45551410.979999997</v>
      </c>
      <c r="W54" s="154">
        <v>0.39479413263399998</v>
      </c>
      <c r="X54" s="152">
        <v>45551410.979999997</v>
      </c>
      <c r="Y54" s="133" t="s">
        <v>69</v>
      </c>
      <c r="Z54" s="133" t="s">
        <v>46</v>
      </c>
      <c r="AA54" s="133">
        <v>2306153</v>
      </c>
      <c r="AB54" s="133" t="s">
        <v>126</v>
      </c>
      <c r="AC54" s="133" t="s">
        <v>45</v>
      </c>
      <c r="AD54" s="133" t="s">
        <v>67</v>
      </c>
      <c r="AE54" s="133">
        <v>0</v>
      </c>
      <c r="AF54" s="133" t="s">
        <v>119</v>
      </c>
      <c r="AG54" s="133" t="s">
        <v>120</v>
      </c>
      <c r="AH54" s="133" t="s">
        <v>121</v>
      </c>
      <c r="AI54" s="133" t="s">
        <v>69</v>
      </c>
      <c r="AJ54" s="133" t="s">
        <v>46</v>
      </c>
      <c r="AK54" s="133" t="s">
        <v>54</v>
      </c>
      <c r="AL54" s="133" t="s">
        <v>48</v>
      </c>
      <c r="AM54" s="133" t="s">
        <v>49</v>
      </c>
      <c r="AN54" s="133" t="str">
        <f>VLOOKUP(I54,Sheet1!A:D,4,)</f>
        <v>A320400</v>
      </c>
      <c r="AP54" s="194" t="s">
        <v>722</v>
      </c>
    </row>
    <row r="55" spans="1:42" s="133" customFormat="1" ht="14.25" hidden="1" x14ac:dyDescent="0.2">
      <c r="A55" s="149">
        <v>45689</v>
      </c>
      <c r="B55" s="133" t="s">
        <v>40</v>
      </c>
      <c r="C55" s="133" t="s">
        <v>41</v>
      </c>
      <c r="D55" s="150">
        <v>25707973</v>
      </c>
      <c r="E55" s="150">
        <v>24106353</v>
      </c>
      <c r="F55" s="150" t="s">
        <v>163</v>
      </c>
      <c r="G55" s="151">
        <v>45692</v>
      </c>
      <c r="H55" s="133" t="s">
        <v>126</v>
      </c>
      <c r="I55" s="133" t="s">
        <v>134</v>
      </c>
      <c r="J55" s="133" t="s">
        <v>135</v>
      </c>
      <c r="K55" s="152">
        <v>600</v>
      </c>
      <c r="L55" s="153" t="s">
        <v>42</v>
      </c>
      <c r="M55" s="152">
        <v>600</v>
      </c>
      <c r="N55" s="152">
        <v>410282.59</v>
      </c>
      <c r="O55" s="152">
        <v>246169554</v>
      </c>
      <c r="P55" s="152">
        <v>246169554</v>
      </c>
      <c r="Q55" s="136">
        <v>0</v>
      </c>
      <c r="R55" s="136">
        <v>0</v>
      </c>
      <c r="S55" s="153" t="s">
        <v>43</v>
      </c>
      <c r="T55" s="152">
        <v>108429335.03</v>
      </c>
      <c r="U55" s="152">
        <v>108429335.03</v>
      </c>
      <c r="V55" s="152">
        <v>137740218.97</v>
      </c>
      <c r="W55" s="154">
        <v>0.55953393395600004</v>
      </c>
      <c r="X55" s="152">
        <v>137740218.97</v>
      </c>
      <c r="Y55" s="133" t="s">
        <v>69</v>
      </c>
      <c r="Z55" s="133" t="s">
        <v>46</v>
      </c>
      <c r="AA55" s="133">
        <v>2306153</v>
      </c>
      <c r="AB55" s="133" t="s">
        <v>126</v>
      </c>
      <c r="AC55" s="133" t="s">
        <v>45</v>
      </c>
      <c r="AD55" s="133" t="s">
        <v>67</v>
      </c>
      <c r="AE55" s="133">
        <v>0</v>
      </c>
      <c r="AF55" s="133" t="s">
        <v>68</v>
      </c>
      <c r="AG55" s="133" t="s">
        <v>71</v>
      </c>
      <c r="AH55" s="133" t="s">
        <v>53</v>
      </c>
      <c r="AI55" s="133" t="s">
        <v>69</v>
      </c>
      <c r="AJ55" s="133" t="s">
        <v>46</v>
      </c>
      <c r="AK55" s="133" t="s">
        <v>54</v>
      </c>
      <c r="AL55" s="133" t="s">
        <v>48</v>
      </c>
      <c r="AM55" s="133" t="s">
        <v>49</v>
      </c>
      <c r="AN55" s="133" t="str">
        <f>VLOOKUP(I55,Sheet1!A:D,4,)</f>
        <v>A320400</v>
      </c>
      <c r="AP55" s="194" t="s">
        <v>722</v>
      </c>
    </row>
    <row r="56" spans="1:42" s="133" customFormat="1" ht="14.25" hidden="1" x14ac:dyDescent="0.2">
      <c r="A56" s="149">
        <v>45689</v>
      </c>
      <c r="B56" s="133" t="s">
        <v>40</v>
      </c>
      <c r="C56" s="133" t="s">
        <v>41</v>
      </c>
      <c r="D56" s="150">
        <v>25707973</v>
      </c>
      <c r="E56" s="150">
        <v>24106353</v>
      </c>
      <c r="F56" s="150" t="s">
        <v>163</v>
      </c>
      <c r="G56" s="151">
        <v>45692</v>
      </c>
      <c r="H56" s="133" t="s">
        <v>126</v>
      </c>
      <c r="I56" s="133" t="s">
        <v>419</v>
      </c>
      <c r="J56" s="133" t="s">
        <v>716</v>
      </c>
      <c r="K56" s="152">
        <v>60</v>
      </c>
      <c r="L56" s="153" t="s">
        <v>42</v>
      </c>
      <c r="M56" s="152">
        <v>60</v>
      </c>
      <c r="N56" s="152">
        <v>1543916.72</v>
      </c>
      <c r="O56" s="152">
        <v>92635003.200000003</v>
      </c>
      <c r="P56" s="152">
        <v>92635003.200000003</v>
      </c>
      <c r="Q56" s="136">
        <v>0</v>
      </c>
      <c r="R56" s="136">
        <v>0</v>
      </c>
      <c r="S56" s="153" t="s">
        <v>43</v>
      </c>
      <c r="T56" s="152">
        <v>39273673.439999998</v>
      </c>
      <c r="U56" s="152">
        <v>39273673.439999998</v>
      </c>
      <c r="V56" s="152">
        <v>53361329.759999998</v>
      </c>
      <c r="W56" s="154">
        <v>0.57603851585900001</v>
      </c>
      <c r="X56" s="152">
        <v>53361329.759999998</v>
      </c>
      <c r="Y56" s="133" t="s">
        <v>69</v>
      </c>
      <c r="Z56" s="133" t="s">
        <v>46</v>
      </c>
      <c r="AA56" s="133">
        <v>2306153</v>
      </c>
      <c r="AB56" s="133" t="s">
        <v>126</v>
      </c>
      <c r="AC56" s="133" t="s">
        <v>45</v>
      </c>
      <c r="AD56" s="133" t="s">
        <v>67</v>
      </c>
      <c r="AE56" s="133">
        <v>0</v>
      </c>
      <c r="AF56" s="133" t="s">
        <v>68</v>
      </c>
      <c r="AG56" s="133" t="s">
        <v>71</v>
      </c>
      <c r="AH56" s="133" t="s">
        <v>53</v>
      </c>
      <c r="AI56" s="133" t="s">
        <v>69</v>
      </c>
      <c r="AJ56" s="133" t="s">
        <v>46</v>
      </c>
      <c r="AK56" s="133" t="s">
        <v>54</v>
      </c>
      <c r="AL56" s="133" t="s">
        <v>48</v>
      </c>
      <c r="AM56" s="133" t="s">
        <v>49</v>
      </c>
      <c r="AN56" s="133" t="str">
        <f>VLOOKUP(I56,Sheet1!A:D,4,)</f>
        <v>A320400</v>
      </c>
      <c r="AP56" s="194" t="s">
        <v>722</v>
      </c>
    </row>
    <row r="57" spans="1:42" s="133" customFormat="1" ht="14.25" hidden="1" x14ac:dyDescent="0.2">
      <c r="A57" s="149">
        <v>45689</v>
      </c>
      <c r="B57" s="133" t="s">
        <v>40</v>
      </c>
      <c r="C57" s="133" t="s">
        <v>41</v>
      </c>
      <c r="D57" s="150">
        <v>25707974</v>
      </c>
      <c r="E57" s="150">
        <v>24106356</v>
      </c>
      <c r="F57" s="150" t="s">
        <v>717</v>
      </c>
      <c r="G57" s="151">
        <v>45692</v>
      </c>
      <c r="H57" s="133" t="s">
        <v>237</v>
      </c>
      <c r="I57" s="133" t="s">
        <v>134</v>
      </c>
      <c r="J57" s="133" t="s">
        <v>645</v>
      </c>
      <c r="K57" s="152">
        <v>590</v>
      </c>
      <c r="L57" s="153" t="s">
        <v>42</v>
      </c>
      <c r="M57" s="152">
        <v>590</v>
      </c>
      <c r="N57" s="152">
        <v>410282.59</v>
      </c>
      <c r="O57" s="152">
        <v>242066728.09999999</v>
      </c>
      <c r="P57" s="152">
        <v>242066728.09999999</v>
      </c>
      <c r="Q57" s="136">
        <v>0</v>
      </c>
      <c r="R57" s="136">
        <v>0</v>
      </c>
      <c r="S57" s="153" t="s">
        <v>43</v>
      </c>
      <c r="T57" s="152">
        <v>106622179.44</v>
      </c>
      <c r="U57" s="152">
        <v>106622179.44</v>
      </c>
      <c r="V57" s="152">
        <v>135444548.66</v>
      </c>
      <c r="W57" s="154">
        <v>0.55953393398200002</v>
      </c>
      <c r="X57" s="152">
        <v>135444548.66</v>
      </c>
      <c r="Y57" s="133" t="s">
        <v>101</v>
      </c>
      <c r="Z57" s="133" t="s">
        <v>46</v>
      </c>
      <c r="AA57" s="133">
        <v>2306153</v>
      </c>
      <c r="AB57" s="133" t="s">
        <v>237</v>
      </c>
      <c r="AC57" s="133" t="s">
        <v>45</v>
      </c>
      <c r="AD57" s="133" t="s">
        <v>199</v>
      </c>
      <c r="AE57" s="133">
        <v>0</v>
      </c>
      <c r="AF57" s="133" t="s">
        <v>191</v>
      </c>
      <c r="AG57" s="133" t="s">
        <v>242</v>
      </c>
      <c r="AH57" s="133" t="s">
        <v>53</v>
      </c>
      <c r="AI57" s="133" t="s">
        <v>101</v>
      </c>
      <c r="AJ57" s="133" t="s">
        <v>46</v>
      </c>
      <c r="AK57" s="133" t="s">
        <v>54</v>
      </c>
      <c r="AL57" s="133" t="s">
        <v>48</v>
      </c>
      <c r="AM57" s="133" t="s">
        <v>49</v>
      </c>
      <c r="AN57" s="133" t="str">
        <f>VLOOKUP(I57,Sheet1!A:D,4,)</f>
        <v>A320400</v>
      </c>
      <c r="AP57" s="194" t="s">
        <v>722</v>
      </c>
    </row>
    <row r="58" spans="1:42" s="133" customFormat="1" ht="14.25" hidden="1" x14ac:dyDescent="0.2">
      <c r="A58" s="149">
        <v>45689</v>
      </c>
      <c r="B58" s="133" t="s">
        <v>40</v>
      </c>
      <c r="C58" s="133" t="s">
        <v>41</v>
      </c>
      <c r="D58" s="150">
        <v>25707974</v>
      </c>
      <c r="E58" s="150">
        <v>24106356</v>
      </c>
      <c r="F58" s="150" t="s">
        <v>717</v>
      </c>
      <c r="G58" s="151">
        <v>45692</v>
      </c>
      <c r="H58" s="133" t="s">
        <v>237</v>
      </c>
      <c r="I58" s="133" t="s">
        <v>419</v>
      </c>
      <c r="J58" s="133" t="s">
        <v>632</v>
      </c>
      <c r="K58" s="152">
        <v>60</v>
      </c>
      <c r="L58" s="153" t="s">
        <v>42</v>
      </c>
      <c r="M58" s="152">
        <v>60</v>
      </c>
      <c r="N58" s="152">
        <v>1543916.72</v>
      </c>
      <c r="O58" s="152">
        <v>92635003.200000003</v>
      </c>
      <c r="P58" s="152">
        <v>92635003.200000003</v>
      </c>
      <c r="Q58" s="136">
        <v>0</v>
      </c>
      <c r="R58" s="136">
        <v>0</v>
      </c>
      <c r="S58" s="153" t="s">
        <v>43</v>
      </c>
      <c r="T58" s="152">
        <v>39273673.439999998</v>
      </c>
      <c r="U58" s="152">
        <v>39273673.439999998</v>
      </c>
      <c r="V58" s="152">
        <v>53361329.759999998</v>
      </c>
      <c r="W58" s="154">
        <v>0.57603851585900001</v>
      </c>
      <c r="X58" s="152">
        <v>53361329.759999998</v>
      </c>
      <c r="Y58" s="133" t="s">
        <v>101</v>
      </c>
      <c r="Z58" s="133" t="s">
        <v>46</v>
      </c>
      <c r="AA58" s="133">
        <v>2306153</v>
      </c>
      <c r="AB58" s="133" t="s">
        <v>237</v>
      </c>
      <c r="AC58" s="133" t="s">
        <v>45</v>
      </c>
      <c r="AD58" s="133" t="s">
        <v>199</v>
      </c>
      <c r="AE58" s="133">
        <v>0</v>
      </c>
      <c r="AF58" s="133" t="s">
        <v>191</v>
      </c>
      <c r="AG58" s="133" t="s">
        <v>242</v>
      </c>
      <c r="AH58" s="133" t="s">
        <v>53</v>
      </c>
      <c r="AI58" s="133" t="s">
        <v>101</v>
      </c>
      <c r="AJ58" s="133" t="s">
        <v>46</v>
      </c>
      <c r="AK58" s="133" t="s">
        <v>54</v>
      </c>
      <c r="AL58" s="133" t="s">
        <v>48</v>
      </c>
      <c r="AM58" s="133" t="s">
        <v>49</v>
      </c>
      <c r="AN58" s="133" t="str">
        <f>VLOOKUP(I58,Sheet1!A:D,4,)</f>
        <v>A320400</v>
      </c>
      <c r="AP58" s="194" t="s">
        <v>722</v>
      </c>
    </row>
    <row r="59" spans="1:42" s="133" customFormat="1" ht="14.25" hidden="1" x14ac:dyDescent="0.2">
      <c r="A59" s="149">
        <v>45689</v>
      </c>
      <c r="B59" s="133" t="s">
        <v>40</v>
      </c>
      <c r="C59" s="133" t="s">
        <v>41</v>
      </c>
      <c r="D59" s="150">
        <v>25707975</v>
      </c>
      <c r="E59" s="150">
        <v>24106388</v>
      </c>
      <c r="F59" s="150" t="s">
        <v>718</v>
      </c>
      <c r="G59" s="151">
        <v>45692</v>
      </c>
      <c r="H59" s="133" t="s">
        <v>237</v>
      </c>
      <c r="I59" s="133" t="s">
        <v>177</v>
      </c>
      <c r="J59" s="133" t="s">
        <v>243</v>
      </c>
      <c r="K59" s="152">
        <v>120</v>
      </c>
      <c r="L59" s="153" t="s">
        <v>42</v>
      </c>
      <c r="M59" s="152">
        <v>120</v>
      </c>
      <c r="N59" s="152">
        <v>790453.18</v>
      </c>
      <c r="O59" s="152">
        <v>94854381.599999994</v>
      </c>
      <c r="P59" s="152">
        <v>94854381.599999994</v>
      </c>
      <c r="Q59" s="136">
        <v>0</v>
      </c>
      <c r="R59" s="136">
        <v>0</v>
      </c>
      <c r="S59" s="153" t="s">
        <v>43</v>
      </c>
      <c r="T59" s="152">
        <v>65369947.979999997</v>
      </c>
      <c r="U59" s="152">
        <v>65369947.979999997</v>
      </c>
      <c r="V59" s="152">
        <v>29484433.620000001</v>
      </c>
      <c r="W59" s="154">
        <v>0.31083892090800003</v>
      </c>
      <c r="X59" s="152">
        <v>29484433.620000001</v>
      </c>
      <c r="Y59" s="133" t="s">
        <v>101</v>
      </c>
      <c r="Z59" s="133" t="s">
        <v>46</v>
      </c>
      <c r="AA59" s="133">
        <v>2306153</v>
      </c>
      <c r="AB59" s="133" t="s">
        <v>237</v>
      </c>
      <c r="AC59" s="133" t="s">
        <v>45</v>
      </c>
      <c r="AD59" s="133" t="s">
        <v>199</v>
      </c>
      <c r="AE59" s="133">
        <v>0</v>
      </c>
      <c r="AF59" s="133" t="s">
        <v>207</v>
      </c>
      <c r="AG59" s="133" t="s">
        <v>101</v>
      </c>
      <c r="AH59" s="133" t="s">
        <v>46</v>
      </c>
      <c r="AI59" s="133" t="s">
        <v>101</v>
      </c>
      <c r="AJ59" s="133" t="s">
        <v>46</v>
      </c>
      <c r="AK59" s="133" t="s">
        <v>54</v>
      </c>
      <c r="AL59" s="133" t="s">
        <v>48</v>
      </c>
      <c r="AM59" s="133" t="s">
        <v>49</v>
      </c>
      <c r="AN59" s="133" t="str">
        <f>VLOOKUP(I59,Sheet1!A:D,4,)</f>
        <v>A320400</v>
      </c>
      <c r="AP59" s="194" t="s">
        <v>722</v>
      </c>
    </row>
    <row r="60" spans="1:42" s="133" customFormat="1" ht="14.25" hidden="1" x14ac:dyDescent="0.2">
      <c r="A60" s="149">
        <v>45689</v>
      </c>
      <c r="B60" s="133" t="s">
        <v>40</v>
      </c>
      <c r="C60" s="133" t="s">
        <v>41</v>
      </c>
      <c r="D60" s="150">
        <v>25707976</v>
      </c>
      <c r="E60" s="150">
        <v>24106408</v>
      </c>
      <c r="F60" s="150" t="s">
        <v>719</v>
      </c>
      <c r="G60" s="151">
        <v>45692</v>
      </c>
      <c r="H60" s="133" t="s">
        <v>245</v>
      </c>
      <c r="I60" s="133" t="s">
        <v>164</v>
      </c>
      <c r="J60" s="133" t="s">
        <v>538</v>
      </c>
      <c r="K60" s="152">
        <v>300</v>
      </c>
      <c r="L60" s="153" t="s">
        <v>42</v>
      </c>
      <c r="M60" s="152">
        <v>300</v>
      </c>
      <c r="N60" s="152">
        <v>402735.74</v>
      </c>
      <c r="O60" s="152">
        <v>120820722</v>
      </c>
      <c r="P60" s="152">
        <v>120820722</v>
      </c>
      <c r="Q60" s="136">
        <v>0</v>
      </c>
      <c r="R60" s="136">
        <v>0</v>
      </c>
      <c r="S60" s="153" t="s">
        <v>43</v>
      </c>
      <c r="T60" s="152">
        <v>93780030</v>
      </c>
      <c r="U60" s="152">
        <v>93780030</v>
      </c>
      <c r="V60" s="152">
        <v>27040692</v>
      </c>
      <c r="W60" s="154">
        <v>0.223808396046</v>
      </c>
      <c r="X60" s="152">
        <v>27040692</v>
      </c>
      <c r="Y60" s="133" t="s">
        <v>235</v>
      </c>
      <c r="Z60" s="133" t="s">
        <v>44</v>
      </c>
      <c r="AA60" s="133">
        <v>15159</v>
      </c>
      <c r="AB60" s="133" t="s">
        <v>246</v>
      </c>
      <c r="AC60" s="133" t="s">
        <v>45</v>
      </c>
      <c r="AD60" s="133" t="s">
        <v>199</v>
      </c>
      <c r="AE60" s="133">
        <v>0</v>
      </c>
      <c r="AF60" s="133" t="s">
        <v>727</v>
      </c>
      <c r="AG60" s="133" t="s">
        <v>728</v>
      </c>
      <c r="AH60" s="133" t="s">
        <v>121</v>
      </c>
      <c r="AI60" s="133" t="s">
        <v>101</v>
      </c>
      <c r="AJ60" s="133" t="s">
        <v>46</v>
      </c>
      <c r="AK60" s="133" t="s">
        <v>54</v>
      </c>
      <c r="AL60" s="133" t="s">
        <v>48</v>
      </c>
      <c r="AM60" s="133" t="s">
        <v>49</v>
      </c>
      <c r="AN60" s="133" t="str">
        <f>VLOOKUP(I60,Sheet1!A:D,4,)</f>
        <v>A320400</v>
      </c>
      <c r="AP60" s="194" t="s">
        <v>722</v>
      </c>
    </row>
    <row r="61" spans="1:42" s="133" customFormat="1" ht="14.25" hidden="1" x14ac:dyDescent="0.2">
      <c r="A61" s="149">
        <v>45689</v>
      </c>
      <c r="B61" s="133" t="s">
        <v>40</v>
      </c>
      <c r="C61" s="133" t="s">
        <v>41</v>
      </c>
      <c r="D61" s="150">
        <v>25707977</v>
      </c>
      <c r="E61" s="150">
        <v>24106443</v>
      </c>
      <c r="F61" s="150" t="s">
        <v>720</v>
      </c>
      <c r="G61" s="151">
        <v>45692</v>
      </c>
      <c r="H61" s="133" t="s">
        <v>237</v>
      </c>
      <c r="I61" s="133" t="s">
        <v>122</v>
      </c>
      <c r="J61" s="133" t="s">
        <v>238</v>
      </c>
      <c r="K61" s="152">
        <v>40</v>
      </c>
      <c r="L61" s="153" t="s">
        <v>42</v>
      </c>
      <c r="M61" s="152">
        <v>40</v>
      </c>
      <c r="N61" s="152">
        <v>431239.87</v>
      </c>
      <c r="O61" s="152">
        <v>17249594.800000001</v>
      </c>
      <c r="P61" s="152">
        <v>17249594.800000001</v>
      </c>
      <c r="Q61" s="136">
        <v>0</v>
      </c>
      <c r="R61" s="136">
        <v>0</v>
      </c>
      <c r="S61" s="153" t="s">
        <v>43</v>
      </c>
      <c r="T61" s="152">
        <v>9575793.0999999996</v>
      </c>
      <c r="U61" s="152">
        <v>9575793.0999999996</v>
      </c>
      <c r="V61" s="152">
        <v>7673801.7000000002</v>
      </c>
      <c r="W61" s="154">
        <v>0.44486851946200001</v>
      </c>
      <c r="X61" s="152">
        <v>7673801.7000000002</v>
      </c>
      <c r="Y61" s="133" t="s">
        <v>101</v>
      </c>
      <c r="Z61" s="133" t="s">
        <v>46</v>
      </c>
      <c r="AA61" s="133">
        <v>2306153</v>
      </c>
      <c r="AB61" s="133" t="s">
        <v>237</v>
      </c>
      <c r="AC61" s="133" t="s">
        <v>45</v>
      </c>
      <c r="AD61" s="133" t="s">
        <v>199</v>
      </c>
      <c r="AE61" s="133">
        <v>0</v>
      </c>
      <c r="AF61" s="133" t="s">
        <v>212</v>
      </c>
      <c r="AG61" s="133" t="s">
        <v>213</v>
      </c>
      <c r="AH61" s="133" t="s">
        <v>57</v>
      </c>
      <c r="AI61" s="133" t="s">
        <v>101</v>
      </c>
      <c r="AJ61" s="133" t="s">
        <v>46</v>
      </c>
      <c r="AK61" s="133" t="s">
        <v>54</v>
      </c>
      <c r="AL61" s="133" t="s">
        <v>48</v>
      </c>
      <c r="AM61" s="133" t="s">
        <v>49</v>
      </c>
      <c r="AN61" s="133" t="str">
        <f>VLOOKUP(I61,Sheet1!A:D,4,)</f>
        <v>A320400</v>
      </c>
      <c r="AP61" s="194" t="s">
        <v>722</v>
      </c>
    </row>
    <row r="62" spans="1:42" s="133" customFormat="1" ht="14.25" hidden="1" x14ac:dyDescent="0.2">
      <c r="A62" s="149">
        <v>45689</v>
      </c>
      <c r="B62" s="133" t="s">
        <v>40</v>
      </c>
      <c r="C62" s="133" t="s">
        <v>41</v>
      </c>
      <c r="D62" s="150">
        <v>25707977</v>
      </c>
      <c r="E62" s="150">
        <v>24106443</v>
      </c>
      <c r="F62" s="150" t="s">
        <v>720</v>
      </c>
      <c r="G62" s="151">
        <v>45692</v>
      </c>
      <c r="H62" s="133" t="s">
        <v>237</v>
      </c>
      <c r="I62" s="133" t="s">
        <v>240</v>
      </c>
      <c r="J62" s="133" t="s">
        <v>241</v>
      </c>
      <c r="K62" s="152">
        <v>10</v>
      </c>
      <c r="L62" s="153" t="s">
        <v>42</v>
      </c>
      <c r="M62" s="152">
        <v>10</v>
      </c>
      <c r="N62" s="152">
        <v>4207423.84</v>
      </c>
      <c r="O62" s="152">
        <v>42074238.399999999</v>
      </c>
      <c r="P62" s="152">
        <v>42074238.399999999</v>
      </c>
      <c r="Q62" s="136">
        <v>0</v>
      </c>
      <c r="R62" s="136">
        <v>0</v>
      </c>
      <c r="S62" s="153" t="s">
        <v>43</v>
      </c>
      <c r="T62" s="152">
        <v>31457956.219999999</v>
      </c>
      <c r="U62" s="152">
        <v>31457956.219999999</v>
      </c>
      <c r="V62" s="152">
        <v>10616282.18</v>
      </c>
      <c r="W62" s="154">
        <v>0.25232262267099997</v>
      </c>
      <c r="X62" s="152">
        <v>10616282.18</v>
      </c>
      <c r="Y62" s="133" t="s">
        <v>101</v>
      </c>
      <c r="Z62" s="133" t="s">
        <v>46</v>
      </c>
      <c r="AA62" s="133">
        <v>2306153</v>
      </c>
      <c r="AB62" s="133" t="s">
        <v>237</v>
      </c>
      <c r="AC62" s="133" t="s">
        <v>45</v>
      </c>
      <c r="AD62" s="133" t="s">
        <v>199</v>
      </c>
      <c r="AE62" s="133">
        <v>0</v>
      </c>
      <c r="AF62" s="133" t="s">
        <v>191</v>
      </c>
      <c r="AG62" s="133" t="s">
        <v>242</v>
      </c>
      <c r="AH62" s="133" t="s">
        <v>53</v>
      </c>
      <c r="AI62" s="133" t="s">
        <v>101</v>
      </c>
      <c r="AJ62" s="133" t="s">
        <v>46</v>
      </c>
      <c r="AK62" s="133" t="s">
        <v>54</v>
      </c>
      <c r="AL62" s="133" t="s">
        <v>48</v>
      </c>
      <c r="AM62" s="133" t="s">
        <v>49</v>
      </c>
      <c r="AN62" s="133" t="str">
        <f>VLOOKUP(I62,Sheet1!A:D,4,)</f>
        <v>A320400</v>
      </c>
      <c r="AP62" s="187" t="s">
        <v>740</v>
      </c>
    </row>
    <row r="63" spans="1:42" s="133" customFormat="1" ht="14.25" hidden="1" x14ac:dyDescent="0.2">
      <c r="A63" s="149">
        <v>45689</v>
      </c>
      <c r="B63" s="133" t="s">
        <v>40</v>
      </c>
      <c r="C63" s="133" t="s">
        <v>41</v>
      </c>
      <c r="D63" s="150">
        <v>25707978</v>
      </c>
      <c r="E63" s="150">
        <v>24106465</v>
      </c>
      <c r="F63" s="150" t="s">
        <v>721</v>
      </c>
      <c r="G63" s="151">
        <v>45692</v>
      </c>
      <c r="H63" s="133" t="s">
        <v>237</v>
      </c>
      <c r="I63" s="133" t="s">
        <v>413</v>
      </c>
      <c r="J63" s="133" t="s">
        <v>624</v>
      </c>
      <c r="K63" s="152">
        <v>20</v>
      </c>
      <c r="L63" s="153" t="s">
        <v>42</v>
      </c>
      <c r="M63" s="152">
        <v>20</v>
      </c>
      <c r="N63" s="152">
        <v>1126492.6000000001</v>
      </c>
      <c r="O63" s="152">
        <v>22529852</v>
      </c>
      <c r="P63" s="152">
        <v>22529852</v>
      </c>
      <c r="Q63" s="136">
        <v>0</v>
      </c>
      <c r="R63" s="136">
        <v>0</v>
      </c>
      <c r="S63" s="153" t="s">
        <v>43</v>
      </c>
      <c r="T63" s="152">
        <v>10425190.6</v>
      </c>
      <c r="U63" s="152">
        <v>10425190.6</v>
      </c>
      <c r="V63" s="152">
        <v>12104661.4</v>
      </c>
      <c r="W63" s="154">
        <v>0.53727212233699995</v>
      </c>
      <c r="X63" s="152">
        <v>12104661.4</v>
      </c>
      <c r="Y63" s="133" t="s">
        <v>101</v>
      </c>
      <c r="Z63" s="133" t="s">
        <v>46</v>
      </c>
      <c r="AA63" s="133">
        <v>2306153</v>
      </c>
      <c r="AB63" s="133" t="s">
        <v>237</v>
      </c>
      <c r="AC63" s="133" t="s">
        <v>45</v>
      </c>
      <c r="AD63" s="133" t="s">
        <v>199</v>
      </c>
      <c r="AE63" s="133">
        <v>0</v>
      </c>
      <c r="AF63" s="133" t="s">
        <v>207</v>
      </c>
      <c r="AG63" s="133" t="s">
        <v>101</v>
      </c>
      <c r="AH63" s="133" t="s">
        <v>46</v>
      </c>
      <c r="AI63" s="133" t="s">
        <v>101</v>
      </c>
      <c r="AJ63" s="133" t="s">
        <v>46</v>
      </c>
      <c r="AK63" s="133" t="s">
        <v>54</v>
      </c>
      <c r="AL63" s="133" t="s">
        <v>48</v>
      </c>
      <c r="AM63" s="133" t="s">
        <v>49</v>
      </c>
      <c r="AN63" s="133" t="str">
        <f>VLOOKUP(I63,Sheet1!A:D,4,)</f>
        <v>A320400</v>
      </c>
      <c r="AP63" s="187" t="s">
        <v>740</v>
      </c>
    </row>
    <row r="64" spans="1:42" s="133" customFormat="1" ht="14.25" hidden="1" x14ac:dyDescent="0.2">
      <c r="A64" s="149">
        <v>45689</v>
      </c>
      <c r="B64" s="133" t="s">
        <v>40</v>
      </c>
      <c r="C64" s="133" t="s">
        <v>41</v>
      </c>
      <c r="D64" s="150">
        <v>25707984</v>
      </c>
      <c r="E64" s="150">
        <v>25106592</v>
      </c>
      <c r="F64" s="150" t="s">
        <v>741</v>
      </c>
      <c r="G64" s="151">
        <v>45694</v>
      </c>
      <c r="H64" s="133" t="s">
        <v>237</v>
      </c>
      <c r="I64" s="133" t="s">
        <v>742</v>
      </c>
      <c r="J64" s="133" t="s">
        <v>743</v>
      </c>
      <c r="K64" s="152">
        <v>25</v>
      </c>
      <c r="L64" s="153" t="s">
        <v>42</v>
      </c>
      <c r="M64" s="152">
        <v>25</v>
      </c>
      <c r="N64" s="152">
        <v>362987.27</v>
      </c>
      <c r="O64" s="152">
        <v>9074681.75</v>
      </c>
      <c r="P64" s="152">
        <v>9074681.75</v>
      </c>
      <c r="Q64" s="136">
        <v>0</v>
      </c>
      <c r="R64" s="136">
        <v>0</v>
      </c>
      <c r="S64" s="153" t="s">
        <v>43</v>
      </c>
      <c r="T64" s="152">
        <v>18082697.98</v>
      </c>
      <c r="U64" s="152">
        <v>18082697.98</v>
      </c>
      <c r="V64" s="152">
        <v>-9008016.2300000004</v>
      </c>
      <c r="W64" s="154">
        <v>-0.99265367956200001</v>
      </c>
      <c r="X64" s="152">
        <v>-9008016.2300000004</v>
      </c>
      <c r="Y64" s="133" t="s">
        <v>101</v>
      </c>
      <c r="Z64" s="133" t="s">
        <v>46</v>
      </c>
      <c r="AA64" s="133">
        <v>2306153</v>
      </c>
      <c r="AB64" s="133" t="s">
        <v>237</v>
      </c>
      <c r="AC64" s="133" t="s">
        <v>45</v>
      </c>
      <c r="AD64" s="133" t="s">
        <v>199</v>
      </c>
      <c r="AE64" s="133">
        <v>0</v>
      </c>
      <c r="AF64" s="133" t="s">
        <v>207</v>
      </c>
      <c r="AG64" s="133" t="s">
        <v>101</v>
      </c>
      <c r="AH64" s="133" t="s">
        <v>46</v>
      </c>
      <c r="AI64" s="133" t="s">
        <v>101</v>
      </c>
      <c r="AJ64" s="133" t="s">
        <v>46</v>
      </c>
      <c r="AK64" s="133" t="s">
        <v>54</v>
      </c>
      <c r="AL64" s="133" t="s">
        <v>48</v>
      </c>
      <c r="AM64" s="133" t="s">
        <v>49</v>
      </c>
      <c r="AN64" s="133" t="e">
        <f>VLOOKUP(I64,Sheet1!A:D,4,)</f>
        <v>#N/A</v>
      </c>
      <c r="AP64" s="187" t="s">
        <v>740</v>
      </c>
    </row>
    <row r="65" spans="1:42" s="133" customFormat="1" ht="14.25" hidden="1" x14ac:dyDescent="0.2">
      <c r="A65" s="149">
        <v>45689</v>
      </c>
      <c r="B65" s="133" t="s">
        <v>40</v>
      </c>
      <c r="C65" s="133" t="s">
        <v>41</v>
      </c>
      <c r="D65" s="150">
        <v>25707984</v>
      </c>
      <c r="E65" s="150">
        <v>25106592</v>
      </c>
      <c r="F65" s="150" t="s">
        <v>741</v>
      </c>
      <c r="G65" s="151">
        <v>45694</v>
      </c>
      <c r="H65" s="133" t="s">
        <v>237</v>
      </c>
      <c r="I65" s="133" t="s">
        <v>744</v>
      </c>
      <c r="J65" s="133" t="s">
        <v>745</v>
      </c>
      <c r="K65" s="152">
        <v>25</v>
      </c>
      <c r="L65" s="153" t="s">
        <v>42</v>
      </c>
      <c r="M65" s="152">
        <v>25</v>
      </c>
      <c r="N65" s="152">
        <v>376328.8</v>
      </c>
      <c r="O65" s="152">
        <v>9408220</v>
      </c>
      <c r="P65" s="152">
        <v>9408220</v>
      </c>
      <c r="Q65" s="136">
        <v>0</v>
      </c>
      <c r="R65" s="136">
        <v>0</v>
      </c>
      <c r="S65" s="153" t="s">
        <v>43</v>
      </c>
      <c r="T65" s="152">
        <v>18381938.420000002</v>
      </c>
      <c r="U65" s="152">
        <v>18381938.420000002</v>
      </c>
      <c r="V65" s="152">
        <v>-8973718.4199999999</v>
      </c>
      <c r="W65" s="154">
        <v>-0.95381681338199997</v>
      </c>
      <c r="X65" s="152">
        <v>-8973718.4199999999</v>
      </c>
      <c r="Y65" s="133" t="s">
        <v>101</v>
      </c>
      <c r="Z65" s="133" t="s">
        <v>46</v>
      </c>
      <c r="AA65" s="133">
        <v>2306153</v>
      </c>
      <c r="AB65" s="133" t="s">
        <v>237</v>
      </c>
      <c r="AC65" s="133" t="s">
        <v>45</v>
      </c>
      <c r="AD65" s="133" t="s">
        <v>199</v>
      </c>
      <c r="AE65" s="133">
        <v>0</v>
      </c>
      <c r="AF65" s="133" t="s">
        <v>207</v>
      </c>
      <c r="AG65" s="133" t="s">
        <v>101</v>
      </c>
      <c r="AH65" s="133" t="s">
        <v>46</v>
      </c>
      <c r="AI65" s="133" t="s">
        <v>101</v>
      </c>
      <c r="AJ65" s="133" t="s">
        <v>46</v>
      </c>
      <c r="AK65" s="133" t="s">
        <v>54</v>
      </c>
      <c r="AL65" s="133" t="s">
        <v>48</v>
      </c>
      <c r="AM65" s="133" t="s">
        <v>49</v>
      </c>
      <c r="AN65" s="133" t="e">
        <f>VLOOKUP(I65,Sheet1!A:D,4,)</f>
        <v>#N/A</v>
      </c>
      <c r="AP65" s="187" t="s">
        <v>740</v>
      </c>
    </row>
    <row r="66" spans="1:42" s="133" customFormat="1" ht="14.25" hidden="1" x14ac:dyDescent="0.2">
      <c r="A66" s="149">
        <v>45689</v>
      </c>
      <c r="B66" s="133" t="s">
        <v>40</v>
      </c>
      <c r="C66" s="133" t="s">
        <v>41</v>
      </c>
      <c r="D66" s="150">
        <v>25707985</v>
      </c>
      <c r="E66" s="150">
        <v>25106575</v>
      </c>
      <c r="F66" s="150" t="s">
        <v>271</v>
      </c>
      <c r="G66" s="151">
        <v>45694</v>
      </c>
      <c r="H66" s="133" t="s">
        <v>158</v>
      </c>
      <c r="I66" s="133" t="s">
        <v>184</v>
      </c>
      <c r="J66" s="133" t="s">
        <v>625</v>
      </c>
      <c r="K66" s="152">
        <v>100</v>
      </c>
      <c r="L66" s="153" t="s">
        <v>42</v>
      </c>
      <c r="M66" s="152">
        <v>100</v>
      </c>
      <c r="N66" s="152">
        <v>586934.69999999995</v>
      </c>
      <c r="O66" s="152">
        <v>58693470</v>
      </c>
      <c r="P66" s="152">
        <v>58693470</v>
      </c>
      <c r="Q66" s="136">
        <v>0</v>
      </c>
      <c r="R66" s="136">
        <v>0</v>
      </c>
      <c r="S66" s="153" t="s">
        <v>43</v>
      </c>
      <c r="T66" s="152">
        <v>34575569.240000002</v>
      </c>
      <c r="U66" s="152">
        <v>34575569.240000002</v>
      </c>
      <c r="V66" s="152">
        <v>24117900.760000002</v>
      </c>
      <c r="W66" s="154">
        <v>0.41091284533</v>
      </c>
      <c r="X66" s="152">
        <v>24117900.760000002</v>
      </c>
      <c r="Y66" s="133" t="s">
        <v>101</v>
      </c>
      <c r="Z66" s="133" t="s">
        <v>46</v>
      </c>
      <c r="AA66" s="133">
        <v>2306495</v>
      </c>
      <c r="AB66" s="133" t="s">
        <v>161</v>
      </c>
      <c r="AC66" s="133" t="s">
        <v>56</v>
      </c>
      <c r="AD66" s="133" t="s">
        <v>103</v>
      </c>
      <c r="AE66" s="133">
        <v>0</v>
      </c>
      <c r="AF66" s="133" t="s">
        <v>207</v>
      </c>
      <c r="AG66" s="133" t="s">
        <v>101</v>
      </c>
      <c r="AH66" s="133" t="s">
        <v>46</v>
      </c>
      <c r="AI66" s="133" t="s">
        <v>101</v>
      </c>
      <c r="AJ66" s="133" t="s">
        <v>46</v>
      </c>
      <c r="AK66" s="133" t="s">
        <v>54</v>
      </c>
      <c r="AL66" s="133" t="s">
        <v>48</v>
      </c>
      <c r="AM66" s="133" t="s">
        <v>49</v>
      </c>
      <c r="AN66" s="133" t="str">
        <f>VLOOKUP(I66,Sheet1!A:D,4,)</f>
        <v>A320400</v>
      </c>
      <c r="AP66" s="187" t="s">
        <v>740</v>
      </c>
    </row>
    <row r="67" spans="1:42" s="133" customFormat="1" ht="14.25" hidden="1" x14ac:dyDescent="0.2">
      <c r="A67" s="149">
        <v>45689</v>
      </c>
      <c r="B67" s="133" t="s">
        <v>40</v>
      </c>
      <c r="C67" s="133" t="s">
        <v>41</v>
      </c>
      <c r="D67" s="150">
        <v>25707986</v>
      </c>
      <c r="E67" s="150">
        <v>25106593</v>
      </c>
      <c r="F67" s="150" t="s">
        <v>733</v>
      </c>
      <c r="G67" s="151">
        <v>45694</v>
      </c>
      <c r="H67" s="133" t="s">
        <v>150</v>
      </c>
      <c r="I67" s="133" t="s">
        <v>291</v>
      </c>
      <c r="J67" s="133" t="s">
        <v>498</v>
      </c>
      <c r="K67" s="152">
        <v>8</v>
      </c>
      <c r="L67" s="153" t="s">
        <v>42</v>
      </c>
      <c r="M67" s="152">
        <v>8</v>
      </c>
      <c r="N67" s="152">
        <v>878588.64</v>
      </c>
      <c r="O67" s="152">
        <v>7028709.1200000001</v>
      </c>
      <c r="P67" s="152">
        <v>7028709.1200000001</v>
      </c>
      <c r="Q67" s="136">
        <v>0</v>
      </c>
      <c r="R67" s="136">
        <v>0</v>
      </c>
      <c r="S67" s="153" t="s">
        <v>43</v>
      </c>
      <c r="T67" s="152">
        <v>4238518.01</v>
      </c>
      <c r="U67" s="152">
        <v>4238518.01</v>
      </c>
      <c r="V67" s="152">
        <v>2790191.11</v>
      </c>
      <c r="W67" s="154">
        <v>0.39697063320699999</v>
      </c>
      <c r="X67" s="152">
        <v>2790191.11</v>
      </c>
      <c r="Y67" s="133" t="s">
        <v>101</v>
      </c>
      <c r="Z67" s="133" t="s">
        <v>46</v>
      </c>
      <c r="AA67" s="133">
        <v>2306392</v>
      </c>
      <c r="AB67" s="133" t="s">
        <v>153</v>
      </c>
      <c r="AC67" s="133" t="s">
        <v>154</v>
      </c>
      <c r="AD67" s="133" t="s">
        <v>155</v>
      </c>
      <c r="AE67" s="133">
        <v>0</v>
      </c>
      <c r="AF67" s="133" t="s">
        <v>207</v>
      </c>
      <c r="AG67" s="133" t="s">
        <v>101</v>
      </c>
      <c r="AH67" s="133" t="s">
        <v>46</v>
      </c>
      <c r="AI67" s="133" t="s">
        <v>101</v>
      </c>
      <c r="AJ67" s="133" t="s">
        <v>46</v>
      </c>
      <c r="AK67" s="133" t="s">
        <v>54</v>
      </c>
      <c r="AL67" s="133" t="s">
        <v>48</v>
      </c>
      <c r="AM67" s="133" t="s">
        <v>49</v>
      </c>
      <c r="AN67" s="133" t="str">
        <f>VLOOKUP(I67,Sheet1!A:D,4,)</f>
        <v>A320400</v>
      </c>
      <c r="AP67" s="187" t="s">
        <v>740</v>
      </c>
    </row>
    <row r="68" spans="1:42" s="133" customFormat="1" ht="14.25" hidden="1" x14ac:dyDescent="0.2">
      <c r="A68" s="149">
        <v>45689</v>
      </c>
      <c r="B68" s="133" t="s">
        <v>40</v>
      </c>
      <c r="C68" s="133" t="s">
        <v>41</v>
      </c>
      <c r="D68" s="150">
        <v>25707988</v>
      </c>
      <c r="E68" s="150">
        <v>24106439</v>
      </c>
      <c r="F68" s="150" t="s">
        <v>734</v>
      </c>
      <c r="G68" s="151">
        <v>45695</v>
      </c>
      <c r="H68" s="133" t="s">
        <v>245</v>
      </c>
      <c r="I68" s="133" t="s">
        <v>394</v>
      </c>
      <c r="J68" s="133" t="s">
        <v>606</v>
      </c>
      <c r="K68" s="152">
        <v>18000</v>
      </c>
      <c r="L68" s="153" t="s">
        <v>42</v>
      </c>
      <c r="M68" s="152">
        <v>18000</v>
      </c>
      <c r="N68" s="152">
        <v>79995.460000000006</v>
      </c>
      <c r="O68" s="152">
        <v>1439918280</v>
      </c>
      <c r="P68" s="152">
        <v>1439918280</v>
      </c>
      <c r="Q68" s="136">
        <v>0</v>
      </c>
      <c r="R68" s="136">
        <v>0</v>
      </c>
      <c r="S68" s="153" t="s">
        <v>43</v>
      </c>
      <c r="T68" s="152">
        <v>1098735107.9100001</v>
      </c>
      <c r="U68" s="152">
        <v>1098735107.9100001</v>
      </c>
      <c r="V68" s="152">
        <v>341183172.08999997</v>
      </c>
      <c r="W68" s="154">
        <v>0.23694620509200001</v>
      </c>
      <c r="X68" s="152">
        <v>341183172.08999997</v>
      </c>
      <c r="Y68" s="133" t="s">
        <v>235</v>
      </c>
      <c r="Z68" s="133" t="s">
        <v>44</v>
      </c>
      <c r="AA68" s="133">
        <v>15159</v>
      </c>
      <c r="AB68" s="133" t="s">
        <v>246</v>
      </c>
      <c r="AC68" s="133" t="s">
        <v>45</v>
      </c>
      <c r="AD68" s="133" t="s">
        <v>199</v>
      </c>
      <c r="AE68" s="133">
        <v>0</v>
      </c>
      <c r="AF68" s="133" t="s">
        <v>191</v>
      </c>
      <c r="AG68" s="133" t="s">
        <v>242</v>
      </c>
      <c r="AH68" s="133" t="s">
        <v>53</v>
      </c>
      <c r="AI68" s="133" t="s">
        <v>101</v>
      </c>
      <c r="AJ68" s="133" t="s">
        <v>46</v>
      </c>
      <c r="AK68" s="133" t="s">
        <v>54</v>
      </c>
      <c r="AL68" s="133" t="s">
        <v>48</v>
      </c>
      <c r="AM68" s="133" t="s">
        <v>49</v>
      </c>
      <c r="AN68" s="133" t="str">
        <f>VLOOKUP(I68,Sheet1!A:D,4,)</f>
        <v>A320400</v>
      </c>
      <c r="AP68" s="187" t="s">
        <v>740</v>
      </c>
    </row>
    <row r="69" spans="1:42" s="133" customFormat="1" ht="14.25" hidden="1" x14ac:dyDescent="0.2">
      <c r="A69" s="149">
        <v>45689</v>
      </c>
      <c r="B69" s="133" t="s">
        <v>40</v>
      </c>
      <c r="C69" s="133" t="s">
        <v>41</v>
      </c>
      <c r="D69" s="150">
        <v>25707994</v>
      </c>
      <c r="E69" s="150">
        <v>24106443</v>
      </c>
      <c r="F69" s="150" t="s">
        <v>720</v>
      </c>
      <c r="G69" s="151">
        <v>45699</v>
      </c>
      <c r="H69" s="133" t="s">
        <v>126</v>
      </c>
      <c r="I69" s="133" t="s">
        <v>240</v>
      </c>
      <c r="J69" s="133" t="s">
        <v>241</v>
      </c>
      <c r="K69" s="152">
        <v>20</v>
      </c>
      <c r="L69" s="153" t="s">
        <v>42</v>
      </c>
      <c r="M69" s="152">
        <v>20</v>
      </c>
      <c r="N69" s="152">
        <v>4207423.84</v>
      </c>
      <c r="O69" s="152">
        <v>84148476.799999997</v>
      </c>
      <c r="P69" s="152">
        <v>84148476.799999997</v>
      </c>
      <c r="Q69" s="136">
        <v>0</v>
      </c>
      <c r="R69" s="136">
        <v>0</v>
      </c>
      <c r="S69" s="153" t="s">
        <v>43</v>
      </c>
      <c r="T69" s="152">
        <v>62915912.439999998</v>
      </c>
      <c r="U69" s="152">
        <v>62915912.439999998</v>
      </c>
      <c r="V69" s="152">
        <v>21232564.359999999</v>
      </c>
      <c r="W69" s="154">
        <v>0.25232262267099997</v>
      </c>
      <c r="X69" s="152">
        <v>21232564.359999999</v>
      </c>
      <c r="Y69" s="133" t="s">
        <v>69</v>
      </c>
      <c r="Z69" s="133" t="s">
        <v>46</v>
      </c>
      <c r="AA69" s="133">
        <v>2306153</v>
      </c>
      <c r="AB69" s="133" t="s">
        <v>126</v>
      </c>
      <c r="AC69" s="133" t="s">
        <v>56</v>
      </c>
      <c r="AD69" s="133" t="s">
        <v>77</v>
      </c>
      <c r="AE69" s="133">
        <v>0</v>
      </c>
      <c r="AF69" s="133" t="s">
        <v>68</v>
      </c>
      <c r="AG69" s="133" t="s">
        <v>71</v>
      </c>
      <c r="AH69" s="133" t="s">
        <v>53</v>
      </c>
      <c r="AI69" s="133" t="s">
        <v>69</v>
      </c>
      <c r="AJ69" s="133" t="s">
        <v>46</v>
      </c>
      <c r="AK69" s="133" t="s">
        <v>54</v>
      </c>
      <c r="AL69" s="133" t="s">
        <v>48</v>
      </c>
      <c r="AM69" s="133" t="s">
        <v>49</v>
      </c>
      <c r="AN69" s="133" t="str">
        <f>VLOOKUP(I69,Sheet1!A:D,4,)</f>
        <v>A320400</v>
      </c>
      <c r="AP69" s="187" t="s">
        <v>763</v>
      </c>
    </row>
    <row r="70" spans="1:42" s="133" customFormat="1" ht="14.25" hidden="1" x14ac:dyDescent="0.2">
      <c r="A70" s="149">
        <v>45689</v>
      </c>
      <c r="B70" s="133" t="s">
        <v>40</v>
      </c>
      <c r="C70" s="133" t="s">
        <v>41</v>
      </c>
      <c r="D70" s="150">
        <v>25707995</v>
      </c>
      <c r="E70" s="150">
        <v>24106500</v>
      </c>
      <c r="F70" s="150" t="s">
        <v>157</v>
      </c>
      <c r="G70" s="151">
        <v>45699</v>
      </c>
      <c r="H70" s="133" t="s">
        <v>158</v>
      </c>
      <c r="I70" s="133" t="s">
        <v>474</v>
      </c>
      <c r="J70" s="133" t="s">
        <v>752</v>
      </c>
      <c r="K70" s="152">
        <v>20</v>
      </c>
      <c r="L70" s="153" t="s">
        <v>42</v>
      </c>
      <c r="M70" s="152">
        <v>20</v>
      </c>
      <c r="N70" s="152">
        <v>1056068.69</v>
      </c>
      <c r="O70" s="152">
        <v>21121373.800000001</v>
      </c>
      <c r="P70" s="152">
        <v>21121373.800000001</v>
      </c>
      <c r="Q70" s="136">
        <v>0</v>
      </c>
      <c r="R70" s="136">
        <v>0</v>
      </c>
      <c r="S70" s="153" t="s">
        <v>43</v>
      </c>
      <c r="T70" s="152">
        <v>13956470.1</v>
      </c>
      <c r="U70" s="152">
        <v>13956470.1</v>
      </c>
      <c r="V70" s="152">
        <v>7164903.7000000002</v>
      </c>
      <c r="W70" s="154">
        <v>0.33922526857599999</v>
      </c>
      <c r="X70" s="152">
        <v>7164903.7000000002</v>
      </c>
      <c r="Y70" s="133" t="s">
        <v>69</v>
      </c>
      <c r="Z70" s="133" t="s">
        <v>46</v>
      </c>
      <c r="AA70" s="133">
        <v>2306495</v>
      </c>
      <c r="AB70" s="133" t="s">
        <v>161</v>
      </c>
      <c r="AC70" s="133" t="s">
        <v>56</v>
      </c>
      <c r="AD70" s="133" t="s">
        <v>77</v>
      </c>
      <c r="AE70" s="133">
        <v>0</v>
      </c>
      <c r="AF70" s="133" t="s">
        <v>72</v>
      </c>
      <c r="AG70" s="133" t="s">
        <v>69</v>
      </c>
      <c r="AH70" s="133" t="s">
        <v>46</v>
      </c>
      <c r="AI70" s="133" t="s">
        <v>69</v>
      </c>
      <c r="AJ70" s="133" t="s">
        <v>46</v>
      </c>
      <c r="AK70" s="133" t="s">
        <v>54</v>
      </c>
      <c r="AL70" s="133" t="s">
        <v>48</v>
      </c>
      <c r="AM70" s="133" t="s">
        <v>49</v>
      </c>
      <c r="AN70" s="133" t="str">
        <f>VLOOKUP(I70,Sheet1!A:D,4,)</f>
        <v>A320400</v>
      </c>
      <c r="AP70" s="187" t="s">
        <v>763</v>
      </c>
    </row>
    <row r="71" spans="1:42" s="133" customFormat="1" ht="14.25" hidden="1" x14ac:dyDescent="0.2">
      <c r="A71" s="149">
        <v>45689</v>
      </c>
      <c r="B71" s="133" t="s">
        <v>40</v>
      </c>
      <c r="C71" s="133" t="s">
        <v>41</v>
      </c>
      <c r="D71" s="150">
        <v>25707996</v>
      </c>
      <c r="E71" s="150">
        <v>24106528</v>
      </c>
      <c r="F71" s="150" t="s">
        <v>183</v>
      </c>
      <c r="G71" s="151">
        <v>45699</v>
      </c>
      <c r="H71" s="133" t="s">
        <v>158</v>
      </c>
      <c r="I71" s="133" t="s">
        <v>474</v>
      </c>
      <c r="J71" s="133" t="s">
        <v>752</v>
      </c>
      <c r="K71" s="152">
        <v>20</v>
      </c>
      <c r="L71" s="153" t="s">
        <v>42</v>
      </c>
      <c r="M71" s="152">
        <v>20</v>
      </c>
      <c r="N71" s="152">
        <v>1010309.37</v>
      </c>
      <c r="O71" s="152">
        <v>20206187.399999999</v>
      </c>
      <c r="P71" s="152">
        <v>20206187.399999999</v>
      </c>
      <c r="Q71" s="136">
        <v>0</v>
      </c>
      <c r="R71" s="136">
        <v>0</v>
      </c>
      <c r="S71" s="153" t="s">
        <v>43</v>
      </c>
      <c r="T71" s="152">
        <v>13956470.1</v>
      </c>
      <c r="U71" s="152">
        <v>13956470.1</v>
      </c>
      <c r="V71" s="152">
        <v>6249717.2999999998</v>
      </c>
      <c r="W71" s="154">
        <v>0.309297205666</v>
      </c>
      <c r="X71" s="152">
        <v>6249717.2999999998</v>
      </c>
      <c r="Y71" s="133" t="s">
        <v>69</v>
      </c>
      <c r="Z71" s="133" t="s">
        <v>46</v>
      </c>
      <c r="AA71" s="133">
        <v>2306495</v>
      </c>
      <c r="AB71" s="133" t="s">
        <v>161</v>
      </c>
      <c r="AC71" s="133" t="s">
        <v>56</v>
      </c>
      <c r="AD71" s="133" t="s">
        <v>77</v>
      </c>
      <c r="AE71" s="133">
        <v>0</v>
      </c>
      <c r="AF71" s="133" t="s">
        <v>72</v>
      </c>
      <c r="AG71" s="133" t="s">
        <v>69</v>
      </c>
      <c r="AH71" s="133" t="s">
        <v>46</v>
      </c>
      <c r="AI71" s="133" t="s">
        <v>69</v>
      </c>
      <c r="AJ71" s="133" t="s">
        <v>46</v>
      </c>
      <c r="AK71" s="133" t="s">
        <v>54</v>
      </c>
      <c r="AL71" s="133" t="s">
        <v>48</v>
      </c>
      <c r="AM71" s="133" t="s">
        <v>49</v>
      </c>
      <c r="AN71" s="133" t="str">
        <f>VLOOKUP(I71,Sheet1!A:D,4,)</f>
        <v>A320400</v>
      </c>
      <c r="AP71" s="187" t="s">
        <v>763</v>
      </c>
    </row>
    <row r="72" spans="1:42" s="133" customFormat="1" ht="14.25" hidden="1" x14ac:dyDescent="0.2">
      <c r="A72" s="149">
        <v>45689</v>
      </c>
      <c r="B72" s="133" t="s">
        <v>40</v>
      </c>
      <c r="C72" s="133" t="s">
        <v>41</v>
      </c>
      <c r="D72" s="150">
        <v>25707997</v>
      </c>
      <c r="E72" s="150">
        <v>25106567</v>
      </c>
      <c r="F72" s="150" t="s">
        <v>753</v>
      </c>
      <c r="G72" s="151">
        <v>45699</v>
      </c>
      <c r="H72" s="133" t="s">
        <v>158</v>
      </c>
      <c r="I72" s="133" t="s">
        <v>285</v>
      </c>
      <c r="J72" s="133" t="s">
        <v>708</v>
      </c>
      <c r="K72" s="152">
        <v>60</v>
      </c>
      <c r="L72" s="153" t="s">
        <v>42</v>
      </c>
      <c r="M72" s="152">
        <v>60</v>
      </c>
      <c r="N72" s="152">
        <v>1964696.69</v>
      </c>
      <c r="O72" s="152">
        <v>117881801.40000001</v>
      </c>
      <c r="P72" s="152">
        <v>117881801.40000001</v>
      </c>
      <c r="Q72" s="136">
        <v>0</v>
      </c>
      <c r="R72" s="136">
        <v>0</v>
      </c>
      <c r="S72" s="153" t="s">
        <v>43</v>
      </c>
      <c r="T72" s="152">
        <v>86271539.609999999</v>
      </c>
      <c r="U72" s="152">
        <v>86271539.609999999</v>
      </c>
      <c r="V72" s="152">
        <v>31610261.789999999</v>
      </c>
      <c r="W72" s="154">
        <v>0.26815217798300001</v>
      </c>
      <c r="X72" s="152">
        <v>31610261.789999999</v>
      </c>
      <c r="Y72" s="133" t="s">
        <v>69</v>
      </c>
      <c r="Z72" s="133" t="s">
        <v>46</v>
      </c>
      <c r="AA72" s="133">
        <v>2306495</v>
      </c>
      <c r="AB72" s="133" t="s">
        <v>161</v>
      </c>
      <c r="AC72" s="133" t="s">
        <v>56</v>
      </c>
      <c r="AD72" s="133" t="s">
        <v>77</v>
      </c>
      <c r="AE72" s="133">
        <v>0</v>
      </c>
      <c r="AF72" s="133" t="s">
        <v>68</v>
      </c>
      <c r="AG72" s="133" t="s">
        <v>69</v>
      </c>
      <c r="AH72" s="133" t="s">
        <v>46</v>
      </c>
      <c r="AI72" s="133" t="s">
        <v>69</v>
      </c>
      <c r="AJ72" s="133" t="s">
        <v>46</v>
      </c>
      <c r="AK72" s="133" t="s">
        <v>54</v>
      </c>
      <c r="AL72" s="133" t="s">
        <v>48</v>
      </c>
      <c r="AM72" s="133" t="s">
        <v>49</v>
      </c>
      <c r="AN72" s="133" t="str">
        <f>VLOOKUP(I72,Sheet1!A:D,4,)</f>
        <v>A320400</v>
      </c>
      <c r="AP72" s="187" t="s">
        <v>763</v>
      </c>
    </row>
    <row r="73" spans="1:42" s="133" customFormat="1" ht="14.25" hidden="1" x14ac:dyDescent="0.2">
      <c r="A73" s="149">
        <v>45689</v>
      </c>
      <c r="B73" s="133" t="s">
        <v>40</v>
      </c>
      <c r="C73" s="133" t="s">
        <v>41</v>
      </c>
      <c r="D73" s="150">
        <v>25707998</v>
      </c>
      <c r="E73" s="150">
        <v>24106471</v>
      </c>
      <c r="F73" s="150" t="s">
        <v>266</v>
      </c>
      <c r="G73" s="151">
        <v>45703</v>
      </c>
      <c r="H73" s="133" t="s">
        <v>115</v>
      </c>
      <c r="I73" s="133" t="s">
        <v>267</v>
      </c>
      <c r="J73" s="133" t="s">
        <v>754</v>
      </c>
      <c r="K73" s="152">
        <v>5</v>
      </c>
      <c r="L73" s="153" t="s">
        <v>42</v>
      </c>
      <c r="M73" s="152">
        <v>5</v>
      </c>
      <c r="N73" s="152">
        <v>1452750.51</v>
      </c>
      <c r="O73" s="152">
        <v>7263752.5499999998</v>
      </c>
      <c r="P73" s="152">
        <v>7263752.5499999998</v>
      </c>
      <c r="Q73" s="136">
        <v>0</v>
      </c>
      <c r="R73" s="136">
        <v>0</v>
      </c>
      <c r="S73" s="153" t="s">
        <v>43</v>
      </c>
      <c r="T73" s="152">
        <v>1711818.64</v>
      </c>
      <c r="U73" s="152">
        <v>1711818.64</v>
      </c>
      <c r="V73" s="152">
        <v>5551933.9100000001</v>
      </c>
      <c r="W73" s="154">
        <v>0.76433411955899999</v>
      </c>
      <c r="X73" s="152">
        <v>5551933.9100000001</v>
      </c>
      <c r="Y73" s="133" t="s">
        <v>66</v>
      </c>
      <c r="Z73" s="133" t="s">
        <v>44</v>
      </c>
      <c r="AA73" s="133">
        <v>15159</v>
      </c>
      <c r="AB73" s="133" t="s">
        <v>118</v>
      </c>
      <c r="AC73" s="133" t="s">
        <v>154</v>
      </c>
      <c r="AD73" s="133" t="s">
        <v>155</v>
      </c>
      <c r="AE73" s="133">
        <v>0</v>
      </c>
      <c r="AF73" s="133" t="s">
        <v>68</v>
      </c>
      <c r="AG73" s="133" t="s">
        <v>142</v>
      </c>
      <c r="AH73" s="133" t="s">
        <v>143</v>
      </c>
      <c r="AI73" s="133" t="s">
        <v>69</v>
      </c>
      <c r="AJ73" s="133" t="s">
        <v>46</v>
      </c>
      <c r="AK73" s="133" t="s">
        <v>54</v>
      </c>
      <c r="AL73" s="133" t="s">
        <v>48</v>
      </c>
      <c r="AM73" s="133" t="s">
        <v>49</v>
      </c>
      <c r="AN73" s="133" t="str">
        <f>VLOOKUP(I73,Sheet1!A:D,4,)</f>
        <v>A320400</v>
      </c>
      <c r="AP73" s="187" t="s">
        <v>763</v>
      </c>
    </row>
    <row r="74" spans="1:42" s="133" customFormat="1" ht="14.25" hidden="1" x14ac:dyDescent="0.2">
      <c r="A74" s="149">
        <v>45689</v>
      </c>
      <c r="B74" s="133" t="s">
        <v>40</v>
      </c>
      <c r="C74" s="133" t="s">
        <v>41</v>
      </c>
      <c r="D74" s="150">
        <v>25707999</v>
      </c>
      <c r="E74" s="150">
        <v>25106560</v>
      </c>
      <c r="F74" s="150" t="s">
        <v>755</v>
      </c>
      <c r="G74" s="151">
        <v>45703</v>
      </c>
      <c r="H74" s="133" t="s">
        <v>115</v>
      </c>
      <c r="I74" s="133" t="s">
        <v>329</v>
      </c>
      <c r="J74" s="133" t="s">
        <v>756</v>
      </c>
      <c r="K74" s="152">
        <v>10</v>
      </c>
      <c r="L74" s="153" t="s">
        <v>42</v>
      </c>
      <c r="M74" s="152">
        <v>10</v>
      </c>
      <c r="N74" s="152">
        <v>399520.28</v>
      </c>
      <c r="O74" s="152">
        <v>3995202.8</v>
      </c>
      <c r="P74" s="152">
        <v>3995202.8</v>
      </c>
      <c r="Q74" s="136">
        <v>0</v>
      </c>
      <c r="R74" s="136">
        <v>0</v>
      </c>
      <c r="S74" s="153" t="s">
        <v>43</v>
      </c>
      <c r="T74" s="152">
        <v>2221116</v>
      </c>
      <c r="U74" s="152">
        <v>2221116</v>
      </c>
      <c r="V74" s="152">
        <v>1774086.8</v>
      </c>
      <c r="W74" s="154">
        <v>0.44405425426700001</v>
      </c>
      <c r="X74" s="152">
        <v>1774086.8</v>
      </c>
      <c r="Y74" s="133" t="s">
        <v>66</v>
      </c>
      <c r="Z74" s="133" t="s">
        <v>44</v>
      </c>
      <c r="AA74" s="133">
        <v>15159</v>
      </c>
      <c r="AB74" s="133" t="s">
        <v>118</v>
      </c>
      <c r="AC74" s="133" t="s">
        <v>154</v>
      </c>
      <c r="AD74" s="133" t="s">
        <v>155</v>
      </c>
      <c r="AE74" s="133">
        <v>0</v>
      </c>
      <c r="AF74" s="133" t="s">
        <v>68</v>
      </c>
      <c r="AG74" s="133" t="s">
        <v>69</v>
      </c>
      <c r="AH74" s="133" t="s">
        <v>46</v>
      </c>
      <c r="AI74" s="133" t="s">
        <v>69</v>
      </c>
      <c r="AJ74" s="133" t="s">
        <v>46</v>
      </c>
      <c r="AK74" s="133" t="s">
        <v>54</v>
      </c>
      <c r="AL74" s="133" t="s">
        <v>48</v>
      </c>
      <c r="AM74" s="133" t="s">
        <v>49</v>
      </c>
      <c r="AN74" s="133" t="str">
        <f>VLOOKUP(I74,Sheet1!A:D,4,)</f>
        <v>A320400</v>
      </c>
      <c r="AP74" s="187" t="s">
        <v>763</v>
      </c>
    </row>
    <row r="75" spans="1:42" s="133" customFormat="1" ht="14.25" hidden="1" x14ac:dyDescent="0.2">
      <c r="A75" s="149">
        <v>45689</v>
      </c>
      <c r="B75" s="133" t="s">
        <v>40</v>
      </c>
      <c r="C75" s="133" t="s">
        <v>41</v>
      </c>
      <c r="D75" s="150">
        <v>25708000</v>
      </c>
      <c r="E75" s="150">
        <v>25106566</v>
      </c>
      <c r="F75" s="150" t="s">
        <v>757</v>
      </c>
      <c r="G75" s="151">
        <v>45703</v>
      </c>
      <c r="H75" s="133" t="s">
        <v>126</v>
      </c>
      <c r="I75" s="133" t="s">
        <v>267</v>
      </c>
      <c r="J75" s="133" t="s">
        <v>754</v>
      </c>
      <c r="K75" s="152">
        <v>100</v>
      </c>
      <c r="L75" s="153" t="s">
        <v>42</v>
      </c>
      <c r="M75" s="152">
        <v>100</v>
      </c>
      <c r="N75" s="152">
        <v>1496877.87</v>
      </c>
      <c r="O75" s="152">
        <v>149687787</v>
      </c>
      <c r="P75" s="152">
        <v>149687787</v>
      </c>
      <c r="Q75" s="136">
        <v>0</v>
      </c>
      <c r="R75" s="136">
        <v>0</v>
      </c>
      <c r="S75" s="153" t="s">
        <v>43</v>
      </c>
      <c r="T75" s="152">
        <v>34236372.75</v>
      </c>
      <c r="U75" s="152">
        <v>34236372.75</v>
      </c>
      <c r="V75" s="152">
        <v>115451414.25</v>
      </c>
      <c r="W75" s="154">
        <v>0.77128145564700001</v>
      </c>
      <c r="X75" s="152">
        <v>115451414.25</v>
      </c>
      <c r="Y75" s="133" t="s">
        <v>69</v>
      </c>
      <c r="Z75" s="133" t="s">
        <v>46</v>
      </c>
      <c r="AA75" s="133">
        <v>2306153</v>
      </c>
      <c r="AB75" s="133" t="s">
        <v>126</v>
      </c>
      <c r="AC75" s="133" t="s">
        <v>56</v>
      </c>
      <c r="AD75" s="133" t="s">
        <v>77</v>
      </c>
      <c r="AE75" s="133">
        <v>0</v>
      </c>
      <c r="AF75" s="133" t="s">
        <v>68</v>
      </c>
      <c r="AG75" s="133" t="s">
        <v>142</v>
      </c>
      <c r="AH75" s="133" t="s">
        <v>143</v>
      </c>
      <c r="AI75" s="133" t="s">
        <v>69</v>
      </c>
      <c r="AJ75" s="133" t="s">
        <v>46</v>
      </c>
      <c r="AK75" s="133" t="s">
        <v>54</v>
      </c>
      <c r="AL75" s="133" t="s">
        <v>48</v>
      </c>
      <c r="AM75" s="133" t="s">
        <v>49</v>
      </c>
      <c r="AN75" s="133" t="str">
        <f>VLOOKUP(I75,Sheet1!A:D,4,)</f>
        <v>A320400</v>
      </c>
      <c r="AP75" s="187" t="s">
        <v>763</v>
      </c>
    </row>
    <row r="76" spans="1:42" s="133" customFormat="1" ht="14.25" hidden="1" x14ac:dyDescent="0.2">
      <c r="A76" s="149">
        <v>45689</v>
      </c>
      <c r="B76" s="133" t="s">
        <v>40</v>
      </c>
      <c r="C76" s="133" t="s">
        <v>41</v>
      </c>
      <c r="D76" s="150">
        <v>25708001</v>
      </c>
      <c r="E76" s="150">
        <v>25106589</v>
      </c>
      <c r="F76" s="150" t="s">
        <v>758</v>
      </c>
      <c r="G76" s="151">
        <v>45703</v>
      </c>
      <c r="H76" s="133" t="s">
        <v>126</v>
      </c>
      <c r="I76" s="133" t="s">
        <v>140</v>
      </c>
      <c r="J76" s="133" t="s">
        <v>141</v>
      </c>
      <c r="K76" s="152">
        <v>40</v>
      </c>
      <c r="L76" s="153" t="s">
        <v>42</v>
      </c>
      <c r="M76" s="152">
        <v>40</v>
      </c>
      <c r="N76" s="152">
        <v>519809.41</v>
      </c>
      <c r="O76" s="152">
        <v>20792376.399999999</v>
      </c>
      <c r="P76" s="152">
        <v>20792376.399999999</v>
      </c>
      <c r="Q76" s="136">
        <v>0</v>
      </c>
      <c r="R76" s="136">
        <v>0</v>
      </c>
      <c r="S76" s="153" t="s">
        <v>43</v>
      </c>
      <c r="T76" s="152">
        <v>7241138.2699999996</v>
      </c>
      <c r="U76" s="152">
        <v>7241138.2699999996</v>
      </c>
      <c r="V76" s="152">
        <v>13551238.130000001</v>
      </c>
      <c r="W76" s="154">
        <v>0.65174070867599998</v>
      </c>
      <c r="X76" s="152">
        <v>13551238.130000001</v>
      </c>
      <c r="Y76" s="133" t="s">
        <v>69</v>
      </c>
      <c r="Z76" s="133" t="s">
        <v>46</v>
      </c>
      <c r="AA76" s="133">
        <v>2306153</v>
      </c>
      <c r="AB76" s="133" t="s">
        <v>126</v>
      </c>
      <c r="AC76" s="133" t="s">
        <v>56</v>
      </c>
      <c r="AD76" s="133" t="s">
        <v>77</v>
      </c>
      <c r="AE76" s="133">
        <v>0</v>
      </c>
      <c r="AF76" s="133" t="s">
        <v>68</v>
      </c>
      <c r="AG76" s="133" t="s">
        <v>142</v>
      </c>
      <c r="AH76" s="133" t="s">
        <v>143</v>
      </c>
      <c r="AI76" s="133" t="s">
        <v>69</v>
      </c>
      <c r="AJ76" s="133" t="s">
        <v>46</v>
      </c>
      <c r="AK76" s="133" t="s">
        <v>54</v>
      </c>
      <c r="AL76" s="133" t="s">
        <v>48</v>
      </c>
      <c r="AM76" s="133" t="s">
        <v>49</v>
      </c>
      <c r="AN76" s="133" t="str">
        <f>VLOOKUP(I76,Sheet1!A:D,4,)</f>
        <v>A320400</v>
      </c>
      <c r="AP76" s="187" t="s">
        <v>763</v>
      </c>
    </row>
    <row r="77" spans="1:42" s="133" customFormat="1" ht="14.25" hidden="1" x14ac:dyDescent="0.2">
      <c r="A77" s="149">
        <v>45689</v>
      </c>
      <c r="B77" s="133" t="s">
        <v>40</v>
      </c>
      <c r="C77" s="133" t="s">
        <v>41</v>
      </c>
      <c r="D77" s="150">
        <v>25708002</v>
      </c>
      <c r="E77" s="150">
        <v>25106594</v>
      </c>
      <c r="F77" s="150" t="s">
        <v>759</v>
      </c>
      <c r="G77" s="151">
        <v>45703</v>
      </c>
      <c r="H77" s="133" t="s">
        <v>115</v>
      </c>
      <c r="I77" s="133" t="s">
        <v>329</v>
      </c>
      <c r="J77" s="133" t="s">
        <v>756</v>
      </c>
      <c r="K77" s="152">
        <v>150</v>
      </c>
      <c r="L77" s="153" t="s">
        <v>42</v>
      </c>
      <c r="M77" s="152">
        <v>150</v>
      </c>
      <c r="N77" s="152">
        <v>405289.69</v>
      </c>
      <c r="O77" s="152">
        <v>60793453.5</v>
      </c>
      <c r="P77" s="152">
        <v>60793453.5</v>
      </c>
      <c r="Q77" s="136">
        <v>0</v>
      </c>
      <c r="R77" s="136">
        <v>0</v>
      </c>
      <c r="S77" s="153" t="s">
        <v>43</v>
      </c>
      <c r="T77" s="152">
        <v>33316740</v>
      </c>
      <c r="U77" s="152">
        <v>33316740</v>
      </c>
      <c r="V77" s="152">
        <v>27476713.5</v>
      </c>
      <c r="W77" s="154">
        <v>0.45196829457900001</v>
      </c>
      <c r="X77" s="152">
        <v>27476713.5</v>
      </c>
      <c r="Y77" s="133" t="s">
        <v>66</v>
      </c>
      <c r="Z77" s="133" t="s">
        <v>44</v>
      </c>
      <c r="AA77" s="133">
        <v>15159</v>
      </c>
      <c r="AB77" s="133" t="s">
        <v>118</v>
      </c>
      <c r="AC77" s="133" t="s">
        <v>154</v>
      </c>
      <c r="AD77" s="133" t="s">
        <v>155</v>
      </c>
      <c r="AE77" s="133">
        <v>0</v>
      </c>
      <c r="AF77" s="133" t="s">
        <v>68</v>
      </c>
      <c r="AG77" s="133" t="s">
        <v>69</v>
      </c>
      <c r="AH77" s="133" t="s">
        <v>46</v>
      </c>
      <c r="AI77" s="133" t="s">
        <v>69</v>
      </c>
      <c r="AJ77" s="133" t="s">
        <v>46</v>
      </c>
      <c r="AK77" s="133" t="s">
        <v>54</v>
      </c>
      <c r="AL77" s="133" t="s">
        <v>48</v>
      </c>
      <c r="AM77" s="133" t="s">
        <v>49</v>
      </c>
      <c r="AN77" s="133" t="str">
        <f>VLOOKUP(I77,Sheet1!A:D,4,)</f>
        <v>A320400</v>
      </c>
      <c r="AP77" s="187" t="s">
        <v>763</v>
      </c>
    </row>
    <row r="78" spans="1:42" s="133" customFormat="1" ht="14.25" x14ac:dyDescent="0.2">
      <c r="A78" s="149">
        <v>45689</v>
      </c>
      <c r="B78" s="133" t="s">
        <v>40</v>
      </c>
      <c r="C78" s="133" t="s">
        <v>41</v>
      </c>
      <c r="D78" s="150">
        <v>25708016</v>
      </c>
      <c r="E78" s="150">
        <v>25106583</v>
      </c>
      <c r="F78" s="150" t="s">
        <v>778</v>
      </c>
      <c r="G78" s="151">
        <v>45700</v>
      </c>
      <c r="H78" s="133" t="s">
        <v>126</v>
      </c>
      <c r="I78" s="133" t="s">
        <v>420</v>
      </c>
      <c r="J78" s="133" t="s">
        <v>779</v>
      </c>
      <c r="K78" s="152">
        <v>20</v>
      </c>
      <c r="L78" s="153" t="s">
        <v>42</v>
      </c>
      <c r="M78" s="152">
        <v>20</v>
      </c>
      <c r="N78" s="152">
        <v>2759272.14</v>
      </c>
      <c r="O78" s="152">
        <v>55185442.799999997</v>
      </c>
      <c r="P78" s="152">
        <v>55185442.799999997</v>
      </c>
      <c r="Q78" s="136">
        <v>0</v>
      </c>
      <c r="R78" s="136">
        <v>0</v>
      </c>
      <c r="S78" s="153" t="s">
        <v>43</v>
      </c>
      <c r="T78" s="152">
        <v>43499783.75</v>
      </c>
      <c r="U78" s="152">
        <v>43499783.75</v>
      </c>
      <c r="V78" s="152">
        <v>11685659.050000001</v>
      </c>
      <c r="W78" s="154">
        <v>0.21175256475400001</v>
      </c>
      <c r="X78" s="152">
        <v>11685659.050000001</v>
      </c>
      <c r="Y78" s="133" t="s">
        <v>69</v>
      </c>
      <c r="Z78" s="133" t="s">
        <v>46</v>
      </c>
      <c r="AA78" s="133">
        <v>2306153</v>
      </c>
      <c r="AB78" s="133" t="s">
        <v>126</v>
      </c>
      <c r="AC78" s="133" t="s">
        <v>56</v>
      </c>
      <c r="AD78" s="133" t="s">
        <v>77</v>
      </c>
      <c r="AE78" s="133">
        <v>0</v>
      </c>
      <c r="AF78" s="133" t="s">
        <v>780</v>
      </c>
      <c r="AG78" s="133" t="s">
        <v>69</v>
      </c>
      <c r="AH78" s="133" t="s">
        <v>46</v>
      </c>
      <c r="AI78" s="133" t="s">
        <v>69</v>
      </c>
      <c r="AJ78" s="133" t="s">
        <v>46</v>
      </c>
      <c r="AK78" s="133" t="s">
        <v>54</v>
      </c>
      <c r="AL78" s="133" t="s">
        <v>48</v>
      </c>
      <c r="AM78" s="133" t="s">
        <v>49</v>
      </c>
      <c r="AN78" s="133" t="str">
        <f>VLOOKUP(I78,Sheet1!A:D,4,)</f>
        <v>A320400</v>
      </c>
      <c r="AP78" s="36" t="s">
        <v>790</v>
      </c>
    </row>
    <row r="79" spans="1:42" s="133" customFormat="1" ht="14.25" hidden="1" x14ac:dyDescent="0.2">
      <c r="A79" s="149">
        <v>45689</v>
      </c>
      <c r="B79" s="133" t="s">
        <v>40</v>
      </c>
      <c r="C79" s="133" t="s">
        <v>41</v>
      </c>
      <c r="D79" s="150">
        <v>25708017</v>
      </c>
      <c r="E79" s="150">
        <v>25106611</v>
      </c>
      <c r="F79" s="150" t="s">
        <v>781</v>
      </c>
      <c r="G79" s="151">
        <v>45707</v>
      </c>
      <c r="H79" s="133" t="s">
        <v>115</v>
      </c>
      <c r="I79" s="133" t="s">
        <v>304</v>
      </c>
      <c r="J79" s="133" t="s">
        <v>512</v>
      </c>
      <c r="K79" s="152">
        <v>10</v>
      </c>
      <c r="L79" s="153" t="s">
        <v>42</v>
      </c>
      <c r="M79" s="152">
        <v>10</v>
      </c>
      <c r="N79" s="152">
        <v>1532649.07</v>
      </c>
      <c r="O79" s="152">
        <v>15326490.699999999</v>
      </c>
      <c r="P79" s="152">
        <v>15326490.699999999</v>
      </c>
      <c r="Q79" s="136">
        <v>0</v>
      </c>
      <c r="R79" s="136">
        <v>0</v>
      </c>
      <c r="S79" s="153" t="s">
        <v>43</v>
      </c>
      <c r="T79" s="152">
        <v>7954843</v>
      </c>
      <c r="U79" s="152">
        <v>7954843</v>
      </c>
      <c r="V79" s="152">
        <v>7371647.7000000002</v>
      </c>
      <c r="W79" s="154">
        <v>0.48097427155900002</v>
      </c>
      <c r="X79" s="152">
        <v>7371647.7000000002</v>
      </c>
      <c r="Y79" s="133" t="s">
        <v>66</v>
      </c>
      <c r="Z79" s="133" t="s">
        <v>44</v>
      </c>
      <c r="AA79" s="133">
        <v>15159</v>
      </c>
      <c r="AB79" s="133" t="s">
        <v>118</v>
      </c>
      <c r="AC79" s="133" t="s">
        <v>154</v>
      </c>
      <c r="AD79" s="133" t="s">
        <v>155</v>
      </c>
      <c r="AE79" s="133">
        <v>0</v>
      </c>
      <c r="AF79" s="133" t="s">
        <v>119</v>
      </c>
      <c r="AG79" s="133" t="s">
        <v>120</v>
      </c>
      <c r="AH79" s="133" t="s">
        <v>121</v>
      </c>
      <c r="AI79" s="133" t="s">
        <v>69</v>
      </c>
      <c r="AJ79" s="133" t="s">
        <v>46</v>
      </c>
      <c r="AK79" s="133" t="s">
        <v>54</v>
      </c>
      <c r="AL79" s="133" t="s">
        <v>48</v>
      </c>
      <c r="AM79" s="133" t="s">
        <v>49</v>
      </c>
      <c r="AN79" s="133" t="str">
        <f>VLOOKUP(I79,Sheet1!A:D,4,)</f>
        <v>A320400</v>
      </c>
      <c r="AP79" s="36" t="s">
        <v>790</v>
      </c>
    </row>
    <row r="80" spans="1:42" s="133" customFormat="1" ht="14.25" x14ac:dyDescent="0.2">
      <c r="A80" s="149">
        <v>45689</v>
      </c>
      <c r="B80" s="133" t="s">
        <v>40</v>
      </c>
      <c r="C80" s="133" t="s">
        <v>41</v>
      </c>
      <c r="D80" s="150">
        <v>25708018</v>
      </c>
      <c r="E80" s="150">
        <v>24106481</v>
      </c>
      <c r="F80" s="150" t="s">
        <v>148</v>
      </c>
      <c r="G80" s="151">
        <v>45707</v>
      </c>
      <c r="H80" s="133" t="s">
        <v>126</v>
      </c>
      <c r="I80" s="133" t="s">
        <v>284</v>
      </c>
      <c r="J80" s="133" t="s">
        <v>782</v>
      </c>
      <c r="K80" s="152">
        <v>100</v>
      </c>
      <c r="L80" s="153" t="s">
        <v>42</v>
      </c>
      <c r="M80" s="152">
        <v>100</v>
      </c>
      <c r="N80" s="152">
        <v>2064172.78</v>
      </c>
      <c r="O80" s="152">
        <v>206417278</v>
      </c>
      <c r="P80" s="152">
        <v>206417278</v>
      </c>
      <c r="Q80" s="136">
        <v>0</v>
      </c>
      <c r="R80" s="136">
        <v>0</v>
      </c>
      <c r="S80" s="153" t="s">
        <v>43</v>
      </c>
      <c r="T80" s="152">
        <v>134410509.40000001</v>
      </c>
      <c r="U80" s="152">
        <v>134410509.40000001</v>
      </c>
      <c r="V80" s="152">
        <v>72006768.599999994</v>
      </c>
      <c r="W80" s="154">
        <v>0.34884080100999998</v>
      </c>
      <c r="X80" s="152">
        <v>72006768.599999994</v>
      </c>
      <c r="Y80" s="133" t="s">
        <v>69</v>
      </c>
      <c r="Z80" s="133" t="s">
        <v>46</v>
      </c>
      <c r="AA80" s="133">
        <v>2306153</v>
      </c>
      <c r="AB80" s="133" t="s">
        <v>126</v>
      </c>
      <c r="AC80" s="133" t="s">
        <v>56</v>
      </c>
      <c r="AD80" s="133" t="s">
        <v>77</v>
      </c>
      <c r="AE80" s="133">
        <v>0</v>
      </c>
      <c r="AF80" s="133" t="s">
        <v>68</v>
      </c>
      <c r="AG80" s="133" t="s">
        <v>69</v>
      </c>
      <c r="AH80" s="133" t="s">
        <v>46</v>
      </c>
      <c r="AI80" s="133" t="s">
        <v>69</v>
      </c>
      <c r="AJ80" s="133" t="s">
        <v>46</v>
      </c>
      <c r="AK80" s="133" t="s">
        <v>54</v>
      </c>
      <c r="AL80" s="133" t="s">
        <v>48</v>
      </c>
      <c r="AM80" s="133" t="s">
        <v>49</v>
      </c>
      <c r="AN80" s="133" t="str">
        <f>VLOOKUP(I80,Sheet1!A:D,4,)</f>
        <v>A320400</v>
      </c>
      <c r="AP80" s="36" t="s">
        <v>790</v>
      </c>
    </row>
    <row r="81" spans="1:42" s="133" customFormat="1" ht="14.25" hidden="1" x14ac:dyDescent="0.2">
      <c r="A81" s="149">
        <v>45689</v>
      </c>
      <c r="B81" s="133" t="s">
        <v>40</v>
      </c>
      <c r="C81" s="133" t="s">
        <v>41</v>
      </c>
      <c r="D81" s="150">
        <v>25708019</v>
      </c>
      <c r="E81" s="150">
        <v>24106341</v>
      </c>
      <c r="F81" s="150" t="s">
        <v>783</v>
      </c>
      <c r="G81" s="151">
        <v>45707</v>
      </c>
      <c r="H81" s="133" t="s">
        <v>73</v>
      </c>
      <c r="I81" s="133" t="s">
        <v>436</v>
      </c>
      <c r="J81" s="133" t="s">
        <v>784</v>
      </c>
      <c r="K81" s="152">
        <v>2340</v>
      </c>
      <c r="L81" s="153" t="s">
        <v>42</v>
      </c>
      <c r="M81" s="152">
        <v>2340</v>
      </c>
      <c r="N81" s="152">
        <v>178014.15</v>
      </c>
      <c r="O81" s="152">
        <v>416553111</v>
      </c>
      <c r="P81" s="152">
        <v>416553111</v>
      </c>
      <c r="Q81" s="136">
        <v>0</v>
      </c>
      <c r="R81" s="136">
        <v>0</v>
      </c>
      <c r="S81" s="153" t="s">
        <v>43</v>
      </c>
      <c r="T81" s="152">
        <v>302534669.73000002</v>
      </c>
      <c r="U81" s="152">
        <v>302534669.73000002</v>
      </c>
      <c r="V81" s="152">
        <v>114018441.27</v>
      </c>
      <c r="W81" s="154">
        <v>0.273718856633</v>
      </c>
      <c r="X81" s="152">
        <v>114018441.27</v>
      </c>
      <c r="Y81" s="133" t="s">
        <v>66</v>
      </c>
      <c r="Z81" s="133" t="s">
        <v>44</v>
      </c>
      <c r="AA81" s="133">
        <v>15161</v>
      </c>
      <c r="AB81" s="133" t="s">
        <v>75</v>
      </c>
      <c r="AC81" s="133" t="s">
        <v>56</v>
      </c>
      <c r="AD81" s="133" t="s">
        <v>77</v>
      </c>
      <c r="AE81" s="133">
        <v>0</v>
      </c>
      <c r="AF81" s="133" t="s">
        <v>785</v>
      </c>
      <c r="AG81" s="133" t="s">
        <v>786</v>
      </c>
      <c r="AH81" s="133" t="s">
        <v>787</v>
      </c>
      <c r="AI81" s="133" t="s">
        <v>69</v>
      </c>
      <c r="AJ81" s="133" t="s">
        <v>46</v>
      </c>
      <c r="AK81" s="133" t="s">
        <v>54</v>
      </c>
      <c r="AL81" s="133" t="s">
        <v>48</v>
      </c>
      <c r="AM81" s="133" t="s">
        <v>49</v>
      </c>
      <c r="AN81" s="133" t="str">
        <f>VLOOKUP(I81,Sheet1!A:D,4,)</f>
        <v>A210600</v>
      </c>
      <c r="AP81" s="36" t="s">
        <v>790</v>
      </c>
    </row>
    <row r="82" spans="1:42" s="133" customFormat="1" ht="14.25" hidden="1" x14ac:dyDescent="0.2">
      <c r="A82" s="149">
        <v>45689</v>
      </c>
      <c r="B82" s="133" t="s">
        <v>40</v>
      </c>
      <c r="C82" s="133" t="s">
        <v>41</v>
      </c>
      <c r="D82" s="150">
        <v>25708020</v>
      </c>
      <c r="E82" s="150">
        <v>25106608</v>
      </c>
      <c r="F82" s="150" t="s">
        <v>788</v>
      </c>
      <c r="G82" s="151">
        <v>45707</v>
      </c>
      <c r="H82" s="133" t="s">
        <v>158</v>
      </c>
      <c r="I82" s="133" t="s">
        <v>272</v>
      </c>
      <c r="J82" s="133" t="s">
        <v>789</v>
      </c>
      <c r="K82" s="152">
        <v>120</v>
      </c>
      <c r="L82" s="153" t="s">
        <v>42</v>
      </c>
      <c r="M82" s="152">
        <v>120</v>
      </c>
      <c r="N82" s="152">
        <v>326975.40000000002</v>
      </c>
      <c r="O82" s="152">
        <v>39237048</v>
      </c>
      <c r="P82" s="152">
        <v>39237048</v>
      </c>
      <c r="Q82" s="136">
        <v>0</v>
      </c>
      <c r="R82" s="136">
        <v>0</v>
      </c>
      <c r="S82" s="153" t="s">
        <v>43</v>
      </c>
      <c r="T82" s="152">
        <v>17323298.16</v>
      </c>
      <c r="U82" s="152">
        <v>17323298.16</v>
      </c>
      <c r="V82" s="152">
        <v>21913749.84</v>
      </c>
      <c r="W82" s="154">
        <v>0.55849639452900002</v>
      </c>
      <c r="X82" s="152">
        <v>21913749.84</v>
      </c>
      <c r="Y82" s="133" t="s">
        <v>69</v>
      </c>
      <c r="Z82" s="133" t="s">
        <v>46</v>
      </c>
      <c r="AA82" s="133">
        <v>2306495</v>
      </c>
      <c r="AB82" s="133" t="s">
        <v>161</v>
      </c>
      <c r="AC82" s="133" t="s">
        <v>56</v>
      </c>
      <c r="AD82" s="133" t="s">
        <v>77</v>
      </c>
      <c r="AE82" s="133">
        <v>0</v>
      </c>
      <c r="AF82" s="133" t="s">
        <v>124</v>
      </c>
      <c r="AG82" s="133" t="s">
        <v>81</v>
      </c>
      <c r="AH82" s="133" t="s">
        <v>57</v>
      </c>
      <c r="AI82" s="133" t="s">
        <v>69</v>
      </c>
      <c r="AJ82" s="133" t="s">
        <v>46</v>
      </c>
      <c r="AK82" s="133" t="s">
        <v>54</v>
      </c>
      <c r="AL82" s="133" t="s">
        <v>48</v>
      </c>
      <c r="AM82" s="133" t="s">
        <v>49</v>
      </c>
      <c r="AN82" s="133" t="str">
        <f>VLOOKUP(I82,Sheet1!A:D,4,)</f>
        <v>A320400</v>
      </c>
      <c r="AP82" s="36" t="s">
        <v>790</v>
      </c>
    </row>
    <row r="83" spans="1:42" s="133" customFormat="1" ht="14.25" hidden="1" x14ac:dyDescent="0.2">
      <c r="A83" s="149">
        <v>45689</v>
      </c>
      <c r="B83" s="133" t="s">
        <v>40</v>
      </c>
      <c r="C83" s="133" t="s">
        <v>41</v>
      </c>
      <c r="D83" s="150">
        <v>25708021</v>
      </c>
      <c r="E83" s="150">
        <v>25106548</v>
      </c>
      <c r="F83" s="150" t="s">
        <v>714</v>
      </c>
      <c r="G83" s="151">
        <v>45707</v>
      </c>
      <c r="H83" s="133" t="s">
        <v>126</v>
      </c>
      <c r="I83" s="133" t="s">
        <v>298</v>
      </c>
      <c r="J83" s="133" t="s">
        <v>791</v>
      </c>
      <c r="K83" s="152">
        <v>40</v>
      </c>
      <c r="L83" s="153" t="s">
        <v>42</v>
      </c>
      <c r="M83" s="152">
        <v>40</v>
      </c>
      <c r="N83" s="152">
        <v>2091587.31</v>
      </c>
      <c r="O83" s="152">
        <v>83663492.400000006</v>
      </c>
      <c r="P83" s="152">
        <v>83663492.400000006</v>
      </c>
      <c r="Q83" s="136">
        <v>0</v>
      </c>
      <c r="R83" s="136">
        <v>0</v>
      </c>
      <c r="S83" s="153" t="s">
        <v>43</v>
      </c>
      <c r="T83" s="152">
        <v>54776218.439999998</v>
      </c>
      <c r="U83" s="152">
        <v>54776218.439999998</v>
      </c>
      <c r="V83" s="152">
        <v>28887273.960000001</v>
      </c>
      <c r="W83" s="154">
        <v>0.34527932233399999</v>
      </c>
      <c r="X83" s="152">
        <v>28887273.960000001</v>
      </c>
      <c r="Y83" s="133" t="s">
        <v>69</v>
      </c>
      <c r="Z83" s="133" t="s">
        <v>46</v>
      </c>
      <c r="AA83" s="133">
        <v>2306153</v>
      </c>
      <c r="AB83" s="133" t="s">
        <v>126</v>
      </c>
      <c r="AC83" s="133" t="s">
        <v>56</v>
      </c>
      <c r="AD83" s="133" t="s">
        <v>77</v>
      </c>
      <c r="AE83" s="133">
        <v>0</v>
      </c>
      <c r="AF83" s="133" t="s">
        <v>780</v>
      </c>
      <c r="AG83" s="133" t="s">
        <v>69</v>
      </c>
      <c r="AH83" s="133" t="s">
        <v>46</v>
      </c>
      <c r="AI83" s="133" t="s">
        <v>69</v>
      </c>
      <c r="AJ83" s="133" t="s">
        <v>46</v>
      </c>
      <c r="AK83" s="133" t="s">
        <v>54</v>
      </c>
      <c r="AL83" s="133" t="s">
        <v>48</v>
      </c>
      <c r="AM83" s="133" t="s">
        <v>49</v>
      </c>
      <c r="AN83" s="133" t="str">
        <f>VLOOKUP(I83,Sheet1!A:D,4,)</f>
        <v>A320400</v>
      </c>
      <c r="AP83" s="36" t="s">
        <v>814</v>
      </c>
    </row>
    <row r="84" spans="1:42" s="36" customFormat="1" ht="14.25" hidden="1" x14ac:dyDescent="0.2">
      <c r="A84" s="186">
        <v>45689</v>
      </c>
      <c r="B84" s="187" t="s">
        <v>40</v>
      </c>
      <c r="C84" s="187" t="s">
        <v>41</v>
      </c>
      <c r="D84" s="188">
        <v>25708028</v>
      </c>
      <c r="E84" s="188">
        <v>25106564</v>
      </c>
      <c r="F84" s="188" t="s">
        <v>815</v>
      </c>
      <c r="G84" s="192">
        <v>45712</v>
      </c>
      <c r="H84" s="187" t="s">
        <v>115</v>
      </c>
      <c r="I84" s="187" t="s">
        <v>287</v>
      </c>
      <c r="J84" s="187" t="s">
        <v>816</v>
      </c>
      <c r="K84" s="189">
        <v>130</v>
      </c>
      <c r="L84" s="190" t="s">
        <v>42</v>
      </c>
      <c r="M84" s="189">
        <v>130</v>
      </c>
      <c r="N84" s="189">
        <v>495751.58</v>
      </c>
      <c r="O84" s="189">
        <v>64447705.399999999</v>
      </c>
      <c r="P84" s="189">
        <v>64447705.399999999</v>
      </c>
      <c r="Q84" s="191">
        <v>0</v>
      </c>
      <c r="R84" s="191">
        <v>0</v>
      </c>
      <c r="S84" s="190" t="s">
        <v>43</v>
      </c>
      <c r="T84" s="189">
        <v>19675449.899999999</v>
      </c>
      <c r="U84" s="189">
        <v>19675449.899999999</v>
      </c>
      <c r="V84" s="189">
        <v>44772255.5</v>
      </c>
      <c r="W84" s="193">
        <v>0.69470674280900002</v>
      </c>
      <c r="X84" s="189">
        <v>44772255.5</v>
      </c>
      <c r="Y84" s="187" t="s">
        <v>66</v>
      </c>
      <c r="Z84" s="187" t="s">
        <v>44</v>
      </c>
      <c r="AA84" s="187">
        <v>15159</v>
      </c>
      <c r="AB84" s="187" t="s">
        <v>118</v>
      </c>
      <c r="AC84" s="187" t="s">
        <v>154</v>
      </c>
      <c r="AD84" s="187" t="s">
        <v>155</v>
      </c>
      <c r="AE84" s="187">
        <v>0</v>
      </c>
      <c r="AF84" s="187" t="s">
        <v>72</v>
      </c>
      <c r="AG84" s="187" t="s">
        <v>69</v>
      </c>
      <c r="AH84" s="187" t="s">
        <v>46</v>
      </c>
      <c r="AI84" s="187" t="s">
        <v>69</v>
      </c>
      <c r="AJ84" s="187" t="s">
        <v>46</v>
      </c>
      <c r="AK84" s="187" t="s">
        <v>54</v>
      </c>
      <c r="AL84" s="187" t="s">
        <v>48</v>
      </c>
      <c r="AM84" s="187" t="s">
        <v>49</v>
      </c>
      <c r="AN84" s="36" t="str">
        <f>VLOOKUP(I84,Sheet1!A:D,4,)</f>
        <v>A320400</v>
      </c>
      <c r="AP84" s="36" t="s">
        <v>814</v>
      </c>
    </row>
    <row r="85" spans="1:42" s="36" customFormat="1" ht="14.25" hidden="1" x14ac:dyDescent="0.2">
      <c r="A85" s="186">
        <v>45689</v>
      </c>
      <c r="B85" s="187" t="s">
        <v>40</v>
      </c>
      <c r="C85" s="187" t="s">
        <v>41</v>
      </c>
      <c r="D85" s="188">
        <v>25708028</v>
      </c>
      <c r="E85" s="188">
        <v>25106564</v>
      </c>
      <c r="F85" s="188" t="s">
        <v>815</v>
      </c>
      <c r="G85" s="192">
        <v>45712</v>
      </c>
      <c r="H85" s="187" t="s">
        <v>115</v>
      </c>
      <c r="I85" s="187" t="s">
        <v>295</v>
      </c>
      <c r="J85" s="187" t="s">
        <v>817</v>
      </c>
      <c r="K85" s="189">
        <v>70</v>
      </c>
      <c r="L85" s="190" t="s">
        <v>42</v>
      </c>
      <c r="M85" s="189">
        <v>70</v>
      </c>
      <c r="N85" s="189">
        <v>1184286.53</v>
      </c>
      <c r="O85" s="189">
        <v>82900057.099999994</v>
      </c>
      <c r="P85" s="189">
        <v>82900057.099999994</v>
      </c>
      <c r="Q85" s="191">
        <v>0</v>
      </c>
      <c r="R85" s="191">
        <v>0</v>
      </c>
      <c r="S85" s="190" t="s">
        <v>43</v>
      </c>
      <c r="T85" s="189">
        <v>27623254.050000001</v>
      </c>
      <c r="U85" s="189">
        <v>27623254.050000001</v>
      </c>
      <c r="V85" s="189">
        <v>55276803.049999997</v>
      </c>
      <c r="W85" s="193">
        <v>0.66678847981099998</v>
      </c>
      <c r="X85" s="189">
        <v>55276803.049999997</v>
      </c>
      <c r="Y85" s="187" t="s">
        <v>66</v>
      </c>
      <c r="Z85" s="187" t="s">
        <v>44</v>
      </c>
      <c r="AA85" s="187">
        <v>15159</v>
      </c>
      <c r="AB85" s="187" t="s">
        <v>118</v>
      </c>
      <c r="AC85" s="187" t="s">
        <v>154</v>
      </c>
      <c r="AD85" s="187" t="s">
        <v>155</v>
      </c>
      <c r="AE85" s="187">
        <v>0</v>
      </c>
      <c r="AF85" s="187" t="s">
        <v>68</v>
      </c>
      <c r="AG85" s="187" t="s">
        <v>69</v>
      </c>
      <c r="AH85" s="187" t="s">
        <v>46</v>
      </c>
      <c r="AI85" s="187" t="s">
        <v>69</v>
      </c>
      <c r="AJ85" s="187" t="s">
        <v>46</v>
      </c>
      <c r="AK85" s="187" t="s">
        <v>54</v>
      </c>
      <c r="AL85" s="187" t="s">
        <v>48</v>
      </c>
      <c r="AM85" s="187" t="s">
        <v>49</v>
      </c>
      <c r="AN85" s="36" t="str">
        <f>VLOOKUP(I85,Sheet1!A:D,4,)</f>
        <v>A320400</v>
      </c>
      <c r="AP85" s="36" t="s">
        <v>814</v>
      </c>
    </row>
    <row r="86" spans="1:42" s="36" customFormat="1" ht="14.25" hidden="1" x14ac:dyDescent="0.2">
      <c r="A86" s="186">
        <v>45689</v>
      </c>
      <c r="B86" s="187" t="s">
        <v>40</v>
      </c>
      <c r="C86" s="187" t="s">
        <v>41</v>
      </c>
      <c r="D86" s="188">
        <v>25708029</v>
      </c>
      <c r="E86" s="188">
        <v>25106568</v>
      </c>
      <c r="F86" s="188" t="s">
        <v>818</v>
      </c>
      <c r="G86" s="192">
        <v>45712</v>
      </c>
      <c r="H86" s="187" t="s">
        <v>115</v>
      </c>
      <c r="I86" s="187" t="s">
        <v>450</v>
      </c>
      <c r="J86" s="187" t="s">
        <v>819</v>
      </c>
      <c r="K86" s="189">
        <v>20</v>
      </c>
      <c r="L86" s="190" t="s">
        <v>42</v>
      </c>
      <c r="M86" s="189">
        <v>20</v>
      </c>
      <c r="N86" s="189">
        <v>825504.17</v>
      </c>
      <c r="O86" s="189">
        <v>16510083.4</v>
      </c>
      <c r="P86" s="189">
        <v>16510083.4</v>
      </c>
      <c r="Q86" s="191">
        <v>0</v>
      </c>
      <c r="R86" s="191">
        <v>0</v>
      </c>
      <c r="S86" s="190" t="s">
        <v>43</v>
      </c>
      <c r="T86" s="189">
        <v>10072540</v>
      </c>
      <c r="U86" s="189">
        <v>10072540</v>
      </c>
      <c r="V86" s="189">
        <v>6437543.4000000004</v>
      </c>
      <c r="W86" s="193">
        <v>0.38991586196299999</v>
      </c>
      <c r="X86" s="189">
        <v>6437543.4000000004</v>
      </c>
      <c r="Y86" s="187" t="s">
        <v>66</v>
      </c>
      <c r="Z86" s="187" t="s">
        <v>44</v>
      </c>
      <c r="AA86" s="187">
        <v>15159</v>
      </c>
      <c r="AB86" s="187" t="s">
        <v>118</v>
      </c>
      <c r="AC86" s="187" t="s">
        <v>154</v>
      </c>
      <c r="AD86" s="187" t="s">
        <v>155</v>
      </c>
      <c r="AE86" s="187">
        <v>0</v>
      </c>
      <c r="AF86" s="187" t="s">
        <v>72</v>
      </c>
      <c r="AG86" s="187" t="s">
        <v>69</v>
      </c>
      <c r="AH86" s="187" t="s">
        <v>46</v>
      </c>
      <c r="AI86" s="187" t="s">
        <v>69</v>
      </c>
      <c r="AJ86" s="187" t="s">
        <v>46</v>
      </c>
      <c r="AK86" s="187" t="s">
        <v>54</v>
      </c>
      <c r="AL86" s="187" t="s">
        <v>48</v>
      </c>
      <c r="AM86" s="187" t="s">
        <v>49</v>
      </c>
      <c r="AN86" s="36" t="str">
        <f>VLOOKUP(I86,Sheet1!A:D,4,)</f>
        <v>A320400</v>
      </c>
      <c r="AP86" s="36" t="s">
        <v>814</v>
      </c>
    </row>
    <row r="87" spans="1:42" s="36" customFormat="1" ht="14.25" hidden="1" x14ac:dyDescent="0.2">
      <c r="A87" s="186">
        <v>45689</v>
      </c>
      <c r="B87" s="187" t="s">
        <v>40</v>
      </c>
      <c r="C87" s="187" t="s">
        <v>41</v>
      </c>
      <c r="D87" s="188">
        <v>25708029</v>
      </c>
      <c r="E87" s="188">
        <v>25106568</v>
      </c>
      <c r="F87" s="188" t="s">
        <v>818</v>
      </c>
      <c r="G87" s="192">
        <v>45712</v>
      </c>
      <c r="H87" s="187" t="s">
        <v>115</v>
      </c>
      <c r="I87" s="187" t="s">
        <v>451</v>
      </c>
      <c r="J87" s="187" t="s">
        <v>820</v>
      </c>
      <c r="K87" s="189">
        <v>60</v>
      </c>
      <c r="L87" s="190" t="s">
        <v>42</v>
      </c>
      <c r="M87" s="189">
        <v>60</v>
      </c>
      <c r="N87" s="189">
        <v>1048440.01</v>
      </c>
      <c r="O87" s="189">
        <v>62906400.600000001</v>
      </c>
      <c r="P87" s="189">
        <v>62906400.600000001</v>
      </c>
      <c r="Q87" s="191">
        <v>0</v>
      </c>
      <c r="R87" s="191">
        <v>0</v>
      </c>
      <c r="S87" s="190" t="s">
        <v>43</v>
      </c>
      <c r="T87" s="189">
        <v>40302714.539999999</v>
      </c>
      <c r="U87" s="189">
        <v>40302714.539999999</v>
      </c>
      <c r="V87" s="189">
        <v>22603686.059999999</v>
      </c>
      <c r="W87" s="193">
        <v>0.35932251478999999</v>
      </c>
      <c r="X87" s="189">
        <v>22603686.059999999</v>
      </c>
      <c r="Y87" s="187" t="s">
        <v>66</v>
      </c>
      <c r="Z87" s="187" t="s">
        <v>44</v>
      </c>
      <c r="AA87" s="187">
        <v>15159</v>
      </c>
      <c r="AB87" s="187" t="s">
        <v>118</v>
      </c>
      <c r="AC87" s="187" t="s">
        <v>154</v>
      </c>
      <c r="AD87" s="187" t="s">
        <v>155</v>
      </c>
      <c r="AE87" s="187">
        <v>0</v>
      </c>
      <c r="AF87" s="187" t="s">
        <v>72</v>
      </c>
      <c r="AG87" s="187" t="s">
        <v>69</v>
      </c>
      <c r="AH87" s="187" t="s">
        <v>46</v>
      </c>
      <c r="AI87" s="187" t="s">
        <v>69</v>
      </c>
      <c r="AJ87" s="187" t="s">
        <v>46</v>
      </c>
      <c r="AK87" s="187" t="s">
        <v>54</v>
      </c>
      <c r="AL87" s="187" t="s">
        <v>48</v>
      </c>
      <c r="AM87" s="187" t="s">
        <v>49</v>
      </c>
      <c r="AN87" s="36" t="str">
        <f>VLOOKUP(I87,Sheet1!A:D,4,)</f>
        <v>A320400</v>
      </c>
      <c r="AP87" s="36" t="s">
        <v>814</v>
      </c>
    </row>
    <row r="88" spans="1:42" s="36" customFormat="1" ht="14.25" hidden="1" x14ac:dyDescent="0.2">
      <c r="A88" s="186">
        <v>45689</v>
      </c>
      <c r="B88" s="187" t="s">
        <v>40</v>
      </c>
      <c r="C88" s="187" t="s">
        <v>41</v>
      </c>
      <c r="D88" s="188">
        <v>25708029</v>
      </c>
      <c r="E88" s="188">
        <v>25106568</v>
      </c>
      <c r="F88" s="188" t="s">
        <v>818</v>
      </c>
      <c r="G88" s="192">
        <v>45712</v>
      </c>
      <c r="H88" s="187" t="s">
        <v>115</v>
      </c>
      <c r="I88" s="187" t="s">
        <v>306</v>
      </c>
      <c r="J88" s="187" t="s">
        <v>821</v>
      </c>
      <c r="K88" s="189">
        <v>20</v>
      </c>
      <c r="L88" s="190" t="s">
        <v>42</v>
      </c>
      <c r="M88" s="189">
        <v>20</v>
      </c>
      <c r="N88" s="189">
        <v>1172899.1599999999</v>
      </c>
      <c r="O88" s="189">
        <v>23457983.199999999</v>
      </c>
      <c r="P88" s="189">
        <v>23457983.199999999</v>
      </c>
      <c r="Q88" s="191">
        <v>0</v>
      </c>
      <c r="R88" s="191">
        <v>0</v>
      </c>
      <c r="S88" s="190" t="s">
        <v>43</v>
      </c>
      <c r="T88" s="189">
        <v>44028979.960000001</v>
      </c>
      <c r="U88" s="189">
        <v>44028979.960000001</v>
      </c>
      <c r="V88" s="189">
        <v>-20570996.760000002</v>
      </c>
      <c r="W88" s="193">
        <v>-0.876929469367</v>
      </c>
      <c r="X88" s="189">
        <v>-20570996.760000002</v>
      </c>
      <c r="Y88" s="187" t="s">
        <v>66</v>
      </c>
      <c r="Z88" s="187" t="s">
        <v>44</v>
      </c>
      <c r="AA88" s="187">
        <v>15159</v>
      </c>
      <c r="AB88" s="187" t="s">
        <v>118</v>
      </c>
      <c r="AC88" s="187" t="s">
        <v>154</v>
      </c>
      <c r="AD88" s="187" t="s">
        <v>155</v>
      </c>
      <c r="AE88" s="187">
        <v>0</v>
      </c>
      <c r="AF88" s="187" t="s">
        <v>68</v>
      </c>
      <c r="AG88" s="187" t="s">
        <v>71</v>
      </c>
      <c r="AH88" s="187" t="s">
        <v>53</v>
      </c>
      <c r="AI88" s="187" t="s">
        <v>69</v>
      </c>
      <c r="AJ88" s="187" t="s">
        <v>46</v>
      </c>
      <c r="AK88" s="187" t="s">
        <v>54</v>
      </c>
      <c r="AL88" s="187" t="s">
        <v>48</v>
      </c>
      <c r="AM88" s="187" t="s">
        <v>49</v>
      </c>
      <c r="AN88" s="36" t="str">
        <f>VLOOKUP(I88,Sheet1!A:D,4,)</f>
        <v>A320400</v>
      </c>
      <c r="AP88" s="36" t="s">
        <v>814</v>
      </c>
    </row>
    <row r="89" spans="1:42" s="36" customFormat="1" ht="14.25" hidden="1" x14ac:dyDescent="0.2">
      <c r="A89" s="186">
        <v>45689</v>
      </c>
      <c r="B89" s="187" t="s">
        <v>40</v>
      </c>
      <c r="C89" s="187" t="s">
        <v>41</v>
      </c>
      <c r="D89" s="188">
        <v>25708030</v>
      </c>
      <c r="E89" s="188">
        <v>25106597</v>
      </c>
      <c r="F89" s="188" t="s">
        <v>822</v>
      </c>
      <c r="G89" s="192">
        <v>45712</v>
      </c>
      <c r="H89" s="187" t="s">
        <v>115</v>
      </c>
      <c r="I89" s="187" t="s">
        <v>146</v>
      </c>
      <c r="J89" s="187" t="s">
        <v>147</v>
      </c>
      <c r="K89" s="189">
        <v>18</v>
      </c>
      <c r="L89" s="190" t="s">
        <v>42</v>
      </c>
      <c r="M89" s="189">
        <v>18</v>
      </c>
      <c r="N89" s="189">
        <v>10906376.35</v>
      </c>
      <c r="O89" s="189">
        <v>196314774.30000001</v>
      </c>
      <c r="P89" s="189">
        <v>196314774.30000001</v>
      </c>
      <c r="Q89" s="191">
        <v>0</v>
      </c>
      <c r="R89" s="191">
        <v>0</v>
      </c>
      <c r="S89" s="190" t="s">
        <v>43</v>
      </c>
      <c r="T89" s="189">
        <v>116627066.95999999</v>
      </c>
      <c r="U89" s="189">
        <v>116627066.95999999</v>
      </c>
      <c r="V89" s="189">
        <v>79687707.340000004</v>
      </c>
      <c r="W89" s="193">
        <v>0.40591803456499997</v>
      </c>
      <c r="X89" s="189">
        <v>79687707.340000004</v>
      </c>
      <c r="Y89" s="187" t="s">
        <v>66</v>
      </c>
      <c r="Z89" s="187" t="s">
        <v>44</v>
      </c>
      <c r="AA89" s="187">
        <v>15159</v>
      </c>
      <c r="AB89" s="187" t="s">
        <v>118</v>
      </c>
      <c r="AC89" s="187" t="s">
        <v>154</v>
      </c>
      <c r="AD89" s="187" t="s">
        <v>155</v>
      </c>
      <c r="AE89" s="187">
        <v>0</v>
      </c>
      <c r="AF89" s="187" t="s">
        <v>68</v>
      </c>
      <c r="AG89" s="187" t="s">
        <v>69</v>
      </c>
      <c r="AH89" s="187" t="s">
        <v>46</v>
      </c>
      <c r="AI89" s="187" t="s">
        <v>69</v>
      </c>
      <c r="AJ89" s="187" t="s">
        <v>46</v>
      </c>
      <c r="AK89" s="187" t="s">
        <v>54</v>
      </c>
      <c r="AL89" s="187" t="s">
        <v>48</v>
      </c>
      <c r="AM89" s="187" t="s">
        <v>49</v>
      </c>
      <c r="AN89" s="36" t="str">
        <f>VLOOKUP(I89,Sheet1!A:D,4,)</f>
        <v>A320400</v>
      </c>
      <c r="AP89" s="36" t="s">
        <v>814</v>
      </c>
    </row>
    <row r="90" spans="1:42" s="36" customFormat="1" ht="14.25" hidden="1" x14ac:dyDescent="0.2">
      <c r="A90" s="186">
        <v>45689</v>
      </c>
      <c r="B90" s="187" t="s">
        <v>40</v>
      </c>
      <c r="C90" s="187" t="s">
        <v>41</v>
      </c>
      <c r="D90" s="188">
        <v>25708031</v>
      </c>
      <c r="E90" s="188">
        <v>25106619</v>
      </c>
      <c r="F90" s="188" t="s">
        <v>823</v>
      </c>
      <c r="G90" s="192">
        <v>45713</v>
      </c>
      <c r="H90" s="187" t="s">
        <v>115</v>
      </c>
      <c r="I90" s="187" t="s">
        <v>267</v>
      </c>
      <c r="J90" s="187" t="s">
        <v>754</v>
      </c>
      <c r="K90" s="189">
        <v>1</v>
      </c>
      <c r="L90" s="190" t="s">
        <v>42</v>
      </c>
      <c r="M90" s="189">
        <v>1</v>
      </c>
      <c r="N90" s="189">
        <v>1518494.03</v>
      </c>
      <c r="O90" s="189">
        <v>1518494.03</v>
      </c>
      <c r="P90" s="189">
        <v>1518494.03</v>
      </c>
      <c r="Q90" s="191">
        <v>0</v>
      </c>
      <c r="R90" s="191">
        <v>0</v>
      </c>
      <c r="S90" s="190" t="s">
        <v>43</v>
      </c>
      <c r="T90" s="189">
        <v>342363.73</v>
      </c>
      <c r="U90" s="189">
        <v>342363.73</v>
      </c>
      <c r="V90" s="189">
        <v>1176130.3</v>
      </c>
      <c r="W90" s="193">
        <v>0.77453732234899997</v>
      </c>
      <c r="X90" s="189">
        <v>1176130.3</v>
      </c>
      <c r="Y90" s="187" t="s">
        <v>66</v>
      </c>
      <c r="Z90" s="187" t="s">
        <v>44</v>
      </c>
      <c r="AA90" s="187">
        <v>15159</v>
      </c>
      <c r="AB90" s="187" t="s">
        <v>118</v>
      </c>
      <c r="AC90" s="187" t="s">
        <v>154</v>
      </c>
      <c r="AD90" s="187" t="s">
        <v>155</v>
      </c>
      <c r="AE90" s="187">
        <v>0</v>
      </c>
      <c r="AF90" s="187" t="s">
        <v>68</v>
      </c>
      <c r="AG90" s="187" t="s">
        <v>142</v>
      </c>
      <c r="AH90" s="187" t="s">
        <v>143</v>
      </c>
      <c r="AI90" s="187" t="s">
        <v>69</v>
      </c>
      <c r="AJ90" s="187" t="s">
        <v>46</v>
      </c>
      <c r="AK90" s="187" t="s">
        <v>54</v>
      </c>
      <c r="AL90" s="187" t="s">
        <v>48</v>
      </c>
      <c r="AM90" s="187" t="s">
        <v>49</v>
      </c>
      <c r="AN90" s="36" t="str">
        <f>VLOOKUP(I90,Sheet1!A:D,4,)</f>
        <v>A320400</v>
      </c>
      <c r="AP90" s="36" t="s">
        <v>834</v>
      </c>
    </row>
    <row r="91" spans="1:42" s="36" customFormat="1" ht="14.25" hidden="1" x14ac:dyDescent="0.2">
      <c r="A91" s="186">
        <v>45689</v>
      </c>
      <c r="B91" s="187" t="s">
        <v>40</v>
      </c>
      <c r="C91" s="187" t="s">
        <v>41</v>
      </c>
      <c r="D91" s="188">
        <v>25708033</v>
      </c>
      <c r="E91" s="188">
        <v>24106338</v>
      </c>
      <c r="F91" s="188" t="s">
        <v>825</v>
      </c>
      <c r="G91" s="192">
        <v>45714</v>
      </c>
      <c r="H91" s="187" t="s">
        <v>126</v>
      </c>
      <c r="I91" s="187" t="s">
        <v>452</v>
      </c>
      <c r="J91" s="187" t="s">
        <v>826</v>
      </c>
      <c r="K91" s="189">
        <v>120</v>
      </c>
      <c r="L91" s="190" t="s">
        <v>42</v>
      </c>
      <c r="M91" s="189">
        <v>120</v>
      </c>
      <c r="N91" s="189">
        <v>808963.25</v>
      </c>
      <c r="O91" s="189">
        <v>97075590</v>
      </c>
      <c r="P91" s="189">
        <v>97075590</v>
      </c>
      <c r="Q91" s="191">
        <v>0</v>
      </c>
      <c r="R91" s="191">
        <v>0</v>
      </c>
      <c r="S91" s="190" t="s">
        <v>43</v>
      </c>
      <c r="T91" s="189">
        <v>58364550</v>
      </c>
      <c r="U91" s="189">
        <v>58364550</v>
      </c>
      <c r="V91" s="189">
        <v>38711040</v>
      </c>
      <c r="W91" s="193">
        <v>0.398772132108</v>
      </c>
      <c r="X91" s="189">
        <v>38711040</v>
      </c>
      <c r="Y91" s="187" t="s">
        <v>69</v>
      </c>
      <c r="Z91" s="187" t="s">
        <v>46</v>
      </c>
      <c r="AA91" s="187">
        <v>2306153</v>
      </c>
      <c r="AB91" s="187" t="s">
        <v>126</v>
      </c>
      <c r="AC91" s="187" t="s">
        <v>56</v>
      </c>
      <c r="AD91" s="187" t="s">
        <v>77</v>
      </c>
      <c r="AE91" s="187">
        <v>0</v>
      </c>
      <c r="AF91" s="187" t="s">
        <v>124</v>
      </c>
      <c r="AG91" s="187" t="s">
        <v>827</v>
      </c>
      <c r="AH91" s="187" t="s">
        <v>828</v>
      </c>
      <c r="AI91" s="187" t="s">
        <v>829</v>
      </c>
      <c r="AJ91" s="187" t="s">
        <v>830</v>
      </c>
      <c r="AK91" s="187" t="s">
        <v>54</v>
      </c>
      <c r="AL91" s="187" t="s">
        <v>48</v>
      </c>
      <c r="AM91" s="187" t="s">
        <v>49</v>
      </c>
      <c r="AN91" s="36" t="str">
        <f>VLOOKUP(I91,Sheet1!A:D,4,)</f>
        <v>A320400</v>
      </c>
      <c r="AP91" s="36" t="s">
        <v>834</v>
      </c>
    </row>
    <row r="92" spans="1:42" s="36" customFormat="1" ht="14.25" hidden="1" x14ac:dyDescent="0.2">
      <c r="A92" s="186">
        <v>45689</v>
      </c>
      <c r="B92" s="187" t="s">
        <v>40</v>
      </c>
      <c r="C92" s="187" t="s">
        <v>41</v>
      </c>
      <c r="D92" s="188">
        <v>25708033</v>
      </c>
      <c r="E92" s="188">
        <v>24106338</v>
      </c>
      <c r="F92" s="188" t="s">
        <v>825</v>
      </c>
      <c r="G92" s="192">
        <v>45714</v>
      </c>
      <c r="H92" s="187" t="s">
        <v>126</v>
      </c>
      <c r="I92" s="187" t="s">
        <v>412</v>
      </c>
      <c r="J92" s="187" t="s">
        <v>831</v>
      </c>
      <c r="K92" s="189">
        <v>100</v>
      </c>
      <c r="L92" s="190" t="s">
        <v>42</v>
      </c>
      <c r="M92" s="189">
        <v>100</v>
      </c>
      <c r="N92" s="189">
        <v>1266281.1000000001</v>
      </c>
      <c r="O92" s="189">
        <v>126628110</v>
      </c>
      <c r="P92" s="189">
        <v>126628110</v>
      </c>
      <c r="Q92" s="191">
        <v>0</v>
      </c>
      <c r="R92" s="191">
        <v>0</v>
      </c>
      <c r="S92" s="190" t="s">
        <v>43</v>
      </c>
      <c r="T92" s="189">
        <v>97914622</v>
      </c>
      <c r="U92" s="189">
        <v>97914622</v>
      </c>
      <c r="V92" s="189">
        <v>28713488</v>
      </c>
      <c r="W92" s="193">
        <v>0.22675445444100001</v>
      </c>
      <c r="X92" s="189">
        <v>28713488</v>
      </c>
      <c r="Y92" s="187" t="s">
        <v>69</v>
      </c>
      <c r="Z92" s="187" t="s">
        <v>46</v>
      </c>
      <c r="AA92" s="187">
        <v>2306153</v>
      </c>
      <c r="AB92" s="187" t="s">
        <v>126</v>
      </c>
      <c r="AC92" s="187" t="s">
        <v>56</v>
      </c>
      <c r="AD92" s="187" t="s">
        <v>77</v>
      </c>
      <c r="AE92" s="187">
        <v>0</v>
      </c>
      <c r="AF92" s="187" t="s">
        <v>124</v>
      </c>
      <c r="AG92" s="187" t="s">
        <v>81</v>
      </c>
      <c r="AH92" s="187" t="s">
        <v>57</v>
      </c>
      <c r="AI92" s="187" t="s">
        <v>69</v>
      </c>
      <c r="AJ92" s="187" t="s">
        <v>46</v>
      </c>
      <c r="AK92" s="187" t="s">
        <v>54</v>
      </c>
      <c r="AL92" s="187" t="s">
        <v>48</v>
      </c>
      <c r="AM92" s="187" t="s">
        <v>49</v>
      </c>
      <c r="AN92" s="36" t="str">
        <f>VLOOKUP(I92,Sheet1!A:D,4,)</f>
        <v>A320400</v>
      </c>
      <c r="AP92" s="36" t="s">
        <v>834</v>
      </c>
    </row>
    <row r="93" spans="1:42" s="36" customFormat="1" ht="14.25" hidden="1" x14ac:dyDescent="0.2">
      <c r="A93" s="186">
        <v>45689</v>
      </c>
      <c r="B93" s="187" t="s">
        <v>40</v>
      </c>
      <c r="C93" s="187" t="s">
        <v>41</v>
      </c>
      <c r="D93" s="188">
        <v>25708034</v>
      </c>
      <c r="E93" s="188">
        <v>25106546</v>
      </c>
      <c r="F93" s="188" t="s">
        <v>832</v>
      </c>
      <c r="G93" s="192">
        <v>45714</v>
      </c>
      <c r="H93" s="187" t="s">
        <v>115</v>
      </c>
      <c r="I93" s="187" t="s">
        <v>414</v>
      </c>
      <c r="J93" s="187" t="s">
        <v>833</v>
      </c>
      <c r="K93" s="189">
        <v>60</v>
      </c>
      <c r="L93" s="190" t="s">
        <v>42</v>
      </c>
      <c r="M93" s="189">
        <v>60</v>
      </c>
      <c r="N93" s="189">
        <v>1431976.8</v>
      </c>
      <c r="O93" s="189">
        <v>85918608</v>
      </c>
      <c r="P93" s="189">
        <v>85918608</v>
      </c>
      <c r="Q93" s="191">
        <v>0</v>
      </c>
      <c r="R93" s="191">
        <v>0</v>
      </c>
      <c r="S93" s="190" t="s">
        <v>43</v>
      </c>
      <c r="T93" s="189">
        <v>37962297.600000001</v>
      </c>
      <c r="U93" s="189">
        <v>37962297.600000001</v>
      </c>
      <c r="V93" s="189">
        <v>47956310.399999999</v>
      </c>
      <c r="W93" s="193">
        <v>0.55815976906800002</v>
      </c>
      <c r="X93" s="189">
        <v>47956310.399999999</v>
      </c>
      <c r="Y93" s="187" t="s">
        <v>66</v>
      </c>
      <c r="Z93" s="187" t="s">
        <v>44</v>
      </c>
      <c r="AA93" s="187">
        <v>15159</v>
      </c>
      <c r="AB93" s="187" t="s">
        <v>118</v>
      </c>
      <c r="AC93" s="187" t="s">
        <v>154</v>
      </c>
      <c r="AD93" s="187" t="s">
        <v>155</v>
      </c>
      <c r="AE93" s="187">
        <v>0</v>
      </c>
      <c r="AF93" s="187" t="s">
        <v>72</v>
      </c>
      <c r="AG93" s="187" t="s">
        <v>69</v>
      </c>
      <c r="AH93" s="187" t="s">
        <v>46</v>
      </c>
      <c r="AI93" s="187" t="s">
        <v>69</v>
      </c>
      <c r="AJ93" s="187" t="s">
        <v>46</v>
      </c>
      <c r="AK93" s="187" t="s">
        <v>54</v>
      </c>
      <c r="AL93" s="187" t="s">
        <v>48</v>
      </c>
      <c r="AM93" s="187" t="s">
        <v>49</v>
      </c>
      <c r="AN93" s="36" t="str">
        <f>VLOOKUP(I93,Sheet1!A:D,4,)</f>
        <v>A320400</v>
      </c>
      <c r="AP93" s="36" t="s">
        <v>834</v>
      </c>
    </row>
    <row r="94" spans="1:42" s="36" customFormat="1" ht="14.25" hidden="1" x14ac:dyDescent="0.2">
      <c r="A94" s="186">
        <v>45689</v>
      </c>
      <c r="B94" s="187" t="s">
        <v>40</v>
      </c>
      <c r="C94" s="187" t="s">
        <v>41</v>
      </c>
      <c r="D94" s="188">
        <v>25708035</v>
      </c>
      <c r="E94" s="188">
        <v>25106568</v>
      </c>
      <c r="F94" s="188" t="s">
        <v>818</v>
      </c>
      <c r="G94" s="192">
        <v>45714</v>
      </c>
      <c r="H94" s="187" t="s">
        <v>115</v>
      </c>
      <c r="I94" s="187" t="s">
        <v>414</v>
      </c>
      <c r="J94" s="187" t="s">
        <v>833</v>
      </c>
      <c r="K94" s="189">
        <v>10</v>
      </c>
      <c r="L94" s="190" t="s">
        <v>42</v>
      </c>
      <c r="M94" s="189">
        <v>10</v>
      </c>
      <c r="N94" s="189">
        <v>1172899.1599999999</v>
      </c>
      <c r="O94" s="189">
        <v>11728991.6</v>
      </c>
      <c r="P94" s="189">
        <v>11728991.6</v>
      </c>
      <c r="Q94" s="191">
        <v>0</v>
      </c>
      <c r="R94" s="191">
        <v>0</v>
      </c>
      <c r="S94" s="190" t="s">
        <v>43</v>
      </c>
      <c r="T94" s="189">
        <v>6327049.5999999996</v>
      </c>
      <c r="U94" s="189">
        <v>6327049.5999999996</v>
      </c>
      <c r="V94" s="189">
        <v>5401942</v>
      </c>
      <c r="W94" s="193">
        <v>0.46056320817800001</v>
      </c>
      <c r="X94" s="189">
        <v>5401942</v>
      </c>
      <c r="Y94" s="187" t="s">
        <v>66</v>
      </c>
      <c r="Z94" s="187" t="s">
        <v>44</v>
      </c>
      <c r="AA94" s="187">
        <v>15159</v>
      </c>
      <c r="AB94" s="187" t="s">
        <v>118</v>
      </c>
      <c r="AC94" s="187" t="s">
        <v>154</v>
      </c>
      <c r="AD94" s="187" t="s">
        <v>155</v>
      </c>
      <c r="AE94" s="187">
        <v>0</v>
      </c>
      <c r="AF94" s="187" t="s">
        <v>72</v>
      </c>
      <c r="AG94" s="187" t="s">
        <v>69</v>
      </c>
      <c r="AH94" s="187" t="s">
        <v>46</v>
      </c>
      <c r="AI94" s="187" t="s">
        <v>69</v>
      </c>
      <c r="AJ94" s="187" t="s">
        <v>46</v>
      </c>
      <c r="AK94" s="187" t="s">
        <v>54</v>
      </c>
      <c r="AL94" s="187" t="s">
        <v>48</v>
      </c>
      <c r="AM94" s="187" t="s">
        <v>49</v>
      </c>
      <c r="AN94" s="36" t="str">
        <f>VLOOKUP(I94,Sheet1!A:D,4,)</f>
        <v>A320400</v>
      </c>
      <c r="AP94" s="36" t="s">
        <v>834</v>
      </c>
    </row>
    <row r="95" spans="1:42" s="36" customFormat="1" ht="14.25" hidden="1" x14ac:dyDescent="0.2">
      <c r="A95" s="186">
        <v>45689</v>
      </c>
      <c r="B95" s="187" t="s">
        <v>40</v>
      </c>
      <c r="C95" s="187" t="s">
        <v>41</v>
      </c>
      <c r="D95" s="188">
        <v>25708036</v>
      </c>
      <c r="E95" s="188">
        <v>25106568</v>
      </c>
      <c r="F95" s="188" t="s">
        <v>818</v>
      </c>
      <c r="G95" s="192">
        <v>45712</v>
      </c>
      <c r="H95" s="187" t="s">
        <v>115</v>
      </c>
      <c r="I95" s="187" t="s">
        <v>450</v>
      </c>
      <c r="J95" s="187" t="s">
        <v>819</v>
      </c>
      <c r="K95" s="189">
        <v>20</v>
      </c>
      <c r="L95" s="190" t="s">
        <v>42</v>
      </c>
      <c r="M95" s="189">
        <v>20</v>
      </c>
      <c r="N95" s="189">
        <v>825504.17</v>
      </c>
      <c r="O95" s="189">
        <v>16510083.4</v>
      </c>
      <c r="P95" s="189">
        <v>16510083.4</v>
      </c>
      <c r="Q95" s="191">
        <v>0</v>
      </c>
      <c r="R95" s="191">
        <v>0</v>
      </c>
      <c r="S95" s="190" t="s">
        <v>43</v>
      </c>
      <c r="T95" s="189">
        <v>10072540</v>
      </c>
      <c r="U95" s="189">
        <v>10072540</v>
      </c>
      <c r="V95" s="189">
        <v>6437543.4000000004</v>
      </c>
      <c r="W95" s="193">
        <v>0.38991586196299999</v>
      </c>
      <c r="X95" s="189">
        <v>6437543.4000000004</v>
      </c>
      <c r="Y95" s="187" t="s">
        <v>66</v>
      </c>
      <c r="Z95" s="187" t="s">
        <v>44</v>
      </c>
      <c r="AA95" s="187">
        <v>15159</v>
      </c>
      <c r="AB95" s="187" t="s">
        <v>118</v>
      </c>
      <c r="AC95" s="187" t="s">
        <v>154</v>
      </c>
      <c r="AD95" s="187" t="s">
        <v>155</v>
      </c>
      <c r="AE95" s="187">
        <v>0</v>
      </c>
      <c r="AF95" s="187" t="s">
        <v>72</v>
      </c>
      <c r="AG95" s="187" t="s">
        <v>69</v>
      </c>
      <c r="AH95" s="187" t="s">
        <v>46</v>
      </c>
      <c r="AI95" s="187" t="s">
        <v>69</v>
      </c>
      <c r="AJ95" s="187" t="s">
        <v>46</v>
      </c>
      <c r="AK95" s="187" t="s">
        <v>54</v>
      </c>
      <c r="AL95" s="187" t="s">
        <v>48</v>
      </c>
      <c r="AM95" s="187" t="s">
        <v>49</v>
      </c>
      <c r="AN95" s="36" t="str">
        <f>VLOOKUP(I95,Sheet1!A:D,4,)</f>
        <v>A320400</v>
      </c>
      <c r="AP95" s="36" t="s">
        <v>834</v>
      </c>
    </row>
    <row r="96" spans="1:42" s="36" customFormat="1" ht="14.25" hidden="1" x14ac:dyDescent="0.2">
      <c r="A96" s="186">
        <v>45689</v>
      </c>
      <c r="B96" s="187" t="s">
        <v>40</v>
      </c>
      <c r="C96" s="187" t="s">
        <v>41</v>
      </c>
      <c r="D96" s="188">
        <v>25708036</v>
      </c>
      <c r="E96" s="188">
        <v>25106568</v>
      </c>
      <c r="F96" s="188" t="s">
        <v>818</v>
      </c>
      <c r="G96" s="192">
        <v>45712</v>
      </c>
      <c r="H96" s="187" t="s">
        <v>115</v>
      </c>
      <c r="I96" s="187" t="s">
        <v>451</v>
      </c>
      <c r="J96" s="187" t="s">
        <v>820</v>
      </c>
      <c r="K96" s="189">
        <v>60</v>
      </c>
      <c r="L96" s="190" t="s">
        <v>42</v>
      </c>
      <c r="M96" s="189">
        <v>60</v>
      </c>
      <c r="N96" s="189">
        <v>1048440.01</v>
      </c>
      <c r="O96" s="189">
        <v>62906400.600000001</v>
      </c>
      <c r="P96" s="189">
        <v>62906400.600000001</v>
      </c>
      <c r="Q96" s="191">
        <v>0</v>
      </c>
      <c r="R96" s="191">
        <v>0</v>
      </c>
      <c r="S96" s="190" t="s">
        <v>43</v>
      </c>
      <c r="T96" s="189">
        <v>40302714.539999999</v>
      </c>
      <c r="U96" s="189">
        <v>40302714.539999999</v>
      </c>
      <c r="V96" s="189">
        <v>22603686.059999999</v>
      </c>
      <c r="W96" s="193">
        <v>0.35932251478999999</v>
      </c>
      <c r="X96" s="189">
        <v>22603686.059999999</v>
      </c>
      <c r="Y96" s="187" t="s">
        <v>66</v>
      </c>
      <c r="Z96" s="187" t="s">
        <v>44</v>
      </c>
      <c r="AA96" s="187">
        <v>15159</v>
      </c>
      <c r="AB96" s="187" t="s">
        <v>118</v>
      </c>
      <c r="AC96" s="187" t="s">
        <v>154</v>
      </c>
      <c r="AD96" s="187" t="s">
        <v>155</v>
      </c>
      <c r="AE96" s="187">
        <v>0</v>
      </c>
      <c r="AF96" s="187" t="s">
        <v>72</v>
      </c>
      <c r="AG96" s="187" t="s">
        <v>69</v>
      </c>
      <c r="AH96" s="187" t="s">
        <v>46</v>
      </c>
      <c r="AI96" s="187" t="s">
        <v>69</v>
      </c>
      <c r="AJ96" s="187" t="s">
        <v>46</v>
      </c>
      <c r="AK96" s="187" t="s">
        <v>54</v>
      </c>
      <c r="AL96" s="187" t="s">
        <v>48</v>
      </c>
      <c r="AM96" s="187" t="s">
        <v>49</v>
      </c>
      <c r="AN96" s="36" t="str">
        <f>VLOOKUP(I96,Sheet1!A:D,4,)</f>
        <v>A320400</v>
      </c>
      <c r="AP96" s="36" t="s">
        <v>835</v>
      </c>
    </row>
    <row r="97" spans="1:42" s="36" customFormat="1" ht="14.25" hidden="1" x14ac:dyDescent="0.2">
      <c r="A97" s="186">
        <v>45689</v>
      </c>
      <c r="B97" s="187" t="s">
        <v>40</v>
      </c>
      <c r="C97" s="187" t="s">
        <v>41</v>
      </c>
      <c r="D97" s="188">
        <v>25708036</v>
      </c>
      <c r="E97" s="188">
        <v>25106568</v>
      </c>
      <c r="F97" s="188" t="s">
        <v>818</v>
      </c>
      <c r="G97" s="192">
        <v>45712</v>
      </c>
      <c r="H97" s="187" t="s">
        <v>115</v>
      </c>
      <c r="I97" s="187" t="s">
        <v>306</v>
      </c>
      <c r="J97" s="187" t="s">
        <v>821</v>
      </c>
      <c r="K97" s="189">
        <v>20</v>
      </c>
      <c r="L97" s="190" t="s">
        <v>42</v>
      </c>
      <c r="M97" s="189">
        <v>20</v>
      </c>
      <c r="N97" s="189">
        <v>5740197.0499999998</v>
      </c>
      <c r="O97" s="189">
        <v>114803941</v>
      </c>
      <c r="P97" s="189">
        <v>114803941</v>
      </c>
      <c r="Q97" s="191">
        <v>0</v>
      </c>
      <c r="R97" s="191">
        <v>0</v>
      </c>
      <c r="S97" s="190" t="s">
        <v>43</v>
      </c>
      <c r="T97" s="189">
        <v>44028979.960000001</v>
      </c>
      <c r="U97" s="189">
        <v>44028979.960000001</v>
      </c>
      <c r="V97" s="189">
        <v>70774961.040000007</v>
      </c>
      <c r="W97" s="193">
        <v>0.61648546577300001</v>
      </c>
      <c r="X97" s="189">
        <v>70774961.040000007</v>
      </c>
      <c r="Y97" s="187" t="s">
        <v>66</v>
      </c>
      <c r="Z97" s="187" t="s">
        <v>44</v>
      </c>
      <c r="AA97" s="187">
        <v>15159</v>
      </c>
      <c r="AB97" s="187" t="s">
        <v>118</v>
      </c>
      <c r="AC97" s="187" t="s">
        <v>154</v>
      </c>
      <c r="AD97" s="187" t="s">
        <v>155</v>
      </c>
      <c r="AE97" s="187">
        <v>0</v>
      </c>
      <c r="AF97" s="187" t="s">
        <v>68</v>
      </c>
      <c r="AG97" s="187" t="s">
        <v>71</v>
      </c>
      <c r="AH97" s="187" t="s">
        <v>53</v>
      </c>
      <c r="AI97" s="187" t="s">
        <v>69</v>
      </c>
      <c r="AJ97" s="187" t="s">
        <v>46</v>
      </c>
      <c r="AK97" s="187" t="s">
        <v>54</v>
      </c>
      <c r="AL97" s="187" t="s">
        <v>48</v>
      </c>
      <c r="AM97" s="187" t="s">
        <v>49</v>
      </c>
      <c r="AN97" s="36" t="str">
        <f>VLOOKUP(I97,Sheet1!A:D,4,)</f>
        <v>A320400</v>
      </c>
      <c r="AP97" s="36" t="s">
        <v>835</v>
      </c>
    </row>
    <row r="98" spans="1:42" s="36" customFormat="1" ht="14.25" hidden="1" x14ac:dyDescent="0.2">
      <c r="A98" s="186"/>
      <c r="B98" s="187"/>
      <c r="C98" s="187"/>
      <c r="D98" s="188"/>
      <c r="E98" s="188"/>
      <c r="F98" s="188"/>
      <c r="G98" s="192"/>
      <c r="H98" s="187"/>
      <c r="I98" s="187"/>
      <c r="J98" s="187"/>
      <c r="K98" s="189"/>
      <c r="L98" s="190"/>
      <c r="M98" s="189"/>
      <c r="N98" s="189"/>
      <c r="O98" s="189"/>
      <c r="P98" s="189"/>
      <c r="Q98" s="191"/>
      <c r="R98" s="191"/>
      <c r="S98" s="190"/>
      <c r="T98" s="189"/>
      <c r="U98" s="189"/>
      <c r="V98" s="189"/>
      <c r="W98" s="193"/>
      <c r="X98" s="189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  <c r="AJ98" s="187"/>
      <c r="AK98" s="187"/>
      <c r="AL98" s="187"/>
      <c r="AM98" s="187"/>
      <c r="AN98" s="36" t="e">
        <f>VLOOKUP(I98,Sheet1!A:D,4,)</f>
        <v>#N/A</v>
      </c>
      <c r="AP98" s="36" t="s">
        <v>835</v>
      </c>
    </row>
    <row r="99" spans="1:42" s="36" customFormat="1" ht="14.25" hidden="1" x14ac:dyDescent="0.2">
      <c r="A99" s="35"/>
      <c r="D99" s="37"/>
      <c r="E99" s="37"/>
      <c r="F99" s="37"/>
      <c r="G99" s="54"/>
      <c r="K99" s="50"/>
      <c r="L99" s="40"/>
      <c r="M99" s="50"/>
      <c r="N99" s="50"/>
      <c r="O99" s="50"/>
      <c r="P99" s="50"/>
      <c r="Q99" s="52"/>
      <c r="R99" s="52"/>
      <c r="S99" s="40"/>
      <c r="T99" s="50"/>
      <c r="U99" s="50"/>
      <c r="V99" s="50"/>
      <c r="W99" s="53"/>
      <c r="X99" s="50"/>
      <c r="AN99" s="36" t="e">
        <f>VLOOKUP(I99,Sheet1!A:D,4,)</f>
        <v>#N/A</v>
      </c>
    </row>
    <row r="100" spans="1:42" s="36" customFormat="1" ht="14.25" hidden="1" x14ac:dyDescent="0.2">
      <c r="A100" s="35"/>
      <c r="D100" s="37"/>
      <c r="E100" s="37"/>
      <c r="F100" s="37"/>
      <c r="G100" s="54"/>
      <c r="K100" s="50"/>
      <c r="L100" s="40"/>
      <c r="M100" s="50"/>
      <c r="N100" s="50"/>
      <c r="O100" s="50"/>
      <c r="P100" s="50"/>
      <c r="Q100" s="52"/>
      <c r="R100" s="52"/>
      <c r="S100" s="40"/>
      <c r="T100" s="50"/>
      <c r="U100" s="50"/>
      <c r="V100" s="50"/>
      <c r="W100" s="53"/>
      <c r="X100" s="50"/>
      <c r="AN100" s="36" t="e">
        <f>VLOOKUP(I100,Sheet1!A:D,4,)</f>
        <v>#N/A</v>
      </c>
    </row>
    <row r="101" spans="1:42" s="36" customFormat="1" ht="14.25" hidden="1" x14ac:dyDescent="0.2">
      <c r="A101" s="35"/>
      <c r="D101" s="37"/>
      <c r="E101" s="37"/>
      <c r="F101" s="37"/>
      <c r="G101" s="54"/>
      <c r="K101" s="50"/>
      <c r="L101" s="40"/>
      <c r="M101" s="50"/>
      <c r="N101" s="50"/>
      <c r="O101" s="50"/>
      <c r="P101" s="50"/>
      <c r="Q101" s="52"/>
      <c r="R101" s="52"/>
      <c r="S101" s="40"/>
      <c r="T101" s="50"/>
      <c r="U101" s="50"/>
      <c r="V101" s="50"/>
      <c r="W101" s="53"/>
      <c r="X101" s="50"/>
      <c r="AN101" s="36" t="e">
        <f>VLOOKUP(I101,Sheet1!A:D,4,)</f>
        <v>#N/A</v>
      </c>
    </row>
    <row r="102" spans="1:42" s="36" customFormat="1" ht="14.25" hidden="1" x14ac:dyDescent="0.2">
      <c r="A102" s="35"/>
      <c r="D102" s="37"/>
      <c r="E102" s="37"/>
      <c r="F102" s="37"/>
      <c r="G102" s="54"/>
      <c r="K102" s="50"/>
      <c r="L102" s="40"/>
      <c r="M102" s="50"/>
      <c r="N102" s="50"/>
      <c r="O102" s="50"/>
      <c r="P102" s="50"/>
      <c r="Q102" s="52"/>
      <c r="R102" s="52"/>
      <c r="S102" s="40"/>
      <c r="T102" s="50"/>
      <c r="U102" s="50"/>
      <c r="V102" s="50"/>
      <c r="W102" s="53"/>
      <c r="X102" s="50"/>
      <c r="AN102" s="36" t="e">
        <f>VLOOKUP(I102,Sheet1!A:D,4,)</f>
        <v>#N/A</v>
      </c>
    </row>
    <row r="103" spans="1:42" s="36" customFormat="1" ht="14.25" hidden="1" x14ac:dyDescent="0.2">
      <c r="A103" s="35"/>
      <c r="D103" s="37"/>
      <c r="E103" s="37"/>
      <c r="F103" s="37"/>
      <c r="G103" s="54"/>
      <c r="K103" s="50"/>
      <c r="L103" s="40"/>
      <c r="M103" s="50"/>
      <c r="N103" s="50"/>
      <c r="O103" s="50"/>
      <c r="P103" s="50"/>
      <c r="Q103" s="52"/>
      <c r="R103" s="52"/>
      <c r="S103" s="40"/>
      <c r="T103" s="50"/>
      <c r="U103" s="50"/>
      <c r="V103" s="50"/>
      <c r="W103" s="53"/>
      <c r="X103" s="50"/>
      <c r="AN103" s="36" t="e">
        <f>VLOOKUP(I103,Sheet1!A:D,4,)</f>
        <v>#N/A</v>
      </c>
    </row>
    <row r="104" spans="1:42" s="36" customFormat="1" ht="14.25" hidden="1" x14ac:dyDescent="0.2">
      <c r="A104" s="35"/>
      <c r="D104" s="37"/>
      <c r="E104" s="37"/>
      <c r="F104" s="37"/>
      <c r="G104" s="54"/>
      <c r="K104" s="50"/>
      <c r="L104" s="40"/>
      <c r="M104" s="50"/>
      <c r="N104" s="50"/>
      <c r="O104" s="50"/>
      <c r="P104" s="50"/>
      <c r="Q104" s="52"/>
      <c r="R104" s="52"/>
      <c r="S104" s="40"/>
      <c r="T104" s="50"/>
      <c r="U104" s="50"/>
      <c r="V104" s="50"/>
      <c r="W104" s="53"/>
      <c r="X104" s="50"/>
      <c r="AN104" s="36" t="e">
        <f>VLOOKUP(I104,Sheet1!A:D,4,)</f>
        <v>#N/A</v>
      </c>
    </row>
    <row r="105" spans="1:42" s="36" customFormat="1" ht="14.25" hidden="1" x14ac:dyDescent="0.2">
      <c r="A105" s="35"/>
      <c r="D105" s="37"/>
      <c r="E105" s="37"/>
      <c r="F105" s="37"/>
      <c r="G105" s="54"/>
      <c r="K105" s="50"/>
      <c r="L105" s="40"/>
      <c r="M105" s="50"/>
      <c r="N105" s="50"/>
      <c r="O105" s="50"/>
      <c r="P105" s="50"/>
      <c r="Q105" s="52"/>
      <c r="R105" s="52"/>
      <c r="S105" s="40"/>
      <c r="T105" s="50"/>
      <c r="U105" s="50"/>
      <c r="V105" s="50"/>
      <c r="W105" s="53"/>
      <c r="X105" s="50"/>
      <c r="AN105" s="36" t="e">
        <f>VLOOKUP(I105,Sheet1!A:D,4,)</f>
        <v>#N/A</v>
      </c>
    </row>
    <row r="106" spans="1:42" s="36" customFormat="1" ht="14.25" hidden="1" x14ac:dyDescent="0.2">
      <c r="A106" s="35"/>
      <c r="D106" s="37"/>
      <c r="E106" s="37"/>
      <c r="F106" s="37"/>
      <c r="G106" s="54"/>
      <c r="K106" s="50"/>
      <c r="L106" s="40"/>
      <c r="M106" s="50"/>
      <c r="N106" s="50"/>
      <c r="O106" s="50"/>
      <c r="P106" s="50"/>
      <c r="Q106" s="52"/>
      <c r="R106" s="52"/>
      <c r="S106" s="40"/>
      <c r="T106" s="50"/>
      <c r="U106" s="50"/>
      <c r="V106" s="50"/>
      <c r="W106" s="53"/>
      <c r="X106" s="50"/>
      <c r="AN106" s="36" t="e">
        <f>VLOOKUP(I106,Sheet1!A:D,4,)</f>
        <v>#N/A</v>
      </c>
    </row>
    <row r="107" spans="1:42" s="36" customFormat="1" ht="14.25" hidden="1" x14ac:dyDescent="0.2">
      <c r="A107" s="35"/>
      <c r="D107" s="37"/>
      <c r="E107" s="37"/>
      <c r="F107" s="37"/>
      <c r="G107" s="54"/>
      <c r="K107" s="50"/>
      <c r="L107" s="40"/>
      <c r="M107" s="50"/>
      <c r="N107" s="50"/>
      <c r="O107" s="50"/>
      <c r="P107" s="50"/>
      <c r="Q107" s="52"/>
      <c r="R107" s="52"/>
      <c r="S107" s="40"/>
      <c r="T107" s="50"/>
      <c r="U107" s="50"/>
      <c r="V107" s="50"/>
      <c r="W107" s="53"/>
      <c r="X107" s="50"/>
      <c r="AN107" s="36" t="e">
        <f>VLOOKUP(I107,Sheet1!A:D,4,)</f>
        <v>#N/A</v>
      </c>
    </row>
    <row r="108" spans="1:42" s="36" customFormat="1" ht="14.25" hidden="1" x14ac:dyDescent="0.2">
      <c r="A108" s="35"/>
      <c r="D108" s="37"/>
      <c r="E108" s="37"/>
      <c r="F108" s="37"/>
      <c r="G108" s="54"/>
      <c r="K108" s="50"/>
      <c r="L108" s="40"/>
      <c r="M108" s="50"/>
      <c r="N108" s="50"/>
      <c r="O108" s="50"/>
      <c r="P108" s="50"/>
      <c r="Q108" s="52"/>
      <c r="R108" s="52"/>
      <c r="S108" s="40"/>
      <c r="T108" s="50"/>
      <c r="U108" s="50"/>
      <c r="V108" s="50"/>
      <c r="W108" s="53"/>
      <c r="X108" s="50"/>
      <c r="AN108" s="36" t="e">
        <f>VLOOKUP(I108,Sheet1!A:D,4,)</f>
        <v>#N/A</v>
      </c>
    </row>
    <row r="109" spans="1:42" s="36" customFormat="1" ht="14.25" hidden="1" x14ac:dyDescent="0.2">
      <c r="A109" s="35"/>
      <c r="D109" s="37"/>
      <c r="E109" s="37"/>
      <c r="F109" s="37"/>
      <c r="G109" s="54"/>
      <c r="K109" s="50"/>
      <c r="L109" s="40"/>
      <c r="M109" s="50"/>
      <c r="N109" s="50"/>
      <c r="O109" s="50"/>
      <c r="P109" s="50"/>
      <c r="Q109" s="52"/>
      <c r="R109" s="52"/>
      <c r="S109" s="40"/>
      <c r="T109" s="50"/>
      <c r="U109" s="50"/>
      <c r="V109" s="50"/>
      <c r="W109" s="53"/>
      <c r="X109" s="50"/>
      <c r="AN109" s="36" t="e">
        <f>VLOOKUP(I109,Sheet1!A:D,4,)</f>
        <v>#N/A</v>
      </c>
    </row>
    <row r="110" spans="1:42" s="36" customFormat="1" ht="14.25" hidden="1" x14ac:dyDescent="0.2">
      <c r="A110" s="35"/>
      <c r="D110" s="37"/>
      <c r="E110" s="37"/>
      <c r="F110" s="37"/>
      <c r="G110" s="54"/>
      <c r="K110" s="50"/>
      <c r="L110" s="40"/>
      <c r="M110" s="50"/>
      <c r="N110" s="50"/>
      <c r="O110" s="50"/>
      <c r="P110" s="50"/>
      <c r="Q110" s="52"/>
      <c r="R110" s="52"/>
      <c r="S110" s="40"/>
      <c r="T110" s="50"/>
      <c r="U110" s="50"/>
      <c r="V110" s="50"/>
      <c r="W110" s="53"/>
      <c r="X110" s="50"/>
      <c r="AN110" s="36" t="e">
        <f>VLOOKUP(I110,Sheet1!A:D,4,)</f>
        <v>#N/A</v>
      </c>
    </row>
    <row r="111" spans="1:42" s="36" customFormat="1" ht="14.25" hidden="1" x14ac:dyDescent="0.2">
      <c r="A111" s="35"/>
      <c r="D111" s="37"/>
      <c r="E111" s="37"/>
      <c r="F111" s="37"/>
      <c r="G111" s="54"/>
      <c r="K111" s="50"/>
      <c r="L111" s="40"/>
      <c r="M111" s="50"/>
      <c r="N111" s="50"/>
      <c r="O111" s="50"/>
      <c r="P111" s="50"/>
      <c r="Q111" s="52"/>
      <c r="R111" s="52"/>
      <c r="S111" s="40"/>
      <c r="T111" s="50"/>
      <c r="U111" s="50"/>
      <c r="V111" s="50"/>
      <c r="W111" s="53"/>
      <c r="X111" s="50"/>
      <c r="AN111" s="36" t="e">
        <f>VLOOKUP(I111,Sheet1!A:D,4,)</f>
        <v>#N/A</v>
      </c>
    </row>
    <row r="112" spans="1:42" s="36" customFormat="1" ht="14.25" hidden="1" x14ac:dyDescent="0.2">
      <c r="A112" s="35"/>
      <c r="D112" s="37"/>
      <c r="E112" s="37"/>
      <c r="F112" s="37"/>
      <c r="G112" s="54"/>
      <c r="K112" s="50"/>
      <c r="L112" s="40"/>
      <c r="M112" s="50"/>
      <c r="N112" s="50"/>
      <c r="O112" s="50"/>
      <c r="P112" s="50"/>
      <c r="Q112" s="52"/>
      <c r="R112" s="52"/>
      <c r="S112" s="40"/>
      <c r="T112" s="50"/>
      <c r="U112" s="50"/>
      <c r="V112" s="50"/>
      <c r="W112" s="53"/>
      <c r="X112" s="50"/>
      <c r="AN112" s="36" t="e">
        <f>VLOOKUP(I112,Sheet1!A:D,4,)</f>
        <v>#N/A</v>
      </c>
    </row>
    <row r="113" spans="1:40" s="36" customFormat="1" ht="14.25" hidden="1" x14ac:dyDescent="0.2">
      <c r="A113" s="35"/>
      <c r="D113" s="37"/>
      <c r="E113" s="37"/>
      <c r="F113" s="37"/>
      <c r="G113" s="54"/>
      <c r="K113" s="50"/>
      <c r="L113" s="40"/>
      <c r="M113" s="50"/>
      <c r="N113" s="50"/>
      <c r="O113" s="50"/>
      <c r="P113" s="50"/>
      <c r="Q113" s="52"/>
      <c r="R113" s="52"/>
      <c r="S113" s="40"/>
      <c r="T113" s="50"/>
      <c r="U113" s="50"/>
      <c r="V113" s="50"/>
      <c r="W113" s="53"/>
      <c r="X113" s="50"/>
      <c r="AN113" s="36" t="e">
        <f>VLOOKUP(I113,Sheet1!A:D,4,)</f>
        <v>#N/A</v>
      </c>
    </row>
    <row r="114" spans="1:40" s="36" customFormat="1" ht="14.25" hidden="1" x14ac:dyDescent="0.2">
      <c r="A114" s="35"/>
      <c r="D114" s="37"/>
      <c r="E114" s="37"/>
      <c r="F114" s="37"/>
      <c r="G114" s="54"/>
      <c r="K114" s="50"/>
      <c r="L114" s="40"/>
      <c r="M114" s="50"/>
      <c r="N114" s="50"/>
      <c r="O114" s="50"/>
      <c r="P114" s="50"/>
      <c r="Q114" s="52"/>
      <c r="R114" s="52"/>
      <c r="S114" s="40"/>
      <c r="T114" s="50"/>
      <c r="U114" s="50"/>
      <c r="V114" s="50"/>
      <c r="W114" s="53"/>
      <c r="X114" s="50"/>
      <c r="AN114" s="36" t="e">
        <f>VLOOKUP(I114,Sheet1!A:D,4,)</f>
        <v>#N/A</v>
      </c>
    </row>
    <row r="115" spans="1:40" s="36" customFormat="1" ht="14.25" hidden="1" x14ac:dyDescent="0.2">
      <c r="A115" s="35"/>
      <c r="D115" s="37"/>
      <c r="E115" s="37"/>
      <c r="F115" s="37"/>
      <c r="G115" s="54"/>
      <c r="K115" s="50"/>
      <c r="L115" s="40"/>
      <c r="M115" s="50"/>
      <c r="N115" s="50"/>
      <c r="O115" s="50"/>
      <c r="P115" s="50"/>
      <c r="Q115" s="52"/>
      <c r="R115" s="52"/>
      <c r="S115" s="40"/>
      <c r="T115" s="50"/>
      <c r="U115" s="50"/>
      <c r="V115" s="50"/>
      <c r="W115" s="53"/>
      <c r="X115" s="50"/>
      <c r="AN115" s="36" t="e">
        <f>VLOOKUP(I115,Sheet1!A:D,4,)</f>
        <v>#N/A</v>
      </c>
    </row>
    <row r="116" spans="1:40" s="36" customFormat="1" ht="14.25" hidden="1" x14ac:dyDescent="0.2">
      <c r="A116" s="35"/>
      <c r="D116" s="37"/>
      <c r="E116" s="37"/>
      <c r="F116" s="37"/>
      <c r="G116" s="54"/>
      <c r="K116" s="50"/>
      <c r="L116" s="40"/>
      <c r="M116" s="50"/>
      <c r="N116" s="50"/>
      <c r="O116" s="50"/>
      <c r="P116" s="50"/>
      <c r="Q116" s="52"/>
      <c r="R116" s="52"/>
      <c r="S116" s="40"/>
      <c r="T116" s="50"/>
      <c r="U116" s="50"/>
      <c r="V116" s="50"/>
      <c r="W116" s="53"/>
      <c r="X116" s="50"/>
      <c r="AN116" s="36" t="e">
        <f>VLOOKUP(I116,Sheet1!A:D,4,)</f>
        <v>#N/A</v>
      </c>
    </row>
    <row r="117" spans="1:40" s="36" customFormat="1" ht="14.25" hidden="1" x14ac:dyDescent="0.2">
      <c r="A117" s="35"/>
      <c r="D117" s="37"/>
      <c r="E117" s="37"/>
      <c r="F117" s="37"/>
      <c r="G117" s="54"/>
      <c r="K117" s="50"/>
      <c r="L117" s="40"/>
      <c r="M117" s="50"/>
      <c r="N117" s="50"/>
      <c r="O117" s="50"/>
      <c r="P117" s="50"/>
      <c r="Q117" s="52"/>
      <c r="R117" s="52"/>
      <c r="S117" s="40"/>
      <c r="T117" s="50"/>
      <c r="U117" s="50"/>
      <c r="V117" s="50"/>
      <c r="W117" s="53"/>
      <c r="X117" s="50"/>
      <c r="AN117" s="36" t="e">
        <f>VLOOKUP(I117,Sheet1!A:D,4,)</f>
        <v>#N/A</v>
      </c>
    </row>
    <row r="118" spans="1:40" s="36" customFormat="1" ht="14.25" hidden="1" x14ac:dyDescent="0.2">
      <c r="A118" s="35"/>
      <c r="D118" s="37"/>
      <c r="E118" s="37"/>
      <c r="F118" s="37"/>
      <c r="G118" s="54"/>
      <c r="K118" s="50"/>
      <c r="L118" s="40"/>
      <c r="M118" s="50"/>
      <c r="N118" s="50"/>
      <c r="O118" s="50"/>
      <c r="P118" s="50"/>
      <c r="Q118" s="52"/>
      <c r="R118" s="52"/>
      <c r="S118" s="40"/>
      <c r="T118" s="50"/>
      <c r="U118" s="50"/>
      <c r="V118" s="50"/>
      <c r="W118" s="53"/>
      <c r="X118" s="50"/>
      <c r="AN118" s="36" t="e">
        <f>VLOOKUP(I118,Sheet1!A:D,4,)</f>
        <v>#N/A</v>
      </c>
    </row>
    <row r="119" spans="1:40" s="36" customFormat="1" ht="14.25" hidden="1" x14ac:dyDescent="0.2">
      <c r="A119" s="35"/>
      <c r="D119" s="37"/>
      <c r="E119" s="37"/>
      <c r="F119" s="37"/>
      <c r="G119" s="54"/>
      <c r="K119" s="50"/>
      <c r="L119" s="40"/>
      <c r="M119" s="50"/>
      <c r="N119" s="50"/>
      <c r="O119" s="50"/>
      <c r="P119" s="50"/>
      <c r="Q119" s="52"/>
      <c r="R119" s="52"/>
      <c r="S119" s="40"/>
      <c r="T119" s="50"/>
      <c r="U119" s="50"/>
      <c r="V119" s="50"/>
      <c r="W119" s="53"/>
      <c r="X119" s="50"/>
      <c r="AN119" s="36" t="e">
        <f>VLOOKUP(I119,Sheet1!A:D,4,)</f>
        <v>#N/A</v>
      </c>
    </row>
    <row r="120" spans="1:40" s="36" customFormat="1" ht="14.25" hidden="1" x14ac:dyDescent="0.2">
      <c r="A120" s="35"/>
      <c r="D120" s="37"/>
      <c r="E120" s="37"/>
      <c r="F120" s="37"/>
      <c r="G120" s="54"/>
      <c r="K120" s="50"/>
      <c r="L120" s="40"/>
      <c r="M120" s="50"/>
      <c r="N120" s="50"/>
      <c r="O120" s="50"/>
      <c r="P120" s="50"/>
      <c r="Q120" s="52"/>
      <c r="R120" s="52"/>
      <c r="S120" s="40"/>
      <c r="T120" s="50"/>
      <c r="U120" s="50"/>
      <c r="V120" s="50"/>
      <c r="W120" s="53"/>
      <c r="X120" s="50"/>
      <c r="AN120" s="36" t="e">
        <f>VLOOKUP(I120,Sheet1!A:D,4,)</f>
        <v>#N/A</v>
      </c>
    </row>
    <row r="121" spans="1:40" s="36" customFormat="1" ht="14.25" hidden="1" x14ac:dyDescent="0.2">
      <c r="A121" s="35"/>
      <c r="D121" s="37"/>
      <c r="E121" s="37"/>
      <c r="F121" s="37"/>
      <c r="G121" s="54"/>
      <c r="K121" s="50"/>
      <c r="L121" s="40"/>
      <c r="M121" s="50"/>
      <c r="N121" s="50"/>
      <c r="O121" s="50"/>
      <c r="P121" s="50"/>
      <c r="Q121" s="52"/>
      <c r="R121" s="52"/>
      <c r="S121" s="40"/>
      <c r="T121" s="50"/>
      <c r="U121" s="50"/>
      <c r="V121" s="50"/>
      <c r="W121" s="53"/>
      <c r="X121" s="50"/>
      <c r="AN121" s="36" t="e">
        <f>VLOOKUP(I121,Sheet1!A:D,4,)</f>
        <v>#N/A</v>
      </c>
    </row>
    <row r="122" spans="1:40" s="36" customFormat="1" ht="14.25" hidden="1" x14ac:dyDescent="0.2">
      <c r="A122" s="35"/>
      <c r="D122" s="37"/>
      <c r="E122" s="37"/>
      <c r="F122" s="37"/>
      <c r="G122" s="54"/>
      <c r="K122" s="50"/>
      <c r="L122" s="40"/>
      <c r="M122" s="50"/>
      <c r="N122" s="50"/>
      <c r="O122" s="50"/>
      <c r="P122" s="50"/>
      <c r="Q122" s="52"/>
      <c r="R122" s="52"/>
      <c r="S122" s="40"/>
      <c r="T122" s="50"/>
      <c r="U122" s="50"/>
      <c r="V122" s="50"/>
      <c r="W122" s="53"/>
      <c r="X122" s="50"/>
      <c r="AN122" s="36" t="e">
        <f>VLOOKUP(I122,Sheet1!A:D,4,)</f>
        <v>#N/A</v>
      </c>
    </row>
    <row r="123" spans="1:40" s="36" customFormat="1" ht="14.25" hidden="1" x14ac:dyDescent="0.2">
      <c r="A123" s="35"/>
      <c r="D123" s="37"/>
      <c r="E123" s="37"/>
      <c r="F123" s="37"/>
      <c r="G123" s="54"/>
      <c r="K123" s="50"/>
      <c r="L123" s="40"/>
      <c r="M123" s="50"/>
      <c r="N123" s="50"/>
      <c r="O123" s="50"/>
      <c r="P123" s="50"/>
      <c r="Q123" s="52"/>
      <c r="R123" s="52"/>
      <c r="S123" s="40"/>
      <c r="T123" s="50"/>
      <c r="U123" s="50"/>
      <c r="V123" s="50"/>
      <c r="W123" s="53"/>
      <c r="X123" s="50"/>
      <c r="AN123" s="36" t="e">
        <f>VLOOKUP(I123,Sheet1!A:D,4,)</f>
        <v>#N/A</v>
      </c>
    </row>
    <row r="124" spans="1:40" s="36" customFormat="1" ht="14.25" hidden="1" x14ac:dyDescent="0.2">
      <c r="A124" s="35"/>
      <c r="D124" s="37"/>
      <c r="E124" s="37"/>
      <c r="F124" s="37"/>
      <c r="G124" s="54"/>
      <c r="K124" s="50"/>
      <c r="L124" s="40"/>
      <c r="M124" s="50"/>
      <c r="N124" s="50"/>
      <c r="O124" s="50"/>
      <c r="P124" s="50"/>
      <c r="Q124" s="52"/>
      <c r="R124" s="52"/>
      <c r="S124" s="40"/>
      <c r="T124" s="50"/>
      <c r="U124" s="50"/>
      <c r="V124" s="50"/>
      <c r="W124" s="53"/>
      <c r="X124" s="50"/>
      <c r="AN124" s="36" t="e">
        <f>VLOOKUP(I124,Sheet1!A:D,4,)</f>
        <v>#N/A</v>
      </c>
    </row>
    <row r="125" spans="1:40" s="36" customFormat="1" ht="14.25" hidden="1" x14ac:dyDescent="0.2">
      <c r="A125" s="35"/>
      <c r="D125" s="37"/>
      <c r="E125" s="37"/>
      <c r="F125" s="37"/>
      <c r="G125" s="54"/>
      <c r="K125" s="50"/>
      <c r="L125" s="40"/>
      <c r="M125" s="50"/>
      <c r="N125" s="50"/>
      <c r="O125" s="50"/>
      <c r="P125" s="50"/>
      <c r="Q125" s="52"/>
      <c r="R125" s="52"/>
      <c r="S125" s="40"/>
      <c r="T125" s="50"/>
      <c r="U125" s="50"/>
      <c r="V125" s="50"/>
      <c r="W125" s="53"/>
      <c r="X125" s="50"/>
      <c r="AN125" s="36" t="e">
        <f>VLOOKUP(I125,Sheet1!A:D,4,)</f>
        <v>#N/A</v>
      </c>
    </row>
    <row r="126" spans="1:40" s="36" customFormat="1" ht="14.25" hidden="1" x14ac:dyDescent="0.2">
      <c r="A126" s="35"/>
      <c r="D126" s="37"/>
      <c r="E126" s="37"/>
      <c r="F126" s="37"/>
      <c r="G126" s="54"/>
      <c r="K126" s="50"/>
      <c r="L126" s="40"/>
      <c r="M126" s="50"/>
      <c r="N126" s="50"/>
      <c r="O126" s="50"/>
      <c r="P126" s="50"/>
      <c r="Q126" s="52"/>
      <c r="R126" s="52"/>
      <c r="S126" s="40"/>
      <c r="T126" s="50"/>
      <c r="U126" s="50"/>
      <c r="V126" s="50"/>
      <c r="W126" s="53"/>
      <c r="X126" s="50"/>
      <c r="AN126" s="36" t="e">
        <f>VLOOKUP(I126,Sheet1!A:D,4,)</f>
        <v>#N/A</v>
      </c>
    </row>
    <row r="127" spans="1:40" s="36" customFormat="1" ht="14.25" hidden="1" x14ac:dyDescent="0.2">
      <c r="A127" s="35"/>
      <c r="D127" s="37"/>
      <c r="E127" s="37"/>
      <c r="F127" s="37"/>
      <c r="G127" s="54"/>
      <c r="K127" s="50"/>
      <c r="L127" s="40"/>
      <c r="M127" s="50"/>
      <c r="N127" s="50"/>
      <c r="O127" s="50"/>
      <c r="P127" s="50"/>
      <c r="Q127" s="52"/>
      <c r="R127" s="52"/>
      <c r="S127" s="40"/>
      <c r="T127" s="50"/>
      <c r="U127" s="50"/>
      <c r="V127" s="50"/>
      <c r="W127" s="53"/>
      <c r="X127" s="50"/>
      <c r="AN127" s="36" t="e">
        <f>VLOOKUP(I127,Sheet1!A:D,4,)</f>
        <v>#N/A</v>
      </c>
    </row>
    <row r="128" spans="1:40" s="36" customFormat="1" ht="14.25" hidden="1" x14ac:dyDescent="0.2">
      <c r="A128" s="35"/>
      <c r="D128" s="37"/>
      <c r="E128" s="37"/>
      <c r="F128" s="37"/>
      <c r="G128" s="54"/>
      <c r="K128" s="50"/>
      <c r="L128" s="40"/>
      <c r="M128" s="50"/>
      <c r="N128" s="50"/>
      <c r="O128" s="50"/>
      <c r="P128" s="50"/>
      <c r="Q128" s="52"/>
      <c r="R128" s="52"/>
      <c r="S128" s="40"/>
      <c r="T128" s="50"/>
      <c r="U128" s="50"/>
      <c r="V128" s="50"/>
      <c r="W128" s="53"/>
      <c r="X128" s="50"/>
      <c r="AN128" s="36" t="e">
        <f>VLOOKUP(I128,Sheet1!A:D,4,)</f>
        <v>#N/A</v>
      </c>
    </row>
    <row r="129" spans="1:40" s="36" customFormat="1" ht="14.25" hidden="1" x14ac:dyDescent="0.2">
      <c r="A129" s="35"/>
      <c r="D129" s="37"/>
      <c r="E129" s="37"/>
      <c r="F129" s="37"/>
      <c r="G129" s="54"/>
      <c r="K129" s="50"/>
      <c r="L129" s="40"/>
      <c r="M129" s="50"/>
      <c r="N129" s="50"/>
      <c r="O129" s="50"/>
      <c r="P129" s="50"/>
      <c r="Q129" s="52"/>
      <c r="R129" s="52"/>
      <c r="S129" s="40"/>
      <c r="T129" s="50"/>
      <c r="U129" s="50"/>
      <c r="V129" s="50"/>
      <c r="W129" s="53"/>
      <c r="X129" s="50"/>
      <c r="AN129" s="36" t="e">
        <f>VLOOKUP(I129,Sheet1!A:D,4,)</f>
        <v>#N/A</v>
      </c>
    </row>
    <row r="130" spans="1:40" s="36" customFormat="1" ht="14.25" hidden="1" x14ac:dyDescent="0.2">
      <c r="A130" s="35"/>
      <c r="D130" s="37"/>
      <c r="E130" s="37"/>
      <c r="F130" s="37"/>
      <c r="G130" s="54"/>
      <c r="K130" s="50"/>
      <c r="L130" s="40"/>
      <c r="M130" s="50"/>
      <c r="N130" s="50"/>
      <c r="O130" s="50"/>
      <c r="P130" s="50"/>
      <c r="Q130" s="52"/>
      <c r="R130" s="52"/>
      <c r="S130" s="40"/>
      <c r="T130" s="50"/>
      <c r="U130" s="50"/>
      <c r="V130" s="50"/>
      <c r="W130" s="53"/>
      <c r="X130" s="50"/>
      <c r="AN130" s="36" t="e">
        <f>VLOOKUP(I130,Sheet1!A:D,4,)</f>
        <v>#N/A</v>
      </c>
    </row>
    <row r="131" spans="1:40" s="36" customFormat="1" ht="14.25" hidden="1" x14ac:dyDescent="0.2">
      <c r="A131" s="35"/>
      <c r="D131" s="37"/>
      <c r="E131" s="37"/>
      <c r="F131" s="37"/>
      <c r="G131" s="54"/>
      <c r="K131" s="50"/>
      <c r="L131" s="40"/>
      <c r="M131" s="50"/>
      <c r="N131" s="50"/>
      <c r="O131" s="50"/>
      <c r="P131" s="50"/>
      <c r="Q131" s="52"/>
      <c r="R131" s="52"/>
      <c r="S131" s="40"/>
      <c r="T131" s="50"/>
      <c r="U131" s="50"/>
      <c r="V131" s="50"/>
      <c r="W131" s="53"/>
      <c r="X131" s="50"/>
      <c r="AN131" s="36" t="e">
        <f>VLOOKUP(I131,Sheet1!A:D,4,)</f>
        <v>#N/A</v>
      </c>
    </row>
    <row r="132" spans="1:40" s="36" customFormat="1" ht="14.25" hidden="1" x14ac:dyDescent="0.2">
      <c r="A132" s="35"/>
      <c r="D132" s="37"/>
      <c r="E132" s="37"/>
      <c r="F132" s="37"/>
      <c r="G132" s="54"/>
      <c r="K132" s="50"/>
      <c r="L132" s="40"/>
      <c r="M132" s="50"/>
      <c r="N132" s="50"/>
      <c r="O132" s="50"/>
      <c r="P132" s="50"/>
      <c r="Q132" s="52"/>
      <c r="R132" s="52"/>
      <c r="S132" s="40"/>
      <c r="T132" s="50"/>
      <c r="U132" s="50"/>
      <c r="V132" s="50"/>
      <c r="W132" s="53"/>
      <c r="X132" s="50"/>
      <c r="AN132" s="36" t="e">
        <f>VLOOKUP(I132,Sheet1!A:D,4,)</f>
        <v>#N/A</v>
      </c>
    </row>
    <row r="133" spans="1:40" s="36" customFormat="1" ht="14.25" hidden="1" x14ac:dyDescent="0.2">
      <c r="A133" s="35"/>
      <c r="D133" s="37"/>
      <c r="E133" s="37"/>
      <c r="F133" s="37"/>
      <c r="G133" s="54"/>
      <c r="K133" s="50"/>
      <c r="L133" s="40"/>
      <c r="M133" s="50"/>
      <c r="N133" s="50"/>
      <c r="O133" s="50"/>
      <c r="P133" s="50"/>
      <c r="Q133" s="52"/>
      <c r="R133" s="52"/>
      <c r="S133" s="40"/>
      <c r="T133" s="50"/>
      <c r="U133" s="50"/>
      <c r="V133" s="50"/>
      <c r="W133" s="53"/>
      <c r="X133" s="50"/>
      <c r="AN133" s="36" t="e">
        <f>VLOOKUP(I133,Sheet1!A:D,4,)</f>
        <v>#N/A</v>
      </c>
    </row>
    <row r="134" spans="1:40" s="36" customFormat="1" ht="14.25" hidden="1" x14ac:dyDescent="0.2">
      <c r="A134" s="35"/>
      <c r="D134" s="37"/>
      <c r="E134" s="37"/>
      <c r="F134" s="37"/>
      <c r="G134" s="54"/>
      <c r="K134" s="50"/>
      <c r="L134" s="40"/>
      <c r="M134" s="50"/>
      <c r="N134" s="50"/>
      <c r="O134" s="50"/>
      <c r="P134" s="50"/>
      <c r="Q134" s="52"/>
      <c r="R134" s="52"/>
      <c r="S134" s="40"/>
      <c r="T134" s="50"/>
      <c r="U134" s="50"/>
      <c r="V134" s="50"/>
      <c r="W134" s="53"/>
      <c r="X134" s="50"/>
      <c r="AN134" s="36" t="e">
        <f>VLOOKUP(I134,Sheet1!A:D,4,)</f>
        <v>#N/A</v>
      </c>
    </row>
    <row r="135" spans="1:40" s="36" customFormat="1" ht="14.25" hidden="1" x14ac:dyDescent="0.2">
      <c r="A135" s="35"/>
      <c r="D135" s="37"/>
      <c r="E135" s="37"/>
      <c r="F135" s="37"/>
      <c r="G135" s="54"/>
      <c r="K135" s="50"/>
      <c r="L135" s="40"/>
      <c r="M135" s="50"/>
      <c r="N135" s="50"/>
      <c r="O135" s="50"/>
      <c r="P135" s="50"/>
      <c r="Q135" s="52"/>
      <c r="R135" s="52"/>
      <c r="S135" s="40"/>
      <c r="T135" s="50"/>
      <c r="U135" s="50"/>
      <c r="V135" s="50"/>
      <c r="W135" s="53"/>
      <c r="X135" s="50"/>
      <c r="AN135" s="36" t="e">
        <f>VLOOKUP(I135,Sheet1!A:D,4,)</f>
        <v>#N/A</v>
      </c>
    </row>
    <row r="136" spans="1:40" s="36" customFormat="1" ht="14.25" hidden="1" x14ac:dyDescent="0.2">
      <c r="A136" s="35"/>
      <c r="D136" s="37"/>
      <c r="E136" s="37"/>
      <c r="F136" s="37"/>
      <c r="G136" s="54"/>
      <c r="K136" s="50"/>
      <c r="L136" s="40"/>
      <c r="M136" s="50"/>
      <c r="N136" s="50"/>
      <c r="O136" s="50"/>
      <c r="P136" s="50"/>
      <c r="Q136" s="52"/>
      <c r="R136" s="52"/>
      <c r="S136" s="40"/>
      <c r="T136" s="50"/>
      <c r="U136" s="50"/>
      <c r="V136" s="50"/>
      <c r="W136" s="53"/>
      <c r="X136" s="50"/>
      <c r="AN136" s="36" t="e">
        <f>VLOOKUP(I136,Sheet1!A:D,4,)</f>
        <v>#N/A</v>
      </c>
    </row>
    <row r="137" spans="1:40" s="36" customFormat="1" ht="14.25" hidden="1" x14ac:dyDescent="0.2">
      <c r="A137" s="35"/>
      <c r="D137" s="37"/>
      <c r="E137" s="37"/>
      <c r="F137" s="37"/>
      <c r="G137" s="54"/>
      <c r="K137" s="50"/>
      <c r="L137" s="40"/>
      <c r="M137" s="50"/>
      <c r="N137" s="50"/>
      <c r="O137" s="50"/>
      <c r="P137" s="50"/>
      <c r="Q137" s="52"/>
      <c r="R137" s="52"/>
      <c r="S137" s="40"/>
      <c r="T137" s="50"/>
      <c r="U137" s="50"/>
      <c r="V137" s="50"/>
      <c r="W137" s="53"/>
      <c r="X137" s="50"/>
      <c r="AN137" s="36" t="e">
        <f>VLOOKUP(I137,Sheet1!A:D,4,)</f>
        <v>#N/A</v>
      </c>
    </row>
    <row r="138" spans="1:40" s="36" customFormat="1" ht="14.25" hidden="1" x14ac:dyDescent="0.2">
      <c r="A138" s="35"/>
      <c r="D138" s="37"/>
      <c r="E138" s="37"/>
      <c r="F138" s="37"/>
      <c r="G138" s="54"/>
      <c r="K138" s="50"/>
      <c r="L138" s="40"/>
      <c r="M138" s="50"/>
      <c r="N138" s="50"/>
      <c r="O138" s="50"/>
      <c r="P138" s="50"/>
      <c r="Q138" s="52"/>
      <c r="R138" s="52"/>
      <c r="S138" s="40"/>
      <c r="T138" s="50"/>
      <c r="U138" s="50"/>
      <c r="V138" s="50"/>
      <c r="W138" s="53"/>
      <c r="X138" s="50"/>
      <c r="AN138" s="36" t="e">
        <f>VLOOKUP(I138,Sheet1!A:D,4,)</f>
        <v>#N/A</v>
      </c>
    </row>
    <row r="139" spans="1:40" s="36" customFormat="1" ht="14.25" hidden="1" x14ac:dyDescent="0.2">
      <c r="A139" s="35"/>
      <c r="D139" s="37"/>
      <c r="E139" s="37"/>
      <c r="F139" s="37"/>
      <c r="G139" s="54"/>
      <c r="K139" s="50"/>
      <c r="L139" s="40"/>
      <c r="M139" s="50"/>
      <c r="N139" s="50"/>
      <c r="O139" s="50"/>
      <c r="P139" s="50"/>
      <c r="Q139" s="52"/>
      <c r="R139" s="52"/>
      <c r="S139" s="40"/>
      <c r="T139" s="50"/>
      <c r="U139" s="50"/>
      <c r="V139" s="50"/>
      <c r="W139" s="53"/>
      <c r="X139" s="50"/>
      <c r="AN139" s="36" t="e">
        <f>VLOOKUP(I139,Sheet1!A:D,4,)</f>
        <v>#N/A</v>
      </c>
    </row>
    <row r="140" spans="1:40" hidden="1" x14ac:dyDescent="0.25">
      <c r="K140" s="45"/>
      <c r="M140" s="45"/>
      <c r="N140" s="45"/>
      <c r="O140" s="45"/>
      <c r="P140" s="45"/>
      <c r="Q140" s="46"/>
      <c r="R140" s="46"/>
      <c r="T140" s="45"/>
      <c r="U140" s="45"/>
      <c r="V140" s="45"/>
      <c r="W140" s="47"/>
      <c r="X140" s="45"/>
      <c r="AN140" s="4" t="e">
        <f>VLOOKUP(I140,Sheet1!A:D,4,)</f>
        <v>#N/A</v>
      </c>
    </row>
    <row r="141" spans="1:40" hidden="1" x14ac:dyDescent="0.25">
      <c r="K141" s="45"/>
      <c r="M141" s="45"/>
      <c r="N141" s="45"/>
      <c r="O141" s="45"/>
      <c r="P141" s="45"/>
      <c r="Q141" s="46"/>
      <c r="R141" s="46"/>
      <c r="T141" s="45"/>
      <c r="U141" s="45"/>
      <c r="V141" s="45"/>
      <c r="W141" s="47"/>
      <c r="X141" s="45"/>
      <c r="AN141" s="4" t="e">
        <f>VLOOKUP(I141,Sheet1!A:D,4,)</f>
        <v>#N/A</v>
      </c>
    </row>
    <row r="142" spans="1:40" hidden="1" x14ac:dyDescent="0.25">
      <c r="K142" s="45"/>
      <c r="M142" s="45"/>
      <c r="N142" s="45"/>
      <c r="O142" s="45"/>
      <c r="P142" s="45"/>
      <c r="Q142" s="46"/>
      <c r="R142" s="46"/>
      <c r="T142" s="45"/>
      <c r="U142" s="45"/>
      <c r="V142" s="45"/>
      <c r="W142" s="47"/>
      <c r="X142" s="45"/>
      <c r="AN142" s="4" t="e">
        <f>VLOOKUP(I142,Sheet1!A:D,4,)</f>
        <v>#N/A</v>
      </c>
    </row>
    <row r="143" spans="1:40" hidden="1" x14ac:dyDescent="0.25">
      <c r="K143" s="45"/>
      <c r="M143" s="45"/>
      <c r="N143" s="45"/>
      <c r="O143" s="45"/>
      <c r="P143" s="45"/>
      <c r="Q143" s="46"/>
      <c r="R143" s="46"/>
      <c r="T143" s="45"/>
      <c r="U143" s="45"/>
      <c r="V143" s="45"/>
      <c r="W143" s="47"/>
      <c r="X143" s="45"/>
      <c r="AN143" s="4" t="e">
        <f>VLOOKUP(I143,Sheet1!A:D,4,)</f>
        <v>#N/A</v>
      </c>
    </row>
    <row r="144" spans="1:40" hidden="1" x14ac:dyDescent="0.25">
      <c r="K144" s="45"/>
      <c r="M144" s="45"/>
      <c r="N144" s="45"/>
      <c r="O144" s="45"/>
      <c r="P144" s="45"/>
      <c r="Q144" s="46"/>
      <c r="R144" s="46"/>
      <c r="T144" s="45"/>
      <c r="U144" s="45"/>
      <c r="V144" s="45"/>
      <c r="W144" s="47"/>
      <c r="X144" s="45"/>
      <c r="AN144" s="4" t="e">
        <f>VLOOKUP(I144,Sheet1!A:D,4,)</f>
        <v>#N/A</v>
      </c>
    </row>
    <row r="145" spans="11:42" hidden="1" x14ac:dyDescent="0.25">
      <c r="K145" s="45"/>
      <c r="M145" s="45"/>
      <c r="N145" s="45"/>
      <c r="O145" s="45"/>
      <c r="P145" s="45"/>
      <c r="Q145" s="46"/>
      <c r="R145" s="46"/>
      <c r="T145" s="45"/>
      <c r="U145" s="45"/>
      <c r="V145" s="45"/>
      <c r="W145" s="47"/>
      <c r="X145" s="45"/>
      <c r="AN145" s="4" t="e">
        <f>VLOOKUP(I145,Sheet1!A:D,4,)</f>
        <v>#N/A</v>
      </c>
    </row>
    <row r="146" spans="11:42" hidden="1" x14ac:dyDescent="0.25">
      <c r="K146" s="45"/>
      <c r="M146" s="45"/>
      <c r="N146" s="45"/>
      <c r="O146" s="45"/>
      <c r="P146" s="45"/>
      <c r="Q146" s="46"/>
      <c r="R146" s="46"/>
      <c r="T146" s="45"/>
      <c r="U146" s="45"/>
      <c r="V146" s="45"/>
      <c r="W146" s="47"/>
      <c r="X146" s="45"/>
      <c r="AN146" s="4" t="e">
        <f>VLOOKUP(I146,Sheet1!A:D,4,)</f>
        <v>#N/A</v>
      </c>
    </row>
    <row r="147" spans="11:42" hidden="1" x14ac:dyDescent="0.25">
      <c r="K147" s="45"/>
      <c r="M147" s="45"/>
      <c r="N147" s="45"/>
      <c r="O147" s="45"/>
      <c r="P147" s="45"/>
      <c r="Q147" s="46"/>
      <c r="R147" s="46"/>
      <c r="T147" s="45"/>
      <c r="U147" s="45"/>
      <c r="V147" s="45"/>
      <c r="W147" s="47"/>
      <c r="X147" s="45"/>
      <c r="AN147" s="4" t="e">
        <f>VLOOKUP(I147,Sheet1!A:D,4,)</f>
        <v>#N/A</v>
      </c>
    </row>
    <row r="148" spans="11:42" hidden="1" x14ac:dyDescent="0.25">
      <c r="K148" s="45"/>
      <c r="M148" s="45"/>
      <c r="N148" s="45"/>
      <c r="O148" s="45"/>
      <c r="P148" s="45"/>
      <c r="Q148" s="46"/>
      <c r="R148" s="46"/>
      <c r="T148" s="45"/>
      <c r="U148" s="45"/>
      <c r="V148" s="45"/>
      <c r="W148" s="47"/>
      <c r="X148" s="45"/>
      <c r="AN148" s="4" t="e">
        <f>VLOOKUP(I148,Sheet1!A:D,4,)</f>
        <v>#N/A</v>
      </c>
    </row>
    <row r="149" spans="11:42" hidden="1" x14ac:dyDescent="0.25">
      <c r="K149" s="45"/>
      <c r="M149" s="45"/>
      <c r="N149" s="45"/>
      <c r="O149" s="45"/>
      <c r="P149" s="45"/>
      <c r="Q149" s="46"/>
      <c r="R149" s="46"/>
      <c r="T149" s="45"/>
      <c r="U149" s="45"/>
      <c r="V149" s="45"/>
      <c r="W149" s="47"/>
      <c r="X149" s="45"/>
      <c r="AN149" s="4" t="e">
        <f>VLOOKUP(I149,Sheet1!A:D,4,)</f>
        <v>#N/A</v>
      </c>
    </row>
    <row r="150" spans="11:42" hidden="1" x14ac:dyDescent="0.25">
      <c r="K150" s="45"/>
      <c r="M150" s="45"/>
      <c r="N150" s="45"/>
      <c r="O150" s="45"/>
      <c r="P150" s="45"/>
      <c r="Q150" s="46"/>
      <c r="R150" s="46"/>
      <c r="T150" s="45"/>
      <c r="U150" s="45"/>
      <c r="V150" s="45"/>
      <c r="W150" s="47"/>
      <c r="X150" s="45"/>
      <c r="AN150" s="4" t="e">
        <f>VLOOKUP(I150,Sheet1!A:D,4,)</f>
        <v>#N/A</v>
      </c>
    </row>
    <row r="151" spans="11:42" hidden="1" x14ac:dyDescent="0.25">
      <c r="K151" s="45"/>
      <c r="M151" s="45"/>
      <c r="N151" s="45"/>
      <c r="O151" s="45"/>
      <c r="P151" s="45"/>
      <c r="Q151" s="46"/>
      <c r="R151" s="46"/>
      <c r="T151" s="45"/>
      <c r="U151" s="45"/>
      <c r="V151" s="45"/>
      <c r="W151" s="47"/>
      <c r="X151" s="45"/>
      <c r="AN151" s="4" t="e">
        <f>VLOOKUP(I151,Sheet1!A:D,4,)</f>
        <v>#N/A</v>
      </c>
    </row>
    <row r="152" spans="11:42" hidden="1" x14ac:dyDescent="0.25">
      <c r="K152" s="45"/>
      <c r="M152" s="45"/>
      <c r="N152" s="45"/>
      <c r="O152" s="45"/>
      <c r="P152" s="45"/>
      <c r="Q152" s="46"/>
      <c r="R152" s="46"/>
      <c r="T152" s="45"/>
      <c r="U152" s="45"/>
      <c r="V152" s="45"/>
      <c r="W152" s="47"/>
      <c r="X152" s="45"/>
      <c r="AN152" s="4" t="e">
        <f>VLOOKUP(I152,Sheet1!A:D,4,)</f>
        <v>#N/A</v>
      </c>
      <c r="AP152" s="36"/>
    </row>
    <row r="153" spans="11:42" hidden="1" x14ac:dyDescent="0.25">
      <c r="K153" s="45"/>
      <c r="M153" s="45"/>
      <c r="N153" s="45"/>
      <c r="O153" s="45"/>
      <c r="P153" s="45"/>
      <c r="Q153" s="46"/>
      <c r="R153" s="46"/>
      <c r="T153" s="45"/>
      <c r="U153" s="45"/>
      <c r="V153" s="45"/>
      <c r="W153" s="47"/>
      <c r="X153" s="45"/>
      <c r="AN153" s="4" t="e">
        <f>VLOOKUP(I153,Sheet1!A:D,4,)</f>
        <v>#N/A</v>
      </c>
    </row>
    <row r="154" spans="11:42" hidden="1" x14ac:dyDescent="0.25">
      <c r="K154" s="45"/>
      <c r="M154" s="45"/>
      <c r="N154" s="45"/>
      <c r="O154" s="45"/>
      <c r="P154" s="45"/>
      <c r="Q154" s="46"/>
      <c r="R154" s="46"/>
      <c r="T154" s="45"/>
      <c r="U154" s="45"/>
      <c r="V154" s="45"/>
      <c r="W154" s="47"/>
      <c r="X154" s="45"/>
      <c r="AN154" s="4" t="e">
        <f>VLOOKUP(I154,Sheet1!A:D,4,)</f>
        <v>#N/A</v>
      </c>
    </row>
    <row r="155" spans="11:42" hidden="1" x14ac:dyDescent="0.25">
      <c r="K155" s="45"/>
      <c r="M155" s="45"/>
      <c r="N155" s="45"/>
      <c r="O155" s="45"/>
      <c r="P155" s="45"/>
      <c r="Q155" s="46"/>
      <c r="R155" s="46"/>
      <c r="T155" s="45"/>
      <c r="U155" s="45"/>
      <c r="V155" s="45"/>
      <c r="W155" s="47"/>
      <c r="X155" s="45"/>
      <c r="AN155" s="4" t="e">
        <f>VLOOKUP(I155,Sheet1!A:D,4,)</f>
        <v>#N/A</v>
      </c>
    </row>
    <row r="156" spans="11:42" hidden="1" x14ac:dyDescent="0.25">
      <c r="K156" s="45"/>
      <c r="M156" s="45"/>
      <c r="N156" s="45"/>
      <c r="O156" s="45"/>
      <c r="P156" s="45"/>
      <c r="Q156" s="46"/>
      <c r="R156" s="46"/>
      <c r="T156" s="45"/>
      <c r="U156" s="45"/>
      <c r="V156" s="45"/>
      <c r="W156" s="47"/>
      <c r="X156" s="45"/>
      <c r="AN156" s="4" t="e">
        <f>VLOOKUP(I156,Sheet1!A:D,4,)</f>
        <v>#N/A</v>
      </c>
    </row>
    <row r="157" spans="11:42" hidden="1" x14ac:dyDescent="0.25">
      <c r="K157" s="45"/>
      <c r="M157" s="45"/>
      <c r="N157" s="45"/>
      <c r="O157" s="45"/>
      <c r="P157" s="45"/>
      <c r="Q157" s="46"/>
      <c r="R157" s="46"/>
      <c r="T157" s="45"/>
      <c r="U157" s="45"/>
      <c r="V157" s="45"/>
      <c r="W157" s="47"/>
      <c r="X157" s="45"/>
      <c r="AN157" s="4" t="e">
        <f>VLOOKUP(I157,Sheet1!A:D,4,)</f>
        <v>#N/A</v>
      </c>
    </row>
    <row r="158" spans="11:42" hidden="1" x14ac:dyDescent="0.25">
      <c r="K158" s="45"/>
      <c r="M158" s="45"/>
      <c r="N158" s="45"/>
      <c r="O158" s="45"/>
      <c r="P158" s="45"/>
      <c r="Q158" s="46"/>
      <c r="R158" s="46"/>
      <c r="T158" s="45"/>
      <c r="U158" s="45"/>
      <c r="V158" s="45"/>
      <c r="W158" s="47"/>
      <c r="X158" s="45"/>
      <c r="AN158" s="4" t="e">
        <f>VLOOKUP(I158,Sheet1!A:D,4,)</f>
        <v>#N/A</v>
      </c>
    </row>
    <row r="159" spans="11:42" hidden="1" x14ac:dyDescent="0.25">
      <c r="K159" s="45"/>
      <c r="M159" s="45"/>
      <c r="N159" s="45"/>
      <c r="O159" s="45"/>
      <c r="P159" s="45"/>
      <c r="Q159" s="46"/>
      <c r="R159" s="46"/>
      <c r="T159" s="45"/>
      <c r="U159" s="45"/>
      <c r="V159" s="45"/>
      <c r="W159" s="47"/>
      <c r="X159" s="45"/>
      <c r="AN159" s="4" t="e">
        <f>VLOOKUP(I159,Sheet1!A:D,4,)</f>
        <v>#N/A</v>
      </c>
    </row>
    <row r="160" spans="11:42" hidden="1" x14ac:dyDescent="0.25">
      <c r="K160" s="45"/>
      <c r="M160" s="45"/>
      <c r="N160" s="45"/>
      <c r="O160" s="45"/>
      <c r="P160" s="45"/>
      <c r="Q160" s="46"/>
      <c r="R160" s="46"/>
      <c r="T160" s="45"/>
      <c r="U160" s="45"/>
      <c r="V160" s="45"/>
      <c r="W160" s="47"/>
      <c r="X160" s="45"/>
      <c r="AN160" s="4" t="e">
        <f>VLOOKUP(I160,Sheet1!A:D,4,)</f>
        <v>#N/A</v>
      </c>
    </row>
    <row r="161" spans="11:40" hidden="1" x14ac:dyDescent="0.25">
      <c r="K161" s="45"/>
      <c r="M161" s="45"/>
      <c r="N161" s="45"/>
      <c r="O161" s="45"/>
      <c r="P161" s="45"/>
      <c r="Q161" s="46"/>
      <c r="R161" s="46"/>
      <c r="T161" s="45"/>
      <c r="U161" s="45"/>
      <c r="V161" s="45"/>
      <c r="W161" s="47"/>
      <c r="X161" s="45"/>
      <c r="AN161" s="4" t="e">
        <f>VLOOKUP(I161,Sheet1!A:D,4,)</f>
        <v>#N/A</v>
      </c>
    </row>
    <row r="162" spans="11:40" hidden="1" x14ac:dyDescent="0.25">
      <c r="K162" s="45"/>
      <c r="M162" s="45"/>
      <c r="N162" s="45"/>
      <c r="O162" s="45"/>
      <c r="P162" s="45"/>
      <c r="Q162" s="46"/>
      <c r="R162" s="46"/>
      <c r="T162" s="45"/>
      <c r="U162" s="45"/>
      <c r="V162" s="45"/>
      <c r="W162" s="47"/>
      <c r="X162" s="45"/>
      <c r="AN162" s="4" t="e">
        <f>VLOOKUP(I162,Sheet1!A:D,4,)</f>
        <v>#N/A</v>
      </c>
    </row>
    <row r="163" spans="11:40" hidden="1" x14ac:dyDescent="0.25">
      <c r="K163" s="45"/>
      <c r="M163" s="45"/>
      <c r="N163" s="45"/>
      <c r="O163" s="45"/>
      <c r="P163" s="45"/>
      <c r="Q163" s="46"/>
      <c r="R163" s="46"/>
      <c r="T163" s="45"/>
      <c r="U163" s="45"/>
      <c r="V163" s="45"/>
      <c r="W163" s="47"/>
      <c r="X163" s="45"/>
      <c r="AN163" s="4" t="e">
        <f>VLOOKUP(I163,Sheet1!A:D,4,)</f>
        <v>#N/A</v>
      </c>
    </row>
    <row r="164" spans="11:40" hidden="1" x14ac:dyDescent="0.25">
      <c r="K164" s="45"/>
      <c r="M164" s="45"/>
      <c r="N164" s="45"/>
      <c r="O164" s="45"/>
      <c r="P164" s="45"/>
      <c r="Q164" s="46"/>
      <c r="R164" s="46"/>
      <c r="T164" s="45"/>
      <c r="U164" s="45"/>
      <c r="V164" s="45"/>
      <c r="W164" s="47"/>
      <c r="X164" s="45"/>
      <c r="AN164" s="4" t="e">
        <f>VLOOKUP(I164,Sheet1!A:D,4,)</f>
        <v>#N/A</v>
      </c>
    </row>
    <row r="165" spans="11:40" hidden="1" x14ac:dyDescent="0.25">
      <c r="K165" s="45"/>
      <c r="M165" s="45"/>
      <c r="N165" s="45"/>
      <c r="O165" s="45"/>
      <c r="P165" s="45"/>
      <c r="Q165" s="46"/>
      <c r="R165" s="46"/>
      <c r="T165" s="45"/>
      <c r="U165" s="45"/>
      <c r="V165" s="45"/>
      <c r="W165" s="47"/>
      <c r="X165" s="45"/>
      <c r="AN165" s="4" t="e">
        <f>VLOOKUP(I165,Sheet1!A:D,4,)</f>
        <v>#N/A</v>
      </c>
    </row>
    <row r="166" spans="11:40" hidden="1" x14ac:dyDescent="0.25">
      <c r="K166" s="45"/>
      <c r="M166" s="45"/>
      <c r="N166" s="45"/>
      <c r="O166" s="45"/>
      <c r="P166" s="45"/>
      <c r="Q166" s="46"/>
      <c r="R166" s="46"/>
      <c r="T166" s="45"/>
      <c r="U166" s="45"/>
      <c r="V166" s="45"/>
      <c r="W166" s="47"/>
      <c r="X166" s="45"/>
      <c r="AN166" s="4" t="e">
        <f>VLOOKUP(I166,Sheet1!A:D,4,)</f>
        <v>#N/A</v>
      </c>
    </row>
    <row r="167" spans="11:40" hidden="1" x14ac:dyDescent="0.25">
      <c r="K167" s="45"/>
      <c r="M167" s="45"/>
      <c r="N167" s="45"/>
      <c r="O167" s="45"/>
      <c r="P167" s="45"/>
      <c r="Q167" s="46"/>
      <c r="R167" s="46"/>
      <c r="T167" s="45"/>
      <c r="U167" s="45"/>
      <c r="V167" s="45"/>
      <c r="W167" s="47"/>
      <c r="X167" s="45"/>
      <c r="AN167" s="4" t="e">
        <f>VLOOKUP(I167,Sheet1!A:D,4,)</f>
        <v>#N/A</v>
      </c>
    </row>
    <row r="168" spans="11:40" hidden="1" x14ac:dyDescent="0.25">
      <c r="K168" s="45"/>
      <c r="M168" s="45"/>
      <c r="N168" s="45"/>
      <c r="O168" s="45"/>
      <c r="P168" s="45"/>
      <c r="Q168" s="46"/>
      <c r="R168" s="46"/>
      <c r="T168" s="45"/>
      <c r="U168" s="45"/>
      <c r="V168" s="45"/>
      <c r="W168" s="47"/>
      <c r="X168" s="45"/>
      <c r="AN168" s="4" t="e">
        <f>VLOOKUP(I168,Sheet1!A:D,4,)</f>
        <v>#N/A</v>
      </c>
    </row>
    <row r="169" spans="11:40" hidden="1" x14ac:dyDescent="0.25">
      <c r="K169" s="45"/>
      <c r="M169" s="45"/>
      <c r="N169" s="45"/>
      <c r="O169" s="45"/>
      <c r="P169" s="45"/>
      <c r="Q169" s="46"/>
      <c r="R169" s="46"/>
      <c r="T169" s="45"/>
      <c r="U169" s="45"/>
      <c r="V169" s="45"/>
      <c r="W169" s="47"/>
      <c r="X169" s="45"/>
      <c r="AN169" s="4" t="e">
        <f>VLOOKUP(I169,Sheet1!A:D,4,)</f>
        <v>#N/A</v>
      </c>
    </row>
    <row r="170" spans="11:40" hidden="1" x14ac:dyDescent="0.25">
      <c r="K170" s="45"/>
      <c r="M170" s="45"/>
      <c r="N170" s="45"/>
      <c r="O170" s="45"/>
      <c r="P170" s="45"/>
      <c r="Q170" s="46"/>
      <c r="R170" s="46"/>
      <c r="T170" s="45"/>
      <c r="U170" s="45"/>
      <c r="V170" s="45"/>
      <c r="W170" s="47"/>
      <c r="X170" s="45"/>
      <c r="AN170" s="4" t="e">
        <f>VLOOKUP(I170,Sheet1!A:D,4,)</f>
        <v>#N/A</v>
      </c>
    </row>
    <row r="171" spans="11:40" hidden="1" x14ac:dyDescent="0.25">
      <c r="K171" s="45"/>
      <c r="M171" s="45"/>
      <c r="N171" s="45"/>
      <c r="O171" s="45"/>
      <c r="P171" s="45"/>
      <c r="Q171" s="46"/>
      <c r="R171" s="46"/>
      <c r="T171" s="45"/>
      <c r="U171" s="45"/>
      <c r="V171" s="45"/>
      <c r="W171" s="47"/>
      <c r="X171" s="45"/>
      <c r="AN171" s="4" t="e">
        <f>VLOOKUP(I171,Sheet1!A:D,4,)</f>
        <v>#N/A</v>
      </c>
    </row>
    <row r="172" spans="11:40" hidden="1" x14ac:dyDescent="0.25">
      <c r="K172" s="45"/>
      <c r="M172" s="45"/>
      <c r="N172" s="45"/>
      <c r="O172" s="45"/>
      <c r="P172" s="45"/>
      <c r="Q172" s="46"/>
      <c r="R172" s="46"/>
      <c r="T172" s="45"/>
      <c r="U172" s="45"/>
      <c r="V172" s="45"/>
      <c r="W172" s="47"/>
      <c r="X172" s="45"/>
      <c r="AN172" s="4" t="e">
        <f>VLOOKUP(I172,Sheet1!A:D,4,)</f>
        <v>#N/A</v>
      </c>
    </row>
    <row r="173" spans="11:40" hidden="1" x14ac:dyDescent="0.25">
      <c r="K173" s="45"/>
      <c r="M173" s="45"/>
      <c r="N173" s="45"/>
      <c r="O173" s="45"/>
      <c r="P173" s="45"/>
      <c r="Q173" s="46"/>
      <c r="R173" s="46"/>
      <c r="T173" s="45"/>
      <c r="U173" s="45"/>
      <c r="V173" s="45"/>
      <c r="W173" s="47"/>
      <c r="X173" s="45"/>
      <c r="AN173" s="4" t="e">
        <f>VLOOKUP(I173,Sheet1!A:D,4,)</f>
        <v>#N/A</v>
      </c>
    </row>
    <row r="174" spans="11:40" hidden="1" x14ac:dyDescent="0.25">
      <c r="K174" s="45"/>
      <c r="M174" s="45"/>
      <c r="N174" s="45"/>
      <c r="O174" s="45"/>
      <c r="P174" s="45"/>
      <c r="Q174" s="46"/>
      <c r="R174" s="46"/>
      <c r="T174" s="45"/>
      <c r="U174" s="45"/>
      <c r="V174" s="45"/>
      <c r="W174" s="47"/>
      <c r="X174" s="45"/>
      <c r="AN174" s="4" t="e">
        <f>VLOOKUP(I174,Sheet1!A:D,4,)</f>
        <v>#N/A</v>
      </c>
    </row>
    <row r="175" spans="11:40" hidden="1" x14ac:dyDescent="0.25">
      <c r="K175" s="45"/>
      <c r="M175" s="45"/>
      <c r="N175" s="45"/>
      <c r="O175" s="45"/>
      <c r="P175" s="45"/>
      <c r="Q175" s="46"/>
      <c r="R175" s="46"/>
      <c r="T175" s="45"/>
      <c r="U175" s="45"/>
      <c r="V175" s="45"/>
      <c r="W175" s="47"/>
      <c r="X175" s="45"/>
      <c r="AN175" s="4" t="e">
        <f>VLOOKUP(I175,Sheet1!A:D,4,)</f>
        <v>#N/A</v>
      </c>
    </row>
    <row r="176" spans="11:40" hidden="1" x14ac:dyDescent="0.25">
      <c r="K176" s="45"/>
      <c r="M176" s="45"/>
      <c r="N176" s="45"/>
      <c r="O176" s="45"/>
      <c r="P176" s="45"/>
      <c r="Q176" s="46"/>
      <c r="R176" s="46"/>
      <c r="T176" s="45"/>
      <c r="U176" s="45"/>
      <c r="V176" s="45"/>
      <c r="W176" s="47"/>
      <c r="X176" s="45"/>
      <c r="AN176" s="4" t="e">
        <f>VLOOKUP(I176,Sheet1!A:D,4,)</f>
        <v>#N/A</v>
      </c>
    </row>
    <row r="177" spans="11:40" hidden="1" x14ac:dyDescent="0.25">
      <c r="K177" s="45"/>
      <c r="M177" s="45"/>
      <c r="N177" s="45"/>
      <c r="O177" s="45"/>
      <c r="P177" s="45"/>
      <c r="Q177" s="46"/>
      <c r="R177" s="46"/>
      <c r="T177" s="45"/>
      <c r="U177" s="45"/>
      <c r="V177" s="45"/>
      <c r="W177" s="47"/>
      <c r="X177" s="45"/>
      <c r="AN177" s="4" t="e">
        <f>VLOOKUP(I177,Sheet1!A:D,4,)</f>
        <v>#N/A</v>
      </c>
    </row>
    <row r="178" spans="11:40" hidden="1" x14ac:dyDescent="0.25">
      <c r="K178" s="45"/>
      <c r="M178" s="45"/>
      <c r="N178" s="45"/>
      <c r="O178" s="45"/>
      <c r="P178" s="45"/>
      <c r="Q178" s="46"/>
      <c r="R178" s="46"/>
      <c r="T178" s="45"/>
      <c r="U178" s="45"/>
      <c r="V178" s="45"/>
      <c r="W178" s="47"/>
      <c r="X178" s="45"/>
      <c r="AN178" s="4" t="e">
        <f>VLOOKUP(I178,Sheet1!A:D,4,)</f>
        <v>#N/A</v>
      </c>
    </row>
    <row r="179" spans="11:40" hidden="1" x14ac:dyDescent="0.25">
      <c r="K179" s="45"/>
      <c r="M179" s="45"/>
      <c r="N179" s="45"/>
      <c r="O179" s="45"/>
      <c r="P179" s="45"/>
      <c r="Q179" s="46"/>
      <c r="R179" s="46"/>
      <c r="T179" s="45"/>
      <c r="U179" s="45"/>
      <c r="V179" s="45"/>
      <c r="W179" s="47"/>
      <c r="X179" s="45"/>
      <c r="AN179" s="4" t="e">
        <f>VLOOKUP(I179,Sheet1!A:D,4,)</f>
        <v>#N/A</v>
      </c>
    </row>
    <row r="180" spans="11:40" hidden="1" x14ac:dyDescent="0.25">
      <c r="K180" s="45"/>
      <c r="M180" s="45"/>
      <c r="N180" s="45"/>
      <c r="O180" s="45"/>
      <c r="P180" s="45"/>
      <c r="Q180" s="46"/>
      <c r="R180" s="46"/>
      <c r="T180" s="45"/>
      <c r="U180" s="45"/>
      <c r="V180" s="45"/>
      <c r="W180" s="47"/>
      <c r="X180" s="45"/>
      <c r="AN180" s="4" t="e">
        <f>VLOOKUP(I180,Sheet1!A:D,4,)</f>
        <v>#N/A</v>
      </c>
    </row>
    <row r="181" spans="11:40" hidden="1" x14ac:dyDescent="0.25">
      <c r="K181" s="45"/>
      <c r="M181" s="45"/>
      <c r="N181" s="45"/>
      <c r="O181" s="45"/>
      <c r="P181" s="45"/>
      <c r="Q181" s="46"/>
      <c r="R181" s="46"/>
      <c r="T181" s="45"/>
      <c r="U181" s="45"/>
      <c r="V181" s="45"/>
      <c r="W181" s="47"/>
      <c r="X181" s="45"/>
      <c r="AN181" s="4" t="e">
        <f>VLOOKUP(I181,Sheet1!A:D,4,)</f>
        <v>#N/A</v>
      </c>
    </row>
    <row r="182" spans="11:40" hidden="1" x14ac:dyDescent="0.25">
      <c r="K182" s="45"/>
      <c r="M182" s="45"/>
      <c r="N182" s="45"/>
      <c r="O182" s="45"/>
      <c r="P182" s="45"/>
      <c r="Q182" s="46"/>
      <c r="R182" s="46"/>
      <c r="T182" s="45"/>
      <c r="U182" s="45"/>
      <c r="V182" s="45"/>
      <c r="W182" s="47"/>
      <c r="X182" s="45"/>
      <c r="AN182" s="4" t="e">
        <f>VLOOKUP(I182,Sheet1!A:D,4,)</f>
        <v>#N/A</v>
      </c>
    </row>
    <row r="183" spans="11:40" hidden="1" x14ac:dyDescent="0.25">
      <c r="K183" s="45"/>
      <c r="M183" s="45"/>
      <c r="N183" s="45"/>
      <c r="O183" s="45"/>
      <c r="P183" s="45"/>
      <c r="Q183" s="46"/>
      <c r="R183" s="46"/>
      <c r="T183" s="45"/>
      <c r="U183" s="45"/>
      <c r="V183" s="45"/>
      <c r="W183" s="47"/>
      <c r="X183" s="45"/>
      <c r="AN183" s="4" t="e">
        <f>VLOOKUP(I183,Sheet1!A:D,4,)</f>
        <v>#N/A</v>
      </c>
    </row>
    <row r="184" spans="11:40" hidden="1" x14ac:dyDescent="0.25">
      <c r="K184" s="45"/>
      <c r="M184" s="45"/>
      <c r="N184" s="45"/>
      <c r="O184" s="45"/>
      <c r="P184" s="45"/>
      <c r="Q184" s="46"/>
      <c r="R184" s="46"/>
      <c r="T184" s="45"/>
      <c r="U184" s="45"/>
      <c r="V184" s="45"/>
      <c r="W184" s="47"/>
      <c r="X184" s="45"/>
      <c r="AN184" s="4" t="e">
        <f>VLOOKUP(I184,Sheet1!A:D,4,)</f>
        <v>#N/A</v>
      </c>
    </row>
    <row r="185" spans="11:40" hidden="1" x14ac:dyDescent="0.25">
      <c r="K185" s="45"/>
      <c r="M185" s="45"/>
      <c r="N185" s="45"/>
      <c r="O185" s="45"/>
      <c r="P185" s="45"/>
      <c r="Q185" s="46"/>
      <c r="R185" s="46"/>
      <c r="T185" s="45"/>
      <c r="U185" s="45"/>
      <c r="V185" s="45"/>
      <c r="W185" s="47"/>
      <c r="X185" s="45"/>
      <c r="AN185" s="4" t="e">
        <f>VLOOKUP(I185,Sheet1!A:D,4,)</f>
        <v>#N/A</v>
      </c>
    </row>
    <row r="186" spans="11:40" hidden="1" x14ac:dyDescent="0.25">
      <c r="K186" s="45"/>
      <c r="M186" s="45"/>
      <c r="N186" s="45"/>
      <c r="O186" s="45"/>
      <c r="P186" s="45"/>
      <c r="Q186" s="46"/>
      <c r="R186" s="46"/>
      <c r="T186" s="45"/>
      <c r="U186" s="45"/>
      <c r="V186" s="45"/>
      <c r="W186" s="47"/>
      <c r="X186" s="45"/>
      <c r="AN186" s="4" t="e">
        <f>VLOOKUP(I186,Sheet1!A:D,4,)</f>
        <v>#N/A</v>
      </c>
    </row>
    <row r="187" spans="11:40" hidden="1" x14ac:dyDescent="0.25">
      <c r="K187" s="45"/>
      <c r="M187" s="45"/>
      <c r="N187" s="45"/>
      <c r="O187" s="45"/>
      <c r="P187" s="45"/>
      <c r="Q187" s="46"/>
      <c r="R187" s="46"/>
      <c r="T187" s="45"/>
      <c r="U187" s="45"/>
      <c r="V187" s="45"/>
      <c r="W187" s="47"/>
      <c r="X187" s="45"/>
      <c r="AN187" s="4" t="e">
        <f>VLOOKUP(I187,Sheet1!A:D,4,)</f>
        <v>#N/A</v>
      </c>
    </row>
    <row r="188" spans="11:40" hidden="1" x14ac:dyDescent="0.25">
      <c r="K188" s="45"/>
      <c r="M188" s="45"/>
      <c r="N188" s="45"/>
      <c r="O188" s="45"/>
      <c r="P188" s="45"/>
      <c r="Q188" s="46"/>
      <c r="R188" s="46"/>
      <c r="T188" s="45"/>
      <c r="U188" s="45"/>
      <c r="V188" s="45"/>
      <c r="W188" s="47"/>
      <c r="X188" s="45"/>
      <c r="AN188" s="4" t="e">
        <f>VLOOKUP(I188,Sheet1!A:D,4,)</f>
        <v>#N/A</v>
      </c>
    </row>
    <row r="189" spans="11:40" hidden="1" x14ac:dyDescent="0.25">
      <c r="K189" s="45"/>
      <c r="M189" s="45"/>
      <c r="N189" s="45"/>
      <c r="O189" s="45"/>
      <c r="P189" s="45"/>
      <c r="Q189" s="46"/>
      <c r="R189" s="46"/>
      <c r="T189" s="45"/>
      <c r="U189" s="45"/>
      <c r="V189" s="45"/>
      <c r="W189" s="47"/>
      <c r="X189" s="45"/>
      <c r="AN189" s="4" t="e">
        <f>VLOOKUP(I189,Sheet1!A:D,4,)</f>
        <v>#N/A</v>
      </c>
    </row>
    <row r="190" spans="11:40" hidden="1" x14ac:dyDescent="0.25">
      <c r="K190" s="45"/>
      <c r="M190" s="45"/>
      <c r="N190" s="45"/>
      <c r="O190" s="45"/>
      <c r="P190" s="45"/>
      <c r="Q190" s="46"/>
      <c r="R190" s="46"/>
      <c r="T190" s="45"/>
      <c r="U190" s="45"/>
      <c r="V190" s="45"/>
      <c r="W190" s="47"/>
      <c r="X190" s="45"/>
      <c r="AN190" s="4" t="e">
        <f>VLOOKUP(I190,Sheet1!A:D,4,)</f>
        <v>#N/A</v>
      </c>
    </row>
    <row r="191" spans="11:40" hidden="1" x14ac:dyDescent="0.25">
      <c r="K191" s="45"/>
      <c r="M191" s="45"/>
      <c r="N191" s="45"/>
      <c r="O191" s="45"/>
      <c r="P191" s="45"/>
      <c r="Q191" s="46"/>
      <c r="R191" s="46"/>
      <c r="T191" s="45"/>
      <c r="U191" s="45"/>
      <c r="V191" s="45"/>
      <c r="W191" s="47"/>
      <c r="X191" s="45"/>
      <c r="AN191" s="4" t="e">
        <f>VLOOKUP(I191,Sheet1!A:D,4,)</f>
        <v>#N/A</v>
      </c>
    </row>
    <row r="192" spans="11:40" hidden="1" x14ac:dyDescent="0.25">
      <c r="K192" s="45"/>
      <c r="M192" s="45"/>
      <c r="N192" s="45"/>
      <c r="O192" s="45"/>
      <c r="P192" s="45"/>
      <c r="Q192" s="46"/>
      <c r="R192" s="46"/>
      <c r="T192" s="45"/>
      <c r="U192" s="45"/>
      <c r="V192" s="45"/>
      <c r="W192" s="47"/>
      <c r="X192" s="45"/>
      <c r="AN192" s="4" t="e">
        <f>VLOOKUP(I192,Sheet1!A:D,4,)</f>
        <v>#N/A</v>
      </c>
    </row>
    <row r="193" spans="11:40" hidden="1" x14ac:dyDescent="0.25">
      <c r="K193" s="45"/>
      <c r="M193" s="45"/>
      <c r="N193" s="45"/>
      <c r="O193" s="45"/>
      <c r="P193" s="45"/>
      <c r="Q193" s="46"/>
      <c r="R193" s="46"/>
      <c r="T193" s="45"/>
      <c r="U193" s="45"/>
      <c r="V193" s="45"/>
      <c r="W193" s="47"/>
      <c r="X193" s="45"/>
      <c r="AN193" s="4" t="e">
        <f>VLOOKUP(I193,Sheet1!A:D,4,)</f>
        <v>#N/A</v>
      </c>
    </row>
    <row r="194" spans="11:40" hidden="1" x14ac:dyDescent="0.25">
      <c r="K194" s="45"/>
      <c r="M194" s="45"/>
      <c r="N194" s="45"/>
      <c r="O194" s="45"/>
      <c r="P194" s="45"/>
      <c r="Q194" s="46"/>
      <c r="R194" s="46"/>
      <c r="T194" s="45"/>
      <c r="U194" s="45"/>
      <c r="V194" s="45"/>
      <c r="W194" s="47"/>
      <c r="X194" s="45"/>
      <c r="AN194" s="4" t="e">
        <f>VLOOKUP(I194,Sheet1!A:D,4,)</f>
        <v>#N/A</v>
      </c>
    </row>
    <row r="195" spans="11:40" hidden="1" x14ac:dyDescent="0.25">
      <c r="K195" s="45"/>
      <c r="M195" s="45"/>
      <c r="N195" s="45"/>
      <c r="O195" s="45"/>
      <c r="P195" s="45"/>
      <c r="Q195" s="46"/>
      <c r="R195" s="46"/>
      <c r="T195" s="45"/>
      <c r="U195" s="45"/>
      <c r="V195" s="45"/>
      <c r="W195" s="47"/>
      <c r="X195" s="45"/>
      <c r="AN195" s="4" t="e">
        <f>VLOOKUP(I195,Sheet1!A:D,4,)</f>
        <v>#N/A</v>
      </c>
    </row>
    <row r="196" spans="11:40" hidden="1" x14ac:dyDescent="0.25">
      <c r="K196" s="45"/>
      <c r="M196" s="45"/>
      <c r="N196" s="45"/>
      <c r="O196" s="45"/>
      <c r="P196" s="45"/>
      <c r="Q196" s="46"/>
      <c r="R196" s="46"/>
      <c r="T196" s="45"/>
      <c r="U196" s="45"/>
      <c r="V196" s="45"/>
      <c r="W196" s="47"/>
      <c r="X196" s="45"/>
      <c r="AN196" s="4" t="e">
        <f>VLOOKUP(I196,Sheet1!A:D,4,)</f>
        <v>#N/A</v>
      </c>
    </row>
    <row r="197" spans="11:40" hidden="1" x14ac:dyDescent="0.25">
      <c r="K197" s="45"/>
      <c r="M197" s="45"/>
      <c r="N197" s="45"/>
      <c r="O197" s="45"/>
      <c r="P197" s="45"/>
      <c r="Q197" s="46"/>
      <c r="R197" s="46"/>
      <c r="T197" s="45"/>
      <c r="U197" s="45"/>
      <c r="V197" s="45"/>
      <c r="W197" s="47"/>
      <c r="X197" s="45"/>
      <c r="AN197" s="4" t="e">
        <f>VLOOKUP(I197,Sheet1!A:D,4,)</f>
        <v>#N/A</v>
      </c>
    </row>
    <row r="198" spans="11:40" hidden="1" x14ac:dyDescent="0.25">
      <c r="K198" s="45"/>
      <c r="M198" s="45"/>
      <c r="N198" s="45"/>
      <c r="O198" s="45"/>
      <c r="P198" s="45"/>
      <c r="Q198" s="46"/>
      <c r="R198" s="46"/>
      <c r="T198" s="45"/>
      <c r="U198" s="45"/>
      <c r="V198" s="45"/>
      <c r="W198" s="47"/>
      <c r="X198" s="45"/>
      <c r="AN198" s="4" t="e">
        <f>VLOOKUP(I198,Sheet1!A:D,4,)</f>
        <v>#N/A</v>
      </c>
    </row>
    <row r="199" spans="11:40" hidden="1" x14ac:dyDescent="0.25">
      <c r="K199" s="45"/>
      <c r="M199" s="45"/>
      <c r="N199" s="45"/>
      <c r="O199" s="45"/>
      <c r="P199" s="45"/>
      <c r="Q199" s="46"/>
      <c r="R199" s="46"/>
      <c r="T199" s="45"/>
      <c r="U199" s="45"/>
      <c r="V199" s="45"/>
      <c r="W199" s="47"/>
      <c r="X199" s="45"/>
      <c r="AN199" s="4" t="e">
        <f>VLOOKUP(I199,Sheet1!A:D,4,)</f>
        <v>#N/A</v>
      </c>
    </row>
    <row r="200" spans="11:40" hidden="1" x14ac:dyDescent="0.25">
      <c r="K200" s="45"/>
      <c r="M200" s="45"/>
      <c r="N200" s="45"/>
      <c r="O200" s="45"/>
      <c r="P200" s="45"/>
      <c r="Q200" s="46"/>
      <c r="R200" s="46"/>
      <c r="T200" s="45"/>
      <c r="U200" s="45"/>
      <c r="V200" s="45"/>
      <c r="W200" s="47"/>
      <c r="X200" s="45"/>
      <c r="AN200" s="4" t="e">
        <f>VLOOKUP(I200,Sheet1!A:D,4,)</f>
        <v>#N/A</v>
      </c>
    </row>
    <row r="201" spans="11:40" hidden="1" x14ac:dyDescent="0.25">
      <c r="K201" s="45"/>
      <c r="M201" s="45"/>
      <c r="N201" s="45"/>
      <c r="O201" s="45"/>
      <c r="P201" s="45"/>
      <c r="Q201" s="46"/>
      <c r="R201" s="46"/>
      <c r="T201" s="45"/>
      <c r="U201" s="45"/>
      <c r="V201" s="45"/>
      <c r="W201" s="47"/>
      <c r="X201" s="45"/>
      <c r="AN201" s="4" t="e">
        <f>VLOOKUP(I201,Sheet1!A:D,4,)</f>
        <v>#N/A</v>
      </c>
    </row>
    <row r="202" spans="11:40" hidden="1" x14ac:dyDescent="0.25">
      <c r="K202" s="45"/>
      <c r="M202" s="45"/>
      <c r="N202" s="45"/>
      <c r="O202" s="45"/>
      <c r="P202" s="45"/>
      <c r="Q202" s="46"/>
      <c r="R202" s="46"/>
      <c r="T202" s="45"/>
      <c r="U202" s="45"/>
      <c r="V202" s="45"/>
      <c r="W202" s="47"/>
      <c r="X202" s="45"/>
      <c r="AN202" s="4" t="e">
        <f>VLOOKUP(I202,Sheet1!A:D,4,)</f>
        <v>#N/A</v>
      </c>
    </row>
    <row r="203" spans="11:40" hidden="1" x14ac:dyDescent="0.25">
      <c r="K203" s="45"/>
      <c r="M203" s="45"/>
      <c r="N203" s="45"/>
      <c r="O203" s="45"/>
      <c r="P203" s="45"/>
      <c r="Q203" s="46"/>
      <c r="R203" s="46"/>
      <c r="T203" s="45"/>
      <c r="U203" s="45"/>
      <c r="V203" s="45"/>
      <c r="W203" s="47"/>
      <c r="X203" s="45"/>
      <c r="AN203" s="4" t="e">
        <f>VLOOKUP(I203,Sheet1!A:D,4,)</f>
        <v>#N/A</v>
      </c>
    </row>
    <row r="204" spans="11:40" hidden="1" x14ac:dyDescent="0.25">
      <c r="K204" s="45"/>
      <c r="M204" s="45"/>
      <c r="N204" s="45"/>
      <c r="O204" s="45"/>
      <c r="P204" s="45"/>
      <c r="Q204" s="46"/>
      <c r="R204" s="46"/>
      <c r="T204" s="45"/>
      <c r="U204" s="45"/>
      <c r="V204" s="45"/>
      <c r="W204" s="47"/>
      <c r="X204" s="45"/>
      <c r="AN204" s="4" t="e">
        <f>VLOOKUP(I204,Sheet1!A:D,4,)</f>
        <v>#N/A</v>
      </c>
    </row>
    <row r="205" spans="11:40" hidden="1" x14ac:dyDescent="0.25">
      <c r="K205" s="45"/>
      <c r="M205" s="45"/>
      <c r="N205" s="45"/>
      <c r="O205" s="45"/>
      <c r="P205" s="45"/>
      <c r="Q205" s="46"/>
      <c r="R205" s="46"/>
      <c r="T205" s="45"/>
      <c r="U205" s="45"/>
      <c r="V205" s="45"/>
      <c r="W205" s="47"/>
      <c r="X205" s="45"/>
      <c r="AN205" s="4" t="e">
        <f>VLOOKUP(I205,Sheet1!A:D,4,)</f>
        <v>#N/A</v>
      </c>
    </row>
    <row r="206" spans="11:40" hidden="1" x14ac:dyDescent="0.25">
      <c r="K206" s="45"/>
      <c r="M206" s="45"/>
      <c r="N206" s="45"/>
      <c r="O206" s="45"/>
      <c r="P206" s="45"/>
      <c r="Q206" s="46"/>
      <c r="R206" s="46"/>
      <c r="T206" s="45"/>
      <c r="U206" s="45"/>
      <c r="V206" s="45"/>
      <c r="W206" s="47"/>
      <c r="X206" s="45"/>
      <c r="AN206" s="4" t="e">
        <f>VLOOKUP(I206,Sheet1!A:D,4,)</f>
        <v>#N/A</v>
      </c>
    </row>
    <row r="207" spans="11:40" hidden="1" x14ac:dyDescent="0.25">
      <c r="K207" s="45"/>
      <c r="M207" s="45"/>
      <c r="N207" s="45"/>
      <c r="O207" s="45"/>
      <c r="P207" s="45"/>
      <c r="Q207" s="46"/>
      <c r="R207" s="46"/>
      <c r="T207" s="45"/>
      <c r="U207" s="45"/>
      <c r="V207" s="45"/>
      <c r="W207" s="47"/>
      <c r="X207" s="45"/>
      <c r="AN207" s="4" t="e">
        <f>VLOOKUP(I207,Sheet1!A:D,4,)</f>
        <v>#N/A</v>
      </c>
    </row>
    <row r="208" spans="11:40" hidden="1" x14ac:dyDescent="0.25">
      <c r="K208" s="45"/>
      <c r="M208" s="45"/>
      <c r="N208" s="45"/>
      <c r="O208" s="45"/>
      <c r="P208" s="45"/>
      <c r="Q208" s="46"/>
      <c r="R208" s="46"/>
      <c r="T208" s="45"/>
      <c r="U208" s="45"/>
      <c r="V208" s="45"/>
      <c r="W208" s="47"/>
      <c r="X208" s="45"/>
      <c r="AN208" s="4" t="e">
        <f>VLOOKUP(I208,Sheet1!A:D,4,)</f>
        <v>#N/A</v>
      </c>
    </row>
    <row r="209" spans="11:40" hidden="1" x14ac:dyDescent="0.25">
      <c r="K209" s="45"/>
      <c r="M209" s="45"/>
      <c r="N209" s="45"/>
      <c r="O209" s="45"/>
      <c r="P209" s="45"/>
      <c r="Q209" s="46"/>
      <c r="R209" s="46"/>
      <c r="T209" s="45"/>
      <c r="U209" s="45"/>
      <c r="V209" s="45"/>
      <c r="W209" s="47"/>
      <c r="X209" s="45"/>
      <c r="AN209" s="4" t="e">
        <f>VLOOKUP(I209,Sheet1!A:D,4,)</f>
        <v>#N/A</v>
      </c>
    </row>
    <row r="210" spans="11:40" hidden="1" x14ac:dyDescent="0.25">
      <c r="K210" s="45"/>
      <c r="M210" s="45"/>
      <c r="N210" s="45"/>
      <c r="O210" s="45"/>
      <c r="P210" s="45"/>
      <c r="Q210" s="46"/>
      <c r="R210" s="46"/>
      <c r="T210" s="45"/>
      <c r="U210" s="45"/>
      <c r="V210" s="45"/>
      <c r="W210" s="47"/>
      <c r="X210" s="45"/>
      <c r="AN210" s="4" t="e">
        <f>VLOOKUP(I210,Sheet1!A:D,4,)</f>
        <v>#N/A</v>
      </c>
    </row>
    <row r="211" spans="11:40" hidden="1" x14ac:dyDescent="0.25">
      <c r="K211" s="45"/>
      <c r="M211" s="45"/>
      <c r="N211" s="45"/>
      <c r="O211" s="45"/>
      <c r="P211" s="45"/>
      <c r="Q211" s="46"/>
      <c r="R211" s="46"/>
      <c r="T211" s="45"/>
      <c r="U211" s="45"/>
      <c r="V211" s="45"/>
      <c r="W211" s="47"/>
      <c r="X211" s="45"/>
      <c r="AN211" s="4" t="e">
        <f>VLOOKUP(I211,Sheet1!A:D,4,)</f>
        <v>#N/A</v>
      </c>
    </row>
    <row r="212" spans="11:40" hidden="1" x14ac:dyDescent="0.25">
      <c r="K212" s="45"/>
      <c r="M212" s="45"/>
      <c r="N212" s="45"/>
      <c r="O212" s="45"/>
      <c r="P212" s="45"/>
      <c r="Q212" s="46"/>
      <c r="R212" s="46"/>
      <c r="T212" s="45"/>
      <c r="U212" s="45"/>
      <c r="V212" s="45"/>
      <c r="W212" s="47"/>
      <c r="X212" s="45"/>
      <c r="AN212" s="4" t="e">
        <f>VLOOKUP(I212,Sheet1!A:D,4,)</f>
        <v>#N/A</v>
      </c>
    </row>
    <row r="213" spans="11:40" hidden="1" x14ac:dyDescent="0.25">
      <c r="K213" s="45"/>
      <c r="M213" s="45"/>
      <c r="N213" s="45"/>
      <c r="O213" s="45"/>
      <c r="P213" s="45"/>
      <c r="Q213" s="46"/>
      <c r="R213" s="46"/>
      <c r="T213" s="45"/>
      <c r="U213" s="45"/>
      <c r="V213" s="45"/>
      <c r="W213" s="47"/>
      <c r="X213" s="45"/>
      <c r="AN213" s="4" t="e">
        <f>VLOOKUP(I213,Sheet1!A:D,4,)</f>
        <v>#N/A</v>
      </c>
    </row>
    <row r="214" spans="11:40" hidden="1" x14ac:dyDescent="0.25">
      <c r="K214" s="45"/>
      <c r="M214" s="45"/>
      <c r="N214" s="45"/>
      <c r="O214" s="45"/>
      <c r="P214" s="45"/>
      <c r="Q214" s="46"/>
      <c r="R214" s="46"/>
      <c r="T214" s="45"/>
      <c r="U214" s="45"/>
      <c r="V214" s="45"/>
      <c r="W214" s="47"/>
      <c r="X214" s="45"/>
      <c r="AN214" s="4" t="e">
        <f>VLOOKUP(I214,Sheet1!A:D,4,)</f>
        <v>#N/A</v>
      </c>
    </row>
    <row r="215" spans="11:40" hidden="1" x14ac:dyDescent="0.25">
      <c r="K215" s="45"/>
      <c r="M215" s="45"/>
      <c r="N215" s="45"/>
      <c r="O215" s="45"/>
      <c r="P215" s="45"/>
      <c r="Q215" s="46"/>
      <c r="R215" s="46"/>
      <c r="T215" s="45"/>
      <c r="U215" s="45"/>
      <c r="V215" s="45"/>
      <c r="W215" s="47"/>
      <c r="X215" s="45"/>
      <c r="AN215" s="4" t="e">
        <f>VLOOKUP(I215,Sheet1!A:D,4,)</f>
        <v>#N/A</v>
      </c>
    </row>
    <row r="216" spans="11:40" hidden="1" x14ac:dyDescent="0.25">
      <c r="K216" s="45"/>
      <c r="M216" s="45"/>
      <c r="N216" s="45"/>
      <c r="O216" s="45"/>
      <c r="P216" s="45"/>
      <c r="Q216" s="46"/>
      <c r="R216" s="46"/>
      <c r="T216" s="45"/>
      <c r="U216" s="45"/>
      <c r="V216" s="45"/>
      <c r="W216" s="47"/>
      <c r="X216" s="45"/>
      <c r="AN216" s="4" t="e">
        <f>VLOOKUP(I216,Sheet1!A:D,4,)</f>
        <v>#N/A</v>
      </c>
    </row>
    <row r="217" spans="11:40" hidden="1" x14ac:dyDescent="0.25">
      <c r="K217" s="45"/>
      <c r="M217" s="45"/>
      <c r="N217" s="45"/>
      <c r="O217" s="45"/>
      <c r="P217" s="45"/>
      <c r="Q217" s="46"/>
      <c r="R217" s="46"/>
      <c r="T217" s="45"/>
      <c r="U217" s="45"/>
      <c r="V217" s="45"/>
      <c r="W217" s="47"/>
      <c r="X217" s="45"/>
      <c r="AN217" s="4" t="e">
        <f>VLOOKUP(I217,Sheet1!A:D,4,)</f>
        <v>#N/A</v>
      </c>
    </row>
    <row r="218" spans="11:40" hidden="1" x14ac:dyDescent="0.25">
      <c r="K218" s="45"/>
      <c r="M218" s="45"/>
      <c r="N218" s="45"/>
      <c r="O218" s="45"/>
      <c r="P218" s="45"/>
      <c r="Q218" s="46"/>
      <c r="R218" s="46"/>
      <c r="T218" s="45"/>
      <c r="U218" s="45"/>
      <c r="V218" s="45"/>
      <c r="W218" s="47"/>
      <c r="X218" s="45"/>
      <c r="AN218" s="4" t="e">
        <f>VLOOKUP(I218,Sheet1!A:D,4,)</f>
        <v>#N/A</v>
      </c>
    </row>
    <row r="219" spans="11:40" hidden="1" x14ac:dyDescent="0.25">
      <c r="K219" s="45"/>
      <c r="M219" s="45"/>
      <c r="N219" s="45"/>
      <c r="O219" s="45"/>
      <c r="P219" s="45"/>
      <c r="Q219" s="46"/>
      <c r="R219" s="46"/>
      <c r="T219" s="45"/>
      <c r="U219" s="45"/>
      <c r="V219" s="45"/>
      <c r="W219" s="47"/>
      <c r="X219" s="45"/>
      <c r="AN219" s="4" t="e">
        <f>VLOOKUP(I219,Sheet1!A:D,4,)</f>
        <v>#N/A</v>
      </c>
    </row>
    <row r="220" spans="11:40" hidden="1" x14ac:dyDescent="0.25">
      <c r="K220" s="45"/>
      <c r="M220" s="45"/>
      <c r="N220" s="45"/>
      <c r="O220" s="45"/>
      <c r="P220" s="45"/>
      <c r="Q220" s="46"/>
      <c r="R220" s="46"/>
      <c r="T220" s="45"/>
      <c r="U220" s="45"/>
      <c r="V220" s="45"/>
      <c r="W220" s="47"/>
      <c r="X220" s="45"/>
      <c r="AN220" s="4" t="e">
        <f>VLOOKUP(I220,Sheet1!A:D,4,)</f>
        <v>#N/A</v>
      </c>
    </row>
    <row r="221" spans="11:40" hidden="1" x14ac:dyDescent="0.25">
      <c r="K221" s="45"/>
      <c r="M221" s="45"/>
      <c r="N221" s="45"/>
      <c r="O221" s="45"/>
      <c r="P221" s="45"/>
      <c r="Q221" s="46"/>
      <c r="R221" s="46"/>
      <c r="T221" s="45"/>
      <c r="U221" s="45"/>
      <c r="V221" s="45"/>
      <c r="W221" s="47"/>
      <c r="X221" s="45"/>
      <c r="AN221" s="4" t="e">
        <f>VLOOKUP(I221,Sheet1!A:D,4,)</f>
        <v>#N/A</v>
      </c>
    </row>
    <row r="222" spans="11:40" hidden="1" x14ac:dyDescent="0.25">
      <c r="K222" s="45"/>
      <c r="M222" s="45"/>
      <c r="N222" s="45"/>
      <c r="O222" s="45"/>
      <c r="P222" s="45"/>
      <c r="Q222" s="46"/>
      <c r="R222" s="46"/>
      <c r="T222" s="45"/>
      <c r="U222" s="45"/>
      <c r="V222" s="45"/>
      <c r="W222" s="47"/>
      <c r="X222" s="45"/>
      <c r="AN222" s="4" t="e">
        <f>VLOOKUP(I222,Sheet1!A:D,4,)</f>
        <v>#N/A</v>
      </c>
    </row>
    <row r="223" spans="11:40" hidden="1" x14ac:dyDescent="0.25">
      <c r="K223" s="45"/>
      <c r="M223" s="45"/>
      <c r="N223" s="45"/>
      <c r="O223" s="45"/>
      <c r="P223" s="45"/>
      <c r="Q223" s="46"/>
      <c r="R223" s="46"/>
      <c r="T223" s="45"/>
      <c r="U223" s="45"/>
      <c r="V223" s="45"/>
      <c r="W223" s="47"/>
      <c r="X223" s="45"/>
      <c r="AN223" s="4" t="e">
        <f>VLOOKUP(I223,Sheet1!A:D,4,)</f>
        <v>#N/A</v>
      </c>
    </row>
    <row r="224" spans="11:40" hidden="1" x14ac:dyDescent="0.25">
      <c r="K224" s="45"/>
      <c r="M224" s="45"/>
      <c r="N224" s="45"/>
      <c r="O224" s="45"/>
      <c r="P224" s="45"/>
      <c r="Q224" s="46"/>
      <c r="R224" s="46"/>
      <c r="T224" s="45"/>
      <c r="U224" s="45"/>
      <c r="V224" s="45"/>
      <c r="W224" s="47"/>
      <c r="X224" s="45"/>
      <c r="AN224" s="4" t="e">
        <f>VLOOKUP(I224,Sheet1!A:D,4,)</f>
        <v>#N/A</v>
      </c>
    </row>
    <row r="225" spans="11:40" hidden="1" x14ac:dyDescent="0.25">
      <c r="K225" s="45"/>
      <c r="M225" s="45"/>
      <c r="N225" s="45"/>
      <c r="O225" s="45"/>
      <c r="P225" s="45"/>
      <c r="Q225" s="46"/>
      <c r="R225" s="46"/>
      <c r="T225" s="45"/>
      <c r="U225" s="45"/>
      <c r="V225" s="45"/>
      <c r="W225" s="47"/>
      <c r="X225" s="45"/>
      <c r="AN225" s="4" t="e">
        <f>VLOOKUP(I225,Sheet1!A:D,4,)</f>
        <v>#N/A</v>
      </c>
    </row>
    <row r="226" spans="11:40" hidden="1" x14ac:dyDescent="0.25">
      <c r="K226" s="45"/>
      <c r="M226" s="45"/>
      <c r="N226" s="45"/>
      <c r="O226" s="45"/>
      <c r="P226" s="45"/>
      <c r="Q226" s="46"/>
      <c r="R226" s="46"/>
      <c r="T226" s="45"/>
      <c r="U226" s="45"/>
      <c r="V226" s="45"/>
      <c r="W226" s="47"/>
      <c r="X226" s="45"/>
      <c r="AN226" s="4" t="e">
        <f>VLOOKUP(I226,Sheet1!A:D,4,)</f>
        <v>#N/A</v>
      </c>
    </row>
    <row r="227" spans="11:40" hidden="1" x14ac:dyDescent="0.25">
      <c r="K227" s="45"/>
      <c r="M227" s="45"/>
      <c r="N227" s="45"/>
      <c r="O227" s="45"/>
      <c r="P227" s="45"/>
      <c r="Q227" s="46"/>
      <c r="R227" s="46"/>
      <c r="T227" s="45"/>
      <c r="U227" s="45"/>
      <c r="V227" s="45"/>
      <c r="W227" s="47"/>
      <c r="X227" s="45"/>
      <c r="AN227" s="4" t="e">
        <f>VLOOKUP(I227,Sheet1!A:D,4,)</f>
        <v>#N/A</v>
      </c>
    </row>
    <row r="228" spans="11:40" hidden="1" x14ac:dyDescent="0.25">
      <c r="K228" s="45"/>
      <c r="M228" s="45"/>
      <c r="N228" s="45"/>
      <c r="O228" s="45"/>
      <c r="P228" s="45"/>
      <c r="Q228" s="46"/>
      <c r="R228" s="46"/>
      <c r="T228" s="45"/>
      <c r="U228" s="45"/>
      <c r="V228" s="45"/>
      <c r="W228" s="47"/>
      <c r="X228" s="45"/>
      <c r="AN228" s="4" t="e">
        <f>VLOOKUP(I228,Sheet1!A:D,4,)</f>
        <v>#N/A</v>
      </c>
    </row>
    <row r="229" spans="11:40" hidden="1" x14ac:dyDescent="0.25">
      <c r="K229" s="45"/>
      <c r="M229" s="45"/>
      <c r="N229" s="45"/>
      <c r="O229" s="45"/>
      <c r="P229" s="45"/>
      <c r="Q229" s="46"/>
      <c r="R229" s="46"/>
      <c r="T229" s="45"/>
      <c r="U229" s="45"/>
      <c r="V229" s="45"/>
      <c r="W229" s="47"/>
      <c r="X229" s="45"/>
      <c r="AN229" s="4" t="e">
        <f>VLOOKUP(I229,Sheet1!A:D,4,)</f>
        <v>#N/A</v>
      </c>
    </row>
    <row r="230" spans="11:40" hidden="1" x14ac:dyDescent="0.25">
      <c r="K230" s="45"/>
      <c r="M230" s="45"/>
      <c r="N230" s="45"/>
      <c r="O230" s="45"/>
      <c r="P230" s="45"/>
      <c r="Q230" s="46"/>
      <c r="R230" s="46"/>
      <c r="T230" s="45"/>
      <c r="U230" s="45"/>
      <c r="V230" s="45"/>
      <c r="W230" s="47"/>
      <c r="X230" s="45"/>
      <c r="AN230" s="4" t="e">
        <f>VLOOKUP(I230,Sheet1!A:D,4,)</f>
        <v>#N/A</v>
      </c>
    </row>
    <row r="231" spans="11:40" hidden="1" x14ac:dyDescent="0.25">
      <c r="K231" s="45"/>
      <c r="M231" s="45"/>
      <c r="N231" s="45"/>
      <c r="O231" s="45"/>
      <c r="P231" s="45"/>
      <c r="Q231" s="46"/>
      <c r="R231" s="46"/>
      <c r="T231" s="45"/>
      <c r="U231" s="45"/>
      <c r="V231" s="45"/>
      <c r="W231" s="47"/>
      <c r="X231" s="45"/>
      <c r="AN231" s="4" t="e">
        <f>VLOOKUP(I231,Sheet1!A:D,4,)</f>
        <v>#N/A</v>
      </c>
    </row>
    <row r="232" spans="11:40" hidden="1" x14ac:dyDescent="0.25">
      <c r="K232" s="45"/>
      <c r="M232" s="45"/>
      <c r="N232" s="45"/>
      <c r="O232" s="45"/>
      <c r="P232" s="45"/>
      <c r="Q232" s="46"/>
      <c r="R232" s="46"/>
      <c r="T232" s="45"/>
      <c r="U232" s="45"/>
      <c r="V232" s="45"/>
      <c r="W232" s="47"/>
      <c r="X232" s="45"/>
      <c r="AN232" s="4" t="e">
        <f>VLOOKUP(I232,Sheet1!A:D,4,)</f>
        <v>#N/A</v>
      </c>
    </row>
    <row r="233" spans="11:40" hidden="1" x14ac:dyDescent="0.25">
      <c r="K233" s="45"/>
      <c r="M233" s="45"/>
      <c r="N233" s="45"/>
      <c r="O233" s="45"/>
      <c r="P233" s="45"/>
      <c r="Q233" s="46"/>
      <c r="R233" s="46"/>
      <c r="T233" s="45"/>
      <c r="U233" s="45"/>
      <c r="V233" s="45"/>
      <c r="W233" s="47"/>
      <c r="X233" s="45"/>
      <c r="AN233" s="4" t="e">
        <f>VLOOKUP(I233,Sheet1!A:D,4,)</f>
        <v>#N/A</v>
      </c>
    </row>
    <row r="234" spans="11:40" hidden="1" x14ac:dyDescent="0.25">
      <c r="K234" s="45"/>
      <c r="M234" s="45"/>
      <c r="N234" s="45"/>
      <c r="O234" s="45"/>
      <c r="P234" s="45"/>
      <c r="Q234" s="46"/>
      <c r="R234" s="46"/>
      <c r="T234" s="45"/>
      <c r="U234" s="45"/>
      <c r="V234" s="45"/>
      <c r="W234" s="47"/>
      <c r="X234" s="45"/>
      <c r="AN234" s="4" t="e">
        <f>VLOOKUP(I234,Sheet1!A:D,4,)</f>
        <v>#N/A</v>
      </c>
    </row>
    <row r="235" spans="11:40" hidden="1" x14ac:dyDescent="0.25">
      <c r="K235" s="45"/>
      <c r="M235" s="45"/>
      <c r="N235" s="45"/>
      <c r="O235" s="45"/>
      <c r="P235" s="45"/>
      <c r="Q235" s="46"/>
      <c r="R235" s="46"/>
      <c r="T235" s="45"/>
      <c r="U235" s="45"/>
      <c r="V235" s="45"/>
      <c r="W235" s="47"/>
      <c r="X235" s="45"/>
      <c r="AN235" s="4" t="e">
        <f>VLOOKUP(I235,Sheet1!A:D,4,)</f>
        <v>#N/A</v>
      </c>
    </row>
    <row r="236" spans="11:40" hidden="1" x14ac:dyDescent="0.25">
      <c r="K236" s="45"/>
      <c r="M236" s="45"/>
      <c r="N236" s="45"/>
      <c r="O236" s="45"/>
      <c r="P236" s="45"/>
      <c r="Q236" s="46"/>
      <c r="R236" s="46"/>
      <c r="T236" s="45"/>
      <c r="U236" s="45"/>
      <c r="V236" s="45"/>
      <c r="W236" s="47"/>
      <c r="X236" s="45"/>
      <c r="AN236" s="4" t="e">
        <f>VLOOKUP(I236,Sheet1!A:D,4,)</f>
        <v>#N/A</v>
      </c>
    </row>
    <row r="237" spans="11:40" hidden="1" x14ac:dyDescent="0.25">
      <c r="K237" s="45"/>
      <c r="M237" s="45"/>
      <c r="N237" s="45"/>
      <c r="O237" s="45"/>
      <c r="P237" s="45"/>
      <c r="Q237" s="46"/>
      <c r="R237" s="46"/>
      <c r="T237" s="45"/>
      <c r="U237" s="45"/>
      <c r="V237" s="45"/>
      <c r="W237" s="47"/>
      <c r="X237" s="45"/>
      <c r="AN237" s="4" t="e">
        <f>VLOOKUP(I237,Sheet1!A:D,4,)</f>
        <v>#N/A</v>
      </c>
    </row>
    <row r="238" spans="11:40" hidden="1" x14ac:dyDescent="0.25">
      <c r="K238" s="45"/>
      <c r="M238" s="45"/>
      <c r="N238" s="45"/>
      <c r="O238" s="45"/>
      <c r="P238" s="45"/>
      <c r="Q238" s="46"/>
      <c r="R238" s="46"/>
      <c r="T238" s="45"/>
      <c r="U238" s="45"/>
      <c r="V238" s="45"/>
      <c r="W238" s="47"/>
      <c r="X238" s="45"/>
      <c r="AN238" s="4" t="e">
        <f>VLOOKUP(I238,Sheet1!A:D,4,)</f>
        <v>#N/A</v>
      </c>
    </row>
    <row r="239" spans="11:40" hidden="1" x14ac:dyDescent="0.25">
      <c r="K239" s="45"/>
      <c r="M239" s="45"/>
      <c r="N239" s="45"/>
      <c r="O239" s="45"/>
      <c r="P239" s="45"/>
      <c r="Q239" s="46"/>
      <c r="R239" s="46"/>
      <c r="T239" s="45"/>
      <c r="U239" s="45"/>
      <c r="V239" s="45"/>
      <c r="W239" s="47"/>
      <c r="X239" s="45"/>
      <c r="AN239" s="4" t="e">
        <f>VLOOKUP(I239,Sheet1!A:D,4,)</f>
        <v>#N/A</v>
      </c>
    </row>
    <row r="240" spans="11:40" hidden="1" x14ac:dyDescent="0.25">
      <c r="K240" s="45"/>
      <c r="M240" s="45"/>
      <c r="N240" s="45"/>
      <c r="O240" s="45"/>
      <c r="P240" s="45"/>
      <c r="Q240" s="46"/>
      <c r="R240" s="46"/>
      <c r="T240" s="45"/>
      <c r="U240" s="45"/>
      <c r="V240" s="45"/>
      <c r="W240" s="47"/>
      <c r="X240" s="45"/>
      <c r="AN240" s="4" t="e">
        <f>VLOOKUP(I240,Sheet1!A:D,4,)</f>
        <v>#N/A</v>
      </c>
    </row>
    <row r="241" spans="11:40" hidden="1" x14ac:dyDescent="0.25">
      <c r="K241" s="45"/>
      <c r="M241" s="45"/>
      <c r="N241" s="45"/>
      <c r="O241" s="45"/>
      <c r="P241" s="45"/>
      <c r="Q241" s="46"/>
      <c r="R241" s="46"/>
      <c r="T241" s="45"/>
      <c r="U241" s="45"/>
      <c r="V241" s="45"/>
      <c r="W241" s="47"/>
      <c r="X241" s="45"/>
      <c r="AN241" s="4" t="e">
        <f>VLOOKUP(I241,Sheet1!A:D,4,)</f>
        <v>#N/A</v>
      </c>
    </row>
    <row r="242" spans="11:40" hidden="1" x14ac:dyDescent="0.25">
      <c r="K242" s="45"/>
      <c r="M242" s="45"/>
      <c r="N242" s="45"/>
      <c r="O242" s="45"/>
      <c r="P242" s="45"/>
      <c r="Q242" s="46"/>
      <c r="R242" s="46"/>
      <c r="T242" s="45"/>
      <c r="U242" s="45"/>
      <c r="V242" s="45"/>
      <c r="W242" s="47"/>
      <c r="X242" s="45"/>
      <c r="AN242" s="4" t="e">
        <f>VLOOKUP(I242,Sheet1!A:D,4,)</f>
        <v>#N/A</v>
      </c>
    </row>
    <row r="243" spans="11:40" hidden="1" x14ac:dyDescent="0.25">
      <c r="K243" s="45"/>
      <c r="M243" s="45"/>
      <c r="N243" s="45"/>
      <c r="O243" s="45"/>
      <c r="P243" s="45"/>
      <c r="Q243" s="46"/>
      <c r="R243" s="46"/>
      <c r="T243" s="45"/>
      <c r="U243" s="45"/>
      <c r="V243" s="45"/>
      <c r="W243" s="47"/>
      <c r="X243" s="45"/>
      <c r="AN243" s="4" t="e">
        <f>VLOOKUP(I243,Sheet1!A:D,4,)</f>
        <v>#N/A</v>
      </c>
    </row>
    <row r="244" spans="11:40" hidden="1" x14ac:dyDescent="0.25">
      <c r="K244" s="45"/>
      <c r="M244" s="45"/>
      <c r="N244" s="45"/>
      <c r="O244" s="45"/>
      <c r="P244" s="45"/>
      <c r="Q244" s="46"/>
      <c r="R244" s="46"/>
      <c r="T244" s="45"/>
      <c r="U244" s="45"/>
      <c r="V244" s="45"/>
      <c r="W244" s="47"/>
      <c r="X244" s="45"/>
      <c r="AN244" s="4" t="e">
        <f>VLOOKUP(I244,Sheet1!A:D,4,)</f>
        <v>#N/A</v>
      </c>
    </row>
    <row r="245" spans="11:40" hidden="1" x14ac:dyDescent="0.25">
      <c r="K245" s="45"/>
      <c r="M245" s="45"/>
      <c r="N245" s="45"/>
      <c r="O245" s="45"/>
      <c r="P245" s="45"/>
      <c r="Q245" s="46"/>
      <c r="R245" s="46"/>
      <c r="T245" s="45"/>
      <c r="U245" s="45"/>
      <c r="V245" s="45"/>
      <c r="W245" s="47"/>
      <c r="X245" s="45"/>
      <c r="AN245" s="4" t="e">
        <f>VLOOKUP(I245,Sheet1!A:D,4,)</f>
        <v>#N/A</v>
      </c>
    </row>
    <row r="246" spans="11:40" hidden="1" x14ac:dyDescent="0.25">
      <c r="K246" s="45"/>
      <c r="M246" s="45"/>
      <c r="N246" s="45"/>
      <c r="O246" s="45"/>
      <c r="P246" s="45"/>
      <c r="Q246" s="46"/>
      <c r="R246" s="46"/>
      <c r="T246" s="45"/>
      <c r="U246" s="45"/>
      <c r="V246" s="45"/>
      <c r="W246" s="47"/>
      <c r="X246" s="45"/>
      <c r="AN246" s="4" t="e">
        <f>VLOOKUP(I246,Sheet1!A:D,4,)</f>
        <v>#N/A</v>
      </c>
    </row>
    <row r="247" spans="11:40" hidden="1" x14ac:dyDescent="0.25">
      <c r="K247" s="45"/>
      <c r="M247" s="45"/>
      <c r="N247" s="45"/>
      <c r="O247" s="45"/>
      <c r="P247" s="45"/>
      <c r="Q247" s="46"/>
      <c r="R247" s="46"/>
      <c r="T247" s="45"/>
      <c r="U247" s="45"/>
      <c r="V247" s="45"/>
      <c r="W247" s="47"/>
      <c r="X247" s="45"/>
      <c r="AN247" s="4" t="e">
        <f>VLOOKUP(I247,Sheet1!A:D,4,)</f>
        <v>#N/A</v>
      </c>
    </row>
    <row r="248" spans="11:40" hidden="1" x14ac:dyDescent="0.25">
      <c r="K248" s="45"/>
      <c r="M248" s="45"/>
      <c r="N248" s="45"/>
      <c r="O248" s="45"/>
      <c r="P248" s="45"/>
      <c r="Q248" s="46"/>
      <c r="R248" s="46"/>
      <c r="T248" s="45"/>
      <c r="U248" s="45"/>
      <c r="V248" s="45"/>
      <c r="W248" s="47"/>
      <c r="X248" s="45"/>
      <c r="AN248" s="4" t="e">
        <f>VLOOKUP(I248,Sheet1!A:D,4,)</f>
        <v>#N/A</v>
      </c>
    </row>
    <row r="249" spans="11:40" hidden="1" x14ac:dyDescent="0.25">
      <c r="K249" s="45"/>
      <c r="M249" s="45"/>
      <c r="N249" s="45"/>
      <c r="O249" s="45"/>
      <c r="P249" s="45"/>
      <c r="Q249" s="46"/>
      <c r="R249" s="46"/>
      <c r="T249" s="45"/>
      <c r="U249" s="45"/>
      <c r="V249" s="45"/>
      <c r="W249" s="47"/>
      <c r="X249" s="45"/>
      <c r="AN249" s="4" t="e">
        <f>VLOOKUP(I249,Sheet1!A:D,4,)</f>
        <v>#N/A</v>
      </c>
    </row>
    <row r="250" spans="11:40" hidden="1" x14ac:dyDescent="0.25">
      <c r="K250" s="45"/>
      <c r="M250" s="45"/>
      <c r="N250" s="45"/>
      <c r="O250" s="45"/>
      <c r="P250" s="45"/>
      <c r="Q250" s="46"/>
      <c r="R250" s="46"/>
      <c r="T250" s="45"/>
      <c r="U250" s="45"/>
      <c r="V250" s="45"/>
      <c r="W250" s="47"/>
      <c r="X250" s="45"/>
      <c r="AN250" s="4" t="e">
        <f>VLOOKUP(I250,Sheet1!A:D,4,)</f>
        <v>#N/A</v>
      </c>
    </row>
    <row r="251" spans="11:40" hidden="1" x14ac:dyDescent="0.25">
      <c r="K251" s="45"/>
      <c r="M251" s="45"/>
      <c r="N251" s="45"/>
      <c r="O251" s="45"/>
      <c r="P251" s="45"/>
      <c r="Q251" s="46"/>
      <c r="R251" s="46"/>
      <c r="T251" s="45"/>
      <c r="U251" s="45"/>
      <c r="V251" s="45"/>
      <c r="W251" s="47"/>
      <c r="X251" s="45"/>
      <c r="AN251" s="4" t="e">
        <f>VLOOKUP(I251,Sheet1!A:D,4,)</f>
        <v>#N/A</v>
      </c>
    </row>
    <row r="252" spans="11:40" hidden="1" x14ac:dyDescent="0.25">
      <c r="K252" s="45"/>
      <c r="M252" s="45"/>
      <c r="N252" s="45"/>
      <c r="O252" s="45"/>
      <c r="P252" s="45"/>
      <c r="Q252" s="46"/>
      <c r="R252" s="46"/>
      <c r="T252" s="45"/>
      <c r="U252" s="45"/>
      <c r="V252" s="45"/>
      <c r="W252" s="47"/>
      <c r="X252" s="45"/>
      <c r="AN252" s="4" t="e">
        <f>VLOOKUP(I252,Sheet1!A:D,4,)</f>
        <v>#N/A</v>
      </c>
    </row>
    <row r="253" spans="11:40" hidden="1" x14ac:dyDescent="0.25">
      <c r="K253" s="45"/>
      <c r="M253" s="45"/>
      <c r="N253" s="45"/>
      <c r="O253" s="45"/>
      <c r="P253" s="45"/>
      <c r="Q253" s="46"/>
      <c r="R253" s="46"/>
      <c r="T253" s="45"/>
      <c r="U253" s="45"/>
      <c r="V253" s="45"/>
      <c r="W253" s="47"/>
      <c r="X253" s="45"/>
      <c r="AN253" s="4" t="e">
        <f>VLOOKUP(I253,Sheet1!A:D,4,)</f>
        <v>#N/A</v>
      </c>
    </row>
    <row r="254" spans="11:40" hidden="1" x14ac:dyDescent="0.25">
      <c r="K254" s="45"/>
      <c r="M254" s="45"/>
      <c r="N254" s="45"/>
      <c r="O254" s="45"/>
      <c r="P254" s="45"/>
      <c r="Q254" s="46"/>
      <c r="R254" s="46"/>
      <c r="T254" s="45"/>
      <c r="U254" s="45"/>
      <c r="V254" s="45"/>
      <c r="W254" s="47"/>
      <c r="X254" s="45"/>
      <c r="AN254" s="4" t="e">
        <f>VLOOKUP(I254,Sheet1!A:D,4,)</f>
        <v>#N/A</v>
      </c>
    </row>
    <row r="255" spans="11:40" hidden="1" x14ac:dyDescent="0.25">
      <c r="K255" s="45"/>
      <c r="M255" s="45"/>
      <c r="N255" s="45"/>
      <c r="O255" s="45"/>
      <c r="P255" s="45"/>
      <c r="Q255" s="46"/>
      <c r="R255" s="46"/>
      <c r="T255" s="45"/>
      <c r="U255" s="45"/>
      <c r="V255" s="45"/>
      <c r="W255" s="47"/>
      <c r="X255" s="45"/>
      <c r="AN255" s="4" t="e">
        <f>VLOOKUP(I255,Sheet1!A:D,4,)</f>
        <v>#N/A</v>
      </c>
    </row>
    <row r="256" spans="11:40" hidden="1" x14ac:dyDescent="0.25">
      <c r="K256" s="45"/>
      <c r="M256" s="45"/>
      <c r="N256" s="45"/>
      <c r="O256" s="45"/>
      <c r="P256" s="45"/>
      <c r="Q256" s="46"/>
      <c r="R256" s="46"/>
      <c r="T256" s="45"/>
      <c r="U256" s="45"/>
      <c r="V256" s="45"/>
      <c r="W256" s="47"/>
      <c r="X256" s="45"/>
      <c r="AN256" s="4" t="e">
        <f>VLOOKUP(I256,Sheet1!A:D,4,)</f>
        <v>#N/A</v>
      </c>
    </row>
    <row r="257" spans="11:42" hidden="1" x14ac:dyDescent="0.25">
      <c r="K257" s="45"/>
      <c r="M257" s="45"/>
      <c r="N257" s="45"/>
      <c r="O257" s="45"/>
      <c r="P257" s="45"/>
      <c r="Q257" s="46"/>
      <c r="R257" s="46"/>
      <c r="T257" s="45"/>
      <c r="U257" s="45"/>
      <c r="V257" s="45"/>
      <c r="W257" s="47"/>
      <c r="X257" s="45"/>
      <c r="AN257" s="4" t="e">
        <f>VLOOKUP(I257,Sheet1!A:D,4,)</f>
        <v>#N/A</v>
      </c>
    </row>
    <row r="258" spans="11:42" hidden="1" x14ac:dyDescent="0.25">
      <c r="K258" s="45"/>
      <c r="M258" s="45"/>
      <c r="N258" s="45"/>
      <c r="O258" s="45"/>
      <c r="P258" s="45"/>
      <c r="Q258" s="46"/>
      <c r="R258" s="46"/>
      <c r="T258" s="45"/>
      <c r="U258" s="45"/>
      <c r="V258" s="45"/>
      <c r="W258" s="47"/>
      <c r="X258" s="45"/>
      <c r="AN258" s="4" t="e">
        <f>VLOOKUP(I258,Sheet1!A:D,4,)</f>
        <v>#N/A</v>
      </c>
      <c r="AP258" s="48"/>
    </row>
    <row r="259" spans="11:42" hidden="1" x14ac:dyDescent="0.25">
      <c r="K259" s="45"/>
      <c r="M259" s="45"/>
      <c r="N259" s="45"/>
      <c r="O259" s="45"/>
      <c r="P259" s="45"/>
      <c r="Q259" s="46"/>
      <c r="R259" s="46"/>
      <c r="T259" s="45"/>
      <c r="U259" s="45"/>
      <c r="V259" s="45"/>
      <c r="W259" s="47"/>
      <c r="X259" s="45"/>
      <c r="AN259" s="4" t="e">
        <f>VLOOKUP(I259,Sheet1!A:D,4,)</f>
        <v>#N/A</v>
      </c>
      <c r="AP259" s="48"/>
    </row>
    <row r="260" spans="11:42" hidden="1" x14ac:dyDescent="0.25">
      <c r="K260" s="45"/>
      <c r="M260" s="45"/>
      <c r="N260" s="45"/>
      <c r="O260" s="45"/>
      <c r="P260" s="45"/>
      <c r="Q260" s="46"/>
      <c r="R260" s="46"/>
      <c r="T260" s="45"/>
      <c r="U260" s="45"/>
      <c r="V260" s="45"/>
      <c r="W260" s="47"/>
      <c r="X260" s="45"/>
      <c r="AN260" s="4" t="e">
        <f>VLOOKUP(I260,Sheet1!A:D,4,)</f>
        <v>#N/A</v>
      </c>
      <c r="AP260" s="48"/>
    </row>
    <row r="261" spans="11:42" hidden="1" x14ac:dyDescent="0.25">
      <c r="K261" s="45"/>
      <c r="M261" s="45"/>
      <c r="N261" s="45"/>
      <c r="O261" s="45"/>
      <c r="P261" s="45"/>
      <c r="Q261" s="46"/>
      <c r="R261" s="46"/>
      <c r="T261" s="45"/>
      <c r="U261" s="45"/>
      <c r="V261" s="45"/>
      <c r="W261" s="47"/>
      <c r="X261" s="45"/>
      <c r="AN261" s="4" t="e">
        <f>VLOOKUP(I261,Sheet1!A:D,4,)</f>
        <v>#N/A</v>
      </c>
      <c r="AP261" s="48"/>
    </row>
    <row r="262" spans="11:42" hidden="1" x14ac:dyDescent="0.25">
      <c r="K262" s="45"/>
      <c r="M262" s="45"/>
      <c r="N262" s="45"/>
      <c r="O262" s="45"/>
      <c r="P262" s="45"/>
      <c r="Q262" s="46"/>
      <c r="R262" s="46"/>
      <c r="T262" s="45"/>
      <c r="U262" s="45"/>
      <c r="V262" s="45"/>
      <c r="W262" s="47"/>
      <c r="X262" s="45"/>
      <c r="AN262" s="4" t="e">
        <f>VLOOKUP(I262,Sheet1!A:D,4,)</f>
        <v>#N/A</v>
      </c>
      <c r="AP262" s="48"/>
    </row>
    <row r="263" spans="11:42" hidden="1" x14ac:dyDescent="0.25">
      <c r="K263" s="45"/>
      <c r="M263" s="45"/>
      <c r="N263" s="45"/>
      <c r="O263" s="45"/>
      <c r="P263" s="45"/>
      <c r="Q263" s="46"/>
      <c r="R263" s="46"/>
      <c r="T263" s="45"/>
      <c r="U263" s="45"/>
      <c r="V263" s="45"/>
      <c r="W263" s="47"/>
      <c r="X263" s="45"/>
      <c r="AN263" s="4" t="e">
        <f>VLOOKUP(I263,Sheet1!A:D,4,)</f>
        <v>#N/A</v>
      </c>
      <c r="AP263" s="48"/>
    </row>
    <row r="264" spans="11:42" hidden="1" x14ac:dyDescent="0.25">
      <c r="K264" s="45"/>
      <c r="M264" s="45"/>
      <c r="N264" s="45"/>
      <c r="O264" s="45"/>
      <c r="P264" s="45"/>
      <c r="Q264" s="46"/>
      <c r="R264" s="46"/>
      <c r="T264" s="45"/>
      <c r="U264" s="45"/>
      <c r="V264" s="45"/>
      <c r="W264" s="47"/>
      <c r="X264" s="45"/>
      <c r="AN264" s="4" t="e">
        <f>VLOOKUP(I264,Sheet1!A:D,4,)</f>
        <v>#N/A</v>
      </c>
      <c r="AP264" s="48"/>
    </row>
    <row r="265" spans="11:42" hidden="1" x14ac:dyDescent="0.25">
      <c r="K265" s="45"/>
      <c r="M265" s="45"/>
      <c r="N265" s="45"/>
      <c r="O265" s="45"/>
      <c r="P265" s="45"/>
      <c r="Q265" s="46"/>
      <c r="R265" s="46"/>
      <c r="T265" s="45"/>
      <c r="U265" s="45"/>
      <c r="V265" s="45"/>
      <c r="W265" s="47"/>
      <c r="X265" s="45"/>
      <c r="AN265" s="4" t="e">
        <f>VLOOKUP(I265,Sheet1!A:D,4,)</f>
        <v>#N/A</v>
      </c>
      <c r="AP265" s="48"/>
    </row>
    <row r="266" spans="11:42" hidden="1" x14ac:dyDescent="0.25">
      <c r="K266" s="45"/>
      <c r="M266" s="45"/>
      <c r="N266" s="45"/>
      <c r="O266" s="45"/>
      <c r="P266" s="45"/>
      <c r="Q266" s="46"/>
      <c r="R266" s="46"/>
      <c r="T266" s="45"/>
      <c r="U266" s="45"/>
      <c r="V266" s="45"/>
      <c r="W266" s="47"/>
      <c r="X266" s="45"/>
      <c r="AN266" s="4" t="e">
        <f>VLOOKUP(I266,Sheet1!A:D,4,)</f>
        <v>#N/A</v>
      </c>
      <c r="AP266" s="48"/>
    </row>
    <row r="267" spans="11:42" hidden="1" x14ac:dyDescent="0.25">
      <c r="K267" s="45"/>
      <c r="M267" s="45"/>
      <c r="N267" s="45"/>
      <c r="O267" s="45"/>
      <c r="P267" s="45"/>
      <c r="Q267" s="46"/>
      <c r="R267" s="46"/>
      <c r="T267" s="45"/>
      <c r="U267" s="45"/>
      <c r="V267" s="45"/>
      <c r="W267" s="47"/>
      <c r="X267" s="45"/>
      <c r="AN267" s="4" t="e">
        <f>VLOOKUP(I267,Sheet1!A:D,4,)</f>
        <v>#N/A</v>
      </c>
      <c r="AP267" s="48"/>
    </row>
    <row r="268" spans="11:42" hidden="1" x14ac:dyDescent="0.25">
      <c r="K268" s="45"/>
      <c r="M268" s="45"/>
      <c r="N268" s="45"/>
      <c r="O268" s="45"/>
      <c r="P268" s="45"/>
      <c r="Q268" s="46"/>
      <c r="R268" s="46"/>
      <c r="T268" s="45"/>
      <c r="U268" s="45"/>
      <c r="V268" s="45"/>
      <c r="W268" s="47"/>
      <c r="X268" s="45"/>
      <c r="AN268" s="4" t="e">
        <f>VLOOKUP(I268,Sheet1!A:D,4,)</f>
        <v>#N/A</v>
      </c>
      <c r="AP268" s="48"/>
    </row>
    <row r="269" spans="11:42" hidden="1" x14ac:dyDescent="0.25">
      <c r="K269" s="45"/>
      <c r="M269" s="45"/>
      <c r="N269" s="45"/>
      <c r="O269" s="45"/>
      <c r="P269" s="45"/>
      <c r="Q269" s="46"/>
      <c r="R269" s="46"/>
      <c r="T269" s="45"/>
      <c r="U269" s="45"/>
      <c r="V269" s="45"/>
      <c r="W269" s="47"/>
      <c r="X269" s="45"/>
      <c r="AN269" s="4" t="e">
        <f>VLOOKUP(I269,Sheet1!A:D,4,)</f>
        <v>#N/A</v>
      </c>
    </row>
    <row r="270" spans="11:42" hidden="1" x14ac:dyDescent="0.25">
      <c r="K270" s="45"/>
      <c r="M270" s="45"/>
      <c r="N270" s="45"/>
      <c r="O270" s="45"/>
      <c r="P270" s="45"/>
      <c r="Q270" s="46"/>
      <c r="R270" s="46"/>
      <c r="T270" s="45"/>
      <c r="U270" s="45"/>
      <c r="V270" s="45"/>
      <c r="W270" s="47"/>
      <c r="X270" s="45"/>
      <c r="AN270" s="4" t="e">
        <f>VLOOKUP(I270,Sheet1!A:D,4,)</f>
        <v>#N/A</v>
      </c>
    </row>
    <row r="271" spans="11:42" hidden="1" x14ac:dyDescent="0.25">
      <c r="K271" s="45"/>
      <c r="M271" s="45"/>
      <c r="N271" s="45"/>
      <c r="O271" s="45"/>
      <c r="P271" s="45"/>
      <c r="Q271" s="46"/>
      <c r="R271" s="46"/>
      <c r="T271" s="45"/>
      <c r="U271" s="45"/>
      <c r="V271" s="45"/>
      <c r="W271" s="47"/>
      <c r="X271" s="45"/>
      <c r="AN271" s="4" t="e">
        <f>VLOOKUP(I271,Sheet1!A:D,4,)</f>
        <v>#N/A</v>
      </c>
    </row>
    <row r="272" spans="11:42" hidden="1" x14ac:dyDescent="0.25">
      <c r="K272" s="45"/>
      <c r="M272" s="45"/>
      <c r="N272" s="45"/>
      <c r="O272" s="45"/>
      <c r="P272" s="45"/>
      <c r="Q272" s="46"/>
      <c r="R272" s="46"/>
      <c r="T272" s="45"/>
      <c r="U272" s="45"/>
      <c r="V272" s="45"/>
      <c r="W272" s="47"/>
      <c r="X272" s="45"/>
      <c r="AN272" s="4" t="e">
        <f>VLOOKUP(I272,Sheet1!A:D,4,)</f>
        <v>#N/A</v>
      </c>
    </row>
    <row r="273" spans="11:40" hidden="1" x14ac:dyDescent="0.25">
      <c r="K273" s="45"/>
      <c r="M273" s="45"/>
      <c r="N273" s="45"/>
      <c r="O273" s="45"/>
      <c r="P273" s="45"/>
      <c r="Q273" s="46"/>
      <c r="R273" s="46"/>
      <c r="T273" s="45"/>
      <c r="U273" s="45"/>
      <c r="V273" s="45"/>
      <c r="W273" s="47"/>
      <c r="X273" s="45"/>
      <c r="AN273" s="4" t="e">
        <f>VLOOKUP(I273,Sheet1!A:D,4,)</f>
        <v>#N/A</v>
      </c>
    </row>
    <row r="274" spans="11:40" hidden="1" x14ac:dyDescent="0.25">
      <c r="K274" s="45"/>
      <c r="M274" s="45"/>
      <c r="N274" s="45"/>
      <c r="O274" s="45"/>
      <c r="P274" s="45"/>
      <c r="Q274" s="46"/>
      <c r="R274" s="46"/>
      <c r="T274" s="45"/>
      <c r="U274" s="45"/>
      <c r="V274" s="45"/>
      <c r="W274" s="47"/>
      <c r="X274" s="45"/>
      <c r="AN274" s="4" t="e">
        <f>VLOOKUP(I274,Sheet1!A:D,4,)</f>
        <v>#N/A</v>
      </c>
    </row>
    <row r="275" spans="11:40" hidden="1" x14ac:dyDescent="0.25">
      <c r="K275" s="45"/>
      <c r="M275" s="45"/>
      <c r="N275" s="45"/>
      <c r="O275" s="45"/>
      <c r="P275" s="45"/>
      <c r="Q275" s="46"/>
      <c r="R275" s="46"/>
      <c r="T275" s="45"/>
      <c r="U275" s="45"/>
      <c r="V275" s="45"/>
      <c r="W275" s="47"/>
      <c r="X275" s="45"/>
      <c r="AN275" s="4" t="e">
        <f>VLOOKUP(I275,Sheet1!A:D,4,)</f>
        <v>#N/A</v>
      </c>
    </row>
    <row r="276" spans="11:40" hidden="1" x14ac:dyDescent="0.25">
      <c r="K276" s="45"/>
      <c r="M276" s="45"/>
      <c r="N276" s="45"/>
      <c r="O276" s="45"/>
      <c r="P276" s="45"/>
      <c r="Q276" s="46"/>
      <c r="R276" s="46"/>
      <c r="T276" s="45"/>
      <c r="U276" s="45"/>
      <c r="V276" s="45"/>
      <c r="W276" s="47"/>
      <c r="X276" s="45"/>
      <c r="AN276" s="4" t="e">
        <f>VLOOKUP(I276,Sheet1!A:D,4,)</f>
        <v>#N/A</v>
      </c>
    </row>
    <row r="277" spans="11:40" hidden="1" x14ac:dyDescent="0.25">
      <c r="K277" s="45"/>
      <c r="M277" s="45"/>
      <c r="N277" s="45"/>
      <c r="O277" s="45"/>
      <c r="P277" s="45"/>
      <c r="Q277" s="46"/>
      <c r="R277" s="46"/>
      <c r="T277" s="45"/>
      <c r="U277" s="45"/>
      <c r="V277" s="45"/>
      <c r="W277" s="47"/>
      <c r="X277" s="45"/>
      <c r="AN277" s="4" t="e">
        <f>VLOOKUP(I277,Sheet1!A:D,4,)</f>
        <v>#N/A</v>
      </c>
    </row>
    <row r="278" spans="11:40" hidden="1" x14ac:dyDescent="0.25">
      <c r="K278" s="45"/>
      <c r="M278" s="45"/>
      <c r="N278" s="45"/>
      <c r="O278" s="45"/>
      <c r="P278" s="45"/>
      <c r="Q278" s="46"/>
      <c r="R278" s="46"/>
      <c r="T278" s="45"/>
      <c r="U278" s="45"/>
      <c r="V278" s="45"/>
      <c r="W278" s="47"/>
      <c r="X278" s="45"/>
      <c r="AN278" s="4" t="e">
        <f>VLOOKUP(I278,Sheet1!A:D,4,)</f>
        <v>#N/A</v>
      </c>
    </row>
    <row r="279" spans="11:40" hidden="1" x14ac:dyDescent="0.25">
      <c r="K279" s="45"/>
      <c r="M279" s="45"/>
      <c r="N279" s="45"/>
      <c r="O279" s="45"/>
      <c r="P279" s="45"/>
      <c r="Q279" s="46"/>
      <c r="R279" s="46"/>
      <c r="T279" s="45"/>
      <c r="U279" s="45"/>
      <c r="V279" s="45"/>
      <c r="W279" s="47"/>
      <c r="X279" s="45"/>
      <c r="AN279" s="4" t="e">
        <f>VLOOKUP(I279,Sheet1!A:D,4,)</f>
        <v>#N/A</v>
      </c>
    </row>
    <row r="280" spans="11:40" hidden="1" x14ac:dyDescent="0.25">
      <c r="K280" s="45"/>
      <c r="M280" s="45"/>
      <c r="N280" s="45"/>
      <c r="O280" s="45"/>
      <c r="P280" s="45"/>
      <c r="Q280" s="46"/>
      <c r="R280" s="46"/>
      <c r="T280" s="45"/>
      <c r="U280" s="45"/>
      <c r="V280" s="45"/>
      <c r="W280" s="47"/>
      <c r="X280" s="45"/>
      <c r="AN280" s="4" t="e">
        <f>VLOOKUP(I280,Sheet1!A:D,4,)</f>
        <v>#N/A</v>
      </c>
    </row>
    <row r="281" spans="11:40" hidden="1" x14ac:dyDescent="0.25">
      <c r="K281" s="45"/>
      <c r="M281" s="45"/>
      <c r="N281" s="45"/>
      <c r="O281" s="45"/>
      <c r="P281" s="45"/>
      <c r="Q281" s="46"/>
      <c r="R281" s="46"/>
      <c r="T281" s="45"/>
      <c r="U281" s="45"/>
      <c r="V281" s="45"/>
      <c r="W281" s="47"/>
      <c r="X281" s="45"/>
      <c r="AN281" s="4" t="e">
        <f>VLOOKUP(I281,Sheet1!A:D,4,)</f>
        <v>#N/A</v>
      </c>
    </row>
    <row r="282" spans="11:40" hidden="1" x14ac:dyDescent="0.25">
      <c r="K282" s="45"/>
      <c r="M282" s="45"/>
      <c r="N282" s="45"/>
      <c r="O282" s="45"/>
      <c r="P282" s="45"/>
      <c r="Q282" s="46"/>
      <c r="R282" s="46"/>
      <c r="T282" s="45"/>
      <c r="U282" s="45"/>
      <c r="V282" s="45"/>
      <c r="W282" s="47"/>
      <c r="X282" s="45"/>
      <c r="AN282" s="4" t="e">
        <f>VLOOKUP(I282,Sheet1!A:D,4,)</f>
        <v>#N/A</v>
      </c>
    </row>
    <row r="283" spans="11:40" hidden="1" x14ac:dyDescent="0.25">
      <c r="K283" s="45"/>
      <c r="M283" s="45"/>
      <c r="N283" s="45"/>
      <c r="O283" s="45"/>
      <c r="P283" s="45"/>
      <c r="Q283" s="46"/>
      <c r="R283" s="46"/>
      <c r="T283" s="45"/>
      <c r="U283" s="45"/>
      <c r="V283" s="45"/>
      <c r="W283" s="47"/>
      <c r="X283" s="45"/>
      <c r="AN283" s="4" t="e">
        <f>VLOOKUP(I283,Sheet1!A:D,4,)</f>
        <v>#N/A</v>
      </c>
    </row>
    <row r="284" spans="11:40" hidden="1" x14ac:dyDescent="0.25">
      <c r="K284" s="45"/>
      <c r="M284" s="45"/>
      <c r="N284" s="45"/>
      <c r="O284" s="45"/>
      <c r="P284" s="45"/>
      <c r="Q284" s="46"/>
      <c r="R284" s="46"/>
      <c r="T284" s="45"/>
      <c r="U284" s="45"/>
      <c r="V284" s="45"/>
      <c r="W284" s="47"/>
      <c r="X284" s="45"/>
      <c r="AN284" s="4" t="e">
        <f>VLOOKUP(I284,Sheet1!A:D,4,)</f>
        <v>#N/A</v>
      </c>
    </row>
    <row r="285" spans="11:40" hidden="1" x14ac:dyDescent="0.25">
      <c r="K285" s="45"/>
      <c r="M285" s="45"/>
      <c r="N285" s="45"/>
      <c r="O285" s="45"/>
      <c r="P285" s="45"/>
      <c r="Q285" s="46"/>
      <c r="R285" s="46"/>
      <c r="T285" s="45"/>
      <c r="U285" s="45"/>
      <c r="V285" s="45"/>
      <c r="W285" s="47"/>
      <c r="X285" s="45"/>
      <c r="AN285" s="4" t="e">
        <f>VLOOKUP(I285,Sheet1!A:D,4,)</f>
        <v>#N/A</v>
      </c>
    </row>
    <row r="286" spans="11:40" hidden="1" x14ac:dyDescent="0.25">
      <c r="K286" s="45"/>
      <c r="M286" s="45"/>
      <c r="N286" s="45"/>
      <c r="O286" s="45"/>
      <c r="P286" s="45"/>
      <c r="Q286" s="46"/>
      <c r="R286" s="46"/>
      <c r="T286" s="45"/>
      <c r="U286" s="45"/>
      <c r="V286" s="45"/>
      <c r="W286" s="47"/>
      <c r="X286" s="45"/>
      <c r="AN286" s="4" t="e">
        <f>VLOOKUP(I286,Sheet1!A:D,4,)</f>
        <v>#N/A</v>
      </c>
    </row>
    <row r="287" spans="11:40" hidden="1" x14ac:dyDescent="0.25">
      <c r="K287" s="45"/>
      <c r="M287" s="45"/>
      <c r="N287" s="45"/>
      <c r="O287" s="45"/>
      <c r="P287" s="45"/>
      <c r="Q287" s="46"/>
      <c r="R287" s="46"/>
      <c r="T287" s="45"/>
      <c r="U287" s="45"/>
      <c r="V287" s="45"/>
      <c r="W287" s="47"/>
      <c r="X287" s="45"/>
      <c r="AN287" s="4" t="e">
        <f>VLOOKUP(I287,Sheet1!A:D,4,)</f>
        <v>#N/A</v>
      </c>
    </row>
    <row r="288" spans="11:40" hidden="1" x14ac:dyDescent="0.25">
      <c r="K288" s="45"/>
      <c r="M288" s="45"/>
      <c r="N288" s="45"/>
      <c r="O288" s="45"/>
      <c r="P288" s="45"/>
      <c r="Q288" s="46"/>
      <c r="R288" s="46"/>
      <c r="T288" s="45"/>
      <c r="U288" s="45"/>
      <c r="V288" s="45"/>
      <c r="W288" s="47"/>
      <c r="X288" s="45"/>
      <c r="AN288" s="4" t="e">
        <f>VLOOKUP(I288,Sheet1!A:D,4,)</f>
        <v>#N/A</v>
      </c>
    </row>
    <row r="289" spans="11:40" hidden="1" x14ac:dyDescent="0.25">
      <c r="K289" s="45"/>
      <c r="M289" s="45"/>
      <c r="N289" s="45"/>
      <c r="O289" s="45"/>
      <c r="P289" s="45"/>
      <c r="Q289" s="46"/>
      <c r="R289" s="46"/>
      <c r="T289" s="45"/>
      <c r="U289" s="45"/>
      <c r="V289" s="45"/>
      <c r="W289" s="47"/>
      <c r="X289" s="45"/>
      <c r="AN289" s="4" t="e">
        <f>VLOOKUP(I289,Sheet1!A:D,4,)</f>
        <v>#N/A</v>
      </c>
    </row>
    <row r="290" spans="11:40" hidden="1" x14ac:dyDescent="0.25">
      <c r="K290" s="45"/>
      <c r="M290" s="45"/>
      <c r="N290" s="45"/>
      <c r="O290" s="45"/>
      <c r="P290" s="45"/>
      <c r="Q290" s="46"/>
      <c r="R290" s="46"/>
      <c r="T290" s="45"/>
      <c r="U290" s="45"/>
      <c r="V290" s="45"/>
      <c r="W290" s="47"/>
      <c r="X290" s="45"/>
      <c r="AN290" s="4" t="e">
        <f>VLOOKUP(I290,Sheet1!A:D,4,)</f>
        <v>#N/A</v>
      </c>
    </row>
    <row r="291" spans="11:40" hidden="1" x14ac:dyDescent="0.25">
      <c r="K291" s="45"/>
      <c r="M291" s="45"/>
      <c r="N291" s="45"/>
      <c r="O291" s="45"/>
      <c r="P291" s="45"/>
      <c r="Q291" s="46"/>
      <c r="R291" s="46"/>
      <c r="T291" s="45"/>
      <c r="U291" s="45"/>
      <c r="V291" s="45"/>
      <c r="W291" s="47"/>
      <c r="X291" s="45"/>
      <c r="AN291" s="4" t="e">
        <f>VLOOKUP(I291,Sheet1!A:D,4,)</f>
        <v>#N/A</v>
      </c>
    </row>
    <row r="292" spans="11:40" hidden="1" x14ac:dyDescent="0.25">
      <c r="K292" s="45"/>
      <c r="M292" s="45"/>
      <c r="N292" s="45"/>
      <c r="O292" s="45"/>
      <c r="P292" s="45"/>
      <c r="Q292" s="46"/>
      <c r="R292" s="46"/>
      <c r="T292" s="45"/>
      <c r="U292" s="45"/>
      <c r="V292" s="45"/>
      <c r="W292" s="47"/>
      <c r="X292" s="45"/>
      <c r="AN292" s="4" t="e">
        <f>VLOOKUP(I292,Sheet1!A:D,4,)</f>
        <v>#N/A</v>
      </c>
    </row>
    <row r="293" spans="11:40" hidden="1" x14ac:dyDescent="0.25">
      <c r="K293" s="45"/>
      <c r="M293" s="45"/>
      <c r="N293" s="45"/>
      <c r="O293" s="45"/>
      <c r="P293" s="45"/>
      <c r="Q293" s="46"/>
      <c r="R293" s="46"/>
      <c r="T293" s="45"/>
      <c r="U293" s="45"/>
      <c r="V293" s="45"/>
      <c r="W293" s="47"/>
      <c r="X293" s="45"/>
      <c r="AN293" s="4" t="e">
        <f>VLOOKUP(I293,Sheet1!A:D,4,)</f>
        <v>#N/A</v>
      </c>
    </row>
    <row r="294" spans="11:40" hidden="1" x14ac:dyDescent="0.25">
      <c r="K294" s="45"/>
      <c r="M294" s="45"/>
      <c r="N294" s="45"/>
      <c r="O294" s="45"/>
      <c r="P294" s="45"/>
      <c r="Q294" s="46"/>
      <c r="R294" s="46"/>
      <c r="T294" s="45"/>
      <c r="U294" s="45"/>
      <c r="V294" s="45"/>
      <c r="W294" s="47"/>
      <c r="X294" s="45"/>
      <c r="AN294" s="4" t="e">
        <f>VLOOKUP(I294,Sheet1!A:D,4,)</f>
        <v>#N/A</v>
      </c>
    </row>
    <row r="295" spans="11:40" hidden="1" x14ac:dyDescent="0.25">
      <c r="K295" s="45"/>
      <c r="M295" s="45"/>
      <c r="N295" s="45"/>
      <c r="O295" s="45"/>
      <c r="P295" s="45"/>
      <c r="Q295" s="46"/>
      <c r="R295" s="46"/>
      <c r="T295" s="45"/>
      <c r="U295" s="45"/>
      <c r="V295" s="45"/>
      <c r="W295" s="47"/>
      <c r="X295" s="45"/>
      <c r="AN295" s="4" t="e">
        <f>VLOOKUP(I295,Sheet1!A:D,4,)</f>
        <v>#N/A</v>
      </c>
    </row>
    <row r="296" spans="11:40" hidden="1" x14ac:dyDescent="0.25">
      <c r="K296" s="45"/>
      <c r="M296" s="45"/>
      <c r="N296" s="45"/>
      <c r="O296" s="45"/>
      <c r="P296" s="45"/>
      <c r="Q296" s="46"/>
      <c r="R296" s="46"/>
      <c r="T296" s="45"/>
      <c r="U296" s="45"/>
      <c r="V296" s="45"/>
      <c r="W296" s="47"/>
      <c r="X296" s="45"/>
      <c r="AN296" s="4" t="e">
        <f>VLOOKUP(I296,Sheet1!A:D,4,)</f>
        <v>#N/A</v>
      </c>
    </row>
    <row r="297" spans="11:40" hidden="1" x14ac:dyDescent="0.25">
      <c r="K297" s="45"/>
      <c r="M297" s="45"/>
      <c r="N297" s="45"/>
      <c r="O297" s="45"/>
      <c r="P297" s="45"/>
      <c r="Q297" s="46"/>
      <c r="R297" s="46"/>
      <c r="T297" s="45"/>
      <c r="U297" s="45"/>
      <c r="V297" s="45"/>
      <c r="W297" s="47"/>
      <c r="X297" s="45"/>
      <c r="AN297" s="4" t="e">
        <f>VLOOKUP(I297,Sheet1!A:D,4,)</f>
        <v>#N/A</v>
      </c>
    </row>
    <row r="298" spans="11:40" hidden="1" x14ac:dyDescent="0.25">
      <c r="K298" s="45"/>
      <c r="M298" s="45"/>
      <c r="N298" s="45"/>
      <c r="O298" s="45"/>
      <c r="P298" s="45"/>
      <c r="Q298" s="46"/>
      <c r="R298" s="46"/>
      <c r="T298" s="45"/>
      <c r="U298" s="45"/>
      <c r="V298" s="45"/>
      <c r="W298" s="47"/>
      <c r="X298" s="45"/>
      <c r="AN298" s="4" t="e">
        <f>VLOOKUP(I298,Sheet1!A:D,4,)</f>
        <v>#N/A</v>
      </c>
    </row>
    <row r="299" spans="11:40" hidden="1" x14ac:dyDescent="0.25">
      <c r="K299" s="45"/>
      <c r="M299" s="45"/>
      <c r="N299" s="45"/>
      <c r="O299" s="45"/>
      <c r="P299" s="45"/>
      <c r="Q299" s="46"/>
      <c r="R299" s="46"/>
      <c r="T299" s="45"/>
      <c r="U299" s="45"/>
      <c r="V299" s="45"/>
      <c r="W299" s="47"/>
      <c r="X299" s="45"/>
      <c r="AN299" s="4" t="e">
        <f>VLOOKUP(I299,Sheet1!A:D,4,)</f>
        <v>#N/A</v>
      </c>
    </row>
    <row r="300" spans="11:40" hidden="1" x14ac:dyDescent="0.25">
      <c r="K300" s="45"/>
      <c r="M300" s="45"/>
      <c r="N300" s="45"/>
      <c r="O300" s="45"/>
      <c r="P300" s="45"/>
      <c r="Q300" s="46"/>
      <c r="R300" s="46"/>
      <c r="T300" s="45"/>
      <c r="U300" s="45"/>
      <c r="V300" s="45"/>
      <c r="W300" s="47"/>
      <c r="X300" s="45"/>
      <c r="AN300" s="4" t="e">
        <f>VLOOKUP(I300,Sheet1!A:D,4,)</f>
        <v>#N/A</v>
      </c>
    </row>
    <row r="301" spans="11:40" hidden="1" x14ac:dyDescent="0.25">
      <c r="K301" s="45"/>
      <c r="M301" s="45"/>
      <c r="N301" s="45"/>
      <c r="O301" s="45"/>
      <c r="P301" s="45"/>
      <c r="Q301" s="46"/>
      <c r="R301" s="46"/>
      <c r="T301" s="45"/>
      <c r="U301" s="45"/>
      <c r="V301" s="45"/>
      <c r="W301" s="47"/>
      <c r="X301" s="45"/>
      <c r="AN301" s="4" t="e">
        <f>VLOOKUP(I301,Sheet1!A:D,4,)</f>
        <v>#N/A</v>
      </c>
    </row>
    <row r="302" spans="11:40" hidden="1" x14ac:dyDescent="0.25">
      <c r="K302" s="45"/>
      <c r="M302" s="45"/>
      <c r="N302" s="45"/>
      <c r="O302" s="45"/>
      <c r="P302" s="45"/>
      <c r="Q302" s="46"/>
      <c r="R302" s="46"/>
      <c r="T302" s="45"/>
      <c r="U302" s="45"/>
      <c r="V302" s="45"/>
      <c r="W302" s="47"/>
      <c r="X302" s="45"/>
      <c r="AN302" s="4" t="e">
        <f>VLOOKUP(I302,Sheet1!A:D,4,)</f>
        <v>#N/A</v>
      </c>
    </row>
    <row r="303" spans="11:40" hidden="1" x14ac:dyDescent="0.25">
      <c r="K303" s="45"/>
      <c r="M303" s="45"/>
      <c r="N303" s="45"/>
      <c r="O303" s="45"/>
      <c r="P303" s="45"/>
      <c r="Q303" s="46"/>
      <c r="R303" s="46"/>
      <c r="T303" s="45"/>
      <c r="U303" s="45"/>
      <c r="V303" s="45"/>
      <c r="W303" s="47"/>
      <c r="X303" s="45"/>
      <c r="AN303" s="4" t="e">
        <f>VLOOKUP(I303,Sheet1!A:D,4,)</f>
        <v>#N/A</v>
      </c>
    </row>
    <row r="304" spans="11:40" hidden="1" x14ac:dyDescent="0.25">
      <c r="K304" s="45"/>
      <c r="M304" s="45"/>
      <c r="N304" s="45"/>
      <c r="O304" s="45"/>
      <c r="P304" s="45"/>
      <c r="Q304" s="46"/>
      <c r="R304" s="46"/>
      <c r="T304" s="45"/>
      <c r="U304" s="45"/>
      <c r="V304" s="45"/>
      <c r="W304" s="47"/>
      <c r="X304" s="45"/>
      <c r="AN304" s="4" t="e">
        <f>VLOOKUP(I304,Sheet1!A:D,4,)</f>
        <v>#N/A</v>
      </c>
    </row>
    <row r="305" spans="11:40" hidden="1" x14ac:dyDescent="0.25">
      <c r="K305" s="45"/>
      <c r="M305" s="45"/>
      <c r="N305" s="45"/>
      <c r="O305" s="45"/>
      <c r="P305" s="45"/>
      <c r="Q305" s="46"/>
      <c r="R305" s="46"/>
      <c r="T305" s="45"/>
      <c r="U305" s="45"/>
      <c r="V305" s="45"/>
      <c r="W305" s="47"/>
      <c r="X305" s="45"/>
      <c r="AN305" s="4" t="e">
        <f>VLOOKUP(I305,Sheet1!A:D,4,)</f>
        <v>#N/A</v>
      </c>
    </row>
    <row r="306" spans="11:40" hidden="1" x14ac:dyDescent="0.25">
      <c r="K306" s="45"/>
      <c r="M306" s="45"/>
      <c r="N306" s="45"/>
      <c r="O306" s="45"/>
      <c r="P306" s="45"/>
      <c r="Q306" s="46"/>
      <c r="R306" s="46"/>
      <c r="T306" s="45"/>
      <c r="U306" s="45"/>
      <c r="V306" s="45"/>
      <c r="W306" s="47"/>
      <c r="X306" s="45"/>
      <c r="AN306" s="4" t="e">
        <f>VLOOKUP(I306,Sheet1!A:D,4,)</f>
        <v>#N/A</v>
      </c>
    </row>
    <row r="307" spans="11:40" hidden="1" x14ac:dyDescent="0.25">
      <c r="K307" s="45"/>
      <c r="M307" s="45"/>
      <c r="N307" s="45"/>
      <c r="O307" s="45"/>
      <c r="P307" s="45"/>
      <c r="Q307" s="46"/>
      <c r="R307" s="46"/>
      <c r="T307" s="45"/>
      <c r="U307" s="45"/>
      <c r="V307" s="45"/>
      <c r="W307" s="47"/>
      <c r="X307" s="45"/>
      <c r="AN307" s="4" t="e">
        <f>VLOOKUP(I307,Sheet1!A:D,4,)</f>
        <v>#N/A</v>
      </c>
    </row>
    <row r="308" spans="11:40" hidden="1" x14ac:dyDescent="0.25">
      <c r="K308" s="45"/>
      <c r="M308" s="45"/>
      <c r="N308" s="45"/>
      <c r="O308" s="45"/>
      <c r="P308" s="45"/>
      <c r="Q308" s="46"/>
      <c r="R308" s="46"/>
      <c r="T308" s="45"/>
      <c r="U308" s="45"/>
      <c r="V308" s="45"/>
      <c r="W308" s="47"/>
      <c r="X308" s="45"/>
      <c r="AN308" s="4" t="e">
        <f>VLOOKUP(I308,Sheet1!A:D,4,)</f>
        <v>#N/A</v>
      </c>
    </row>
    <row r="309" spans="11:40" hidden="1" x14ac:dyDescent="0.25">
      <c r="K309" s="45"/>
      <c r="M309" s="45"/>
      <c r="N309" s="45"/>
      <c r="O309" s="45"/>
      <c r="P309" s="45"/>
      <c r="Q309" s="46"/>
      <c r="R309" s="46"/>
      <c r="T309" s="45"/>
      <c r="U309" s="45"/>
      <c r="V309" s="45"/>
      <c r="W309" s="47"/>
      <c r="X309" s="45"/>
      <c r="AN309" s="4" t="e">
        <f>VLOOKUP(I309,Sheet1!A:D,4,)</f>
        <v>#N/A</v>
      </c>
    </row>
    <row r="310" spans="11:40" hidden="1" x14ac:dyDescent="0.25">
      <c r="K310" s="45"/>
      <c r="M310" s="45"/>
      <c r="N310" s="45"/>
      <c r="O310" s="45"/>
      <c r="P310" s="45"/>
      <c r="Q310" s="46"/>
      <c r="R310" s="46"/>
      <c r="T310" s="45"/>
      <c r="U310" s="45"/>
      <c r="V310" s="45"/>
      <c r="W310" s="47"/>
      <c r="X310" s="45"/>
      <c r="AN310" s="4" t="e">
        <f>VLOOKUP(I310,Sheet1!A:D,4,)</f>
        <v>#N/A</v>
      </c>
    </row>
    <row r="311" spans="11:40" hidden="1" x14ac:dyDescent="0.25">
      <c r="K311" s="45"/>
      <c r="M311" s="45"/>
      <c r="N311" s="45"/>
      <c r="O311" s="45"/>
      <c r="P311" s="45"/>
      <c r="Q311" s="46"/>
      <c r="R311" s="46"/>
      <c r="T311" s="45"/>
      <c r="U311" s="45"/>
      <c r="V311" s="45"/>
      <c r="W311" s="47"/>
      <c r="X311" s="45"/>
      <c r="AN311" s="4" t="e">
        <f>VLOOKUP(I311,Sheet1!A:D,4,)</f>
        <v>#N/A</v>
      </c>
    </row>
    <row r="312" spans="11:40" hidden="1" x14ac:dyDescent="0.25">
      <c r="K312" s="45"/>
      <c r="M312" s="45"/>
      <c r="N312" s="45"/>
      <c r="O312" s="45"/>
      <c r="P312" s="45"/>
      <c r="Q312" s="46"/>
      <c r="R312" s="46"/>
      <c r="T312" s="45"/>
      <c r="U312" s="45"/>
      <c r="V312" s="45"/>
      <c r="W312" s="47"/>
      <c r="X312" s="45"/>
      <c r="AN312" s="4" t="e">
        <f>VLOOKUP(I312,Sheet1!A:D,4,)</f>
        <v>#N/A</v>
      </c>
    </row>
    <row r="313" spans="11:40" hidden="1" x14ac:dyDescent="0.25">
      <c r="K313" s="45"/>
      <c r="M313" s="45"/>
      <c r="N313" s="45"/>
      <c r="O313" s="45"/>
      <c r="P313" s="45"/>
      <c r="Q313" s="46"/>
      <c r="R313" s="46"/>
      <c r="T313" s="45"/>
      <c r="U313" s="45"/>
      <c r="V313" s="45"/>
      <c r="W313" s="47"/>
      <c r="X313" s="45"/>
      <c r="AN313" s="4" t="e">
        <f>VLOOKUP(I313,Sheet1!A:D,4,)</f>
        <v>#N/A</v>
      </c>
    </row>
    <row r="314" spans="11:40" hidden="1" x14ac:dyDescent="0.25">
      <c r="K314" s="45"/>
      <c r="M314" s="45"/>
      <c r="N314" s="45"/>
      <c r="O314" s="45"/>
      <c r="P314" s="45"/>
      <c r="Q314" s="46"/>
      <c r="R314" s="46"/>
      <c r="T314" s="45"/>
      <c r="U314" s="45"/>
      <c r="V314" s="45"/>
      <c r="W314" s="47"/>
      <c r="X314" s="45"/>
      <c r="AN314" s="4" t="e">
        <f>VLOOKUP(I314,Sheet1!A:D,4,)</f>
        <v>#N/A</v>
      </c>
    </row>
    <row r="315" spans="11:40" hidden="1" x14ac:dyDescent="0.25">
      <c r="K315" s="45"/>
      <c r="M315" s="45"/>
      <c r="N315" s="45"/>
      <c r="O315" s="45"/>
      <c r="P315" s="45"/>
      <c r="Q315" s="46"/>
      <c r="R315" s="46"/>
      <c r="T315" s="45"/>
      <c r="U315" s="45"/>
      <c r="V315" s="45"/>
      <c r="W315" s="47"/>
      <c r="X315" s="45"/>
      <c r="AN315" s="4" t="e">
        <f>VLOOKUP(I315,Sheet1!A:D,4,)</f>
        <v>#N/A</v>
      </c>
    </row>
    <row r="316" spans="11:40" hidden="1" x14ac:dyDescent="0.25">
      <c r="K316" s="45"/>
      <c r="M316" s="45"/>
      <c r="N316" s="45"/>
      <c r="O316" s="45"/>
      <c r="P316" s="45"/>
      <c r="Q316" s="46"/>
      <c r="R316" s="46"/>
      <c r="T316" s="45"/>
      <c r="U316" s="45"/>
      <c r="V316" s="45"/>
      <c r="W316" s="47"/>
      <c r="X316" s="45"/>
      <c r="AN316" s="4" t="e">
        <f>VLOOKUP(I316,Sheet1!A:D,4,)</f>
        <v>#N/A</v>
      </c>
    </row>
    <row r="317" spans="11:40" hidden="1" x14ac:dyDescent="0.25">
      <c r="K317" s="45"/>
      <c r="M317" s="45"/>
      <c r="N317" s="45"/>
      <c r="O317" s="45"/>
      <c r="P317" s="45"/>
      <c r="Q317" s="46"/>
      <c r="R317" s="46"/>
      <c r="T317" s="45"/>
      <c r="U317" s="45"/>
      <c r="V317" s="45"/>
      <c r="W317" s="47"/>
      <c r="X317" s="45"/>
      <c r="AN317" s="4" t="e">
        <f>VLOOKUP(I317,Sheet1!A:D,4,)</f>
        <v>#N/A</v>
      </c>
    </row>
    <row r="318" spans="11:40" hidden="1" x14ac:dyDescent="0.25">
      <c r="K318" s="45"/>
      <c r="M318" s="45"/>
      <c r="N318" s="45"/>
      <c r="O318" s="45"/>
      <c r="P318" s="45"/>
      <c r="Q318" s="46"/>
      <c r="R318" s="46"/>
      <c r="T318" s="45"/>
      <c r="U318" s="45"/>
      <c r="V318" s="45"/>
      <c r="W318" s="47"/>
      <c r="X318" s="45"/>
      <c r="AN318" s="4" t="e">
        <f>VLOOKUP(I318,Sheet1!A:D,4,)</f>
        <v>#N/A</v>
      </c>
    </row>
    <row r="319" spans="11:40" hidden="1" x14ac:dyDescent="0.25">
      <c r="K319" s="45"/>
      <c r="M319" s="45"/>
      <c r="N319" s="45"/>
      <c r="O319" s="45"/>
      <c r="P319" s="45"/>
      <c r="Q319" s="46"/>
      <c r="R319" s="46"/>
      <c r="T319" s="45"/>
      <c r="U319" s="45"/>
      <c r="V319" s="45"/>
      <c r="W319" s="47"/>
      <c r="X319" s="45"/>
      <c r="AN319" s="4" t="e">
        <f>VLOOKUP(I319,Sheet1!A:D,4,)</f>
        <v>#N/A</v>
      </c>
    </row>
    <row r="320" spans="11:40" hidden="1" x14ac:dyDescent="0.25">
      <c r="K320" s="45"/>
      <c r="M320" s="45"/>
      <c r="N320" s="45"/>
      <c r="O320" s="45"/>
      <c r="P320" s="45"/>
      <c r="Q320" s="46"/>
      <c r="R320" s="46"/>
      <c r="T320" s="45"/>
      <c r="U320" s="45"/>
      <c r="V320" s="45"/>
      <c r="W320" s="47"/>
      <c r="X320" s="45"/>
      <c r="AN320" s="4" t="e">
        <f>VLOOKUP(I320,Sheet1!A:D,4,)</f>
        <v>#N/A</v>
      </c>
    </row>
    <row r="321" spans="11:42" hidden="1" x14ac:dyDescent="0.25">
      <c r="K321" s="45"/>
      <c r="M321" s="45"/>
      <c r="N321" s="45"/>
      <c r="O321" s="45"/>
      <c r="P321" s="45"/>
      <c r="Q321" s="46"/>
      <c r="R321" s="46"/>
      <c r="T321" s="45"/>
      <c r="U321" s="45"/>
      <c r="V321" s="45"/>
      <c r="W321" s="47"/>
      <c r="X321" s="45"/>
      <c r="AN321" s="4" t="e">
        <f>VLOOKUP(I321,Sheet1!A:D,4,)</f>
        <v>#N/A</v>
      </c>
    </row>
    <row r="322" spans="11:42" hidden="1" x14ac:dyDescent="0.25">
      <c r="K322" s="45"/>
      <c r="M322" s="45"/>
      <c r="N322" s="45"/>
      <c r="O322" s="45"/>
      <c r="P322" s="45"/>
      <c r="Q322" s="46"/>
      <c r="R322" s="46"/>
      <c r="T322" s="45"/>
      <c r="U322" s="45"/>
      <c r="V322" s="45"/>
      <c r="W322" s="47"/>
      <c r="X322" s="45"/>
      <c r="AN322" s="4" t="e">
        <f>VLOOKUP(I322,Sheet1!A:D,4,)</f>
        <v>#N/A</v>
      </c>
    </row>
    <row r="323" spans="11:42" hidden="1" x14ac:dyDescent="0.25">
      <c r="K323" s="45"/>
      <c r="M323" s="45"/>
      <c r="N323" s="45"/>
      <c r="O323" s="45"/>
      <c r="P323" s="45"/>
      <c r="Q323" s="46"/>
      <c r="R323" s="46"/>
      <c r="T323" s="45"/>
      <c r="U323" s="45"/>
      <c r="V323" s="45"/>
      <c r="W323" s="47"/>
      <c r="X323" s="45"/>
      <c r="AN323" s="4" t="e">
        <f>VLOOKUP(I323,Sheet1!A:D,4,)</f>
        <v>#N/A</v>
      </c>
    </row>
    <row r="324" spans="11:42" hidden="1" x14ac:dyDescent="0.25">
      <c r="K324" s="45"/>
      <c r="M324" s="45"/>
      <c r="N324" s="45"/>
      <c r="O324" s="45"/>
      <c r="P324" s="45"/>
      <c r="Q324" s="46"/>
      <c r="R324" s="46"/>
      <c r="T324" s="45"/>
      <c r="U324" s="45"/>
      <c r="V324" s="45"/>
      <c r="W324" s="47"/>
      <c r="X324" s="45"/>
      <c r="AN324" s="4" t="e">
        <f>VLOOKUP(I324,Sheet1!A:D,4,)</f>
        <v>#N/A</v>
      </c>
    </row>
    <row r="325" spans="11:42" hidden="1" x14ac:dyDescent="0.25">
      <c r="K325" s="45"/>
      <c r="M325" s="45"/>
      <c r="N325" s="45"/>
      <c r="O325" s="45"/>
      <c r="P325" s="45"/>
      <c r="Q325" s="46"/>
      <c r="R325" s="46"/>
      <c r="T325" s="45"/>
      <c r="U325" s="45"/>
      <c r="V325" s="45"/>
      <c r="W325" s="47"/>
      <c r="X325" s="45"/>
      <c r="AN325" s="4" t="e">
        <f>VLOOKUP(I325,Sheet1!A:D,4,)</f>
        <v>#N/A</v>
      </c>
    </row>
    <row r="326" spans="11:42" hidden="1" x14ac:dyDescent="0.25">
      <c r="K326" s="45"/>
      <c r="M326" s="45"/>
      <c r="N326" s="45"/>
      <c r="O326" s="45"/>
      <c r="P326" s="45"/>
      <c r="Q326" s="46"/>
      <c r="R326" s="46"/>
      <c r="T326" s="45"/>
      <c r="U326" s="45"/>
      <c r="V326" s="45"/>
      <c r="W326" s="47"/>
      <c r="X326" s="45"/>
      <c r="AN326" s="4" t="e">
        <f>VLOOKUP(I326,Sheet1!A:D,4,)</f>
        <v>#N/A</v>
      </c>
    </row>
    <row r="327" spans="11:42" hidden="1" x14ac:dyDescent="0.25">
      <c r="K327" s="45"/>
      <c r="M327" s="45"/>
      <c r="N327" s="45"/>
      <c r="O327" s="45"/>
      <c r="P327" s="45"/>
      <c r="Q327" s="46"/>
      <c r="R327" s="46"/>
      <c r="T327" s="45"/>
      <c r="U327" s="45"/>
      <c r="V327" s="45"/>
      <c r="W327" s="47"/>
      <c r="X327" s="45"/>
      <c r="AN327" s="4" t="e">
        <f>VLOOKUP(I327,Sheet1!A:D,4,)</f>
        <v>#N/A</v>
      </c>
    </row>
    <row r="328" spans="11:42" hidden="1" x14ac:dyDescent="0.25">
      <c r="K328" s="45"/>
      <c r="M328" s="45"/>
      <c r="N328" s="45"/>
      <c r="O328" s="45"/>
      <c r="P328" s="45"/>
      <c r="Q328" s="46"/>
      <c r="R328" s="46"/>
      <c r="T328" s="45"/>
      <c r="U328" s="45"/>
      <c r="V328" s="45"/>
      <c r="W328" s="47"/>
      <c r="X328" s="45"/>
      <c r="AN328" s="4" t="e">
        <f>VLOOKUP(I328,Sheet1!A:D,4,)</f>
        <v>#N/A</v>
      </c>
      <c r="AP328" s="36"/>
    </row>
    <row r="329" spans="11:42" hidden="1" x14ac:dyDescent="0.25">
      <c r="K329" s="45"/>
      <c r="M329" s="45"/>
      <c r="N329" s="45"/>
      <c r="O329" s="45"/>
      <c r="P329" s="45"/>
      <c r="Q329" s="46"/>
      <c r="R329" s="46"/>
      <c r="T329" s="45"/>
      <c r="U329" s="45"/>
      <c r="V329" s="45"/>
      <c r="W329" s="47"/>
      <c r="X329" s="45"/>
      <c r="AN329" s="4" t="e">
        <f>VLOOKUP(I329,Sheet1!A:D,4,)</f>
        <v>#N/A</v>
      </c>
      <c r="AP329" s="36"/>
    </row>
    <row r="330" spans="11:42" hidden="1" x14ac:dyDescent="0.25">
      <c r="K330" s="45"/>
      <c r="M330" s="45"/>
      <c r="N330" s="45"/>
      <c r="O330" s="45"/>
      <c r="P330" s="45"/>
      <c r="Q330" s="46"/>
      <c r="R330" s="46"/>
      <c r="T330" s="45"/>
      <c r="U330" s="45"/>
      <c r="V330" s="45"/>
      <c r="W330" s="47"/>
      <c r="X330" s="45"/>
      <c r="AN330" s="4" t="e">
        <f>VLOOKUP(I330,Sheet1!A:D,4,)</f>
        <v>#N/A</v>
      </c>
      <c r="AP330" s="36"/>
    </row>
    <row r="331" spans="11:42" hidden="1" x14ac:dyDescent="0.25">
      <c r="K331" s="45"/>
      <c r="M331" s="45"/>
      <c r="N331" s="45"/>
      <c r="O331" s="45"/>
      <c r="P331" s="45"/>
      <c r="Q331" s="46"/>
      <c r="R331" s="46"/>
      <c r="T331" s="45"/>
      <c r="U331" s="45"/>
      <c r="V331" s="45"/>
      <c r="W331" s="47"/>
      <c r="X331" s="45"/>
      <c r="AN331" s="4" t="e">
        <f>VLOOKUP(I331,Sheet1!A:D,4,)</f>
        <v>#N/A</v>
      </c>
      <c r="AP331" s="36"/>
    </row>
    <row r="332" spans="11:42" hidden="1" x14ac:dyDescent="0.25">
      <c r="K332" s="45"/>
      <c r="M332" s="45"/>
      <c r="N332" s="45"/>
      <c r="O332" s="45"/>
      <c r="P332" s="45"/>
      <c r="Q332" s="46"/>
      <c r="R332" s="46"/>
      <c r="T332" s="45"/>
      <c r="U332" s="45"/>
      <c r="V332" s="45"/>
      <c r="W332" s="47"/>
      <c r="X332" s="45"/>
      <c r="AN332" s="4" t="e">
        <f>VLOOKUP(I332,Sheet1!A:D,4,)</f>
        <v>#N/A</v>
      </c>
      <c r="AP332" s="36"/>
    </row>
    <row r="333" spans="11:42" hidden="1" x14ac:dyDescent="0.25">
      <c r="K333" s="45"/>
      <c r="M333" s="45"/>
      <c r="N333" s="45"/>
      <c r="O333" s="45"/>
      <c r="P333" s="45"/>
      <c r="Q333" s="46"/>
      <c r="R333" s="46"/>
      <c r="T333" s="45"/>
      <c r="U333" s="45"/>
      <c r="V333" s="45"/>
      <c r="W333" s="47"/>
      <c r="X333" s="45"/>
      <c r="AN333" s="4" t="e">
        <f>VLOOKUP(I333,Sheet1!A:D,4,)</f>
        <v>#N/A</v>
      </c>
      <c r="AP333" s="36"/>
    </row>
    <row r="334" spans="11:42" hidden="1" x14ac:dyDescent="0.25">
      <c r="K334" s="45"/>
      <c r="M334" s="45"/>
      <c r="N334" s="45"/>
      <c r="O334" s="45"/>
      <c r="P334" s="45"/>
      <c r="Q334" s="46"/>
      <c r="R334" s="46"/>
      <c r="T334" s="45"/>
      <c r="U334" s="45"/>
      <c r="V334" s="45"/>
      <c r="W334" s="47"/>
      <c r="X334" s="45"/>
      <c r="AN334" s="4" t="e">
        <f>VLOOKUP(I334,Sheet1!A:D,4,)</f>
        <v>#N/A</v>
      </c>
      <c r="AP334" s="36"/>
    </row>
    <row r="335" spans="11:42" hidden="1" x14ac:dyDescent="0.25">
      <c r="K335" s="45"/>
      <c r="M335" s="45"/>
      <c r="N335" s="45"/>
      <c r="O335" s="45"/>
      <c r="P335" s="45"/>
      <c r="Q335" s="46"/>
      <c r="R335" s="46"/>
      <c r="T335" s="45"/>
      <c r="U335" s="45"/>
      <c r="V335" s="45"/>
      <c r="W335" s="47"/>
      <c r="X335" s="45"/>
      <c r="AN335" s="4" t="e">
        <f>VLOOKUP(I335,Sheet1!A:D,4,)</f>
        <v>#N/A</v>
      </c>
      <c r="AP335" s="36"/>
    </row>
    <row r="336" spans="11:42" hidden="1" x14ac:dyDescent="0.25">
      <c r="K336" s="45"/>
      <c r="M336" s="45"/>
      <c r="N336" s="45"/>
      <c r="O336" s="45"/>
      <c r="P336" s="45"/>
      <c r="Q336" s="46"/>
      <c r="R336" s="46"/>
      <c r="T336" s="45"/>
      <c r="U336" s="45"/>
      <c r="V336" s="45"/>
      <c r="W336" s="47"/>
      <c r="X336" s="45"/>
      <c r="AN336" s="4" t="e">
        <f>VLOOKUP(I336,Sheet1!A:D,4,)</f>
        <v>#N/A</v>
      </c>
      <c r="AP336" s="36"/>
    </row>
    <row r="337" spans="11:42" hidden="1" x14ac:dyDescent="0.25">
      <c r="K337" s="45"/>
      <c r="M337" s="45"/>
      <c r="N337" s="45"/>
      <c r="O337" s="45"/>
      <c r="P337" s="45"/>
      <c r="Q337" s="46"/>
      <c r="R337" s="46"/>
      <c r="T337" s="45"/>
      <c r="U337" s="45"/>
      <c r="V337" s="45"/>
      <c r="W337" s="47"/>
      <c r="X337" s="45"/>
      <c r="AN337" s="4" t="e">
        <f>VLOOKUP(I337,Sheet1!A:D,4,)</f>
        <v>#N/A</v>
      </c>
      <c r="AP337" s="36"/>
    </row>
    <row r="338" spans="11:42" hidden="1" x14ac:dyDescent="0.25">
      <c r="K338" s="45"/>
      <c r="M338" s="45"/>
      <c r="N338" s="45"/>
      <c r="O338" s="45"/>
      <c r="P338" s="45"/>
      <c r="Q338" s="46"/>
      <c r="R338" s="46"/>
      <c r="T338" s="45"/>
      <c r="U338" s="45"/>
      <c r="V338" s="45"/>
      <c r="W338" s="47"/>
      <c r="X338" s="45"/>
      <c r="AN338" s="4" t="e">
        <f>VLOOKUP(I338,Sheet1!A:D,4,)</f>
        <v>#N/A</v>
      </c>
      <c r="AP338" s="36"/>
    </row>
    <row r="339" spans="11:42" hidden="1" x14ac:dyDescent="0.25">
      <c r="K339" s="45"/>
      <c r="M339" s="45"/>
      <c r="N339" s="45"/>
      <c r="O339" s="45"/>
      <c r="P339" s="45"/>
      <c r="Q339" s="46"/>
      <c r="R339" s="46"/>
      <c r="T339" s="45"/>
      <c r="U339" s="45"/>
      <c r="V339" s="45"/>
      <c r="W339" s="47"/>
      <c r="X339" s="45"/>
      <c r="AN339" s="4" t="e">
        <f>VLOOKUP(I339,Sheet1!A:D,4,)</f>
        <v>#N/A</v>
      </c>
      <c r="AP339" s="36"/>
    </row>
    <row r="340" spans="11:42" hidden="1" x14ac:dyDescent="0.25">
      <c r="K340" s="45"/>
      <c r="M340" s="45"/>
      <c r="N340" s="45"/>
      <c r="O340" s="45"/>
      <c r="P340" s="45"/>
      <c r="Q340" s="46"/>
      <c r="R340" s="46"/>
      <c r="T340" s="45"/>
      <c r="U340" s="45"/>
      <c r="V340" s="45"/>
      <c r="W340" s="47"/>
      <c r="X340" s="45"/>
      <c r="AN340" s="4" t="e">
        <f>VLOOKUP(I340,Sheet1!A:D,4,)</f>
        <v>#N/A</v>
      </c>
      <c r="AP340" s="36"/>
    </row>
    <row r="341" spans="11:42" hidden="1" x14ac:dyDescent="0.25">
      <c r="K341" s="45"/>
      <c r="M341" s="45"/>
      <c r="N341" s="45"/>
      <c r="O341" s="45"/>
      <c r="P341" s="45"/>
      <c r="Q341" s="46"/>
      <c r="R341" s="46"/>
      <c r="T341" s="45"/>
      <c r="U341" s="45"/>
      <c r="V341" s="45"/>
      <c r="W341" s="47"/>
      <c r="X341" s="45"/>
      <c r="AN341" s="4" t="e">
        <f>VLOOKUP(I341,Sheet1!A:D,4,)</f>
        <v>#N/A</v>
      </c>
      <c r="AP341" s="36"/>
    </row>
    <row r="342" spans="11:42" hidden="1" x14ac:dyDescent="0.25">
      <c r="K342" s="45"/>
      <c r="M342" s="45"/>
      <c r="N342" s="45"/>
      <c r="O342" s="45"/>
      <c r="P342" s="45"/>
      <c r="Q342" s="46"/>
      <c r="R342" s="46"/>
      <c r="T342" s="45"/>
      <c r="U342" s="45"/>
      <c r="V342" s="45"/>
      <c r="W342" s="47"/>
      <c r="X342" s="45"/>
      <c r="AN342" s="4" t="e">
        <f>VLOOKUP(I342,Sheet1!A:D,4,)</f>
        <v>#N/A</v>
      </c>
      <c r="AP342" s="36"/>
    </row>
    <row r="343" spans="11:42" hidden="1" x14ac:dyDescent="0.25">
      <c r="K343" s="45"/>
      <c r="M343" s="45"/>
      <c r="N343" s="45"/>
      <c r="O343" s="45"/>
      <c r="P343" s="45"/>
      <c r="Q343" s="46"/>
      <c r="R343" s="46"/>
      <c r="T343" s="45"/>
      <c r="U343" s="45"/>
      <c r="V343" s="45"/>
      <c r="W343" s="47"/>
      <c r="X343" s="45"/>
      <c r="AN343" s="4" t="e">
        <f>VLOOKUP(I343,Sheet1!A:D,4,)</f>
        <v>#N/A</v>
      </c>
      <c r="AP343" s="36"/>
    </row>
    <row r="344" spans="11:42" hidden="1" x14ac:dyDescent="0.25">
      <c r="K344" s="45"/>
      <c r="M344" s="45"/>
      <c r="N344" s="45"/>
      <c r="O344" s="45"/>
      <c r="P344" s="45"/>
      <c r="Q344" s="46"/>
      <c r="R344" s="46"/>
      <c r="T344" s="45"/>
      <c r="U344" s="45"/>
      <c r="V344" s="45"/>
      <c r="W344" s="47"/>
      <c r="X344" s="45"/>
      <c r="AN344" s="4" t="e">
        <f>VLOOKUP(I344,Sheet1!A:D,4,)</f>
        <v>#N/A</v>
      </c>
      <c r="AP344" s="36"/>
    </row>
    <row r="345" spans="11:42" hidden="1" x14ac:dyDescent="0.25">
      <c r="K345" s="45"/>
      <c r="M345" s="45"/>
      <c r="N345" s="45"/>
      <c r="O345" s="45"/>
      <c r="P345" s="45"/>
      <c r="Q345" s="46"/>
      <c r="R345" s="46"/>
      <c r="T345" s="45"/>
      <c r="U345" s="45"/>
      <c r="V345" s="45"/>
      <c r="W345" s="47"/>
      <c r="X345" s="45"/>
      <c r="AN345" s="4" t="e">
        <f>VLOOKUP(I345,Sheet1!A:D,4,)</f>
        <v>#N/A</v>
      </c>
      <c r="AP345" s="36"/>
    </row>
    <row r="346" spans="11:42" hidden="1" x14ac:dyDescent="0.25">
      <c r="K346" s="45"/>
      <c r="M346" s="45"/>
      <c r="N346" s="45"/>
      <c r="O346" s="45"/>
      <c r="P346" s="45"/>
      <c r="Q346" s="46"/>
      <c r="R346" s="46"/>
      <c r="T346" s="45"/>
      <c r="U346" s="45"/>
      <c r="V346" s="45"/>
      <c r="W346" s="47"/>
      <c r="X346" s="45"/>
      <c r="AN346" s="4" t="e">
        <f>VLOOKUP(I346,Sheet1!A:D,4,)</f>
        <v>#N/A</v>
      </c>
      <c r="AP346" s="36"/>
    </row>
    <row r="347" spans="11:42" hidden="1" x14ac:dyDescent="0.25">
      <c r="K347" s="45"/>
      <c r="M347" s="45"/>
      <c r="N347" s="45"/>
      <c r="O347" s="45"/>
      <c r="P347" s="45"/>
      <c r="Q347" s="46"/>
      <c r="R347" s="46"/>
      <c r="T347" s="45"/>
      <c r="U347" s="45"/>
      <c r="V347" s="45"/>
      <c r="W347" s="47"/>
      <c r="X347" s="45"/>
      <c r="AN347" s="4" t="e">
        <f>VLOOKUP(I347,Sheet1!A:D,4,)</f>
        <v>#N/A</v>
      </c>
      <c r="AP347" s="36"/>
    </row>
    <row r="348" spans="11:42" hidden="1" x14ac:dyDescent="0.25">
      <c r="K348" s="45"/>
      <c r="M348" s="45"/>
      <c r="N348" s="45"/>
      <c r="O348" s="45"/>
      <c r="P348" s="45"/>
      <c r="Q348" s="46"/>
      <c r="R348" s="46"/>
      <c r="T348" s="45"/>
      <c r="U348" s="45"/>
      <c r="V348" s="45"/>
      <c r="W348" s="47"/>
      <c r="X348" s="45"/>
      <c r="AN348" s="4" t="e">
        <f>VLOOKUP(I348,Sheet1!A:D,4,)</f>
        <v>#N/A</v>
      </c>
      <c r="AP348" s="36"/>
    </row>
    <row r="349" spans="11:42" hidden="1" x14ac:dyDescent="0.25">
      <c r="K349" s="45"/>
      <c r="M349" s="45"/>
      <c r="N349" s="45"/>
      <c r="O349" s="45"/>
      <c r="P349" s="45"/>
      <c r="Q349" s="46"/>
      <c r="R349" s="46"/>
      <c r="T349" s="45"/>
      <c r="U349" s="45"/>
      <c r="V349" s="45"/>
      <c r="W349" s="47"/>
      <c r="X349" s="45"/>
      <c r="AN349" s="4" t="e">
        <f>VLOOKUP(I349,Sheet1!A:D,4,)</f>
        <v>#N/A</v>
      </c>
    </row>
    <row r="350" spans="11:42" hidden="1" x14ac:dyDescent="0.25">
      <c r="K350" s="45"/>
      <c r="M350" s="45"/>
      <c r="N350" s="45"/>
      <c r="O350" s="45"/>
      <c r="P350" s="45"/>
      <c r="Q350" s="46"/>
      <c r="R350" s="46"/>
      <c r="T350" s="45"/>
      <c r="U350" s="45"/>
      <c r="V350" s="45"/>
      <c r="W350" s="47"/>
      <c r="X350" s="45"/>
      <c r="AN350" s="4" t="e">
        <f>VLOOKUP(I350,Sheet1!A:D,4,)</f>
        <v>#N/A</v>
      </c>
    </row>
    <row r="351" spans="11:42" hidden="1" x14ac:dyDescent="0.25">
      <c r="K351" s="45"/>
      <c r="M351" s="45"/>
      <c r="N351" s="45"/>
      <c r="O351" s="45"/>
      <c r="P351" s="45"/>
      <c r="Q351" s="46"/>
      <c r="R351" s="46"/>
      <c r="T351" s="45"/>
      <c r="U351" s="45"/>
      <c r="V351" s="45"/>
      <c r="W351" s="47"/>
      <c r="X351" s="45"/>
      <c r="AN351" s="4" t="e">
        <f>VLOOKUP(I351,Sheet1!A:D,4,)</f>
        <v>#N/A</v>
      </c>
    </row>
    <row r="352" spans="11:42" hidden="1" x14ac:dyDescent="0.25">
      <c r="K352" s="45"/>
      <c r="M352" s="45"/>
      <c r="N352" s="45"/>
      <c r="O352" s="45"/>
      <c r="P352" s="45"/>
      <c r="Q352" s="46"/>
      <c r="R352" s="46"/>
      <c r="T352" s="45"/>
      <c r="U352" s="45"/>
      <c r="V352" s="45"/>
      <c r="W352" s="47"/>
      <c r="X352" s="45"/>
      <c r="AN352" s="4" t="e">
        <f>VLOOKUP(I352,Sheet1!A:D,4,)</f>
        <v>#N/A</v>
      </c>
    </row>
    <row r="353" spans="11:40" hidden="1" x14ac:dyDescent="0.25">
      <c r="K353" s="45"/>
      <c r="M353" s="45"/>
      <c r="N353" s="45"/>
      <c r="O353" s="45"/>
      <c r="P353" s="45"/>
      <c r="Q353" s="46"/>
      <c r="R353" s="46"/>
      <c r="T353" s="45"/>
      <c r="U353" s="45"/>
      <c r="V353" s="45"/>
      <c r="W353" s="47"/>
      <c r="X353" s="45"/>
      <c r="AN353" s="4" t="e">
        <f>VLOOKUP(I353,Sheet1!A:D,4,)</f>
        <v>#N/A</v>
      </c>
    </row>
    <row r="354" spans="11:40" hidden="1" x14ac:dyDescent="0.25">
      <c r="K354" s="45"/>
      <c r="M354" s="45"/>
      <c r="N354" s="45"/>
      <c r="O354" s="45"/>
      <c r="P354" s="45"/>
      <c r="Q354" s="46"/>
      <c r="R354" s="46"/>
      <c r="T354" s="45"/>
      <c r="U354" s="45"/>
      <c r="V354" s="45"/>
      <c r="W354" s="47"/>
      <c r="X354" s="45"/>
      <c r="AN354" s="4" t="e">
        <f>VLOOKUP(I354,Sheet1!A:D,4,)</f>
        <v>#N/A</v>
      </c>
    </row>
    <row r="355" spans="11:40" hidden="1" x14ac:dyDescent="0.25">
      <c r="K355" s="45"/>
      <c r="M355" s="45"/>
      <c r="N355" s="45"/>
      <c r="O355" s="45"/>
      <c r="P355" s="45"/>
      <c r="Q355" s="46"/>
      <c r="R355" s="46"/>
      <c r="T355" s="45"/>
      <c r="U355" s="45"/>
      <c r="V355" s="45"/>
      <c r="W355" s="47"/>
      <c r="X355" s="45"/>
      <c r="AN355" s="4" t="e">
        <f>VLOOKUP(I355,Sheet1!A:D,4,)</f>
        <v>#N/A</v>
      </c>
    </row>
    <row r="356" spans="11:40" hidden="1" x14ac:dyDescent="0.25">
      <c r="K356" s="45"/>
      <c r="M356" s="45"/>
      <c r="N356" s="45"/>
      <c r="O356" s="45"/>
      <c r="P356" s="45"/>
      <c r="Q356" s="46"/>
      <c r="R356" s="46"/>
      <c r="T356" s="45"/>
      <c r="U356" s="45"/>
      <c r="V356" s="45"/>
      <c r="W356" s="47"/>
      <c r="X356" s="45"/>
      <c r="AN356" s="4" t="e">
        <f>VLOOKUP(I356,Sheet1!A:D,4,)</f>
        <v>#N/A</v>
      </c>
    </row>
    <row r="357" spans="11:40" hidden="1" x14ac:dyDescent="0.25">
      <c r="K357" s="45"/>
      <c r="M357" s="45"/>
      <c r="N357" s="45"/>
      <c r="O357" s="45"/>
      <c r="P357" s="45"/>
      <c r="Q357" s="46"/>
      <c r="R357" s="46"/>
      <c r="T357" s="45"/>
      <c r="U357" s="45"/>
      <c r="V357" s="45"/>
      <c r="W357" s="47"/>
      <c r="X357" s="45"/>
      <c r="AN357" s="4" t="e">
        <f>VLOOKUP(I357,Sheet1!A:D,4,)</f>
        <v>#N/A</v>
      </c>
    </row>
    <row r="358" spans="11:40" hidden="1" x14ac:dyDescent="0.25">
      <c r="K358" s="45"/>
      <c r="M358" s="45"/>
      <c r="N358" s="45"/>
      <c r="O358" s="45"/>
      <c r="P358" s="45"/>
      <c r="Q358" s="46"/>
      <c r="R358" s="46"/>
      <c r="T358" s="45"/>
      <c r="U358" s="45"/>
      <c r="V358" s="45"/>
      <c r="W358" s="47"/>
      <c r="X358" s="45"/>
      <c r="AN358" s="4" t="e">
        <f>VLOOKUP(I358,Sheet1!A:D,4,)</f>
        <v>#N/A</v>
      </c>
    </row>
    <row r="359" spans="11:40" hidden="1" x14ac:dyDescent="0.25">
      <c r="K359" s="45"/>
      <c r="M359" s="45"/>
      <c r="N359" s="45"/>
      <c r="O359" s="45"/>
      <c r="P359" s="45"/>
      <c r="Q359" s="46"/>
      <c r="R359" s="46"/>
      <c r="T359" s="45"/>
      <c r="U359" s="45"/>
      <c r="V359" s="45"/>
      <c r="W359" s="47"/>
      <c r="X359" s="45"/>
      <c r="AN359" s="4" t="e">
        <f>VLOOKUP(I359,Sheet1!A:D,4,)</f>
        <v>#N/A</v>
      </c>
    </row>
    <row r="360" spans="11:40" hidden="1" x14ac:dyDescent="0.25">
      <c r="K360" s="45"/>
      <c r="M360" s="45"/>
      <c r="N360" s="45"/>
      <c r="O360" s="45"/>
      <c r="P360" s="45"/>
      <c r="Q360" s="46"/>
      <c r="R360" s="46"/>
      <c r="T360" s="45"/>
      <c r="U360" s="45"/>
      <c r="V360" s="45"/>
      <c r="W360" s="47"/>
      <c r="X360" s="45"/>
      <c r="AN360" s="4" t="e">
        <f>VLOOKUP(I360,Sheet1!A:D,4,)</f>
        <v>#N/A</v>
      </c>
    </row>
    <row r="361" spans="11:40" hidden="1" x14ac:dyDescent="0.25">
      <c r="K361" s="45"/>
      <c r="M361" s="45"/>
      <c r="N361" s="45"/>
      <c r="O361" s="45"/>
      <c r="P361" s="45"/>
      <c r="Q361" s="46"/>
      <c r="R361" s="46"/>
      <c r="T361" s="45"/>
      <c r="U361" s="45"/>
      <c r="V361" s="45"/>
      <c r="W361" s="47"/>
      <c r="X361" s="45"/>
      <c r="AN361" s="4" t="e">
        <f>VLOOKUP(I361,Sheet1!A:D,4,)</f>
        <v>#N/A</v>
      </c>
    </row>
    <row r="362" spans="11:40" hidden="1" x14ac:dyDescent="0.25">
      <c r="K362" s="45"/>
      <c r="M362" s="45"/>
      <c r="N362" s="45"/>
      <c r="O362" s="45"/>
      <c r="P362" s="45"/>
      <c r="Q362" s="46"/>
      <c r="R362" s="46"/>
      <c r="T362" s="45"/>
      <c r="U362" s="45"/>
      <c r="V362" s="45"/>
      <c r="W362" s="47"/>
      <c r="X362" s="45"/>
      <c r="AN362" s="4" t="e">
        <f>VLOOKUP(I362,Sheet1!A:D,4,)</f>
        <v>#N/A</v>
      </c>
    </row>
    <row r="363" spans="11:40" hidden="1" x14ac:dyDescent="0.25">
      <c r="K363" s="45"/>
      <c r="M363" s="45"/>
      <c r="N363" s="45"/>
      <c r="O363" s="45"/>
      <c r="P363" s="45"/>
      <c r="Q363" s="46"/>
      <c r="R363" s="46"/>
      <c r="T363" s="45"/>
      <c r="U363" s="45"/>
      <c r="V363" s="45"/>
      <c r="W363" s="47"/>
      <c r="X363" s="45"/>
      <c r="AN363" s="4" t="e">
        <f>VLOOKUP(I363,Sheet1!A:D,4,)</f>
        <v>#N/A</v>
      </c>
    </row>
    <row r="364" spans="11:40" hidden="1" x14ac:dyDescent="0.25">
      <c r="K364" s="45"/>
      <c r="M364" s="45"/>
      <c r="N364" s="45"/>
      <c r="O364" s="45"/>
      <c r="P364" s="45"/>
      <c r="Q364" s="46"/>
      <c r="R364" s="46"/>
      <c r="T364" s="45"/>
      <c r="U364" s="45"/>
      <c r="V364" s="45"/>
      <c r="W364" s="47"/>
      <c r="X364" s="45"/>
      <c r="AN364" s="4" t="e">
        <f>VLOOKUP(I364,Sheet1!A:D,4,)</f>
        <v>#N/A</v>
      </c>
    </row>
    <row r="365" spans="11:40" hidden="1" x14ac:dyDescent="0.25">
      <c r="K365" s="45"/>
      <c r="M365" s="45"/>
      <c r="N365" s="45"/>
      <c r="O365" s="45"/>
      <c r="P365" s="45"/>
      <c r="Q365" s="46"/>
      <c r="R365" s="46"/>
      <c r="T365" s="45"/>
      <c r="U365" s="45"/>
      <c r="V365" s="45"/>
      <c r="W365" s="47"/>
      <c r="X365" s="45"/>
      <c r="AN365" s="4" t="e">
        <f>VLOOKUP(I365,Sheet1!A:D,4,)</f>
        <v>#N/A</v>
      </c>
    </row>
    <row r="366" spans="11:40" hidden="1" x14ac:dyDescent="0.25">
      <c r="K366" s="45"/>
      <c r="M366" s="45"/>
      <c r="N366" s="45"/>
      <c r="O366" s="45"/>
      <c r="P366" s="45"/>
      <c r="Q366" s="46"/>
      <c r="R366" s="46"/>
      <c r="T366" s="45"/>
      <c r="U366" s="45"/>
      <c r="V366" s="45"/>
      <c r="W366" s="47"/>
      <c r="X366" s="45"/>
      <c r="AN366" s="4" t="e">
        <f>VLOOKUP(I366,Sheet1!A:D,4,)</f>
        <v>#N/A</v>
      </c>
    </row>
    <row r="367" spans="11:40" hidden="1" x14ac:dyDescent="0.25">
      <c r="K367" s="45"/>
      <c r="M367" s="45"/>
      <c r="N367" s="45"/>
      <c r="O367" s="45"/>
      <c r="P367" s="45"/>
      <c r="Q367" s="46"/>
      <c r="R367" s="46"/>
      <c r="T367" s="45"/>
      <c r="U367" s="45"/>
      <c r="V367" s="45"/>
      <c r="W367" s="47"/>
      <c r="X367" s="45"/>
      <c r="AN367" s="4" t="e">
        <f>VLOOKUP(I367,Sheet1!A:D,4,)</f>
        <v>#N/A</v>
      </c>
    </row>
    <row r="368" spans="11:40" hidden="1" x14ac:dyDescent="0.25">
      <c r="K368" s="45"/>
      <c r="M368" s="45"/>
      <c r="N368" s="45"/>
      <c r="O368" s="45"/>
      <c r="P368" s="45"/>
      <c r="Q368" s="46"/>
      <c r="R368" s="46"/>
      <c r="T368" s="45"/>
      <c r="U368" s="45"/>
      <c r="V368" s="45"/>
      <c r="W368" s="47"/>
      <c r="X368" s="45"/>
      <c r="AN368" s="4" t="e">
        <f>VLOOKUP(I368,Sheet1!A:D,4,)</f>
        <v>#N/A</v>
      </c>
    </row>
    <row r="369" spans="11:40" hidden="1" x14ac:dyDescent="0.25">
      <c r="K369" s="45"/>
      <c r="M369" s="45"/>
      <c r="N369" s="45"/>
      <c r="O369" s="45"/>
      <c r="P369" s="45"/>
      <c r="Q369" s="46"/>
      <c r="R369" s="46"/>
      <c r="T369" s="45"/>
      <c r="U369" s="45"/>
      <c r="V369" s="45"/>
      <c r="W369" s="47"/>
      <c r="X369" s="45"/>
      <c r="AN369" s="4" t="e">
        <f>VLOOKUP(I369,Sheet1!A:D,4,)</f>
        <v>#N/A</v>
      </c>
    </row>
    <row r="370" spans="11:40" hidden="1" x14ac:dyDescent="0.25">
      <c r="K370" s="45"/>
      <c r="M370" s="45"/>
      <c r="N370" s="45"/>
      <c r="O370" s="45"/>
      <c r="P370" s="45"/>
      <c r="Q370" s="46"/>
      <c r="R370" s="46"/>
      <c r="T370" s="45"/>
      <c r="U370" s="45"/>
      <c r="V370" s="45"/>
      <c r="W370" s="47"/>
      <c r="X370" s="45"/>
      <c r="AN370" s="4" t="e">
        <f>VLOOKUP(I370,Sheet1!A:D,4,)</f>
        <v>#N/A</v>
      </c>
    </row>
    <row r="371" spans="11:40" hidden="1" x14ac:dyDescent="0.25">
      <c r="K371" s="45"/>
      <c r="M371" s="45"/>
      <c r="N371" s="45"/>
      <c r="O371" s="45"/>
      <c r="P371" s="45"/>
      <c r="Q371" s="46"/>
      <c r="R371" s="46"/>
      <c r="T371" s="45"/>
      <c r="U371" s="45"/>
      <c r="V371" s="45"/>
      <c r="W371" s="47"/>
      <c r="X371" s="45"/>
      <c r="AN371" s="4" t="e">
        <f>VLOOKUP(I371,Sheet1!A:D,4,)</f>
        <v>#N/A</v>
      </c>
    </row>
    <row r="372" spans="11:40" hidden="1" x14ac:dyDescent="0.25">
      <c r="K372" s="45"/>
      <c r="M372" s="45"/>
      <c r="N372" s="45"/>
      <c r="O372" s="45"/>
      <c r="P372" s="45"/>
      <c r="Q372" s="46"/>
      <c r="R372" s="46"/>
      <c r="T372" s="45"/>
      <c r="U372" s="45"/>
      <c r="V372" s="45"/>
      <c r="W372" s="47"/>
      <c r="X372" s="45"/>
      <c r="AN372" s="4" t="e">
        <f>VLOOKUP(I372,Sheet1!A:D,4,)</f>
        <v>#N/A</v>
      </c>
    </row>
    <row r="373" spans="11:40" hidden="1" x14ac:dyDescent="0.25">
      <c r="K373" s="45"/>
      <c r="M373" s="45"/>
      <c r="N373" s="45"/>
      <c r="O373" s="45"/>
      <c r="P373" s="45"/>
      <c r="Q373" s="46"/>
      <c r="R373" s="46"/>
      <c r="T373" s="45"/>
      <c r="U373" s="45"/>
      <c r="V373" s="45"/>
      <c r="W373" s="47"/>
      <c r="X373" s="45"/>
      <c r="AN373" s="4" t="e">
        <f>VLOOKUP(I373,Sheet1!A:D,4,)</f>
        <v>#N/A</v>
      </c>
    </row>
    <row r="374" spans="11:40" hidden="1" x14ac:dyDescent="0.25">
      <c r="K374" s="45"/>
      <c r="M374" s="45"/>
      <c r="N374" s="45"/>
      <c r="O374" s="45"/>
      <c r="P374" s="45"/>
      <c r="Q374" s="46"/>
      <c r="R374" s="46"/>
      <c r="T374" s="45"/>
      <c r="U374" s="45"/>
      <c r="V374" s="45"/>
      <c r="W374" s="47"/>
      <c r="X374" s="45"/>
      <c r="AN374" s="4" t="e">
        <f>VLOOKUP(I374,Sheet1!A:D,4,)</f>
        <v>#N/A</v>
      </c>
    </row>
    <row r="375" spans="11:40" hidden="1" x14ac:dyDescent="0.25">
      <c r="K375" s="45"/>
      <c r="M375" s="45"/>
      <c r="N375" s="45"/>
      <c r="O375" s="45"/>
      <c r="P375" s="45"/>
      <c r="Q375" s="46"/>
      <c r="R375" s="46"/>
      <c r="T375" s="45"/>
      <c r="U375" s="45"/>
      <c r="V375" s="45"/>
      <c r="W375" s="47"/>
      <c r="X375" s="45"/>
      <c r="AN375" s="4" t="e">
        <f>VLOOKUP(I375,Sheet1!A:D,4,)</f>
        <v>#N/A</v>
      </c>
    </row>
    <row r="376" spans="11:40" hidden="1" x14ac:dyDescent="0.25">
      <c r="K376" s="45"/>
      <c r="M376" s="45"/>
      <c r="N376" s="45"/>
      <c r="O376" s="45"/>
      <c r="P376" s="45"/>
      <c r="Q376" s="46"/>
      <c r="R376" s="46"/>
      <c r="T376" s="45"/>
      <c r="U376" s="45"/>
      <c r="V376" s="45"/>
      <c r="W376" s="47"/>
      <c r="X376" s="45"/>
      <c r="AN376" s="4" t="e">
        <f>VLOOKUP(I376,Sheet1!A:D,4,)</f>
        <v>#N/A</v>
      </c>
    </row>
    <row r="377" spans="11:40" hidden="1" x14ac:dyDescent="0.25">
      <c r="K377" s="45"/>
      <c r="M377" s="45"/>
      <c r="N377" s="45"/>
      <c r="O377" s="45"/>
      <c r="P377" s="45"/>
      <c r="Q377" s="46"/>
      <c r="R377" s="46"/>
      <c r="T377" s="45"/>
      <c r="U377" s="45"/>
      <c r="V377" s="45"/>
      <c r="W377" s="47"/>
      <c r="X377" s="45"/>
      <c r="AN377" s="4" t="e">
        <f>VLOOKUP(I377,Sheet1!A:D,4,)</f>
        <v>#N/A</v>
      </c>
    </row>
    <row r="378" spans="11:40" hidden="1" x14ac:dyDescent="0.25">
      <c r="K378" s="45"/>
      <c r="M378" s="45"/>
      <c r="N378" s="45"/>
      <c r="O378" s="45"/>
      <c r="P378" s="45"/>
      <c r="Q378" s="46"/>
      <c r="R378" s="46"/>
      <c r="T378" s="45"/>
      <c r="U378" s="45"/>
      <c r="V378" s="45"/>
      <c r="W378" s="47"/>
      <c r="X378" s="45"/>
      <c r="AN378" s="4" t="e">
        <f>VLOOKUP(I378,Sheet1!A:D,4,)</f>
        <v>#N/A</v>
      </c>
    </row>
    <row r="379" spans="11:40" hidden="1" x14ac:dyDescent="0.25">
      <c r="K379" s="45"/>
      <c r="M379" s="45"/>
      <c r="N379" s="45"/>
      <c r="O379" s="45"/>
      <c r="P379" s="45"/>
      <c r="Q379" s="46"/>
      <c r="R379" s="46"/>
      <c r="T379" s="45"/>
      <c r="U379" s="45"/>
      <c r="V379" s="45"/>
      <c r="W379" s="47"/>
      <c r="X379" s="45"/>
      <c r="AN379" s="4" t="e">
        <f>VLOOKUP(I379,Sheet1!A:D,4,)</f>
        <v>#N/A</v>
      </c>
    </row>
    <row r="380" spans="11:40" hidden="1" x14ac:dyDescent="0.25">
      <c r="K380" s="45"/>
      <c r="M380" s="45"/>
      <c r="N380" s="45"/>
      <c r="O380" s="45"/>
      <c r="P380" s="45"/>
      <c r="Q380" s="46"/>
      <c r="R380" s="46"/>
      <c r="T380" s="45"/>
      <c r="U380" s="45"/>
      <c r="V380" s="45"/>
      <c r="W380" s="47"/>
      <c r="X380" s="45"/>
      <c r="AN380" s="4" t="e">
        <f>VLOOKUP(I380,Sheet1!A:D,4,)</f>
        <v>#N/A</v>
      </c>
    </row>
    <row r="381" spans="11:40" hidden="1" x14ac:dyDescent="0.25">
      <c r="K381" s="45"/>
      <c r="M381" s="45"/>
      <c r="N381" s="45"/>
      <c r="O381" s="45"/>
      <c r="P381" s="45"/>
      <c r="Q381" s="46"/>
      <c r="R381" s="46"/>
      <c r="T381" s="45"/>
      <c r="U381" s="45"/>
      <c r="V381" s="45"/>
      <c r="W381" s="47"/>
      <c r="X381" s="45"/>
      <c r="AN381" s="4" t="e">
        <f>VLOOKUP(I381,Sheet1!A:D,4,)</f>
        <v>#N/A</v>
      </c>
    </row>
    <row r="382" spans="11:40" hidden="1" x14ac:dyDescent="0.25">
      <c r="K382" s="45"/>
      <c r="M382" s="45"/>
      <c r="N382" s="45"/>
      <c r="O382" s="45"/>
      <c r="P382" s="45"/>
      <c r="Q382" s="46"/>
      <c r="R382" s="46"/>
      <c r="T382" s="45"/>
      <c r="U382" s="45"/>
      <c r="V382" s="45"/>
      <c r="W382" s="47"/>
      <c r="X382" s="45"/>
      <c r="AN382" s="4" t="e">
        <f>VLOOKUP(I382,Sheet1!A:D,4,)</f>
        <v>#N/A</v>
      </c>
    </row>
    <row r="383" spans="11:40" hidden="1" x14ac:dyDescent="0.25">
      <c r="K383" s="45"/>
      <c r="M383" s="45"/>
      <c r="N383" s="45"/>
      <c r="O383" s="45"/>
      <c r="P383" s="45"/>
      <c r="Q383" s="46"/>
      <c r="R383" s="46"/>
      <c r="T383" s="45"/>
      <c r="U383" s="45"/>
      <c r="V383" s="45"/>
      <c r="W383" s="47"/>
      <c r="X383" s="45"/>
      <c r="AN383" s="4" t="e">
        <f>VLOOKUP(I383,Sheet1!A:D,4,)</f>
        <v>#N/A</v>
      </c>
    </row>
    <row r="384" spans="11:40" hidden="1" x14ac:dyDescent="0.25">
      <c r="K384" s="45"/>
      <c r="M384" s="45"/>
      <c r="N384" s="45"/>
      <c r="O384" s="45"/>
      <c r="P384" s="45"/>
      <c r="Q384" s="46"/>
      <c r="R384" s="46"/>
      <c r="T384" s="45"/>
      <c r="U384" s="45"/>
      <c r="V384" s="45"/>
      <c r="W384" s="47"/>
      <c r="X384" s="45"/>
      <c r="AN384" s="4" t="e">
        <f>VLOOKUP(I384,Sheet1!A:D,4,)</f>
        <v>#N/A</v>
      </c>
    </row>
    <row r="385" spans="11:40" hidden="1" x14ac:dyDescent="0.25">
      <c r="K385" s="45"/>
      <c r="M385" s="45"/>
      <c r="N385" s="45"/>
      <c r="O385" s="45"/>
      <c r="P385" s="45"/>
      <c r="Q385" s="46"/>
      <c r="R385" s="46"/>
      <c r="T385" s="45"/>
      <c r="U385" s="45"/>
      <c r="V385" s="45"/>
      <c r="W385" s="47"/>
      <c r="X385" s="45"/>
      <c r="AN385" s="4" t="e">
        <f>VLOOKUP(I385,Sheet1!A:D,4,)</f>
        <v>#N/A</v>
      </c>
    </row>
    <row r="386" spans="11:40" hidden="1" x14ac:dyDescent="0.25">
      <c r="K386" s="45"/>
      <c r="M386" s="45"/>
      <c r="N386" s="45"/>
      <c r="O386" s="45"/>
      <c r="P386" s="45"/>
      <c r="Q386" s="46"/>
      <c r="R386" s="46"/>
      <c r="T386" s="45"/>
      <c r="U386" s="45"/>
      <c r="V386" s="45"/>
      <c r="W386" s="47"/>
      <c r="X386" s="45"/>
      <c r="AN386" s="4" t="e">
        <f>VLOOKUP(I386,Sheet1!A:D,4,)</f>
        <v>#N/A</v>
      </c>
    </row>
    <row r="387" spans="11:40" hidden="1" x14ac:dyDescent="0.25">
      <c r="K387" s="45"/>
      <c r="M387" s="45"/>
      <c r="N387" s="45"/>
      <c r="O387" s="45"/>
      <c r="P387" s="45"/>
      <c r="Q387" s="46"/>
      <c r="R387" s="46"/>
      <c r="T387" s="45"/>
      <c r="U387" s="45"/>
      <c r="V387" s="45"/>
      <c r="W387" s="47"/>
      <c r="X387" s="45"/>
      <c r="AN387" s="4" t="e">
        <f>VLOOKUP(I387,Sheet1!A:D,4,)</f>
        <v>#N/A</v>
      </c>
    </row>
    <row r="388" spans="11:40" hidden="1" x14ac:dyDescent="0.25">
      <c r="K388" s="45"/>
      <c r="M388" s="45"/>
      <c r="N388" s="45"/>
      <c r="O388" s="45"/>
      <c r="P388" s="45"/>
      <c r="Q388" s="46"/>
      <c r="R388" s="46"/>
      <c r="T388" s="45"/>
      <c r="U388" s="45"/>
      <c r="V388" s="45"/>
      <c r="W388" s="47"/>
      <c r="X388" s="45"/>
      <c r="AN388" s="4" t="e">
        <f>VLOOKUP(I388,Sheet1!A:D,4,)</f>
        <v>#N/A</v>
      </c>
    </row>
    <row r="389" spans="11:40" hidden="1" x14ac:dyDescent="0.25">
      <c r="K389" s="45"/>
      <c r="M389" s="45"/>
      <c r="N389" s="45"/>
      <c r="O389" s="45"/>
      <c r="P389" s="45"/>
      <c r="Q389" s="46"/>
      <c r="R389" s="46"/>
      <c r="T389" s="45"/>
      <c r="U389" s="45"/>
      <c r="V389" s="45"/>
      <c r="W389" s="47"/>
      <c r="X389" s="45"/>
      <c r="AN389" s="4" t="e">
        <f>VLOOKUP(I389,Sheet1!A:D,4,)</f>
        <v>#N/A</v>
      </c>
    </row>
    <row r="390" spans="11:40" hidden="1" x14ac:dyDescent="0.25">
      <c r="K390" s="45"/>
      <c r="M390" s="45"/>
      <c r="N390" s="45"/>
      <c r="O390" s="45"/>
      <c r="P390" s="45"/>
      <c r="Q390" s="46"/>
      <c r="R390" s="46"/>
      <c r="T390" s="45"/>
      <c r="U390" s="45"/>
      <c r="V390" s="45"/>
      <c r="W390" s="47"/>
      <c r="X390" s="45"/>
      <c r="AN390" s="4" t="e">
        <f>VLOOKUP(I390,Sheet1!A:D,4,)</f>
        <v>#N/A</v>
      </c>
    </row>
    <row r="391" spans="11:40" hidden="1" x14ac:dyDescent="0.25">
      <c r="K391" s="45"/>
      <c r="M391" s="45"/>
      <c r="N391" s="45"/>
      <c r="O391" s="45"/>
      <c r="P391" s="45"/>
      <c r="Q391" s="46"/>
      <c r="R391" s="46"/>
      <c r="T391" s="45"/>
      <c r="U391" s="45"/>
      <c r="V391" s="45"/>
      <c r="W391" s="47"/>
      <c r="X391" s="45"/>
      <c r="AN391" s="4" t="e">
        <f>VLOOKUP(I391,Sheet1!A:D,4,)</f>
        <v>#N/A</v>
      </c>
    </row>
    <row r="392" spans="11:40" hidden="1" x14ac:dyDescent="0.25">
      <c r="K392" s="45"/>
      <c r="M392" s="45"/>
      <c r="N392" s="45"/>
      <c r="O392" s="45"/>
      <c r="P392" s="45"/>
      <c r="Q392" s="46"/>
      <c r="R392" s="46"/>
      <c r="T392" s="45"/>
      <c r="U392" s="45"/>
      <c r="V392" s="45"/>
      <c r="W392" s="47"/>
      <c r="X392" s="45"/>
      <c r="AN392" s="4" t="e">
        <f>VLOOKUP(I392,Sheet1!A:D,4,)</f>
        <v>#N/A</v>
      </c>
    </row>
    <row r="393" spans="11:40" hidden="1" x14ac:dyDescent="0.25">
      <c r="K393" s="45"/>
      <c r="M393" s="45"/>
      <c r="N393" s="45"/>
      <c r="O393" s="45"/>
      <c r="P393" s="45"/>
      <c r="Q393" s="46"/>
      <c r="R393" s="46"/>
      <c r="T393" s="45"/>
      <c r="U393" s="45"/>
      <c r="V393" s="45"/>
      <c r="W393" s="47"/>
      <c r="X393" s="45"/>
      <c r="AN393" s="4" t="e">
        <f>VLOOKUP(I393,Sheet1!A:D,4,)</f>
        <v>#N/A</v>
      </c>
    </row>
    <row r="394" spans="11:40" hidden="1" x14ac:dyDescent="0.25">
      <c r="K394" s="45"/>
      <c r="M394" s="45"/>
      <c r="N394" s="45"/>
      <c r="O394" s="45"/>
      <c r="P394" s="45"/>
      <c r="Q394" s="46"/>
      <c r="R394" s="46"/>
      <c r="T394" s="45"/>
      <c r="U394" s="45"/>
      <c r="V394" s="45"/>
      <c r="W394" s="47"/>
      <c r="X394" s="45"/>
      <c r="AN394" s="4" t="e">
        <f>VLOOKUP(I394,Sheet1!A:D,4,)</f>
        <v>#N/A</v>
      </c>
    </row>
    <row r="395" spans="11:40" hidden="1" x14ac:dyDescent="0.25">
      <c r="K395" s="45"/>
      <c r="M395" s="45"/>
      <c r="N395" s="45"/>
      <c r="O395" s="45"/>
      <c r="P395" s="45"/>
      <c r="Q395" s="46"/>
      <c r="R395" s="46"/>
      <c r="T395" s="45"/>
      <c r="U395" s="45"/>
      <c r="V395" s="45"/>
      <c r="W395" s="47"/>
      <c r="X395" s="45"/>
      <c r="AN395" s="4" t="e">
        <f>VLOOKUP(I395,Sheet1!A:D,4,)</f>
        <v>#N/A</v>
      </c>
    </row>
    <row r="396" spans="11:40" hidden="1" x14ac:dyDescent="0.25">
      <c r="K396" s="45"/>
      <c r="M396" s="45"/>
      <c r="N396" s="45"/>
      <c r="O396" s="45"/>
      <c r="P396" s="45"/>
      <c r="Q396" s="46"/>
      <c r="R396" s="46"/>
      <c r="T396" s="45"/>
      <c r="U396" s="45"/>
      <c r="V396" s="45"/>
      <c r="W396" s="47"/>
      <c r="X396" s="45"/>
      <c r="AN396" s="4" t="e">
        <f>VLOOKUP(I396,Sheet1!A:D,4,)</f>
        <v>#N/A</v>
      </c>
    </row>
    <row r="397" spans="11:40" hidden="1" x14ac:dyDescent="0.25">
      <c r="K397" s="45"/>
      <c r="M397" s="45"/>
      <c r="N397" s="45"/>
      <c r="O397" s="45"/>
      <c r="P397" s="45"/>
      <c r="Q397" s="46"/>
      <c r="R397" s="46"/>
      <c r="T397" s="45"/>
      <c r="U397" s="45"/>
      <c r="V397" s="45"/>
      <c r="W397" s="47"/>
      <c r="X397" s="45"/>
      <c r="AN397" s="4" t="e">
        <f>VLOOKUP(I397,Sheet1!A:D,4,)</f>
        <v>#N/A</v>
      </c>
    </row>
    <row r="398" spans="11:40" hidden="1" x14ac:dyDescent="0.25">
      <c r="K398" s="45"/>
      <c r="M398" s="45"/>
      <c r="N398" s="45"/>
      <c r="O398" s="45"/>
      <c r="P398" s="45"/>
      <c r="Q398" s="46"/>
      <c r="R398" s="46"/>
      <c r="T398" s="45"/>
      <c r="U398" s="45"/>
      <c r="V398" s="45"/>
      <c r="W398" s="47"/>
      <c r="X398" s="45"/>
      <c r="AN398" s="4" t="e">
        <f>VLOOKUP(I398,Sheet1!A:D,4,)</f>
        <v>#N/A</v>
      </c>
    </row>
    <row r="399" spans="11:40" hidden="1" x14ac:dyDescent="0.25">
      <c r="K399" s="45"/>
      <c r="M399" s="45"/>
      <c r="N399" s="45"/>
      <c r="O399" s="45"/>
      <c r="P399" s="45"/>
      <c r="Q399" s="46"/>
      <c r="R399" s="46"/>
      <c r="T399" s="45"/>
      <c r="U399" s="45"/>
      <c r="V399" s="45"/>
      <c r="W399" s="47"/>
      <c r="X399" s="45"/>
      <c r="AN399" s="4" t="e">
        <f>VLOOKUP(I399,Sheet1!A:D,4,)</f>
        <v>#N/A</v>
      </c>
    </row>
    <row r="400" spans="11:40" hidden="1" x14ac:dyDescent="0.25">
      <c r="K400" s="45"/>
      <c r="M400" s="45"/>
      <c r="N400" s="45"/>
      <c r="O400" s="45"/>
      <c r="P400" s="45"/>
      <c r="Q400" s="46"/>
      <c r="R400" s="46"/>
      <c r="T400" s="45"/>
      <c r="U400" s="45"/>
      <c r="V400" s="45"/>
      <c r="W400" s="47"/>
      <c r="X400" s="45"/>
      <c r="AN400" s="4" t="e">
        <f>VLOOKUP(I400,Sheet1!A:D,4,)</f>
        <v>#N/A</v>
      </c>
    </row>
    <row r="401" spans="11:42" hidden="1" x14ac:dyDescent="0.25">
      <c r="K401" s="45"/>
      <c r="M401" s="45"/>
      <c r="N401" s="45"/>
      <c r="O401" s="45"/>
      <c r="P401" s="45"/>
      <c r="Q401" s="46"/>
      <c r="R401" s="46"/>
      <c r="T401" s="45"/>
      <c r="U401" s="45"/>
      <c r="V401" s="45"/>
      <c r="W401" s="47"/>
      <c r="X401" s="45"/>
      <c r="AN401" s="4" t="e">
        <f>VLOOKUP(I401,Sheet1!A:D,4,)</f>
        <v>#N/A</v>
      </c>
    </row>
    <row r="402" spans="11:42" hidden="1" x14ac:dyDescent="0.25">
      <c r="K402" s="45"/>
      <c r="M402" s="45"/>
      <c r="N402" s="45"/>
      <c r="O402" s="45"/>
      <c r="P402" s="45"/>
      <c r="Q402" s="46"/>
      <c r="R402" s="46"/>
      <c r="T402" s="45"/>
      <c r="U402" s="45"/>
      <c r="V402" s="45"/>
      <c r="W402" s="47"/>
      <c r="X402" s="45"/>
      <c r="AN402" s="4" t="e">
        <f>VLOOKUP(I402,Sheet1!A:D,4,)</f>
        <v>#N/A</v>
      </c>
    </row>
    <row r="403" spans="11:42" hidden="1" x14ac:dyDescent="0.25">
      <c r="K403" s="45"/>
      <c r="M403" s="45"/>
      <c r="N403" s="45"/>
      <c r="O403" s="45"/>
      <c r="P403" s="45"/>
      <c r="Q403" s="46"/>
      <c r="R403" s="46"/>
      <c r="T403" s="45"/>
      <c r="U403" s="45"/>
      <c r="V403" s="45"/>
      <c r="W403" s="47"/>
      <c r="X403" s="45"/>
      <c r="AN403" s="4" t="e">
        <f>VLOOKUP(I403,Sheet1!A:D,4,)</f>
        <v>#N/A</v>
      </c>
      <c r="AP403" s="36"/>
    </row>
    <row r="404" spans="11:42" hidden="1" x14ac:dyDescent="0.25">
      <c r="K404" s="45"/>
      <c r="M404" s="45"/>
      <c r="N404" s="45"/>
      <c r="O404" s="45"/>
      <c r="P404" s="45"/>
      <c r="Q404" s="46"/>
      <c r="R404" s="46"/>
      <c r="T404" s="45"/>
      <c r="U404" s="45"/>
      <c r="V404" s="45"/>
      <c r="W404" s="47"/>
      <c r="X404" s="45"/>
      <c r="AN404" s="4" t="e">
        <f>VLOOKUP(I404,Sheet1!A:D,4,)</f>
        <v>#N/A</v>
      </c>
      <c r="AP404" s="36"/>
    </row>
    <row r="405" spans="11:42" hidden="1" x14ac:dyDescent="0.25">
      <c r="K405" s="45"/>
      <c r="M405" s="45"/>
      <c r="N405" s="45"/>
      <c r="O405" s="45"/>
      <c r="P405" s="45"/>
      <c r="Q405" s="46"/>
      <c r="R405" s="46"/>
      <c r="T405" s="45"/>
      <c r="U405" s="45"/>
      <c r="V405" s="45"/>
      <c r="W405" s="47"/>
      <c r="X405" s="45"/>
      <c r="AN405" s="4" t="e">
        <f>VLOOKUP(I405,Sheet1!A:D,4,)</f>
        <v>#N/A</v>
      </c>
      <c r="AP405" s="36"/>
    </row>
    <row r="406" spans="11:42" hidden="1" x14ac:dyDescent="0.25">
      <c r="K406" s="45"/>
      <c r="M406" s="45"/>
      <c r="N406" s="45"/>
      <c r="O406" s="45"/>
      <c r="P406" s="45"/>
      <c r="Q406" s="46"/>
      <c r="R406" s="46"/>
      <c r="T406" s="45"/>
      <c r="U406" s="45"/>
      <c r="V406" s="45"/>
      <c r="W406" s="47"/>
      <c r="X406" s="45"/>
      <c r="AN406" s="4" t="e">
        <f>VLOOKUP(I406,Sheet1!A:D,4,)</f>
        <v>#N/A</v>
      </c>
    </row>
    <row r="407" spans="11:42" hidden="1" x14ac:dyDescent="0.25">
      <c r="K407" s="45"/>
      <c r="M407" s="45"/>
      <c r="N407" s="45"/>
      <c r="O407" s="45"/>
      <c r="P407" s="45"/>
      <c r="Q407" s="46"/>
      <c r="R407" s="46"/>
      <c r="T407" s="45"/>
      <c r="U407" s="45"/>
      <c r="V407" s="45"/>
      <c r="W407" s="47"/>
      <c r="X407" s="45"/>
      <c r="AN407" s="4" t="e">
        <f>VLOOKUP(I407,Sheet1!A:D,4,)</f>
        <v>#N/A</v>
      </c>
    </row>
    <row r="408" spans="11:42" hidden="1" x14ac:dyDescent="0.25">
      <c r="K408" s="45"/>
      <c r="M408" s="45"/>
      <c r="N408" s="45"/>
      <c r="O408" s="45"/>
      <c r="P408" s="45"/>
      <c r="Q408" s="46"/>
      <c r="R408" s="46"/>
      <c r="T408" s="45"/>
      <c r="U408" s="45"/>
      <c r="V408" s="45"/>
      <c r="W408" s="47"/>
      <c r="X408" s="45"/>
      <c r="AN408" s="4" t="e">
        <f>VLOOKUP(I408,Sheet1!A:D,4,)</f>
        <v>#N/A</v>
      </c>
    </row>
    <row r="409" spans="11:42" hidden="1" x14ac:dyDescent="0.25">
      <c r="K409" s="45"/>
      <c r="M409" s="45"/>
      <c r="N409" s="45"/>
      <c r="O409" s="45"/>
      <c r="P409" s="45"/>
      <c r="Q409" s="46"/>
      <c r="R409" s="46"/>
      <c r="T409" s="45"/>
      <c r="U409" s="45"/>
      <c r="V409" s="45"/>
      <c r="W409" s="47"/>
      <c r="X409" s="45"/>
      <c r="AN409" s="4" t="e">
        <f>VLOOKUP(I409,Sheet1!A:D,4,)</f>
        <v>#N/A</v>
      </c>
    </row>
    <row r="410" spans="11:42" hidden="1" x14ac:dyDescent="0.25">
      <c r="K410" s="45"/>
      <c r="M410" s="45"/>
      <c r="N410" s="45"/>
      <c r="O410" s="45"/>
      <c r="P410" s="45"/>
      <c r="Q410" s="46"/>
      <c r="R410" s="46"/>
      <c r="T410" s="45"/>
      <c r="U410" s="45"/>
      <c r="V410" s="45"/>
      <c r="W410" s="47"/>
      <c r="X410" s="45"/>
      <c r="AN410" s="4" t="e">
        <f>VLOOKUP(I410,Sheet1!A:D,4,)</f>
        <v>#N/A</v>
      </c>
    </row>
    <row r="411" spans="11:42" hidden="1" x14ac:dyDescent="0.25">
      <c r="K411" s="45"/>
      <c r="M411" s="45"/>
      <c r="N411" s="45"/>
      <c r="O411" s="45"/>
      <c r="P411" s="45"/>
      <c r="Q411" s="46"/>
      <c r="R411" s="46"/>
      <c r="T411" s="45"/>
      <c r="U411" s="45"/>
      <c r="V411" s="45"/>
      <c r="W411" s="47"/>
      <c r="X411" s="45"/>
      <c r="AN411" s="4" t="e">
        <f>VLOOKUP(I411,Sheet1!A:D,4,)</f>
        <v>#N/A</v>
      </c>
    </row>
    <row r="412" spans="11:42" hidden="1" x14ac:dyDescent="0.25">
      <c r="K412" s="45"/>
      <c r="M412" s="45"/>
      <c r="N412" s="45"/>
      <c r="O412" s="45"/>
      <c r="P412" s="45"/>
      <c r="Q412" s="46"/>
      <c r="R412" s="46"/>
      <c r="T412" s="45"/>
      <c r="U412" s="45"/>
      <c r="V412" s="45"/>
      <c r="W412" s="47"/>
      <c r="X412" s="45"/>
      <c r="AN412" s="4" t="e">
        <f>VLOOKUP(I412,Sheet1!A:D,4,)</f>
        <v>#N/A</v>
      </c>
      <c r="AP412" s="49"/>
    </row>
    <row r="413" spans="11:42" hidden="1" x14ac:dyDescent="0.25">
      <c r="K413" s="45"/>
      <c r="M413" s="45"/>
      <c r="N413" s="45"/>
      <c r="O413" s="45"/>
      <c r="P413" s="45"/>
      <c r="Q413" s="46"/>
      <c r="R413" s="46"/>
      <c r="T413" s="45"/>
      <c r="U413" s="45"/>
      <c r="V413" s="45"/>
      <c r="W413" s="47"/>
      <c r="X413" s="45"/>
      <c r="AN413" s="4" t="e">
        <f>VLOOKUP(I413,Sheet1!A:D,4,)</f>
        <v>#N/A</v>
      </c>
      <c r="AP413" s="49"/>
    </row>
    <row r="414" spans="11:42" hidden="1" x14ac:dyDescent="0.25">
      <c r="K414" s="45"/>
      <c r="M414" s="45"/>
      <c r="N414" s="45"/>
      <c r="O414" s="45"/>
      <c r="P414" s="45"/>
      <c r="Q414" s="46"/>
      <c r="R414" s="46"/>
      <c r="T414" s="45"/>
      <c r="U414" s="45"/>
      <c r="V414" s="45"/>
      <c r="W414" s="47"/>
      <c r="X414" s="45"/>
      <c r="AN414" s="4" t="e">
        <f>VLOOKUP(I414,Sheet1!A:D,4,)</f>
        <v>#N/A</v>
      </c>
      <c r="AP414" s="49"/>
    </row>
    <row r="415" spans="11:42" hidden="1" x14ac:dyDescent="0.25">
      <c r="K415" s="45"/>
      <c r="M415" s="45"/>
      <c r="N415" s="45"/>
      <c r="O415" s="45"/>
      <c r="P415" s="45"/>
      <c r="Q415" s="46"/>
      <c r="R415" s="46"/>
      <c r="T415" s="45"/>
      <c r="U415" s="45"/>
      <c r="V415" s="45"/>
      <c r="W415" s="47"/>
      <c r="X415" s="45"/>
      <c r="AN415" s="4" t="e">
        <f>VLOOKUP(I415,Sheet1!A:D,4,)</f>
        <v>#N/A</v>
      </c>
      <c r="AP415" s="49"/>
    </row>
    <row r="416" spans="11:42" hidden="1" x14ac:dyDescent="0.25">
      <c r="K416" s="45"/>
      <c r="M416" s="45"/>
      <c r="N416" s="45"/>
      <c r="O416" s="45"/>
      <c r="P416" s="45"/>
      <c r="Q416" s="46"/>
      <c r="R416" s="46"/>
      <c r="T416" s="45"/>
      <c r="U416" s="45"/>
      <c r="V416" s="45"/>
      <c r="W416" s="47"/>
      <c r="X416" s="45"/>
      <c r="AN416" s="4" t="e">
        <f>VLOOKUP(I416,Sheet1!A:D,4,)</f>
        <v>#N/A</v>
      </c>
      <c r="AP416" s="49"/>
    </row>
    <row r="417" spans="11:42" hidden="1" x14ac:dyDescent="0.25">
      <c r="K417" s="45"/>
      <c r="M417" s="45"/>
      <c r="N417" s="45"/>
      <c r="O417" s="45"/>
      <c r="P417" s="45"/>
      <c r="Q417" s="46"/>
      <c r="R417" s="46"/>
      <c r="T417" s="45"/>
      <c r="U417" s="45"/>
      <c r="V417" s="45"/>
      <c r="W417" s="47"/>
      <c r="X417" s="45"/>
      <c r="AN417" s="4" t="e">
        <f>VLOOKUP(I417,Sheet1!A:D,4,)</f>
        <v>#N/A</v>
      </c>
      <c r="AP417" s="49"/>
    </row>
    <row r="418" spans="11:42" hidden="1" x14ac:dyDescent="0.25">
      <c r="K418" s="45"/>
      <c r="M418" s="45"/>
      <c r="N418" s="45"/>
      <c r="O418" s="45"/>
      <c r="P418" s="45"/>
      <c r="Q418" s="46"/>
      <c r="R418" s="46"/>
      <c r="T418" s="45"/>
      <c r="U418" s="45"/>
      <c r="V418" s="45"/>
      <c r="W418" s="47"/>
      <c r="X418" s="45"/>
      <c r="AN418" s="4" t="e">
        <f>VLOOKUP(I418,Sheet1!A:D,4,)</f>
        <v>#N/A</v>
      </c>
      <c r="AP418" s="49"/>
    </row>
    <row r="419" spans="11:42" hidden="1" x14ac:dyDescent="0.25">
      <c r="K419" s="45"/>
      <c r="M419" s="45"/>
      <c r="N419" s="45"/>
      <c r="O419" s="45"/>
      <c r="P419" s="45"/>
      <c r="Q419" s="46"/>
      <c r="R419" s="46"/>
      <c r="T419" s="45"/>
      <c r="U419" s="45"/>
      <c r="V419" s="45"/>
      <c r="W419" s="47"/>
      <c r="X419" s="45"/>
      <c r="AN419" s="4" t="e">
        <f>VLOOKUP(I419,Sheet1!A:D,4,)</f>
        <v>#N/A</v>
      </c>
      <c r="AP419" s="49"/>
    </row>
    <row r="420" spans="11:42" hidden="1" x14ac:dyDescent="0.25">
      <c r="K420" s="45"/>
      <c r="M420" s="45"/>
      <c r="N420" s="45"/>
      <c r="O420" s="45"/>
      <c r="P420" s="45"/>
      <c r="Q420" s="46"/>
      <c r="R420" s="46"/>
      <c r="T420" s="45"/>
      <c r="U420" s="45"/>
      <c r="V420" s="45"/>
      <c r="W420" s="47"/>
      <c r="X420" s="45"/>
      <c r="AN420" s="4" t="e">
        <f>VLOOKUP(I420,Sheet1!A:D,4,)</f>
        <v>#N/A</v>
      </c>
    </row>
    <row r="421" spans="11:42" hidden="1" x14ac:dyDescent="0.25">
      <c r="K421" s="45"/>
      <c r="M421" s="45"/>
      <c r="N421" s="45"/>
      <c r="O421" s="45"/>
      <c r="P421" s="45"/>
      <c r="Q421" s="46"/>
      <c r="R421" s="46"/>
      <c r="T421" s="45"/>
      <c r="U421" s="45"/>
      <c r="V421" s="45"/>
      <c r="W421" s="47"/>
      <c r="X421" s="45"/>
      <c r="AN421" s="4" t="e">
        <f>VLOOKUP(I421,Sheet1!A:D,4,)</f>
        <v>#N/A</v>
      </c>
    </row>
    <row r="422" spans="11:42" hidden="1" x14ac:dyDescent="0.25">
      <c r="K422" s="45"/>
      <c r="M422" s="45"/>
      <c r="N422" s="45"/>
      <c r="O422" s="45"/>
      <c r="P422" s="45"/>
      <c r="Q422" s="46"/>
      <c r="R422" s="46"/>
      <c r="T422" s="45"/>
      <c r="U422" s="45"/>
      <c r="V422" s="45"/>
      <c r="W422" s="47"/>
      <c r="X422" s="45"/>
      <c r="AN422" s="4" t="e">
        <f>VLOOKUP(I422,Sheet1!A:D,4,)</f>
        <v>#N/A</v>
      </c>
    </row>
    <row r="423" spans="11:42" hidden="1" x14ac:dyDescent="0.25">
      <c r="K423" s="45"/>
      <c r="M423" s="45"/>
      <c r="N423" s="45"/>
      <c r="O423" s="45"/>
      <c r="P423" s="45"/>
      <c r="Q423" s="46"/>
      <c r="R423" s="46"/>
      <c r="T423" s="45"/>
      <c r="U423" s="45"/>
      <c r="V423" s="45"/>
      <c r="W423" s="47"/>
      <c r="X423" s="45"/>
      <c r="AN423" s="4" t="e">
        <f>VLOOKUP(I423,Sheet1!A:D,4,)</f>
        <v>#N/A</v>
      </c>
    </row>
    <row r="424" spans="11:42" hidden="1" x14ac:dyDescent="0.25">
      <c r="K424" s="45"/>
      <c r="M424" s="45"/>
      <c r="N424" s="45"/>
      <c r="O424" s="45"/>
      <c r="P424" s="45"/>
      <c r="Q424" s="46"/>
      <c r="R424" s="46"/>
      <c r="T424" s="45"/>
      <c r="U424" s="45"/>
      <c r="V424" s="45"/>
      <c r="W424" s="47"/>
      <c r="X424" s="45"/>
      <c r="AN424" s="4" t="e">
        <f>VLOOKUP(I424,Sheet1!A:D,4,)</f>
        <v>#N/A</v>
      </c>
    </row>
    <row r="425" spans="11:42" hidden="1" x14ac:dyDescent="0.25">
      <c r="K425" s="45"/>
      <c r="M425" s="45"/>
      <c r="N425" s="45"/>
      <c r="O425" s="45"/>
      <c r="P425" s="45"/>
      <c r="Q425" s="46"/>
      <c r="R425" s="46"/>
      <c r="T425" s="45"/>
      <c r="U425" s="45"/>
      <c r="V425" s="45"/>
      <c r="W425" s="47"/>
      <c r="X425" s="45"/>
      <c r="AN425" s="4" t="e">
        <f>VLOOKUP(I425,Sheet1!A:D,4,)</f>
        <v>#N/A</v>
      </c>
    </row>
    <row r="426" spans="11:42" hidden="1" x14ac:dyDescent="0.25">
      <c r="K426" s="45"/>
      <c r="M426" s="45"/>
      <c r="N426" s="45"/>
      <c r="O426" s="45"/>
      <c r="P426" s="45"/>
      <c r="Q426" s="46"/>
      <c r="R426" s="46"/>
      <c r="T426" s="45"/>
      <c r="U426" s="45"/>
      <c r="V426" s="45"/>
      <c r="W426" s="47"/>
      <c r="X426" s="45"/>
      <c r="AN426" s="4" t="e">
        <f>VLOOKUP(I426,Sheet1!A:D,4,)</f>
        <v>#N/A</v>
      </c>
    </row>
    <row r="427" spans="11:42" hidden="1" x14ac:dyDescent="0.25">
      <c r="K427" s="45"/>
      <c r="M427" s="45"/>
      <c r="N427" s="45"/>
      <c r="O427" s="45"/>
      <c r="P427" s="45"/>
      <c r="Q427" s="46"/>
      <c r="R427" s="46"/>
      <c r="T427" s="45"/>
      <c r="U427" s="45"/>
      <c r="V427" s="45"/>
      <c r="W427" s="47"/>
      <c r="X427" s="45"/>
      <c r="AN427" s="4" t="e">
        <f>VLOOKUP(I427,Sheet1!A:D,4,)</f>
        <v>#N/A</v>
      </c>
    </row>
    <row r="428" spans="11:42" hidden="1" x14ac:dyDescent="0.25">
      <c r="K428" s="45"/>
      <c r="M428" s="45"/>
      <c r="N428" s="45"/>
      <c r="O428" s="45"/>
      <c r="P428" s="45"/>
      <c r="Q428" s="46"/>
      <c r="R428" s="46"/>
      <c r="T428" s="45"/>
      <c r="U428" s="45"/>
      <c r="V428" s="45"/>
      <c r="W428" s="47"/>
      <c r="X428" s="45"/>
      <c r="AN428" s="4" t="e">
        <f>VLOOKUP(I428,Sheet1!A:D,4,)</f>
        <v>#N/A</v>
      </c>
    </row>
    <row r="429" spans="11:42" hidden="1" x14ac:dyDescent="0.25">
      <c r="K429" s="45"/>
      <c r="M429" s="45"/>
      <c r="N429" s="45"/>
      <c r="O429" s="45"/>
      <c r="P429" s="45"/>
      <c r="Q429" s="46"/>
      <c r="R429" s="46"/>
      <c r="T429" s="45"/>
      <c r="U429" s="45"/>
      <c r="V429" s="45"/>
      <c r="W429" s="47"/>
      <c r="X429" s="45"/>
      <c r="AN429" s="4" t="e">
        <f>VLOOKUP(I429,Sheet1!A:D,4,)</f>
        <v>#N/A</v>
      </c>
    </row>
    <row r="430" spans="11:42" hidden="1" x14ac:dyDescent="0.25">
      <c r="K430" s="45"/>
      <c r="M430" s="45"/>
      <c r="N430" s="45"/>
      <c r="O430" s="45"/>
      <c r="P430" s="45"/>
      <c r="Q430" s="46"/>
      <c r="R430" s="46"/>
      <c r="T430" s="45"/>
      <c r="U430" s="45"/>
      <c r="V430" s="45"/>
      <c r="W430" s="47"/>
      <c r="X430" s="45"/>
      <c r="AN430" s="4" t="e">
        <f>VLOOKUP(I430,Sheet1!A:D,4,)</f>
        <v>#N/A</v>
      </c>
    </row>
    <row r="431" spans="11:42" hidden="1" x14ac:dyDescent="0.25">
      <c r="K431" s="45"/>
      <c r="M431" s="45"/>
      <c r="N431" s="45"/>
      <c r="O431" s="45"/>
      <c r="P431" s="45"/>
      <c r="Q431" s="46"/>
      <c r="R431" s="46"/>
      <c r="T431" s="45"/>
      <c r="U431" s="45"/>
      <c r="V431" s="45"/>
      <c r="W431" s="47"/>
      <c r="X431" s="45"/>
      <c r="AN431" s="4" t="e">
        <f>VLOOKUP(I431,Sheet1!A:D,4,)</f>
        <v>#N/A</v>
      </c>
    </row>
    <row r="432" spans="11:42" hidden="1" x14ac:dyDescent="0.25">
      <c r="K432" s="45"/>
      <c r="M432" s="45"/>
      <c r="N432" s="45"/>
      <c r="O432" s="45"/>
      <c r="P432" s="45"/>
      <c r="Q432" s="46"/>
      <c r="R432" s="46"/>
      <c r="T432" s="45"/>
      <c r="U432" s="45"/>
      <c r="V432" s="45"/>
      <c r="W432" s="47"/>
      <c r="X432" s="45"/>
      <c r="AN432" s="4" t="e">
        <f>VLOOKUP(I432,Sheet1!A:D,4,)</f>
        <v>#N/A</v>
      </c>
    </row>
    <row r="433" spans="11:40" hidden="1" x14ac:dyDescent="0.25">
      <c r="K433" s="45"/>
      <c r="M433" s="45"/>
      <c r="N433" s="45"/>
      <c r="O433" s="45"/>
      <c r="P433" s="45"/>
      <c r="Q433" s="46"/>
      <c r="R433" s="46"/>
      <c r="T433" s="45"/>
      <c r="U433" s="45"/>
      <c r="V433" s="45"/>
      <c r="W433" s="47"/>
      <c r="X433" s="45"/>
      <c r="AN433" s="4" t="e">
        <f>VLOOKUP(I433,Sheet1!A:D,4,)</f>
        <v>#N/A</v>
      </c>
    </row>
    <row r="434" spans="11:40" hidden="1" x14ac:dyDescent="0.25">
      <c r="K434" s="45"/>
      <c r="M434" s="45"/>
      <c r="N434" s="45"/>
      <c r="O434" s="45"/>
      <c r="P434" s="45"/>
      <c r="Q434" s="46"/>
      <c r="R434" s="46"/>
      <c r="T434" s="45"/>
      <c r="U434" s="45"/>
      <c r="V434" s="45"/>
      <c r="W434" s="47"/>
      <c r="X434" s="45"/>
      <c r="AN434" s="4" t="e">
        <f>VLOOKUP(I434,Sheet1!A:D,4,)</f>
        <v>#N/A</v>
      </c>
    </row>
    <row r="435" spans="11:40" hidden="1" x14ac:dyDescent="0.25">
      <c r="K435" s="45"/>
      <c r="M435" s="45"/>
      <c r="N435" s="45"/>
      <c r="O435" s="45"/>
      <c r="P435" s="45"/>
      <c r="Q435" s="46"/>
      <c r="R435" s="46"/>
      <c r="T435" s="45"/>
      <c r="U435" s="45"/>
      <c r="V435" s="45"/>
      <c r="W435" s="47"/>
      <c r="X435" s="45"/>
      <c r="AN435" s="4" t="e">
        <f>VLOOKUP(I435,Sheet1!A:D,4,)</f>
        <v>#N/A</v>
      </c>
    </row>
    <row r="436" spans="11:40" hidden="1" x14ac:dyDescent="0.25">
      <c r="K436" s="45"/>
      <c r="M436" s="45"/>
      <c r="N436" s="45"/>
      <c r="O436" s="45"/>
      <c r="P436" s="45"/>
      <c r="Q436" s="46"/>
      <c r="R436" s="46"/>
      <c r="T436" s="45"/>
      <c r="U436" s="45"/>
      <c r="V436" s="45"/>
      <c r="W436" s="47"/>
      <c r="X436" s="45"/>
      <c r="AN436" s="4" t="e">
        <f>VLOOKUP(I436,Sheet1!A:D,4,)</f>
        <v>#N/A</v>
      </c>
    </row>
    <row r="437" spans="11:40" hidden="1" x14ac:dyDescent="0.25">
      <c r="K437" s="45"/>
      <c r="M437" s="45"/>
      <c r="N437" s="45"/>
      <c r="O437" s="45"/>
      <c r="P437" s="45"/>
      <c r="Q437" s="46"/>
      <c r="R437" s="46"/>
      <c r="T437" s="45"/>
      <c r="U437" s="45"/>
      <c r="V437" s="45"/>
      <c r="W437" s="47"/>
      <c r="X437" s="45"/>
      <c r="AN437" s="4" t="e">
        <f>VLOOKUP(I437,Sheet1!A:D,4,)</f>
        <v>#N/A</v>
      </c>
    </row>
    <row r="438" spans="11:40" hidden="1" x14ac:dyDescent="0.25">
      <c r="K438" s="45"/>
      <c r="M438" s="45"/>
      <c r="N438" s="45"/>
      <c r="O438" s="45"/>
      <c r="P438" s="45"/>
      <c r="Q438" s="46"/>
      <c r="R438" s="46"/>
      <c r="T438" s="45"/>
      <c r="U438" s="45"/>
      <c r="V438" s="45"/>
      <c r="W438" s="47"/>
      <c r="X438" s="45"/>
      <c r="AN438" s="4" t="e">
        <f>VLOOKUP(I438,Sheet1!A:D,4,)</f>
        <v>#N/A</v>
      </c>
    </row>
    <row r="439" spans="11:40" hidden="1" x14ac:dyDescent="0.25">
      <c r="K439" s="45"/>
      <c r="M439" s="45"/>
      <c r="N439" s="45"/>
      <c r="O439" s="45"/>
      <c r="P439" s="45"/>
      <c r="Q439" s="46"/>
      <c r="R439" s="46"/>
      <c r="T439" s="45"/>
      <c r="U439" s="45"/>
      <c r="V439" s="45"/>
      <c r="W439" s="47"/>
      <c r="X439" s="45"/>
      <c r="AN439" s="4" t="e">
        <f>VLOOKUP(I439,Sheet1!A:D,4,)</f>
        <v>#N/A</v>
      </c>
    </row>
    <row r="440" spans="11:40" hidden="1" x14ac:dyDescent="0.25">
      <c r="K440" s="45"/>
      <c r="M440" s="45"/>
      <c r="N440" s="45"/>
      <c r="O440" s="45"/>
      <c r="P440" s="45"/>
      <c r="Q440" s="46"/>
      <c r="R440" s="46"/>
      <c r="T440" s="45"/>
      <c r="U440" s="45"/>
      <c r="V440" s="45"/>
      <c r="W440" s="47"/>
      <c r="X440" s="45"/>
      <c r="AN440" s="4" t="e">
        <f>VLOOKUP(I440,Sheet1!A:D,4,)</f>
        <v>#N/A</v>
      </c>
    </row>
    <row r="441" spans="11:40" hidden="1" x14ac:dyDescent="0.25">
      <c r="K441" s="45"/>
      <c r="M441" s="45"/>
      <c r="N441" s="45"/>
      <c r="O441" s="45"/>
      <c r="P441" s="45"/>
      <c r="Q441" s="46"/>
      <c r="R441" s="46"/>
      <c r="T441" s="45"/>
      <c r="U441" s="45"/>
      <c r="V441" s="45"/>
      <c r="W441" s="47"/>
      <c r="X441" s="45"/>
      <c r="AN441" s="4" t="e">
        <f>VLOOKUP(I441,Sheet1!A:D,4,)</f>
        <v>#N/A</v>
      </c>
    </row>
    <row r="442" spans="11:40" hidden="1" x14ac:dyDescent="0.25">
      <c r="K442" s="45"/>
      <c r="M442" s="45"/>
      <c r="N442" s="45"/>
      <c r="O442" s="45"/>
      <c r="P442" s="45"/>
      <c r="Q442" s="46"/>
      <c r="R442" s="46"/>
      <c r="T442" s="45"/>
      <c r="U442" s="45"/>
      <c r="V442" s="45"/>
      <c r="W442" s="47"/>
      <c r="X442" s="45"/>
      <c r="AN442" s="4" t="e">
        <f>VLOOKUP(I442,Sheet1!A:D,4,)</f>
        <v>#N/A</v>
      </c>
    </row>
    <row r="443" spans="11:40" hidden="1" x14ac:dyDescent="0.25">
      <c r="K443" s="45"/>
      <c r="M443" s="45"/>
      <c r="N443" s="45"/>
      <c r="O443" s="45"/>
      <c r="P443" s="45"/>
      <c r="Q443" s="46"/>
      <c r="R443" s="46"/>
      <c r="T443" s="45"/>
      <c r="U443" s="45"/>
      <c r="V443" s="45"/>
      <c r="W443" s="47"/>
      <c r="X443" s="45"/>
      <c r="AN443" s="4" t="e">
        <f>VLOOKUP(I443,Sheet1!A:D,4,)</f>
        <v>#N/A</v>
      </c>
    </row>
    <row r="444" spans="11:40" hidden="1" x14ac:dyDescent="0.25">
      <c r="K444" s="45"/>
      <c r="M444" s="45"/>
      <c r="N444" s="45"/>
      <c r="O444" s="45"/>
      <c r="P444" s="45"/>
      <c r="Q444" s="46"/>
      <c r="R444" s="46"/>
      <c r="T444" s="45"/>
      <c r="U444" s="45"/>
      <c r="V444" s="45"/>
      <c r="W444" s="47"/>
      <c r="X444" s="45"/>
      <c r="AN444" s="4" t="e">
        <f>VLOOKUP(I444,Sheet1!A:D,4,)</f>
        <v>#N/A</v>
      </c>
    </row>
    <row r="445" spans="11:40" hidden="1" x14ac:dyDescent="0.25">
      <c r="K445" s="45"/>
      <c r="M445" s="45"/>
      <c r="N445" s="45"/>
      <c r="O445" s="45"/>
      <c r="P445" s="45"/>
      <c r="Q445" s="46"/>
      <c r="R445" s="46"/>
      <c r="T445" s="45"/>
      <c r="U445" s="45"/>
      <c r="V445" s="45"/>
      <c r="W445" s="47"/>
      <c r="X445" s="45"/>
      <c r="AN445" s="4" t="e">
        <f>VLOOKUP(I445,Sheet1!A:D,4,)</f>
        <v>#N/A</v>
      </c>
    </row>
    <row r="446" spans="11:40" hidden="1" x14ac:dyDescent="0.25">
      <c r="K446" s="45"/>
      <c r="M446" s="45"/>
      <c r="N446" s="45"/>
      <c r="O446" s="45"/>
      <c r="P446" s="45"/>
      <c r="Q446" s="46"/>
      <c r="R446" s="46"/>
      <c r="T446" s="45"/>
      <c r="U446" s="45"/>
      <c r="V446" s="45"/>
      <c r="W446" s="47"/>
      <c r="X446" s="45"/>
      <c r="AN446" s="4" t="e">
        <f>VLOOKUP(I446,Sheet1!A:D,4,)</f>
        <v>#N/A</v>
      </c>
    </row>
    <row r="447" spans="11:40" hidden="1" x14ac:dyDescent="0.25">
      <c r="K447" s="45"/>
      <c r="M447" s="45"/>
      <c r="N447" s="45"/>
      <c r="O447" s="45"/>
      <c r="P447" s="45"/>
      <c r="Q447" s="46"/>
      <c r="R447" s="46"/>
      <c r="T447" s="45"/>
      <c r="U447" s="45"/>
      <c r="V447" s="45"/>
      <c r="W447" s="47"/>
      <c r="X447" s="45"/>
      <c r="AN447" s="4" t="e">
        <f>VLOOKUP(I447,Sheet1!A:D,4,)</f>
        <v>#N/A</v>
      </c>
    </row>
    <row r="448" spans="11:40" hidden="1" x14ac:dyDescent="0.25">
      <c r="K448" s="45"/>
      <c r="M448" s="45"/>
      <c r="N448" s="45"/>
      <c r="O448" s="45"/>
      <c r="P448" s="45"/>
      <c r="Q448" s="46"/>
      <c r="R448" s="46"/>
      <c r="T448" s="45"/>
      <c r="U448" s="45"/>
      <c r="V448" s="45"/>
      <c r="W448" s="47"/>
      <c r="X448" s="45"/>
      <c r="AN448" s="4" t="e">
        <f>VLOOKUP(I448,Sheet1!A:D,4,)</f>
        <v>#N/A</v>
      </c>
    </row>
    <row r="449" spans="11:40" hidden="1" x14ac:dyDescent="0.25">
      <c r="K449" s="45"/>
      <c r="M449" s="45"/>
      <c r="N449" s="45"/>
      <c r="O449" s="45"/>
      <c r="P449" s="45"/>
      <c r="Q449" s="46"/>
      <c r="R449" s="46"/>
      <c r="T449" s="45"/>
      <c r="U449" s="45"/>
      <c r="V449" s="45"/>
      <c r="W449" s="47"/>
      <c r="X449" s="45"/>
      <c r="AN449" s="4" t="e">
        <f>VLOOKUP(I449,Sheet1!A:D,4,)</f>
        <v>#N/A</v>
      </c>
    </row>
    <row r="450" spans="11:40" hidden="1" x14ac:dyDescent="0.25">
      <c r="K450" s="45"/>
      <c r="M450" s="45"/>
      <c r="N450" s="45"/>
      <c r="O450" s="45"/>
      <c r="P450" s="45"/>
      <c r="Q450" s="46"/>
      <c r="R450" s="46"/>
      <c r="T450" s="45"/>
      <c r="U450" s="45"/>
      <c r="V450" s="45"/>
      <c r="W450" s="47"/>
      <c r="X450" s="45"/>
      <c r="AN450" s="4" t="e">
        <f>VLOOKUP(I450,Sheet1!A:D,4,)</f>
        <v>#N/A</v>
      </c>
    </row>
    <row r="451" spans="11:40" hidden="1" x14ac:dyDescent="0.25">
      <c r="K451" s="45"/>
      <c r="M451" s="45"/>
      <c r="N451" s="45"/>
      <c r="O451" s="45"/>
      <c r="P451" s="45"/>
      <c r="Q451" s="46"/>
      <c r="R451" s="46"/>
      <c r="T451" s="45"/>
      <c r="U451" s="45"/>
      <c r="V451" s="45"/>
      <c r="W451" s="47"/>
      <c r="X451" s="45"/>
      <c r="AN451" s="4" t="e">
        <f>VLOOKUP(I451,Sheet1!A:D,4,)</f>
        <v>#N/A</v>
      </c>
    </row>
    <row r="452" spans="11:40" hidden="1" x14ac:dyDescent="0.25">
      <c r="K452" s="45"/>
      <c r="M452" s="45"/>
      <c r="N452" s="45"/>
      <c r="O452" s="45"/>
      <c r="P452" s="45"/>
      <c r="Q452" s="46"/>
      <c r="R452" s="46"/>
      <c r="T452" s="45"/>
      <c r="U452" s="45"/>
      <c r="V452" s="45"/>
      <c r="W452" s="47"/>
      <c r="X452" s="45"/>
      <c r="AN452" s="4" t="e">
        <f>VLOOKUP(I452,Sheet1!A:D,4,)</f>
        <v>#N/A</v>
      </c>
    </row>
    <row r="453" spans="11:40" hidden="1" x14ac:dyDescent="0.25">
      <c r="K453" s="45"/>
      <c r="M453" s="45"/>
      <c r="N453" s="45"/>
      <c r="O453" s="45"/>
      <c r="P453" s="45"/>
      <c r="Q453" s="46"/>
      <c r="R453" s="46"/>
      <c r="T453" s="45"/>
      <c r="U453" s="45"/>
      <c r="V453" s="45"/>
      <c r="W453" s="47"/>
      <c r="X453" s="45"/>
      <c r="AN453" s="4" t="e">
        <f>VLOOKUP(I453,Sheet1!A:D,4,)</f>
        <v>#N/A</v>
      </c>
    </row>
    <row r="454" spans="11:40" hidden="1" x14ac:dyDescent="0.25">
      <c r="K454" s="45"/>
      <c r="M454" s="45"/>
      <c r="N454" s="45"/>
      <c r="O454" s="45"/>
      <c r="P454" s="45"/>
      <c r="Q454" s="46"/>
      <c r="R454" s="46"/>
      <c r="T454" s="45"/>
      <c r="U454" s="45"/>
      <c r="V454" s="45"/>
      <c r="W454" s="47"/>
      <c r="X454" s="45"/>
      <c r="AN454" s="4" t="e">
        <f>VLOOKUP(I454,Sheet1!A:D,4,)</f>
        <v>#N/A</v>
      </c>
    </row>
    <row r="455" spans="11:40" hidden="1" x14ac:dyDescent="0.25">
      <c r="K455" s="45"/>
      <c r="M455" s="45"/>
      <c r="N455" s="45"/>
      <c r="O455" s="45"/>
      <c r="P455" s="45"/>
      <c r="Q455" s="46"/>
      <c r="R455" s="46"/>
      <c r="T455" s="45"/>
      <c r="U455" s="45"/>
      <c r="V455" s="45"/>
      <c r="W455" s="47"/>
      <c r="X455" s="45"/>
      <c r="AN455" s="4" t="e">
        <f>VLOOKUP(I455,Sheet1!A:D,4,)</f>
        <v>#N/A</v>
      </c>
    </row>
    <row r="456" spans="11:40" hidden="1" x14ac:dyDescent="0.25">
      <c r="K456" s="45"/>
      <c r="M456" s="45"/>
      <c r="N456" s="45"/>
      <c r="O456" s="45"/>
      <c r="P456" s="45"/>
      <c r="Q456" s="46"/>
      <c r="R456" s="46"/>
      <c r="T456" s="45"/>
      <c r="U456" s="45"/>
      <c r="V456" s="45"/>
      <c r="W456" s="47"/>
      <c r="X456" s="45"/>
      <c r="AN456" s="4" t="e">
        <f>VLOOKUP(I456,Sheet1!A:D,4,)</f>
        <v>#N/A</v>
      </c>
    </row>
    <row r="457" spans="11:40" hidden="1" x14ac:dyDescent="0.25">
      <c r="K457" s="45"/>
      <c r="M457" s="45"/>
      <c r="N457" s="45"/>
      <c r="O457" s="45"/>
      <c r="P457" s="45"/>
      <c r="Q457" s="46"/>
      <c r="R457" s="46"/>
      <c r="T457" s="45"/>
      <c r="U457" s="45"/>
      <c r="V457" s="45"/>
      <c r="W457" s="47"/>
      <c r="X457" s="45"/>
      <c r="AN457" s="4" t="e">
        <f>VLOOKUP(I457,Sheet1!A:D,4,)</f>
        <v>#N/A</v>
      </c>
    </row>
    <row r="458" spans="11:40" hidden="1" x14ac:dyDescent="0.25">
      <c r="K458" s="45"/>
      <c r="M458" s="45"/>
      <c r="N458" s="45"/>
      <c r="O458" s="45"/>
      <c r="P458" s="45"/>
      <c r="Q458" s="46"/>
      <c r="R458" s="46"/>
      <c r="T458" s="45"/>
      <c r="U458" s="45"/>
      <c r="V458" s="45"/>
      <c r="W458" s="47"/>
      <c r="X458" s="45"/>
      <c r="AN458" s="4" t="e">
        <f>VLOOKUP(I458,Sheet1!A:D,4,)</f>
        <v>#N/A</v>
      </c>
    </row>
    <row r="459" spans="11:40" hidden="1" x14ac:dyDescent="0.25">
      <c r="K459" s="45"/>
      <c r="M459" s="45"/>
      <c r="N459" s="45"/>
      <c r="O459" s="45"/>
      <c r="P459" s="45"/>
      <c r="Q459" s="46"/>
      <c r="R459" s="46"/>
      <c r="T459" s="45"/>
      <c r="U459" s="45"/>
      <c r="V459" s="45"/>
      <c r="W459" s="47"/>
      <c r="X459" s="45"/>
      <c r="AN459" s="4" t="e">
        <f>VLOOKUP(I459,Sheet1!A:D,4,)</f>
        <v>#N/A</v>
      </c>
    </row>
    <row r="460" spans="11:40" hidden="1" x14ac:dyDescent="0.25">
      <c r="K460" s="45"/>
      <c r="M460" s="45"/>
      <c r="N460" s="45"/>
      <c r="O460" s="45"/>
      <c r="P460" s="45"/>
      <c r="Q460" s="46"/>
      <c r="R460" s="46"/>
      <c r="T460" s="45"/>
      <c r="U460" s="45"/>
      <c r="V460" s="45"/>
      <c r="W460" s="47"/>
      <c r="X460" s="45"/>
      <c r="AN460" s="4" t="e">
        <f>VLOOKUP(I460,Sheet1!A:D,4,)</f>
        <v>#N/A</v>
      </c>
    </row>
    <row r="461" spans="11:40" hidden="1" x14ac:dyDescent="0.25">
      <c r="K461" s="45"/>
      <c r="M461" s="45"/>
      <c r="N461" s="45"/>
      <c r="O461" s="45"/>
      <c r="P461" s="45"/>
      <c r="Q461" s="46"/>
      <c r="R461" s="46"/>
      <c r="T461" s="45"/>
      <c r="U461" s="45"/>
      <c r="V461" s="45"/>
      <c r="W461" s="47"/>
      <c r="X461" s="45"/>
      <c r="AN461" s="4" t="e">
        <f>VLOOKUP(I461,Sheet1!A:D,4,)</f>
        <v>#N/A</v>
      </c>
    </row>
    <row r="462" spans="11:40" hidden="1" x14ac:dyDescent="0.25">
      <c r="K462" s="45"/>
      <c r="M462" s="45"/>
      <c r="N462" s="45"/>
      <c r="O462" s="45"/>
      <c r="P462" s="45"/>
      <c r="Q462" s="46"/>
      <c r="R462" s="46"/>
      <c r="T462" s="45"/>
      <c r="U462" s="45"/>
      <c r="V462" s="45"/>
      <c r="W462" s="47"/>
      <c r="X462" s="45"/>
      <c r="AN462" s="4" t="e">
        <f>VLOOKUP(I462,Sheet1!A:D,4,)</f>
        <v>#N/A</v>
      </c>
    </row>
    <row r="463" spans="11:40" hidden="1" x14ac:dyDescent="0.25">
      <c r="K463" s="45"/>
      <c r="M463" s="45"/>
      <c r="N463" s="45"/>
      <c r="O463" s="45"/>
      <c r="P463" s="45"/>
      <c r="Q463" s="46"/>
      <c r="R463" s="46"/>
      <c r="T463" s="45"/>
      <c r="U463" s="45"/>
      <c r="V463" s="45"/>
      <c r="W463" s="47"/>
      <c r="X463" s="45"/>
      <c r="AN463" s="4" t="e">
        <f>VLOOKUP(I463,Sheet1!A:D,4,)</f>
        <v>#N/A</v>
      </c>
    </row>
    <row r="464" spans="11:40" hidden="1" x14ac:dyDescent="0.25">
      <c r="K464" s="45"/>
      <c r="M464" s="45"/>
      <c r="N464" s="45"/>
      <c r="O464" s="45"/>
      <c r="P464" s="45"/>
      <c r="Q464" s="46"/>
      <c r="R464" s="46"/>
      <c r="T464" s="45"/>
      <c r="U464" s="45"/>
      <c r="V464" s="45"/>
      <c r="W464" s="47"/>
      <c r="X464" s="45"/>
      <c r="AN464" s="4" t="e">
        <f>VLOOKUP(I464,Sheet1!A:D,4,)</f>
        <v>#N/A</v>
      </c>
    </row>
    <row r="465" spans="11:40" hidden="1" x14ac:dyDescent="0.25">
      <c r="K465" s="45"/>
      <c r="M465" s="45"/>
      <c r="N465" s="45"/>
      <c r="O465" s="45"/>
      <c r="P465" s="45"/>
      <c r="Q465" s="46"/>
      <c r="R465" s="46"/>
      <c r="T465" s="45"/>
      <c r="U465" s="45"/>
      <c r="V465" s="45"/>
      <c r="W465" s="47"/>
      <c r="X465" s="45"/>
      <c r="AN465" s="4" t="e">
        <f>VLOOKUP(I465,Sheet1!A:D,4,)</f>
        <v>#N/A</v>
      </c>
    </row>
    <row r="466" spans="11:40" hidden="1" x14ac:dyDescent="0.25">
      <c r="K466" s="45"/>
      <c r="M466" s="45"/>
      <c r="N466" s="45"/>
      <c r="O466" s="45"/>
      <c r="P466" s="45"/>
      <c r="Q466" s="46"/>
      <c r="R466" s="46"/>
      <c r="T466" s="45"/>
      <c r="U466" s="45"/>
      <c r="V466" s="45"/>
      <c r="W466" s="47"/>
      <c r="X466" s="45"/>
      <c r="AN466" s="4" t="e">
        <f>VLOOKUP(I466,Sheet1!A:D,4,)</f>
        <v>#N/A</v>
      </c>
    </row>
    <row r="467" spans="11:40" hidden="1" x14ac:dyDescent="0.25">
      <c r="K467" s="45"/>
      <c r="M467" s="45"/>
      <c r="N467" s="45"/>
      <c r="O467" s="45"/>
      <c r="P467" s="45"/>
      <c r="Q467" s="46"/>
      <c r="R467" s="46"/>
      <c r="T467" s="45"/>
      <c r="U467" s="45"/>
      <c r="V467" s="45"/>
      <c r="W467" s="47"/>
      <c r="X467" s="45"/>
      <c r="AN467" s="4" t="e">
        <f>VLOOKUP(I467,Sheet1!A:D,4,)</f>
        <v>#N/A</v>
      </c>
    </row>
    <row r="468" spans="11:40" hidden="1" x14ac:dyDescent="0.25">
      <c r="K468" s="45"/>
      <c r="M468" s="45"/>
      <c r="N468" s="45"/>
      <c r="O468" s="45"/>
      <c r="P468" s="45"/>
      <c r="Q468" s="46"/>
      <c r="R468" s="46"/>
      <c r="T468" s="45"/>
      <c r="U468" s="45"/>
      <c r="V468" s="45"/>
      <c r="W468" s="47"/>
      <c r="X468" s="45"/>
      <c r="AN468" s="4" t="e">
        <f>VLOOKUP(I468,Sheet1!A:D,4,)</f>
        <v>#N/A</v>
      </c>
    </row>
    <row r="469" spans="11:40" hidden="1" x14ac:dyDescent="0.25">
      <c r="K469" s="45"/>
      <c r="M469" s="45"/>
      <c r="N469" s="45"/>
      <c r="O469" s="45"/>
      <c r="P469" s="45"/>
      <c r="Q469" s="46"/>
      <c r="R469" s="46"/>
      <c r="T469" s="45"/>
      <c r="U469" s="45"/>
      <c r="V469" s="45"/>
      <c r="W469" s="47"/>
      <c r="X469" s="45"/>
      <c r="AN469" s="4" t="e">
        <f>VLOOKUP(I469,Sheet1!A:D,4,)</f>
        <v>#N/A</v>
      </c>
    </row>
    <row r="470" spans="11:40" hidden="1" x14ac:dyDescent="0.25">
      <c r="K470" s="45"/>
      <c r="M470" s="45"/>
      <c r="N470" s="45"/>
      <c r="O470" s="45"/>
      <c r="P470" s="45"/>
      <c r="Q470" s="46"/>
      <c r="R470" s="46"/>
      <c r="T470" s="45"/>
      <c r="U470" s="45"/>
      <c r="V470" s="45"/>
      <c r="W470" s="47"/>
      <c r="X470" s="45"/>
      <c r="AN470" s="4" t="e">
        <f>VLOOKUP(I470,Sheet1!A:D,4,)</f>
        <v>#N/A</v>
      </c>
    </row>
    <row r="471" spans="11:40" hidden="1" x14ac:dyDescent="0.25">
      <c r="K471" s="45"/>
      <c r="M471" s="45"/>
      <c r="N471" s="45"/>
      <c r="O471" s="45"/>
      <c r="P471" s="45"/>
      <c r="Q471" s="46"/>
      <c r="R471" s="46"/>
      <c r="T471" s="45"/>
      <c r="U471" s="45"/>
      <c r="V471" s="45"/>
      <c r="W471" s="47"/>
      <c r="X471" s="45"/>
      <c r="AN471" s="4" t="e">
        <f>VLOOKUP(I471,Sheet1!A:D,4,)</f>
        <v>#N/A</v>
      </c>
    </row>
    <row r="472" spans="11:40" hidden="1" x14ac:dyDescent="0.25">
      <c r="K472" s="45"/>
      <c r="M472" s="45"/>
      <c r="N472" s="45"/>
      <c r="O472" s="45"/>
      <c r="P472" s="45"/>
      <c r="Q472" s="46"/>
      <c r="R472" s="46"/>
      <c r="T472" s="45"/>
      <c r="U472" s="45"/>
      <c r="V472" s="45"/>
      <c r="W472" s="47"/>
      <c r="X472" s="45"/>
      <c r="AN472" s="4" t="e">
        <f>VLOOKUP(I472,Sheet1!A:D,4,)</f>
        <v>#N/A</v>
      </c>
    </row>
    <row r="473" spans="11:40" hidden="1" x14ac:dyDescent="0.25">
      <c r="K473" s="45"/>
      <c r="M473" s="45"/>
      <c r="N473" s="45"/>
      <c r="O473" s="45"/>
      <c r="P473" s="45"/>
      <c r="Q473" s="46"/>
      <c r="R473" s="46"/>
      <c r="T473" s="45"/>
      <c r="U473" s="45"/>
      <c r="V473" s="45"/>
      <c r="W473" s="47"/>
      <c r="X473" s="45"/>
      <c r="AN473" s="4" t="e">
        <f>VLOOKUP(I473,Sheet1!A:D,4,)</f>
        <v>#N/A</v>
      </c>
    </row>
    <row r="474" spans="11:40" hidden="1" x14ac:dyDescent="0.25">
      <c r="K474" s="45"/>
      <c r="M474" s="45"/>
      <c r="N474" s="45"/>
      <c r="O474" s="45"/>
      <c r="P474" s="45"/>
      <c r="Q474" s="46"/>
      <c r="R474" s="46"/>
      <c r="T474" s="45"/>
      <c r="U474" s="45"/>
      <c r="V474" s="45"/>
      <c r="W474" s="47"/>
      <c r="X474" s="45"/>
      <c r="AN474" s="4" t="e">
        <f>VLOOKUP(I474,Sheet1!A:D,4,)</f>
        <v>#N/A</v>
      </c>
    </row>
    <row r="475" spans="11:40" hidden="1" x14ac:dyDescent="0.25">
      <c r="K475" s="45"/>
      <c r="M475" s="45"/>
      <c r="N475" s="45"/>
      <c r="O475" s="45"/>
      <c r="P475" s="45"/>
      <c r="Q475" s="46"/>
      <c r="R475" s="46"/>
      <c r="T475" s="45"/>
      <c r="U475" s="45"/>
      <c r="V475" s="45"/>
      <c r="W475" s="47"/>
      <c r="X475" s="45"/>
      <c r="AN475" s="4" t="e">
        <f>VLOOKUP(I475,Sheet1!A:D,4,)</f>
        <v>#N/A</v>
      </c>
    </row>
    <row r="476" spans="11:40" hidden="1" x14ac:dyDescent="0.25">
      <c r="K476" s="45"/>
      <c r="M476" s="45"/>
      <c r="N476" s="45"/>
      <c r="O476" s="45"/>
      <c r="P476" s="45"/>
      <c r="Q476" s="46"/>
      <c r="R476" s="46"/>
      <c r="T476" s="45"/>
      <c r="U476" s="45"/>
      <c r="V476" s="45"/>
      <c r="W476" s="47"/>
      <c r="X476" s="45"/>
      <c r="AN476" s="4" t="e">
        <f>VLOOKUP(I476,Sheet1!A:D,4,)</f>
        <v>#N/A</v>
      </c>
    </row>
    <row r="477" spans="11:40" hidden="1" x14ac:dyDescent="0.25">
      <c r="K477" s="45"/>
      <c r="M477" s="45"/>
      <c r="N477" s="45"/>
      <c r="O477" s="45"/>
      <c r="P477" s="45"/>
      <c r="Q477" s="46"/>
      <c r="R477" s="46"/>
      <c r="T477" s="45"/>
      <c r="U477" s="45"/>
      <c r="V477" s="45"/>
      <c r="W477" s="47"/>
      <c r="X477" s="45"/>
      <c r="AN477" s="4" t="e">
        <f>VLOOKUP(I477,Sheet1!A:D,4,)</f>
        <v>#N/A</v>
      </c>
    </row>
    <row r="478" spans="11:40" hidden="1" x14ac:dyDescent="0.25">
      <c r="K478" s="45"/>
      <c r="M478" s="45"/>
      <c r="N478" s="45"/>
      <c r="O478" s="45"/>
      <c r="P478" s="45"/>
      <c r="Q478" s="46"/>
      <c r="R478" s="46"/>
      <c r="T478" s="45"/>
      <c r="U478" s="45"/>
      <c r="V478" s="45"/>
      <c r="W478" s="47"/>
      <c r="X478" s="45"/>
      <c r="AN478" s="4" t="e">
        <f>VLOOKUP(I478,Sheet1!A:D,4,)</f>
        <v>#N/A</v>
      </c>
    </row>
    <row r="479" spans="11:40" hidden="1" x14ac:dyDescent="0.25">
      <c r="K479" s="45"/>
      <c r="M479" s="45"/>
      <c r="N479" s="45"/>
      <c r="O479" s="45"/>
      <c r="P479" s="45"/>
      <c r="Q479" s="46"/>
      <c r="R479" s="46"/>
      <c r="T479" s="45"/>
      <c r="U479" s="45"/>
      <c r="V479" s="45"/>
      <c r="W479" s="47"/>
      <c r="X479" s="45"/>
      <c r="AN479" s="4" t="e">
        <f>VLOOKUP(I479,Sheet1!A:D,4,)</f>
        <v>#N/A</v>
      </c>
    </row>
    <row r="480" spans="11:40" hidden="1" x14ac:dyDescent="0.25">
      <c r="K480" s="45"/>
      <c r="M480" s="45"/>
      <c r="N480" s="45"/>
      <c r="O480" s="45"/>
      <c r="P480" s="45"/>
      <c r="Q480" s="46"/>
      <c r="R480" s="46"/>
      <c r="T480" s="45"/>
      <c r="U480" s="45"/>
      <c r="V480" s="45"/>
      <c r="W480" s="47"/>
      <c r="X480" s="45"/>
      <c r="AN480" s="4" t="e">
        <f>VLOOKUP(I480,Sheet1!A:D,4,)</f>
        <v>#N/A</v>
      </c>
    </row>
    <row r="481" spans="11:42" hidden="1" x14ac:dyDescent="0.25">
      <c r="K481" s="45"/>
      <c r="M481" s="45"/>
      <c r="N481" s="45"/>
      <c r="O481" s="45"/>
      <c r="P481" s="45"/>
      <c r="Q481" s="46"/>
      <c r="R481" s="46"/>
      <c r="T481" s="45"/>
      <c r="U481" s="45"/>
      <c r="V481" s="45"/>
      <c r="W481" s="47"/>
      <c r="X481" s="45"/>
      <c r="AN481" s="4" t="e">
        <f>VLOOKUP(I481,Sheet1!A:D,4,)</f>
        <v>#N/A</v>
      </c>
    </row>
    <row r="482" spans="11:42" hidden="1" x14ac:dyDescent="0.25">
      <c r="K482" s="45"/>
      <c r="M482" s="45"/>
      <c r="N482" s="45"/>
      <c r="O482" s="45"/>
      <c r="P482" s="45"/>
      <c r="Q482" s="46"/>
      <c r="R482" s="46"/>
      <c r="T482" s="45"/>
      <c r="U482" s="45"/>
      <c r="V482" s="45"/>
      <c r="W482" s="47"/>
      <c r="X482" s="45"/>
      <c r="AN482" s="4" t="e">
        <f>VLOOKUP(I482,Sheet1!A:D,4,)</f>
        <v>#N/A</v>
      </c>
    </row>
    <row r="483" spans="11:42" hidden="1" x14ac:dyDescent="0.25">
      <c r="K483" s="45"/>
      <c r="M483" s="45"/>
      <c r="N483" s="45"/>
      <c r="O483" s="45"/>
      <c r="P483" s="45"/>
      <c r="Q483" s="46"/>
      <c r="R483" s="46"/>
      <c r="T483" s="45"/>
      <c r="U483" s="45"/>
      <c r="V483" s="45"/>
      <c r="W483" s="47"/>
      <c r="X483" s="45"/>
      <c r="AN483" s="4" t="e">
        <f>VLOOKUP(I483,Sheet1!A:D,4,)</f>
        <v>#N/A</v>
      </c>
    </row>
    <row r="484" spans="11:42" hidden="1" x14ac:dyDescent="0.25">
      <c r="K484" s="45"/>
      <c r="M484" s="45"/>
      <c r="N484" s="45"/>
      <c r="O484" s="45"/>
      <c r="P484" s="45"/>
      <c r="Q484" s="46"/>
      <c r="R484" s="46"/>
      <c r="T484" s="45"/>
      <c r="U484" s="45"/>
      <c r="V484" s="45"/>
      <c r="W484" s="47"/>
      <c r="X484" s="45"/>
      <c r="AN484" s="4" t="e">
        <f>VLOOKUP(I484,Sheet1!A:D,4,)</f>
        <v>#N/A</v>
      </c>
    </row>
    <row r="485" spans="11:42" hidden="1" x14ac:dyDescent="0.25">
      <c r="K485" s="45"/>
      <c r="M485" s="45"/>
      <c r="N485" s="45"/>
      <c r="O485" s="45"/>
      <c r="P485" s="45"/>
      <c r="Q485" s="46"/>
      <c r="R485" s="46"/>
      <c r="T485" s="45"/>
      <c r="U485" s="45"/>
      <c r="V485" s="45"/>
      <c r="W485" s="47"/>
      <c r="X485" s="45"/>
      <c r="AN485" s="4" t="e">
        <f>VLOOKUP(I485,Sheet1!A:D,4,)</f>
        <v>#N/A</v>
      </c>
    </row>
    <row r="486" spans="11:42" hidden="1" x14ac:dyDescent="0.25">
      <c r="K486" s="45"/>
      <c r="M486" s="45"/>
      <c r="N486" s="45"/>
      <c r="O486" s="45"/>
      <c r="P486" s="45"/>
      <c r="Q486" s="46"/>
      <c r="R486" s="46"/>
      <c r="T486" s="45"/>
      <c r="U486" s="45"/>
      <c r="V486" s="45"/>
      <c r="W486" s="47"/>
      <c r="X486" s="45"/>
      <c r="AN486" s="4" t="e">
        <f>VLOOKUP(I486,Sheet1!A:D,4,)</f>
        <v>#N/A</v>
      </c>
    </row>
    <row r="487" spans="11:42" hidden="1" x14ac:dyDescent="0.25">
      <c r="K487" s="45"/>
      <c r="M487" s="45"/>
      <c r="N487" s="45"/>
      <c r="O487" s="45"/>
      <c r="P487" s="45"/>
      <c r="Q487" s="46"/>
      <c r="R487" s="46"/>
      <c r="T487" s="45"/>
      <c r="U487" s="45"/>
      <c r="V487" s="45"/>
      <c r="W487" s="47"/>
      <c r="X487" s="45"/>
      <c r="AN487" s="4" t="e">
        <f>VLOOKUP(I487,Sheet1!A:D,4,)</f>
        <v>#N/A</v>
      </c>
      <c r="AP487" s="36"/>
    </row>
    <row r="488" spans="11:42" hidden="1" x14ac:dyDescent="0.25">
      <c r="K488" s="45"/>
      <c r="M488" s="45"/>
      <c r="N488" s="45"/>
      <c r="O488" s="45"/>
      <c r="P488" s="45"/>
      <c r="Q488" s="46"/>
      <c r="R488" s="46"/>
      <c r="T488" s="45"/>
      <c r="U488" s="45"/>
      <c r="V488" s="45"/>
      <c r="W488" s="47"/>
      <c r="X488" s="45"/>
      <c r="AN488" s="4" t="e">
        <f>VLOOKUP(I488,Sheet1!A:D,4,)</f>
        <v>#N/A</v>
      </c>
      <c r="AP488" s="36"/>
    </row>
    <row r="489" spans="11:42" hidden="1" x14ac:dyDescent="0.25">
      <c r="K489" s="45"/>
      <c r="M489" s="45"/>
      <c r="N489" s="45"/>
      <c r="O489" s="45"/>
      <c r="P489" s="45"/>
      <c r="Q489" s="46"/>
      <c r="R489" s="46"/>
      <c r="T489" s="45"/>
      <c r="U489" s="45"/>
      <c r="V489" s="45"/>
      <c r="W489" s="47"/>
      <c r="X489" s="45"/>
      <c r="AN489" s="4" t="e">
        <f>VLOOKUP(I489,Sheet1!A:D,4,)</f>
        <v>#N/A</v>
      </c>
    </row>
    <row r="490" spans="11:42" hidden="1" x14ac:dyDescent="0.25">
      <c r="K490" s="45"/>
      <c r="M490" s="45"/>
      <c r="N490" s="45"/>
      <c r="O490" s="45"/>
      <c r="P490" s="45"/>
      <c r="Q490" s="46"/>
      <c r="R490" s="46"/>
      <c r="T490" s="45"/>
      <c r="U490" s="45"/>
      <c r="V490" s="45"/>
      <c r="W490" s="47"/>
      <c r="X490" s="45"/>
      <c r="AN490" s="4" t="e">
        <f>VLOOKUP(I490,Sheet1!A:D,4,)</f>
        <v>#N/A</v>
      </c>
    </row>
    <row r="491" spans="11:42" hidden="1" x14ac:dyDescent="0.25">
      <c r="K491" s="45"/>
      <c r="M491" s="45"/>
      <c r="N491" s="45"/>
      <c r="O491" s="45"/>
      <c r="P491" s="45"/>
      <c r="Q491" s="46"/>
      <c r="R491" s="46"/>
      <c r="T491" s="45"/>
      <c r="U491" s="45"/>
      <c r="V491" s="45"/>
      <c r="W491" s="47"/>
      <c r="X491" s="45"/>
      <c r="AN491" s="4" t="e">
        <f>VLOOKUP(I491,Sheet1!A:D,4,)</f>
        <v>#N/A</v>
      </c>
    </row>
    <row r="492" spans="11:42" hidden="1" x14ac:dyDescent="0.25">
      <c r="K492" s="45"/>
      <c r="M492" s="45"/>
      <c r="N492" s="45"/>
      <c r="O492" s="45"/>
      <c r="P492" s="45"/>
      <c r="Q492" s="46"/>
      <c r="R492" s="46"/>
      <c r="T492" s="45"/>
      <c r="U492" s="45"/>
      <c r="V492" s="45"/>
      <c r="W492" s="47"/>
      <c r="X492" s="45"/>
      <c r="AN492" s="4" t="e">
        <f>VLOOKUP(I492,Sheet1!A:D,4,)</f>
        <v>#N/A</v>
      </c>
    </row>
    <row r="493" spans="11:42" hidden="1" x14ac:dyDescent="0.25">
      <c r="K493" s="45"/>
      <c r="M493" s="45"/>
      <c r="N493" s="45"/>
      <c r="O493" s="45"/>
      <c r="P493" s="45"/>
      <c r="Q493" s="46"/>
      <c r="R493" s="46"/>
      <c r="T493" s="45"/>
      <c r="U493" s="45"/>
      <c r="V493" s="45"/>
      <c r="W493" s="47"/>
      <c r="X493" s="45"/>
      <c r="AN493" s="4" t="e">
        <f>VLOOKUP(I493,Sheet1!A:D,4,)</f>
        <v>#N/A</v>
      </c>
    </row>
    <row r="494" spans="11:42" hidden="1" x14ac:dyDescent="0.25">
      <c r="K494" s="45"/>
      <c r="M494" s="45"/>
      <c r="N494" s="45"/>
      <c r="O494" s="45"/>
      <c r="P494" s="45"/>
      <c r="Q494" s="46"/>
      <c r="R494" s="46"/>
      <c r="T494" s="45"/>
      <c r="U494" s="45"/>
      <c r="V494" s="45"/>
      <c r="W494" s="47"/>
      <c r="X494" s="45"/>
      <c r="AN494" s="4" t="e">
        <f>VLOOKUP(I494,Sheet1!A:D,4,)</f>
        <v>#N/A</v>
      </c>
    </row>
    <row r="495" spans="11:42" hidden="1" x14ac:dyDescent="0.25">
      <c r="K495" s="45"/>
      <c r="M495" s="45"/>
      <c r="N495" s="45"/>
      <c r="O495" s="45"/>
      <c r="P495" s="45"/>
      <c r="Q495" s="46"/>
      <c r="R495" s="46"/>
      <c r="T495" s="45"/>
      <c r="U495" s="45"/>
      <c r="V495" s="45"/>
      <c r="W495" s="47"/>
      <c r="X495" s="45"/>
      <c r="AN495" s="4" t="e">
        <f>VLOOKUP(I495,Sheet1!A:D,4,)</f>
        <v>#N/A</v>
      </c>
    </row>
    <row r="496" spans="11:42" hidden="1" x14ac:dyDescent="0.25">
      <c r="K496" s="45"/>
      <c r="M496" s="45"/>
      <c r="N496" s="45"/>
      <c r="O496" s="45"/>
      <c r="P496" s="45"/>
      <c r="Q496" s="46"/>
      <c r="R496" s="46"/>
      <c r="T496" s="45"/>
      <c r="U496" s="45"/>
      <c r="V496" s="45"/>
      <c r="W496" s="47"/>
      <c r="X496" s="45"/>
      <c r="AN496" s="4" t="e">
        <f>VLOOKUP(I496,Sheet1!A:D,4,)</f>
        <v>#N/A</v>
      </c>
    </row>
    <row r="497" spans="11:42" hidden="1" x14ac:dyDescent="0.25">
      <c r="K497" s="45"/>
      <c r="M497" s="45"/>
      <c r="N497" s="45"/>
      <c r="O497" s="45"/>
      <c r="P497" s="45"/>
      <c r="Q497" s="46"/>
      <c r="R497" s="46"/>
      <c r="T497" s="45"/>
      <c r="U497" s="45"/>
      <c r="V497" s="45"/>
      <c r="W497" s="47"/>
      <c r="X497" s="45"/>
      <c r="AN497" s="4" t="e">
        <f>VLOOKUP(I497,Sheet1!A:D,4,)</f>
        <v>#N/A</v>
      </c>
    </row>
    <row r="498" spans="11:42" hidden="1" x14ac:dyDescent="0.25">
      <c r="K498" s="45"/>
      <c r="M498" s="45"/>
      <c r="N498" s="45"/>
      <c r="O498" s="45"/>
      <c r="P498" s="45"/>
      <c r="Q498" s="46"/>
      <c r="R498" s="46"/>
      <c r="T498" s="45"/>
      <c r="U498" s="45"/>
      <c r="V498" s="45"/>
      <c r="W498" s="47"/>
      <c r="X498" s="45"/>
      <c r="AN498" s="4" t="e">
        <f>VLOOKUP(I498,Sheet1!A:D,4,)</f>
        <v>#N/A</v>
      </c>
      <c r="AP498" s="36"/>
    </row>
    <row r="499" spans="11:42" hidden="1" x14ac:dyDescent="0.25">
      <c r="K499" s="45"/>
      <c r="M499" s="45"/>
      <c r="N499" s="45"/>
      <c r="O499" s="45"/>
      <c r="P499" s="45"/>
      <c r="Q499" s="46"/>
      <c r="R499" s="46"/>
      <c r="T499" s="45"/>
      <c r="U499" s="45"/>
      <c r="V499" s="45"/>
      <c r="W499" s="47"/>
      <c r="X499" s="45"/>
      <c r="AN499" s="4" t="e">
        <f>VLOOKUP(I499,Sheet1!A:D,4,)</f>
        <v>#N/A</v>
      </c>
      <c r="AP499" s="36"/>
    </row>
    <row r="500" spans="11:42" hidden="1" x14ac:dyDescent="0.25">
      <c r="K500" s="45"/>
      <c r="M500" s="45"/>
      <c r="N500" s="45"/>
      <c r="O500" s="45"/>
      <c r="P500" s="45"/>
      <c r="Q500" s="46"/>
      <c r="R500" s="46"/>
      <c r="T500" s="45"/>
      <c r="U500" s="45"/>
      <c r="V500" s="45"/>
      <c r="W500" s="47"/>
      <c r="X500" s="45"/>
      <c r="AN500" s="4" t="e">
        <f>VLOOKUP(I500,Sheet1!A:D,4,)</f>
        <v>#N/A</v>
      </c>
      <c r="AP500" s="36"/>
    </row>
    <row r="501" spans="11:42" hidden="1" x14ac:dyDescent="0.25">
      <c r="K501" s="45"/>
      <c r="M501" s="45"/>
      <c r="N501" s="45"/>
      <c r="O501" s="45"/>
      <c r="P501" s="45"/>
      <c r="Q501" s="46"/>
      <c r="R501" s="46"/>
      <c r="T501" s="45"/>
      <c r="U501" s="45"/>
      <c r="V501" s="45"/>
      <c r="W501" s="47"/>
      <c r="X501" s="45"/>
      <c r="AN501" s="4" t="e">
        <f>VLOOKUP(I501,Sheet1!A:D,4,)</f>
        <v>#N/A</v>
      </c>
      <c r="AP501" s="36"/>
    </row>
    <row r="502" spans="11:42" hidden="1" x14ac:dyDescent="0.25">
      <c r="K502" s="45"/>
      <c r="M502" s="45"/>
      <c r="N502" s="45"/>
      <c r="O502" s="45"/>
      <c r="P502" s="45"/>
      <c r="Q502" s="46"/>
      <c r="R502" s="46"/>
      <c r="T502" s="45"/>
      <c r="U502" s="45"/>
      <c r="V502" s="45"/>
      <c r="W502" s="47"/>
      <c r="X502" s="45"/>
      <c r="AN502" s="4" t="e">
        <f>VLOOKUP(I502,Sheet1!A:D,4,)</f>
        <v>#N/A</v>
      </c>
    </row>
    <row r="503" spans="11:42" hidden="1" x14ac:dyDescent="0.25">
      <c r="K503" s="45"/>
      <c r="M503" s="45"/>
      <c r="N503" s="45"/>
      <c r="O503" s="45"/>
      <c r="P503" s="45"/>
      <c r="Q503" s="46"/>
      <c r="R503" s="46"/>
      <c r="T503" s="45"/>
      <c r="U503" s="45"/>
      <c r="V503" s="45"/>
      <c r="W503" s="47"/>
      <c r="X503" s="45"/>
      <c r="AN503" s="4" t="e">
        <f>VLOOKUP(I503,Sheet1!A:D,4,)</f>
        <v>#N/A</v>
      </c>
    </row>
    <row r="504" spans="11:42" hidden="1" x14ac:dyDescent="0.25">
      <c r="K504" s="45"/>
      <c r="M504" s="45"/>
      <c r="N504" s="45"/>
      <c r="O504" s="45"/>
      <c r="P504" s="45"/>
      <c r="Q504" s="46"/>
      <c r="R504" s="46"/>
      <c r="T504" s="45"/>
      <c r="U504" s="45"/>
      <c r="V504" s="45"/>
      <c r="W504" s="47"/>
      <c r="X504" s="45"/>
      <c r="AN504" s="4" t="e">
        <f>VLOOKUP(I504,Sheet1!A:D,4,)</f>
        <v>#N/A</v>
      </c>
    </row>
    <row r="505" spans="11:42" hidden="1" x14ac:dyDescent="0.25">
      <c r="K505" s="45"/>
      <c r="M505" s="45"/>
      <c r="N505" s="45"/>
      <c r="O505" s="45"/>
      <c r="P505" s="45"/>
      <c r="Q505" s="46"/>
      <c r="R505" s="46"/>
      <c r="T505" s="45"/>
      <c r="U505" s="45"/>
      <c r="V505" s="45"/>
      <c r="W505" s="47"/>
      <c r="X505" s="45"/>
      <c r="AN505" s="4" t="e">
        <f>VLOOKUP(I505,Sheet1!A:D,4,)</f>
        <v>#N/A</v>
      </c>
    </row>
    <row r="506" spans="11:42" hidden="1" x14ac:dyDescent="0.25">
      <c r="K506" s="45"/>
      <c r="M506" s="45"/>
      <c r="N506" s="45"/>
      <c r="O506" s="45"/>
      <c r="P506" s="45"/>
      <c r="Q506" s="46"/>
      <c r="R506" s="46"/>
      <c r="T506" s="45"/>
      <c r="U506" s="45"/>
      <c r="V506" s="45"/>
      <c r="W506" s="47"/>
      <c r="X506" s="45"/>
      <c r="AN506" s="4" t="e">
        <f>VLOOKUP(I506,Sheet1!A:D,4,)</f>
        <v>#N/A</v>
      </c>
    </row>
    <row r="507" spans="11:42" hidden="1" x14ac:dyDescent="0.25">
      <c r="K507" s="45"/>
      <c r="M507" s="45"/>
      <c r="N507" s="45"/>
      <c r="O507" s="45"/>
      <c r="P507" s="45"/>
      <c r="Q507" s="46"/>
      <c r="R507" s="46"/>
      <c r="T507" s="45"/>
      <c r="U507" s="45"/>
      <c r="V507" s="45"/>
      <c r="W507" s="47"/>
      <c r="X507" s="45"/>
      <c r="AN507" s="4" t="e">
        <f>VLOOKUP(I507,Sheet1!A:D,4,)</f>
        <v>#N/A</v>
      </c>
    </row>
    <row r="508" spans="11:42" hidden="1" x14ac:dyDescent="0.25">
      <c r="K508" s="45"/>
      <c r="M508" s="45"/>
      <c r="N508" s="45"/>
      <c r="O508" s="45"/>
      <c r="P508" s="45"/>
      <c r="Q508" s="46"/>
      <c r="R508" s="46"/>
      <c r="T508" s="45"/>
      <c r="U508" s="45"/>
      <c r="V508" s="45"/>
      <c r="W508" s="47"/>
      <c r="X508" s="45"/>
      <c r="AN508" s="4" t="e">
        <f>VLOOKUP(I508,Sheet1!A:D,4,)</f>
        <v>#N/A</v>
      </c>
    </row>
    <row r="509" spans="11:42" hidden="1" x14ac:dyDescent="0.25">
      <c r="K509" s="45"/>
      <c r="M509" s="45"/>
      <c r="N509" s="45"/>
      <c r="O509" s="45"/>
      <c r="P509" s="45"/>
      <c r="Q509" s="46"/>
      <c r="R509" s="46"/>
      <c r="T509" s="45"/>
      <c r="U509" s="45"/>
      <c r="V509" s="45"/>
      <c r="W509" s="47"/>
      <c r="X509" s="45"/>
      <c r="AN509" s="4" t="e">
        <f>VLOOKUP(I509,Sheet1!A:D,4,)</f>
        <v>#N/A</v>
      </c>
    </row>
    <row r="510" spans="11:42" hidden="1" x14ac:dyDescent="0.25">
      <c r="K510" s="45"/>
      <c r="M510" s="45"/>
      <c r="N510" s="45"/>
      <c r="O510" s="45"/>
      <c r="P510" s="45"/>
      <c r="Q510" s="46"/>
      <c r="R510" s="46"/>
      <c r="T510" s="45"/>
      <c r="U510" s="45"/>
      <c r="V510" s="45"/>
      <c r="W510" s="47"/>
      <c r="X510" s="45"/>
      <c r="AN510" s="4" t="e">
        <f>VLOOKUP(I510,Sheet1!A:D,4,)</f>
        <v>#N/A</v>
      </c>
    </row>
    <row r="511" spans="11:42" hidden="1" x14ac:dyDescent="0.25">
      <c r="K511" s="45"/>
      <c r="M511" s="45"/>
      <c r="N511" s="45"/>
      <c r="O511" s="45"/>
      <c r="P511" s="45"/>
      <c r="Q511" s="46"/>
      <c r="R511" s="46"/>
      <c r="T511" s="45"/>
      <c r="U511" s="45"/>
      <c r="V511" s="45"/>
      <c r="W511" s="47"/>
      <c r="X511" s="45"/>
      <c r="AN511" s="4" t="e">
        <f>VLOOKUP(I511,Sheet1!A:D,4,)</f>
        <v>#N/A</v>
      </c>
    </row>
    <row r="512" spans="11:42" hidden="1" x14ac:dyDescent="0.25">
      <c r="K512" s="45"/>
      <c r="M512" s="45"/>
      <c r="N512" s="45"/>
      <c r="O512" s="45"/>
      <c r="P512" s="45"/>
      <c r="Q512" s="46"/>
      <c r="R512" s="46"/>
      <c r="T512" s="45"/>
      <c r="U512" s="45"/>
      <c r="V512" s="45"/>
      <c r="W512" s="47"/>
      <c r="X512" s="45"/>
      <c r="AN512" s="4" t="e">
        <f>VLOOKUP(I512,Sheet1!A:D,4,)</f>
        <v>#N/A</v>
      </c>
    </row>
    <row r="513" spans="11:40" hidden="1" x14ac:dyDescent="0.25">
      <c r="K513" s="45"/>
      <c r="M513" s="45"/>
      <c r="N513" s="45"/>
      <c r="O513" s="45"/>
      <c r="P513" s="45"/>
      <c r="Q513" s="46"/>
      <c r="R513" s="46"/>
      <c r="T513" s="45"/>
      <c r="U513" s="45"/>
      <c r="V513" s="45"/>
      <c r="W513" s="47"/>
      <c r="X513" s="45"/>
      <c r="AN513" s="4" t="e">
        <f>VLOOKUP(I513,Sheet1!A:D,4,)</f>
        <v>#N/A</v>
      </c>
    </row>
    <row r="514" spans="11:40" hidden="1" x14ac:dyDescent="0.25">
      <c r="K514" s="45"/>
      <c r="M514" s="45"/>
      <c r="N514" s="45"/>
      <c r="O514" s="45"/>
      <c r="P514" s="45"/>
      <c r="Q514" s="46"/>
      <c r="R514" s="46"/>
      <c r="T514" s="45"/>
      <c r="U514" s="45"/>
      <c r="V514" s="45"/>
      <c r="W514" s="47"/>
      <c r="X514" s="45"/>
      <c r="AN514" s="4" t="e">
        <f>VLOOKUP(I514,Sheet1!A:D,4,)</f>
        <v>#N/A</v>
      </c>
    </row>
    <row r="515" spans="11:40" hidden="1" x14ac:dyDescent="0.25">
      <c r="K515" s="45"/>
      <c r="M515" s="45"/>
      <c r="N515" s="45"/>
      <c r="O515" s="45"/>
      <c r="P515" s="45"/>
      <c r="Q515" s="46"/>
      <c r="R515" s="46"/>
      <c r="T515" s="45"/>
      <c r="U515" s="45"/>
      <c r="V515" s="45"/>
      <c r="W515" s="47"/>
      <c r="X515" s="45"/>
      <c r="AN515" s="4" t="e">
        <f>VLOOKUP(I515,Sheet1!A:D,4,)</f>
        <v>#N/A</v>
      </c>
    </row>
    <row r="516" spans="11:40" hidden="1" x14ac:dyDescent="0.25">
      <c r="K516" s="45"/>
      <c r="M516" s="45"/>
      <c r="N516" s="45"/>
      <c r="O516" s="45"/>
      <c r="P516" s="45"/>
      <c r="Q516" s="46"/>
      <c r="R516" s="46"/>
      <c r="T516" s="45"/>
      <c r="U516" s="45"/>
      <c r="V516" s="45"/>
      <c r="W516" s="47"/>
      <c r="X516" s="45"/>
      <c r="AN516" s="4" t="e">
        <f>VLOOKUP(I516,Sheet1!A:D,4,)</f>
        <v>#N/A</v>
      </c>
    </row>
    <row r="517" spans="11:40" hidden="1" x14ac:dyDescent="0.25">
      <c r="K517" s="45"/>
      <c r="M517" s="45"/>
      <c r="N517" s="45"/>
      <c r="O517" s="45"/>
      <c r="P517" s="45"/>
      <c r="Q517" s="46"/>
      <c r="R517" s="46"/>
      <c r="T517" s="45"/>
      <c r="U517" s="45"/>
      <c r="V517" s="45"/>
      <c r="W517" s="47"/>
      <c r="X517" s="45"/>
      <c r="AN517" s="4" t="e">
        <f>VLOOKUP(I517,Sheet1!A:D,4,)</f>
        <v>#N/A</v>
      </c>
    </row>
    <row r="518" spans="11:40" hidden="1" x14ac:dyDescent="0.25">
      <c r="K518" s="45"/>
      <c r="M518" s="45"/>
      <c r="N518" s="45"/>
      <c r="O518" s="45"/>
      <c r="P518" s="45"/>
      <c r="Q518" s="46"/>
      <c r="R518" s="46"/>
      <c r="T518" s="45"/>
      <c r="U518" s="45"/>
      <c r="V518" s="45"/>
      <c r="W518" s="47"/>
      <c r="X518" s="45"/>
      <c r="AN518" s="4" t="e">
        <f>VLOOKUP(I518,Sheet1!A:D,4,)</f>
        <v>#N/A</v>
      </c>
    </row>
    <row r="519" spans="11:40" hidden="1" x14ac:dyDescent="0.25">
      <c r="K519" s="45"/>
      <c r="M519" s="45"/>
      <c r="N519" s="45"/>
      <c r="O519" s="45"/>
      <c r="P519" s="45"/>
      <c r="Q519" s="46"/>
      <c r="R519" s="46"/>
      <c r="T519" s="45"/>
      <c r="U519" s="45"/>
      <c r="V519" s="45"/>
      <c r="W519" s="47"/>
      <c r="X519" s="45"/>
      <c r="AN519" s="4" t="e">
        <f>VLOOKUP(I519,Sheet1!A:D,4,)</f>
        <v>#N/A</v>
      </c>
    </row>
    <row r="520" spans="11:40" hidden="1" x14ac:dyDescent="0.25">
      <c r="K520" s="45"/>
      <c r="M520" s="45"/>
      <c r="N520" s="45"/>
      <c r="O520" s="45"/>
      <c r="P520" s="45"/>
      <c r="Q520" s="46"/>
      <c r="R520" s="46"/>
      <c r="T520" s="45"/>
      <c r="U520" s="45"/>
      <c r="V520" s="45"/>
      <c r="W520" s="47"/>
      <c r="X520" s="45"/>
      <c r="AN520" s="4" t="e">
        <f>VLOOKUP(I520,Sheet1!A:D,4,)</f>
        <v>#N/A</v>
      </c>
    </row>
    <row r="521" spans="11:40" hidden="1" x14ac:dyDescent="0.25">
      <c r="K521" s="45"/>
      <c r="M521" s="45"/>
      <c r="N521" s="45"/>
      <c r="O521" s="45"/>
      <c r="P521" s="45"/>
      <c r="Q521" s="46"/>
      <c r="R521" s="46"/>
      <c r="T521" s="45"/>
      <c r="U521" s="45"/>
      <c r="V521" s="45"/>
      <c r="W521" s="47"/>
      <c r="X521" s="45"/>
      <c r="AN521" s="4" t="e">
        <f>VLOOKUP(I521,Sheet1!A:D,4,)</f>
        <v>#N/A</v>
      </c>
    </row>
    <row r="522" spans="11:40" hidden="1" x14ac:dyDescent="0.25">
      <c r="K522" s="45"/>
      <c r="M522" s="45"/>
      <c r="N522" s="45"/>
      <c r="O522" s="45"/>
      <c r="P522" s="45"/>
      <c r="Q522" s="46"/>
      <c r="R522" s="46"/>
      <c r="T522" s="45"/>
      <c r="U522" s="45"/>
      <c r="V522" s="45"/>
      <c r="W522" s="47"/>
      <c r="X522" s="45"/>
      <c r="AN522" s="4" t="e">
        <f>VLOOKUP(I522,Sheet1!A:D,4,)</f>
        <v>#N/A</v>
      </c>
    </row>
    <row r="523" spans="11:40" hidden="1" x14ac:dyDescent="0.25">
      <c r="K523" s="45"/>
      <c r="M523" s="45"/>
      <c r="N523" s="45"/>
      <c r="O523" s="45"/>
      <c r="P523" s="45"/>
      <c r="Q523" s="46"/>
      <c r="R523" s="46"/>
      <c r="T523" s="45"/>
      <c r="U523" s="45"/>
      <c r="V523" s="45"/>
      <c r="W523" s="47"/>
      <c r="X523" s="45"/>
      <c r="AN523" s="4" t="e">
        <f>VLOOKUP(I523,Sheet1!A:D,4,)</f>
        <v>#N/A</v>
      </c>
    </row>
    <row r="524" spans="11:40" hidden="1" x14ac:dyDescent="0.25">
      <c r="K524" s="45"/>
      <c r="M524" s="45"/>
      <c r="N524" s="45"/>
      <c r="O524" s="45"/>
      <c r="P524" s="45"/>
      <c r="Q524" s="46"/>
      <c r="R524" s="46"/>
      <c r="T524" s="45"/>
      <c r="U524" s="45"/>
      <c r="V524" s="45"/>
      <c r="W524" s="47"/>
      <c r="X524" s="45"/>
      <c r="AN524" s="4" t="e">
        <f>VLOOKUP(I524,Sheet1!A:D,4,)</f>
        <v>#N/A</v>
      </c>
    </row>
    <row r="525" spans="11:40" hidden="1" x14ac:dyDescent="0.25">
      <c r="K525" s="45"/>
      <c r="M525" s="45"/>
      <c r="N525" s="45"/>
      <c r="O525" s="45"/>
      <c r="P525" s="45"/>
      <c r="Q525" s="46"/>
      <c r="R525" s="46"/>
      <c r="T525" s="45"/>
      <c r="U525" s="45"/>
      <c r="V525" s="45"/>
      <c r="W525" s="47"/>
      <c r="X525" s="45"/>
      <c r="AN525" s="4" t="e">
        <f>VLOOKUP(I525,Sheet1!A:D,4,)</f>
        <v>#N/A</v>
      </c>
    </row>
    <row r="526" spans="11:40" hidden="1" x14ac:dyDescent="0.25">
      <c r="K526" s="45"/>
      <c r="M526" s="45"/>
      <c r="N526" s="45"/>
      <c r="O526" s="45"/>
      <c r="P526" s="45"/>
      <c r="Q526" s="46"/>
      <c r="R526" s="46"/>
      <c r="T526" s="45"/>
      <c r="U526" s="45"/>
      <c r="V526" s="45"/>
      <c r="W526" s="47"/>
      <c r="X526" s="45"/>
      <c r="AN526" s="4" t="e">
        <f>VLOOKUP(I526,Sheet1!A:D,4,)</f>
        <v>#N/A</v>
      </c>
    </row>
    <row r="527" spans="11:40" hidden="1" x14ac:dyDescent="0.25">
      <c r="K527" s="45"/>
      <c r="M527" s="45"/>
      <c r="N527" s="45"/>
      <c r="O527" s="45"/>
      <c r="P527" s="45"/>
      <c r="Q527" s="46"/>
      <c r="R527" s="46"/>
      <c r="T527" s="45"/>
      <c r="U527" s="45"/>
      <c r="V527" s="45"/>
      <c r="W527" s="47"/>
      <c r="X527" s="45"/>
      <c r="AN527" s="4" t="e">
        <f>VLOOKUP(I527,Sheet1!A:D,4,)</f>
        <v>#N/A</v>
      </c>
    </row>
    <row r="528" spans="11:40" hidden="1" x14ac:dyDescent="0.25">
      <c r="K528" s="45"/>
      <c r="M528" s="45"/>
      <c r="N528" s="45"/>
      <c r="O528" s="45"/>
      <c r="P528" s="45"/>
      <c r="Q528" s="46"/>
      <c r="R528" s="46"/>
      <c r="T528" s="45"/>
      <c r="U528" s="45"/>
      <c r="V528" s="45"/>
      <c r="W528" s="47"/>
      <c r="X528" s="45"/>
      <c r="AN528" s="4" t="e">
        <f>VLOOKUP(I528,Sheet1!A:D,4,)</f>
        <v>#N/A</v>
      </c>
    </row>
    <row r="529" spans="11:42" hidden="1" x14ac:dyDescent="0.25">
      <c r="K529" s="45"/>
      <c r="M529" s="45"/>
      <c r="N529" s="45"/>
      <c r="O529" s="45"/>
      <c r="P529" s="45"/>
      <c r="Q529" s="46"/>
      <c r="R529" s="46"/>
      <c r="T529" s="45"/>
      <c r="U529" s="45"/>
      <c r="V529" s="45"/>
      <c r="W529" s="47"/>
      <c r="X529" s="45"/>
      <c r="AN529" s="4" t="e">
        <f>VLOOKUP(I529,Sheet1!A:D,4,)</f>
        <v>#N/A</v>
      </c>
    </row>
    <row r="530" spans="11:42" hidden="1" x14ac:dyDescent="0.25">
      <c r="K530" s="45"/>
      <c r="M530" s="45"/>
      <c r="N530" s="45"/>
      <c r="O530" s="45"/>
      <c r="P530" s="45"/>
      <c r="Q530" s="46"/>
      <c r="R530" s="46"/>
      <c r="T530" s="45"/>
      <c r="U530" s="45"/>
      <c r="V530" s="45"/>
      <c r="W530" s="47"/>
      <c r="X530" s="45"/>
      <c r="AN530" s="4" t="e">
        <f>VLOOKUP(I530,Sheet1!A:D,4,)</f>
        <v>#N/A</v>
      </c>
    </row>
    <row r="531" spans="11:42" hidden="1" x14ac:dyDescent="0.25">
      <c r="K531" s="45"/>
      <c r="M531" s="45"/>
      <c r="N531" s="45"/>
      <c r="O531" s="45"/>
      <c r="P531" s="45"/>
      <c r="Q531" s="46"/>
      <c r="R531" s="46"/>
      <c r="T531" s="45"/>
      <c r="U531" s="45"/>
      <c r="V531" s="45"/>
      <c r="W531" s="47"/>
      <c r="X531" s="45"/>
      <c r="AN531" s="4" t="e">
        <f>VLOOKUP(I531,Sheet1!A:D,4,)</f>
        <v>#N/A</v>
      </c>
      <c r="AP531" s="36"/>
    </row>
    <row r="532" spans="11:42" hidden="1" x14ac:dyDescent="0.25">
      <c r="K532" s="45"/>
      <c r="M532" s="45"/>
      <c r="N532" s="45"/>
      <c r="O532" s="45"/>
      <c r="P532" s="45"/>
      <c r="Q532" s="46"/>
      <c r="R532" s="46"/>
      <c r="T532" s="45"/>
      <c r="U532" s="45"/>
      <c r="V532" s="45"/>
      <c r="W532" s="47"/>
      <c r="X532" s="45"/>
      <c r="AN532" s="4" t="e">
        <f>VLOOKUP(I532,Sheet1!A:D,4,)</f>
        <v>#N/A</v>
      </c>
      <c r="AP532" s="36"/>
    </row>
    <row r="533" spans="11:42" hidden="1" x14ac:dyDescent="0.25">
      <c r="K533" s="45"/>
      <c r="M533" s="45"/>
      <c r="N533" s="45"/>
      <c r="O533" s="45"/>
      <c r="P533" s="45"/>
      <c r="Q533" s="46"/>
      <c r="R533" s="46"/>
      <c r="T533" s="45"/>
      <c r="U533" s="45"/>
      <c r="V533" s="45"/>
      <c r="W533" s="47"/>
      <c r="X533" s="45"/>
      <c r="AN533" s="4" t="e">
        <f>VLOOKUP(I533,Sheet1!A:D,4,)</f>
        <v>#N/A</v>
      </c>
      <c r="AP533" s="36"/>
    </row>
    <row r="534" spans="11:42" hidden="1" x14ac:dyDescent="0.25">
      <c r="K534" s="45"/>
      <c r="M534" s="45"/>
      <c r="N534" s="45"/>
      <c r="O534" s="45"/>
      <c r="P534" s="45"/>
      <c r="Q534" s="46"/>
      <c r="R534" s="46"/>
      <c r="T534" s="45"/>
      <c r="U534" s="45"/>
      <c r="V534" s="45"/>
      <c r="W534" s="47"/>
      <c r="X534" s="45"/>
      <c r="AN534" s="4" t="e">
        <f>VLOOKUP(I534,Sheet1!A:D,4,)</f>
        <v>#N/A</v>
      </c>
      <c r="AP534" s="36"/>
    </row>
    <row r="535" spans="11:42" hidden="1" x14ac:dyDescent="0.25">
      <c r="K535" s="45"/>
      <c r="M535" s="45"/>
      <c r="N535" s="45"/>
      <c r="O535" s="45"/>
      <c r="P535" s="45"/>
      <c r="Q535" s="46"/>
      <c r="R535" s="46"/>
      <c r="T535" s="45"/>
      <c r="U535" s="45"/>
      <c r="V535" s="45"/>
      <c r="W535" s="47"/>
      <c r="X535" s="45"/>
      <c r="AN535" s="4" t="e">
        <f>VLOOKUP(I535,Sheet1!A:D,4,)</f>
        <v>#N/A</v>
      </c>
      <c r="AP535" s="36"/>
    </row>
    <row r="536" spans="11:42" hidden="1" x14ac:dyDescent="0.25">
      <c r="K536" s="45"/>
      <c r="M536" s="45"/>
      <c r="N536" s="45"/>
      <c r="O536" s="45"/>
      <c r="P536" s="45"/>
      <c r="Q536" s="46"/>
      <c r="R536" s="46"/>
      <c r="T536" s="45"/>
      <c r="U536" s="45"/>
      <c r="V536" s="45"/>
      <c r="W536" s="47"/>
      <c r="X536" s="45"/>
      <c r="AN536" s="4" t="e">
        <f>VLOOKUP(I536,Sheet1!A:D,4,)</f>
        <v>#N/A</v>
      </c>
    </row>
    <row r="537" spans="11:42" hidden="1" x14ac:dyDescent="0.25">
      <c r="K537" s="45"/>
      <c r="M537" s="45"/>
      <c r="N537" s="45"/>
      <c r="O537" s="45"/>
      <c r="P537" s="45"/>
      <c r="Q537" s="46"/>
      <c r="R537" s="46"/>
      <c r="T537" s="45"/>
      <c r="U537" s="45"/>
      <c r="V537" s="45"/>
      <c r="W537" s="47"/>
      <c r="X537" s="45"/>
      <c r="AN537" s="4" t="e">
        <f>VLOOKUP(I537,Sheet1!A:D,4,)</f>
        <v>#N/A</v>
      </c>
    </row>
    <row r="538" spans="11:42" hidden="1" x14ac:dyDescent="0.25">
      <c r="K538" s="45"/>
      <c r="M538" s="45"/>
      <c r="N538" s="45"/>
      <c r="O538" s="45"/>
      <c r="P538" s="45"/>
      <c r="Q538" s="46"/>
      <c r="R538" s="46"/>
      <c r="T538" s="45"/>
      <c r="U538" s="45"/>
      <c r="V538" s="45"/>
      <c r="W538" s="47"/>
      <c r="X538" s="45"/>
      <c r="AN538" s="4" t="e">
        <f>VLOOKUP(I538,Sheet1!A:D,4,)</f>
        <v>#N/A</v>
      </c>
    </row>
    <row r="539" spans="11:42" hidden="1" x14ac:dyDescent="0.25">
      <c r="K539" s="45"/>
      <c r="M539" s="45"/>
      <c r="N539" s="45"/>
      <c r="O539" s="45"/>
      <c r="P539" s="45"/>
      <c r="Q539" s="46"/>
      <c r="R539" s="46"/>
      <c r="T539" s="45"/>
      <c r="U539" s="45"/>
      <c r="V539" s="45"/>
      <c r="W539" s="47"/>
      <c r="X539" s="45"/>
      <c r="AN539" s="4" t="e">
        <f>VLOOKUP(I539,Sheet1!A:D,4,)</f>
        <v>#N/A</v>
      </c>
    </row>
    <row r="540" spans="11:42" hidden="1" x14ac:dyDescent="0.25">
      <c r="K540" s="45"/>
      <c r="M540" s="45"/>
      <c r="N540" s="45"/>
      <c r="O540" s="45"/>
      <c r="P540" s="45"/>
      <c r="Q540" s="46"/>
      <c r="R540" s="46"/>
      <c r="T540" s="45"/>
      <c r="U540" s="45"/>
      <c r="V540" s="45"/>
      <c r="W540" s="47"/>
      <c r="X540" s="45"/>
      <c r="AN540" s="4" t="e">
        <f>VLOOKUP(I540,Sheet1!A:D,4,)</f>
        <v>#N/A</v>
      </c>
    </row>
    <row r="541" spans="11:42" hidden="1" x14ac:dyDescent="0.25">
      <c r="K541" s="45"/>
      <c r="M541" s="45"/>
      <c r="N541" s="45"/>
      <c r="O541" s="45"/>
      <c r="P541" s="45"/>
      <c r="Q541" s="46"/>
      <c r="R541" s="46"/>
      <c r="T541" s="45"/>
      <c r="U541" s="45"/>
      <c r="V541" s="45"/>
      <c r="W541" s="47"/>
      <c r="X541" s="45"/>
      <c r="AN541" s="4" t="e">
        <f>VLOOKUP(I541,Sheet1!A:D,4,)</f>
        <v>#N/A</v>
      </c>
    </row>
    <row r="542" spans="11:42" hidden="1" x14ac:dyDescent="0.25">
      <c r="K542" s="45"/>
      <c r="M542" s="45"/>
      <c r="N542" s="45"/>
      <c r="O542" s="45"/>
      <c r="P542" s="45"/>
      <c r="Q542" s="46"/>
      <c r="R542" s="46"/>
      <c r="T542" s="45"/>
      <c r="U542" s="45"/>
      <c r="V542" s="45"/>
      <c r="W542" s="47"/>
      <c r="X542" s="45"/>
      <c r="AN542" s="4" t="e">
        <f>VLOOKUP(I542,Sheet1!A:D,4,)</f>
        <v>#N/A</v>
      </c>
    </row>
    <row r="543" spans="11:42" hidden="1" x14ac:dyDescent="0.25">
      <c r="K543" s="45"/>
      <c r="M543" s="45"/>
      <c r="N543" s="45"/>
      <c r="O543" s="45"/>
      <c r="P543" s="45"/>
      <c r="Q543" s="46"/>
      <c r="R543" s="46"/>
      <c r="T543" s="45"/>
      <c r="U543" s="45"/>
      <c r="V543" s="45"/>
      <c r="W543" s="47"/>
      <c r="X543" s="45"/>
      <c r="AN543" s="4" t="e">
        <f>VLOOKUP(I543,Sheet1!A:D,4,)</f>
        <v>#N/A</v>
      </c>
    </row>
    <row r="544" spans="11:42" hidden="1" x14ac:dyDescent="0.25">
      <c r="K544" s="45"/>
      <c r="M544" s="45"/>
      <c r="N544" s="45"/>
      <c r="O544" s="45"/>
      <c r="P544" s="45"/>
      <c r="Q544" s="46"/>
      <c r="R544" s="46"/>
      <c r="T544" s="45"/>
      <c r="U544" s="45"/>
      <c r="V544" s="45"/>
      <c r="W544" s="47"/>
      <c r="X544" s="45"/>
      <c r="AN544" s="4" t="e">
        <f>VLOOKUP(I544,Sheet1!A:D,4,)</f>
        <v>#N/A</v>
      </c>
    </row>
    <row r="545" spans="11:40" hidden="1" x14ac:dyDescent="0.25">
      <c r="K545" s="45"/>
      <c r="M545" s="45"/>
      <c r="N545" s="45"/>
      <c r="O545" s="45"/>
      <c r="P545" s="45"/>
      <c r="Q545" s="46"/>
      <c r="R545" s="46"/>
      <c r="T545" s="45"/>
      <c r="U545" s="45"/>
      <c r="V545" s="45"/>
      <c r="W545" s="47"/>
      <c r="X545" s="45"/>
      <c r="AN545" s="4" t="e">
        <f>VLOOKUP(I545,Sheet1!A:D,4,)</f>
        <v>#N/A</v>
      </c>
    </row>
    <row r="546" spans="11:40" hidden="1" x14ac:dyDescent="0.25">
      <c r="K546" s="45"/>
      <c r="M546" s="45"/>
      <c r="N546" s="45"/>
      <c r="O546" s="45"/>
      <c r="P546" s="45"/>
      <c r="Q546" s="46"/>
      <c r="R546" s="46"/>
      <c r="T546" s="45"/>
      <c r="U546" s="45"/>
      <c r="V546" s="45"/>
      <c r="W546" s="47"/>
      <c r="X546" s="45"/>
      <c r="AN546" s="4" t="e">
        <f>VLOOKUP(I546,Sheet1!A:D,4,)</f>
        <v>#N/A</v>
      </c>
    </row>
    <row r="547" spans="11:40" hidden="1" x14ac:dyDescent="0.25">
      <c r="K547" s="45"/>
      <c r="M547" s="45"/>
      <c r="N547" s="45"/>
      <c r="O547" s="45"/>
      <c r="P547" s="45"/>
      <c r="Q547" s="46"/>
      <c r="R547" s="46"/>
      <c r="T547" s="45"/>
      <c r="U547" s="45"/>
      <c r="V547" s="45"/>
      <c r="W547" s="47"/>
      <c r="X547" s="45"/>
      <c r="AN547" s="4" t="e">
        <f>VLOOKUP(I547,Sheet1!A:D,4,)</f>
        <v>#N/A</v>
      </c>
    </row>
    <row r="548" spans="11:40" hidden="1" x14ac:dyDescent="0.25">
      <c r="K548" s="45"/>
      <c r="M548" s="45"/>
      <c r="N548" s="45"/>
      <c r="O548" s="45"/>
      <c r="P548" s="45"/>
      <c r="Q548" s="46"/>
      <c r="R548" s="46"/>
      <c r="T548" s="45"/>
      <c r="U548" s="45"/>
      <c r="V548" s="45"/>
      <c r="W548" s="47"/>
      <c r="X548" s="45"/>
      <c r="AN548" s="4" t="e">
        <f>VLOOKUP(I548,Sheet1!A:D,4,)</f>
        <v>#N/A</v>
      </c>
    </row>
    <row r="549" spans="11:40" hidden="1" x14ac:dyDescent="0.25">
      <c r="K549" s="45"/>
      <c r="M549" s="45"/>
      <c r="N549" s="45"/>
      <c r="O549" s="45"/>
      <c r="P549" s="45"/>
      <c r="Q549" s="46"/>
      <c r="R549" s="46"/>
      <c r="T549" s="45"/>
      <c r="U549" s="45"/>
      <c r="V549" s="45"/>
      <c r="W549" s="47"/>
      <c r="X549" s="45"/>
      <c r="AN549" s="4" t="e">
        <f>VLOOKUP(I549,Sheet1!A:D,4,)</f>
        <v>#N/A</v>
      </c>
    </row>
    <row r="550" spans="11:40" hidden="1" x14ac:dyDescent="0.25">
      <c r="K550" s="45"/>
      <c r="M550" s="45"/>
      <c r="N550" s="45"/>
      <c r="O550" s="45"/>
      <c r="P550" s="45"/>
      <c r="Q550" s="46"/>
      <c r="R550" s="46"/>
      <c r="T550" s="45"/>
      <c r="U550" s="45"/>
      <c r="V550" s="45"/>
      <c r="W550" s="47"/>
      <c r="X550" s="45"/>
      <c r="AN550" s="4" t="e">
        <f>VLOOKUP(I550,Sheet1!A:D,4,)</f>
        <v>#N/A</v>
      </c>
    </row>
    <row r="551" spans="11:40" hidden="1" x14ac:dyDescent="0.25">
      <c r="K551" s="45"/>
      <c r="M551" s="45"/>
      <c r="N551" s="45"/>
      <c r="O551" s="45"/>
      <c r="P551" s="45"/>
      <c r="Q551" s="46"/>
      <c r="R551" s="46"/>
      <c r="T551" s="45"/>
      <c r="U551" s="45"/>
      <c r="V551" s="45"/>
      <c r="W551" s="47"/>
      <c r="X551" s="45"/>
      <c r="AN551" s="4" t="e">
        <f>VLOOKUP(I551,Sheet1!A:D,4,)</f>
        <v>#N/A</v>
      </c>
    </row>
    <row r="552" spans="11:40" hidden="1" x14ac:dyDescent="0.25">
      <c r="K552" s="45"/>
      <c r="M552" s="45"/>
      <c r="N552" s="45"/>
      <c r="O552" s="45"/>
      <c r="P552" s="45"/>
      <c r="Q552" s="46"/>
      <c r="R552" s="46"/>
      <c r="T552" s="45"/>
      <c r="U552" s="45"/>
      <c r="V552" s="45"/>
      <c r="W552" s="47"/>
      <c r="X552" s="45"/>
      <c r="AN552" s="4" t="e">
        <f>VLOOKUP(I552,Sheet1!A:D,4,)</f>
        <v>#N/A</v>
      </c>
    </row>
    <row r="553" spans="11:40" hidden="1" x14ac:dyDescent="0.25">
      <c r="K553" s="45"/>
      <c r="M553" s="45"/>
      <c r="N553" s="45"/>
      <c r="O553" s="45"/>
      <c r="P553" s="45"/>
      <c r="Q553" s="46"/>
      <c r="R553" s="46"/>
      <c r="T553" s="45"/>
      <c r="U553" s="45"/>
      <c r="V553" s="45"/>
      <c r="W553" s="47"/>
      <c r="X553" s="45"/>
      <c r="AN553" s="4" t="e">
        <f>VLOOKUP(I553,Sheet1!A:D,4,)</f>
        <v>#N/A</v>
      </c>
    </row>
    <row r="554" spans="11:40" hidden="1" x14ac:dyDescent="0.25">
      <c r="K554" s="45"/>
      <c r="M554" s="45"/>
      <c r="N554" s="45"/>
      <c r="O554" s="45"/>
      <c r="P554" s="45"/>
      <c r="Q554" s="46"/>
      <c r="R554" s="46"/>
      <c r="T554" s="45"/>
      <c r="U554" s="45"/>
      <c r="V554" s="45"/>
      <c r="W554" s="47"/>
      <c r="X554" s="45"/>
      <c r="AN554" s="4" t="e">
        <f>VLOOKUP(I554,Sheet1!A:D,4,)</f>
        <v>#N/A</v>
      </c>
    </row>
    <row r="555" spans="11:40" hidden="1" x14ac:dyDescent="0.25">
      <c r="K555" s="45"/>
      <c r="M555" s="45"/>
      <c r="N555" s="45"/>
      <c r="O555" s="45"/>
      <c r="P555" s="45"/>
      <c r="Q555" s="46"/>
      <c r="R555" s="46"/>
      <c r="T555" s="45"/>
      <c r="U555" s="45"/>
      <c r="V555" s="45"/>
      <c r="W555" s="47"/>
      <c r="X555" s="45"/>
      <c r="AN555" s="4" t="e">
        <f>VLOOKUP(I555,Sheet1!A:D,4,)</f>
        <v>#N/A</v>
      </c>
    </row>
    <row r="556" spans="11:40" hidden="1" x14ac:dyDescent="0.25">
      <c r="K556" s="45"/>
      <c r="M556" s="45"/>
      <c r="N556" s="45"/>
      <c r="O556" s="45"/>
      <c r="P556" s="45"/>
      <c r="Q556" s="46"/>
      <c r="R556" s="46"/>
      <c r="T556" s="45"/>
      <c r="U556" s="45"/>
      <c r="V556" s="45"/>
      <c r="W556" s="47"/>
      <c r="X556" s="45"/>
      <c r="AN556" s="4" t="e">
        <f>VLOOKUP(I556,Sheet1!A:D,4,)</f>
        <v>#N/A</v>
      </c>
    </row>
    <row r="557" spans="11:40" hidden="1" x14ac:dyDescent="0.25">
      <c r="K557" s="45"/>
      <c r="M557" s="45"/>
      <c r="N557" s="45"/>
      <c r="O557" s="45"/>
      <c r="P557" s="45"/>
      <c r="Q557" s="46"/>
      <c r="R557" s="46"/>
      <c r="T557" s="45"/>
      <c r="U557" s="45"/>
      <c r="V557" s="45"/>
      <c r="W557" s="47"/>
      <c r="X557" s="45"/>
      <c r="AN557" s="4" t="e">
        <f>VLOOKUP(I557,Sheet1!A:D,4,)</f>
        <v>#N/A</v>
      </c>
    </row>
    <row r="558" spans="11:40" hidden="1" x14ac:dyDescent="0.25">
      <c r="K558" s="45"/>
      <c r="M558" s="45"/>
      <c r="N558" s="45"/>
      <c r="O558" s="45"/>
      <c r="P558" s="45"/>
      <c r="Q558" s="46"/>
      <c r="R558" s="46"/>
      <c r="T558" s="45"/>
      <c r="U558" s="45"/>
      <c r="V558" s="45"/>
      <c r="W558" s="47"/>
      <c r="X558" s="45"/>
      <c r="AN558" s="4" t="e">
        <f>VLOOKUP(I558,Sheet1!A:D,4,)</f>
        <v>#N/A</v>
      </c>
    </row>
    <row r="559" spans="11:40" hidden="1" x14ac:dyDescent="0.25">
      <c r="K559" s="45"/>
      <c r="M559" s="45"/>
      <c r="N559" s="45"/>
      <c r="O559" s="45"/>
      <c r="P559" s="45"/>
      <c r="Q559" s="46"/>
      <c r="R559" s="46"/>
      <c r="T559" s="45"/>
      <c r="U559" s="45"/>
      <c r="V559" s="45"/>
      <c r="W559" s="47"/>
      <c r="X559" s="45"/>
      <c r="AN559" s="4" t="e">
        <f>VLOOKUP(I559,Sheet1!A:D,4,)</f>
        <v>#N/A</v>
      </c>
    </row>
    <row r="560" spans="11:40" hidden="1" x14ac:dyDescent="0.25">
      <c r="K560" s="45"/>
      <c r="M560" s="45"/>
      <c r="N560" s="45"/>
      <c r="O560" s="45"/>
      <c r="P560" s="45"/>
      <c r="Q560" s="46"/>
      <c r="R560" s="46"/>
      <c r="T560" s="45"/>
      <c r="U560" s="45"/>
      <c r="V560" s="45"/>
      <c r="W560" s="47"/>
      <c r="X560" s="45"/>
      <c r="AN560" s="4" t="e">
        <f>VLOOKUP(I560,Sheet1!A:D,4,)</f>
        <v>#N/A</v>
      </c>
    </row>
    <row r="561" spans="1:42" hidden="1" x14ac:dyDescent="0.25">
      <c r="K561" s="45"/>
      <c r="M561" s="45"/>
      <c r="N561" s="45"/>
      <c r="O561" s="45"/>
      <c r="P561" s="45"/>
      <c r="Q561" s="46"/>
      <c r="R561" s="46"/>
      <c r="T561" s="45"/>
      <c r="U561" s="45"/>
      <c r="V561" s="45"/>
      <c r="W561" s="47"/>
      <c r="X561" s="45"/>
      <c r="AN561" s="4" t="e">
        <f>VLOOKUP(I561,Sheet1!A:D,4,)</f>
        <v>#N/A</v>
      </c>
    </row>
    <row r="562" spans="1:42" hidden="1" x14ac:dyDescent="0.25">
      <c r="K562" s="45"/>
      <c r="M562" s="45"/>
      <c r="N562" s="45"/>
      <c r="O562" s="45"/>
      <c r="P562" s="45"/>
      <c r="Q562" s="46"/>
      <c r="R562" s="46"/>
      <c r="T562" s="45"/>
      <c r="U562" s="45"/>
      <c r="V562" s="45"/>
      <c r="W562" s="47"/>
      <c r="X562" s="45"/>
      <c r="AN562" s="4" t="e">
        <f>VLOOKUP(I562,Sheet1!A:D,4,)</f>
        <v>#N/A</v>
      </c>
    </row>
    <row r="563" spans="1:42" hidden="1" x14ac:dyDescent="0.25">
      <c r="K563" s="45"/>
      <c r="M563" s="45"/>
      <c r="N563" s="45"/>
      <c r="O563" s="45"/>
      <c r="P563" s="45"/>
      <c r="Q563" s="46"/>
      <c r="R563" s="46"/>
      <c r="T563" s="45"/>
      <c r="U563" s="45"/>
      <c r="V563" s="45"/>
      <c r="W563" s="47"/>
      <c r="X563" s="45"/>
      <c r="AN563" s="4" t="e">
        <f>VLOOKUP(I563,Sheet1!A:D,4,)</f>
        <v>#N/A</v>
      </c>
    </row>
    <row r="564" spans="1:42" hidden="1" x14ac:dyDescent="0.25">
      <c r="K564" s="45"/>
      <c r="M564" s="45"/>
      <c r="N564" s="45"/>
      <c r="O564" s="45"/>
      <c r="P564" s="45"/>
      <c r="Q564" s="46"/>
      <c r="R564" s="46"/>
      <c r="T564" s="45"/>
      <c r="U564" s="45"/>
      <c r="V564" s="45"/>
      <c r="W564" s="47"/>
      <c r="X564" s="45"/>
      <c r="AN564" s="4" t="e">
        <f>VLOOKUP(I564,Sheet1!A:D,4,)</f>
        <v>#N/A</v>
      </c>
    </row>
    <row r="565" spans="1:42" hidden="1" x14ac:dyDescent="0.25">
      <c r="K565" s="45"/>
      <c r="M565" s="45"/>
      <c r="N565" s="45"/>
      <c r="O565" s="45"/>
      <c r="P565" s="45"/>
      <c r="Q565" s="46"/>
      <c r="R565" s="46"/>
      <c r="T565" s="45"/>
      <c r="U565" s="45"/>
      <c r="V565" s="45"/>
      <c r="W565" s="47"/>
      <c r="X565" s="45"/>
      <c r="AN565" s="4" t="e">
        <f>VLOOKUP(I565,Sheet1!A:D,4,)</f>
        <v>#N/A</v>
      </c>
    </row>
    <row r="566" spans="1:42" hidden="1" x14ac:dyDescent="0.25">
      <c r="K566" s="45"/>
      <c r="M566" s="45"/>
      <c r="N566" s="45"/>
      <c r="O566" s="45"/>
      <c r="P566" s="45"/>
      <c r="Q566" s="46"/>
      <c r="R566" s="46"/>
      <c r="T566" s="45"/>
      <c r="U566" s="45"/>
      <c r="V566" s="45"/>
      <c r="W566" s="47"/>
      <c r="X566" s="45"/>
      <c r="AN566" s="4" t="e">
        <f>VLOOKUP(I566,Sheet1!A:D,4,)</f>
        <v>#N/A</v>
      </c>
    </row>
    <row r="567" spans="1:42" hidden="1" x14ac:dyDescent="0.25">
      <c r="K567" s="45"/>
      <c r="M567" s="45"/>
      <c r="N567" s="45"/>
      <c r="O567" s="45"/>
      <c r="P567" s="45"/>
      <c r="Q567" s="46"/>
      <c r="R567" s="46"/>
      <c r="T567" s="45"/>
      <c r="U567" s="45"/>
      <c r="V567" s="45"/>
      <c r="W567" s="47"/>
      <c r="X567" s="45"/>
      <c r="AN567" s="4" t="e">
        <f>VLOOKUP(I567,Sheet1!A:D,4,)</f>
        <v>#N/A</v>
      </c>
    </row>
    <row r="568" spans="1:42" hidden="1" x14ac:dyDescent="0.25">
      <c r="K568" s="45"/>
      <c r="M568" s="45"/>
      <c r="N568" s="45"/>
      <c r="O568" s="45"/>
      <c r="P568" s="45"/>
      <c r="Q568" s="46"/>
      <c r="R568" s="46"/>
      <c r="T568" s="45"/>
      <c r="U568" s="45"/>
      <c r="V568" s="45"/>
      <c r="W568" s="47"/>
      <c r="X568" s="45"/>
      <c r="AN568" s="4" t="e">
        <f>VLOOKUP(I568,Sheet1!A:D,4,)</f>
        <v>#N/A</v>
      </c>
    </row>
    <row r="569" spans="1:42" hidden="1" x14ac:dyDescent="0.25">
      <c r="K569" s="45"/>
      <c r="M569" s="45"/>
      <c r="N569" s="45"/>
      <c r="O569" s="45"/>
      <c r="P569" s="45"/>
      <c r="Q569" s="46"/>
      <c r="R569" s="46"/>
      <c r="T569" s="45"/>
      <c r="U569" s="45"/>
      <c r="V569" s="45"/>
      <c r="W569" s="47"/>
      <c r="X569" s="45"/>
      <c r="AN569" s="4" t="e">
        <f>VLOOKUP(I569,Sheet1!A:D,4,)</f>
        <v>#N/A</v>
      </c>
    </row>
    <row r="570" spans="1:42" hidden="1" x14ac:dyDescent="0.25">
      <c r="K570" s="45"/>
      <c r="M570" s="45"/>
      <c r="N570" s="45"/>
      <c r="O570" s="45"/>
      <c r="P570" s="45"/>
      <c r="Q570" s="46"/>
      <c r="R570" s="46"/>
      <c r="T570" s="45"/>
      <c r="U570" s="45"/>
      <c r="V570" s="45"/>
      <c r="W570" s="47"/>
      <c r="X570" s="45"/>
      <c r="AN570" s="4" t="e">
        <f>VLOOKUP(I570,Sheet1!A:D,4,)</f>
        <v>#N/A</v>
      </c>
    </row>
    <row r="571" spans="1:42" s="206" customFormat="1" x14ac:dyDescent="0.25">
      <c r="A571" s="226">
        <v>45717</v>
      </c>
      <c r="B571" s="206" t="s">
        <v>40</v>
      </c>
      <c r="C571" s="206" t="s">
        <v>41</v>
      </c>
      <c r="D571" s="221">
        <v>25708041</v>
      </c>
      <c r="E571" s="221">
        <v>24106394</v>
      </c>
      <c r="F571" s="221" t="s">
        <v>166</v>
      </c>
      <c r="G571" s="227">
        <v>45719</v>
      </c>
      <c r="H571" s="206" t="s">
        <v>126</v>
      </c>
      <c r="I571" s="206" t="s">
        <v>398</v>
      </c>
      <c r="J571" s="206" t="s">
        <v>843</v>
      </c>
      <c r="K571" s="228">
        <v>200</v>
      </c>
      <c r="L571" s="229" t="s">
        <v>42</v>
      </c>
      <c r="M571" s="228">
        <v>200</v>
      </c>
      <c r="N571" s="228">
        <v>1440531.2</v>
      </c>
      <c r="O571" s="228">
        <v>288106240</v>
      </c>
      <c r="P571" s="228">
        <v>288106240</v>
      </c>
      <c r="Q571" s="224">
        <v>0</v>
      </c>
      <c r="R571" s="224">
        <v>0</v>
      </c>
      <c r="S571" s="229" t="s">
        <v>43</v>
      </c>
      <c r="T571" s="228">
        <v>214979066</v>
      </c>
      <c r="U571" s="228">
        <v>214979066</v>
      </c>
      <c r="V571" s="228">
        <v>73127174</v>
      </c>
      <c r="W571" s="230">
        <v>0.25382016717099998</v>
      </c>
      <c r="X571" s="228">
        <v>73127174</v>
      </c>
      <c r="Y571" s="206" t="s">
        <v>69</v>
      </c>
      <c r="Z571" s="206" t="s">
        <v>46</v>
      </c>
      <c r="AA571" s="206">
        <v>2306153</v>
      </c>
      <c r="AB571" s="206" t="s">
        <v>126</v>
      </c>
      <c r="AC571" s="206" t="s">
        <v>56</v>
      </c>
      <c r="AD571" s="206" t="s">
        <v>77</v>
      </c>
      <c r="AE571" s="206">
        <v>0</v>
      </c>
      <c r="AF571" s="206" t="s">
        <v>124</v>
      </c>
      <c r="AG571" s="206" t="s">
        <v>81</v>
      </c>
      <c r="AH571" s="206" t="s">
        <v>57</v>
      </c>
      <c r="AI571" s="206" t="s">
        <v>69</v>
      </c>
      <c r="AJ571" s="206" t="s">
        <v>46</v>
      </c>
      <c r="AK571" s="206" t="s">
        <v>54</v>
      </c>
      <c r="AL571" s="206" t="s">
        <v>48</v>
      </c>
      <c r="AM571" s="206" t="s">
        <v>49</v>
      </c>
      <c r="AN571" s="133" t="str">
        <f>VLOOKUP(I571,Sheet1!A:D,4,)</f>
        <v>A320400</v>
      </c>
      <c r="AP571" s="4" t="s">
        <v>845</v>
      </c>
    </row>
    <row r="572" spans="1:42" s="206" customFormat="1" x14ac:dyDescent="0.25">
      <c r="A572" s="226">
        <v>45717</v>
      </c>
      <c r="B572" s="206" t="s">
        <v>40</v>
      </c>
      <c r="C572" s="206" t="s">
        <v>41</v>
      </c>
      <c r="D572" s="221">
        <v>25708042</v>
      </c>
      <c r="E572" s="221">
        <v>24106465</v>
      </c>
      <c r="F572" s="221" t="s">
        <v>721</v>
      </c>
      <c r="G572" s="227">
        <v>45719</v>
      </c>
      <c r="H572" s="206" t="s">
        <v>126</v>
      </c>
      <c r="I572" s="206" t="s">
        <v>286</v>
      </c>
      <c r="J572" s="206" t="s">
        <v>844</v>
      </c>
      <c r="K572" s="228">
        <v>30</v>
      </c>
      <c r="L572" s="229" t="s">
        <v>42</v>
      </c>
      <c r="M572" s="228">
        <v>30</v>
      </c>
      <c r="N572" s="228">
        <v>502773.4</v>
      </c>
      <c r="O572" s="228">
        <v>15083202</v>
      </c>
      <c r="P572" s="228">
        <v>15083202</v>
      </c>
      <c r="Q572" s="224">
        <v>0</v>
      </c>
      <c r="R572" s="224">
        <v>0</v>
      </c>
      <c r="S572" s="229" t="s">
        <v>43</v>
      </c>
      <c r="T572" s="228">
        <v>9744631.6300000008</v>
      </c>
      <c r="U572" s="228">
        <v>9744631.6300000008</v>
      </c>
      <c r="V572" s="228">
        <v>5338570.37</v>
      </c>
      <c r="W572" s="230">
        <v>0.35394144890399998</v>
      </c>
      <c r="X572" s="228">
        <v>5338570.37</v>
      </c>
      <c r="Y572" s="206" t="s">
        <v>69</v>
      </c>
      <c r="Z572" s="206" t="s">
        <v>46</v>
      </c>
      <c r="AA572" s="206">
        <v>2306153</v>
      </c>
      <c r="AB572" s="206" t="s">
        <v>126</v>
      </c>
      <c r="AC572" s="206" t="s">
        <v>56</v>
      </c>
      <c r="AD572" s="206" t="s">
        <v>77</v>
      </c>
      <c r="AE572" s="206">
        <v>0</v>
      </c>
      <c r="AF572" s="206" t="s">
        <v>68</v>
      </c>
      <c r="AG572" s="206" t="s">
        <v>71</v>
      </c>
      <c r="AH572" s="206" t="s">
        <v>53</v>
      </c>
      <c r="AI572" s="206" t="s">
        <v>69</v>
      </c>
      <c r="AJ572" s="206" t="s">
        <v>46</v>
      </c>
      <c r="AK572" s="206" t="s">
        <v>54</v>
      </c>
      <c r="AL572" s="206" t="s">
        <v>48</v>
      </c>
      <c r="AM572" s="206" t="s">
        <v>49</v>
      </c>
      <c r="AN572" s="133" t="str">
        <f>VLOOKUP(I572,Sheet1!A:D,4,)</f>
        <v>A320400</v>
      </c>
      <c r="AP572" s="4" t="s">
        <v>845</v>
      </c>
    </row>
    <row r="573" spans="1:42" s="206" customFormat="1" x14ac:dyDescent="0.25">
      <c r="A573" s="226">
        <v>45717</v>
      </c>
      <c r="B573" s="206" t="s">
        <v>40</v>
      </c>
      <c r="C573" s="206" t="s">
        <v>41</v>
      </c>
      <c r="D573" s="221">
        <v>25708043</v>
      </c>
      <c r="E573" s="221">
        <v>24106442</v>
      </c>
      <c r="F573" s="221" t="s">
        <v>705</v>
      </c>
      <c r="G573" s="227">
        <v>45719</v>
      </c>
      <c r="H573" s="206" t="s">
        <v>115</v>
      </c>
      <c r="I573" s="206" t="s">
        <v>122</v>
      </c>
      <c r="J573" s="206" t="s">
        <v>123</v>
      </c>
      <c r="K573" s="228">
        <v>120</v>
      </c>
      <c r="L573" s="229" t="s">
        <v>42</v>
      </c>
      <c r="M573" s="228">
        <v>120</v>
      </c>
      <c r="N573" s="228">
        <v>431239.87</v>
      </c>
      <c r="O573" s="228">
        <v>51748784.399999999</v>
      </c>
      <c r="P573" s="228">
        <v>51748784.399999999</v>
      </c>
      <c r="Q573" s="224">
        <v>0</v>
      </c>
      <c r="R573" s="224">
        <v>0</v>
      </c>
      <c r="S573" s="229" t="s">
        <v>43</v>
      </c>
      <c r="T573" s="228">
        <v>28284835.579999998</v>
      </c>
      <c r="U573" s="228">
        <v>28284835.579999998</v>
      </c>
      <c r="V573" s="228">
        <v>23463948.82</v>
      </c>
      <c r="W573" s="230">
        <v>0.45342028980999999</v>
      </c>
      <c r="X573" s="228">
        <v>23463948.82</v>
      </c>
      <c r="Y573" s="206" t="s">
        <v>66</v>
      </c>
      <c r="Z573" s="206" t="s">
        <v>44</v>
      </c>
      <c r="AA573" s="206">
        <v>15159</v>
      </c>
      <c r="AB573" s="206" t="s">
        <v>118</v>
      </c>
      <c r="AC573" s="206" t="s">
        <v>154</v>
      </c>
      <c r="AD573" s="206" t="s">
        <v>155</v>
      </c>
      <c r="AE573" s="206">
        <v>0</v>
      </c>
      <c r="AF573" s="206" t="s">
        <v>124</v>
      </c>
      <c r="AG573" s="206" t="s">
        <v>81</v>
      </c>
      <c r="AH573" s="206" t="s">
        <v>57</v>
      </c>
      <c r="AI573" s="206" t="s">
        <v>69</v>
      </c>
      <c r="AJ573" s="206" t="s">
        <v>46</v>
      </c>
      <c r="AK573" s="206" t="s">
        <v>54</v>
      </c>
      <c r="AL573" s="206" t="s">
        <v>48</v>
      </c>
      <c r="AM573" s="206" t="s">
        <v>49</v>
      </c>
      <c r="AN573" s="133" t="str">
        <f>VLOOKUP(I573,Sheet1!A:D,4,)</f>
        <v>A320400</v>
      </c>
      <c r="AP573" s="4" t="s">
        <v>859</v>
      </c>
    </row>
    <row r="574" spans="1:42" s="206" customFormat="1" x14ac:dyDescent="0.25">
      <c r="A574" s="226">
        <v>45717</v>
      </c>
      <c r="B574" s="206" t="s">
        <v>40</v>
      </c>
      <c r="C574" s="206" t="s">
        <v>41</v>
      </c>
      <c r="D574" s="221">
        <v>25708044</v>
      </c>
      <c r="E574" s="221">
        <v>25106548</v>
      </c>
      <c r="F574" s="221" t="s">
        <v>714</v>
      </c>
      <c r="G574" s="227">
        <v>45719</v>
      </c>
      <c r="H574" s="206" t="s">
        <v>126</v>
      </c>
      <c r="I574" s="206" t="s">
        <v>170</v>
      </c>
      <c r="J574" s="206" t="s">
        <v>171</v>
      </c>
      <c r="K574" s="228">
        <v>2</v>
      </c>
      <c r="L574" s="229" t="s">
        <v>42</v>
      </c>
      <c r="M574" s="228">
        <v>2</v>
      </c>
      <c r="N574" s="228">
        <v>2633048.75</v>
      </c>
      <c r="O574" s="228">
        <v>5266097.5</v>
      </c>
      <c r="P574" s="228">
        <v>5266097.5</v>
      </c>
      <c r="Q574" s="224">
        <v>0</v>
      </c>
      <c r="R574" s="224">
        <v>0</v>
      </c>
      <c r="S574" s="229" t="s">
        <v>43</v>
      </c>
      <c r="T574" s="228">
        <v>1047713.21</v>
      </c>
      <c r="U574" s="228">
        <v>1047713.21</v>
      </c>
      <c r="V574" s="228">
        <v>4218384.29</v>
      </c>
      <c r="W574" s="230">
        <v>0.80104561110000005</v>
      </c>
      <c r="X574" s="228">
        <v>4218384.29</v>
      </c>
      <c r="Y574" s="206" t="s">
        <v>69</v>
      </c>
      <c r="Z574" s="206" t="s">
        <v>46</v>
      </c>
      <c r="AA574" s="206">
        <v>2306153</v>
      </c>
      <c r="AB574" s="206" t="s">
        <v>126</v>
      </c>
      <c r="AC574" s="206" t="s">
        <v>56</v>
      </c>
      <c r="AD574" s="206" t="s">
        <v>77</v>
      </c>
      <c r="AE574" s="206">
        <v>0</v>
      </c>
      <c r="AF574" s="206" t="s">
        <v>119</v>
      </c>
      <c r="AG574" s="206" t="s">
        <v>120</v>
      </c>
      <c r="AH574" s="206" t="s">
        <v>121</v>
      </c>
      <c r="AI574" s="206" t="s">
        <v>69</v>
      </c>
      <c r="AJ574" s="206" t="s">
        <v>46</v>
      </c>
      <c r="AK574" s="206" t="s">
        <v>54</v>
      </c>
      <c r="AL574" s="206" t="s">
        <v>48</v>
      </c>
      <c r="AM574" s="206" t="s">
        <v>49</v>
      </c>
      <c r="AN574" s="133" t="str">
        <f>VLOOKUP(I574,Sheet1!A:D,4,)</f>
        <v>A320400</v>
      </c>
      <c r="AP574" s="4" t="s">
        <v>859</v>
      </c>
    </row>
    <row r="575" spans="1:42" s="206" customFormat="1" x14ac:dyDescent="0.25">
      <c r="A575" s="226">
        <v>45717</v>
      </c>
      <c r="B575" s="206" t="s">
        <v>40</v>
      </c>
      <c r="C575" s="206" t="s">
        <v>41</v>
      </c>
      <c r="D575" s="221">
        <v>25708045</v>
      </c>
      <c r="E575" s="221">
        <v>25106560</v>
      </c>
      <c r="F575" s="221" t="s">
        <v>755</v>
      </c>
      <c r="G575" s="227">
        <v>45719</v>
      </c>
      <c r="H575" s="206" t="s">
        <v>115</v>
      </c>
      <c r="I575" s="206" t="s">
        <v>240</v>
      </c>
      <c r="J575" s="206" t="s">
        <v>241</v>
      </c>
      <c r="K575" s="228">
        <v>5</v>
      </c>
      <c r="L575" s="229" t="s">
        <v>42</v>
      </c>
      <c r="M575" s="228">
        <v>5</v>
      </c>
      <c r="N575" s="228">
        <v>4312445.32</v>
      </c>
      <c r="O575" s="228">
        <v>21562226.600000001</v>
      </c>
      <c r="P575" s="228">
        <v>21562226.600000001</v>
      </c>
      <c r="Q575" s="224">
        <v>0</v>
      </c>
      <c r="R575" s="224">
        <v>0</v>
      </c>
      <c r="S575" s="229" t="s">
        <v>43</v>
      </c>
      <c r="T575" s="228">
        <v>14674647.34</v>
      </c>
      <c r="U575" s="228">
        <v>14674647.34</v>
      </c>
      <c r="V575" s="228">
        <v>6887579.2599999998</v>
      </c>
      <c r="W575" s="230">
        <v>0.31942801584300001</v>
      </c>
      <c r="X575" s="228">
        <v>6887579.2599999998</v>
      </c>
      <c r="Y575" s="206" t="s">
        <v>66</v>
      </c>
      <c r="Z575" s="206" t="s">
        <v>44</v>
      </c>
      <c r="AA575" s="206">
        <v>15159</v>
      </c>
      <c r="AB575" s="206" t="s">
        <v>118</v>
      </c>
      <c r="AC575" s="206" t="s">
        <v>154</v>
      </c>
      <c r="AD575" s="206" t="s">
        <v>155</v>
      </c>
      <c r="AE575" s="206">
        <v>0</v>
      </c>
      <c r="AF575" s="206" t="s">
        <v>68</v>
      </c>
      <c r="AG575" s="206" t="s">
        <v>71</v>
      </c>
      <c r="AH575" s="206" t="s">
        <v>53</v>
      </c>
      <c r="AI575" s="206" t="s">
        <v>69</v>
      </c>
      <c r="AJ575" s="206" t="s">
        <v>46</v>
      </c>
      <c r="AK575" s="206" t="s">
        <v>54</v>
      </c>
      <c r="AL575" s="206" t="s">
        <v>48</v>
      </c>
      <c r="AM575" s="206" t="s">
        <v>49</v>
      </c>
      <c r="AN575" s="133" t="str">
        <f>VLOOKUP(I575,Sheet1!A:D,4,)</f>
        <v>A320400</v>
      </c>
      <c r="AP575" s="4" t="s">
        <v>859</v>
      </c>
    </row>
    <row r="576" spans="1:42" s="206" customFormat="1" x14ac:dyDescent="0.25">
      <c r="A576" s="226">
        <v>45717</v>
      </c>
      <c r="B576" s="206" t="s">
        <v>40</v>
      </c>
      <c r="C576" s="206" t="s">
        <v>41</v>
      </c>
      <c r="D576" s="221">
        <v>25708046</v>
      </c>
      <c r="E576" s="221">
        <v>25106562</v>
      </c>
      <c r="F576" s="221" t="s">
        <v>846</v>
      </c>
      <c r="G576" s="227">
        <v>45719</v>
      </c>
      <c r="H576" s="206" t="s">
        <v>126</v>
      </c>
      <c r="I576" s="206" t="s">
        <v>240</v>
      </c>
      <c r="J576" s="206" t="s">
        <v>241</v>
      </c>
      <c r="K576" s="228">
        <v>20</v>
      </c>
      <c r="L576" s="229" t="s">
        <v>42</v>
      </c>
      <c r="M576" s="228">
        <v>20</v>
      </c>
      <c r="N576" s="228">
        <v>4403383.9000000004</v>
      </c>
      <c r="O576" s="228">
        <v>88067678</v>
      </c>
      <c r="P576" s="228">
        <v>88067678</v>
      </c>
      <c r="Q576" s="224">
        <v>0</v>
      </c>
      <c r="R576" s="224">
        <v>0</v>
      </c>
      <c r="S576" s="229" t="s">
        <v>43</v>
      </c>
      <c r="T576" s="228">
        <v>58698589.359999999</v>
      </c>
      <c r="U576" s="228">
        <v>58698589.359999999</v>
      </c>
      <c r="V576" s="228">
        <v>29369088.640000001</v>
      </c>
      <c r="W576" s="230">
        <v>0.33348317233899999</v>
      </c>
      <c r="X576" s="228">
        <v>29369088.640000001</v>
      </c>
      <c r="Y576" s="206" t="s">
        <v>69</v>
      </c>
      <c r="Z576" s="206" t="s">
        <v>46</v>
      </c>
      <c r="AA576" s="206">
        <v>2306153</v>
      </c>
      <c r="AB576" s="206" t="s">
        <v>126</v>
      </c>
      <c r="AC576" s="206" t="s">
        <v>56</v>
      </c>
      <c r="AD576" s="206" t="s">
        <v>77</v>
      </c>
      <c r="AE576" s="206">
        <v>0</v>
      </c>
      <c r="AF576" s="206" t="s">
        <v>68</v>
      </c>
      <c r="AG576" s="206" t="s">
        <v>71</v>
      </c>
      <c r="AH576" s="206" t="s">
        <v>53</v>
      </c>
      <c r="AI576" s="206" t="s">
        <v>69</v>
      </c>
      <c r="AJ576" s="206" t="s">
        <v>46</v>
      </c>
      <c r="AK576" s="206" t="s">
        <v>54</v>
      </c>
      <c r="AL576" s="206" t="s">
        <v>48</v>
      </c>
      <c r="AM576" s="206" t="s">
        <v>49</v>
      </c>
      <c r="AN576" s="133" t="str">
        <f>VLOOKUP(I576,Sheet1!A:D,4,)</f>
        <v>A320400</v>
      </c>
      <c r="AP576" s="4" t="s">
        <v>859</v>
      </c>
    </row>
    <row r="577" spans="1:42" s="206" customFormat="1" x14ac:dyDescent="0.25">
      <c r="A577" s="226">
        <v>45717</v>
      </c>
      <c r="B577" s="206" t="s">
        <v>40</v>
      </c>
      <c r="C577" s="206" t="s">
        <v>41</v>
      </c>
      <c r="D577" s="221">
        <v>25708047</v>
      </c>
      <c r="E577" s="221">
        <v>25106568</v>
      </c>
      <c r="F577" s="221" t="s">
        <v>818</v>
      </c>
      <c r="G577" s="227">
        <v>45719</v>
      </c>
      <c r="H577" s="206" t="s">
        <v>115</v>
      </c>
      <c r="I577" s="206" t="s">
        <v>410</v>
      </c>
      <c r="J577" s="206" t="s">
        <v>847</v>
      </c>
      <c r="K577" s="228">
        <v>20</v>
      </c>
      <c r="L577" s="229" t="s">
        <v>42</v>
      </c>
      <c r="M577" s="228">
        <v>20</v>
      </c>
      <c r="N577" s="228">
        <v>561830.41</v>
      </c>
      <c r="O577" s="228">
        <v>11236608.199999999</v>
      </c>
      <c r="P577" s="228">
        <v>11236608.199999999</v>
      </c>
      <c r="Q577" s="224">
        <v>0</v>
      </c>
      <c r="R577" s="224">
        <v>0</v>
      </c>
      <c r="S577" s="229" t="s">
        <v>43</v>
      </c>
      <c r="T577" s="228">
        <v>7907159.4400000004</v>
      </c>
      <c r="U577" s="228">
        <v>7907159.4400000004</v>
      </c>
      <c r="V577" s="228">
        <v>3329448.76</v>
      </c>
      <c r="W577" s="230">
        <v>0.29630371556399998</v>
      </c>
      <c r="X577" s="228">
        <v>3329448.76</v>
      </c>
      <c r="Y577" s="206" t="s">
        <v>66</v>
      </c>
      <c r="Z577" s="206" t="s">
        <v>44</v>
      </c>
      <c r="AA577" s="206">
        <v>15159</v>
      </c>
      <c r="AB577" s="206" t="s">
        <v>118</v>
      </c>
      <c r="AC577" s="206" t="s">
        <v>154</v>
      </c>
      <c r="AD577" s="206" t="s">
        <v>155</v>
      </c>
      <c r="AE577" s="206">
        <v>0</v>
      </c>
      <c r="AF577" s="206" t="s">
        <v>72</v>
      </c>
      <c r="AG577" s="206" t="s">
        <v>69</v>
      </c>
      <c r="AH577" s="206" t="s">
        <v>46</v>
      </c>
      <c r="AI577" s="206" t="s">
        <v>69</v>
      </c>
      <c r="AJ577" s="206" t="s">
        <v>46</v>
      </c>
      <c r="AK577" s="206" t="s">
        <v>54</v>
      </c>
      <c r="AL577" s="206" t="s">
        <v>48</v>
      </c>
      <c r="AM577" s="206" t="s">
        <v>49</v>
      </c>
      <c r="AN577" s="133" t="str">
        <f>VLOOKUP(I577,Sheet1!A:D,4,)</f>
        <v>A320400</v>
      </c>
      <c r="AP577" s="4" t="s">
        <v>859</v>
      </c>
    </row>
    <row r="578" spans="1:42" s="206" customFormat="1" x14ac:dyDescent="0.25">
      <c r="A578" s="226">
        <v>45717</v>
      </c>
      <c r="B578" s="206" t="s">
        <v>40</v>
      </c>
      <c r="C578" s="206" t="s">
        <v>41</v>
      </c>
      <c r="D578" s="221">
        <v>25708048</v>
      </c>
      <c r="E578" s="221">
        <v>25106577</v>
      </c>
      <c r="F578" s="221" t="s">
        <v>848</v>
      </c>
      <c r="G578" s="227">
        <v>45719</v>
      </c>
      <c r="H578" s="206" t="s">
        <v>126</v>
      </c>
      <c r="I578" s="206" t="s">
        <v>420</v>
      </c>
      <c r="J578" s="206" t="s">
        <v>779</v>
      </c>
      <c r="K578" s="228">
        <v>200</v>
      </c>
      <c r="L578" s="229" t="s">
        <v>42</v>
      </c>
      <c r="M578" s="228">
        <v>200</v>
      </c>
      <c r="N578" s="228">
        <v>2759272.14</v>
      </c>
      <c r="O578" s="228">
        <v>551854428</v>
      </c>
      <c r="P578" s="228">
        <v>551854428</v>
      </c>
      <c r="Q578" s="224">
        <v>0</v>
      </c>
      <c r="R578" s="224">
        <v>0</v>
      </c>
      <c r="S578" s="229" t="s">
        <v>43</v>
      </c>
      <c r="T578" s="228">
        <v>99897942.900000006</v>
      </c>
      <c r="U578" s="228">
        <v>99897942.900000006</v>
      </c>
      <c r="V578" s="228">
        <v>451956485.10000002</v>
      </c>
      <c r="W578" s="230">
        <v>0.81897772703899996</v>
      </c>
      <c r="X578" s="228">
        <v>451956485.10000002</v>
      </c>
      <c r="Y578" s="206" t="s">
        <v>69</v>
      </c>
      <c r="Z578" s="206" t="s">
        <v>46</v>
      </c>
      <c r="AA578" s="206">
        <v>2306153</v>
      </c>
      <c r="AB578" s="206" t="s">
        <v>126</v>
      </c>
      <c r="AC578" s="206" t="s">
        <v>56</v>
      </c>
      <c r="AD578" s="206" t="s">
        <v>77</v>
      </c>
      <c r="AE578" s="206">
        <v>0</v>
      </c>
      <c r="AF578" s="206" t="s">
        <v>780</v>
      </c>
      <c r="AG578" s="206" t="s">
        <v>69</v>
      </c>
      <c r="AH578" s="206" t="s">
        <v>46</v>
      </c>
      <c r="AI578" s="206" t="s">
        <v>69</v>
      </c>
      <c r="AJ578" s="206" t="s">
        <v>46</v>
      </c>
      <c r="AK578" s="206" t="s">
        <v>54</v>
      </c>
      <c r="AL578" s="206" t="s">
        <v>48</v>
      </c>
      <c r="AM578" s="206" t="s">
        <v>49</v>
      </c>
      <c r="AN578" s="133" t="str">
        <f>VLOOKUP(I578,Sheet1!A:D,4,)</f>
        <v>A320400</v>
      </c>
      <c r="AP578" s="4" t="s">
        <v>859</v>
      </c>
    </row>
    <row r="579" spans="1:42" s="206" customFormat="1" x14ac:dyDescent="0.25">
      <c r="A579" s="226">
        <v>45717</v>
      </c>
      <c r="B579" s="206" t="s">
        <v>40</v>
      </c>
      <c r="C579" s="206" t="s">
        <v>41</v>
      </c>
      <c r="D579" s="221">
        <v>25708049</v>
      </c>
      <c r="E579" s="221">
        <v>25106588</v>
      </c>
      <c r="F579" s="221" t="s">
        <v>849</v>
      </c>
      <c r="G579" s="227">
        <v>45719</v>
      </c>
      <c r="H579" s="206" t="s">
        <v>115</v>
      </c>
      <c r="I579" s="206" t="s">
        <v>177</v>
      </c>
      <c r="J579" s="206" t="s">
        <v>178</v>
      </c>
      <c r="K579" s="228">
        <v>20</v>
      </c>
      <c r="L579" s="229" t="s">
        <v>42</v>
      </c>
      <c r="M579" s="228">
        <v>20</v>
      </c>
      <c r="N579" s="228">
        <v>761831.13</v>
      </c>
      <c r="O579" s="228">
        <v>15236622.6</v>
      </c>
      <c r="P579" s="228">
        <v>15236622.6</v>
      </c>
      <c r="Q579" s="224">
        <v>0</v>
      </c>
      <c r="R579" s="224">
        <v>0</v>
      </c>
      <c r="S579" s="229" t="s">
        <v>43</v>
      </c>
      <c r="T579" s="228">
        <v>9873529.3300000001</v>
      </c>
      <c r="U579" s="228">
        <v>9873529.3300000001</v>
      </c>
      <c r="V579" s="228">
        <v>5363093.2699999996</v>
      </c>
      <c r="W579" s="230">
        <v>0.35198701252800002</v>
      </c>
      <c r="X579" s="228">
        <v>5363093.2699999996</v>
      </c>
      <c r="Y579" s="206" t="s">
        <v>66</v>
      </c>
      <c r="Z579" s="206" t="s">
        <v>44</v>
      </c>
      <c r="AA579" s="206">
        <v>15159</v>
      </c>
      <c r="AB579" s="206" t="s">
        <v>118</v>
      </c>
      <c r="AC579" s="206" t="s">
        <v>154</v>
      </c>
      <c r="AD579" s="206" t="s">
        <v>155</v>
      </c>
      <c r="AE579" s="206">
        <v>0</v>
      </c>
      <c r="AF579" s="206" t="s">
        <v>72</v>
      </c>
      <c r="AG579" s="206" t="s">
        <v>69</v>
      </c>
      <c r="AH579" s="206" t="s">
        <v>46</v>
      </c>
      <c r="AI579" s="206" t="s">
        <v>69</v>
      </c>
      <c r="AJ579" s="206" t="s">
        <v>46</v>
      </c>
      <c r="AK579" s="206" t="s">
        <v>54</v>
      </c>
      <c r="AL579" s="206" t="s">
        <v>48</v>
      </c>
      <c r="AM579" s="206" t="s">
        <v>49</v>
      </c>
      <c r="AN579" s="133" t="str">
        <f>VLOOKUP(I579,Sheet1!A:D,4,)</f>
        <v>A320400</v>
      </c>
      <c r="AP579" s="4" t="s">
        <v>859</v>
      </c>
    </row>
    <row r="580" spans="1:42" s="206" customFormat="1" x14ac:dyDescent="0.25">
      <c r="A580" s="226">
        <v>45717</v>
      </c>
      <c r="B580" s="206" t="s">
        <v>40</v>
      </c>
      <c r="C580" s="206" t="s">
        <v>41</v>
      </c>
      <c r="D580" s="221">
        <v>25708050</v>
      </c>
      <c r="E580" s="221">
        <v>25106591</v>
      </c>
      <c r="F580" s="221" t="s">
        <v>850</v>
      </c>
      <c r="G580" s="227">
        <v>45719</v>
      </c>
      <c r="H580" s="206" t="s">
        <v>126</v>
      </c>
      <c r="I580" s="206" t="s">
        <v>170</v>
      </c>
      <c r="J580" s="206" t="s">
        <v>171</v>
      </c>
      <c r="K580" s="228">
        <v>11</v>
      </c>
      <c r="L580" s="229" t="s">
        <v>42</v>
      </c>
      <c r="M580" s="228">
        <v>11</v>
      </c>
      <c r="N580" s="228">
        <v>2671072.17</v>
      </c>
      <c r="O580" s="228">
        <v>29381793.870000001</v>
      </c>
      <c r="P580" s="228">
        <v>29381793.870000001</v>
      </c>
      <c r="Q580" s="224">
        <v>0</v>
      </c>
      <c r="R580" s="224">
        <v>0</v>
      </c>
      <c r="S580" s="229" t="s">
        <v>43</v>
      </c>
      <c r="T580" s="228">
        <v>5762422.6799999997</v>
      </c>
      <c r="U580" s="228">
        <v>5762422.6799999997</v>
      </c>
      <c r="V580" s="228">
        <v>23619371.190000001</v>
      </c>
      <c r="W580" s="230">
        <v>0.80387777868499999</v>
      </c>
      <c r="X580" s="228">
        <v>23619371.190000001</v>
      </c>
      <c r="Y580" s="206" t="s">
        <v>69</v>
      </c>
      <c r="Z580" s="206" t="s">
        <v>46</v>
      </c>
      <c r="AA580" s="206">
        <v>2306153</v>
      </c>
      <c r="AB580" s="206" t="s">
        <v>126</v>
      </c>
      <c r="AC580" s="206" t="s">
        <v>56</v>
      </c>
      <c r="AD580" s="206" t="s">
        <v>77</v>
      </c>
      <c r="AE580" s="206">
        <v>0</v>
      </c>
      <c r="AF580" s="206" t="s">
        <v>119</v>
      </c>
      <c r="AG580" s="206" t="s">
        <v>120</v>
      </c>
      <c r="AH580" s="206" t="s">
        <v>121</v>
      </c>
      <c r="AI580" s="206" t="s">
        <v>69</v>
      </c>
      <c r="AJ580" s="206" t="s">
        <v>46</v>
      </c>
      <c r="AK580" s="206" t="s">
        <v>54</v>
      </c>
      <c r="AL580" s="206" t="s">
        <v>48</v>
      </c>
      <c r="AM580" s="206" t="s">
        <v>49</v>
      </c>
      <c r="AN580" s="133" t="str">
        <f>VLOOKUP(I580,Sheet1!A:D,4,)</f>
        <v>A320400</v>
      </c>
      <c r="AP580" s="4" t="s">
        <v>859</v>
      </c>
    </row>
    <row r="581" spans="1:42" s="206" customFormat="1" x14ac:dyDescent="0.25">
      <c r="A581" s="226">
        <v>45717</v>
      </c>
      <c r="B581" s="206" t="s">
        <v>40</v>
      </c>
      <c r="C581" s="206" t="s">
        <v>41</v>
      </c>
      <c r="D581" s="221">
        <v>25708050</v>
      </c>
      <c r="E581" s="221">
        <v>25106591</v>
      </c>
      <c r="F581" s="221" t="s">
        <v>850</v>
      </c>
      <c r="G581" s="227">
        <v>45719</v>
      </c>
      <c r="H581" s="206" t="s">
        <v>126</v>
      </c>
      <c r="I581" s="206" t="s">
        <v>400</v>
      </c>
      <c r="J581" s="206" t="s">
        <v>851</v>
      </c>
      <c r="K581" s="228">
        <v>5</v>
      </c>
      <c r="L581" s="229" t="s">
        <v>42</v>
      </c>
      <c r="M581" s="228">
        <v>5</v>
      </c>
      <c r="N581" s="228">
        <v>3445531.78</v>
      </c>
      <c r="O581" s="228">
        <v>17227658.899999999</v>
      </c>
      <c r="P581" s="228">
        <v>17227658.899999999</v>
      </c>
      <c r="Q581" s="224">
        <v>0</v>
      </c>
      <c r="R581" s="224">
        <v>0</v>
      </c>
      <c r="S581" s="229" t="s">
        <v>43</v>
      </c>
      <c r="T581" s="228">
        <v>9713264.6500000004</v>
      </c>
      <c r="U581" s="228">
        <v>9713264.6500000004</v>
      </c>
      <c r="V581" s="228">
        <v>7514394.25</v>
      </c>
      <c r="W581" s="230">
        <v>0.43618197304799999</v>
      </c>
      <c r="X581" s="228">
        <v>7514394.25</v>
      </c>
      <c r="Y581" s="206" t="s">
        <v>69</v>
      </c>
      <c r="Z581" s="206" t="s">
        <v>46</v>
      </c>
      <c r="AA581" s="206">
        <v>2306153</v>
      </c>
      <c r="AB581" s="206" t="s">
        <v>126</v>
      </c>
      <c r="AC581" s="206" t="s">
        <v>56</v>
      </c>
      <c r="AD581" s="206" t="s">
        <v>77</v>
      </c>
      <c r="AE581" s="206">
        <v>0</v>
      </c>
      <c r="AF581" s="206" t="s">
        <v>124</v>
      </c>
      <c r="AG581" s="206" t="s">
        <v>131</v>
      </c>
      <c r="AH581" s="206" t="s">
        <v>132</v>
      </c>
      <c r="AI581" s="206" t="s">
        <v>69</v>
      </c>
      <c r="AJ581" s="206" t="s">
        <v>46</v>
      </c>
      <c r="AK581" s="206" t="s">
        <v>54</v>
      </c>
      <c r="AL581" s="206" t="s">
        <v>48</v>
      </c>
      <c r="AM581" s="206" t="s">
        <v>49</v>
      </c>
      <c r="AN581" s="133" t="str">
        <f>VLOOKUP(I581,Sheet1!A:D,4,)</f>
        <v>A320400</v>
      </c>
      <c r="AP581" s="4" t="s">
        <v>859</v>
      </c>
    </row>
    <row r="582" spans="1:42" s="206" customFormat="1" x14ac:dyDescent="0.25">
      <c r="A582" s="226">
        <v>45717</v>
      </c>
      <c r="B582" s="206" t="s">
        <v>40</v>
      </c>
      <c r="C582" s="206" t="s">
        <v>41</v>
      </c>
      <c r="D582" s="221">
        <v>25708050</v>
      </c>
      <c r="E582" s="221">
        <v>25106591</v>
      </c>
      <c r="F582" s="221" t="s">
        <v>850</v>
      </c>
      <c r="G582" s="227">
        <v>45719</v>
      </c>
      <c r="H582" s="206" t="s">
        <v>126</v>
      </c>
      <c r="I582" s="206" t="s">
        <v>404</v>
      </c>
      <c r="J582" s="206" t="s">
        <v>852</v>
      </c>
      <c r="K582" s="228">
        <v>20</v>
      </c>
      <c r="L582" s="229" t="s">
        <v>42</v>
      </c>
      <c r="M582" s="228">
        <v>20</v>
      </c>
      <c r="N582" s="228">
        <v>4190542.41</v>
      </c>
      <c r="O582" s="228">
        <v>83810848.200000003</v>
      </c>
      <c r="P582" s="228">
        <v>83810848.200000003</v>
      </c>
      <c r="Q582" s="224">
        <v>0</v>
      </c>
      <c r="R582" s="224">
        <v>0</v>
      </c>
      <c r="S582" s="229" t="s">
        <v>43</v>
      </c>
      <c r="T582" s="228">
        <v>41839114</v>
      </c>
      <c r="U582" s="228">
        <v>41839114</v>
      </c>
      <c r="V582" s="228">
        <v>41971734.200000003</v>
      </c>
      <c r="W582" s="230">
        <v>0.50079118755399998</v>
      </c>
      <c r="X582" s="228">
        <v>41971734.200000003</v>
      </c>
      <c r="Y582" s="206" t="s">
        <v>69</v>
      </c>
      <c r="Z582" s="206" t="s">
        <v>46</v>
      </c>
      <c r="AA582" s="206">
        <v>2306153</v>
      </c>
      <c r="AB582" s="206" t="s">
        <v>126</v>
      </c>
      <c r="AC582" s="206" t="s">
        <v>56</v>
      </c>
      <c r="AD582" s="206" t="s">
        <v>77</v>
      </c>
      <c r="AE582" s="206">
        <v>0</v>
      </c>
      <c r="AF582" s="206" t="s">
        <v>119</v>
      </c>
      <c r="AG582" s="206" t="s">
        <v>131</v>
      </c>
      <c r="AH582" s="206" t="s">
        <v>132</v>
      </c>
      <c r="AI582" s="206" t="s">
        <v>69</v>
      </c>
      <c r="AJ582" s="206" t="s">
        <v>46</v>
      </c>
      <c r="AK582" s="206" t="s">
        <v>54</v>
      </c>
      <c r="AL582" s="206" t="s">
        <v>48</v>
      </c>
      <c r="AM582" s="206" t="s">
        <v>49</v>
      </c>
      <c r="AN582" s="133" t="str">
        <f>VLOOKUP(I582,Sheet1!A:D,4,)</f>
        <v>A320400</v>
      </c>
      <c r="AP582" s="4" t="s">
        <v>859</v>
      </c>
    </row>
    <row r="583" spans="1:42" s="206" customFormat="1" x14ac:dyDescent="0.25">
      <c r="A583" s="226">
        <v>45717</v>
      </c>
      <c r="B583" s="206" t="s">
        <v>40</v>
      </c>
      <c r="C583" s="206" t="s">
        <v>41</v>
      </c>
      <c r="D583" s="221">
        <v>25708052</v>
      </c>
      <c r="E583" s="221">
        <v>25106568</v>
      </c>
      <c r="F583" s="221" t="s">
        <v>818</v>
      </c>
      <c r="G583" s="227">
        <v>45719</v>
      </c>
      <c r="H583" s="206" t="s">
        <v>115</v>
      </c>
      <c r="I583" s="206" t="s">
        <v>411</v>
      </c>
      <c r="J583" s="206" t="s">
        <v>713</v>
      </c>
      <c r="K583" s="228">
        <v>20</v>
      </c>
      <c r="L583" s="229" t="s">
        <v>42</v>
      </c>
      <c r="M583" s="228">
        <v>20</v>
      </c>
      <c r="N583" s="228">
        <v>2038499.71</v>
      </c>
      <c r="O583" s="228">
        <v>40769994.200000003</v>
      </c>
      <c r="P583" s="228">
        <v>40769994.200000003</v>
      </c>
      <c r="Q583" s="224">
        <v>0</v>
      </c>
      <c r="R583" s="224">
        <v>0</v>
      </c>
      <c r="S583" s="229" t="s">
        <v>43</v>
      </c>
      <c r="T583" s="228">
        <v>20306426.32</v>
      </c>
      <c r="U583" s="228">
        <v>20306426.32</v>
      </c>
      <c r="V583" s="228">
        <v>20463567.879999999</v>
      </c>
      <c r="W583" s="230">
        <v>0.50192717172300005</v>
      </c>
      <c r="X583" s="228">
        <v>20463567.879999999</v>
      </c>
      <c r="Y583" s="206" t="s">
        <v>66</v>
      </c>
      <c r="Z583" s="206" t="s">
        <v>44</v>
      </c>
      <c r="AA583" s="206">
        <v>15159</v>
      </c>
      <c r="AB583" s="206" t="s">
        <v>118</v>
      </c>
      <c r="AC583" s="206" t="s">
        <v>154</v>
      </c>
      <c r="AD583" s="206" t="s">
        <v>155</v>
      </c>
      <c r="AE583" s="206">
        <v>0</v>
      </c>
      <c r="AF583" s="206" t="s">
        <v>68</v>
      </c>
      <c r="AG583" s="206" t="s">
        <v>69</v>
      </c>
      <c r="AH583" s="206" t="s">
        <v>46</v>
      </c>
      <c r="AI583" s="206" t="s">
        <v>69</v>
      </c>
      <c r="AJ583" s="206" t="s">
        <v>46</v>
      </c>
      <c r="AK583" s="206" t="s">
        <v>54</v>
      </c>
      <c r="AL583" s="206" t="s">
        <v>48</v>
      </c>
      <c r="AM583" s="206" t="s">
        <v>49</v>
      </c>
      <c r="AN583" s="133" t="str">
        <f>VLOOKUP(I583,Sheet1!A:D,4,)</f>
        <v>A320400</v>
      </c>
      <c r="AP583" s="4" t="s">
        <v>859</v>
      </c>
    </row>
    <row r="584" spans="1:42" s="206" customFormat="1" x14ac:dyDescent="0.25">
      <c r="A584" s="226">
        <v>45717</v>
      </c>
      <c r="B584" s="206" t="s">
        <v>40</v>
      </c>
      <c r="C584" s="206" t="s">
        <v>41</v>
      </c>
      <c r="D584" s="221">
        <v>25708053</v>
      </c>
      <c r="E584" s="221">
        <v>25106586</v>
      </c>
      <c r="F584" s="221" t="s">
        <v>854</v>
      </c>
      <c r="G584" s="227">
        <v>45719</v>
      </c>
      <c r="H584" s="206" t="s">
        <v>115</v>
      </c>
      <c r="I584" s="206" t="s">
        <v>248</v>
      </c>
      <c r="J584" s="206" t="s">
        <v>711</v>
      </c>
      <c r="K584" s="228">
        <v>220</v>
      </c>
      <c r="L584" s="229" t="s">
        <v>42</v>
      </c>
      <c r="M584" s="228">
        <v>220</v>
      </c>
      <c r="N584" s="228">
        <v>1459753.65</v>
      </c>
      <c r="O584" s="228">
        <v>321145803</v>
      </c>
      <c r="P584" s="228">
        <v>321145803</v>
      </c>
      <c r="Q584" s="224">
        <v>0</v>
      </c>
      <c r="R584" s="224">
        <v>0</v>
      </c>
      <c r="S584" s="229" t="s">
        <v>43</v>
      </c>
      <c r="T584" s="228">
        <v>248369183.03999999</v>
      </c>
      <c r="U584" s="228">
        <v>248369183.03999999</v>
      </c>
      <c r="V584" s="228">
        <v>72776619.959999993</v>
      </c>
      <c r="W584" s="230">
        <v>0.22661551008899999</v>
      </c>
      <c r="X584" s="228">
        <v>72776619.959999993</v>
      </c>
      <c r="Y584" s="206" t="s">
        <v>66</v>
      </c>
      <c r="Z584" s="206" t="s">
        <v>44</v>
      </c>
      <c r="AA584" s="206">
        <v>15159</v>
      </c>
      <c r="AB584" s="206" t="s">
        <v>118</v>
      </c>
      <c r="AC584" s="206" t="s">
        <v>154</v>
      </c>
      <c r="AD584" s="206" t="s">
        <v>155</v>
      </c>
      <c r="AE584" s="206">
        <v>0</v>
      </c>
      <c r="AF584" s="206" t="s">
        <v>72</v>
      </c>
      <c r="AG584" s="206" t="s">
        <v>69</v>
      </c>
      <c r="AH584" s="206" t="s">
        <v>46</v>
      </c>
      <c r="AI584" s="206" t="s">
        <v>69</v>
      </c>
      <c r="AJ584" s="206" t="s">
        <v>46</v>
      </c>
      <c r="AK584" s="206" t="s">
        <v>54</v>
      </c>
      <c r="AL584" s="206" t="s">
        <v>48</v>
      </c>
      <c r="AM584" s="206" t="s">
        <v>49</v>
      </c>
      <c r="AN584" s="133" t="str">
        <f>VLOOKUP(I584,Sheet1!A:D,4,)</f>
        <v>A320400</v>
      </c>
      <c r="AP584" s="4" t="s">
        <v>859</v>
      </c>
    </row>
    <row r="585" spans="1:42" s="206" customFormat="1" x14ac:dyDescent="0.25">
      <c r="A585" s="226">
        <v>45717</v>
      </c>
      <c r="B585" s="206" t="s">
        <v>40</v>
      </c>
      <c r="C585" s="206" t="s">
        <v>41</v>
      </c>
      <c r="D585" s="221">
        <v>25708054</v>
      </c>
      <c r="E585" s="221">
        <v>25106596</v>
      </c>
      <c r="F585" s="221" t="s">
        <v>855</v>
      </c>
      <c r="G585" s="227">
        <v>45719</v>
      </c>
      <c r="H585" s="206" t="s">
        <v>115</v>
      </c>
      <c r="I585" s="206" t="s">
        <v>299</v>
      </c>
      <c r="J585" s="206" t="s">
        <v>856</v>
      </c>
      <c r="K585" s="228">
        <v>60</v>
      </c>
      <c r="L585" s="229" t="s">
        <v>42</v>
      </c>
      <c r="M585" s="228">
        <v>60</v>
      </c>
      <c r="N585" s="228">
        <v>796678.08</v>
      </c>
      <c r="O585" s="228">
        <v>47800684.799999997</v>
      </c>
      <c r="P585" s="228">
        <v>47800684.799999997</v>
      </c>
      <c r="Q585" s="224">
        <v>0</v>
      </c>
      <c r="R585" s="224">
        <v>0</v>
      </c>
      <c r="S585" s="229" t="s">
        <v>43</v>
      </c>
      <c r="T585" s="228">
        <v>25471265.399999999</v>
      </c>
      <c r="U585" s="228">
        <v>25471265.399999999</v>
      </c>
      <c r="V585" s="228">
        <v>22329419.399999999</v>
      </c>
      <c r="W585" s="230">
        <v>0.46713597291300002</v>
      </c>
      <c r="X585" s="228">
        <v>22329419.399999999</v>
      </c>
      <c r="Y585" s="206" t="s">
        <v>66</v>
      </c>
      <c r="Z585" s="206" t="s">
        <v>44</v>
      </c>
      <c r="AA585" s="206">
        <v>15159</v>
      </c>
      <c r="AB585" s="206" t="s">
        <v>118</v>
      </c>
      <c r="AC585" s="206" t="s">
        <v>154</v>
      </c>
      <c r="AD585" s="206" t="s">
        <v>155</v>
      </c>
      <c r="AE585" s="206">
        <v>0</v>
      </c>
      <c r="AF585" s="206" t="s">
        <v>72</v>
      </c>
      <c r="AG585" s="206" t="s">
        <v>69</v>
      </c>
      <c r="AH585" s="206" t="s">
        <v>46</v>
      </c>
      <c r="AI585" s="206" t="s">
        <v>69</v>
      </c>
      <c r="AJ585" s="206" t="s">
        <v>46</v>
      </c>
      <c r="AK585" s="206" t="s">
        <v>54</v>
      </c>
      <c r="AL585" s="206" t="s">
        <v>48</v>
      </c>
      <c r="AM585" s="206" t="s">
        <v>49</v>
      </c>
      <c r="AN585" s="133" t="str">
        <f>VLOOKUP(I585,Sheet1!A:D,4,)</f>
        <v>A320400</v>
      </c>
      <c r="AP585" s="4" t="s">
        <v>859</v>
      </c>
    </row>
    <row r="586" spans="1:42" s="206" customFormat="1" x14ac:dyDescent="0.25">
      <c r="A586" s="226">
        <v>45717</v>
      </c>
      <c r="B586" s="206" t="s">
        <v>40</v>
      </c>
      <c r="C586" s="206" t="s">
        <v>41</v>
      </c>
      <c r="D586" s="221">
        <v>25708055</v>
      </c>
      <c r="E586" s="221">
        <v>25106604</v>
      </c>
      <c r="F586" s="221" t="s">
        <v>857</v>
      </c>
      <c r="G586" s="227">
        <v>45719</v>
      </c>
      <c r="H586" s="206" t="s">
        <v>150</v>
      </c>
      <c r="I586" s="206" t="s">
        <v>377</v>
      </c>
      <c r="J586" s="206" t="s">
        <v>858</v>
      </c>
      <c r="K586" s="228">
        <v>120</v>
      </c>
      <c r="L586" s="229" t="s">
        <v>42</v>
      </c>
      <c r="M586" s="228">
        <v>120</v>
      </c>
      <c r="N586" s="228">
        <v>1225500.49</v>
      </c>
      <c r="O586" s="228">
        <v>147060058.80000001</v>
      </c>
      <c r="P586" s="228">
        <v>147060058.80000001</v>
      </c>
      <c r="Q586" s="224">
        <v>0</v>
      </c>
      <c r="R586" s="224">
        <v>0</v>
      </c>
      <c r="S586" s="229" t="s">
        <v>43</v>
      </c>
      <c r="T586" s="228">
        <v>99396883.200000003</v>
      </c>
      <c r="U586" s="228">
        <v>99396883.200000003</v>
      </c>
      <c r="V586" s="228">
        <v>47663175.600000001</v>
      </c>
      <c r="W586" s="230">
        <v>0.32410687163399998</v>
      </c>
      <c r="X586" s="228">
        <v>47663175.600000001</v>
      </c>
      <c r="Y586" s="206" t="s">
        <v>69</v>
      </c>
      <c r="Z586" s="206" t="s">
        <v>46</v>
      </c>
      <c r="AA586" s="206">
        <v>2306392</v>
      </c>
      <c r="AB586" s="206" t="s">
        <v>153</v>
      </c>
      <c r="AC586" s="206" t="s">
        <v>154</v>
      </c>
      <c r="AD586" s="206" t="s">
        <v>155</v>
      </c>
      <c r="AE586" s="206">
        <v>0</v>
      </c>
      <c r="AF586" s="206" t="s">
        <v>72</v>
      </c>
      <c r="AG586" s="206" t="s">
        <v>69</v>
      </c>
      <c r="AH586" s="206" t="s">
        <v>46</v>
      </c>
      <c r="AI586" s="206" t="s">
        <v>69</v>
      </c>
      <c r="AJ586" s="206" t="s">
        <v>46</v>
      </c>
      <c r="AK586" s="206" t="s">
        <v>54</v>
      </c>
      <c r="AL586" s="206" t="s">
        <v>48</v>
      </c>
      <c r="AM586" s="206" t="s">
        <v>49</v>
      </c>
      <c r="AN586" s="133" t="str">
        <f>VLOOKUP(I586,Sheet1!A:D,4,)</f>
        <v>A320400</v>
      </c>
      <c r="AP586" s="4" t="s">
        <v>859</v>
      </c>
    </row>
    <row r="587" spans="1:42" s="206" customFormat="1" x14ac:dyDescent="0.25">
      <c r="A587" s="226">
        <v>45717</v>
      </c>
      <c r="B587" s="206" t="s">
        <v>40</v>
      </c>
      <c r="C587" s="206" t="s">
        <v>41</v>
      </c>
      <c r="D587" s="221">
        <v>25708056</v>
      </c>
      <c r="E587" s="221">
        <v>25106598</v>
      </c>
      <c r="F587" s="221" t="s">
        <v>872</v>
      </c>
      <c r="G587" s="227">
        <v>45721</v>
      </c>
      <c r="H587" s="206" t="s">
        <v>150</v>
      </c>
      <c r="I587" s="206" t="s">
        <v>146</v>
      </c>
      <c r="J587" s="206" t="s">
        <v>194</v>
      </c>
      <c r="K587" s="228">
        <v>1</v>
      </c>
      <c r="L587" s="229" t="s">
        <v>42</v>
      </c>
      <c r="M587" s="228">
        <v>1</v>
      </c>
      <c r="N587" s="228">
        <v>9801577.5</v>
      </c>
      <c r="O587" s="228">
        <v>9801577.5</v>
      </c>
      <c r="P587" s="228">
        <v>9801577.5</v>
      </c>
      <c r="Q587" s="224">
        <v>0</v>
      </c>
      <c r="R587" s="224">
        <v>0</v>
      </c>
      <c r="S587" s="229" t="s">
        <v>43</v>
      </c>
      <c r="T587" s="228">
        <v>6262631.7999999998</v>
      </c>
      <c r="U587" s="228">
        <v>6262631.7999999998</v>
      </c>
      <c r="V587" s="228">
        <v>3538945.7</v>
      </c>
      <c r="W587" s="230">
        <v>0.361058788751</v>
      </c>
      <c r="X587" s="228">
        <v>3538945.7</v>
      </c>
      <c r="Y587" s="206" t="s">
        <v>101</v>
      </c>
      <c r="Z587" s="206" t="s">
        <v>46</v>
      </c>
      <c r="AA587" s="206">
        <v>2306392</v>
      </c>
      <c r="AB587" s="206" t="s">
        <v>153</v>
      </c>
      <c r="AC587" s="206" t="s">
        <v>154</v>
      </c>
      <c r="AD587" s="206" t="s">
        <v>155</v>
      </c>
      <c r="AE587" s="206">
        <v>0</v>
      </c>
      <c r="AF587" s="206" t="s">
        <v>191</v>
      </c>
      <c r="AG587" s="206" t="s">
        <v>101</v>
      </c>
      <c r="AH587" s="206" t="s">
        <v>46</v>
      </c>
      <c r="AI587" s="206" t="s">
        <v>101</v>
      </c>
      <c r="AJ587" s="206" t="s">
        <v>46</v>
      </c>
      <c r="AK587" s="206" t="s">
        <v>54</v>
      </c>
      <c r="AL587" s="206" t="s">
        <v>48</v>
      </c>
      <c r="AM587" s="206" t="s">
        <v>49</v>
      </c>
      <c r="AN587" s="133" t="str">
        <f>VLOOKUP(I587,Sheet1!A:D,4,)</f>
        <v>A320400</v>
      </c>
      <c r="AP587" s="4" t="s">
        <v>887</v>
      </c>
    </row>
    <row r="588" spans="1:42" s="206" customFormat="1" x14ac:dyDescent="0.25">
      <c r="A588" s="226">
        <v>45717</v>
      </c>
      <c r="B588" s="206" t="s">
        <v>40</v>
      </c>
      <c r="C588" s="206" t="s">
        <v>41</v>
      </c>
      <c r="D588" s="221">
        <v>25708064</v>
      </c>
      <c r="E588" s="221">
        <v>24106356</v>
      </c>
      <c r="F588" s="221" t="s">
        <v>717</v>
      </c>
      <c r="G588" s="227">
        <v>45729</v>
      </c>
      <c r="H588" s="206" t="s">
        <v>126</v>
      </c>
      <c r="I588" s="206" t="s">
        <v>134</v>
      </c>
      <c r="J588" s="206" t="s">
        <v>135</v>
      </c>
      <c r="K588" s="228">
        <v>10</v>
      </c>
      <c r="L588" s="229" t="s">
        <v>42</v>
      </c>
      <c r="M588" s="228">
        <v>10</v>
      </c>
      <c r="N588" s="228">
        <v>410282.59</v>
      </c>
      <c r="O588" s="228">
        <v>4102825.9</v>
      </c>
      <c r="P588" s="228">
        <v>4102825.9</v>
      </c>
      <c r="Q588" s="224">
        <v>0</v>
      </c>
      <c r="R588" s="224">
        <v>0</v>
      </c>
      <c r="S588" s="229" t="s">
        <v>43</v>
      </c>
      <c r="T588" s="228">
        <v>1807155.58</v>
      </c>
      <c r="U588" s="228">
        <v>1807155.58</v>
      </c>
      <c r="V588" s="228">
        <v>2295670.3199999998</v>
      </c>
      <c r="W588" s="230">
        <v>0.55953393489100001</v>
      </c>
      <c r="X588" s="228">
        <v>2295670.3199999998</v>
      </c>
      <c r="Y588" s="206" t="s">
        <v>69</v>
      </c>
      <c r="Z588" s="206" t="s">
        <v>46</v>
      </c>
      <c r="AA588" s="206">
        <v>2306153</v>
      </c>
      <c r="AB588" s="206" t="s">
        <v>126</v>
      </c>
      <c r="AC588" s="206" t="s">
        <v>56</v>
      </c>
      <c r="AD588" s="206" t="s">
        <v>77</v>
      </c>
      <c r="AE588" s="206">
        <v>0</v>
      </c>
      <c r="AF588" s="206" t="s">
        <v>68</v>
      </c>
      <c r="AG588" s="206" t="s">
        <v>71</v>
      </c>
      <c r="AH588" s="206" t="s">
        <v>53</v>
      </c>
      <c r="AI588" s="206" t="s">
        <v>69</v>
      </c>
      <c r="AJ588" s="206" t="s">
        <v>46</v>
      </c>
      <c r="AK588" s="206" t="s">
        <v>54</v>
      </c>
      <c r="AL588" s="206" t="s">
        <v>48</v>
      </c>
      <c r="AM588" s="206" t="s">
        <v>49</v>
      </c>
      <c r="AN588" s="133" t="str">
        <f>VLOOKUP(I588,Sheet1!A:D,4,)</f>
        <v>A320400</v>
      </c>
      <c r="AP588" s="4" t="s">
        <v>887</v>
      </c>
    </row>
    <row r="589" spans="1:42" s="206" customFormat="1" x14ac:dyDescent="0.25">
      <c r="A589" s="226">
        <v>45717</v>
      </c>
      <c r="B589" s="206" t="s">
        <v>40</v>
      </c>
      <c r="C589" s="206" t="s">
        <v>41</v>
      </c>
      <c r="D589" s="221">
        <v>25708065</v>
      </c>
      <c r="E589" s="221">
        <v>24106442</v>
      </c>
      <c r="F589" s="221" t="s">
        <v>705</v>
      </c>
      <c r="G589" s="227">
        <v>45729</v>
      </c>
      <c r="H589" s="206" t="s">
        <v>115</v>
      </c>
      <c r="I589" s="206" t="s">
        <v>122</v>
      </c>
      <c r="J589" s="206" t="s">
        <v>123</v>
      </c>
      <c r="K589" s="228">
        <v>280</v>
      </c>
      <c r="L589" s="229" t="s">
        <v>42</v>
      </c>
      <c r="M589" s="228">
        <v>280</v>
      </c>
      <c r="N589" s="228">
        <v>431239.87</v>
      </c>
      <c r="O589" s="228">
        <v>120747163.59999999</v>
      </c>
      <c r="P589" s="228">
        <v>120747163.59999999</v>
      </c>
      <c r="Q589" s="224">
        <v>0</v>
      </c>
      <c r="R589" s="224">
        <v>0</v>
      </c>
      <c r="S589" s="229" t="s">
        <v>43</v>
      </c>
      <c r="T589" s="228">
        <v>65997949.68</v>
      </c>
      <c r="U589" s="228">
        <v>65997949.68</v>
      </c>
      <c r="V589" s="228">
        <v>54749213.920000002</v>
      </c>
      <c r="W589" s="230">
        <v>0.45342028986499999</v>
      </c>
      <c r="X589" s="228">
        <v>54749213.920000002</v>
      </c>
      <c r="Y589" s="206" t="s">
        <v>66</v>
      </c>
      <c r="Z589" s="206" t="s">
        <v>44</v>
      </c>
      <c r="AA589" s="206">
        <v>15159</v>
      </c>
      <c r="AB589" s="206" t="s">
        <v>118</v>
      </c>
      <c r="AC589" s="206" t="s">
        <v>154</v>
      </c>
      <c r="AD589" s="206" t="s">
        <v>155</v>
      </c>
      <c r="AE589" s="206">
        <v>0</v>
      </c>
      <c r="AF589" s="206" t="s">
        <v>124</v>
      </c>
      <c r="AG589" s="206" t="s">
        <v>81</v>
      </c>
      <c r="AH589" s="206" t="s">
        <v>57</v>
      </c>
      <c r="AI589" s="206" t="s">
        <v>69</v>
      </c>
      <c r="AJ589" s="206" t="s">
        <v>46</v>
      </c>
      <c r="AK589" s="206" t="s">
        <v>54</v>
      </c>
      <c r="AL589" s="206" t="s">
        <v>48</v>
      </c>
      <c r="AM589" s="206" t="s">
        <v>49</v>
      </c>
      <c r="AN589" s="133" t="str">
        <f>VLOOKUP(I589,Sheet1!A:D,4,)</f>
        <v>A320400</v>
      </c>
      <c r="AP589" s="4" t="s">
        <v>887</v>
      </c>
    </row>
    <row r="590" spans="1:42" s="206" customFormat="1" x14ac:dyDescent="0.25">
      <c r="A590" s="226">
        <v>45717</v>
      </c>
      <c r="B590" s="206" t="s">
        <v>40</v>
      </c>
      <c r="C590" s="206" t="s">
        <v>41</v>
      </c>
      <c r="D590" s="221">
        <v>25708066</v>
      </c>
      <c r="E590" s="221">
        <v>24106443</v>
      </c>
      <c r="F590" s="221" t="s">
        <v>720</v>
      </c>
      <c r="G590" s="227">
        <v>45729</v>
      </c>
      <c r="H590" s="206" t="s">
        <v>126</v>
      </c>
      <c r="I590" s="206" t="s">
        <v>129</v>
      </c>
      <c r="J590" s="206" t="s">
        <v>873</v>
      </c>
      <c r="K590" s="228">
        <v>200</v>
      </c>
      <c r="L590" s="229" t="s">
        <v>42</v>
      </c>
      <c r="M590" s="228">
        <v>200</v>
      </c>
      <c r="N590" s="228">
        <v>854817.34</v>
      </c>
      <c r="O590" s="228">
        <v>170963468</v>
      </c>
      <c r="P590" s="228">
        <v>170963468</v>
      </c>
      <c r="Q590" s="224">
        <v>0</v>
      </c>
      <c r="R590" s="224">
        <v>0</v>
      </c>
      <c r="S590" s="229" t="s">
        <v>43</v>
      </c>
      <c r="T590" s="228">
        <v>110452046</v>
      </c>
      <c r="U590" s="228">
        <v>110452046</v>
      </c>
      <c r="V590" s="228">
        <v>60511422</v>
      </c>
      <c r="W590" s="230">
        <v>0.35394358050800001</v>
      </c>
      <c r="X590" s="228">
        <v>60511422</v>
      </c>
      <c r="Y590" s="206" t="s">
        <v>69</v>
      </c>
      <c r="Z590" s="206" t="s">
        <v>46</v>
      </c>
      <c r="AA590" s="206">
        <v>2306153</v>
      </c>
      <c r="AB590" s="206" t="s">
        <v>126</v>
      </c>
      <c r="AC590" s="206" t="s">
        <v>56</v>
      </c>
      <c r="AD590" s="206" t="s">
        <v>77</v>
      </c>
      <c r="AE590" s="206">
        <v>0</v>
      </c>
      <c r="AF590" s="206" t="s">
        <v>124</v>
      </c>
      <c r="AG590" s="206" t="s">
        <v>131</v>
      </c>
      <c r="AH590" s="206" t="s">
        <v>132</v>
      </c>
      <c r="AI590" s="206" t="s">
        <v>69</v>
      </c>
      <c r="AJ590" s="206" t="s">
        <v>46</v>
      </c>
      <c r="AK590" s="206" t="s">
        <v>54</v>
      </c>
      <c r="AL590" s="206" t="s">
        <v>48</v>
      </c>
      <c r="AM590" s="206" t="s">
        <v>49</v>
      </c>
      <c r="AN590" s="133" t="str">
        <f>VLOOKUP(I590,Sheet1!A:D,4,)</f>
        <v>A320400</v>
      </c>
      <c r="AP590" s="4" t="s">
        <v>887</v>
      </c>
    </row>
    <row r="591" spans="1:42" s="206" customFormat="1" x14ac:dyDescent="0.25">
      <c r="A591" s="226">
        <v>45717</v>
      </c>
      <c r="B591" s="206" t="s">
        <v>40</v>
      </c>
      <c r="C591" s="206" t="s">
        <v>41</v>
      </c>
      <c r="D591" s="221">
        <v>25708067</v>
      </c>
      <c r="E591" s="221">
        <v>24106533</v>
      </c>
      <c r="F591" s="221" t="s">
        <v>874</v>
      </c>
      <c r="G591" s="227">
        <v>45729</v>
      </c>
      <c r="H591" s="206" t="s">
        <v>158</v>
      </c>
      <c r="I591" s="206" t="s">
        <v>291</v>
      </c>
      <c r="J591" s="206" t="s">
        <v>875</v>
      </c>
      <c r="K591" s="228">
        <v>28</v>
      </c>
      <c r="L591" s="229" t="s">
        <v>42</v>
      </c>
      <c r="M591" s="228">
        <v>28</v>
      </c>
      <c r="N591" s="228">
        <v>1145452.8999999999</v>
      </c>
      <c r="O591" s="228">
        <v>32072681.199999999</v>
      </c>
      <c r="P591" s="228">
        <v>32072681.199999999</v>
      </c>
      <c r="Q591" s="224">
        <v>0</v>
      </c>
      <c r="R591" s="224">
        <v>0</v>
      </c>
      <c r="S591" s="229" t="s">
        <v>43</v>
      </c>
      <c r="T591" s="228">
        <v>14834813.039999999</v>
      </c>
      <c r="U591" s="228">
        <v>14834813.039999999</v>
      </c>
      <c r="V591" s="228">
        <v>17237868.16</v>
      </c>
      <c r="W591" s="230">
        <v>0.53746264780599995</v>
      </c>
      <c r="X591" s="228">
        <v>17237868.16</v>
      </c>
      <c r="Y591" s="206" t="s">
        <v>69</v>
      </c>
      <c r="Z591" s="206" t="s">
        <v>46</v>
      </c>
      <c r="AA591" s="206">
        <v>2306495</v>
      </c>
      <c r="AB591" s="206" t="s">
        <v>161</v>
      </c>
      <c r="AC591" s="206" t="s">
        <v>56</v>
      </c>
      <c r="AD591" s="206" t="s">
        <v>77</v>
      </c>
      <c r="AE591" s="206">
        <v>0</v>
      </c>
      <c r="AF591" s="206" t="s">
        <v>72</v>
      </c>
      <c r="AG591" s="206" t="s">
        <v>69</v>
      </c>
      <c r="AH591" s="206" t="s">
        <v>46</v>
      </c>
      <c r="AI591" s="206" t="s">
        <v>69</v>
      </c>
      <c r="AJ591" s="206" t="s">
        <v>46</v>
      </c>
      <c r="AK591" s="206" t="s">
        <v>54</v>
      </c>
      <c r="AL591" s="206" t="s">
        <v>48</v>
      </c>
      <c r="AM591" s="206" t="s">
        <v>49</v>
      </c>
      <c r="AN591" s="133" t="str">
        <f>VLOOKUP(I591,Sheet1!A:D,4,)</f>
        <v>A320400</v>
      </c>
      <c r="AP591" s="4" t="s">
        <v>887</v>
      </c>
    </row>
    <row r="592" spans="1:42" s="206" customFormat="1" x14ac:dyDescent="0.25">
      <c r="A592" s="226">
        <v>45717</v>
      </c>
      <c r="B592" s="206" t="s">
        <v>40</v>
      </c>
      <c r="C592" s="206" t="s">
        <v>41</v>
      </c>
      <c r="D592" s="221">
        <v>25708068</v>
      </c>
      <c r="E592" s="221">
        <v>25106598</v>
      </c>
      <c r="F592" s="221" t="s">
        <v>872</v>
      </c>
      <c r="G592" s="227">
        <v>45729</v>
      </c>
      <c r="H592" s="206" t="s">
        <v>150</v>
      </c>
      <c r="I592" s="206" t="s">
        <v>146</v>
      </c>
      <c r="J592" s="206" t="s">
        <v>147</v>
      </c>
      <c r="K592" s="228">
        <v>9</v>
      </c>
      <c r="L592" s="229" t="s">
        <v>42</v>
      </c>
      <c r="M592" s="228">
        <v>9</v>
      </c>
      <c r="N592" s="228">
        <v>9801577.5</v>
      </c>
      <c r="O592" s="228">
        <v>88214197.5</v>
      </c>
      <c r="P592" s="228">
        <v>88214197.5</v>
      </c>
      <c r="Q592" s="224">
        <v>0</v>
      </c>
      <c r="R592" s="224">
        <v>0</v>
      </c>
      <c r="S592" s="229" t="s">
        <v>43</v>
      </c>
      <c r="T592" s="228">
        <v>56363686.240000002</v>
      </c>
      <c r="U592" s="228">
        <v>56363686.240000002</v>
      </c>
      <c r="V592" s="228">
        <v>31850511.260000002</v>
      </c>
      <c r="W592" s="230">
        <v>0.361058788297</v>
      </c>
      <c r="X592" s="228">
        <v>31850511.260000002</v>
      </c>
      <c r="Y592" s="206" t="s">
        <v>69</v>
      </c>
      <c r="Z592" s="206" t="s">
        <v>46</v>
      </c>
      <c r="AA592" s="206">
        <v>2306392</v>
      </c>
      <c r="AB592" s="206" t="s">
        <v>153</v>
      </c>
      <c r="AC592" s="206" t="s">
        <v>154</v>
      </c>
      <c r="AD592" s="206" t="s">
        <v>155</v>
      </c>
      <c r="AE592" s="206">
        <v>0</v>
      </c>
      <c r="AF592" s="206" t="s">
        <v>68</v>
      </c>
      <c r="AG592" s="206" t="s">
        <v>69</v>
      </c>
      <c r="AH592" s="206" t="s">
        <v>46</v>
      </c>
      <c r="AI592" s="206" t="s">
        <v>69</v>
      </c>
      <c r="AJ592" s="206" t="s">
        <v>46</v>
      </c>
      <c r="AK592" s="206" t="s">
        <v>54</v>
      </c>
      <c r="AL592" s="206" t="s">
        <v>48</v>
      </c>
      <c r="AM592" s="206" t="s">
        <v>49</v>
      </c>
      <c r="AN592" s="133" t="str">
        <f>VLOOKUP(I592,Sheet1!A:D,4,)</f>
        <v>A320400</v>
      </c>
      <c r="AP592" s="4" t="s">
        <v>887</v>
      </c>
    </row>
    <row r="593" spans="1:42" s="206" customFormat="1" x14ac:dyDescent="0.25">
      <c r="A593" s="226">
        <v>45717</v>
      </c>
      <c r="B593" s="206" t="s">
        <v>40</v>
      </c>
      <c r="C593" s="206" t="s">
        <v>41</v>
      </c>
      <c r="D593" s="221">
        <v>25708069</v>
      </c>
      <c r="E593" s="221">
        <v>25106606</v>
      </c>
      <c r="F593" s="221" t="s">
        <v>876</v>
      </c>
      <c r="G593" s="227">
        <v>45729</v>
      </c>
      <c r="H593" s="206" t="s">
        <v>126</v>
      </c>
      <c r="I593" s="206" t="s">
        <v>140</v>
      </c>
      <c r="J593" s="206" t="s">
        <v>141</v>
      </c>
      <c r="K593" s="228">
        <v>270</v>
      </c>
      <c r="L593" s="229" t="s">
        <v>42</v>
      </c>
      <c r="M593" s="228">
        <v>270</v>
      </c>
      <c r="N593" s="228">
        <v>527315.89</v>
      </c>
      <c r="O593" s="228">
        <v>142375290.30000001</v>
      </c>
      <c r="P593" s="228">
        <v>142375290.30000001</v>
      </c>
      <c r="Q593" s="224">
        <v>0</v>
      </c>
      <c r="R593" s="224">
        <v>0</v>
      </c>
      <c r="S593" s="229" t="s">
        <v>43</v>
      </c>
      <c r="T593" s="228">
        <v>59683830.82</v>
      </c>
      <c r="U593" s="228">
        <v>59683830.82</v>
      </c>
      <c r="V593" s="228">
        <v>82691459.480000004</v>
      </c>
      <c r="W593" s="230">
        <v>0.58079923353100005</v>
      </c>
      <c r="X593" s="228">
        <v>82691459.480000004</v>
      </c>
      <c r="Y593" s="206" t="s">
        <v>69</v>
      </c>
      <c r="Z593" s="206" t="s">
        <v>46</v>
      </c>
      <c r="AA593" s="206">
        <v>2306153</v>
      </c>
      <c r="AB593" s="206" t="s">
        <v>126</v>
      </c>
      <c r="AC593" s="206" t="s">
        <v>56</v>
      </c>
      <c r="AD593" s="206" t="s">
        <v>77</v>
      </c>
      <c r="AE593" s="206">
        <v>0</v>
      </c>
      <c r="AF593" s="206" t="s">
        <v>68</v>
      </c>
      <c r="AG593" s="206" t="s">
        <v>142</v>
      </c>
      <c r="AH593" s="206" t="s">
        <v>143</v>
      </c>
      <c r="AI593" s="206" t="s">
        <v>69</v>
      </c>
      <c r="AJ593" s="206" t="s">
        <v>46</v>
      </c>
      <c r="AK593" s="206" t="s">
        <v>54</v>
      </c>
      <c r="AL593" s="206" t="s">
        <v>48</v>
      </c>
      <c r="AM593" s="206" t="s">
        <v>49</v>
      </c>
      <c r="AN593" s="133" t="str">
        <f>VLOOKUP(I593,Sheet1!A:D,4,)</f>
        <v>A320400</v>
      </c>
      <c r="AP593" s="4" t="s">
        <v>887</v>
      </c>
    </row>
    <row r="594" spans="1:42" s="206" customFormat="1" x14ac:dyDescent="0.25">
      <c r="A594" s="226">
        <v>45717</v>
      </c>
      <c r="B594" s="206" t="s">
        <v>40</v>
      </c>
      <c r="C594" s="206" t="s">
        <v>41</v>
      </c>
      <c r="D594" s="221">
        <v>25708070</v>
      </c>
      <c r="E594" s="221">
        <v>25106608</v>
      </c>
      <c r="F594" s="221" t="s">
        <v>788</v>
      </c>
      <c r="G594" s="227">
        <v>45729</v>
      </c>
      <c r="H594" s="206" t="s">
        <v>158</v>
      </c>
      <c r="I594" s="206" t="s">
        <v>146</v>
      </c>
      <c r="J594" s="206" t="s">
        <v>147</v>
      </c>
      <c r="K594" s="228">
        <v>5</v>
      </c>
      <c r="L594" s="229" t="s">
        <v>42</v>
      </c>
      <c r="M594" s="228">
        <v>5</v>
      </c>
      <c r="N594" s="228">
        <v>9551269.4399999995</v>
      </c>
      <c r="O594" s="228">
        <v>47756347.200000003</v>
      </c>
      <c r="P594" s="228">
        <v>47756347.200000003</v>
      </c>
      <c r="Q594" s="224">
        <v>0</v>
      </c>
      <c r="R594" s="224">
        <v>0</v>
      </c>
      <c r="S594" s="229" t="s">
        <v>43</v>
      </c>
      <c r="T594" s="228">
        <v>31313159.02</v>
      </c>
      <c r="U594" s="228">
        <v>31313159.02</v>
      </c>
      <c r="V594" s="228">
        <v>16443188.18</v>
      </c>
      <c r="W594" s="230">
        <v>0.34431419369499999</v>
      </c>
      <c r="X594" s="228">
        <v>16443188.18</v>
      </c>
      <c r="Y594" s="206" t="s">
        <v>69</v>
      </c>
      <c r="Z594" s="206" t="s">
        <v>46</v>
      </c>
      <c r="AA594" s="206">
        <v>2306495</v>
      </c>
      <c r="AB594" s="206" t="s">
        <v>161</v>
      </c>
      <c r="AC594" s="206" t="s">
        <v>56</v>
      </c>
      <c r="AD594" s="206" t="s">
        <v>77</v>
      </c>
      <c r="AE594" s="206">
        <v>0</v>
      </c>
      <c r="AF594" s="206" t="s">
        <v>68</v>
      </c>
      <c r="AG594" s="206" t="s">
        <v>69</v>
      </c>
      <c r="AH594" s="206" t="s">
        <v>46</v>
      </c>
      <c r="AI594" s="206" t="s">
        <v>69</v>
      </c>
      <c r="AJ594" s="206" t="s">
        <v>46</v>
      </c>
      <c r="AK594" s="206" t="s">
        <v>54</v>
      </c>
      <c r="AL594" s="206" t="s">
        <v>48</v>
      </c>
      <c r="AM594" s="206" t="s">
        <v>49</v>
      </c>
      <c r="AN594" s="133" t="str">
        <f>VLOOKUP(I594,Sheet1!A:D,4,)</f>
        <v>A320400</v>
      </c>
      <c r="AP594" s="4" t="s">
        <v>887</v>
      </c>
    </row>
    <row r="595" spans="1:42" s="206" customFormat="1" x14ac:dyDescent="0.25">
      <c r="A595" s="226">
        <v>45717</v>
      </c>
      <c r="B595" s="206" t="s">
        <v>40</v>
      </c>
      <c r="C595" s="206" t="s">
        <v>41</v>
      </c>
      <c r="D595" s="221">
        <v>25708071</v>
      </c>
      <c r="E595" s="221">
        <v>25106613</v>
      </c>
      <c r="F595" s="221" t="s">
        <v>877</v>
      </c>
      <c r="G595" s="227">
        <v>45729</v>
      </c>
      <c r="H595" s="206" t="s">
        <v>126</v>
      </c>
      <c r="I595" s="206" t="s">
        <v>140</v>
      </c>
      <c r="J595" s="206" t="s">
        <v>141</v>
      </c>
      <c r="K595" s="228">
        <v>50</v>
      </c>
      <c r="L595" s="229" t="s">
        <v>42</v>
      </c>
      <c r="M595" s="228">
        <v>50</v>
      </c>
      <c r="N595" s="228">
        <v>527315.89</v>
      </c>
      <c r="O595" s="228">
        <v>26365794.5</v>
      </c>
      <c r="P595" s="228">
        <v>26365794.5</v>
      </c>
      <c r="Q595" s="224">
        <v>0</v>
      </c>
      <c r="R595" s="224">
        <v>0</v>
      </c>
      <c r="S595" s="229" t="s">
        <v>43</v>
      </c>
      <c r="T595" s="228">
        <v>11052561.26</v>
      </c>
      <c r="U595" s="228">
        <v>11052561.26</v>
      </c>
      <c r="V595" s="228">
        <v>15313233.24</v>
      </c>
      <c r="W595" s="230">
        <v>0.58079923364300001</v>
      </c>
      <c r="X595" s="228">
        <v>15313233.24</v>
      </c>
      <c r="Y595" s="206" t="s">
        <v>69</v>
      </c>
      <c r="Z595" s="206" t="s">
        <v>46</v>
      </c>
      <c r="AA595" s="206">
        <v>2306153</v>
      </c>
      <c r="AB595" s="206" t="s">
        <v>126</v>
      </c>
      <c r="AC595" s="206" t="s">
        <v>56</v>
      </c>
      <c r="AD595" s="206" t="s">
        <v>77</v>
      </c>
      <c r="AE595" s="206">
        <v>0</v>
      </c>
      <c r="AF595" s="206" t="s">
        <v>68</v>
      </c>
      <c r="AG595" s="206" t="s">
        <v>142</v>
      </c>
      <c r="AH595" s="206" t="s">
        <v>143</v>
      </c>
      <c r="AI595" s="206" t="s">
        <v>69</v>
      </c>
      <c r="AJ595" s="206" t="s">
        <v>46</v>
      </c>
      <c r="AK595" s="206" t="s">
        <v>54</v>
      </c>
      <c r="AL595" s="206" t="s">
        <v>48</v>
      </c>
      <c r="AM595" s="206" t="s">
        <v>49</v>
      </c>
      <c r="AN595" s="133" t="str">
        <f>VLOOKUP(I595,Sheet1!A:D,4,)</f>
        <v>A320400</v>
      </c>
      <c r="AP595" s="4" t="s">
        <v>887</v>
      </c>
    </row>
    <row r="596" spans="1:42" s="206" customFormat="1" x14ac:dyDescent="0.25">
      <c r="A596" s="226">
        <v>45717</v>
      </c>
      <c r="B596" s="206" t="s">
        <v>40</v>
      </c>
      <c r="C596" s="206" t="s">
        <v>41</v>
      </c>
      <c r="D596" s="221">
        <v>25708072</v>
      </c>
      <c r="E596" s="221">
        <v>25106617</v>
      </c>
      <c r="F596" s="221" t="s">
        <v>878</v>
      </c>
      <c r="G596" s="227">
        <v>45729</v>
      </c>
      <c r="H596" s="206" t="s">
        <v>115</v>
      </c>
      <c r="I596" s="206" t="s">
        <v>146</v>
      </c>
      <c r="J596" s="206" t="s">
        <v>147</v>
      </c>
      <c r="K596" s="228">
        <v>4</v>
      </c>
      <c r="L596" s="229" t="s">
        <v>42</v>
      </c>
      <c r="M596" s="228">
        <v>4</v>
      </c>
      <c r="N596" s="228">
        <v>10906376.35</v>
      </c>
      <c r="O596" s="228">
        <v>43625505.399999999</v>
      </c>
      <c r="P596" s="228">
        <v>43625505.399999999</v>
      </c>
      <c r="Q596" s="224">
        <v>0</v>
      </c>
      <c r="R596" s="224">
        <v>0</v>
      </c>
      <c r="S596" s="229" t="s">
        <v>43</v>
      </c>
      <c r="T596" s="228">
        <v>25050527.219999999</v>
      </c>
      <c r="U596" s="228">
        <v>25050527.219999999</v>
      </c>
      <c r="V596" s="228">
        <v>18574978.18</v>
      </c>
      <c r="W596" s="230">
        <v>0.42578253270999999</v>
      </c>
      <c r="X596" s="228">
        <v>18574978.18</v>
      </c>
      <c r="Y596" s="206" t="s">
        <v>66</v>
      </c>
      <c r="Z596" s="206" t="s">
        <v>44</v>
      </c>
      <c r="AA596" s="206">
        <v>15159</v>
      </c>
      <c r="AB596" s="206" t="s">
        <v>118</v>
      </c>
      <c r="AC596" s="206" t="s">
        <v>154</v>
      </c>
      <c r="AD596" s="206" t="s">
        <v>155</v>
      </c>
      <c r="AE596" s="206">
        <v>0</v>
      </c>
      <c r="AF596" s="206" t="s">
        <v>68</v>
      </c>
      <c r="AG596" s="206" t="s">
        <v>69</v>
      </c>
      <c r="AH596" s="206" t="s">
        <v>46</v>
      </c>
      <c r="AI596" s="206" t="s">
        <v>69</v>
      </c>
      <c r="AJ596" s="206" t="s">
        <v>46</v>
      </c>
      <c r="AK596" s="206" t="s">
        <v>54</v>
      </c>
      <c r="AL596" s="206" t="s">
        <v>48</v>
      </c>
      <c r="AM596" s="206" t="s">
        <v>49</v>
      </c>
      <c r="AN596" s="133" t="str">
        <f>VLOOKUP(I596,Sheet1!A:D,4,)</f>
        <v>A320400</v>
      </c>
      <c r="AP596" s="4" t="s">
        <v>887</v>
      </c>
    </row>
    <row r="597" spans="1:42" s="206" customFormat="1" x14ac:dyDescent="0.25">
      <c r="A597" s="226">
        <v>45717</v>
      </c>
      <c r="B597" s="206" t="s">
        <v>40</v>
      </c>
      <c r="C597" s="206" t="s">
        <v>41</v>
      </c>
      <c r="D597" s="221">
        <v>25708073</v>
      </c>
      <c r="E597" s="221">
        <v>25106618</v>
      </c>
      <c r="F597" s="221" t="s">
        <v>879</v>
      </c>
      <c r="G597" s="227">
        <v>45729</v>
      </c>
      <c r="H597" s="206" t="s">
        <v>115</v>
      </c>
      <c r="I597" s="206" t="s">
        <v>267</v>
      </c>
      <c r="J597" s="206" t="s">
        <v>754</v>
      </c>
      <c r="K597" s="228">
        <v>10</v>
      </c>
      <c r="L597" s="229" t="s">
        <v>42</v>
      </c>
      <c r="M597" s="228">
        <v>10</v>
      </c>
      <c r="N597" s="228">
        <v>1518494.03</v>
      </c>
      <c r="O597" s="228">
        <v>15184940.300000001</v>
      </c>
      <c r="P597" s="228">
        <v>15184940.300000001</v>
      </c>
      <c r="Q597" s="224">
        <v>0</v>
      </c>
      <c r="R597" s="224">
        <v>0</v>
      </c>
      <c r="S597" s="229" t="s">
        <v>43</v>
      </c>
      <c r="T597" s="228">
        <v>5028352.78</v>
      </c>
      <c r="U597" s="228">
        <v>5028352.78</v>
      </c>
      <c r="V597" s="228">
        <v>10156587.52</v>
      </c>
      <c r="W597" s="230">
        <v>0.66885923285399995</v>
      </c>
      <c r="X597" s="228">
        <v>10156587.52</v>
      </c>
      <c r="Y597" s="206" t="s">
        <v>66</v>
      </c>
      <c r="Z597" s="206" t="s">
        <v>44</v>
      </c>
      <c r="AA597" s="206">
        <v>15159</v>
      </c>
      <c r="AB597" s="206" t="s">
        <v>118</v>
      </c>
      <c r="AC597" s="206" t="s">
        <v>154</v>
      </c>
      <c r="AD597" s="206" t="s">
        <v>155</v>
      </c>
      <c r="AE597" s="206">
        <v>0</v>
      </c>
      <c r="AF597" s="206" t="s">
        <v>68</v>
      </c>
      <c r="AG597" s="206" t="s">
        <v>142</v>
      </c>
      <c r="AH597" s="206" t="s">
        <v>143</v>
      </c>
      <c r="AI597" s="206" t="s">
        <v>69</v>
      </c>
      <c r="AJ597" s="206" t="s">
        <v>46</v>
      </c>
      <c r="AK597" s="206" t="s">
        <v>54</v>
      </c>
      <c r="AL597" s="206" t="s">
        <v>48</v>
      </c>
      <c r="AM597" s="206" t="s">
        <v>49</v>
      </c>
      <c r="AN597" s="133" t="str">
        <f>VLOOKUP(I597,Sheet1!A:D,4,)</f>
        <v>A320400</v>
      </c>
      <c r="AP597" s="4" t="s">
        <v>887</v>
      </c>
    </row>
    <row r="598" spans="1:42" s="206" customFormat="1" x14ac:dyDescent="0.25">
      <c r="A598" s="226">
        <v>45717</v>
      </c>
      <c r="B598" s="206" t="s">
        <v>40</v>
      </c>
      <c r="C598" s="206" t="s">
        <v>41</v>
      </c>
      <c r="D598" s="221">
        <v>25708074</v>
      </c>
      <c r="E598" s="221">
        <v>25106623</v>
      </c>
      <c r="F598" s="221" t="s">
        <v>880</v>
      </c>
      <c r="G598" s="227">
        <v>45729</v>
      </c>
      <c r="H598" s="206" t="s">
        <v>126</v>
      </c>
      <c r="I598" s="206" t="s">
        <v>146</v>
      </c>
      <c r="J598" s="206" t="s">
        <v>147</v>
      </c>
      <c r="K598" s="228">
        <v>5</v>
      </c>
      <c r="L598" s="229" t="s">
        <v>42</v>
      </c>
      <c r="M598" s="228">
        <v>5</v>
      </c>
      <c r="N598" s="228">
        <v>14687724.24</v>
      </c>
      <c r="O598" s="228">
        <v>73438621.200000003</v>
      </c>
      <c r="P598" s="228">
        <v>73438621.200000003</v>
      </c>
      <c r="Q598" s="224">
        <v>0</v>
      </c>
      <c r="R598" s="224">
        <v>0</v>
      </c>
      <c r="S598" s="229" t="s">
        <v>43</v>
      </c>
      <c r="T598" s="228">
        <v>31313159.02</v>
      </c>
      <c r="U598" s="228">
        <v>31313159.02</v>
      </c>
      <c r="V598" s="228">
        <v>42125462.18</v>
      </c>
      <c r="W598" s="230">
        <v>0.57361455718599996</v>
      </c>
      <c r="X598" s="228">
        <v>42125462.18</v>
      </c>
      <c r="Y598" s="206" t="s">
        <v>69</v>
      </c>
      <c r="Z598" s="206" t="s">
        <v>46</v>
      </c>
      <c r="AA598" s="206">
        <v>2306153</v>
      </c>
      <c r="AB598" s="206" t="s">
        <v>126</v>
      </c>
      <c r="AC598" s="206" t="s">
        <v>56</v>
      </c>
      <c r="AD598" s="206" t="s">
        <v>77</v>
      </c>
      <c r="AE598" s="206">
        <v>0</v>
      </c>
      <c r="AF598" s="206" t="s">
        <v>68</v>
      </c>
      <c r="AG598" s="206" t="s">
        <v>69</v>
      </c>
      <c r="AH598" s="206" t="s">
        <v>46</v>
      </c>
      <c r="AI598" s="206" t="s">
        <v>69</v>
      </c>
      <c r="AJ598" s="206" t="s">
        <v>46</v>
      </c>
      <c r="AK598" s="206" t="s">
        <v>54</v>
      </c>
      <c r="AL598" s="206" t="s">
        <v>48</v>
      </c>
      <c r="AM598" s="206" t="s">
        <v>49</v>
      </c>
      <c r="AN598" s="133" t="str">
        <f>VLOOKUP(I598,Sheet1!A:D,4,)</f>
        <v>A320400</v>
      </c>
      <c r="AP598" s="4" t="s">
        <v>887</v>
      </c>
    </row>
    <row r="599" spans="1:42" s="206" customFormat="1" x14ac:dyDescent="0.25">
      <c r="A599" s="226">
        <v>45717</v>
      </c>
      <c r="B599" s="206" t="s">
        <v>40</v>
      </c>
      <c r="C599" s="206" t="s">
        <v>41</v>
      </c>
      <c r="D599" s="221">
        <v>25708075</v>
      </c>
      <c r="E599" s="221">
        <v>24106475</v>
      </c>
      <c r="F599" s="221" t="s">
        <v>881</v>
      </c>
      <c r="G599" s="227">
        <v>45729</v>
      </c>
      <c r="H599" s="206" t="s">
        <v>126</v>
      </c>
      <c r="I599" s="206" t="s">
        <v>137</v>
      </c>
      <c r="J599" s="206" t="s">
        <v>138</v>
      </c>
      <c r="K599" s="228">
        <v>600</v>
      </c>
      <c r="L599" s="229" t="s">
        <v>42</v>
      </c>
      <c r="M599" s="228">
        <v>600</v>
      </c>
      <c r="N599" s="228">
        <v>709797.74</v>
      </c>
      <c r="O599" s="228">
        <v>425878644</v>
      </c>
      <c r="P599" s="228">
        <v>425878644</v>
      </c>
      <c r="Q599" s="224">
        <v>0</v>
      </c>
      <c r="R599" s="224">
        <v>0</v>
      </c>
      <c r="S599" s="229" t="s">
        <v>43</v>
      </c>
      <c r="T599" s="228">
        <v>254904206.63999999</v>
      </c>
      <c r="U599" s="228">
        <v>254904206.63999999</v>
      </c>
      <c r="V599" s="228">
        <v>170974437.36000001</v>
      </c>
      <c r="W599" s="230">
        <v>0.40146281051799998</v>
      </c>
      <c r="X599" s="228">
        <v>170974437.36000001</v>
      </c>
      <c r="Y599" s="206" t="s">
        <v>69</v>
      </c>
      <c r="Z599" s="206" t="s">
        <v>46</v>
      </c>
      <c r="AA599" s="206">
        <v>2306153</v>
      </c>
      <c r="AB599" s="206" t="s">
        <v>126</v>
      </c>
      <c r="AC599" s="206" t="s">
        <v>56</v>
      </c>
      <c r="AD599" s="206" t="s">
        <v>77</v>
      </c>
      <c r="AE599" s="206">
        <v>0</v>
      </c>
      <c r="AF599" s="206" t="s">
        <v>72</v>
      </c>
      <c r="AG599" s="206" t="s">
        <v>69</v>
      </c>
      <c r="AH599" s="206" t="s">
        <v>46</v>
      </c>
      <c r="AI599" s="206" t="s">
        <v>69</v>
      </c>
      <c r="AJ599" s="206" t="s">
        <v>46</v>
      </c>
      <c r="AK599" s="206" t="s">
        <v>54</v>
      </c>
      <c r="AL599" s="206" t="s">
        <v>48</v>
      </c>
      <c r="AM599" s="206" t="s">
        <v>49</v>
      </c>
      <c r="AN599" s="133" t="str">
        <f>VLOOKUP(I599,Sheet1!A:D,4,)</f>
        <v>A320400</v>
      </c>
      <c r="AP599" s="4" t="s">
        <v>887</v>
      </c>
    </row>
    <row r="600" spans="1:42" s="206" customFormat="1" x14ac:dyDescent="0.25">
      <c r="A600" s="226">
        <v>45717</v>
      </c>
      <c r="B600" s="206" t="s">
        <v>40</v>
      </c>
      <c r="C600" s="206" t="s">
        <v>41</v>
      </c>
      <c r="D600" s="221">
        <v>25708076</v>
      </c>
      <c r="E600" s="221">
        <v>24106476</v>
      </c>
      <c r="F600" s="221" t="s">
        <v>882</v>
      </c>
      <c r="G600" s="227">
        <v>45729</v>
      </c>
      <c r="H600" s="206" t="s">
        <v>126</v>
      </c>
      <c r="I600" s="206" t="s">
        <v>137</v>
      </c>
      <c r="J600" s="206" t="s">
        <v>138</v>
      </c>
      <c r="K600" s="228">
        <v>600</v>
      </c>
      <c r="L600" s="229" t="s">
        <v>42</v>
      </c>
      <c r="M600" s="228">
        <v>600</v>
      </c>
      <c r="N600" s="228">
        <v>709797.74</v>
      </c>
      <c r="O600" s="228">
        <v>425878644</v>
      </c>
      <c r="P600" s="228">
        <v>425878644</v>
      </c>
      <c r="Q600" s="224">
        <v>0</v>
      </c>
      <c r="R600" s="224">
        <v>0</v>
      </c>
      <c r="S600" s="229" t="s">
        <v>43</v>
      </c>
      <c r="T600" s="228">
        <v>254904206.63999999</v>
      </c>
      <c r="U600" s="228">
        <v>254904206.63999999</v>
      </c>
      <c r="V600" s="228">
        <v>170974437.36000001</v>
      </c>
      <c r="W600" s="230">
        <v>0.40146281051799998</v>
      </c>
      <c r="X600" s="228">
        <v>170974437.36000001</v>
      </c>
      <c r="Y600" s="206" t="s">
        <v>69</v>
      </c>
      <c r="Z600" s="206" t="s">
        <v>46</v>
      </c>
      <c r="AA600" s="206">
        <v>2306153</v>
      </c>
      <c r="AB600" s="206" t="s">
        <v>126</v>
      </c>
      <c r="AC600" s="206" t="s">
        <v>56</v>
      </c>
      <c r="AD600" s="206" t="s">
        <v>77</v>
      </c>
      <c r="AE600" s="206">
        <v>0</v>
      </c>
      <c r="AF600" s="206" t="s">
        <v>72</v>
      </c>
      <c r="AG600" s="206" t="s">
        <v>69</v>
      </c>
      <c r="AH600" s="206" t="s">
        <v>46</v>
      </c>
      <c r="AI600" s="206" t="s">
        <v>69</v>
      </c>
      <c r="AJ600" s="206" t="s">
        <v>46</v>
      </c>
      <c r="AK600" s="206" t="s">
        <v>54</v>
      </c>
      <c r="AL600" s="206" t="s">
        <v>48</v>
      </c>
      <c r="AM600" s="206" t="s">
        <v>49</v>
      </c>
      <c r="AN600" s="133" t="str">
        <f>VLOOKUP(I600,Sheet1!A:D,4,)</f>
        <v>A320400</v>
      </c>
      <c r="AP600" s="4" t="s">
        <v>887</v>
      </c>
    </row>
    <row r="601" spans="1:42" s="206" customFormat="1" x14ac:dyDescent="0.25">
      <c r="A601" s="226">
        <v>45717</v>
      </c>
      <c r="B601" s="206" t="s">
        <v>40</v>
      </c>
      <c r="C601" s="206" t="s">
        <v>41</v>
      </c>
      <c r="D601" s="221">
        <v>25708077</v>
      </c>
      <c r="E601" s="221">
        <v>24106477</v>
      </c>
      <c r="F601" s="221" t="s">
        <v>883</v>
      </c>
      <c r="G601" s="227">
        <v>45729</v>
      </c>
      <c r="H601" s="206" t="s">
        <v>126</v>
      </c>
      <c r="I601" s="206" t="s">
        <v>134</v>
      </c>
      <c r="J601" s="206" t="s">
        <v>135</v>
      </c>
      <c r="K601" s="228">
        <v>600</v>
      </c>
      <c r="L601" s="229" t="s">
        <v>42</v>
      </c>
      <c r="M601" s="228">
        <v>600</v>
      </c>
      <c r="N601" s="228">
        <v>405331.87</v>
      </c>
      <c r="O601" s="228">
        <v>243199122</v>
      </c>
      <c r="P601" s="228">
        <v>243199122</v>
      </c>
      <c r="Q601" s="224">
        <v>0</v>
      </c>
      <c r="R601" s="224">
        <v>0</v>
      </c>
      <c r="S601" s="229" t="s">
        <v>43</v>
      </c>
      <c r="T601" s="228">
        <v>108429335.03</v>
      </c>
      <c r="U601" s="228">
        <v>108429335.03</v>
      </c>
      <c r="V601" s="228">
        <v>134769786.97</v>
      </c>
      <c r="W601" s="230">
        <v>0.55415408518599996</v>
      </c>
      <c r="X601" s="228">
        <v>134769786.97</v>
      </c>
      <c r="Y601" s="206" t="s">
        <v>69</v>
      </c>
      <c r="Z601" s="206" t="s">
        <v>46</v>
      </c>
      <c r="AA601" s="206">
        <v>2306153</v>
      </c>
      <c r="AB601" s="206" t="s">
        <v>126</v>
      </c>
      <c r="AC601" s="206" t="s">
        <v>56</v>
      </c>
      <c r="AD601" s="206" t="s">
        <v>77</v>
      </c>
      <c r="AE601" s="206">
        <v>0</v>
      </c>
      <c r="AF601" s="206" t="s">
        <v>68</v>
      </c>
      <c r="AG601" s="206" t="s">
        <v>71</v>
      </c>
      <c r="AH601" s="206" t="s">
        <v>53</v>
      </c>
      <c r="AI601" s="206" t="s">
        <v>69</v>
      </c>
      <c r="AJ601" s="206" t="s">
        <v>46</v>
      </c>
      <c r="AK601" s="206" t="s">
        <v>54</v>
      </c>
      <c r="AL601" s="206" t="s">
        <v>48</v>
      </c>
      <c r="AM601" s="206" t="s">
        <v>49</v>
      </c>
      <c r="AN601" s="133" t="str">
        <f>VLOOKUP(I601,Sheet1!A:D,4,)</f>
        <v>A320400</v>
      </c>
      <c r="AP601" s="4" t="s">
        <v>887</v>
      </c>
    </row>
    <row r="602" spans="1:42" s="206" customFormat="1" x14ac:dyDescent="0.25">
      <c r="A602" s="226">
        <v>45717</v>
      </c>
      <c r="B602" s="206" t="s">
        <v>40</v>
      </c>
      <c r="C602" s="206" t="s">
        <v>41</v>
      </c>
      <c r="D602" s="221">
        <v>25708077</v>
      </c>
      <c r="E602" s="221">
        <v>24106477</v>
      </c>
      <c r="F602" s="221" t="s">
        <v>883</v>
      </c>
      <c r="G602" s="227">
        <v>45729</v>
      </c>
      <c r="H602" s="206" t="s">
        <v>126</v>
      </c>
      <c r="I602" s="206" t="s">
        <v>137</v>
      </c>
      <c r="J602" s="206" t="s">
        <v>138</v>
      </c>
      <c r="K602" s="228">
        <v>600</v>
      </c>
      <c r="L602" s="229" t="s">
        <v>42</v>
      </c>
      <c r="M602" s="228">
        <v>600</v>
      </c>
      <c r="N602" s="228">
        <v>709797.74</v>
      </c>
      <c r="O602" s="228">
        <v>425878644</v>
      </c>
      <c r="P602" s="228">
        <v>425878644</v>
      </c>
      <c r="Q602" s="224">
        <v>0</v>
      </c>
      <c r="R602" s="224">
        <v>0</v>
      </c>
      <c r="S602" s="229" t="s">
        <v>43</v>
      </c>
      <c r="T602" s="228">
        <v>254904206.63999999</v>
      </c>
      <c r="U602" s="228">
        <v>254904206.63999999</v>
      </c>
      <c r="V602" s="228">
        <v>170974437.36000001</v>
      </c>
      <c r="W602" s="230">
        <v>0.40146281051799998</v>
      </c>
      <c r="X602" s="228">
        <v>170974437.36000001</v>
      </c>
      <c r="Y602" s="206" t="s">
        <v>69</v>
      </c>
      <c r="Z602" s="206" t="s">
        <v>46</v>
      </c>
      <c r="AA602" s="206">
        <v>2306153</v>
      </c>
      <c r="AB602" s="206" t="s">
        <v>126</v>
      </c>
      <c r="AC602" s="206" t="s">
        <v>56</v>
      </c>
      <c r="AD602" s="206" t="s">
        <v>77</v>
      </c>
      <c r="AE602" s="206">
        <v>0</v>
      </c>
      <c r="AF602" s="206" t="s">
        <v>72</v>
      </c>
      <c r="AG602" s="206" t="s">
        <v>69</v>
      </c>
      <c r="AH602" s="206" t="s">
        <v>46</v>
      </c>
      <c r="AI602" s="206" t="s">
        <v>69</v>
      </c>
      <c r="AJ602" s="206" t="s">
        <v>46</v>
      </c>
      <c r="AK602" s="206" t="s">
        <v>54</v>
      </c>
      <c r="AL602" s="206" t="s">
        <v>48</v>
      </c>
      <c r="AM602" s="206" t="s">
        <v>49</v>
      </c>
      <c r="AN602" s="133" t="str">
        <f>VLOOKUP(I602,Sheet1!A:D,4,)</f>
        <v>A320400</v>
      </c>
      <c r="AP602" s="4" t="s">
        <v>887</v>
      </c>
    </row>
    <row r="603" spans="1:42" s="206" customFormat="1" x14ac:dyDescent="0.25">
      <c r="A603" s="226">
        <v>45717</v>
      </c>
      <c r="B603" s="206" t="s">
        <v>40</v>
      </c>
      <c r="C603" s="206" t="s">
        <v>41</v>
      </c>
      <c r="D603" s="221">
        <v>25708081</v>
      </c>
      <c r="E603" s="221">
        <v>25106641</v>
      </c>
      <c r="F603" s="221" t="s">
        <v>884</v>
      </c>
      <c r="G603" s="227">
        <v>45729</v>
      </c>
      <c r="H603" s="206" t="s">
        <v>150</v>
      </c>
      <c r="I603" s="206" t="s">
        <v>146</v>
      </c>
      <c r="J603" s="206" t="s">
        <v>147</v>
      </c>
      <c r="K603" s="228">
        <v>10</v>
      </c>
      <c r="L603" s="229" t="s">
        <v>42</v>
      </c>
      <c r="M603" s="228">
        <v>10</v>
      </c>
      <c r="N603" s="228">
        <v>10153553</v>
      </c>
      <c r="O603" s="228">
        <v>101535530</v>
      </c>
      <c r="P603" s="228">
        <v>101535530</v>
      </c>
      <c r="Q603" s="224">
        <v>0</v>
      </c>
      <c r="R603" s="224">
        <v>0</v>
      </c>
      <c r="S603" s="229" t="s">
        <v>43</v>
      </c>
      <c r="T603" s="228">
        <v>62626318.039999999</v>
      </c>
      <c r="U603" s="228">
        <v>62626318.039999999</v>
      </c>
      <c r="V603" s="228">
        <v>38909211.960000001</v>
      </c>
      <c r="W603" s="230">
        <v>0.38320784812899999</v>
      </c>
      <c r="X603" s="228">
        <v>38909211.960000001</v>
      </c>
      <c r="Y603" s="206" t="s">
        <v>69</v>
      </c>
      <c r="Z603" s="206" t="s">
        <v>46</v>
      </c>
      <c r="AA603" s="206">
        <v>2306392</v>
      </c>
      <c r="AB603" s="206" t="s">
        <v>153</v>
      </c>
      <c r="AC603" s="206" t="s">
        <v>154</v>
      </c>
      <c r="AD603" s="206" t="s">
        <v>155</v>
      </c>
      <c r="AE603" s="206">
        <v>0</v>
      </c>
      <c r="AF603" s="206" t="s">
        <v>68</v>
      </c>
      <c r="AG603" s="206" t="s">
        <v>69</v>
      </c>
      <c r="AH603" s="206" t="s">
        <v>46</v>
      </c>
      <c r="AI603" s="206" t="s">
        <v>69</v>
      </c>
      <c r="AJ603" s="206" t="s">
        <v>46</v>
      </c>
      <c r="AK603" s="206" t="s">
        <v>54</v>
      </c>
      <c r="AL603" s="206" t="s">
        <v>48</v>
      </c>
      <c r="AM603" s="206" t="s">
        <v>49</v>
      </c>
      <c r="AN603" s="133" t="str">
        <f>VLOOKUP(I603,Sheet1!A:D,4,)</f>
        <v>A320400</v>
      </c>
      <c r="AP603" s="4" t="s">
        <v>887</v>
      </c>
    </row>
    <row r="604" spans="1:42" s="206" customFormat="1" x14ac:dyDescent="0.25">
      <c r="A604" s="226">
        <v>45717</v>
      </c>
      <c r="B604" s="206" t="s">
        <v>40</v>
      </c>
      <c r="C604" s="206" t="s">
        <v>41</v>
      </c>
      <c r="D604" s="221">
        <v>25708085</v>
      </c>
      <c r="E604" s="221">
        <v>25106561</v>
      </c>
      <c r="F604" s="221" t="s">
        <v>894</v>
      </c>
      <c r="G604" s="227">
        <v>45736</v>
      </c>
      <c r="H604" s="206" t="s">
        <v>126</v>
      </c>
      <c r="I604" s="206" t="s">
        <v>895</v>
      </c>
      <c r="J604" s="206" t="s">
        <v>896</v>
      </c>
      <c r="K604" s="228">
        <v>100</v>
      </c>
      <c r="L604" s="229" t="s">
        <v>42</v>
      </c>
      <c r="M604" s="228">
        <v>100</v>
      </c>
      <c r="N604" s="228">
        <v>1139378.6000000001</v>
      </c>
      <c r="O604" s="228">
        <v>113937860</v>
      </c>
      <c r="P604" s="228">
        <v>113937860</v>
      </c>
      <c r="Q604" s="224">
        <v>0</v>
      </c>
      <c r="R604" s="224">
        <v>0</v>
      </c>
      <c r="S604" s="229" t="s">
        <v>43</v>
      </c>
      <c r="T604" s="228">
        <v>71858097</v>
      </c>
      <c r="U604" s="228">
        <v>71858097</v>
      </c>
      <c r="V604" s="228">
        <v>42079763</v>
      </c>
      <c r="W604" s="230">
        <v>0.36932204097900001</v>
      </c>
      <c r="X604" s="228">
        <v>42079763</v>
      </c>
      <c r="Y604" s="206" t="s">
        <v>69</v>
      </c>
      <c r="Z604" s="206" t="s">
        <v>46</v>
      </c>
      <c r="AA604" s="206">
        <v>2306153</v>
      </c>
      <c r="AB604" s="206" t="s">
        <v>126</v>
      </c>
      <c r="AC604" s="206" t="s">
        <v>56</v>
      </c>
      <c r="AD604" s="206" t="s">
        <v>77</v>
      </c>
      <c r="AE604" s="206">
        <v>0</v>
      </c>
      <c r="AF604" s="206" t="s">
        <v>124</v>
      </c>
      <c r="AG604" s="206" t="s">
        <v>897</v>
      </c>
      <c r="AH604" s="206" t="s">
        <v>898</v>
      </c>
      <c r="AI604" s="206" t="s">
        <v>899</v>
      </c>
      <c r="AJ604" s="206" t="s">
        <v>900</v>
      </c>
      <c r="AK604" s="206" t="s">
        <v>54</v>
      </c>
      <c r="AL604" s="206" t="s">
        <v>48</v>
      </c>
      <c r="AM604" s="206" t="s">
        <v>49</v>
      </c>
      <c r="AN604" s="133" t="e">
        <f>VLOOKUP(I604,Sheet1!A:D,4,)</f>
        <v>#N/A</v>
      </c>
      <c r="AP604" s="4" t="s">
        <v>906</v>
      </c>
    </row>
    <row r="605" spans="1:42" s="206" customFormat="1" x14ac:dyDescent="0.25">
      <c r="A605" s="226">
        <v>45717</v>
      </c>
      <c r="B605" s="206" t="s">
        <v>40</v>
      </c>
      <c r="C605" s="206" t="s">
        <v>41</v>
      </c>
      <c r="D605" s="221">
        <v>25708092</v>
      </c>
      <c r="E605" s="221">
        <v>25106612</v>
      </c>
      <c r="F605" s="221" t="s">
        <v>913</v>
      </c>
      <c r="G605" s="227">
        <v>45737</v>
      </c>
      <c r="H605" s="206" t="s">
        <v>126</v>
      </c>
      <c r="I605" s="206" t="s">
        <v>472</v>
      </c>
      <c r="J605" s="206" t="s">
        <v>914</v>
      </c>
      <c r="K605" s="228">
        <v>5</v>
      </c>
      <c r="L605" s="229" t="s">
        <v>42</v>
      </c>
      <c r="M605" s="228">
        <v>5</v>
      </c>
      <c r="N605" s="228">
        <v>1103279.55</v>
      </c>
      <c r="O605" s="228">
        <v>5516397.75</v>
      </c>
      <c r="P605" s="228">
        <v>5516397.75</v>
      </c>
      <c r="Q605" s="224">
        <v>0</v>
      </c>
      <c r="R605" s="224">
        <v>0</v>
      </c>
      <c r="S605" s="229" t="s">
        <v>43</v>
      </c>
      <c r="T605" s="228">
        <v>3964481</v>
      </c>
      <c r="U605" s="228">
        <v>3964481</v>
      </c>
      <c r="V605" s="228">
        <v>1551916.75</v>
      </c>
      <c r="W605" s="230">
        <v>0.28132792817500002</v>
      </c>
      <c r="X605" s="228">
        <v>1551916.75</v>
      </c>
      <c r="Y605" s="206" t="s">
        <v>69</v>
      </c>
      <c r="Z605" s="206" t="s">
        <v>46</v>
      </c>
      <c r="AA605" s="206">
        <v>2306153</v>
      </c>
      <c r="AB605" s="206" t="s">
        <v>126</v>
      </c>
      <c r="AC605" s="206" t="s">
        <v>56</v>
      </c>
      <c r="AD605" s="206" t="s">
        <v>77</v>
      </c>
      <c r="AE605" s="206">
        <v>0</v>
      </c>
      <c r="AF605" s="206" t="s">
        <v>72</v>
      </c>
      <c r="AG605" s="206" t="s">
        <v>69</v>
      </c>
      <c r="AH605" s="206" t="s">
        <v>46</v>
      </c>
      <c r="AI605" s="206" t="s">
        <v>69</v>
      </c>
      <c r="AJ605" s="206" t="s">
        <v>46</v>
      </c>
      <c r="AK605" s="206" t="s">
        <v>54</v>
      </c>
      <c r="AL605" s="206" t="s">
        <v>48</v>
      </c>
      <c r="AM605" s="206" t="s">
        <v>49</v>
      </c>
      <c r="AN605" s="133" t="str">
        <f>VLOOKUP(I605,Sheet1!A:D,4,)</f>
        <v>A320400</v>
      </c>
      <c r="AP605" s="4" t="s">
        <v>919</v>
      </c>
    </row>
    <row r="606" spans="1:42" s="206" customFormat="1" x14ac:dyDescent="0.25">
      <c r="A606" s="226">
        <v>45717</v>
      </c>
      <c r="B606" s="206" t="s">
        <v>40</v>
      </c>
      <c r="C606" s="206" t="s">
        <v>41</v>
      </c>
      <c r="D606" s="221">
        <v>25708093</v>
      </c>
      <c r="E606" s="221">
        <v>25106621</v>
      </c>
      <c r="F606" s="221" t="s">
        <v>915</v>
      </c>
      <c r="G606" s="227">
        <v>45737</v>
      </c>
      <c r="H606" s="206" t="s">
        <v>115</v>
      </c>
      <c r="I606" s="206" t="s">
        <v>311</v>
      </c>
      <c r="J606" s="206" t="s">
        <v>521</v>
      </c>
      <c r="K606" s="228">
        <v>20</v>
      </c>
      <c r="L606" s="229" t="s">
        <v>42</v>
      </c>
      <c r="M606" s="228">
        <v>20</v>
      </c>
      <c r="N606" s="228">
        <v>3572439.03</v>
      </c>
      <c r="O606" s="228">
        <v>71448780.599999994</v>
      </c>
      <c r="P606" s="228">
        <v>71448780.599999994</v>
      </c>
      <c r="Q606" s="224">
        <v>0</v>
      </c>
      <c r="R606" s="224">
        <v>0</v>
      </c>
      <c r="S606" s="229" t="s">
        <v>43</v>
      </c>
      <c r="T606" s="228">
        <v>29777678</v>
      </c>
      <c r="U606" s="228">
        <v>29777678</v>
      </c>
      <c r="V606" s="228">
        <v>41671102.600000001</v>
      </c>
      <c r="W606" s="230">
        <v>0.58323042394900004</v>
      </c>
      <c r="X606" s="228">
        <v>41671102.600000001</v>
      </c>
      <c r="Y606" s="206" t="s">
        <v>66</v>
      </c>
      <c r="Z606" s="206" t="s">
        <v>44</v>
      </c>
      <c r="AA606" s="206">
        <v>15159</v>
      </c>
      <c r="AB606" s="206" t="s">
        <v>118</v>
      </c>
      <c r="AC606" s="206" t="s">
        <v>154</v>
      </c>
      <c r="AD606" s="206" t="s">
        <v>155</v>
      </c>
      <c r="AE606" s="206">
        <v>0</v>
      </c>
      <c r="AF606" s="206" t="s">
        <v>68</v>
      </c>
      <c r="AG606" s="206" t="s">
        <v>71</v>
      </c>
      <c r="AH606" s="206" t="s">
        <v>53</v>
      </c>
      <c r="AI606" s="206" t="s">
        <v>69</v>
      </c>
      <c r="AJ606" s="206" t="s">
        <v>46</v>
      </c>
      <c r="AK606" s="206" t="s">
        <v>54</v>
      </c>
      <c r="AL606" s="206" t="s">
        <v>48</v>
      </c>
      <c r="AM606" s="206" t="s">
        <v>49</v>
      </c>
      <c r="AN606" s="133" t="str">
        <f>VLOOKUP(I606,Sheet1!A:D,4,)</f>
        <v>A320400</v>
      </c>
      <c r="AP606" s="4" t="s">
        <v>919</v>
      </c>
    </row>
    <row r="607" spans="1:42" s="206" customFormat="1" x14ac:dyDescent="0.25">
      <c r="A607" s="226">
        <v>45717</v>
      </c>
      <c r="B607" s="206" t="s">
        <v>40</v>
      </c>
      <c r="C607" s="206" t="s">
        <v>41</v>
      </c>
      <c r="D607" s="221">
        <v>25708094</v>
      </c>
      <c r="E607" s="221">
        <v>25106644</v>
      </c>
      <c r="F607" s="221" t="s">
        <v>916</v>
      </c>
      <c r="G607" s="227">
        <v>45737</v>
      </c>
      <c r="H607" s="206" t="s">
        <v>126</v>
      </c>
      <c r="I607" s="206" t="s">
        <v>917</v>
      </c>
      <c r="J607" s="206" t="s">
        <v>918</v>
      </c>
      <c r="K607" s="228">
        <v>25</v>
      </c>
      <c r="L607" s="229" t="s">
        <v>42</v>
      </c>
      <c r="M607" s="228">
        <v>25</v>
      </c>
      <c r="N607" s="228">
        <v>470419.71</v>
      </c>
      <c r="O607" s="228">
        <v>11760492.75</v>
      </c>
      <c r="P607" s="228">
        <v>11760492.75</v>
      </c>
      <c r="Q607" s="224">
        <v>0</v>
      </c>
      <c r="R607" s="224">
        <v>0</v>
      </c>
      <c r="S607" s="229" t="s">
        <v>43</v>
      </c>
      <c r="T607" s="228">
        <v>23122163.510000002</v>
      </c>
      <c r="U607" s="228">
        <v>23122163.510000002</v>
      </c>
      <c r="V607" s="228">
        <v>-11361670.76</v>
      </c>
      <c r="W607" s="230">
        <v>-0.96608798640600002</v>
      </c>
      <c r="X607" s="228">
        <v>-11361670.76</v>
      </c>
      <c r="Y607" s="206" t="s">
        <v>69</v>
      </c>
      <c r="Z607" s="206" t="s">
        <v>46</v>
      </c>
      <c r="AA607" s="206">
        <v>2306153</v>
      </c>
      <c r="AB607" s="206" t="s">
        <v>126</v>
      </c>
      <c r="AC607" s="206" t="s">
        <v>56</v>
      </c>
      <c r="AD607" s="206" t="s">
        <v>77</v>
      </c>
      <c r="AE607" s="206">
        <v>0</v>
      </c>
      <c r="AF607" s="206" t="s">
        <v>72</v>
      </c>
      <c r="AG607" s="206" t="s">
        <v>69</v>
      </c>
      <c r="AH607" s="206" t="s">
        <v>46</v>
      </c>
      <c r="AI607" s="206" t="s">
        <v>69</v>
      </c>
      <c r="AJ607" s="206" t="s">
        <v>46</v>
      </c>
      <c r="AK607" s="206" t="s">
        <v>54</v>
      </c>
      <c r="AL607" s="206" t="s">
        <v>48</v>
      </c>
      <c r="AM607" s="206" t="s">
        <v>49</v>
      </c>
      <c r="AN607" s="133" t="e">
        <f>VLOOKUP(I607,Sheet1!A:D,4,)</f>
        <v>#N/A</v>
      </c>
      <c r="AP607" s="4" t="s">
        <v>919</v>
      </c>
    </row>
    <row r="608" spans="1:42" s="206" customFormat="1" x14ac:dyDescent="0.25">
      <c r="A608" s="226">
        <v>45717</v>
      </c>
      <c r="B608" s="206" t="s">
        <v>40</v>
      </c>
      <c r="C608" s="206" t="s">
        <v>41</v>
      </c>
      <c r="D608" s="221">
        <v>25708095</v>
      </c>
      <c r="E608" s="221">
        <v>24106442</v>
      </c>
      <c r="F608" s="221" t="s">
        <v>705</v>
      </c>
      <c r="G608" s="227">
        <v>45740</v>
      </c>
      <c r="H608" s="206" t="s">
        <v>245</v>
      </c>
      <c r="I608" s="206" t="s">
        <v>116</v>
      </c>
      <c r="J608" s="206" t="s">
        <v>117</v>
      </c>
      <c r="K608" s="228">
        <v>380</v>
      </c>
      <c r="L608" s="229" t="s">
        <v>42</v>
      </c>
      <c r="M608" s="228">
        <v>380</v>
      </c>
      <c r="N608" s="228">
        <v>364423.74</v>
      </c>
      <c r="O608" s="228">
        <v>138481021.19999999</v>
      </c>
      <c r="P608" s="228">
        <v>138481021.19999999</v>
      </c>
      <c r="Q608" s="224">
        <v>0</v>
      </c>
      <c r="R608" s="224">
        <v>0</v>
      </c>
      <c r="S608" s="229" t="s">
        <v>43</v>
      </c>
      <c r="T608" s="228">
        <v>111794373.59999999</v>
      </c>
      <c r="U608" s="228">
        <v>111794373.59999999</v>
      </c>
      <c r="V608" s="228">
        <v>26686647.600000001</v>
      </c>
      <c r="W608" s="230">
        <v>0.19270978339600001</v>
      </c>
      <c r="X608" s="228">
        <v>26686647.600000001</v>
      </c>
      <c r="Y608" s="206" t="s">
        <v>235</v>
      </c>
      <c r="Z608" s="206" t="s">
        <v>44</v>
      </c>
      <c r="AA608" s="206">
        <v>15159</v>
      </c>
      <c r="AB608" s="206" t="s">
        <v>246</v>
      </c>
      <c r="AC608" s="206" t="s">
        <v>154</v>
      </c>
      <c r="AD608" s="206" t="s">
        <v>155</v>
      </c>
      <c r="AE608" s="206">
        <v>0</v>
      </c>
      <c r="AF608" s="206" t="s">
        <v>727</v>
      </c>
      <c r="AG608" s="206" t="s">
        <v>728</v>
      </c>
      <c r="AH608" s="206" t="s">
        <v>121</v>
      </c>
      <c r="AI608" s="206" t="s">
        <v>101</v>
      </c>
      <c r="AJ608" s="206" t="s">
        <v>46</v>
      </c>
      <c r="AK608" s="206" t="s">
        <v>54</v>
      </c>
      <c r="AL608" s="206" t="s">
        <v>48</v>
      </c>
      <c r="AM608" s="206" t="s">
        <v>49</v>
      </c>
      <c r="AN608" s="133" t="str">
        <f>VLOOKUP(I608,Sheet1!A:D,4,)</f>
        <v>A320400</v>
      </c>
      <c r="AP608" s="4" t="s">
        <v>926</v>
      </c>
    </row>
    <row r="609" spans="1:42" s="206" customFormat="1" x14ac:dyDescent="0.25">
      <c r="A609" s="226">
        <v>45717</v>
      </c>
      <c r="B609" s="206" t="s">
        <v>40</v>
      </c>
      <c r="C609" s="206" t="s">
        <v>41</v>
      </c>
      <c r="D609" s="221">
        <v>25708096</v>
      </c>
      <c r="E609" s="221">
        <v>24106479</v>
      </c>
      <c r="F609" s="221" t="s">
        <v>920</v>
      </c>
      <c r="G609" s="227">
        <v>45740</v>
      </c>
      <c r="H609" s="206" t="s">
        <v>237</v>
      </c>
      <c r="I609" s="206" t="s">
        <v>416</v>
      </c>
      <c r="J609" s="206" t="s">
        <v>629</v>
      </c>
      <c r="K609" s="228">
        <v>40</v>
      </c>
      <c r="L609" s="229" t="s">
        <v>42</v>
      </c>
      <c r="M609" s="228">
        <v>40</v>
      </c>
      <c r="N609" s="228">
        <v>2257810.59</v>
      </c>
      <c r="O609" s="228">
        <v>90312423.599999994</v>
      </c>
      <c r="P609" s="228">
        <v>90312423.599999994</v>
      </c>
      <c r="Q609" s="224">
        <v>0</v>
      </c>
      <c r="R609" s="224">
        <v>0</v>
      </c>
      <c r="S609" s="229" t="s">
        <v>43</v>
      </c>
      <c r="T609" s="228">
        <v>83437225.599999994</v>
      </c>
      <c r="U609" s="228">
        <v>83437225.599999994</v>
      </c>
      <c r="V609" s="228">
        <v>6875198</v>
      </c>
      <c r="W609" s="230">
        <v>7.6126824260999995E-2</v>
      </c>
      <c r="X609" s="228">
        <v>6875198</v>
      </c>
      <c r="Y609" s="206" t="s">
        <v>101</v>
      </c>
      <c r="Z609" s="206" t="s">
        <v>46</v>
      </c>
      <c r="AA609" s="206">
        <v>2306153</v>
      </c>
      <c r="AB609" s="206" t="s">
        <v>237</v>
      </c>
      <c r="AC609" s="206" t="s">
        <v>56</v>
      </c>
      <c r="AD609" s="206" t="s">
        <v>103</v>
      </c>
      <c r="AE609" s="206">
        <v>0</v>
      </c>
      <c r="AF609" s="206" t="s">
        <v>212</v>
      </c>
      <c r="AG609" s="206" t="s">
        <v>213</v>
      </c>
      <c r="AH609" s="206" t="s">
        <v>57</v>
      </c>
      <c r="AI609" s="206" t="s">
        <v>101</v>
      </c>
      <c r="AJ609" s="206" t="s">
        <v>46</v>
      </c>
      <c r="AK609" s="206" t="s">
        <v>54</v>
      </c>
      <c r="AL609" s="206" t="s">
        <v>48</v>
      </c>
      <c r="AM609" s="206" t="s">
        <v>49</v>
      </c>
      <c r="AN609" s="133" t="str">
        <f>VLOOKUP(I609,Sheet1!A:D,4,)</f>
        <v>A320400</v>
      </c>
      <c r="AP609" s="4" t="s">
        <v>926</v>
      </c>
    </row>
    <row r="610" spans="1:42" s="206" customFormat="1" x14ac:dyDescent="0.25">
      <c r="A610" s="226">
        <v>45717</v>
      </c>
      <c r="B610" s="206" t="s">
        <v>40</v>
      </c>
      <c r="C610" s="206" t="s">
        <v>41</v>
      </c>
      <c r="D610" s="221">
        <v>25708097</v>
      </c>
      <c r="E610" s="221">
        <v>25106548</v>
      </c>
      <c r="F610" s="221" t="s">
        <v>714</v>
      </c>
      <c r="G610" s="227">
        <v>45740</v>
      </c>
      <c r="H610" s="206" t="s">
        <v>237</v>
      </c>
      <c r="I610" s="206" t="s">
        <v>406</v>
      </c>
      <c r="J610" s="206" t="s">
        <v>617</v>
      </c>
      <c r="K610" s="228">
        <v>1</v>
      </c>
      <c r="L610" s="229" t="s">
        <v>42</v>
      </c>
      <c r="M610" s="228">
        <v>1</v>
      </c>
      <c r="N610" s="228">
        <v>2392791.2799999998</v>
      </c>
      <c r="O610" s="228">
        <v>2392791.2799999998</v>
      </c>
      <c r="P610" s="228">
        <v>2392791.2799999998</v>
      </c>
      <c r="Q610" s="224">
        <v>0</v>
      </c>
      <c r="R610" s="224">
        <v>0</v>
      </c>
      <c r="S610" s="229" t="s">
        <v>43</v>
      </c>
      <c r="T610" s="228">
        <v>1381261.93</v>
      </c>
      <c r="U610" s="228">
        <v>1381261.93</v>
      </c>
      <c r="V610" s="228">
        <v>1011529.35</v>
      </c>
      <c r="W610" s="230">
        <v>0.42274031941399998</v>
      </c>
      <c r="X610" s="228">
        <v>1011529.35</v>
      </c>
      <c r="Y610" s="206" t="s">
        <v>101</v>
      </c>
      <c r="Z610" s="206" t="s">
        <v>46</v>
      </c>
      <c r="AA610" s="206">
        <v>2306153</v>
      </c>
      <c r="AB610" s="206" t="s">
        <v>237</v>
      </c>
      <c r="AC610" s="206" t="s">
        <v>56</v>
      </c>
      <c r="AD610" s="206" t="s">
        <v>103</v>
      </c>
      <c r="AE610" s="206">
        <v>0</v>
      </c>
      <c r="AF610" s="206" t="s">
        <v>212</v>
      </c>
      <c r="AG610" s="206" t="s">
        <v>921</v>
      </c>
      <c r="AH610" s="206" t="s">
        <v>132</v>
      </c>
      <c r="AI610" s="206" t="s">
        <v>101</v>
      </c>
      <c r="AJ610" s="206" t="s">
        <v>46</v>
      </c>
      <c r="AK610" s="206" t="s">
        <v>54</v>
      </c>
      <c r="AL610" s="206" t="s">
        <v>48</v>
      </c>
      <c r="AM610" s="206" t="s">
        <v>49</v>
      </c>
      <c r="AN610" s="133" t="str">
        <f>VLOOKUP(I610,Sheet1!A:D,4,)</f>
        <v>A320400</v>
      </c>
      <c r="AP610" s="4" t="s">
        <v>926</v>
      </c>
    </row>
    <row r="611" spans="1:42" s="206" customFormat="1" x14ac:dyDescent="0.25">
      <c r="A611" s="226">
        <v>45717</v>
      </c>
      <c r="B611" s="206" t="s">
        <v>40</v>
      </c>
      <c r="C611" s="206" t="s">
        <v>41</v>
      </c>
      <c r="D611" s="221">
        <v>25708098</v>
      </c>
      <c r="E611" s="221">
        <v>25106591</v>
      </c>
      <c r="F611" s="221" t="s">
        <v>850</v>
      </c>
      <c r="G611" s="227">
        <v>45740</v>
      </c>
      <c r="H611" s="206" t="s">
        <v>237</v>
      </c>
      <c r="I611" s="206" t="s">
        <v>170</v>
      </c>
      <c r="J611" s="206" t="s">
        <v>507</v>
      </c>
      <c r="K611" s="228">
        <v>11</v>
      </c>
      <c r="L611" s="229" t="s">
        <v>42</v>
      </c>
      <c r="M611" s="228">
        <v>11</v>
      </c>
      <c r="N611" s="228">
        <v>2671072.17</v>
      </c>
      <c r="O611" s="228">
        <v>29381793.870000001</v>
      </c>
      <c r="P611" s="228">
        <v>29381793.870000001</v>
      </c>
      <c r="Q611" s="224">
        <v>0</v>
      </c>
      <c r="R611" s="224">
        <v>0</v>
      </c>
      <c r="S611" s="229" t="s">
        <v>43</v>
      </c>
      <c r="T611" s="228">
        <v>5762422.6799999997</v>
      </c>
      <c r="U611" s="228">
        <v>5762422.6799999997</v>
      </c>
      <c r="V611" s="228">
        <v>23619371.190000001</v>
      </c>
      <c r="W611" s="230">
        <v>0.80387777868499999</v>
      </c>
      <c r="X611" s="228">
        <v>23619371.190000001</v>
      </c>
      <c r="Y611" s="206" t="s">
        <v>101</v>
      </c>
      <c r="Z611" s="206" t="s">
        <v>46</v>
      </c>
      <c r="AA611" s="206">
        <v>2306153</v>
      </c>
      <c r="AB611" s="206" t="s">
        <v>237</v>
      </c>
      <c r="AC611" s="206" t="s">
        <v>56</v>
      </c>
      <c r="AD611" s="206" t="s">
        <v>103</v>
      </c>
      <c r="AE611" s="206">
        <v>0</v>
      </c>
      <c r="AF611" s="206" t="s">
        <v>727</v>
      </c>
      <c r="AG611" s="206" t="s">
        <v>728</v>
      </c>
      <c r="AH611" s="206" t="s">
        <v>121</v>
      </c>
      <c r="AI611" s="206" t="s">
        <v>101</v>
      </c>
      <c r="AJ611" s="206" t="s">
        <v>46</v>
      </c>
      <c r="AK611" s="206" t="s">
        <v>54</v>
      </c>
      <c r="AL611" s="206" t="s">
        <v>48</v>
      </c>
      <c r="AM611" s="206" t="s">
        <v>49</v>
      </c>
      <c r="AN611" s="133" t="str">
        <f>VLOOKUP(I611,Sheet1!A:D,4,)</f>
        <v>A320400</v>
      </c>
      <c r="AP611" s="4" t="s">
        <v>926</v>
      </c>
    </row>
    <row r="612" spans="1:42" s="206" customFormat="1" x14ac:dyDescent="0.25">
      <c r="A612" s="226">
        <v>45717</v>
      </c>
      <c r="B612" s="206" t="s">
        <v>40</v>
      </c>
      <c r="C612" s="206" t="s">
        <v>41</v>
      </c>
      <c r="D612" s="221">
        <v>25708099</v>
      </c>
      <c r="E612" s="221">
        <v>25106606</v>
      </c>
      <c r="F612" s="221" t="s">
        <v>876</v>
      </c>
      <c r="G612" s="227">
        <v>45740</v>
      </c>
      <c r="H612" s="206" t="s">
        <v>237</v>
      </c>
      <c r="I612" s="206" t="s">
        <v>284</v>
      </c>
      <c r="J612" s="206" t="s">
        <v>491</v>
      </c>
      <c r="K612" s="228">
        <v>200</v>
      </c>
      <c r="L612" s="229" t="s">
        <v>42</v>
      </c>
      <c r="M612" s="228">
        <v>200</v>
      </c>
      <c r="N612" s="228">
        <v>2443940.73</v>
      </c>
      <c r="O612" s="228">
        <v>488788146</v>
      </c>
      <c r="P612" s="228">
        <v>488788146</v>
      </c>
      <c r="Q612" s="224">
        <v>0</v>
      </c>
      <c r="R612" s="224">
        <v>0</v>
      </c>
      <c r="S612" s="229" t="s">
        <v>43</v>
      </c>
      <c r="T612" s="228">
        <v>289845938.80000001</v>
      </c>
      <c r="U612" s="228">
        <v>289845938.80000001</v>
      </c>
      <c r="V612" s="228">
        <v>198942207.19999999</v>
      </c>
      <c r="W612" s="230">
        <v>0.40701111274399998</v>
      </c>
      <c r="X612" s="228">
        <v>198942207.19999999</v>
      </c>
      <c r="Y612" s="206" t="s">
        <v>101</v>
      </c>
      <c r="Z612" s="206" t="s">
        <v>46</v>
      </c>
      <c r="AA612" s="206">
        <v>2306153</v>
      </c>
      <c r="AB612" s="206" t="s">
        <v>237</v>
      </c>
      <c r="AC612" s="206" t="s">
        <v>56</v>
      </c>
      <c r="AD612" s="206" t="s">
        <v>103</v>
      </c>
      <c r="AE612" s="206">
        <v>0</v>
      </c>
      <c r="AF612" s="206" t="s">
        <v>191</v>
      </c>
      <c r="AG612" s="206" t="s">
        <v>101</v>
      </c>
      <c r="AH612" s="206" t="s">
        <v>46</v>
      </c>
      <c r="AI612" s="206" t="s">
        <v>101</v>
      </c>
      <c r="AJ612" s="206" t="s">
        <v>46</v>
      </c>
      <c r="AK612" s="206" t="s">
        <v>54</v>
      </c>
      <c r="AL612" s="206" t="s">
        <v>48</v>
      </c>
      <c r="AM612" s="206" t="s">
        <v>49</v>
      </c>
      <c r="AN612" s="133" t="str">
        <f>VLOOKUP(I612,Sheet1!A:D,4,)</f>
        <v>A320400</v>
      </c>
      <c r="AP612" s="4" t="s">
        <v>926</v>
      </c>
    </row>
    <row r="613" spans="1:42" s="206" customFormat="1" x14ac:dyDescent="0.25">
      <c r="A613" s="226">
        <v>45717</v>
      </c>
      <c r="B613" s="206" t="s">
        <v>40</v>
      </c>
      <c r="C613" s="206" t="s">
        <v>41</v>
      </c>
      <c r="D613" s="221">
        <v>25708100</v>
      </c>
      <c r="E613" s="221">
        <v>25106607</v>
      </c>
      <c r="F613" s="221" t="s">
        <v>922</v>
      </c>
      <c r="G613" s="227">
        <v>45740</v>
      </c>
      <c r="H613" s="206" t="s">
        <v>245</v>
      </c>
      <c r="I613" s="206" t="s">
        <v>462</v>
      </c>
      <c r="J613" s="206" t="s">
        <v>673</v>
      </c>
      <c r="K613" s="228">
        <v>15</v>
      </c>
      <c r="L613" s="229" t="s">
        <v>42</v>
      </c>
      <c r="M613" s="228">
        <v>15</v>
      </c>
      <c r="N613" s="228">
        <v>1887826.66</v>
      </c>
      <c r="O613" s="228">
        <v>28317399.899999999</v>
      </c>
      <c r="P613" s="228">
        <v>28317399.899999999</v>
      </c>
      <c r="Q613" s="224">
        <v>0</v>
      </c>
      <c r="R613" s="224">
        <v>0</v>
      </c>
      <c r="S613" s="229" t="s">
        <v>43</v>
      </c>
      <c r="T613" s="228">
        <v>20551623.329999998</v>
      </c>
      <c r="U613" s="228">
        <v>20551623.329999998</v>
      </c>
      <c r="V613" s="228">
        <v>7765776.5700000003</v>
      </c>
      <c r="W613" s="230">
        <v>0.27424045277499998</v>
      </c>
      <c r="X613" s="228">
        <v>7765776.5700000003</v>
      </c>
      <c r="Y613" s="206" t="s">
        <v>235</v>
      </c>
      <c r="Z613" s="206" t="s">
        <v>44</v>
      </c>
      <c r="AA613" s="206">
        <v>15159</v>
      </c>
      <c r="AB613" s="206" t="s">
        <v>246</v>
      </c>
      <c r="AC613" s="206" t="s">
        <v>154</v>
      </c>
      <c r="AD613" s="206" t="s">
        <v>155</v>
      </c>
      <c r="AE613" s="206">
        <v>0</v>
      </c>
      <c r="AF613" s="206" t="s">
        <v>207</v>
      </c>
      <c r="AG613" s="206" t="s">
        <v>101</v>
      </c>
      <c r="AH613" s="206" t="s">
        <v>46</v>
      </c>
      <c r="AI613" s="206" t="s">
        <v>101</v>
      </c>
      <c r="AJ613" s="206" t="s">
        <v>46</v>
      </c>
      <c r="AK613" s="206" t="s">
        <v>54</v>
      </c>
      <c r="AL613" s="206" t="s">
        <v>48</v>
      </c>
      <c r="AM613" s="206" t="s">
        <v>49</v>
      </c>
      <c r="AN613" s="133" t="str">
        <f>VLOOKUP(I613,Sheet1!A:D,4,)</f>
        <v>A320400</v>
      </c>
      <c r="AP613" s="4" t="s">
        <v>926</v>
      </c>
    </row>
    <row r="614" spans="1:42" s="206" customFormat="1" x14ac:dyDescent="0.25">
      <c r="A614" s="226">
        <v>45717</v>
      </c>
      <c r="B614" s="206" t="s">
        <v>40</v>
      </c>
      <c r="C614" s="206" t="s">
        <v>41</v>
      </c>
      <c r="D614" s="221">
        <v>25708101</v>
      </c>
      <c r="E614" s="221">
        <v>25106651</v>
      </c>
      <c r="F614" s="221" t="s">
        <v>923</v>
      </c>
      <c r="G614" s="227">
        <v>45740</v>
      </c>
      <c r="H614" s="206" t="s">
        <v>237</v>
      </c>
      <c r="I614" s="206" t="s">
        <v>291</v>
      </c>
      <c r="J614" s="206" t="s">
        <v>498</v>
      </c>
      <c r="K614" s="228">
        <v>4</v>
      </c>
      <c r="L614" s="229" t="s">
        <v>42</v>
      </c>
      <c r="M614" s="228">
        <v>4</v>
      </c>
      <c r="N614" s="228">
        <v>882956.7</v>
      </c>
      <c r="O614" s="228">
        <v>3531826.8</v>
      </c>
      <c r="P614" s="228">
        <v>3531826.8</v>
      </c>
      <c r="Q614" s="224">
        <v>0</v>
      </c>
      <c r="R614" s="224">
        <v>0</v>
      </c>
      <c r="S614" s="229" t="s">
        <v>43</v>
      </c>
      <c r="T614" s="228">
        <v>2119259.0099999998</v>
      </c>
      <c r="U614" s="228">
        <v>2119259.0099999998</v>
      </c>
      <c r="V614" s="228">
        <v>1412567.79</v>
      </c>
      <c r="W614" s="230">
        <v>0.39995386806599997</v>
      </c>
      <c r="X614" s="228">
        <v>1412567.79</v>
      </c>
      <c r="Y614" s="206" t="s">
        <v>101</v>
      </c>
      <c r="Z614" s="206" t="s">
        <v>46</v>
      </c>
      <c r="AA614" s="206">
        <v>2306153</v>
      </c>
      <c r="AB614" s="206" t="s">
        <v>237</v>
      </c>
      <c r="AC614" s="206" t="s">
        <v>56</v>
      </c>
      <c r="AD614" s="206" t="s">
        <v>103</v>
      </c>
      <c r="AE614" s="206">
        <v>0</v>
      </c>
      <c r="AF614" s="206" t="s">
        <v>207</v>
      </c>
      <c r="AG614" s="206" t="s">
        <v>101</v>
      </c>
      <c r="AH614" s="206" t="s">
        <v>46</v>
      </c>
      <c r="AI614" s="206" t="s">
        <v>101</v>
      </c>
      <c r="AJ614" s="206" t="s">
        <v>46</v>
      </c>
      <c r="AK614" s="206" t="s">
        <v>54</v>
      </c>
      <c r="AL614" s="206" t="s">
        <v>48</v>
      </c>
      <c r="AM614" s="206" t="s">
        <v>49</v>
      </c>
      <c r="AN614" s="133" t="str">
        <f>VLOOKUP(I614,Sheet1!A:D,4,)</f>
        <v>A320400</v>
      </c>
      <c r="AP614" s="4" t="s">
        <v>926</v>
      </c>
    </row>
    <row r="615" spans="1:42" s="206" customFormat="1" x14ac:dyDescent="0.25">
      <c r="A615" s="226">
        <v>45717</v>
      </c>
      <c r="B615" s="206" t="s">
        <v>40</v>
      </c>
      <c r="C615" s="206" t="s">
        <v>41</v>
      </c>
      <c r="D615" s="221">
        <v>25708102</v>
      </c>
      <c r="E615" s="221">
        <v>25106609</v>
      </c>
      <c r="F615" s="221" t="s">
        <v>924</v>
      </c>
      <c r="G615" s="227">
        <v>45740</v>
      </c>
      <c r="H615" s="206" t="s">
        <v>245</v>
      </c>
      <c r="I615" s="206" t="s">
        <v>346</v>
      </c>
      <c r="J615" s="206" t="s">
        <v>925</v>
      </c>
      <c r="K615" s="228">
        <v>1</v>
      </c>
      <c r="L615" s="229" t="s">
        <v>42</v>
      </c>
      <c r="M615" s="228">
        <v>1</v>
      </c>
      <c r="N615" s="228">
        <v>4799697.2</v>
      </c>
      <c r="O615" s="228">
        <v>4799697.2</v>
      </c>
      <c r="P615" s="228">
        <v>4799697.2</v>
      </c>
      <c r="Q615" s="224">
        <v>0</v>
      </c>
      <c r="R615" s="224">
        <v>0</v>
      </c>
      <c r="S615" s="229" t="s">
        <v>43</v>
      </c>
      <c r="T615" s="228">
        <v>2026039.72</v>
      </c>
      <c r="U615" s="228">
        <v>2026039.72</v>
      </c>
      <c r="V615" s="228">
        <v>2773657.48</v>
      </c>
      <c r="W615" s="230">
        <v>0.57788176304100003</v>
      </c>
      <c r="X615" s="228">
        <v>2773657.48</v>
      </c>
      <c r="Y615" s="206" t="s">
        <v>235</v>
      </c>
      <c r="Z615" s="206" t="s">
        <v>44</v>
      </c>
      <c r="AA615" s="206">
        <v>15159</v>
      </c>
      <c r="AB615" s="206" t="s">
        <v>246</v>
      </c>
      <c r="AC615" s="206" t="s">
        <v>154</v>
      </c>
      <c r="AD615" s="206" t="s">
        <v>155</v>
      </c>
      <c r="AE615" s="206">
        <v>0</v>
      </c>
      <c r="AF615" s="206" t="s">
        <v>207</v>
      </c>
      <c r="AG615" s="206" t="s">
        <v>101</v>
      </c>
      <c r="AH615" s="206" t="s">
        <v>46</v>
      </c>
      <c r="AI615" s="206" t="s">
        <v>101</v>
      </c>
      <c r="AJ615" s="206" t="s">
        <v>46</v>
      </c>
      <c r="AK615" s="206" t="s">
        <v>54</v>
      </c>
      <c r="AL615" s="206" t="s">
        <v>48</v>
      </c>
      <c r="AM615" s="206" t="s">
        <v>49</v>
      </c>
      <c r="AN615" s="133" t="str">
        <f>VLOOKUP(I615,Sheet1!A:D,4,)</f>
        <v>A320400</v>
      </c>
      <c r="AP615" s="4" t="s">
        <v>926</v>
      </c>
    </row>
    <row r="616" spans="1:42" s="206" customFormat="1" x14ac:dyDescent="0.25">
      <c r="A616" s="226">
        <v>45748</v>
      </c>
      <c r="B616" s="206" t="s">
        <v>40</v>
      </c>
      <c r="C616" s="206" t="s">
        <v>41</v>
      </c>
      <c r="D616" s="221">
        <v>25708104</v>
      </c>
      <c r="E616" s="221">
        <v>24106443</v>
      </c>
      <c r="F616" s="221" t="s">
        <v>720</v>
      </c>
      <c r="G616" s="227">
        <v>45755</v>
      </c>
      <c r="H616" s="206" t="s">
        <v>126</v>
      </c>
      <c r="I616" s="206" t="s">
        <v>122</v>
      </c>
      <c r="J616" s="206" t="s">
        <v>123</v>
      </c>
      <c r="K616" s="228">
        <v>60</v>
      </c>
      <c r="L616" s="229" t="s">
        <v>42</v>
      </c>
      <c r="M616" s="228">
        <v>60</v>
      </c>
      <c r="N616" s="228">
        <v>431239.87</v>
      </c>
      <c r="O616" s="228">
        <v>25874392.199999999</v>
      </c>
      <c r="P616" s="228">
        <v>25874392.199999999</v>
      </c>
      <c r="Q616" s="224">
        <v>0</v>
      </c>
      <c r="R616" s="224">
        <v>0</v>
      </c>
      <c r="S616" s="229" t="s">
        <v>43</v>
      </c>
      <c r="T616" s="228">
        <v>14409381.189999999</v>
      </c>
      <c r="U616" s="228">
        <v>14409381.189999999</v>
      </c>
      <c r="V616" s="228">
        <v>11465011.01</v>
      </c>
      <c r="W616" s="230">
        <v>0.44310262136299999</v>
      </c>
      <c r="X616" s="228">
        <v>11465011.01</v>
      </c>
      <c r="Y616" s="206" t="s">
        <v>69</v>
      </c>
      <c r="Z616" s="206" t="s">
        <v>46</v>
      </c>
      <c r="AA616" s="206">
        <v>2306153</v>
      </c>
      <c r="AB616" s="206" t="s">
        <v>126</v>
      </c>
      <c r="AC616" s="206" t="s">
        <v>56</v>
      </c>
      <c r="AD616" s="206" t="s">
        <v>77</v>
      </c>
      <c r="AE616" s="206">
        <v>0</v>
      </c>
      <c r="AF616" s="206" t="s">
        <v>124</v>
      </c>
      <c r="AG616" s="206" t="s">
        <v>81</v>
      </c>
      <c r="AH616" s="206" t="s">
        <v>57</v>
      </c>
      <c r="AI616" s="206" t="s">
        <v>69</v>
      </c>
      <c r="AJ616" s="206" t="s">
        <v>46</v>
      </c>
      <c r="AK616" s="206" t="s">
        <v>54</v>
      </c>
      <c r="AL616" s="206" t="s">
        <v>48</v>
      </c>
      <c r="AM616" s="206" t="s">
        <v>49</v>
      </c>
      <c r="AN616" s="133" t="str">
        <f>VLOOKUP(I616,Sheet1!A:D,4,)</f>
        <v>A320400</v>
      </c>
      <c r="AP616" s="4" t="s">
        <v>938</v>
      </c>
    </row>
    <row r="617" spans="1:42" s="206" customFormat="1" x14ac:dyDescent="0.25">
      <c r="A617" s="226">
        <v>45748</v>
      </c>
      <c r="B617" s="206" t="s">
        <v>40</v>
      </c>
      <c r="C617" s="206" t="s">
        <v>41</v>
      </c>
      <c r="D617" s="221">
        <v>25708105</v>
      </c>
      <c r="E617" s="221">
        <v>24106465</v>
      </c>
      <c r="F617" s="221" t="s">
        <v>721</v>
      </c>
      <c r="G617" s="227">
        <v>45755</v>
      </c>
      <c r="H617" s="206" t="s">
        <v>126</v>
      </c>
      <c r="I617" s="206" t="s">
        <v>122</v>
      </c>
      <c r="J617" s="206" t="s">
        <v>123</v>
      </c>
      <c r="K617" s="228">
        <v>180</v>
      </c>
      <c r="L617" s="229" t="s">
        <v>42</v>
      </c>
      <c r="M617" s="228">
        <v>180</v>
      </c>
      <c r="N617" s="228">
        <v>850045.06</v>
      </c>
      <c r="O617" s="228">
        <v>153008110.80000001</v>
      </c>
      <c r="P617" s="228">
        <v>153008110.80000001</v>
      </c>
      <c r="Q617" s="224">
        <v>0</v>
      </c>
      <c r="R617" s="224">
        <v>0</v>
      </c>
      <c r="S617" s="229" t="s">
        <v>43</v>
      </c>
      <c r="T617" s="228">
        <v>43228143.57</v>
      </c>
      <c r="U617" s="228">
        <v>43228143.57</v>
      </c>
      <c r="V617" s="228">
        <v>109779967.23</v>
      </c>
      <c r="W617" s="230">
        <v>0.71747809090600001</v>
      </c>
      <c r="X617" s="228">
        <v>109779967.23</v>
      </c>
      <c r="Y617" s="206" t="s">
        <v>69</v>
      </c>
      <c r="Z617" s="206" t="s">
        <v>46</v>
      </c>
      <c r="AA617" s="206">
        <v>2306153</v>
      </c>
      <c r="AB617" s="206" t="s">
        <v>126</v>
      </c>
      <c r="AC617" s="206" t="s">
        <v>56</v>
      </c>
      <c r="AD617" s="206" t="s">
        <v>77</v>
      </c>
      <c r="AE617" s="206">
        <v>0</v>
      </c>
      <c r="AF617" s="206" t="s">
        <v>124</v>
      </c>
      <c r="AG617" s="206" t="s">
        <v>81</v>
      </c>
      <c r="AH617" s="206" t="s">
        <v>57</v>
      </c>
      <c r="AI617" s="206" t="s">
        <v>69</v>
      </c>
      <c r="AJ617" s="206" t="s">
        <v>46</v>
      </c>
      <c r="AK617" s="206" t="s">
        <v>54</v>
      </c>
      <c r="AL617" s="206" t="s">
        <v>48</v>
      </c>
      <c r="AM617" s="206" t="s">
        <v>49</v>
      </c>
      <c r="AN617" s="133" t="str">
        <f>VLOOKUP(I617,Sheet1!A:D,4,)</f>
        <v>A320400</v>
      </c>
      <c r="AP617" s="4" t="s">
        <v>938</v>
      </c>
    </row>
    <row r="618" spans="1:42" s="206" customFormat="1" x14ac:dyDescent="0.25">
      <c r="A618" s="226">
        <v>45748</v>
      </c>
      <c r="B618" s="206" t="s">
        <v>40</v>
      </c>
      <c r="C618" s="206" t="s">
        <v>41</v>
      </c>
      <c r="D618" s="221">
        <v>25708106</v>
      </c>
      <c r="E618" s="221">
        <v>24106481</v>
      </c>
      <c r="F618" s="221" t="s">
        <v>148</v>
      </c>
      <c r="G618" s="227">
        <v>45755</v>
      </c>
      <c r="H618" s="206" t="s">
        <v>126</v>
      </c>
      <c r="I618" s="206" t="s">
        <v>424</v>
      </c>
      <c r="J618" s="206" t="s">
        <v>928</v>
      </c>
      <c r="K618" s="228">
        <v>40</v>
      </c>
      <c r="L618" s="229" t="s">
        <v>42</v>
      </c>
      <c r="M618" s="228">
        <v>40</v>
      </c>
      <c r="N618" s="228">
        <v>629322.87</v>
      </c>
      <c r="O618" s="228">
        <v>25172914.800000001</v>
      </c>
      <c r="P618" s="228">
        <v>25172914.800000001</v>
      </c>
      <c r="Q618" s="224">
        <v>0</v>
      </c>
      <c r="R618" s="224">
        <v>0</v>
      </c>
      <c r="S618" s="229" t="s">
        <v>43</v>
      </c>
      <c r="T618" s="228">
        <v>20387872.780000001</v>
      </c>
      <c r="U618" s="228">
        <v>20387872.780000001</v>
      </c>
      <c r="V618" s="228">
        <v>4785042.0199999996</v>
      </c>
      <c r="W618" s="230">
        <v>0.19008692708</v>
      </c>
      <c r="X618" s="228">
        <v>4785042.0199999996</v>
      </c>
      <c r="Y618" s="206" t="s">
        <v>69</v>
      </c>
      <c r="Z618" s="206" t="s">
        <v>46</v>
      </c>
      <c r="AA618" s="206">
        <v>2306153</v>
      </c>
      <c r="AB618" s="206" t="s">
        <v>126</v>
      </c>
      <c r="AC618" s="206" t="s">
        <v>56</v>
      </c>
      <c r="AD618" s="206" t="s">
        <v>77</v>
      </c>
      <c r="AE618" s="206">
        <v>0</v>
      </c>
      <c r="AF618" s="206" t="s">
        <v>119</v>
      </c>
      <c r="AG618" s="206" t="s">
        <v>120</v>
      </c>
      <c r="AH618" s="206" t="s">
        <v>121</v>
      </c>
      <c r="AI618" s="206" t="s">
        <v>69</v>
      </c>
      <c r="AJ618" s="206" t="s">
        <v>46</v>
      </c>
      <c r="AK618" s="206" t="s">
        <v>54</v>
      </c>
      <c r="AL618" s="206" t="s">
        <v>48</v>
      </c>
      <c r="AM618" s="206" t="s">
        <v>49</v>
      </c>
      <c r="AN618" s="133" t="str">
        <f>VLOOKUP(I618,Sheet1!A:D,4,)</f>
        <v>A320400</v>
      </c>
      <c r="AP618" s="4" t="s">
        <v>938</v>
      </c>
    </row>
    <row r="619" spans="1:42" s="206" customFormat="1" x14ac:dyDescent="0.25">
      <c r="A619" s="226">
        <v>45748</v>
      </c>
      <c r="B619" s="206" t="s">
        <v>40</v>
      </c>
      <c r="C619" s="206" t="s">
        <v>41</v>
      </c>
      <c r="D619" s="221">
        <v>25708107</v>
      </c>
      <c r="E619" s="221">
        <v>24106502</v>
      </c>
      <c r="F619" s="221" t="s">
        <v>269</v>
      </c>
      <c r="G619" s="227">
        <v>45755</v>
      </c>
      <c r="H619" s="206" t="s">
        <v>126</v>
      </c>
      <c r="I619" s="206" t="s">
        <v>286</v>
      </c>
      <c r="J619" s="206" t="s">
        <v>844</v>
      </c>
      <c r="K619" s="228">
        <v>30</v>
      </c>
      <c r="L619" s="229" t="s">
        <v>42</v>
      </c>
      <c r="M619" s="228">
        <v>30</v>
      </c>
      <c r="N619" s="228">
        <v>510982.77</v>
      </c>
      <c r="O619" s="228">
        <v>15329483.1</v>
      </c>
      <c r="P619" s="228">
        <v>15329483.1</v>
      </c>
      <c r="Q619" s="224">
        <v>0</v>
      </c>
      <c r="R619" s="224">
        <v>0</v>
      </c>
      <c r="S619" s="229" t="s">
        <v>43</v>
      </c>
      <c r="T619" s="228">
        <v>9896311.2599999998</v>
      </c>
      <c r="U619" s="228">
        <v>9896311.2599999998</v>
      </c>
      <c r="V619" s="228">
        <v>5433171.8399999999</v>
      </c>
      <c r="W619" s="230">
        <v>0.35442629112500001</v>
      </c>
      <c r="X619" s="228">
        <v>5433171.8399999999</v>
      </c>
      <c r="Y619" s="206" t="s">
        <v>69</v>
      </c>
      <c r="Z619" s="206" t="s">
        <v>46</v>
      </c>
      <c r="AA619" s="206">
        <v>2306153</v>
      </c>
      <c r="AB619" s="206" t="s">
        <v>126</v>
      </c>
      <c r="AC619" s="206" t="s">
        <v>56</v>
      </c>
      <c r="AD619" s="206" t="s">
        <v>77</v>
      </c>
      <c r="AE619" s="206">
        <v>0</v>
      </c>
      <c r="AF619" s="206" t="s">
        <v>68</v>
      </c>
      <c r="AG619" s="206" t="s">
        <v>71</v>
      </c>
      <c r="AH619" s="206" t="s">
        <v>53</v>
      </c>
      <c r="AI619" s="206" t="s">
        <v>69</v>
      </c>
      <c r="AJ619" s="206" t="s">
        <v>46</v>
      </c>
      <c r="AK619" s="206" t="s">
        <v>54</v>
      </c>
      <c r="AL619" s="206" t="s">
        <v>48</v>
      </c>
      <c r="AM619" s="206" t="s">
        <v>49</v>
      </c>
      <c r="AN619" s="133" t="str">
        <f>VLOOKUP(I619,Sheet1!A:D,4,)</f>
        <v>A320400</v>
      </c>
      <c r="AP619" s="4" t="s">
        <v>938</v>
      </c>
    </row>
    <row r="620" spans="1:42" s="206" customFormat="1" x14ac:dyDescent="0.25">
      <c r="A620" s="226">
        <v>45748</v>
      </c>
      <c r="B620" s="206" t="s">
        <v>40</v>
      </c>
      <c r="C620" s="206" t="s">
        <v>41</v>
      </c>
      <c r="D620" s="221">
        <v>25708108</v>
      </c>
      <c r="E620" s="221">
        <v>25106548</v>
      </c>
      <c r="F620" s="221" t="s">
        <v>714</v>
      </c>
      <c r="G620" s="227">
        <v>45755</v>
      </c>
      <c r="H620" s="206" t="s">
        <v>126</v>
      </c>
      <c r="I620" s="206" t="s">
        <v>177</v>
      </c>
      <c r="J620" s="206" t="s">
        <v>178</v>
      </c>
      <c r="K620" s="228">
        <v>120</v>
      </c>
      <c r="L620" s="229" t="s">
        <v>42</v>
      </c>
      <c r="M620" s="228">
        <v>120</v>
      </c>
      <c r="N620" s="228">
        <v>827268.41</v>
      </c>
      <c r="O620" s="228">
        <v>99272209.200000003</v>
      </c>
      <c r="P620" s="228">
        <v>99272209.200000003</v>
      </c>
      <c r="Q620" s="224">
        <v>0</v>
      </c>
      <c r="R620" s="224">
        <v>0</v>
      </c>
      <c r="S620" s="229" t="s">
        <v>43</v>
      </c>
      <c r="T620" s="228">
        <v>49393769.700000003</v>
      </c>
      <c r="U620" s="228">
        <v>49393769.700000003</v>
      </c>
      <c r="V620" s="228">
        <v>49878439.5</v>
      </c>
      <c r="W620" s="230">
        <v>0.50244111521099999</v>
      </c>
      <c r="X620" s="228">
        <v>49878439.5</v>
      </c>
      <c r="Y620" s="206" t="s">
        <v>69</v>
      </c>
      <c r="Z620" s="206" t="s">
        <v>46</v>
      </c>
      <c r="AA620" s="206">
        <v>2306153</v>
      </c>
      <c r="AB620" s="206" t="s">
        <v>126</v>
      </c>
      <c r="AC620" s="206" t="s">
        <v>56</v>
      </c>
      <c r="AD620" s="206" t="s">
        <v>77</v>
      </c>
      <c r="AE620" s="206">
        <v>0</v>
      </c>
      <c r="AF620" s="206" t="s">
        <v>72</v>
      </c>
      <c r="AG620" s="206" t="s">
        <v>69</v>
      </c>
      <c r="AH620" s="206" t="s">
        <v>46</v>
      </c>
      <c r="AI620" s="206" t="s">
        <v>69</v>
      </c>
      <c r="AJ620" s="206" t="s">
        <v>46</v>
      </c>
      <c r="AK620" s="206" t="s">
        <v>54</v>
      </c>
      <c r="AL620" s="206" t="s">
        <v>48</v>
      </c>
      <c r="AM620" s="206" t="s">
        <v>49</v>
      </c>
      <c r="AN620" s="133" t="str">
        <f>VLOOKUP(I620,Sheet1!A:D,4,)</f>
        <v>A320400</v>
      </c>
      <c r="AP620" s="4" t="s">
        <v>938</v>
      </c>
    </row>
    <row r="621" spans="1:42" s="206" customFormat="1" x14ac:dyDescent="0.25">
      <c r="A621" s="226">
        <v>45748</v>
      </c>
      <c r="B621" s="206" t="s">
        <v>40</v>
      </c>
      <c r="C621" s="206" t="s">
        <v>41</v>
      </c>
      <c r="D621" s="221">
        <v>25708109</v>
      </c>
      <c r="E621" s="221">
        <v>25106549</v>
      </c>
      <c r="F621" s="221" t="s">
        <v>929</v>
      </c>
      <c r="G621" s="227">
        <v>45755</v>
      </c>
      <c r="H621" s="206" t="s">
        <v>115</v>
      </c>
      <c r="I621" s="206" t="s">
        <v>122</v>
      </c>
      <c r="J621" s="206" t="s">
        <v>123</v>
      </c>
      <c r="K621" s="228">
        <v>160</v>
      </c>
      <c r="L621" s="229" t="s">
        <v>42</v>
      </c>
      <c r="M621" s="228">
        <v>160</v>
      </c>
      <c r="N621" s="228">
        <v>455975.98</v>
      </c>
      <c r="O621" s="228">
        <v>72956156.799999997</v>
      </c>
      <c r="P621" s="228">
        <v>72956156.799999997</v>
      </c>
      <c r="Q621" s="224">
        <v>0</v>
      </c>
      <c r="R621" s="224">
        <v>0</v>
      </c>
      <c r="S621" s="229" t="s">
        <v>43</v>
      </c>
      <c r="T621" s="228">
        <v>38425016.5</v>
      </c>
      <c r="U621" s="228">
        <v>38425016.5</v>
      </c>
      <c r="V621" s="228">
        <v>34531140.299999997</v>
      </c>
      <c r="W621" s="230">
        <v>0.473313587428</v>
      </c>
      <c r="X621" s="228">
        <v>34531140.299999997</v>
      </c>
      <c r="Y621" s="206" t="s">
        <v>66</v>
      </c>
      <c r="Z621" s="206" t="s">
        <v>44</v>
      </c>
      <c r="AA621" s="206">
        <v>15159</v>
      </c>
      <c r="AB621" s="206" t="s">
        <v>118</v>
      </c>
      <c r="AC621" s="206" t="s">
        <v>154</v>
      </c>
      <c r="AD621" s="206" t="s">
        <v>155</v>
      </c>
      <c r="AE621" s="206">
        <v>0</v>
      </c>
      <c r="AF621" s="206" t="s">
        <v>124</v>
      </c>
      <c r="AG621" s="206" t="s">
        <v>81</v>
      </c>
      <c r="AH621" s="206" t="s">
        <v>57</v>
      </c>
      <c r="AI621" s="206" t="s">
        <v>69</v>
      </c>
      <c r="AJ621" s="206" t="s">
        <v>46</v>
      </c>
      <c r="AK621" s="206" t="s">
        <v>54</v>
      </c>
      <c r="AL621" s="206" t="s">
        <v>48</v>
      </c>
      <c r="AM621" s="206" t="s">
        <v>49</v>
      </c>
      <c r="AN621" s="133" t="str">
        <f>VLOOKUP(I621,Sheet1!A:D,4,)</f>
        <v>A320400</v>
      </c>
      <c r="AP621" s="4" t="s">
        <v>938</v>
      </c>
    </row>
    <row r="622" spans="1:42" s="206" customFormat="1" x14ac:dyDescent="0.25">
      <c r="A622" s="226">
        <v>45748</v>
      </c>
      <c r="B622" s="206" t="s">
        <v>40</v>
      </c>
      <c r="C622" s="206" t="s">
        <v>41</v>
      </c>
      <c r="D622" s="221">
        <v>25708110</v>
      </c>
      <c r="E622" s="221">
        <v>25106551</v>
      </c>
      <c r="F622" s="221" t="s">
        <v>930</v>
      </c>
      <c r="G622" s="227">
        <v>45755</v>
      </c>
      <c r="H622" s="206" t="s">
        <v>126</v>
      </c>
      <c r="I622" s="206" t="s">
        <v>127</v>
      </c>
      <c r="J622" s="206" t="s">
        <v>128</v>
      </c>
      <c r="K622" s="228">
        <v>100</v>
      </c>
      <c r="L622" s="229" t="s">
        <v>42</v>
      </c>
      <c r="M622" s="228">
        <v>100</v>
      </c>
      <c r="N622" s="228">
        <v>735046.75</v>
      </c>
      <c r="O622" s="228">
        <v>73504675</v>
      </c>
      <c r="P622" s="228">
        <v>73504675</v>
      </c>
      <c r="Q622" s="224">
        <v>0</v>
      </c>
      <c r="R622" s="224">
        <v>0</v>
      </c>
      <c r="S622" s="229" t="s">
        <v>43</v>
      </c>
      <c r="T622" s="228">
        <v>54683608</v>
      </c>
      <c r="U622" s="228">
        <v>54683608</v>
      </c>
      <c r="V622" s="228">
        <v>18821067</v>
      </c>
      <c r="W622" s="230">
        <v>0.25605265243300002</v>
      </c>
      <c r="X622" s="228">
        <v>18821067</v>
      </c>
      <c r="Y622" s="206" t="s">
        <v>69</v>
      </c>
      <c r="Z622" s="206" t="s">
        <v>46</v>
      </c>
      <c r="AA622" s="206">
        <v>2306153</v>
      </c>
      <c r="AB622" s="206" t="s">
        <v>126</v>
      </c>
      <c r="AC622" s="206" t="s">
        <v>56</v>
      </c>
      <c r="AD622" s="206" t="s">
        <v>77</v>
      </c>
      <c r="AE622" s="206">
        <v>0</v>
      </c>
      <c r="AF622" s="206" t="s">
        <v>124</v>
      </c>
      <c r="AG622" s="206" t="s">
        <v>81</v>
      </c>
      <c r="AH622" s="206" t="s">
        <v>57</v>
      </c>
      <c r="AI622" s="206" t="s">
        <v>69</v>
      </c>
      <c r="AJ622" s="206" t="s">
        <v>46</v>
      </c>
      <c r="AK622" s="206" t="s">
        <v>54</v>
      </c>
      <c r="AL622" s="206" t="s">
        <v>48</v>
      </c>
      <c r="AM622" s="206" t="s">
        <v>49</v>
      </c>
      <c r="AN622" s="133" t="str">
        <f>VLOOKUP(I622,Sheet1!A:D,4,)</f>
        <v>A320400</v>
      </c>
      <c r="AP622" s="4" t="s">
        <v>938</v>
      </c>
    </row>
    <row r="623" spans="1:42" s="206" customFormat="1" x14ac:dyDescent="0.25">
      <c r="A623" s="226">
        <v>45748</v>
      </c>
      <c r="B623" s="206" t="s">
        <v>40</v>
      </c>
      <c r="C623" s="206" t="s">
        <v>41</v>
      </c>
      <c r="D623" s="221">
        <v>25708111</v>
      </c>
      <c r="E623" s="221">
        <v>25106576</v>
      </c>
      <c r="F623" s="221" t="s">
        <v>931</v>
      </c>
      <c r="G623" s="227">
        <v>45755</v>
      </c>
      <c r="H623" s="206" t="s">
        <v>115</v>
      </c>
      <c r="I623" s="206" t="s">
        <v>140</v>
      </c>
      <c r="J623" s="206" t="s">
        <v>141</v>
      </c>
      <c r="K623" s="228">
        <v>120</v>
      </c>
      <c r="L623" s="229" t="s">
        <v>42</v>
      </c>
      <c r="M623" s="228">
        <v>120</v>
      </c>
      <c r="N623" s="228">
        <v>519809.41</v>
      </c>
      <c r="O623" s="228">
        <v>62377129.200000003</v>
      </c>
      <c r="P623" s="228">
        <v>62377129.200000003</v>
      </c>
      <c r="Q623" s="224">
        <v>0</v>
      </c>
      <c r="R623" s="224">
        <v>0</v>
      </c>
      <c r="S623" s="229" t="s">
        <v>43</v>
      </c>
      <c r="T623" s="228">
        <v>26701648.280000001</v>
      </c>
      <c r="U623" s="228">
        <v>26701648.280000001</v>
      </c>
      <c r="V623" s="228">
        <v>35675480.920000002</v>
      </c>
      <c r="W623" s="230">
        <v>0.57193207474499996</v>
      </c>
      <c r="X623" s="228">
        <v>35675480.920000002</v>
      </c>
      <c r="Y623" s="206" t="s">
        <v>66</v>
      </c>
      <c r="Z623" s="206" t="s">
        <v>44</v>
      </c>
      <c r="AA623" s="206">
        <v>15159</v>
      </c>
      <c r="AB623" s="206" t="s">
        <v>118</v>
      </c>
      <c r="AC623" s="206" t="s">
        <v>154</v>
      </c>
      <c r="AD623" s="206" t="s">
        <v>155</v>
      </c>
      <c r="AE623" s="206">
        <v>0</v>
      </c>
      <c r="AF623" s="206" t="s">
        <v>68</v>
      </c>
      <c r="AG623" s="206" t="s">
        <v>142</v>
      </c>
      <c r="AH623" s="206" t="s">
        <v>143</v>
      </c>
      <c r="AI623" s="206" t="s">
        <v>69</v>
      </c>
      <c r="AJ623" s="206" t="s">
        <v>46</v>
      </c>
      <c r="AK623" s="206" t="s">
        <v>54</v>
      </c>
      <c r="AL623" s="206" t="s">
        <v>48</v>
      </c>
      <c r="AM623" s="206" t="s">
        <v>49</v>
      </c>
      <c r="AN623" s="133" t="str">
        <f>VLOOKUP(I623,Sheet1!A:D,4,)</f>
        <v>A320400</v>
      </c>
      <c r="AP623" s="4" t="s">
        <v>938</v>
      </c>
    </row>
    <row r="624" spans="1:42" s="206" customFormat="1" x14ac:dyDescent="0.25">
      <c r="A624" s="226">
        <v>45748</v>
      </c>
      <c r="B624" s="206" t="s">
        <v>40</v>
      </c>
      <c r="C624" s="206" t="s">
        <v>41</v>
      </c>
      <c r="D624" s="221">
        <v>25708112</v>
      </c>
      <c r="E624" s="221">
        <v>25106577</v>
      </c>
      <c r="F624" s="221" t="s">
        <v>848</v>
      </c>
      <c r="G624" s="227">
        <v>45755</v>
      </c>
      <c r="H624" s="206" t="s">
        <v>126</v>
      </c>
      <c r="I624" s="206" t="s">
        <v>298</v>
      </c>
      <c r="J624" s="206" t="s">
        <v>791</v>
      </c>
      <c r="K624" s="228">
        <v>40</v>
      </c>
      <c r="L624" s="229" t="s">
        <v>42</v>
      </c>
      <c r="M624" s="228">
        <v>40</v>
      </c>
      <c r="N624" s="228">
        <v>2091587.31</v>
      </c>
      <c r="O624" s="228">
        <v>83663492.400000006</v>
      </c>
      <c r="P624" s="228">
        <v>83663492.400000006</v>
      </c>
      <c r="Q624" s="224">
        <v>0</v>
      </c>
      <c r="R624" s="224">
        <v>0</v>
      </c>
      <c r="S624" s="229" t="s">
        <v>43</v>
      </c>
      <c r="T624" s="228">
        <v>58443563.039999999</v>
      </c>
      <c r="U624" s="228">
        <v>58443563.039999999</v>
      </c>
      <c r="V624" s="228">
        <v>25219929.359999999</v>
      </c>
      <c r="W624" s="230">
        <v>0.30144485529499998</v>
      </c>
      <c r="X624" s="228">
        <v>25219929.359999999</v>
      </c>
      <c r="Y624" s="206" t="s">
        <v>69</v>
      </c>
      <c r="Z624" s="206" t="s">
        <v>46</v>
      </c>
      <c r="AA624" s="206">
        <v>2306153</v>
      </c>
      <c r="AB624" s="206" t="s">
        <v>126</v>
      </c>
      <c r="AC624" s="206" t="s">
        <v>56</v>
      </c>
      <c r="AD624" s="206" t="s">
        <v>77</v>
      </c>
      <c r="AE624" s="206">
        <v>0</v>
      </c>
      <c r="AF624" s="206" t="s">
        <v>780</v>
      </c>
      <c r="AG624" s="206" t="s">
        <v>69</v>
      </c>
      <c r="AH624" s="206" t="s">
        <v>46</v>
      </c>
      <c r="AI624" s="206" t="s">
        <v>69</v>
      </c>
      <c r="AJ624" s="206" t="s">
        <v>46</v>
      </c>
      <c r="AK624" s="206" t="s">
        <v>54</v>
      </c>
      <c r="AL624" s="206" t="s">
        <v>48</v>
      </c>
      <c r="AM624" s="206" t="s">
        <v>49</v>
      </c>
      <c r="AN624" s="133" t="str">
        <f>VLOOKUP(I624,Sheet1!A:D,4,)</f>
        <v>A320400</v>
      </c>
      <c r="AP624" s="4" t="s">
        <v>938</v>
      </c>
    </row>
    <row r="625" spans="1:42" s="206" customFormat="1" x14ac:dyDescent="0.25">
      <c r="A625" s="226">
        <v>45748</v>
      </c>
      <c r="B625" s="206" t="s">
        <v>40</v>
      </c>
      <c r="C625" s="206" t="s">
        <v>41</v>
      </c>
      <c r="D625" s="221">
        <v>25708113</v>
      </c>
      <c r="E625" s="221">
        <v>25106589</v>
      </c>
      <c r="F625" s="221" t="s">
        <v>758</v>
      </c>
      <c r="G625" s="227">
        <v>45755</v>
      </c>
      <c r="H625" s="206" t="s">
        <v>126</v>
      </c>
      <c r="I625" s="206" t="s">
        <v>240</v>
      </c>
      <c r="J625" s="206" t="s">
        <v>241</v>
      </c>
      <c r="K625" s="228">
        <v>30</v>
      </c>
      <c r="L625" s="229" t="s">
        <v>42</v>
      </c>
      <c r="M625" s="228">
        <v>30</v>
      </c>
      <c r="N625" s="228">
        <v>4403383.9000000004</v>
      </c>
      <c r="O625" s="228">
        <v>132101517</v>
      </c>
      <c r="P625" s="228">
        <v>132101517</v>
      </c>
      <c r="Q625" s="224">
        <v>0</v>
      </c>
      <c r="R625" s="224">
        <v>0</v>
      </c>
      <c r="S625" s="229" t="s">
        <v>43</v>
      </c>
      <c r="T625" s="228">
        <v>86962195.859999999</v>
      </c>
      <c r="U625" s="228">
        <v>86962195.859999999</v>
      </c>
      <c r="V625" s="228">
        <v>45139321.140000001</v>
      </c>
      <c r="W625" s="230">
        <v>0.34170176213699999</v>
      </c>
      <c r="X625" s="228">
        <v>45139321.140000001</v>
      </c>
      <c r="Y625" s="206" t="s">
        <v>69</v>
      </c>
      <c r="Z625" s="206" t="s">
        <v>46</v>
      </c>
      <c r="AA625" s="206">
        <v>2306153</v>
      </c>
      <c r="AB625" s="206" t="s">
        <v>126</v>
      </c>
      <c r="AC625" s="206" t="s">
        <v>56</v>
      </c>
      <c r="AD625" s="206" t="s">
        <v>77</v>
      </c>
      <c r="AE625" s="206">
        <v>0</v>
      </c>
      <c r="AF625" s="206" t="s">
        <v>68</v>
      </c>
      <c r="AG625" s="206" t="s">
        <v>71</v>
      </c>
      <c r="AH625" s="206" t="s">
        <v>53</v>
      </c>
      <c r="AI625" s="206" t="s">
        <v>69</v>
      </c>
      <c r="AJ625" s="206" t="s">
        <v>46</v>
      </c>
      <c r="AK625" s="206" t="s">
        <v>54</v>
      </c>
      <c r="AL625" s="206" t="s">
        <v>48</v>
      </c>
      <c r="AM625" s="206" t="s">
        <v>49</v>
      </c>
      <c r="AN625" s="133" t="str">
        <f>VLOOKUP(I625,Sheet1!A:D,4,)</f>
        <v>A320400</v>
      </c>
      <c r="AP625" s="4" t="s">
        <v>938</v>
      </c>
    </row>
    <row r="626" spans="1:42" s="206" customFormat="1" x14ac:dyDescent="0.25">
      <c r="A626" s="226">
        <v>45748</v>
      </c>
      <c r="B626" s="206" t="s">
        <v>40</v>
      </c>
      <c r="C626" s="206" t="s">
        <v>41</v>
      </c>
      <c r="D626" s="221">
        <v>25708114</v>
      </c>
      <c r="E626" s="221">
        <v>25106614</v>
      </c>
      <c r="F626" s="221" t="s">
        <v>932</v>
      </c>
      <c r="G626" s="227">
        <v>45755</v>
      </c>
      <c r="H626" s="206" t="s">
        <v>115</v>
      </c>
      <c r="I626" s="206" t="s">
        <v>285</v>
      </c>
      <c r="J626" s="206" t="s">
        <v>708</v>
      </c>
      <c r="K626" s="228">
        <v>100</v>
      </c>
      <c r="L626" s="229" t="s">
        <v>42</v>
      </c>
      <c r="M626" s="228">
        <v>100</v>
      </c>
      <c r="N626" s="228">
        <v>1887826.66</v>
      </c>
      <c r="O626" s="228">
        <v>188782666</v>
      </c>
      <c r="P626" s="228">
        <v>188782666</v>
      </c>
      <c r="Q626" s="224">
        <v>0</v>
      </c>
      <c r="R626" s="224">
        <v>0</v>
      </c>
      <c r="S626" s="229" t="s">
        <v>43</v>
      </c>
      <c r="T626" s="228">
        <v>137769327.59999999</v>
      </c>
      <c r="U626" s="228">
        <v>137769327.59999999</v>
      </c>
      <c r="V626" s="228">
        <v>51013338.399999999</v>
      </c>
      <c r="W626" s="230">
        <v>0.27022257647300002</v>
      </c>
      <c r="X626" s="228">
        <v>51013338.399999999</v>
      </c>
      <c r="Y626" s="206" t="s">
        <v>66</v>
      </c>
      <c r="Z626" s="206" t="s">
        <v>44</v>
      </c>
      <c r="AA626" s="206">
        <v>15159</v>
      </c>
      <c r="AB626" s="206" t="s">
        <v>118</v>
      </c>
      <c r="AC626" s="206" t="s">
        <v>154</v>
      </c>
      <c r="AD626" s="206" t="s">
        <v>155</v>
      </c>
      <c r="AE626" s="206">
        <v>0</v>
      </c>
      <c r="AF626" s="206" t="s">
        <v>68</v>
      </c>
      <c r="AG626" s="206" t="s">
        <v>69</v>
      </c>
      <c r="AH626" s="206" t="s">
        <v>46</v>
      </c>
      <c r="AI626" s="206" t="s">
        <v>69</v>
      </c>
      <c r="AJ626" s="206" t="s">
        <v>46</v>
      </c>
      <c r="AK626" s="206" t="s">
        <v>54</v>
      </c>
      <c r="AL626" s="206" t="s">
        <v>48</v>
      </c>
      <c r="AM626" s="206" t="s">
        <v>49</v>
      </c>
      <c r="AN626" s="133" t="str">
        <f>VLOOKUP(I626,Sheet1!A:D,4,)</f>
        <v>A320400</v>
      </c>
      <c r="AP626" s="4" t="s">
        <v>938</v>
      </c>
    </row>
    <row r="627" spans="1:42" s="206" customFormat="1" x14ac:dyDescent="0.25">
      <c r="A627" s="226">
        <v>45748</v>
      </c>
      <c r="B627" s="206" t="s">
        <v>40</v>
      </c>
      <c r="C627" s="206" t="s">
        <v>41</v>
      </c>
      <c r="D627" s="221">
        <v>25708115</v>
      </c>
      <c r="E627" s="221">
        <v>25106624</v>
      </c>
      <c r="F627" s="221" t="s">
        <v>933</v>
      </c>
      <c r="G627" s="227">
        <v>45755</v>
      </c>
      <c r="H627" s="206" t="s">
        <v>126</v>
      </c>
      <c r="I627" s="206" t="s">
        <v>240</v>
      </c>
      <c r="J627" s="206" t="s">
        <v>241</v>
      </c>
      <c r="K627" s="228">
        <v>30</v>
      </c>
      <c r="L627" s="229" t="s">
        <v>42</v>
      </c>
      <c r="M627" s="228">
        <v>30</v>
      </c>
      <c r="N627" s="228">
        <v>4466972.43</v>
      </c>
      <c r="O627" s="228">
        <v>134009172.90000001</v>
      </c>
      <c r="P627" s="228">
        <v>134009172.90000001</v>
      </c>
      <c r="Q627" s="224">
        <v>0</v>
      </c>
      <c r="R627" s="224">
        <v>0</v>
      </c>
      <c r="S627" s="229" t="s">
        <v>43</v>
      </c>
      <c r="T627" s="228">
        <v>86962195.859999999</v>
      </c>
      <c r="U627" s="228">
        <v>86962195.859999999</v>
      </c>
      <c r="V627" s="228">
        <v>47046977.039999999</v>
      </c>
      <c r="W627" s="230">
        <v>0.35107281107600002</v>
      </c>
      <c r="X627" s="228">
        <v>47046977.039999999</v>
      </c>
      <c r="Y627" s="206" t="s">
        <v>69</v>
      </c>
      <c r="Z627" s="206" t="s">
        <v>46</v>
      </c>
      <c r="AA627" s="206">
        <v>2306153</v>
      </c>
      <c r="AB627" s="206" t="s">
        <v>126</v>
      </c>
      <c r="AC627" s="206" t="s">
        <v>56</v>
      </c>
      <c r="AD627" s="206" t="s">
        <v>77</v>
      </c>
      <c r="AE627" s="206">
        <v>0</v>
      </c>
      <c r="AF627" s="206" t="s">
        <v>68</v>
      </c>
      <c r="AG627" s="206" t="s">
        <v>71</v>
      </c>
      <c r="AH627" s="206" t="s">
        <v>53</v>
      </c>
      <c r="AI627" s="206" t="s">
        <v>69</v>
      </c>
      <c r="AJ627" s="206" t="s">
        <v>46</v>
      </c>
      <c r="AK627" s="206" t="s">
        <v>54</v>
      </c>
      <c r="AL627" s="206" t="s">
        <v>48</v>
      </c>
      <c r="AM627" s="206" t="s">
        <v>49</v>
      </c>
      <c r="AN627" s="133" t="str">
        <f>VLOOKUP(I627,Sheet1!A:D,4,)</f>
        <v>A320400</v>
      </c>
      <c r="AP627" s="4" t="s">
        <v>938</v>
      </c>
    </row>
    <row r="628" spans="1:42" s="206" customFormat="1" x14ac:dyDescent="0.25">
      <c r="A628" s="226">
        <v>45748</v>
      </c>
      <c r="B628" s="206" t="s">
        <v>40</v>
      </c>
      <c r="C628" s="206" t="s">
        <v>41</v>
      </c>
      <c r="D628" s="221">
        <v>25708116</v>
      </c>
      <c r="E628" s="221">
        <v>24106338</v>
      </c>
      <c r="F628" s="221" t="s">
        <v>825</v>
      </c>
      <c r="G628" s="227">
        <v>45755</v>
      </c>
      <c r="H628" s="206" t="s">
        <v>126</v>
      </c>
      <c r="I628" s="206" t="s">
        <v>384</v>
      </c>
      <c r="J628" s="206" t="s">
        <v>934</v>
      </c>
      <c r="K628" s="228">
        <v>60</v>
      </c>
      <c r="L628" s="229" t="s">
        <v>42</v>
      </c>
      <c r="M628" s="228">
        <v>60</v>
      </c>
      <c r="N628" s="228">
        <v>817091.9</v>
      </c>
      <c r="O628" s="228">
        <v>49025514</v>
      </c>
      <c r="P628" s="228">
        <v>49025514</v>
      </c>
      <c r="Q628" s="224">
        <v>0</v>
      </c>
      <c r="R628" s="224">
        <v>0</v>
      </c>
      <c r="S628" s="229" t="s">
        <v>43</v>
      </c>
      <c r="T628" s="228">
        <v>40641338.399999999</v>
      </c>
      <c r="U628" s="228">
        <v>40641338.399999999</v>
      </c>
      <c r="V628" s="228">
        <v>8384175.5999999996</v>
      </c>
      <c r="W628" s="230">
        <v>0.17101657720499999</v>
      </c>
      <c r="X628" s="228">
        <v>8384175.5999999996</v>
      </c>
      <c r="Y628" s="206" t="s">
        <v>69</v>
      </c>
      <c r="Z628" s="206" t="s">
        <v>46</v>
      </c>
      <c r="AA628" s="206">
        <v>2306153</v>
      </c>
      <c r="AB628" s="206" t="s">
        <v>126</v>
      </c>
      <c r="AC628" s="206" t="s">
        <v>56</v>
      </c>
      <c r="AD628" s="206" t="s">
        <v>77</v>
      </c>
      <c r="AE628" s="206">
        <v>0</v>
      </c>
      <c r="AF628" s="206" t="s">
        <v>119</v>
      </c>
      <c r="AG628" s="206" t="s">
        <v>81</v>
      </c>
      <c r="AH628" s="206" t="s">
        <v>57</v>
      </c>
      <c r="AI628" s="206" t="s">
        <v>69</v>
      </c>
      <c r="AJ628" s="206" t="s">
        <v>46</v>
      </c>
      <c r="AK628" s="206" t="s">
        <v>54</v>
      </c>
      <c r="AL628" s="206" t="s">
        <v>48</v>
      </c>
      <c r="AM628" s="206" t="s">
        <v>49</v>
      </c>
      <c r="AN628" s="133" t="str">
        <f>VLOOKUP(I628,Sheet1!A:D,4,)</f>
        <v>A320400</v>
      </c>
      <c r="AP628" s="4" t="s">
        <v>938</v>
      </c>
    </row>
    <row r="629" spans="1:42" s="206" customFormat="1" x14ac:dyDescent="0.25">
      <c r="A629" s="226">
        <v>45748</v>
      </c>
      <c r="B629" s="206" t="s">
        <v>40</v>
      </c>
      <c r="C629" s="206" t="s">
        <v>41</v>
      </c>
      <c r="D629" s="221">
        <v>25708117</v>
      </c>
      <c r="E629" s="221">
        <v>25106548</v>
      </c>
      <c r="F629" s="221" t="s">
        <v>714</v>
      </c>
      <c r="G629" s="227">
        <v>45755</v>
      </c>
      <c r="H629" s="206" t="s">
        <v>126</v>
      </c>
      <c r="I629" s="206" t="s">
        <v>406</v>
      </c>
      <c r="J629" s="206" t="s">
        <v>935</v>
      </c>
      <c r="K629" s="228">
        <v>6</v>
      </c>
      <c r="L629" s="229" t="s">
        <v>42</v>
      </c>
      <c r="M629" s="228">
        <v>6</v>
      </c>
      <c r="N629" s="228">
        <v>2392791.2799999998</v>
      </c>
      <c r="O629" s="228">
        <v>14356747.68</v>
      </c>
      <c r="P629" s="228">
        <v>14356747.68</v>
      </c>
      <c r="Q629" s="224">
        <v>0</v>
      </c>
      <c r="R629" s="224">
        <v>0</v>
      </c>
      <c r="S629" s="229" t="s">
        <v>43</v>
      </c>
      <c r="T629" s="228">
        <v>8489689.9800000004</v>
      </c>
      <c r="U629" s="228">
        <v>8489689.9800000004</v>
      </c>
      <c r="V629" s="228">
        <v>5867057.7000000002</v>
      </c>
      <c r="W629" s="230">
        <v>0.40866203340500001</v>
      </c>
      <c r="X629" s="228">
        <v>5867057.7000000002</v>
      </c>
      <c r="Y629" s="206" t="s">
        <v>69</v>
      </c>
      <c r="Z629" s="206" t="s">
        <v>46</v>
      </c>
      <c r="AA629" s="206">
        <v>2306153</v>
      </c>
      <c r="AB629" s="206" t="s">
        <v>126</v>
      </c>
      <c r="AC629" s="206" t="s">
        <v>56</v>
      </c>
      <c r="AD629" s="206" t="s">
        <v>77</v>
      </c>
      <c r="AE629" s="206">
        <v>0</v>
      </c>
      <c r="AF629" s="206" t="s">
        <v>124</v>
      </c>
      <c r="AG629" s="206" t="s">
        <v>131</v>
      </c>
      <c r="AH629" s="206" t="s">
        <v>132</v>
      </c>
      <c r="AI629" s="206" t="s">
        <v>69</v>
      </c>
      <c r="AJ629" s="206" t="s">
        <v>46</v>
      </c>
      <c r="AK629" s="206" t="s">
        <v>54</v>
      </c>
      <c r="AL629" s="206" t="s">
        <v>48</v>
      </c>
      <c r="AM629" s="206" t="s">
        <v>49</v>
      </c>
      <c r="AN629" s="133" t="str">
        <f>VLOOKUP(I629,Sheet1!A:D,4,)</f>
        <v>A320400</v>
      </c>
      <c r="AP629" s="4" t="s">
        <v>938</v>
      </c>
    </row>
    <row r="630" spans="1:42" s="206" customFormat="1" x14ac:dyDescent="0.25">
      <c r="A630" s="226">
        <v>45748</v>
      </c>
      <c r="B630" s="206" t="s">
        <v>40</v>
      </c>
      <c r="C630" s="206" t="s">
        <v>41</v>
      </c>
      <c r="D630" s="221">
        <v>25708118</v>
      </c>
      <c r="E630" s="221">
        <v>25106549</v>
      </c>
      <c r="F630" s="221" t="s">
        <v>929</v>
      </c>
      <c r="G630" s="227">
        <v>45755</v>
      </c>
      <c r="H630" s="206" t="s">
        <v>115</v>
      </c>
      <c r="I630" s="206" t="s">
        <v>226</v>
      </c>
      <c r="J630" s="206" t="s">
        <v>936</v>
      </c>
      <c r="K630" s="228">
        <v>400</v>
      </c>
      <c r="L630" s="229" t="s">
        <v>42</v>
      </c>
      <c r="M630" s="228">
        <v>400</v>
      </c>
      <c r="N630" s="228">
        <v>205453.83</v>
      </c>
      <c r="O630" s="228">
        <v>82181532</v>
      </c>
      <c r="P630" s="228">
        <v>82181532</v>
      </c>
      <c r="Q630" s="224">
        <v>0</v>
      </c>
      <c r="R630" s="224">
        <v>0</v>
      </c>
      <c r="S630" s="229" t="s">
        <v>43</v>
      </c>
      <c r="T630" s="228">
        <v>52384696.200000003</v>
      </c>
      <c r="U630" s="228">
        <v>52384696.200000003</v>
      </c>
      <c r="V630" s="228">
        <v>29796835.800000001</v>
      </c>
      <c r="W630" s="230">
        <v>0.36257337962399999</v>
      </c>
      <c r="X630" s="228">
        <v>29796835.800000001</v>
      </c>
      <c r="Y630" s="206" t="s">
        <v>66</v>
      </c>
      <c r="Z630" s="206" t="s">
        <v>44</v>
      </c>
      <c r="AA630" s="206">
        <v>15159</v>
      </c>
      <c r="AB630" s="206" t="s">
        <v>118</v>
      </c>
      <c r="AC630" s="206" t="s">
        <v>154</v>
      </c>
      <c r="AD630" s="206" t="s">
        <v>155</v>
      </c>
      <c r="AE630" s="206">
        <v>0</v>
      </c>
      <c r="AF630" s="206" t="s">
        <v>124</v>
      </c>
      <c r="AG630" s="206" t="s">
        <v>81</v>
      </c>
      <c r="AH630" s="206" t="s">
        <v>57</v>
      </c>
      <c r="AI630" s="206" t="s">
        <v>69</v>
      </c>
      <c r="AJ630" s="206" t="s">
        <v>46</v>
      </c>
      <c r="AK630" s="206" t="s">
        <v>54</v>
      </c>
      <c r="AL630" s="206" t="s">
        <v>48</v>
      </c>
      <c r="AM630" s="206" t="s">
        <v>49</v>
      </c>
      <c r="AN630" s="133" t="str">
        <f>VLOOKUP(I630,Sheet1!A:D,4,)</f>
        <v>A320400</v>
      </c>
      <c r="AP630" s="4" t="s">
        <v>938</v>
      </c>
    </row>
    <row r="631" spans="1:42" s="206" customFormat="1" x14ac:dyDescent="0.25">
      <c r="A631" s="226">
        <v>45748</v>
      </c>
      <c r="B631" s="206" t="s">
        <v>40</v>
      </c>
      <c r="C631" s="206" t="s">
        <v>41</v>
      </c>
      <c r="D631" s="221">
        <v>25708119</v>
      </c>
      <c r="E631" s="221">
        <v>25106577</v>
      </c>
      <c r="F631" s="221" t="s">
        <v>848</v>
      </c>
      <c r="G631" s="227">
        <v>45755</v>
      </c>
      <c r="H631" s="206" t="s">
        <v>126</v>
      </c>
      <c r="I631" s="206" t="s">
        <v>284</v>
      </c>
      <c r="J631" s="206" t="s">
        <v>782</v>
      </c>
      <c r="K631" s="228">
        <v>100</v>
      </c>
      <c r="L631" s="229" t="s">
        <v>42</v>
      </c>
      <c r="M631" s="228">
        <v>100</v>
      </c>
      <c r="N631" s="228">
        <v>2409150.6</v>
      </c>
      <c r="O631" s="228">
        <v>240915060</v>
      </c>
      <c r="P631" s="228">
        <v>240915060</v>
      </c>
      <c r="Q631" s="224">
        <v>0</v>
      </c>
      <c r="R631" s="224">
        <v>0</v>
      </c>
      <c r="S631" s="229" t="s">
        <v>43</v>
      </c>
      <c r="T631" s="228">
        <v>147271921.40000001</v>
      </c>
      <c r="U631" s="228">
        <v>147271921.40000001</v>
      </c>
      <c r="V631" s="228">
        <v>93643138.599999994</v>
      </c>
      <c r="W631" s="230">
        <v>0.38869773686999998</v>
      </c>
      <c r="X631" s="228">
        <v>93643138.599999994</v>
      </c>
      <c r="Y631" s="206" t="s">
        <v>69</v>
      </c>
      <c r="Z631" s="206" t="s">
        <v>46</v>
      </c>
      <c r="AA631" s="206">
        <v>2306153</v>
      </c>
      <c r="AB631" s="206" t="s">
        <v>126</v>
      </c>
      <c r="AC631" s="206" t="s">
        <v>56</v>
      </c>
      <c r="AD631" s="206" t="s">
        <v>77</v>
      </c>
      <c r="AE631" s="206">
        <v>0</v>
      </c>
      <c r="AF631" s="206" t="s">
        <v>68</v>
      </c>
      <c r="AG631" s="206" t="s">
        <v>69</v>
      </c>
      <c r="AH631" s="206" t="s">
        <v>46</v>
      </c>
      <c r="AI631" s="206" t="s">
        <v>69</v>
      </c>
      <c r="AJ631" s="206" t="s">
        <v>46</v>
      </c>
      <c r="AK631" s="206" t="s">
        <v>54</v>
      </c>
      <c r="AL631" s="206" t="s">
        <v>48</v>
      </c>
      <c r="AM631" s="206" t="s">
        <v>49</v>
      </c>
      <c r="AN631" s="133" t="str">
        <f>VLOOKUP(I631,Sheet1!A:D,4,)</f>
        <v>A320400</v>
      </c>
      <c r="AP631" s="4" t="s">
        <v>938</v>
      </c>
    </row>
    <row r="632" spans="1:42" s="206" customFormat="1" x14ac:dyDescent="0.25">
      <c r="A632" s="226">
        <v>45748</v>
      </c>
      <c r="B632" s="206" t="s">
        <v>40</v>
      </c>
      <c r="C632" s="206" t="s">
        <v>41</v>
      </c>
      <c r="D632" s="221">
        <v>25708120</v>
      </c>
      <c r="E632" s="221">
        <v>25106607</v>
      </c>
      <c r="F632" s="221" t="s">
        <v>922</v>
      </c>
      <c r="G632" s="227">
        <v>45755</v>
      </c>
      <c r="H632" s="206" t="s">
        <v>115</v>
      </c>
      <c r="I632" s="206" t="s">
        <v>462</v>
      </c>
      <c r="J632" s="206" t="s">
        <v>937</v>
      </c>
      <c r="K632" s="228">
        <v>5</v>
      </c>
      <c r="L632" s="229" t="s">
        <v>42</v>
      </c>
      <c r="M632" s="228">
        <v>5</v>
      </c>
      <c r="N632" s="228">
        <v>1887826.66</v>
      </c>
      <c r="O632" s="228">
        <v>9439133.3000000007</v>
      </c>
      <c r="P632" s="228">
        <v>9439133.3000000007</v>
      </c>
      <c r="Q632" s="224">
        <v>0</v>
      </c>
      <c r="R632" s="224">
        <v>0</v>
      </c>
      <c r="S632" s="229" t="s">
        <v>43</v>
      </c>
      <c r="T632" s="228">
        <v>6962983.5099999998</v>
      </c>
      <c r="U632" s="228">
        <v>6962983.5099999998</v>
      </c>
      <c r="V632" s="228">
        <v>2476149.79</v>
      </c>
      <c r="W632" s="230">
        <v>0.26232808789700002</v>
      </c>
      <c r="X632" s="228">
        <v>2476149.79</v>
      </c>
      <c r="Y632" s="206" t="s">
        <v>66</v>
      </c>
      <c r="Z632" s="206" t="s">
        <v>44</v>
      </c>
      <c r="AA632" s="206">
        <v>15159</v>
      </c>
      <c r="AB632" s="206" t="s">
        <v>118</v>
      </c>
      <c r="AC632" s="206" t="s">
        <v>154</v>
      </c>
      <c r="AD632" s="206" t="s">
        <v>155</v>
      </c>
      <c r="AE632" s="206">
        <v>0</v>
      </c>
      <c r="AF632" s="206" t="s">
        <v>72</v>
      </c>
      <c r="AG632" s="206" t="s">
        <v>69</v>
      </c>
      <c r="AH632" s="206" t="s">
        <v>46</v>
      </c>
      <c r="AI632" s="206" t="s">
        <v>69</v>
      </c>
      <c r="AJ632" s="206" t="s">
        <v>46</v>
      </c>
      <c r="AK632" s="206" t="s">
        <v>54</v>
      </c>
      <c r="AL632" s="206" t="s">
        <v>48</v>
      </c>
      <c r="AM632" s="206" t="s">
        <v>49</v>
      </c>
      <c r="AN632" s="133" t="str">
        <f>VLOOKUP(I632,Sheet1!A:D,4,)</f>
        <v>A320400</v>
      </c>
      <c r="AP632" s="4" t="s">
        <v>938</v>
      </c>
    </row>
    <row r="633" spans="1:42" s="206" customFormat="1" x14ac:dyDescent="0.25">
      <c r="A633" s="226">
        <v>45748</v>
      </c>
      <c r="B633" s="206" t="s">
        <v>40</v>
      </c>
      <c r="C633" s="206" t="s">
        <v>41</v>
      </c>
      <c r="D633" s="221">
        <v>25708121</v>
      </c>
      <c r="E633" s="221">
        <v>24106443</v>
      </c>
      <c r="F633" s="221" t="s">
        <v>720</v>
      </c>
      <c r="G633" s="227">
        <v>45756</v>
      </c>
      <c r="H633" s="206" t="s">
        <v>126</v>
      </c>
      <c r="I633" s="206" t="s">
        <v>167</v>
      </c>
      <c r="J633" s="206" t="s">
        <v>168</v>
      </c>
      <c r="K633" s="228">
        <v>20</v>
      </c>
      <c r="L633" s="229" t="s">
        <v>42</v>
      </c>
      <c r="M633" s="228">
        <v>20</v>
      </c>
      <c r="N633" s="228">
        <v>916576.29</v>
      </c>
      <c r="O633" s="228">
        <v>18331525.800000001</v>
      </c>
      <c r="P633" s="228">
        <v>18331525.800000001</v>
      </c>
      <c r="Q633" s="224">
        <v>0</v>
      </c>
      <c r="R633" s="224">
        <v>0</v>
      </c>
      <c r="S633" s="229" t="s">
        <v>43</v>
      </c>
      <c r="T633" s="228">
        <v>6808563.6200000001</v>
      </c>
      <c r="U633" s="228">
        <v>6808563.6200000001</v>
      </c>
      <c r="V633" s="228">
        <v>11522962.18</v>
      </c>
      <c r="W633" s="230">
        <v>0.62858718394199997</v>
      </c>
      <c r="X633" s="228">
        <v>11522962.18</v>
      </c>
      <c r="Y633" s="206" t="s">
        <v>69</v>
      </c>
      <c r="Z633" s="206" t="s">
        <v>46</v>
      </c>
      <c r="AA633" s="206">
        <v>2306153</v>
      </c>
      <c r="AB633" s="206" t="s">
        <v>126</v>
      </c>
      <c r="AC633" s="206" t="s">
        <v>56</v>
      </c>
      <c r="AD633" s="206" t="s">
        <v>77</v>
      </c>
      <c r="AE633" s="206">
        <v>0</v>
      </c>
      <c r="AF633" s="206" t="s">
        <v>119</v>
      </c>
      <c r="AG633" s="206" t="s">
        <v>120</v>
      </c>
      <c r="AH633" s="206" t="s">
        <v>121</v>
      </c>
      <c r="AI633" s="206" t="s">
        <v>69</v>
      </c>
      <c r="AJ633" s="206" t="s">
        <v>46</v>
      </c>
      <c r="AK633" s="206" t="s">
        <v>54</v>
      </c>
      <c r="AL633" s="206" t="s">
        <v>48</v>
      </c>
      <c r="AM633" s="206" t="s">
        <v>49</v>
      </c>
      <c r="AN633" s="133" t="str">
        <f>VLOOKUP(I633,Sheet1!A:D,4,)</f>
        <v>A320400</v>
      </c>
      <c r="AP633" s="4" t="s">
        <v>938</v>
      </c>
    </row>
    <row r="634" spans="1:42" s="206" customFormat="1" x14ac:dyDescent="0.25">
      <c r="A634" s="226">
        <v>45748</v>
      </c>
      <c r="B634" s="206" t="s">
        <v>40</v>
      </c>
      <c r="C634" s="206" t="s">
        <v>41</v>
      </c>
      <c r="D634" s="221">
        <v>25708126</v>
      </c>
      <c r="E634" s="221">
        <v>25106565</v>
      </c>
      <c r="F634" s="221" t="s">
        <v>949</v>
      </c>
      <c r="G634" s="227">
        <v>45762</v>
      </c>
      <c r="H634" s="206" t="s">
        <v>245</v>
      </c>
      <c r="I634" s="206" t="s">
        <v>396</v>
      </c>
      <c r="J634" s="206" t="s">
        <v>608</v>
      </c>
      <c r="K634" s="228">
        <v>120</v>
      </c>
      <c r="L634" s="229" t="s">
        <v>42</v>
      </c>
      <c r="M634" s="228">
        <v>120</v>
      </c>
      <c r="N634" s="228">
        <v>1305698.3600000001</v>
      </c>
      <c r="O634" s="228">
        <v>156683803.19999999</v>
      </c>
      <c r="P634" s="228">
        <v>156683803.19999999</v>
      </c>
      <c r="Q634" s="224">
        <v>0</v>
      </c>
      <c r="R634" s="224">
        <v>0</v>
      </c>
      <c r="S634" s="229" t="s">
        <v>43</v>
      </c>
      <c r="T634" s="228">
        <v>87609320.540000007</v>
      </c>
      <c r="U634" s="228">
        <v>87609320.540000007</v>
      </c>
      <c r="V634" s="228">
        <v>69074482.659999996</v>
      </c>
      <c r="W634" s="230">
        <v>0.44085273173900003</v>
      </c>
      <c r="X634" s="228">
        <v>69074482.659999996</v>
      </c>
      <c r="Y634" s="206" t="s">
        <v>235</v>
      </c>
      <c r="Z634" s="206" t="s">
        <v>44</v>
      </c>
      <c r="AA634" s="206">
        <v>15159</v>
      </c>
      <c r="AB634" s="206" t="s">
        <v>246</v>
      </c>
      <c r="AC634" s="206" t="s">
        <v>154</v>
      </c>
      <c r="AD634" s="206" t="s">
        <v>155</v>
      </c>
      <c r="AE634" s="206">
        <v>0</v>
      </c>
      <c r="AF634" s="206" t="s">
        <v>191</v>
      </c>
      <c r="AG634" s="206" t="s">
        <v>242</v>
      </c>
      <c r="AH634" s="206" t="s">
        <v>53</v>
      </c>
      <c r="AI634" s="206" t="s">
        <v>101</v>
      </c>
      <c r="AJ634" s="206" t="s">
        <v>46</v>
      </c>
      <c r="AK634" s="206" t="s">
        <v>54</v>
      </c>
      <c r="AL634" s="206" t="s">
        <v>48</v>
      </c>
      <c r="AM634" s="206" t="s">
        <v>49</v>
      </c>
      <c r="AN634" s="133" t="str">
        <f>VLOOKUP(I634,Sheet1!A:D,4,)</f>
        <v>A320400</v>
      </c>
      <c r="AP634" s="4" t="s">
        <v>960</v>
      </c>
    </row>
    <row r="635" spans="1:42" s="206" customFormat="1" x14ac:dyDescent="0.25">
      <c r="A635" s="226">
        <v>45748</v>
      </c>
      <c r="B635" s="206" t="s">
        <v>40</v>
      </c>
      <c r="C635" s="206" t="s">
        <v>41</v>
      </c>
      <c r="D635" s="221">
        <v>25708127</v>
      </c>
      <c r="E635" s="221">
        <v>25106615</v>
      </c>
      <c r="F635" s="221" t="s">
        <v>950</v>
      </c>
      <c r="G635" s="227">
        <v>45762</v>
      </c>
      <c r="H635" s="206" t="s">
        <v>245</v>
      </c>
      <c r="I635" s="206" t="s">
        <v>151</v>
      </c>
      <c r="J635" s="206" t="s">
        <v>485</v>
      </c>
      <c r="K635" s="228">
        <v>13.5</v>
      </c>
      <c r="L635" s="229" t="s">
        <v>42</v>
      </c>
      <c r="M635" s="228">
        <v>13.5</v>
      </c>
      <c r="N635" s="228">
        <v>962542.67</v>
      </c>
      <c r="O635" s="228">
        <v>12994326.050000001</v>
      </c>
      <c r="P635" s="228">
        <v>12994326.050000001</v>
      </c>
      <c r="Q635" s="224">
        <v>0</v>
      </c>
      <c r="R635" s="224">
        <v>0</v>
      </c>
      <c r="S635" s="229" t="s">
        <v>43</v>
      </c>
      <c r="T635" s="228">
        <v>6511687.25</v>
      </c>
      <c r="U635" s="228">
        <v>6511687.25</v>
      </c>
      <c r="V635" s="228">
        <v>6482638.7999999998</v>
      </c>
      <c r="W635" s="230">
        <v>0.49888226407800002</v>
      </c>
      <c r="X635" s="228">
        <v>6482638.7999999998</v>
      </c>
      <c r="Y635" s="206" t="s">
        <v>235</v>
      </c>
      <c r="Z635" s="206" t="s">
        <v>44</v>
      </c>
      <c r="AA635" s="206">
        <v>15159</v>
      </c>
      <c r="AB635" s="206" t="s">
        <v>246</v>
      </c>
      <c r="AC635" s="206" t="s">
        <v>154</v>
      </c>
      <c r="AD635" s="206" t="s">
        <v>155</v>
      </c>
      <c r="AE635" s="206">
        <v>0</v>
      </c>
      <c r="AF635" s="206" t="s">
        <v>191</v>
      </c>
      <c r="AG635" s="206" t="s">
        <v>101</v>
      </c>
      <c r="AH635" s="206" t="s">
        <v>46</v>
      </c>
      <c r="AI635" s="206" t="s">
        <v>101</v>
      </c>
      <c r="AJ635" s="206" t="s">
        <v>46</v>
      </c>
      <c r="AK635" s="206" t="s">
        <v>54</v>
      </c>
      <c r="AL635" s="206" t="s">
        <v>48</v>
      </c>
      <c r="AM635" s="206" t="s">
        <v>49</v>
      </c>
      <c r="AN635" s="133" t="str">
        <f>VLOOKUP(I635,Sheet1!A:D,4,)</f>
        <v>A320400</v>
      </c>
      <c r="AP635" s="4" t="s">
        <v>960</v>
      </c>
    </row>
    <row r="636" spans="1:42" s="206" customFormat="1" x14ac:dyDescent="0.25">
      <c r="A636" s="226">
        <v>45748</v>
      </c>
      <c r="B636" s="206" t="s">
        <v>40</v>
      </c>
      <c r="C636" s="206" t="s">
        <v>41</v>
      </c>
      <c r="D636" s="221">
        <v>25708128</v>
      </c>
      <c r="E636" s="221">
        <v>25106670</v>
      </c>
      <c r="F636" s="221" t="s">
        <v>951</v>
      </c>
      <c r="G636" s="227">
        <v>45762</v>
      </c>
      <c r="H636" s="206" t="s">
        <v>150</v>
      </c>
      <c r="I636" s="206" t="s">
        <v>151</v>
      </c>
      <c r="J636" s="206" t="s">
        <v>485</v>
      </c>
      <c r="K636" s="228">
        <v>54</v>
      </c>
      <c r="L636" s="229" t="s">
        <v>42</v>
      </c>
      <c r="M636" s="228">
        <v>54</v>
      </c>
      <c r="N636" s="228">
        <v>942033</v>
      </c>
      <c r="O636" s="228">
        <v>50869782</v>
      </c>
      <c r="P636" s="228">
        <v>50869782</v>
      </c>
      <c r="Q636" s="224">
        <v>0</v>
      </c>
      <c r="R636" s="224">
        <v>0</v>
      </c>
      <c r="S636" s="229" t="s">
        <v>43</v>
      </c>
      <c r="T636" s="228">
        <v>26046749</v>
      </c>
      <c r="U636" s="228">
        <v>26046749</v>
      </c>
      <c r="V636" s="228">
        <v>24823033</v>
      </c>
      <c r="W636" s="230">
        <v>0.48797207347900001</v>
      </c>
      <c r="X636" s="228">
        <v>24823033</v>
      </c>
      <c r="Y636" s="206" t="s">
        <v>101</v>
      </c>
      <c r="Z636" s="206" t="s">
        <v>46</v>
      </c>
      <c r="AA636" s="206">
        <v>2306392</v>
      </c>
      <c r="AB636" s="206" t="s">
        <v>153</v>
      </c>
      <c r="AC636" s="206" t="s">
        <v>154</v>
      </c>
      <c r="AD636" s="206" t="s">
        <v>155</v>
      </c>
      <c r="AE636" s="206">
        <v>0</v>
      </c>
      <c r="AF636" s="206" t="s">
        <v>191</v>
      </c>
      <c r="AG636" s="206" t="s">
        <v>101</v>
      </c>
      <c r="AH636" s="206" t="s">
        <v>46</v>
      </c>
      <c r="AI636" s="206" t="s">
        <v>101</v>
      </c>
      <c r="AJ636" s="206" t="s">
        <v>46</v>
      </c>
      <c r="AK636" s="206" t="s">
        <v>54</v>
      </c>
      <c r="AL636" s="206" t="s">
        <v>48</v>
      </c>
      <c r="AM636" s="206" t="s">
        <v>49</v>
      </c>
      <c r="AN636" s="133" t="str">
        <f>VLOOKUP(I636,Sheet1!A:D,4,)</f>
        <v>A320400</v>
      </c>
      <c r="AP636" s="4" t="s">
        <v>960</v>
      </c>
    </row>
    <row r="637" spans="1:42" s="206" customFormat="1" x14ac:dyDescent="0.25">
      <c r="A637" s="226">
        <v>45748</v>
      </c>
      <c r="B637" s="206" t="s">
        <v>40</v>
      </c>
      <c r="C637" s="206" t="s">
        <v>41</v>
      </c>
      <c r="D637" s="221">
        <v>25708129</v>
      </c>
      <c r="E637" s="221">
        <v>25106671</v>
      </c>
      <c r="F637" s="221" t="s">
        <v>952</v>
      </c>
      <c r="G637" s="227">
        <v>45762</v>
      </c>
      <c r="H637" s="206" t="s">
        <v>150</v>
      </c>
      <c r="I637" s="206" t="s">
        <v>151</v>
      </c>
      <c r="J637" s="206" t="s">
        <v>485</v>
      </c>
      <c r="K637" s="228">
        <v>54</v>
      </c>
      <c r="L637" s="229" t="s">
        <v>42</v>
      </c>
      <c r="M637" s="228">
        <v>54</v>
      </c>
      <c r="N637" s="228">
        <v>932108.3</v>
      </c>
      <c r="O637" s="228">
        <v>50333848.200000003</v>
      </c>
      <c r="P637" s="228">
        <v>50333848.200000003</v>
      </c>
      <c r="Q637" s="224">
        <v>0</v>
      </c>
      <c r="R637" s="224">
        <v>0</v>
      </c>
      <c r="S637" s="229" t="s">
        <v>43</v>
      </c>
      <c r="T637" s="228">
        <v>26046749</v>
      </c>
      <c r="U637" s="228">
        <v>26046749</v>
      </c>
      <c r="V637" s="228">
        <v>24287099.199999999</v>
      </c>
      <c r="W637" s="230">
        <v>0.48252021390200001</v>
      </c>
      <c r="X637" s="228">
        <v>24287099.199999999</v>
      </c>
      <c r="Y637" s="206" t="s">
        <v>101</v>
      </c>
      <c r="Z637" s="206" t="s">
        <v>46</v>
      </c>
      <c r="AA637" s="206">
        <v>2306392</v>
      </c>
      <c r="AB637" s="206" t="s">
        <v>153</v>
      </c>
      <c r="AC637" s="206" t="s">
        <v>154</v>
      </c>
      <c r="AD637" s="206" t="s">
        <v>155</v>
      </c>
      <c r="AE637" s="206">
        <v>0</v>
      </c>
      <c r="AF637" s="206" t="s">
        <v>191</v>
      </c>
      <c r="AG637" s="206" t="s">
        <v>101</v>
      </c>
      <c r="AH637" s="206" t="s">
        <v>46</v>
      </c>
      <c r="AI637" s="206" t="s">
        <v>101</v>
      </c>
      <c r="AJ637" s="206" t="s">
        <v>46</v>
      </c>
      <c r="AK637" s="206" t="s">
        <v>54</v>
      </c>
      <c r="AL637" s="206" t="s">
        <v>48</v>
      </c>
      <c r="AM637" s="206" t="s">
        <v>49</v>
      </c>
      <c r="AN637" s="133" t="str">
        <f>VLOOKUP(I637,Sheet1!A:D,4,)</f>
        <v>A320400</v>
      </c>
      <c r="AP637" s="4" t="s">
        <v>960</v>
      </c>
    </row>
    <row r="638" spans="1:42" s="206" customFormat="1" x14ac:dyDescent="0.25">
      <c r="A638" s="226">
        <v>45748</v>
      </c>
      <c r="B638" s="206" t="s">
        <v>40</v>
      </c>
      <c r="C638" s="206" t="s">
        <v>41</v>
      </c>
      <c r="D638" s="221">
        <v>25708131</v>
      </c>
      <c r="E638" s="221">
        <v>25106625</v>
      </c>
      <c r="F638" s="221" t="s">
        <v>954</v>
      </c>
      <c r="G638" s="227">
        <v>45761</v>
      </c>
      <c r="H638" s="206" t="s">
        <v>245</v>
      </c>
      <c r="I638" s="206" t="s">
        <v>946</v>
      </c>
      <c r="J638" s="206" t="s">
        <v>947</v>
      </c>
      <c r="K638" s="228">
        <v>100</v>
      </c>
      <c r="L638" s="229" t="s">
        <v>42</v>
      </c>
      <c r="M638" s="228">
        <v>100</v>
      </c>
      <c r="N638" s="228">
        <v>7067432.0999999996</v>
      </c>
      <c r="O638" s="228">
        <v>706743210</v>
      </c>
      <c r="P638" s="228">
        <v>706743210</v>
      </c>
      <c r="Q638" s="224">
        <v>0</v>
      </c>
      <c r="R638" s="224">
        <v>0</v>
      </c>
      <c r="S638" s="229" t="s">
        <v>43</v>
      </c>
      <c r="T638" s="228">
        <v>613477437</v>
      </c>
      <c r="U638" s="228">
        <v>613477437</v>
      </c>
      <c r="V638" s="228">
        <v>93265773</v>
      </c>
      <c r="W638" s="230">
        <v>0.13196557346400001</v>
      </c>
      <c r="X638" s="228">
        <v>93265773</v>
      </c>
      <c r="Y638" s="206" t="s">
        <v>235</v>
      </c>
      <c r="Z638" s="206" t="s">
        <v>44</v>
      </c>
      <c r="AA638" s="206">
        <v>15159</v>
      </c>
      <c r="AB638" s="206" t="s">
        <v>246</v>
      </c>
      <c r="AC638" s="206" t="s">
        <v>154</v>
      </c>
      <c r="AD638" s="206" t="s">
        <v>155</v>
      </c>
      <c r="AE638" s="206">
        <v>0</v>
      </c>
      <c r="AF638" s="206" t="s">
        <v>191</v>
      </c>
      <c r="AG638" s="206" t="s">
        <v>101</v>
      </c>
      <c r="AH638" s="206" t="s">
        <v>46</v>
      </c>
      <c r="AI638" s="206" t="s">
        <v>101</v>
      </c>
      <c r="AJ638" s="206" t="s">
        <v>46</v>
      </c>
      <c r="AK638" s="206" t="s">
        <v>54</v>
      </c>
      <c r="AL638" s="206" t="s">
        <v>48</v>
      </c>
      <c r="AM638" s="206" t="s">
        <v>49</v>
      </c>
      <c r="AN638" s="133" t="str">
        <f>VLOOKUP(I638,Sheet1!A:D,4,)</f>
        <v>A320400</v>
      </c>
      <c r="AP638" s="4" t="s">
        <v>960</v>
      </c>
    </row>
    <row r="639" spans="1:42" s="206" customFormat="1" x14ac:dyDescent="0.25">
      <c r="A639" s="226">
        <v>45748</v>
      </c>
      <c r="B639" s="206" t="s">
        <v>40</v>
      </c>
      <c r="C639" s="206" t="s">
        <v>41</v>
      </c>
      <c r="D639" s="221">
        <v>25708132</v>
      </c>
      <c r="E639" s="221">
        <v>25106675</v>
      </c>
      <c r="F639" s="221" t="s">
        <v>955</v>
      </c>
      <c r="G639" s="227">
        <v>45761</v>
      </c>
      <c r="H639" s="206" t="s">
        <v>237</v>
      </c>
      <c r="I639" s="206" t="s">
        <v>474</v>
      </c>
      <c r="J639" s="206" t="s">
        <v>628</v>
      </c>
      <c r="K639" s="228">
        <v>5</v>
      </c>
      <c r="L639" s="229" t="s">
        <v>42</v>
      </c>
      <c r="M639" s="228">
        <v>5</v>
      </c>
      <c r="N639" s="228">
        <v>1563289.6000000001</v>
      </c>
      <c r="O639" s="228">
        <v>7816448</v>
      </c>
      <c r="P639" s="228">
        <v>7816448</v>
      </c>
      <c r="Q639" s="224">
        <v>0</v>
      </c>
      <c r="R639" s="224">
        <v>0</v>
      </c>
      <c r="S639" s="229" t="s">
        <v>43</v>
      </c>
      <c r="T639" s="228">
        <v>4453415.33</v>
      </c>
      <c r="U639" s="228">
        <v>4453415.33</v>
      </c>
      <c r="V639" s="228">
        <v>3363032.67</v>
      </c>
      <c r="W639" s="230">
        <v>0.43025075712100003</v>
      </c>
      <c r="X639" s="228">
        <v>3363032.67</v>
      </c>
      <c r="Y639" s="206" t="s">
        <v>101</v>
      </c>
      <c r="Z639" s="206" t="s">
        <v>46</v>
      </c>
      <c r="AA639" s="206">
        <v>2306153</v>
      </c>
      <c r="AB639" s="206" t="s">
        <v>237</v>
      </c>
      <c r="AC639" s="206" t="s">
        <v>56</v>
      </c>
      <c r="AD639" s="206" t="s">
        <v>103</v>
      </c>
      <c r="AE639" s="206">
        <v>0</v>
      </c>
      <c r="AF639" s="206" t="s">
        <v>207</v>
      </c>
      <c r="AG639" s="206" t="s">
        <v>101</v>
      </c>
      <c r="AH639" s="206" t="s">
        <v>46</v>
      </c>
      <c r="AI639" s="206" t="s">
        <v>101</v>
      </c>
      <c r="AJ639" s="206" t="s">
        <v>46</v>
      </c>
      <c r="AK639" s="206" t="s">
        <v>54</v>
      </c>
      <c r="AL639" s="206" t="s">
        <v>48</v>
      </c>
      <c r="AM639" s="206" t="s">
        <v>49</v>
      </c>
      <c r="AN639" s="133" t="str">
        <f>VLOOKUP(I639,Sheet1!A:D,4,)</f>
        <v>A320400</v>
      </c>
      <c r="AP639" s="4" t="s">
        <v>960</v>
      </c>
    </row>
    <row r="640" spans="1:42" s="206" customFormat="1" x14ac:dyDescent="0.25">
      <c r="A640" s="226">
        <v>45748</v>
      </c>
      <c r="B640" s="206" t="s">
        <v>40</v>
      </c>
      <c r="C640" s="206" t="s">
        <v>41</v>
      </c>
      <c r="D640" s="221">
        <v>25708135</v>
      </c>
      <c r="E640" s="221">
        <v>25106583</v>
      </c>
      <c r="F640" s="221" t="s">
        <v>778</v>
      </c>
      <c r="G640" s="227">
        <v>45762</v>
      </c>
      <c r="H640" s="206" t="s">
        <v>237</v>
      </c>
      <c r="I640" s="206" t="s">
        <v>302</v>
      </c>
      <c r="J640" s="206" t="s">
        <v>510</v>
      </c>
      <c r="K640" s="228">
        <v>20</v>
      </c>
      <c r="L640" s="229" t="s">
        <v>42</v>
      </c>
      <c r="M640" s="228">
        <v>20</v>
      </c>
      <c r="N640" s="228">
        <v>2595518.5499999998</v>
      </c>
      <c r="O640" s="228">
        <v>51910371</v>
      </c>
      <c r="P640" s="228">
        <v>51910371</v>
      </c>
      <c r="Q640" s="224">
        <v>0</v>
      </c>
      <c r="R640" s="224">
        <v>0</v>
      </c>
      <c r="S640" s="229" t="s">
        <v>43</v>
      </c>
      <c r="T640" s="228">
        <v>31084553.27</v>
      </c>
      <c r="U640" s="228">
        <v>31084553.27</v>
      </c>
      <c r="V640" s="228">
        <v>20825817.73</v>
      </c>
      <c r="W640" s="230">
        <v>0.40118799632500002</v>
      </c>
      <c r="X640" s="228">
        <v>20825817.73</v>
      </c>
      <c r="Y640" s="206" t="s">
        <v>101</v>
      </c>
      <c r="Z640" s="206" t="s">
        <v>46</v>
      </c>
      <c r="AA640" s="206">
        <v>2306153</v>
      </c>
      <c r="AB640" s="206" t="s">
        <v>237</v>
      </c>
      <c r="AC640" s="206" t="s">
        <v>56</v>
      </c>
      <c r="AD640" s="206" t="s">
        <v>103</v>
      </c>
      <c r="AE640" s="206">
        <v>0</v>
      </c>
      <c r="AF640" s="206" t="s">
        <v>207</v>
      </c>
      <c r="AG640" s="206" t="s">
        <v>101</v>
      </c>
      <c r="AH640" s="206" t="s">
        <v>46</v>
      </c>
      <c r="AI640" s="206" t="s">
        <v>101</v>
      </c>
      <c r="AJ640" s="206" t="s">
        <v>46</v>
      </c>
      <c r="AK640" s="206" t="s">
        <v>54</v>
      </c>
      <c r="AL640" s="206" t="s">
        <v>48</v>
      </c>
      <c r="AM640" s="206" t="s">
        <v>49</v>
      </c>
      <c r="AN640" s="133" t="str">
        <f>VLOOKUP(I640,Sheet1!A:D,4,)</f>
        <v>A320400</v>
      </c>
      <c r="AP640" s="4" t="s">
        <v>960</v>
      </c>
    </row>
    <row r="641" spans="1:42" s="206" customFormat="1" x14ac:dyDescent="0.25">
      <c r="A641" s="226">
        <v>45748</v>
      </c>
      <c r="B641" s="206" t="s">
        <v>40</v>
      </c>
      <c r="C641" s="206" t="s">
        <v>41</v>
      </c>
      <c r="D641" s="221">
        <v>25708136</v>
      </c>
      <c r="E641" s="221">
        <v>25106674</v>
      </c>
      <c r="F641" s="221" t="s">
        <v>956</v>
      </c>
      <c r="G641" s="227">
        <v>45761</v>
      </c>
      <c r="H641" s="206" t="s">
        <v>158</v>
      </c>
      <c r="I641" s="206" t="s">
        <v>474</v>
      </c>
      <c r="J641" s="206" t="s">
        <v>628</v>
      </c>
      <c r="K641" s="228">
        <v>40</v>
      </c>
      <c r="L641" s="229" t="s">
        <v>42</v>
      </c>
      <c r="M641" s="228">
        <v>40</v>
      </c>
      <c r="N641" s="228">
        <v>1230739.77</v>
      </c>
      <c r="O641" s="228">
        <v>49229590.799999997</v>
      </c>
      <c r="P641" s="228">
        <v>49229590.799999997</v>
      </c>
      <c r="Q641" s="224">
        <v>0</v>
      </c>
      <c r="R641" s="224">
        <v>0</v>
      </c>
      <c r="S641" s="229" t="s">
        <v>43</v>
      </c>
      <c r="T641" s="228">
        <v>35627322.600000001</v>
      </c>
      <c r="U641" s="228">
        <v>35627322.600000001</v>
      </c>
      <c r="V641" s="228">
        <v>13602268.199999999</v>
      </c>
      <c r="W641" s="230">
        <v>0.27630268663500002</v>
      </c>
      <c r="X641" s="228">
        <v>13602268.199999999</v>
      </c>
      <c r="Y641" s="206" t="s">
        <v>101</v>
      </c>
      <c r="Z641" s="206" t="s">
        <v>46</v>
      </c>
      <c r="AA641" s="206">
        <v>2306495</v>
      </c>
      <c r="AB641" s="206" t="s">
        <v>161</v>
      </c>
      <c r="AC641" s="206" t="s">
        <v>56</v>
      </c>
      <c r="AD641" s="206" t="s">
        <v>103</v>
      </c>
      <c r="AE641" s="206">
        <v>0</v>
      </c>
      <c r="AF641" s="206" t="s">
        <v>207</v>
      </c>
      <c r="AG641" s="206" t="s">
        <v>101</v>
      </c>
      <c r="AH641" s="206" t="s">
        <v>46</v>
      </c>
      <c r="AI641" s="206" t="s">
        <v>101</v>
      </c>
      <c r="AJ641" s="206" t="s">
        <v>46</v>
      </c>
      <c r="AK641" s="206" t="s">
        <v>54</v>
      </c>
      <c r="AL641" s="206" t="s">
        <v>48</v>
      </c>
      <c r="AM641" s="206" t="s">
        <v>49</v>
      </c>
      <c r="AN641" s="133" t="str">
        <f>VLOOKUP(I641,Sheet1!A:D,4,)</f>
        <v>A320400</v>
      </c>
      <c r="AP641" s="4" t="s">
        <v>960</v>
      </c>
    </row>
    <row r="642" spans="1:42" s="206" customFormat="1" x14ac:dyDescent="0.25">
      <c r="A642" s="226">
        <v>45748</v>
      </c>
      <c r="B642" s="206" t="s">
        <v>40</v>
      </c>
      <c r="C642" s="206" t="s">
        <v>41</v>
      </c>
      <c r="D642" s="221">
        <v>25708140</v>
      </c>
      <c r="E642" s="221">
        <v>25106608</v>
      </c>
      <c r="F642" s="221" t="s">
        <v>788</v>
      </c>
      <c r="G642" s="227">
        <v>45763</v>
      </c>
      <c r="H642" s="206" t="s">
        <v>158</v>
      </c>
      <c r="I642" s="206" t="s">
        <v>159</v>
      </c>
      <c r="J642" s="206" t="s">
        <v>160</v>
      </c>
      <c r="K642" s="228">
        <v>5</v>
      </c>
      <c r="L642" s="229" t="s">
        <v>42</v>
      </c>
      <c r="M642" s="228">
        <v>5</v>
      </c>
      <c r="N642" s="228">
        <v>9551269.4399999995</v>
      </c>
      <c r="O642" s="228">
        <v>47756347.200000003</v>
      </c>
      <c r="P642" s="228">
        <v>47756347.200000003</v>
      </c>
      <c r="Q642" s="224">
        <v>0</v>
      </c>
      <c r="R642" s="224">
        <v>0</v>
      </c>
      <c r="S642" s="229" t="s">
        <v>43</v>
      </c>
      <c r="T642" s="228">
        <v>31915331.48</v>
      </c>
      <c r="U642" s="228">
        <v>31915331.48</v>
      </c>
      <c r="V642" s="228">
        <v>15841015.720000001</v>
      </c>
      <c r="W642" s="230">
        <v>0.33170492821899999</v>
      </c>
      <c r="X642" s="228">
        <v>15841015.720000001</v>
      </c>
      <c r="Y642" s="206" t="s">
        <v>69</v>
      </c>
      <c r="Z642" s="206" t="s">
        <v>46</v>
      </c>
      <c r="AA642" s="206">
        <v>2306495</v>
      </c>
      <c r="AB642" s="206" t="s">
        <v>161</v>
      </c>
      <c r="AC642" s="206" t="s">
        <v>56</v>
      </c>
      <c r="AD642" s="206" t="s">
        <v>77</v>
      </c>
      <c r="AE642" s="206">
        <v>0</v>
      </c>
      <c r="AF642" s="206" t="s">
        <v>68</v>
      </c>
      <c r="AG642" s="206" t="s">
        <v>142</v>
      </c>
      <c r="AH642" s="206" t="s">
        <v>143</v>
      </c>
      <c r="AI642" s="206" t="s">
        <v>69</v>
      </c>
      <c r="AJ642" s="206" t="s">
        <v>46</v>
      </c>
      <c r="AK642" s="206" t="s">
        <v>54</v>
      </c>
      <c r="AL642" s="206" t="s">
        <v>48</v>
      </c>
      <c r="AM642" s="206" t="s">
        <v>49</v>
      </c>
      <c r="AN642" s="133" t="str">
        <f>VLOOKUP(I642,Sheet1!A:D,4,)</f>
        <v>A320400</v>
      </c>
      <c r="AP642" s="4" t="s">
        <v>967</v>
      </c>
    </row>
    <row r="643" spans="1:42" s="206" customFormat="1" x14ac:dyDescent="0.25">
      <c r="A643" s="226">
        <v>45748</v>
      </c>
      <c r="B643" s="206" t="s">
        <v>40</v>
      </c>
      <c r="C643" s="206" t="s">
        <v>41</v>
      </c>
      <c r="D643" s="221">
        <v>25708141</v>
      </c>
      <c r="E643" s="221">
        <v>25106621</v>
      </c>
      <c r="F643" s="221" t="s">
        <v>915</v>
      </c>
      <c r="G643" s="227">
        <v>45763</v>
      </c>
      <c r="H643" s="206" t="s">
        <v>115</v>
      </c>
      <c r="I643" s="206" t="s">
        <v>306</v>
      </c>
      <c r="J643" s="206" t="s">
        <v>821</v>
      </c>
      <c r="K643" s="228">
        <v>30</v>
      </c>
      <c r="L643" s="229" t="s">
        <v>42</v>
      </c>
      <c r="M643" s="228">
        <v>30</v>
      </c>
      <c r="N643" s="228">
        <v>5823090.2599999998</v>
      </c>
      <c r="O643" s="228">
        <v>174692707.80000001</v>
      </c>
      <c r="P643" s="228">
        <v>174692707.80000001</v>
      </c>
      <c r="Q643" s="224">
        <v>0</v>
      </c>
      <c r="R643" s="224">
        <v>0</v>
      </c>
      <c r="S643" s="229" t="s">
        <v>43</v>
      </c>
      <c r="T643" s="228">
        <v>62729640.719999999</v>
      </c>
      <c r="U643" s="228">
        <v>62729640.719999999</v>
      </c>
      <c r="V643" s="228">
        <v>111963067.08</v>
      </c>
      <c r="W643" s="230">
        <v>0.64091437181300004</v>
      </c>
      <c r="X643" s="228">
        <v>111963067.08</v>
      </c>
      <c r="Y643" s="206" t="s">
        <v>66</v>
      </c>
      <c r="Z643" s="206" t="s">
        <v>44</v>
      </c>
      <c r="AA643" s="206">
        <v>15159</v>
      </c>
      <c r="AB643" s="206" t="s">
        <v>118</v>
      </c>
      <c r="AC643" s="206" t="s">
        <v>154</v>
      </c>
      <c r="AD643" s="206" t="s">
        <v>155</v>
      </c>
      <c r="AE643" s="206">
        <v>0</v>
      </c>
      <c r="AF643" s="206" t="s">
        <v>68</v>
      </c>
      <c r="AG643" s="206" t="s">
        <v>71</v>
      </c>
      <c r="AH643" s="206" t="s">
        <v>53</v>
      </c>
      <c r="AI643" s="206" t="s">
        <v>69</v>
      </c>
      <c r="AJ643" s="206" t="s">
        <v>46</v>
      </c>
      <c r="AK643" s="206" t="s">
        <v>54</v>
      </c>
      <c r="AL643" s="206" t="s">
        <v>48</v>
      </c>
      <c r="AM643" s="206" t="s">
        <v>49</v>
      </c>
      <c r="AN643" s="133" t="str">
        <f>VLOOKUP(I643,Sheet1!A:D,4,)</f>
        <v>A320400</v>
      </c>
      <c r="AP643" s="4" t="s">
        <v>967</v>
      </c>
    </row>
    <row r="644" spans="1:42" s="206" customFormat="1" x14ac:dyDescent="0.25">
      <c r="A644" s="226">
        <v>45748</v>
      </c>
      <c r="B644" s="206" t="s">
        <v>40</v>
      </c>
      <c r="C644" s="206" t="s">
        <v>41</v>
      </c>
      <c r="D644" s="221">
        <v>25708142</v>
      </c>
      <c r="E644" s="221">
        <v>25106622</v>
      </c>
      <c r="F644" s="221" t="s">
        <v>963</v>
      </c>
      <c r="G644" s="227">
        <v>45763</v>
      </c>
      <c r="H644" s="206" t="s">
        <v>115</v>
      </c>
      <c r="I644" s="206" t="s">
        <v>295</v>
      </c>
      <c r="J644" s="206" t="s">
        <v>817</v>
      </c>
      <c r="K644" s="228">
        <v>70</v>
      </c>
      <c r="L644" s="229" t="s">
        <v>42</v>
      </c>
      <c r="M644" s="228">
        <v>70</v>
      </c>
      <c r="N644" s="228">
        <v>1201388.6100000001</v>
      </c>
      <c r="O644" s="228">
        <v>84097202.700000003</v>
      </c>
      <c r="P644" s="228">
        <v>84097202.700000003</v>
      </c>
      <c r="Q644" s="224">
        <v>0</v>
      </c>
      <c r="R644" s="224">
        <v>0</v>
      </c>
      <c r="S644" s="229" t="s">
        <v>43</v>
      </c>
      <c r="T644" s="228">
        <v>29838148.57</v>
      </c>
      <c r="U644" s="228">
        <v>29838148.57</v>
      </c>
      <c r="V644" s="228">
        <v>54259054.130000003</v>
      </c>
      <c r="W644" s="230">
        <v>0.64519451762900004</v>
      </c>
      <c r="X644" s="228">
        <v>54259054.130000003</v>
      </c>
      <c r="Y644" s="206" t="s">
        <v>66</v>
      </c>
      <c r="Z644" s="206" t="s">
        <v>44</v>
      </c>
      <c r="AA644" s="206">
        <v>15159</v>
      </c>
      <c r="AB644" s="206" t="s">
        <v>118</v>
      </c>
      <c r="AC644" s="206" t="s">
        <v>154</v>
      </c>
      <c r="AD644" s="206" t="s">
        <v>155</v>
      </c>
      <c r="AE644" s="206">
        <v>0</v>
      </c>
      <c r="AF644" s="206" t="s">
        <v>68</v>
      </c>
      <c r="AG644" s="206" t="s">
        <v>69</v>
      </c>
      <c r="AH644" s="206" t="s">
        <v>46</v>
      </c>
      <c r="AI644" s="206" t="s">
        <v>69</v>
      </c>
      <c r="AJ644" s="206" t="s">
        <v>46</v>
      </c>
      <c r="AK644" s="206" t="s">
        <v>54</v>
      </c>
      <c r="AL644" s="206" t="s">
        <v>48</v>
      </c>
      <c r="AM644" s="206" t="s">
        <v>49</v>
      </c>
      <c r="AN644" s="133" t="str">
        <f>VLOOKUP(I644,Sheet1!A:D,4,)</f>
        <v>A320400</v>
      </c>
      <c r="AP644" s="4" t="s">
        <v>967</v>
      </c>
    </row>
    <row r="645" spans="1:42" s="206" customFormat="1" x14ac:dyDescent="0.25">
      <c r="A645" s="226">
        <v>45748</v>
      </c>
      <c r="B645" s="206" t="s">
        <v>40</v>
      </c>
      <c r="C645" s="206" t="s">
        <v>41</v>
      </c>
      <c r="D645" s="221">
        <v>25708143</v>
      </c>
      <c r="E645" s="221">
        <v>25106633</v>
      </c>
      <c r="F645" s="221" t="s">
        <v>964</v>
      </c>
      <c r="G645" s="227">
        <v>45763</v>
      </c>
      <c r="H645" s="206" t="s">
        <v>115</v>
      </c>
      <c r="I645" s="206" t="s">
        <v>146</v>
      </c>
      <c r="J645" s="206" t="s">
        <v>147</v>
      </c>
      <c r="K645" s="228">
        <v>3</v>
      </c>
      <c r="L645" s="229" t="s">
        <v>42</v>
      </c>
      <c r="M645" s="228">
        <v>3</v>
      </c>
      <c r="N645" s="228">
        <v>10960599.35</v>
      </c>
      <c r="O645" s="228">
        <v>32881798.050000001</v>
      </c>
      <c r="P645" s="228">
        <v>32881798.050000001</v>
      </c>
      <c r="Q645" s="224">
        <v>0</v>
      </c>
      <c r="R645" s="224">
        <v>0</v>
      </c>
      <c r="S645" s="229" t="s">
        <v>43</v>
      </c>
      <c r="T645" s="228">
        <v>19212469.420000002</v>
      </c>
      <c r="U645" s="228">
        <v>19212469.420000002</v>
      </c>
      <c r="V645" s="228">
        <v>13669328.630000001</v>
      </c>
      <c r="W645" s="230">
        <v>0.41571110585900001</v>
      </c>
      <c r="X645" s="228">
        <v>13669328.630000001</v>
      </c>
      <c r="Y645" s="206" t="s">
        <v>66</v>
      </c>
      <c r="Z645" s="206" t="s">
        <v>44</v>
      </c>
      <c r="AA645" s="206">
        <v>15159</v>
      </c>
      <c r="AB645" s="206" t="s">
        <v>118</v>
      </c>
      <c r="AC645" s="206" t="s">
        <v>154</v>
      </c>
      <c r="AD645" s="206" t="s">
        <v>155</v>
      </c>
      <c r="AE645" s="206">
        <v>0</v>
      </c>
      <c r="AF645" s="206" t="s">
        <v>68</v>
      </c>
      <c r="AG645" s="206" t="s">
        <v>69</v>
      </c>
      <c r="AH645" s="206" t="s">
        <v>46</v>
      </c>
      <c r="AI645" s="206" t="s">
        <v>69</v>
      </c>
      <c r="AJ645" s="206" t="s">
        <v>46</v>
      </c>
      <c r="AK645" s="206" t="s">
        <v>54</v>
      </c>
      <c r="AL645" s="206" t="s">
        <v>48</v>
      </c>
      <c r="AM645" s="206" t="s">
        <v>49</v>
      </c>
      <c r="AN645" s="133" t="str">
        <f>VLOOKUP(I645,Sheet1!A:D,4,)</f>
        <v>A320400</v>
      </c>
      <c r="AP645" s="4" t="s">
        <v>967</v>
      </c>
    </row>
    <row r="646" spans="1:42" s="206" customFormat="1" x14ac:dyDescent="0.25">
      <c r="A646" s="226">
        <v>45748</v>
      </c>
      <c r="B646" s="206" t="s">
        <v>40</v>
      </c>
      <c r="C646" s="206" t="s">
        <v>41</v>
      </c>
      <c r="D646" s="221">
        <v>25708144</v>
      </c>
      <c r="E646" s="221">
        <v>25106638</v>
      </c>
      <c r="F646" s="221" t="s">
        <v>965</v>
      </c>
      <c r="G646" s="227">
        <v>45763</v>
      </c>
      <c r="H646" s="206" t="s">
        <v>126</v>
      </c>
      <c r="I646" s="206" t="s">
        <v>159</v>
      </c>
      <c r="J646" s="206" t="s">
        <v>160</v>
      </c>
      <c r="K646" s="228">
        <v>25</v>
      </c>
      <c r="L646" s="229" t="s">
        <v>42</v>
      </c>
      <c r="M646" s="228">
        <v>25</v>
      </c>
      <c r="N646" s="228">
        <v>14760746.880000001</v>
      </c>
      <c r="O646" s="228">
        <v>369018672</v>
      </c>
      <c r="P646" s="228">
        <v>369018672</v>
      </c>
      <c r="Q646" s="224">
        <v>0</v>
      </c>
      <c r="R646" s="224">
        <v>0</v>
      </c>
      <c r="S646" s="229" t="s">
        <v>43</v>
      </c>
      <c r="T646" s="228">
        <v>159576657.40000001</v>
      </c>
      <c r="U646" s="228">
        <v>159576657.40000001</v>
      </c>
      <c r="V646" s="228">
        <v>209442014.59999999</v>
      </c>
      <c r="W646" s="230">
        <v>0.567564815798</v>
      </c>
      <c r="X646" s="228">
        <v>209442014.59999999</v>
      </c>
      <c r="Y646" s="206" t="s">
        <v>69</v>
      </c>
      <c r="Z646" s="206" t="s">
        <v>46</v>
      </c>
      <c r="AA646" s="206">
        <v>2306153</v>
      </c>
      <c r="AB646" s="206" t="s">
        <v>126</v>
      </c>
      <c r="AC646" s="206" t="s">
        <v>56</v>
      </c>
      <c r="AD646" s="206" t="s">
        <v>77</v>
      </c>
      <c r="AE646" s="206">
        <v>0</v>
      </c>
      <c r="AF646" s="206" t="s">
        <v>68</v>
      </c>
      <c r="AG646" s="206" t="s">
        <v>142</v>
      </c>
      <c r="AH646" s="206" t="s">
        <v>143</v>
      </c>
      <c r="AI646" s="206" t="s">
        <v>69</v>
      </c>
      <c r="AJ646" s="206" t="s">
        <v>46</v>
      </c>
      <c r="AK646" s="206" t="s">
        <v>54</v>
      </c>
      <c r="AL646" s="206" t="s">
        <v>48</v>
      </c>
      <c r="AM646" s="206" t="s">
        <v>49</v>
      </c>
      <c r="AN646" s="133" t="str">
        <f>VLOOKUP(I646,Sheet1!A:D,4,)</f>
        <v>A320400</v>
      </c>
      <c r="AP646" s="4" t="s">
        <v>967</v>
      </c>
    </row>
    <row r="647" spans="1:42" s="206" customFormat="1" x14ac:dyDescent="0.25">
      <c r="A647" s="226">
        <v>45748</v>
      </c>
      <c r="B647" s="206" t="s">
        <v>40</v>
      </c>
      <c r="C647" s="206" t="s">
        <v>41</v>
      </c>
      <c r="D647" s="221">
        <v>25708145</v>
      </c>
      <c r="E647" s="221">
        <v>25106660</v>
      </c>
      <c r="F647" s="221" t="s">
        <v>966</v>
      </c>
      <c r="G647" s="227">
        <v>45763</v>
      </c>
      <c r="H647" s="206" t="s">
        <v>150</v>
      </c>
      <c r="I647" s="206" t="s">
        <v>146</v>
      </c>
      <c r="J647" s="206" t="s">
        <v>147</v>
      </c>
      <c r="K647" s="228">
        <v>10</v>
      </c>
      <c r="L647" s="229" t="s">
        <v>42</v>
      </c>
      <c r="M647" s="228">
        <v>10</v>
      </c>
      <c r="N647" s="228">
        <v>9463335.6999999993</v>
      </c>
      <c r="O647" s="228">
        <v>94633357</v>
      </c>
      <c r="P647" s="228">
        <v>94633357</v>
      </c>
      <c r="Q647" s="224">
        <v>0</v>
      </c>
      <c r="R647" s="224">
        <v>0</v>
      </c>
      <c r="S647" s="229" t="s">
        <v>43</v>
      </c>
      <c r="T647" s="228">
        <v>64041564.729999997</v>
      </c>
      <c r="U647" s="228">
        <v>64041564.729999997</v>
      </c>
      <c r="V647" s="228">
        <v>30591792.27</v>
      </c>
      <c r="W647" s="230">
        <v>0.32326648065500002</v>
      </c>
      <c r="X647" s="228">
        <v>30591792.27</v>
      </c>
      <c r="Y647" s="206" t="s">
        <v>69</v>
      </c>
      <c r="Z647" s="206" t="s">
        <v>46</v>
      </c>
      <c r="AA647" s="206">
        <v>2306392</v>
      </c>
      <c r="AB647" s="206" t="s">
        <v>153</v>
      </c>
      <c r="AC647" s="206" t="s">
        <v>154</v>
      </c>
      <c r="AD647" s="206" t="s">
        <v>155</v>
      </c>
      <c r="AE647" s="206">
        <v>0</v>
      </c>
      <c r="AF647" s="206" t="s">
        <v>68</v>
      </c>
      <c r="AG647" s="206" t="s">
        <v>69</v>
      </c>
      <c r="AH647" s="206" t="s">
        <v>46</v>
      </c>
      <c r="AI647" s="206" t="s">
        <v>69</v>
      </c>
      <c r="AJ647" s="206" t="s">
        <v>46</v>
      </c>
      <c r="AK647" s="206" t="s">
        <v>54</v>
      </c>
      <c r="AL647" s="206" t="s">
        <v>48</v>
      </c>
      <c r="AM647" s="206" t="s">
        <v>49</v>
      </c>
      <c r="AN647" s="133" t="str">
        <f>VLOOKUP(I647,Sheet1!A:D,4,)</f>
        <v>A320400</v>
      </c>
      <c r="AP647" s="4" t="s">
        <v>967</v>
      </c>
    </row>
    <row r="648" spans="1:42" s="206" customFormat="1" x14ac:dyDescent="0.25">
      <c r="A648" s="226">
        <v>45748</v>
      </c>
      <c r="B648" s="206" t="s">
        <v>40</v>
      </c>
      <c r="C648" s="206" t="s">
        <v>41</v>
      </c>
      <c r="D648" s="221">
        <v>25708146</v>
      </c>
      <c r="E648" s="221">
        <v>25106674</v>
      </c>
      <c r="F648" s="221" t="s">
        <v>956</v>
      </c>
      <c r="G648" s="227">
        <v>45763</v>
      </c>
      <c r="H648" s="206" t="s">
        <v>158</v>
      </c>
      <c r="I648" s="206" t="s">
        <v>272</v>
      </c>
      <c r="J648" s="206" t="s">
        <v>789</v>
      </c>
      <c r="K648" s="228">
        <v>20</v>
      </c>
      <c r="L648" s="229" t="s">
        <v>42</v>
      </c>
      <c r="M648" s="228">
        <v>20</v>
      </c>
      <c r="N648" s="228">
        <v>327336.3</v>
      </c>
      <c r="O648" s="228">
        <v>6546726</v>
      </c>
      <c r="P648" s="228">
        <v>6546726</v>
      </c>
      <c r="Q648" s="224">
        <v>0</v>
      </c>
      <c r="R648" s="224">
        <v>0</v>
      </c>
      <c r="S648" s="229" t="s">
        <v>43</v>
      </c>
      <c r="T648" s="228">
        <v>3450150.95</v>
      </c>
      <c r="U648" s="228">
        <v>3450150.95</v>
      </c>
      <c r="V648" s="228">
        <v>3096575.05</v>
      </c>
      <c r="W648" s="230">
        <v>0.472995975392</v>
      </c>
      <c r="X648" s="228">
        <v>3096575.05</v>
      </c>
      <c r="Y648" s="206" t="s">
        <v>69</v>
      </c>
      <c r="Z648" s="206" t="s">
        <v>46</v>
      </c>
      <c r="AA648" s="206">
        <v>2306495</v>
      </c>
      <c r="AB648" s="206" t="s">
        <v>161</v>
      </c>
      <c r="AC648" s="206" t="s">
        <v>56</v>
      </c>
      <c r="AD648" s="206" t="s">
        <v>77</v>
      </c>
      <c r="AE648" s="206">
        <v>0</v>
      </c>
      <c r="AF648" s="206" t="s">
        <v>124</v>
      </c>
      <c r="AG648" s="206" t="s">
        <v>81</v>
      </c>
      <c r="AH648" s="206" t="s">
        <v>57</v>
      </c>
      <c r="AI648" s="206" t="s">
        <v>69</v>
      </c>
      <c r="AJ648" s="206" t="s">
        <v>46</v>
      </c>
      <c r="AK648" s="206" t="s">
        <v>54</v>
      </c>
      <c r="AL648" s="206" t="s">
        <v>48</v>
      </c>
      <c r="AM648" s="206" t="s">
        <v>49</v>
      </c>
      <c r="AN648" s="133" t="str">
        <f>VLOOKUP(I648,Sheet1!A:D,4,)</f>
        <v>A320400</v>
      </c>
      <c r="AP648" s="4" t="s">
        <v>967</v>
      </c>
    </row>
    <row r="649" spans="1:42" s="206" customFormat="1" x14ac:dyDescent="0.25">
      <c r="A649" s="226">
        <v>45748</v>
      </c>
      <c r="B649" s="206" t="s">
        <v>40</v>
      </c>
      <c r="C649" s="206" t="s">
        <v>41</v>
      </c>
      <c r="D649" s="221">
        <v>25708147</v>
      </c>
      <c r="E649" s="221">
        <v>25106638</v>
      </c>
      <c r="F649" s="221" t="s">
        <v>965</v>
      </c>
      <c r="G649" s="227">
        <v>45768</v>
      </c>
      <c r="H649" s="206" t="s">
        <v>126</v>
      </c>
      <c r="I649" s="206" t="s">
        <v>467</v>
      </c>
      <c r="J649" s="206" t="s">
        <v>968</v>
      </c>
      <c r="K649" s="228">
        <v>50</v>
      </c>
      <c r="L649" s="229" t="s">
        <v>42</v>
      </c>
      <c r="M649" s="228">
        <v>50</v>
      </c>
      <c r="N649" s="228">
        <v>1238755.55</v>
      </c>
      <c r="O649" s="228">
        <v>61937777.5</v>
      </c>
      <c r="P649" s="228">
        <v>61937777.5</v>
      </c>
      <c r="Q649" s="224">
        <v>0</v>
      </c>
      <c r="R649" s="224">
        <v>0</v>
      </c>
      <c r="S649" s="229" t="s">
        <v>43</v>
      </c>
      <c r="T649" s="228">
        <v>41042305.960000001</v>
      </c>
      <c r="U649" s="228">
        <v>41042305.960000001</v>
      </c>
      <c r="V649" s="228">
        <v>20895471.539999999</v>
      </c>
      <c r="W649" s="230">
        <v>0.33736230751899998</v>
      </c>
      <c r="X649" s="228">
        <v>20895471.539999999</v>
      </c>
      <c r="Y649" s="206" t="s">
        <v>69</v>
      </c>
      <c r="Z649" s="206" t="s">
        <v>46</v>
      </c>
      <c r="AA649" s="206">
        <v>2306153</v>
      </c>
      <c r="AB649" s="206" t="s">
        <v>126</v>
      </c>
      <c r="AC649" s="206" t="s">
        <v>56</v>
      </c>
      <c r="AD649" s="206" t="s">
        <v>77</v>
      </c>
      <c r="AE649" s="206">
        <v>0</v>
      </c>
      <c r="AF649" s="206" t="s">
        <v>72</v>
      </c>
      <c r="AG649" s="206" t="s">
        <v>69</v>
      </c>
      <c r="AH649" s="206" t="s">
        <v>46</v>
      </c>
      <c r="AI649" s="206" t="s">
        <v>69</v>
      </c>
      <c r="AJ649" s="206" t="s">
        <v>46</v>
      </c>
      <c r="AK649" s="206" t="s">
        <v>54</v>
      </c>
      <c r="AL649" s="206" t="s">
        <v>48</v>
      </c>
      <c r="AM649" s="206" t="s">
        <v>49</v>
      </c>
      <c r="AN649" s="133" t="str">
        <f>VLOOKUP(I649,Sheet1!A:D,4,)</f>
        <v>A320400</v>
      </c>
      <c r="AP649" s="4" t="s">
        <v>971</v>
      </c>
    </row>
    <row r="650" spans="1:42" s="206" customFormat="1" x14ac:dyDescent="0.25">
      <c r="A650" s="226">
        <v>45748</v>
      </c>
      <c r="B650" s="206" t="s">
        <v>40</v>
      </c>
      <c r="C650" s="206" t="s">
        <v>41</v>
      </c>
      <c r="D650" s="221">
        <v>25708148</v>
      </c>
      <c r="E650" s="221">
        <v>25106639</v>
      </c>
      <c r="F650" s="221" t="s">
        <v>969</v>
      </c>
      <c r="G650" s="227">
        <v>45768</v>
      </c>
      <c r="H650" s="206" t="s">
        <v>115</v>
      </c>
      <c r="I650" s="206" t="s">
        <v>179</v>
      </c>
      <c r="J650" s="206" t="s">
        <v>180</v>
      </c>
      <c r="K650" s="228">
        <v>10</v>
      </c>
      <c r="L650" s="229" t="s">
        <v>42</v>
      </c>
      <c r="M650" s="228">
        <v>10</v>
      </c>
      <c r="N650" s="228">
        <v>11499693.460000001</v>
      </c>
      <c r="O650" s="228">
        <v>114996934.59999999</v>
      </c>
      <c r="P650" s="228">
        <v>114996934.59999999</v>
      </c>
      <c r="Q650" s="224">
        <v>0</v>
      </c>
      <c r="R650" s="224">
        <v>0</v>
      </c>
      <c r="S650" s="229" t="s">
        <v>43</v>
      </c>
      <c r="T650" s="228">
        <v>86364924.799999997</v>
      </c>
      <c r="U650" s="228">
        <v>86364924.799999997</v>
      </c>
      <c r="V650" s="228">
        <v>28632009.800000001</v>
      </c>
      <c r="W650" s="230">
        <v>0.24898063500199999</v>
      </c>
      <c r="X650" s="228">
        <v>28632009.800000001</v>
      </c>
      <c r="Y650" s="206" t="s">
        <v>66</v>
      </c>
      <c r="Z650" s="206" t="s">
        <v>44</v>
      </c>
      <c r="AA650" s="206">
        <v>15159</v>
      </c>
      <c r="AB650" s="206" t="s">
        <v>118</v>
      </c>
      <c r="AC650" s="206" t="s">
        <v>154</v>
      </c>
      <c r="AD650" s="206" t="s">
        <v>155</v>
      </c>
      <c r="AE650" s="206">
        <v>0</v>
      </c>
      <c r="AF650" s="206" t="s">
        <v>68</v>
      </c>
      <c r="AG650" s="206" t="s">
        <v>181</v>
      </c>
      <c r="AH650" s="206" t="s">
        <v>182</v>
      </c>
      <c r="AI650" s="206" t="s">
        <v>69</v>
      </c>
      <c r="AJ650" s="206" t="s">
        <v>46</v>
      </c>
      <c r="AK650" s="206" t="s">
        <v>54</v>
      </c>
      <c r="AL650" s="206" t="s">
        <v>48</v>
      </c>
      <c r="AM650" s="206" t="s">
        <v>49</v>
      </c>
      <c r="AN650" s="133" t="str">
        <f>VLOOKUP(I650,Sheet1!A:D,4,)</f>
        <v>A320400</v>
      </c>
      <c r="AP650" s="4" t="s">
        <v>971</v>
      </c>
    </row>
    <row r="651" spans="1:42" s="206" customFormat="1" x14ac:dyDescent="0.25">
      <c r="A651" s="226">
        <v>45748</v>
      </c>
      <c r="B651" s="206" t="s">
        <v>40</v>
      </c>
      <c r="C651" s="206" t="s">
        <v>41</v>
      </c>
      <c r="D651" s="221">
        <v>25708149</v>
      </c>
      <c r="E651" s="221">
        <v>25106684</v>
      </c>
      <c r="F651" s="221" t="s">
        <v>970</v>
      </c>
      <c r="G651" s="227">
        <v>45768</v>
      </c>
      <c r="H651" s="206" t="s">
        <v>126</v>
      </c>
      <c r="I651" s="206" t="s">
        <v>291</v>
      </c>
      <c r="J651" s="206" t="s">
        <v>875</v>
      </c>
      <c r="K651" s="228">
        <v>16</v>
      </c>
      <c r="L651" s="229" t="s">
        <v>42</v>
      </c>
      <c r="M651" s="228">
        <v>16</v>
      </c>
      <c r="N651" s="228">
        <v>933037.05</v>
      </c>
      <c r="O651" s="228">
        <v>14928592.800000001</v>
      </c>
      <c r="P651" s="228">
        <v>14928592.800000001</v>
      </c>
      <c r="Q651" s="224">
        <v>0</v>
      </c>
      <c r="R651" s="224">
        <v>0</v>
      </c>
      <c r="S651" s="229" t="s">
        <v>43</v>
      </c>
      <c r="T651" s="228">
        <v>10633129.92</v>
      </c>
      <c r="U651" s="228">
        <v>10633129.92</v>
      </c>
      <c r="V651" s="228">
        <v>4295462.88</v>
      </c>
      <c r="W651" s="230">
        <v>0.28773394368400002</v>
      </c>
      <c r="X651" s="228">
        <v>4295462.88</v>
      </c>
      <c r="Y651" s="206" t="s">
        <v>69</v>
      </c>
      <c r="Z651" s="206" t="s">
        <v>46</v>
      </c>
      <c r="AA651" s="206">
        <v>2306153</v>
      </c>
      <c r="AB651" s="206" t="s">
        <v>126</v>
      </c>
      <c r="AC651" s="206" t="s">
        <v>56</v>
      </c>
      <c r="AD651" s="206" t="s">
        <v>77</v>
      </c>
      <c r="AE651" s="206">
        <v>0</v>
      </c>
      <c r="AF651" s="206" t="s">
        <v>72</v>
      </c>
      <c r="AG651" s="206" t="s">
        <v>69</v>
      </c>
      <c r="AH651" s="206" t="s">
        <v>46</v>
      </c>
      <c r="AI651" s="206" t="s">
        <v>69</v>
      </c>
      <c r="AJ651" s="206" t="s">
        <v>46</v>
      </c>
      <c r="AK651" s="206" t="s">
        <v>54</v>
      </c>
      <c r="AL651" s="206" t="s">
        <v>48</v>
      </c>
      <c r="AM651" s="206" t="s">
        <v>49</v>
      </c>
      <c r="AN651" s="133" t="str">
        <f>VLOOKUP(I651,Sheet1!A:D,4,)</f>
        <v>A320400</v>
      </c>
      <c r="AP651" s="4" t="s">
        <v>971</v>
      </c>
    </row>
    <row r="652" spans="1:42" s="206" customFormat="1" x14ac:dyDescent="0.25">
      <c r="A652" s="226">
        <v>45748</v>
      </c>
      <c r="B652" s="206" t="s">
        <v>40</v>
      </c>
      <c r="C652" s="206" t="s">
        <v>41</v>
      </c>
      <c r="D652" s="221">
        <v>25708155</v>
      </c>
      <c r="E652" s="221">
        <v>25106548</v>
      </c>
      <c r="F652" s="221" t="s">
        <v>714</v>
      </c>
      <c r="G652" s="227">
        <v>45771</v>
      </c>
      <c r="H652" s="206" t="s">
        <v>237</v>
      </c>
      <c r="I652" s="206" t="s">
        <v>134</v>
      </c>
      <c r="J652" s="206" t="s">
        <v>645</v>
      </c>
      <c r="K652" s="228">
        <v>580</v>
      </c>
      <c r="L652" s="229" t="s">
        <v>42</v>
      </c>
      <c r="M652" s="228">
        <v>580</v>
      </c>
      <c r="N652" s="228">
        <v>417643.84</v>
      </c>
      <c r="O652" s="228">
        <v>242233427.19999999</v>
      </c>
      <c r="P652" s="228">
        <v>242233427.19999999</v>
      </c>
      <c r="Q652" s="224">
        <v>0</v>
      </c>
      <c r="R652" s="224">
        <v>0</v>
      </c>
      <c r="S652" s="229" t="s">
        <v>43</v>
      </c>
      <c r="T652" s="228">
        <v>104437797.20999999</v>
      </c>
      <c r="U652" s="228">
        <v>104437797.20999999</v>
      </c>
      <c r="V652" s="228">
        <v>137795629.99000001</v>
      </c>
      <c r="W652" s="230">
        <v>0.56885472654500002</v>
      </c>
      <c r="X652" s="228">
        <v>137795629.99000001</v>
      </c>
      <c r="Y652" s="206" t="s">
        <v>101</v>
      </c>
      <c r="Z652" s="206" t="s">
        <v>46</v>
      </c>
      <c r="AA652" s="206">
        <v>2306153</v>
      </c>
      <c r="AB652" s="206" t="s">
        <v>237</v>
      </c>
      <c r="AC652" s="206" t="s">
        <v>56</v>
      </c>
      <c r="AD652" s="206" t="s">
        <v>103</v>
      </c>
      <c r="AE652" s="206">
        <v>0</v>
      </c>
      <c r="AF652" s="206" t="s">
        <v>191</v>
      </c>
      <c r="AG652" s="206" t="s">
        <v>242</v>
      </c>
      <c r="AH652" s="206" t="s">
        <v>53</v>
      </c>
      <c r="AI652" s="206" t="s">
        <v>101</v>
      </c>
      <c r="AJ652" s="206" t="s">
        <v>46</v>
      </c>
      <c r="AK652" s="206" t="s">
        <v>54</v>
      </c>
      <c r="AL652" s="206" t="s">
        <v>48</v>
      </c>
      <c r="AM652" s="206" t="s">
        <v>49</v>
      </c>
      <c r="AN652" s="133" t="str">
        <f>VLOOKUP(I652,Sheet1!A:D,4,)</f>
        <v>A320400</v>
      </c>
      <c r="AP652" s="4" t="s">
        <v>982</v>
      </c>
    </row>
    <row r="653" spans="1:42" s="206" customFormat="1" x14ac:dyDescent="0.25">
      <c r="A653" s="226">
        <v>45748</v>
      </c>
      <c r="B653" s="206" t="s">
        <v>40</v>
      </c>
      <c r="C653" s="206" t="s">
        <v>41</v>
      </c>
      <c r="D653" s="221">
        <v>25708156</v>
      </c>
      <c r="E653" s="221">
        <v>25106549</v>
      </c>
      <c r="F653" s="221" t="s">
        <v>929</v>
      </c>
      <c r="G653" s="227">
        <v>45771</v>
      </c>
      <c r="H653" s="206" t="s">
        <v>245</v>
      </c>
      <c r="I653" s="206" t="s">
        <v>55</v>
      </c>
      <c r="J653" s="206" t="s">
        <v>259</v>
      </c>
      <c r="K653" s="228">
        <v>540</v>
      </c>
      <c r="L653" s="229" t="s">
        <v>42</v>
      </c>
      <c r="M653" s="228">
        <v>540</v>
      </c>
      <c r="N653" s="228">
        <v>801927.5</v>
      </c>
      <c r="O653" s="228">
        <v>433040850</v>
      </c>
      <c r="P653" s="228">
        <v>433040850</v>
      </c>
      <c r="Q653" s="224">
        <v>0</v>
      </c>
      <c r="R653" s="224">
        <v>0</v>
      </c>
      <c r="S653" s="229" t="s">
        <v>43</v>
      </c>
      <c r="T653" s="228">
        <v>271648583.11000001</v>
      </c>
      <c r="U653" s="228">
        <v>271648583.11000001</v>
      </c>
      <c r="V653" s="228">
        <v>161392266.88999999</v>
      </c>
      <c r="W653" s="230">
        <v>0.37269524778000002</v>
      </c>
      <c r="X653" s="228">
        <v>161392266.88999999</v>
      </c>
      <c r="Y653" s="206" t="s">
        <v>235</v>
      </c>
      <c r="Z653" s="206" t="s">
        <v>44</v>
      </c>
      <c r="AA653" s="206">
        <v>15159</v>
      </c>
      <c r="AB653" s="206" t="s">
        <v>246</v>
      </c>
      <c r="AC653" s="206" t="s">
        <v>154</v>
      </c>
      <c r="AD653" s="206" t="s">
        <v>155</v>
      </c>
      <c r="AE653" s="206">
        <v>0</v>
      </c>
      <c r="AF653" s="206" t="s">
        <v>191</v>
      </c>
      <c r="AG653" s="206" t="s">
        <v>242</v>
      </c>
      <c r="AH653" s="206" t="s">
        <v>53</v>
      </c>
      <c r="AI653" s="206" t="s">
        <v>101</v>
      </c>
      <c r="AJ653" s="206" t="s">
        <v>46</v>
      </c>
      <c r="AK653" s="206" t="s">
        <v>54</v>
      </c>
      <c r="AL653" s="206" t="s">
        <v>48</v>
      </c>
      <c r="AM653" s="206" t="s">
        <v>49</v>
      </c>
      <c r="AN653" s="133" t="str">
        <f>VLOOKUP(I653,Sheet1!A:D,4,)</f>
        <v>A320400</v>
      </c>
      <c r="AP653" s="4" t="s">
        <v>982</v>
      </c>
    </row>
    <row r="654" spans="1:42" s="206" customFormat="1" x14ac:dyDescent="0.25">
      <c r="A654" s="226">
        <v>45748</v>
      </c>
      <c r="B654" s="206" t="s">
        <v>40</v>
      </c>
      <c r="C654" s="206" t="s">
        <v>41</v>
      </c>
      <c r="D654" s="221">
        <v>25708157</v>
      </c>
      <c r="E654" s="221">
        <v>25106634</v>
      </c>
      <c r="F654" s="221" t="s">
        <v>977</v>
      </c>
      <c r="G654" s="227">
        <v>45771</v>
      </c>
      <c r="H654" s="206" t="s">
        <v>245</v>
      </c>
      <c r="I654" s="206" t="s">
        <v>397</v>
      </c>
      <c r="J654" s="206" t="s">
        <v>609</v>
      </c>
      <c r="K654" s="228">
        <v>20</v>
      </c>
      <c r="L654" s="229" t="s">
        <v>42</v>
      </c>
      <c r="M654" s="228">
        <v>20</v>
      </c>
      <c r="N654" s="228">
        <v>2243527.5699999998</v>
      </c>
      <c r="O654" s="228">
        <v>44870551.399999999</v>
      </c>
      <c r="P654" s="228">
        <v>44870551.399999999</v>
      </c>
      <c r="Q654" s="224">
        <v>0</v>
      </c>
      <c r="R654" s="224">
        <v>0</v>
      </c>
      <c r="S654" s="229" t="s">
        <v>43</v>
      </c>
      <c r="T654" s="228">
        <v>11807184.6</v>
      </c>
      <c r="U654" s="228">
        <v>11807184.6</v>
      </c>
      <c r="V654" s="228">
        <v>33063366.800000001</v>
      </c>
      <c r="W654" s="230">
        <v>0.73686116547199998</v>
      </c>
      <c r="X654" s="228">
        <v>33063366.800000001</v>
      </c>
      <c r="Y654" s="206" t="s">
        <v>235</v>
      </c>
      <c r="Z654" s="206" t="s">
        <v>44</v>
      </c>
      <c r="AA654" s="206">
        <v>15159</v>
      </c>
      <c r="AB654" s="206" t="s">
        <v>246</v>
      </c>
      <c r="AC654" s="206" t="s">
        <v>154</v>
      </c>
      <c r="AD654" s="206" t="s">
        <v>155</v>
      </c>
      <c r="AE654" s="206">
        <v>0</v>
      </c>
      <c r="AF654" s="206" t="s">
        <v>191</v>
      </c>
      <c r="AG654" s="206" t="s">
        <v>242</v>
      </c>
      <c r="AH654" s="206" t="s">
        <v>53</v>
      </c>
      <c r="AI654" s="206" t="s">
        <v>101</v>
      </c>
      <c r="AJ654" s="206" t="s">
        <v>46</v>
      </c>
      <c r="AK654" s="206" t="s">
        <v>54</v>
      </c>
      <c r="AL654" s="206" t="s">
        <v>48</v>
      </c>
      <c r="AM654" s="206" t="s">
        <v>49</v>
      </c>
      <c r="AN654" s="133" t="str">
        <f>VLOOKUP(I654,Sheet1!A:D,4,)</f>
        <v>A320400</v>
      </c>
      <c r="AP654" s="4" t="s">
        <v>982</v>
      </c>
    </row>
    <row r="655" spans="1:42" s="206" customFormat="1" x14ac:dyDescent="0.25">
      <c r="A655" s="226">
        <v>45748</v>
      </c>
      <c r="B655" s="206" t="s">
        <v>40</v>
      </c>
      <c r="C655" s="206" t="s">
        <v>41</v>
      </c>
      <c r="D655" s="221">
        <v>25708158</v>
      </c>
      <c r="E655" s="221">
        <v>25106584</v>
      </c>
      <c r="F655" s="221" t="s">
        <v>978</v>
      </c>
      <c r="G655" s="227">
        <v>45771</v>
      </c>
      <c r="H655" s="206" t="s">
        <v>245</v>
      </c>
      <c r="I655" s="206" t="s">
        <v>226</v>
      </c>
      <c r="J655" s="206" t="s">
        <v>227</v>
      </c>
      <c r="K655" s="228">
        <v>500</v>
      </c>
      <c r="L655" s="229" t="s">
        <v>42</v>
      </c>
      <c r="M655" s="228">
        <v>500</v>
      </c>
      <c r="N655" s="228">
        <v>205453.83</v>
      </c>
      <c r="O655" s="228">
        <v>102726915</v>
      </c>
      <c r="P655" s="228">
        <v>102726915</v>
      </c>
      <c r="Q655" s="224">
        <v>0</v>
      </c>
      <c r="R655" s="224">
        <v>0</v>
      </c>
      <c r="S655" s="229" t="s">
        <v>43</v>
      </c>
      <c r="T655" s="228">
        <v>65480870.25</v>
      </c>
      <c r="U655" s="228">
        <v>65480870.25</v>
      </c>
      <c r="V655" s="228">
        <v>37246044.75</v>
      </c>
      <c r="W655" s="230">
        <v>0.36257337962399999</v>
      </c>
      <c r="X655" s="228">
        <v>37246044.75</v>
      </c>
      <c r="Y655" s="206" t="s">
        <v>235</v>
      </c>
      <c r="Z655" s="206" t="s">
        <v>44</v>
      </c>
      <c r="AA655" s="206">
        <v>15159</v>
      </c>
      <c r="AB655" s="206" t="s">
        <v>246</v>
      </c>
      <c r="AC655" s="206" t="s">
        <v>154</v>
      </c>
      <c r="AD655" s="206" t="s">
        <v>155</v>
      </c>
      <c r="AE655" s="206">
        <v>0</v>
      </c>
      <c r="AF655" s="206" t="s">
        <v>212</v>
      </c>
      <c r="AG655" s="206" t="s">
        <v>213</v>
      </c>
      <c r="AH655" s="206" t="s">
        <v>57</v>
      </c>
      <c r="AI655" s="206" t="s">
        <v>101</v>
      </c>
      <c r="AJ655" s="206" t="s">
        <v>46</v>
      </c>
      <c r="AK655" s="206" t="s">
        <v>54</v>
      </c>
      <c r="AL655" s="206" t="s">
        <v>48</v>
      </c>
      <c r="AM655" s="206" t="s">
        <v>49</v>
      </c>
      <c r="AN655" s="133" t="str">
        <f>VLOOKUP(I655,Sheet1!A:D,4,)</f>
        <v>A320400</v>
      </c>
      <c r="AP655" s="4" t="s">
        <v>982</v>
      </c>
    </row>
    <row r="656" spans="1:42" s="206" customFormat="1" x14ac:dyDescent="0.25">
      <c r="A656" s="226">
        <v>45748</v>
      </c>
      <c r="B656" s="206" t="s">
        <v>40</v>
      </c>
      <c r="C656" s="206" t="s">
        <v>41</v>
      </c>
      <c r="D656" s="221">
        <v>25708159</v>
      </c>
      <c r="E656" s="221">
        <v>24106442</v>
      </c>
      <c r="F656" s="221" t="s">
        <v>705</v>
      </c>
      <c r="G656" s="227">
        <v>45775</v>
      </c>
      <c r="H656" s="206" t="s">
        <v>245</v>
      </c>
      <c r="I656" s="206" t="s">
        <v>391</v>
      </c>
      <c r="J656" s="206" t="s">
        <v>603</v>
      </c>
      <c r="K656" s="228">
        <v>160</v>
      </c>
      <c r="L656" s="229" t="s">
        <v>42</v>
      </c>
      <c r="M656" s="228">
        <v>160</v>
      </c>
      <c r="N656" s="228">
        <v>368254.94</v>
      </c>
      <c r="O656" s="228">
        <v>58920790.399999999</v>
      </c>
      <c r="P656" s="228">
        <v>58920790.399999999</v>
      </c>
      <c r="Q656" s="224">
        <v>0</v>
      </c>
      <c r="R656" s="224">
        <v>0</v>
      </c>
      <c r="S656" s="229" t="s">
        <v>43</v>
      </c>
      <c r="T656" s="228">
        <v>49122587.859999999</v>
      </c>
      <c r="U656" s="228">
        <v>49122587.859999999</v>
      </c>
      <c r="V656" s="228">
        <v>9798202.5399999991</v>
      </c>
      <c r="W656" s="230">
        <v>0.16629448575700001</v>
      </c>
      <c r="X656" s="228">
        <v>9798202.5399999991</v>
      </c>
      <c r="Y656" s="206" t="s">
        <v>235</v>
      </c>
      <c r="Z656" s="206" t="s">
        <v>44</v>
      </c>
      <c r="AA656" s="206">
        <v>15159</v>
      </c>
      <c r="AB656" s="206" t="s">
        <v>246</v>
      </c>
      <c r="AC656" s="206" t="s">
        <v>154</v>
      </c>
      <c r="AD656" s="206" t="s">
        <v>155</v>
      </c>
      <c r="AE656" s="206">
        <v>0</v>
      </c>
      <c r="AF656" s="206" t="s">
        <v>212</v>
      </c>
      <c r="AG656" s="206" t="s">
        <v>213</v>
      </c>
      <c r="AH656" s="206" t="s">
        <v>57</v>
      </c>
      <c r="AI656" s="206" t="s">
        <v>101</v>
      </c>
      <c r="AJ656" s="206" t="s">
        <v>46</v>
      </c>
      <c r="AK656" s="206" t="s">
        <v>54</v>
      </c>
      <c r="AL656" s="206" t="s">
        <v>48</v>
      </c>
      <c r="AM656" s="206" t="s">
        <v>49</v>
      </c>
      <c r="AN656" s="133" t="str">
        <f>VLOOKUP(I656,Sheet1!A:D,4,)</f>
        <v>A320400</v>
      </c>
      <c r="AP656" s="4" t="s">
        <v>982</v>
      </c>
    </row>
    <row r="657" spans="1:42" s="206" customFormat="1" x14ac:dyDescent="0.25">
      <c r="A657" s="226">
        <v>45748</v>
      </c>
      <c r="B657" s="206" t="s">
        <v>40</v>
      </c>
      <c r="C657" s="206" t="s">
        <v>41</v>
      </c>
      <c r="D657" s="221">
        <v>25708159</v>
      </c>
      <c r="E657" s="221">
        <v>24106442</v>
      </c>
      <c r="F657" s="221" t="s">
        <v>705</v>
      </c>
      <c r="G657" s="227">
        <v>45775</v>
      </c>
      <c r="H657" s="206" t="s">
        <v>245</v>
      </c>
      <c r="I657" s="206" t="s">
        <v>164</v>
      </c>
      <c r="J657" s="206" t="s">
        <v>538</v>
      </c>
      <c r="K657" s="228">
        <v>200</v>
      </c>
      <c r="L657" s="229" t="s">
        <v>42</v>
      </c>
      <c r="M657" s="228">
        <v>200</v>
      </c>
      <c r="N657" s="228">
        <v>402735.74</v>
      </c>
      <c r="O657" s="228">
        <v>80547148</v>
      </c>
      <c r="P657" s="228">
        <v>80547148</v>
      </c>
      <c r="Q657" s="224">
        <v>0</v>
      </c>
      <c r="R657" s="224">
        <v>0</v>
      </c>
      <c r="S657" s="229" t="s">
        <v>43</v>
      </c>
      <c r="T657" s="228">
        <v>68436572</v>
      </c>
      <c r="U657" s="228">
        <v>68436572</v>
      </c>
      <c r="V657" s="228">
        <v>12110576</v>
      </c>
      <c r="W657" s="230">
        <v>0.15035387720900001</v>
      </c>
      <c r="X657" s="228">
        <v>12110576</v>
      </c>
      <c r="Y657" s="206" t="s">
        <v>235</v>
      </c>
      <c r="Z657" s="206" t="s">
        <v>44</v>
      </c>
      <c r="AA657" s="206">
        <v>15159</v>
      </c>
      <c r="AB657" s="206" t="s">
        <v>246</v>
      </c>
      <c r="AC657" s="206" t="s">
        <v>154</v>
      </c>
      <c r="AD657" s="206" t="s">
        <v>155</v>
      </c>
      <c r="AE657" s="206">
        <v>0</v>
      </c>
      <c r="AF657" s="206" t="s">
        <v>727</v>
      </c>
      <c r="AG657" s="206" t="s">
        <v>728</v>
      </c>
      <c r="AH657" s="206" t="s">
        <v>121</v>
      </c>
      <c r="AI657" s="206" t="s">
        <v>101</v>
      </c>
      <c r="AJ657" s="206" t="s">
        <v>46</v>
      </c>
      <c r="AK657" s="206" t="s">
        <v>54</v>
      </c>
      <c r="AL657" s="206" t="s">
        <v>48</v>
      </c>
      <c r="AM657" s="206" t="s">
        <v>49</v>
      </c>
      <c r="AN657" s="133" t="str">
        <f>VLOOKUP(I657,Sheet1!A:D,4,)</f>
        <v>A320400</v>
      </c>
      <c r="AP657" s="4" t="s">
        <v>982</v>
      </c>
    </row>
    <row r="658" spans="1:42" s="206" customFormat="1" x14ac:dyDescent="0.25">
      <c r="A658" s="226">
        <v>45748</v>
      </c>
      <c r="B658" s="206" t="s">
        <v>40</v>
      </c>
      <c r="C658" s="206" t="s">
        <v>41</v>
      </c>
      <c r="D658" s="221">
        <v>25708160</v>
      </c>
      <c r="E658" s="221">
        <v>24106443</v>
      </c>
      <c r="F658" s="221" t="s">
        <v>720</v>
      </c>
      <c r="G658" s="227">
        <v>45775</v>
      </c>
      <c r="H658" s="206" t="s">
        <v>237</v>
      </c>
      <c r="I658" s="206" t="s">
        <v>391</v>
      </c>
      <c r="J658" s="206" t="s">
        <v>603</v>
      </c>
      <c r="K658" s="228">
        <v>100</v>
      </c>
      <c r="L658" s="229" t="s">
        <v>42</v>
      </c>
      <c r="M658" s="228">
        <v>100</v>
      </c>
      <c r="N658" s="228">
        <v>368254.94</v>
      </c>
      <c r="O658" s="228">
        <v>36825494</v>
      </c>
      <c r="P658" s="228">
        <v>36825494</v>
      </c>
      <c r="Q658" s="224">
        <v>0</v>
      </c>
      <c r="R658" s="224">
        <v>0</v>
      </c>
      <c r="S658" s="229" t="s">
        <v>43</v>
      </c>
      <c r="T658" s="228">
        <v>30701617.420000002</v>
      </c>
      <c r="U658" s="228">
        <v>30701617.420000002</v>
      </c>
      <c r="V658" s="228">
        <v>6123876.5800000001</v>
      </c>
      <c r="W658" s="230">
        <v>0.166294485553</v>
      </c>
      <c r="X658" s="228">
        <v>6123876.5800000001</v>
      </c>
      <c r="Y658" s="206" t="s">
        <v>101</v>
      </c>
      <c r="Z658" s="206" t="s">
        <v>46</v>
      </c>
      <c r="AA658" s="206">
        <v>2306153</v>
      </c>
      <c r="AB658" s="206" t="s">
        <v>237</v>
      </c>
      <c r="AC658" s="206" t="s">
        <v>56</v>
      </c>
      <c r="AD658" s="206" t="s">
        <v>103</v>
      </c>
      <c r="AE658" s="206">
        <v>0</v>
      </c>
      <c r="AF658" s="206" t="s">
        <v>212</v>
      </c>
      <c r="AG658" s="206" t="s">
        <v>213</v>
      </c>
      <c r="AH658" s="206" t="s">
        <v>57</v>
      </c>
      <c r="AI658" s="206" t="s">
        <v>101</v>
      </c>
      <c r="AJ658" s="206" t="s">
        <v>46</v>
      </c>
      <c r="AK658" s="206" t="s">
        <v>54</v>
      </c>
      <c r="AL658" s="206" t="s">
        <v>48</v>
      </c>
      <c r="AM658" s="206" t="s">
        <v>49</v>
      </c>
      <c r="AN658" s="133" t="str">
        <f>VLOOKUP(I658,Sheet1!A:D,4,)</f>
        <v>A320400</v>
      </c>
      <c r="AP658" s="4" t="s">
        <v>982</v>
      </c>
    </row>
    <row r="659" spans="1:42" s="206" customFormat="1" x14ac:dyDescent="0.25">
      <c r="A659" s="226">
        <v>45748</v>
      </c>
      <c r="B659" s="206" t="s">
        <v>40</v>
      </c>
      <c r="C659" s="206" t="s">
        <v>41</v>
      </c>
      <c r="D659" s="221">
        <v>25708160</v>
      </c>
      <c r="E659" s="221">
        <v>24106443</v>
      </c>
      <c r="F659" s="221" t="s">
        <v>720</v>
      </c>
      <c r="G659" s="227">
        <v>45775</v>
      </c>
      <c r="H659" s="206" t="s">
        <v>237</v>
      </c>
      <c r="I659" s="206" t="s">
        <v>164</v>
      </c>
      <c r="J659" s="206" t="s">
        <v>538</v>
      </c>
      <c r="K659" s="228">
        <v>200</v>
      </c>
      <c r="L659" s="229" t="s">
        <v>42</v>
      </c>
      <c r="M659" s="228">
        <v>200</v>
      </c>
      <c r="N659" s="228">
        <v>402735.74</v>
      </c>
      <c r="O659" s="228">
        <v>80547148</v>
      </c>
      <c r="P659" s="228">
        <v>80547148</v>
      </c>
      <c r="Q659" s="224">
        <v>0</v>
      </c>
      <c r="R659" s="224">
        <v>0</v>
      </c>
      <c r="S659" s="229" t="s">
        <v>43</v>
      </c>
      <c r="T659" s="228">
        <v>68436572</v>
      </c>
      <c r="U659" s="228">
        <v>68436572</v>
      </c>
      <c r="V659" s="228">
        <v>12110576</v>
      </c>
      <c r="W659" s="230">
        <v>0.15035387720900001</v>
      </c>
      <c r="X659" s="228">
        <v>12110576</v>
      </c>
      <c r="Y659" s="206" t="s">
        <v>101</v>
      </c>
      <c r="Z659" s="206" t="s">
        <v>46</v>
      </c>
      <c r="AA659" s="206">
        <v>2306153</v>
      </c>
      <c r="AB659" s="206" t="s">
        <v>237</v>
      </c>
      <c r="AC659" s="206" t="s">
        <v>56</v>
      </c>
      <c r="AD659" s="206" t="s">
        <v>103</v>
      </c>
      <c r="AE659" s="206">
        <v>0</v>
      </c>
      <c r="AF659" s="206" t="s">
        <v>727</v>
      </c>
      <c r="AG659" s="206" t="s">
        <v>728</v>
      </c>
      <c r="AH659" s="206" t="s">
        <v>121</v>
      </c>
      <c r="AI659" s="206" t="s">
        <v>101</v>
      </c>
      <c r="AJ659" s="206" t="s">
        <v>46</v>
      </c>
      <c r="AK659" s="206" t="s">
        <v>54</v>
      </c>
      <c r="AL659" s="206" t="s">
        <v>48</v>
      </c>
      <c r="AM659" s="206" t="s">
        <v>49</v>
      </c>
      <c r="AN659" s="133" t="str">
        <f>VLOOKUP(I659,Sheet1!A:D,4,)</f>
        <v>A320400</v>
      </c>
      <c r="AP659" s="4" t="s">
        <v>982</v>
      </c>
    </row>
    <row r="660" spans="1:42" s="206" customFormat="1" x14ac:dyDescent="0.25">
      <c r="A660" s="226">
        <v>45748</v>
      </c>
      <c r="B660" s="206" t="s">
        <v>40</v>
      </c>
      <c r="C660" s="206" t="s">
        <v>41</v>
      </c>
      <c r="D660" s="221">
        <v>25708160</v>
      </c>
      <c r="E660" s="221">
        <v>24106443</v>
      </c>
      <c r="F660" s="221" t="s">
        <v>720</v>
      </c>
      <c r="G660" s="227">
        <v>45775</v>
      </c>
      <c r="H660" s="206" t="s">
        <v>237</v>
      </c>
      <c r="I660" s="206" t="s">
        <v>167</v>
      </c>
      <c r="J660" s="206" t="s">
        <v>627</v>
      </c>
      <c r="K660" s="228">
        <v>19.899999999999999</v>
      </c>
      <c r="L660" s="229" t="s">
        <v>42</v>
      </c>
      <c r="M660" s="228">
        <v>19.899999999999999</v>
      </c>
      <c r="N660" s="228">
        <v>916576.29</v>
      </c>
      <c r="O660" s="228">
        <v>18239868.170000002</v>
      </c>
      <c r="P660" s="228">
        <v>18239868.170000002</v>
      </c>
      <c r="Q660" s="224">
        <v>0</v>
      </c>
      <c r="R660" s="224">
        <v>0</v>
      </c>
      <c r="S660" s="229" t="s">
        <v>43</v>
      </c>
      <c r="T660" s="228">
        <v>6774520.7999999998</v>
      </c>
      <c r="U660" s="228">
        <v>6774520.7999999998</v>
      </c>
      <c r="V660" s="228">
        <v>11465347.369999999</v>
      </c>
      <c r="W660" s="230">
        <v>0.628587184026</v>
      </c>
      <c r="X660" s="228">
        <v>11465347.369999999</v>
      </c>
      <c r="Y660" s="206" t="s">
        <v>101</v>
      </c>
      <c r="Z660" s="206" t="s">
        <v>46</v>
      </c>
      <c r="AA660" s="206">
        <v>2306153</v>
      </c>
      <c r="AB660" s="206" t="s">
        <v>237</v>
      </c>
      <c r="AC660" s="206" t="s">
        <v>56</v>
      </c>
      <c r="AD660" s="206" t="s">
        <v>103</v>
      </c>
      <c r="AE660" s="206">
        <v>0</v>
      </c>
      <c r="AF660" s="206" t="s">
        <v>727</v>
      </c>
      <c r="AG660" s="206" t="s">
        <v>728</v>
      </c>
      <c r="AH660" s="206" t="s">
        <v>121</v>
      </c>
      <c r="AI660" s="206" t="s">
        <v>101</v>
      </c>
      <c r="AJ660" s="206" t="s">
        <v>46</v>
      </c>
      <c r="AK660" s="206" t="s">
        <v>54</v>
      </c>
      <c r="AL660" s="206" t="s">
        <v>48</v>
      </c>
      <c r="AM660" s="206" t="s">
        <v>49</v>
      </c>
      <c r="AN660" s="133" t="str">
        <f>VLOOKUP(I660,Sheet1!A:D,4,)</f>
        <v>A320400</v>
      </c>
      <c r="AP660" s="4" t="s">
        <v>982</v>
      </c>
    </row>
    <row r="661" spans="1:42" s="206" customFormat="1" x14ac:dyDescent="0.25">
      <c r="A661" s="226">
        <v>45748</v>
      </c>
      <c r="B661" s="206" t="s">
        <v>40</v>
      </c>
      <c r="C661" s="206" t="s">
        <v>41</v>
      </c>
      <c r="D661" s="221">
        <v>25708161</v>
      </c>
      <c r="E661" s="221">
        <v>24106529</v>
      </c>
      <c r="F661" s="221" t="s">
        <v>979</v>
      </c>
      <c r="G661" s="227">
        <v>45775</v>
      </c>
      <c r="H661" s="206" t="s">
        <v>237</v>
      </c>
      <c r="I661" s="206" t="s">
        <v>417</v>
      </c>
      <c r="J661" s="206" t="s">
        <v>630</v>
      </c>
      <c r="K661" s="228">
        <v>380</v>
      </c>
      <c r="L661" s="229" t="s">
        <v>42</v>
      </c>
      <c r="M661" s="228">
        <v>380</v>
      </c>
      <c r="N661" s="228">
        <v>1472832.69</v>
      </c>
      <c r="O661" s="228">
        <v>559676422.20000005</v>
      </c>
      <c r="P661" s="228">
        <v>559676422.20000005</v>
      </c>
      <c r="Q661" s="224">
        <v>0</v>
      </c>
      <c r="R661" s="224">
        <v>0</v>
      </c>
      <c r="S661" s="229" t="s">
        <v>43</v>
      </c>
      <c r="T661" s="228">
        <v>489800977.57999998</v>
      </c>
      <c r="U661" s="228">
        <v>489800977.57999998</v>
      </c>
      <c r="V661" s="228">
        <v>69875444.620000005</v>
      </c>
      <c r="W661" s="230">
        <v>0.12484972003100001</v>
      </c>
      <c r="X661" s="228">
        <v>69875444.620000005</v>
      </c>
      <c r="Y661" s="206" t="s">
        <v>101</v>
      </c>
      <c r="Z661" s="206" t="s">
        <v>46</v>
      </c>
      <c r="AA661" s="206">
        <v>2306153</v>
      </c>
      <c r="AB661" s="206" t="s">
        <v>237</v>
      </c>
      <c r="AC661" s="206" t="s">
        <v>56</v>
      </c>
      <c r="AD661" s="206" t="s">
        <v>103</v>
      </c>
      <c r="AE661" s="206">
        <v>0</v>
      </c>
      <c r="AF661" s="206" t="s">
        <v>727</v>
      </c>
      <c r="AG661" s="206" t="s">
        <v>728</v>
      </c>
      <c r="AH661" s="206" t="s">
        <v>121</v>
      </c>
      <c r="AI661" s="206" t="s">
        <v>101</v>
      </c>
      <c r="AJ661" s="206" t="s">
        <v>46</v>
      </c>
      <c r="AK661" s="206" t="s">
        <v>54</v>
      </c>
      <c r="AL661" s="206" t="s">
        <v>48</v>
      </c>
      <c r="AM661" s="206" t="s">
        <v>49</v>
      </c>
      <c r="AN661" s="133" t="str">
        <f>VLOOKUP(I661,Sheet1!A:D,4,)</f>
        <v>A320400</v>
      </c>
      <c r="AP661" s="4" t="s">
        <v>982</v>
      </c>
    </row>
    <row r="662" spans="1:42" s="206" customFormat="1" x14ac:dyDescent="0.25">
      <c r="A662" s="226">
        <v>45748</v>
      </c>
      <c r="B662" s="206" t="s">
        <v>40</v>
      </c>
      <c r="C662" s="206" t="s">
        <v>41</v>
      </c>
      <c r="D662" s="221">
        <v>25708162</v>
      </c>
      <c r="E662" s="221">
        <v>25106549</v>
      </c>
      <c r="F662" s="221" t="s">
        <v>929</v>
      </c>
      <c r="G662" s="227">
        <v>45775</v>
      </c>
      <c r="H662" s="206" t="s">
        <v>245</v>
      </c>
      <c r="I662" s="206" t="s">
        <v>392</v>
      </c>
      <c r="J662" s="206" t="s">
        <v>604</v>
      </c>
      <c r="K662" s="228">
        <v>400</v>
      </c>
      <c r="L662" s="229" t="s">
        <v>42</v>
      </c>
      <c r="M662" s="228">
        <v>400</v>
      </c>
      <c r="N662" s="228">
        <v>425342.35</v>
      </c>
      <c r="O662" s="228">
        <v>170136940</v>
      </c>
      <c r="P662" s="228">
        <v>170136940</v>
      </c>
      <c r="Q662" s="224">
        <v>0</v>
      </c>
      <c r="R662" s="224">
        <v>0</v>
      </c>
      <c r="S662" s="229" t="s">
        <v>43</v>
      </c>
      <c r="T662" s="228">
        <v>131895820</v>
      </c>
      <c r="U662" s="228">
        <v>131895820</v>
      </c>
      <c r="V662" s="228">
        <v>38241120</v>
      </c>
      <c r="W662" s="230">
        <v>0.224766708511</v>
      </c>
      <c r="X662" s="228">
        <v>38241120</v>
      </c>
      <c r="Y662" s="206" t="s">
        <v>235</v>
      </c>
      <c r="Z662" s="206" t="s">
        <v>44</v>
      </c>
      <c r="AA662" s="206">
        <v>15159</v>
      </c>
      <c r="AB662" s="206" t="s">
        <v>246</v>
      </c>
      <c r="AC662" s="206" t="s">
        <v>154</v>
      </c>
      <c r="AD662" s="206" t="s">
        <v>155</v>
      </c>
      <c r="AE662" s="206">
        <v>0</v>
      </c>
      <c r="AF662" s="206" t="s">
        <v>212</v>
      </c>
      <c r="AG662" s="206" t="s">
        <v>213</v>
      </c>
      <c r="AH662" s="206" t="s">
        <v>57</v>
      </c>
      <c r="AI662" s="206" t="s">
        <v>101</v>
      </c>
      <c r="AJ662" s="206" t="s">
        <v>46</v>
      </c>
      <c r="AK662" s="206" t="s">
        <v>54</v>
      </c>
      <c r="AL662" s="206" t="s">
        <v>48</v>
      </c>
      <c r="AM662" s="206" t="s">
        <v>49</v>
      </c>
      <c r="AN662" s="133" t="str">
        <f>VLOOKUP(I662,Sheet1!A:D,4,)</f>
        <v>A320400</v>
      </c>
      <c r="AP662" s="4" t="s">
        <v>982</v>
      </c>
    </row>
    <row r="663" spans="1:42" s="206" customFormat="1" x14ac:dyDescent="0.25">
      <c r="A663" s="226">
        <v>45748</v>
      </c>
      <c r="B663" s="206" t="s">
        <v>40</v>
      </c>
      <c r="C663" s="206" t="s">
        <v>41</v>
      </c>
      <c r="D663" s="221">
        <v>25708162</v>
      </c>
      <c r="E663" s="221">
        <v>25106549</v>
      </c>
      <c r="F663" s="221" t="s">
        <v>929</v>
      </c>
      <c r="G663" s="227">
        <v>45775</v>
      </c>
      <c r="H663" s="206" t="s">
        <v>245</v>
      </c>
      <c r="I663" s="206" t="s">
        <v>164</v>
      </c>
      <c r="J663" s="206" t="s">
        <v>538</v>
      </c>
      <c r="K663" s="228">
        <v>500</v>
      </c>
      <c r="L663" s="229" t="s">
        <v>42</v>
      </c>
      <c r="M663" s="228">
        <v>500</v>
      </c>
      <c r="N663" s="228">
        <v>439135.5</v>
      </c>
      <c r="O663" s="228">
        <v>219567750</v>
      </c>
      <c r="P663" s="228">
        <v>219567750</v>
      </c>
      <c r="Q663" s="224">
        <v>0</v>
      </c>
      <c r="R663" s="224">
        <v>0</v>
      </c>
      <c r="S663" s="229" t="s">
        <v>43</v>
      </c>
      <c r="T663" s="228">
        <v>171091430</v>
      </c>
      <c r="U663" s="228">
        <v>171091430</v>
      </c>
      <c r="V663" s="228">
        <v>48476320</v>
      </c>
      <c r="W663" s="230">
        <v>0.220780692975</v>
      </c>
      <c r="X663" s="228">
        <v>48476320</v>
      </c>
      <c r="Y663" s="206" t="s">
        <v>235</v>
      </c>
      <c r="Z663" s="206" t="s">
        <v>44</v>
      </c>
      <c r="AA663" s="206">
        <v>15159</v>
      </c>
      <c r="AB663" s="206" t="s">
        <v>246</v>
      </c>
      <c r="AC663" s="206" t="s">
        <v>154</v>
      </c>
      <c r="AD663" s="206" t="s">
        <v>155</v>
      </c>
      <c r="AE663" s="206">
        <v>0</v>
      </c>
      <c r="AF663" s="206" t="s">
        <v>727</v>
      </c>
      <c r="AG663" s="206" t="s">
        <v>728</v>
      </c>
      <c r="AH663" s="206" t="s">
        <v>121</v>
      </c>
      <c r="AI663" s="206" t="s">
        <v>101</v>
      </c>
      <c r="AJ663" s="206" t="s">
        <v>46</v>
      </c>
      <c r="AK663" s="206" t="s">
        <v>54</v>
      </c>
      <c r="AL663" s="206" t="s">
        <v>48</v>
      </c>
      <c r="AM663" s="206" t="s">
        <v>49</v>
      </c>
      <c r="AN663" s="133" t="str">
        <f>VLOOKUP(I663,Sheet1!A:D,4,)</f>
        <v>A320400</v>
      </c>
      <c r="AP663" s="4" t="s">
        <v>982</v>
      </c>
    </row>
    <row r="664" spans="1:42" s="206" customFormat="1" x14ac:dyDescent="0.25">
      <c r="A664" s="226">
        <v>45748</v>
      </c>
      <c r="B664" s="206" t="s">
        <v>40</v>
      </c>
      <c r="C664" s="206" t="s">
        <v>41</v>
      </c>
      <c r="D664" s="221">
        <v>25708163</v>
      </c>
      <c r="E664" s="221">
        <v>25106551</v>
      </c>
      <c r="F664" s="221" t="s">
        <v>930</v>
      </c>
      <c r="G664" s="227">
        <v>45775</v>
      </c>
      <c r="H664" s="206" t="s">
        <v>237</v>
      </c>
      <c r="I664" s="206" t="s">
        <v>204</v>
      </c>
      <c r="J664" s="206" t="s">
        <v>205</v>
      </c>
      <c r="K664" s="228">
        <v>300</v>
      </c>
      <c r="L664" s="229" t="s">
        <v>42</v>
      </c>
      <c r="M664" s="228">
        <v>300</v>
      </c>
      <c r="N664" s="228">
        <v>208019.99</v>
      </c>
      <c r="O664" s="228">
        <v>62405997</v>
      </c>
      <c r="P664" s="228">
        <v>62405997</v>
      </c>
      <c r="Q664" s="224">
        <v>0</v>
      </c>
      <c r="R664" s="224">
        <v>0</v>
      </c>
      <c r="S664" s="229" t="s">
        <v>43</v>
      </c>
      <c r="T664" s="228">
        <v>35293705.350000001</v>
      </c>
      <c r="U664" s="228">
        <v>35293705.350000001</v>
      </c>
      <c r="V664" s="228">
        <v>27112291.649999999</v>
      </c>
      <c r="W664" s="230">
        <v>0.43445010020399999</v>
      </c>
      <c r="X664" s="228">
        <v>27112291.649999999</v>
      </c>
      <c r="Y664" s="206" t="s">
        <v>101</v>
      </c>
      <c r="Z664" s="206" t="s">
        <v>46</v>
      </c>
      <c r="AA664" s="206">
        <v>2306153</v>
      </c>
      <c r="AB664" s="206" t="s">
        <v>237</v>
      </c>
      <c r="AC664" s="206" t="s">
        <v>56</v>
      </c>
      <c r="AD664" s="206" t="s">
        <v>103</v>
      </c>
      <c r="AE664" s="206">
        <v>0</v>
      </c>
      <c r="AF664" s="206" t="s">
        <v>207</v>
      </c>
      <c r="AG664" s="206" t="s">
        <v>101</v>
      </c>
      <c r="AH664" s="206" t="s">
        <v>46</v>
      </c>
      <c r="AI664" s="206" t="s">
        <v>101</v>
      </c>
      <c r="AJ664" s="206" t="s">
        <v>46</v>
      </c>
      <c r="AK664" s="206" t="s">
        <v>54</v>
      </c>
      <c r="AL664" s="206" t="s">
        <v>48</v>
      </c>
      <c r="AM664" s="206" t="s">
        <v>49</v>
      </c>
      <c r="AN664" s="133" t="str">
        <f>VLOOKUP(I664,Sheet1!A:D,4,)</f>
        <v>A320400</v>
      </c>
      <c r="AP664" s="4" t="s">
        <v>982</v>
      </c>
    </row>
    <row r="665" spans="1:42" s="206" customFormat="1" x14ac:dyDescent="0.25">
      <c r="A665" s="226">
        <v>45748</v>
      </c>
      <c r="B665" s="206" t="s">
        <v>40</v>
      </c>
      <c r="C665" s="206" t="s">
        <v>41</v>
      </c>
      <c r="D665" s="221">
        <v>25708163</v>
      </c>
      <c r="E665" s="221">
        <v>25106551</v>
      </c>
      <c r="F665" s="221" t="s">
        <v>930</v>
      </c>
      <c r="G665" s="227">
        <v>45775</v>
      </c>
      <c r="H665" s="206" t="s">
        <v>237</v>
      </c>
      <c r="I665" s="206" t="s">
        <v>164</v>
      </c>
      <c r="J665" s="206" t="s">
        <v>538</v>
      </c>
      <c r="K665" s="228">
        <v>300</v>
      </c>
      <c r="L665" s="229" t="s">
        <v>42</v>
      </c>
      <c r="M665" s="228">
        <v>300</v>
      </c>
      <c r="N665" s="228">
        <v>439135.5</v>
      </c>
      <c r="O665" s="228">
        <v>131740650</v>
      </c>
      <c r="P665" s="228">
        <v>131740650</v>
      </c>
      <c r="Q665" s="224">
        <v>0</v>
      </c>
      <c r="R665" s="224">
        <v>0</v>
      </c>
      <c r="S665" s="229" t="s">
        <v>43</v>
      </c>
      <c r="T665" s="228">
        <v>102654858</v>
      </c>
      <c r="U665" s="228">
        <v>102654858</v>
      </c>
      <c r="V665" s="228">
        <v>29085792</v>
      </c>
      <c r="W665" s="230">
        <v>0.220780692975</v>
      </c>
      <c r="X665" s="228">
        <v>29085792</v>
      </c>
      <c r="Y665" s="206" t="s">
        <v>101</v>
      </c>
      <c r="Z665" s="206" t="s">
        <v>46</v>
      </c>
      <c r="AA665" s="206">
        <v>2306153</v>
      </c>
      <c r="AB665" s="206" t="s">
        <v>237</v>
      </c>
      <c r="AC665" s="206" t="s">
        <v>56</v>
      </c>
      <c r="AD665" s="206" t="s">
        <v>103</v>
      </c>
      <c r="AE665" s="206">
        <v>0</v>
      </c>
      <c r="AF665" s="206" t="s">
        <v>727</v>
      </c>
      <c r="AG665" s="206" t="s">
        <v>728</v>
      </c>
      <c r="AH665" s="206" t="s">
        <v>121</v>
      </c>
      <c r="AI665" s="206" t="s">
        <v>101</v>
      </c>
      <c r="AJ665" s="206" t="s">
        <v>46</v>
      </c>
      <c r="AK665" s="206" t="s">
        <v>54</v>
      </c>
      <c r="AL665" s="206" t="s">
        <v>48</v>
      </c>
      <c r="AM665" s="206" t="s">
        <v>49</v>
      </c>
      <c r="AN665" s="133" t="str">
        <f>VLOOKUP(I665,Sheet1!A:D,4,)</f>
        <v>A320400</v>
      </c>
      <c r="AP665" s="4" t="s">
        <v>982</v>
      </c>
    </row>
    <row r="666" spans="1:42" s="206" customFormat="1" x14ac:dyDescent="0.25">
      <c r="A666" s="226">
        <v>45748</v>
      </c>
      <c r="B666" s="206" t="s">
        <v>40</v>
      </c>
      <c r="C666" s="206" t="s">
        <v>41</v>
      </c>
      <c r="D666" s="221">
        <v>25708164</v>
      </c>
      <c r="E666" s="221">
        <v>25106583</v>
      </c>
      <c r="F666" s="221" t="s">
        <v>778</v>
      </c>
      <c r="G666" s="227">
        <v>45775</v>
      </c>
      <c r="H666" s="206" t="s">
        <v>237</v>
      </c>
      <c r="I666" s="206" t="s">
        <v>216</v>
      </c>
      <c r="J666" s="206" t="s">
        <v>217</v>
      </c>
      <c r="K666" s="228">
        <v>100</v>
      </c>
      <c r="L666" s="229" t="s">
        <v>42</v>
      </c>
      <c r="M666" s="228">
        <v>100</v>
      </c>
      <c r="N666" s="228">
        <v>579152.04</v>
      </c>
      <c r="O666" s="228">
        <v>57915204</v>
      </c>
      <c r="P666" s="228">
        <v>57915204</v>
      </c>
      <c r="Q666" s="224">
        <v>0</v>
      </c>
      <c r="R666" s="224">
        <v>0</v>
      </c>
      <c r="S666" s="229" t="s">
        <v>43</v>
      </c>
      <c r="T666" s="228">
        <v>29163240.25</v>
      </c>
      <c r="U666" s="228">
        <v>29163240.25</v>
      </c>
      <c r="V666" s="228">
        <v>28751963.75</v>
      </c>
      <c r="W666" s="230">
        <v>0.49644932183899998</v>
      </c>
      <c r="X666" s="228">
        <v>28751963.75</v>
      </c>
      <c r="Y666" s="206" t="s">
        <v>101</v>
      </c>
      <c r="Z666" s="206" t="s">
        <v>46</v>
      </c>
      <c r="AA666" s="206">
        <v>2306153</v>
      </c>
      <c r="AB666" s="206" t="s">
        <v>237</v>
      </c>
      <c r="AC666" s="206" t="s">
        <v>56</v>
      </c>
      <c r="AD666" s="206" t="s">
        <v>103</v>
      </c>
      <c r="AE666" s="206">
        <v>0</v>
      </c>
      <c r="AF666" s="206" t="s">
        <v>212</v>
      </c>
      <c r="AG666" s="206" t="s">
        <v>101</v>
      </c>
      <c r="AH666" s="206" t="s">
        <v>46</v>
      </c>
      <c r="AI666" s="206" t="s">
        <v>101</v>
      </c>
      <c r="AJ666" s="206" t="s">
        <v>46</v>
      </c>
      <c r="AK666" s="206" t="s">
        <v>54</v>
      </c>
      <c r="AL666" s="206" t="s">
        <v>48</v>
      </c>
      <c r="AM666" s="206" t="s">
        <v>49</v>
      </c>
      <c r="AN666" s="133" t="str">
        <f>VLOOKUP(I666,Sheet1!A:D,4,)</f>
        <v>A320400</v>
      </c>
      <c r="AP666" s="4" t="s">
        <v>982</v>
      </c>
    </row>
    <row r="667" spans="1:42" s="206" customFormat="1" x14ac:dyDescent="0.25">
      <c r="A667" s="226">
        <v>45748</v>
      </c>
      <c r="B667" s="206" t="s">
        <v>40</v>
      </c>
      <c r="C667" s="206" t="s">
        <v>41</v>
      </c>
      <c r="D667" s="221">
        <v>25708165</v>
      </c>
      <c r="E667" s="221">
        <v>25106584</v>
      </c>
      <c r="F667" s="221" t="s">
        <v>978</v>
      </c>
      <c r="G667" s="227">
        <v>45775</v>
      </c>
      <c r="H667" s="206" t="s">
        <v>245</v>
      </c>
      <c r="I667" s="206" t="s">
        <v>204</v>
      </c>
      <c r="J667" s="206" t="s">
        <v>205</v>
      </c>
      <c r="K667" s="228">
        <v>300</v>
      </c>
      <c r="L667" s="229" t="s">
        <v>42</v>
      </c>
      <c r="M667" s="228">
        <v>300</v>
      </c>
      <c r="N667" s="228">
        <v>208019.99</v>
      </c>
      <c r="O667" s="228">
        <v>62405997</v>
      </c>
      <c r="P667" s="228">
        <v>62405997</v>
      </c>
      <c r="Q667" s="224">
        <v>0</v>
      </c>
      <c r="R667" s="224">
        <v>0</v>
      </c>
      <c r="S667" s="229" t="s">
        <v>43</v>
      </c>
      <c r="T667" s="228">
        <v>35293705.350000001</v>
      </c>
      <c r="U667" s="228">
        <v>35293705.350000001</v>
      </c>
      <c r="V667" s="228">
        <v>27112291.649999999</v>
      </c>
      <c r="W667" s="230">
        <v>0.43445010020399999</v>
      </c>
      <c r="X667" s="228">
        <v>27112291.649999999</v>
      </c>
      <c r="Y667" s="206" t="s">
        <v>235</v>
      </c>
      <c r="Z667" s="206" t="s">
        <v>44</v>
      </c>
      <c r="AA667" s="206">
        <v>15159</v>
      </c>
      <c r="AB667" s="206" t="s">
        <v>246</v>
      </c>
      <c r="AC667" s="206" t="s">
        <v>154</v>
      </c>
      <c r="AD667" s="206" t="s">
        <v>155</v>
      </c>
      <c r="AE667" s="206">
        <v>0</v>
      </c>
      <c r="AF667" s="206" t="s">
        <v>207</v>
      </c>
      <c r="AG667" s="206" t="s">
        <v>101</v>
      </c>
      <c r="AH667" s="206" t="s">
        <v>46</v>
      </c>
      <c r="AI667" s="206" t="s">
        <v>101</v>
      </c>
      <c r="AJ667" s="206" t="s">
        <v>46</v>
      </c>
      <c r="AK667" s="206" t="s">
        <v>54</v>
      </c>
      <c r="AL667" s="206" t="s">
        <v>48</v>
      </c>
      <c r="AM667" s="206" t="s">
        <v>49</v>
      </c>
      <c r="AN667" s="133" t="str">
        <f>VLOOKUP(I667,Sheet1!A:D,4,)</f>
        <v>A320400</v>
      </c>
      <c r="AP667" s="4" t="s">
        <v>982</v>
      </c>
    </row>
    <row r="668" spans="1:42" s="206" customFormat="1" x14ac:dyDescent="0.25">
      <c r="A668" s="226">
        <v>45748</v>
      </c>
      <c r="B668" s="206" t="s">
        <v>40</v>
      </c>
      <c r="C668" s="206" t="s">
        <v>41</v>
      </c>
      <c r="D668" s="221">
        <v>25708165</v>
      </c>
      <c r="E668" s="221">
        <v>25106584</v>
      </c>
      <c r="F668" s="221" t="s">
        <v>978</v>
      </c>
      <c r="G668" s="227">
        <v>45775</v>
      </c>
      <c r="H668" s="206" t="s">
        <v>245</v>
      </c>
      <c r="I668" s="206" t="s">
        <v>391</v>
      </c>
      <c r="J668" s="206" t="s">
        <v>603</v>
      </c>
      <c r="K668" s="228">
        <v>100</v>
      </c>
      <c r="L668" s="229" t="s">
        <v>42</v>
      </c>
      <c r="M668" s="228">
        <v>100</v>
      </c>
      <c r="N668" s="228">
        <v>334403.77</v>
      </c>
      <c r="O668" s="228">
        <v>33440377</v>
      </c>
      <c r="P668" s="228">
        <v>33440377</v>
      </c>
      <c r="Q668" s="224">
        <v>0</v>
      </c>
      <c r="R668" s="224">
        <v>0</v>
      </c>
      <c r="S668" s="229" t="s">
        <v>43</v>
      </c>
      <c r="T668" s="228">
        <v>30701617.420000002</v>
      </c>
      <c r="U668" s="228">
        <v>30701617.420000002</v>
      </c>
      <c r="V668" s="228">
        <v>2738759.58</v>
      </c>
      <c r="W668" s="230">
        <v>8.1899781810999994E-2</v>
      </c>
      <c r="X668" s="228">
        <v>2738759.58</v>
      </c>
      <c r="Y668" s="206" t="s">
        <v>235</v>
      </c>
      <c r="Z668" s="206" t="s">
        <v>44</v>
      </c>
      <c r="AA668" s="206">
        <v>15159</v>
      </c>
      <c r="AB668" s="206" t="s">
        <v>246</v>
      </c>
      <c r="AC668" s="206" t="s">
        <v>154</v>
      </c>
      <c r="AD668" s="206" t="s">
        <v>155</v>
      </c>
      <c r="AE668" s="206">
        <v>0</v>
      </c>
      <c r="AF668" s="206" t="s">
        <v>212</v>
      </c>
      <c r="AG668" s="206" t="s">
        <v>213</v>
      </c>
      <c r="AH668" s="206" t="s">
        <v>57</v>
      </c>
      <c r="AI668" s="206" t="s">
        <v>101</v>
      </c>
      <c r="AJ668" s="206" t="s">
        <v>46</v>
      </c>
      <c r="AK668" s="206" t="s">
        <v>54</v>
      </c>
      <c r="AL668" s="206" t="s">
        <v>48</v>
      </c>
      <c r="AM668" s="206" t="s">
        <v>49</v>
      </c>
      <c r="AN668" s="133" t="str">
        <f>VLOOKUP(I668,Sheet1!A:D,4,)</f>
        <v>A320400</v>
      </c>
      <c r="AP668" s="4" t="s">
        <v>982</v>
      </c>
    </row>
    <row r="669" spans="1:42" s="206" customFormat="1" x14ac:dyDescent="0.25">
      <c r="A669" s="226">
        <v>45748</v>
      </c>
      <c r="B669" s="206" t="s">
        <v>40</v>
      </c>
      <c r="C669" s="206" t="s">
        <v>41</v>
      </c>
      <c r="D669" s="221">
        <v>25708165</v>
      </c>
      <c r="E669" s="221">
        <v>25106584</v>
      </c>
      <c r="F669" s="221" t="s">
        <v>978</v>
      </c>
      <c r="G669" s="227">
        <v>45775</v>
      </c>
      <c r="H669" s="206" t="s">
        <v>245</v>
      </c>
      <c r="I669" s="206" t="s">
        <v>392</v>
      </c>
      <c r="J669" s="206" t="s">
        <v>604</v>
      </c>
      <c r="K669" s="228">
        <v>100</v>
      </c>
      <c r="L669" s="229" t="s">
        <v>42</v>
      </c>
      <c r="M669" s="228">
        <v>100</v>
      </c>
      <c r="N669" s="228">
        <v>425342.35</v>
      </c>
      <c r="O669" s="228">
        <v>42534235</v>
      </c>
      <c r="P669" s="228">
        <v>42534235</v>
      </c>
      <c r="Q669" s="224">
        <v>0</v>
      </c>
      <c r="R669" s="224">
        <v>0</v>
      </c>
      <c r="S669" s="229" t="s">
        <v>43</v>
      </c>
      <c r="T669" s="228">
        <v>32973955</v>
      </c>
      <c r="U669" s="228">
        <v>32973955</v>
      </c>
      <c r="V669" s="228">
        <v>9560280</v>
      </c>
      <c r="W669" s="230">
        <v>0.224766708511</v>
      </c>
      <c r="X669" s="228">
        <v>9560280</v>
      </c>
      <c r="Y669" s="206" t="s">
        <v>235</v>
      </c>
      <c r="Z669" s="206" t="s">
        <v>44</v>
      </c>
      <c r="AA669" s="206">
        <v>15159</v>
      </c>
      <c r="AB669" s="206" t="s">
        <v>246</v>
      </c>
      <c r="AC669" s="206" t="s">
        <v>154</v>
      </c>
      <c r="AD669" s="206" t="s">
        <v>155</v>
      </c>
      <c r="AE669" s="206">
        <v>0</v>
      </c>
      <c r="AF669" s="206" t="s">
        <v>212</v>
      </c>
      <c r="AG669" s="206" t="s">
        <v>213</v>
      </c>
      <c r="AH669" s="206" t="s">
        <v>57</v>
      </c>
      <c r="AI669" s="206" t="s">
        <v>101</v>
      </c>
      <c r="AJ669" s="206" t="s">
        <v>46</v>
      </c>
      <c r="AK669" s="206" t="s">
        <v>54</v>
      </c>
      <c r="AL669" s="206" t="s">
        <v>48</v>
      </c>
      <c r="AM669" s="206" t="s">
        <v>49</v>
      </c>
      <c r="AN669" s="133" t="str">
        <f>VLOOKUP(I669,Sheet1!A:D,4,)</f>
        <v>A320400</v>
      </c>
      <c r="AP669" s="4" t="s">
        <v>982</v>
      </c>
    </row>
    <row r="670" spans="1:42" s="206" customFormat="1" x14ac:dyDescent="0.25">
      <c r="A670" s="226">
        <v>45748</v>
      </c>
      <c r="B670" s="206" t="s">
        <v>40</v>
      </c>
      <c r="C670" s="206" t="s">
        <v>41</v>
      </c>
      <c r="D670" s="221">
        <v>25708165</v>
      </c>
      <c r="E670" s="221">
        <v>25106584</v>
      </c>
      <c r="F670" s="221" t="s">
        <v>978</v>
      </c>
      <c r="G670" s="227">
        <v>45775</v>
      </c>
      <c r="H670" s="206" t="s">
        <v>245</v>
      </c>
      <c r="I670" s="206" t="s">
        <v>313</v>
      </c>
      <c r="J670" s="206" t="s">
        <v>524</v>
      </c>
      <c r="K670" s="228">
        <v>100</v>
      </c>
      <c r="L670" s="229" t="s">
        <v>42</v>
      </c>
      <c r="M670" s="228">
        <v>100</v>
      </c>
      <c r="N670" s="228">
        <v>1472659.66</v>
      </c>
      <c r="O670" s="228">
        <v>147265966</v>
      </c>
      <c r="P670" s="228">
        <v>147265966</v>
      </c>
      <c r="Q670" s="224">
        <v>0</v>
      </c>
      <c r="R670" s="224">
        <v>0</v>
      </c>
      <c r="S670" s="229" t="s">
        <v>43</v>
      </c>
      <c r="T670" s="228">
        <v>90909554</v>
      </c>
      <c r="U670" s="228">
        <v>90909554</v>
      </c>
      <c r="V670" s="228">
        <v>56356412</v>
      </c>
      <c r="W670" s="230">
        <v>0.38268456406200002</v>
      </c>
      <c r="X670" s="228">
        <v>56356412</v>
      </c>
      <c r="Y670" s="206" t="s">
        <v>235</v>
      </c>
      <c r="Z670" s="206" t="s">
        <v>44</v>
      </c>
      <c r="AA670" s="206">
        <v>15159</v>
      </c>
      <c r="AB670" s="206" t="s">
        <v>246</v>
      </c>
      <c r="AC670" s="206" t="s">
        <v>154</v>
      </c>
      <c r="AD670" s="206" t="s">
        <v>155</v>
      </c>
      <c r="AE670" s="206">
        <v>0</v>
      </c>
      <c r="AF670" s="206" t="s">
        <v>727</v>
      </c>
      <c r="AG670" s="206" t="s">
        <v>728</v>
      </c>
      <c r="AH670" s="206" t="s">
        <v>121</v>
      </c>
      <c r="AI670" s="206" t="s">
        <v>101</v>
      </c>
      <c r="AJ670" s="206" t="s">
        <v>46</v>
      </c>
      <c r="AK670" s="206" t="s">
        <v>54</v>
      </c>
      <c r="AL670" s="206" t="s">
        <v>48</v>
      </c>
      <c r="AM670" s="206" t="s">
        <v>49</v>
      </c>
      <c r="AN670" s="133" t="str">
        <f>VLOOKUP(I670,Sheet1!A:D,4,)</f>
        <v>A320400</v>
      </c>
      <c r="AP670" s="4" t="s">
        <v>982</v>
      </c>
    </row>
    <row r="671" spans="1:42" s="206" customFormat="1" x14ac:dyDescent="0.25">
      <c r="A671" s="226">
        <v>45748</v>
      </c>
      <c r="B671" s="206" t="s">
        <v>40</v>
      </c>
      <c r="C671" s="206" t="s">
        <v>41</v>
      </c>
      <c r="D671" s="221">
        <v>25708165</v>
      </c>
      <c r="E671" s="221">
        <v>25106584</v>
      </c>
      <c r="F671" s="221" t="s">
        <v>978</v>
      </c>
      <c r="G671" s="227">
        <v>45775</v>
      </c>
      <c r="H671" s="206" t="s">
        <v>245</v>
      </c>
      <c r="I671" s="206" t="s">
        <v>417</v>
      </c>
      <c r="J671" s="206" t="s">
        <v>630</v>
      </c>
      <c r="K671" s="228">
        <v>100</v>
      </c>
      <c r="L671" s="229" t="s">
        <v>42</v>
      </c>
      <c r="M671" s="228">
        <v>100</v>
      </c>
      <c r="N671" s="228">
        <v>1620374.71</v>
      </c>
      <c r="O671" s="228">
        <v>162037471</v>
      </c>
      <c r="P671" s="228">
        <v>162037471</v>
      </c>
      <c r="Q671" s="224">
        <v>0</v>
      </c>
      <c r="R671" s="224">
        <v>0</v>
      </c>
      <c r="S671" s="229" t="s">
        <v>43</v>
      </c>
      <c r="T671" s="228">
        <v>128894994.09999999</v>
      </c>
      <c r="U671" s="228">
        <v>128894994.09999999</v>
      </c>
      <c r="V671" s="228">
        <v>33142476.899999999</v>
      </c>
      <c r="W671" s="230">
        <v>0.20453588108599999</v>
      </c>
      <c r="X671" s="228">
        <v>33142476.899999999</v>
      </c>
      <c r="Y671" s="206" t="s">
        <v>235</v>
      </c>
      <c r="Z671" s="206" t="s">
        <v>44</v>
      </c>
      <c r="AA671" s="206">
        <v>15159</v>
      </c>
      <c r="AB671" s="206" t="s">
        <v>246</v>
      </c>
      <c r="AC671" s="206" t="s">
        <v>154</v>
      </c>
      <c r="AD671" s="206" t="s">
        <v>155</v>
      </c>
      <c r="AE671" s="206">
        <v>0</v>
      </c>
      <c r="AF671" s="206" t="s">
        <v>727</v>
      </c>
      <c r="AG671" s="206" t="s">
        <v>728</v>
      </c>
      <c r="AH671" s="206" t="s">
        <v>121</v>
      </c>
      <c r="AI671" s="206" t="s">
        <v>101</v>
      </c>
      <c r="AJ671" s="206" t="s">
        <v>46</v>
      </c>
      <c r="AK671" s="206" t="s">
        <v>54</v>
      </c>
      <c r="AL671" s="206" t="s">
        <v>48</v>
      </c>
      <c r="AM671" s="206" t="s">
        <v>49</v>
      </c>
      <c r="AN671" s="133" t="str">
        <f>VLOOKUP(I671,Sheet1!A:D,4,)</f>
        <v>A320400</v>
      </c>
      <c r="AP671" s="4" t="s">
        <v>982</v>
      </c>
    </row>
    <row r="672" spans="1:42" s="206" customFormat="1" x14ac:dyDescent="0.25">
      <c r="A672" s="226">
        <v>45748</v>
      </c>
      <c r="B672" s="206" t="s">
        <v>40</v>
      </c>
      <c r="C672" s="206" t="s">
        <v>41</v>
      </c>
      <c r="D672" s="221">
        <v>25708166</v>
      </c>
      <c r="E672" s="221">
        <v>25106613</v>
      </c>
      <c r="F672" s="221" t="s">
        <v>877</v>
      </c>
      <c r="G672" s="227">
        <v>45775</v>
      </c>
      <c r="H672" s="206" t="s">
        <v>237</v>
      </c>
      <c r="I672" s="206" t="s">
        <v>167</v>
      </c>
      <c r="J672" s="206" t="s">
        <v>627</v>
      </c>
      <c r="K672" s="228">
        <v>20</v>
      </c>
      <c r="L672" s="229" t="s">
        <v>42</v>
      </c>
      <c r="M672" s="228">
        <v>20</v>
      </c>
      <c r="N672" s="228">
        <v>1146883.58</v>
      </c>
      <c r="O672" s="228">
        <v>22937671.600000001</v>
      </c>
      <c r="P672" s="228">
        <v>22937671.600000001</v>
      </c>
      <c r="Q672" s="224">
        <v>0</v>
      </c>
      <c r="R672" s="224">
        <v>0</v>
      </c>
      <c r="S672" s="229" t="s">
        <v>43</v>
      </c>
      <c r="T672" s="228">
        <v>6808563.6200000001</v>
      </c>
      <c r="U672" s="228">
        <v>6808563.6200000001</v>
      </c>
      <c r="V672" s="228">
        <v>16129107.98</v>
      </c>
      <c r="W672" s="230">
        <v>0.70317110913699998</v>
      </c>
      <c r="X672" s="228">
        <v>16129107.98</v>
      </c>
      <c r="Y672" s="206" t="s">
        <v>101</v>
      </c>
      <c r="Z672" s="206" t="s">
        <v>46</v>
      </c>
      <c r="AA672" s="206">
        <v>2306153</v>
      </c>
      <c r="AB672" s="206" t="s">
        <v>237</v>
      </c>
      <c r="AC672" s="206" t="s">
        <v>56</v>
      </c>
      <c r="AD672" s="206" t="s">
        <v>103</v>
      </c>
      <c r="AE672" s="206">
        <v>0</v>
      </c>
      <c r="AF672" s="206" t="s">
        <v>727</v>
      </c>
      <c r="AG672" s="206" t="s">
        <v>728</v>
      </c>
      <c r="AH672" s="206" t="s">
        <v>121</v>
      </c>
      <c r="AI672" s="206" t="s">
        <v>101</v>
      </c>
      <c r="AJ672" s="206" t="s">
        <v>46</v>
      </c>
      <c r="AK672" s="206" t="s">
        <v>54</v>
      </c>
      <c r="AL672" s="206" t="s">
        <v>48</v>
      </c>
      <c r="AM672" s="206" t="s">
        <v>49</v>
      </c>
      <c r="AN672" s="133" t="str">
        <f>VLOOKUP(I672,Sheet1!A:D,4,)</f>
        <v>A320400</v>
      </c>
      <c r="AP672" s="4" t="s">
        <v>982</v>
      </c>
    </row>
    <row r="673" spans="1:42" s="206" customFormat="1" x14ac:dyDescent="0.25">
      <c r="A673" s="226">
        <v>45748</v>
      </c>
      <c r="B673" s="206" t="s">
        <v>40</v>
      </c>
      <c r="C673" s="206" t="s">
        <v>41</v>
      </c>
      <c r="D673" s="221">
        <v>25708167</v>
      </c>
      <c r="E673" s="221">
        <v>25106667</v>
      </c>
      <c r="F673" s="221" t="s">
        <v>980</v>
      </c>
      <c r="G673" s="227">
        <v>45775</v>
      </c>
      <c r="H673" s="206" t="s">
        <v>245</v>
      </c>
      <c r="I673" s="206" t="s">
        <v>204</v>
      </c>
      <c r="J673" s="206" t="s">
        <v>205</v>
      </c>
      <c r="K673" s="228">
        <v>200</v>
      </c>
      <c r="L673" s="229" t="s">
        <v>42</v>
      </c>
      <c r="M673" s="228">
        <v>200</v>
      </c>
      <c r="N673" s="228">
        <v>212073.12</v>
      </c>
      <c r="O673" s="228">
        <v>42414624</v>
      </c>
      <c r="P673" s="228">
        <v>42414624</v>
      </c>
      <c r="Q673" s="224">
        <v>0</v>
      </c>
      <c r="R673" s="224">
        <v>0</v>
      </c>
      <c r="S673" s="229" t="s">
        <v>43</v>
      </c>
      <c r="T673" s="228">
        <v>23529136.899999999</v>
      </c>
      <c r="U673" s="228">
        <v>23529136.899999999</v>
      </c>
      <c r="V673" s="228">
        <v>18885487.100000001</v>
      </c>
      <c r="W673" s="230">
        <v>0.44525885930199999</v>
      </c>
      <c r="X673" s="228">
        <v>18885487.100000001</v>
      </c>
      <c r="Y673" s="206" t="s">
        <v>235</v>
      </c>
      <c r="Z673" s="206" t="s">
        <v>44</v>
      </c>
      <c r="AA673" s="206">
        <v>15159</v>
      </c>
      <c r="AB673" s="206" t="s">
        <v>246</v>
      </c>
      <c r="AC673" s="206" t="s">
        <v>154</v>
      </c>
      <c r="AD673" s="206" t="s">
        <v>155</v>
      </c>
      <c r="AE673" s="206">
        <v>0</v>
      </c>
      <c r="AF673" s="206" t="s">
        <v>207</v>
      </c>
      <c r="AG673" s="206" t="s">
        <v>101</v>
      </c>
      <c r="AH673" s="206" t="s">
        <v>46</v>
      </c>
      <c r="AI673" s="206" t="s">
        <v>101</v>
      </c>
      <c r="AJ673" s="206" t="s">
        <v>46</v>
      </c>
      <c r="AK673" s="206" t="s">
        <v>54</v>
      </c>
      <c r="AL673" s="206" t="s">
        <v>48</v>
      </c>
      <c r="AM673" s="206" t="s">
        <v>49</v>
      </c>
      <c r="AN673" s="133" t="str">
        <f>VLOOKUP(I673,Sheet1!A:D,4,)</f>
        <v>A320400</v>
      </c>
      <c r="AP673" s="4" t="s">
        <v>982</v>
      </c>
    </row>
    <row r="674" spans="1:42" s="206" customFormat="1" x14ac:dyDescent="0.25">
      <c r="A674" s="226">
        <v>45748</v>
      </c>
      <c r="B674" s="206" t="s">
        <v>40</v>
      </c>
      <c r="C674" s="206" t="s">
        <v>41</v>
      </c>
      <c r="D674" s="221">
        <v>25708168</v>
      </c>
      <c r="E674" s="221">
        <v>25106548</v>
      </c>
      <c r="F674" s="221" t="s">
        <v>714</v>
      </c>
      <c r="G674" s="227">
        <v>45775</v>
      </c>
      <c r="H674" s="206" t="s">
        <v>237</v>
      </c>
      <c r="I674" s="206" t="s">
        <v>134</v>
      </c>
      <c r="J674" s="206" t="s">
        <v>645</v>
      </c>
      <c r="K674" s="228">
        <v>20</v>
      </c>
      <c r="L674" s="229" t="s">
        <v>42</v>
      </c>
      <c r="M674" s="228">
        <v>20</v>
      </c>
      <c r="N674" s="228">
        <v>417643.84</v>
      </c>
      <c r="O674" s="228">
        <v>8352876.7999999998</v>
      </c>
      <c r="P674" s="228">
        <v>8352876.7999999998</v>
      </c>
      <c r="Q674" s="224">
        <v>0</v>
      </c>
      <c r="R674" s="224">
        <v>0</v>
      </c>
      <c r="S674" s="229" t="s">
        <v>43</v>
      </c>
      <c r="T674" s="228">
        <v>3601303.35</v>
      </c>
      <c r="U674" s="228">
        <v>3601303.35</v>
      </c>
      <c r="V674" s="228">
        <v>4751573.45</v>
      </c>
      <c r="W674" s="230">
        <v>0.56885472679299998</v>
      </c>
      <c r="X674" s="228">
        <v>4751573.45</v>
      </c>
      <c r="Y674" s="206" t="s">
        <v>101</v>
      </c>
      <c r="Z674" s="206" t="s">
        <v>46</v>
      </c>
      <c r="AA674" s="206">
        <v>2306153</v>
      </c>
      <c r="AB674" s="206" t="s">
        <v>237</v>
      </c>
      <c r="AC674" s="206" t="s">
        <v>56</v>
      </c>
      <c r="AD674" s="206" t="s">
        <v>103</v>
      </c>
      <c r="AE674" s="206">
        <v>0</v>
      </c>
      <c r="AF674" s="206" t="s">
        <v>191</v>
      </c>
      <c r="AG674" s="206" t="s">
        <v>242</v>
      </c>
      <c r="AH674" s="206" t="s">
        <v>53</v>
      </c>
      <c r="AI674" s="206" t="s">
        <v>101</v>
      </c>
      <c r="AJ674" s="206" t="s">
        <v>46</v>
      </c>
      <c r="AK674" s="206" t="s">
        <v>54</v>
      </c>
      <c r="AL674" s="206" t="s">
        <v>48</v>
      </c>
      <c r="AM674" s="206" t="s">
        <v>49</v>
      </c>
      <c r="AN674" s="133" t="str">
        <f>VLOOKUP(I674,Sheet1!A:D,4,)</f>
        <v>A320400</v>
      </c>
      <c r="AP674" s="4" t="s">
        <v>982</v>
      </c>
    </row>
    <row r="675" spans="1:42" s="206" customFormat="1" x14ac:dyDescent="0.25">
      <c r="A675" s="226">
        <v>45748</v>
      </c>
      <c r="B675" s="206" t="s">
        <v>40</v>
      </c>
      <c r="C675" s="206" t="s">
        <v>41</v>
      </c>
      <c r="D675" s="221">
        <v>25708169</v>
      </c>
      <c r="E675" s="221">
        <v>25106551</v>
      </c>
      <c r="F675" s="221" t="s">
        <v>930</v>
      </c>
      <c r="G675" s="227">
        <v>45771</v>
      </c>
      <c r="H675" s="206" t="s">
        <v>237</v>
      </c>
      <c r="I675" s="206" t="s">
        <v>226</v>
      </c>
      <c r="J675" s="206" t="s">
        <v>227</v>
      </c>
      <c r="K675" s="228">
        <v>500</v>
      </c>
      <c r="L675" s="229" t="s">
        <v>42</v>
      </c>
      <c r="M675" s="228">
        <v>500</v>
      </c>
      <c r="N675" s="228">
        <v>205453.83</v>
      </c>
      <c r="O675" s="228">
        <v>102726915</v>
      </c>
      <c r="P675" s="228">
        <v>102726915</v>
      </c>
      <c r="Q675" s="224">
        <v>0</v>
      </c>
      <c r="R675" s="224">
        <v>0</v>
      </c>
      <c r="S675" s="229" t="s">
        <v>43</v>
      </c>
      <c r="T675" s="228">
        <v>65480870.25</v>
      </c>
      <c r="U675" s="228">
        <v>65480870.25</v>
      </c>
      <c r="V675" s="228">
        <v>37246044.75</v>
      </c>
      <c r="W675" s="230">
        <v>0.36257337962399999</v>
      </c>
      <c r="X675" s="228">
        <v>37246044.75</v>
      </c>
      <c r="Y675" s="206" t="s">
        <v>101</v>
      </c>
      <c r="Z675" s="206" t="s">
        <v>46</v>
      </c>
      <c r="AA675" s="206">
        <v>2306153</v>
      </c>
      <c r="AB675" s="206" t="s">
        <v>237</v>
      </c>
      <c r="AC675" s="206" t="s">
        <v>56</v>
      </c>
      <c r="AD675" s="206" t="s">
        <v>103</v>
      </c>
      <c r="AE675" s="206">
        <v>0</v>
      </c>
      <c r="AF675" s="206" t="s">
        <v>212</v>
      </c>
      <c r="AG675" s="206" t="s">
        <v>213</v>
      </c>
      <c r="AH675" s="206" t="s">
        <v>57</v>
      </c>
      <c r="AI675" s="206" t="s">
        <v>101</v>
      </c>
      <c r="AJ675" s="206" t="s">
        <v>46</v>
      </c>
      <c r="AK675" s="206" t="s">
        <v>54</v>
      </c>
      <c r="AL675" s="206" t="s">
        <v>48</v>
      </c>
      <c r="AM675" s="206" t="s">
        <v>49</v>
      </c>
      <c r="AN675" s="133" t="str">
        <f>VLOOKUP(I675,Sheet1!A:D,4,)</f>
        <v>A320400</v>
      </c>
      <c r="AP675" s="4" t="s">
        <v>982</v>
      </c>
    </row>
    <row r="676" spans="1:42" s="206" customFormat="1" x14ac:dyDescent="0.25">
      <c r="A676" s="226">
        <v>45748</v>
      </c>
      <c r="B676" s="206" t="s">
        <v>40</v>
      </c>
      <c r="C676" s="206" t="s">
        <v>41</v>
      </c>
      <c r="D676" s="221">
        <v>25708169</v>
      </c>
      <c r="E676" s="221">
        <v>25106551</v>
      </c>
      <c r="F676" s="221" t="s">
        <v>930</v>
      </c>
      <c r="G676" s="227">
        <v>45771</v>
      </c>
      <c r="H676" s="206" t="s">
        <v>237</v>
      </c>
      <c r="I676" s="206" t="s">
        <v>430</v>
      </c>
      <c r="J676" s="206" t="s">
        <v>643</v>
      </c>
      <c r="K676" s="228">
        <v>200</v>
      </c>
      <c r="L676" s="229" t="s">
        <v>42</v>
      </c>
      <c r="M676" s="228">
        <v>200</v>
      </c>
      <c r="N676" s="228">
        <v>399520.28</v>
      </c>
      <c r="O676" s="228">
        <v>79904056</v>
      </c>
      <c r="P676" s="228">
        <v>79904056</v>
      </c>
      <c r="Q676" s="224">
        <v>0</v>
      </c>
      <c r="R676" s="224">
        <v>0</v>
      </c>
      <c r="S676" s="229" t="s">
        <v>43</v>
      </c>
      <c r="T676" s="228">
        <v>49586854</v>
      </c>
      <c r="U676" s="228">
        <v>49586854</v>
      </c>
      <c r="V676" s="228">
        <v>30317202</v>
      </c>
      <c r="W676" s="230">
        <v>0.37942006348200003</v>
      </c>
      <c r="X676" s="228">
        <v>30317202</v>
      </c>
      <c r="Y676" s="206" t="s">
        <v>101</v>
      </c>
      <c r="Z676" s="206" t="s">
        <v>46</v>
      </c>
      <c r="AA676" s="206">
        <v>2306153</v>
      </c>
      <c r="AB676" s="206" t="s">
        <v>237</v>
      </c>
      <c r="AC676" s="206" t="s">
        <v>56</v>
      </c>
      <c r="AD676" s="206" t="s">
        <v>103</v>
      </c>
      <c r="AE676" s="206">
        <v>0</v>
      </c>
      <c r="AF676" s="206" t="s">
        <v>727</v>
      </c>
      <c r="AG676" s="206" t="s">
        <v>728</v>
      </c>
      <c r="AH676" s="206" t="s">
        <v>121</v>
      </c>
      <c r="AI676" s="206" t="s">
        <v>101</v>
      </c>
      <c r="AJ676" s="206" t="s">
        <v>46</v>
      </c>
      <c r="AK676" s="206" t="s">
        <v>54</v>
      </c>
      <c r="AL676" s="206" t="s">
        <v>48</v>
      </c>
      <c r="AM676" s="206" t="s">
        <v>49</v>
      </c>
      <c r="AN676" s="133" t="str">
        <f>VLOOKUP(I676,Sheet1!A:D,4,)</f>
        <v>A320400</v>
      </c>
      <c r="AP676" s="4" t="s">
        <v>982</v>
      </c>
    </row>
    <row r="677" spans="1:42" s="206" customFormat="1" x14ac:dyDescent="0.25">
      <c r="A677" s="226">
        <v>45778</v>
      </c>
      <c r="B677" s="206" t="s">
        <v>40</v>
      </c>
      <c r="C677" s="206" t="s">
        <v>41</v>
      </c>
      <c r="D677" s="221">
        <v>25708171</v>
      </c>
      <c r="E677" s="221">
        <v>25106548</v>
      </c>
      <c r="F677" s="221" t="s">
        <v>714</v>
      </c>
      <c r="G677" s="227">
        <v>45779</v>
      </c>
      <c r="H677" s="206" t="s">
        <v>126</v>
      </c>
      <c r="I677" s="206" t="s">
        <v>419</v>
      </c>
      <c r="J677" s="206" t="s">
        <v>716</v>
      </c>
      <c r="K677" s="228">
        <v>120</v>
      </c>
      <c r="L677" s="229" t="s">
        <v>42</v>
      </c>
      <c r="M677" s="228">
        <v>120</v>
      </c>
      <c r="N677" s="228">
        <v>1571617.52</v>
      </c>
      <c r="O677" s="228">
        <v>188594102.40000001</v>
      </c>
      <c r="P677" s="228">
        <v>188594102.40000001</v>
      </c>
      <c r="Q677" s="224">
        <v>0</v>
      </c>
      <c r="R677" s="224">
        <v>0</v>
      </c>
      <c r="S677" s="229" t="s">
        <v>43</v>
      </c>
      <c r="T677" s="228">
        <v>78547346.879999995</v>
      </c>
      <c r="U677" s="228">
        <v>78547346.879999995</v>
      </c>
      <c r="V677" s="228">
        <v>110046755.52</v>
      </c>
      <c r="W677" s="230">
        <v>0.58351111789499999</v>
      </c>
      <c r="X677" s="228">
        <v>110046755.52</v>
      </c>
      <c r="Y677" s="206" t="s">
        <v>69</v>
      </c>
      <c r="Z677" s="206" t="s">
        <v>46</v>
      </c>
      <c r="AA677" s="206">
        <v>2306153</v>
      </c>
      <c r="AB677" s="206" t="s">
        <v>126</v>
      </c>
      <c r="AC677" s="206" t="s">
        <v>56</v>
      </c>
      <c r="AD677" s="206" t="s">
        <v>77</v>
      </c>
      <c r="AE677" s="206">
        <v>0</v>
      </c>
      <c r="AF677" s="206" t="s">
        <v>68</v>
      </c>
      <c r="AG677" s="206" t="s">
        <v>71</v>
      </c>
      <c r="AH677" s="206" t="s">
        <v>53</v>
      </c>
      <c r="AI677" s="206" t="s">
        <v>69</v>
      </c>
      <c r="AJ677" s="206" t="s">
        <v>46</v>
      </c>
      <c r="AK677" s="206" t="s">
        <v>54</v>
      </c>
      <c r="AL677" s="206" t="s">
        <v>48</v>
      </c>
      <c r="AM677" s="206" t="s">
        <v>49</v>
      </c>
      <c r="AN677" s="133" t="str">
        <f>VLOOKUP(I677,Sheet1!A:D,4,)</f>
        <v>A320400</v>
      </c>
      <c r="AP677" s="4" t="s">
        <v>1004</v>
      </c>
    </row>
    <row r="678" spans="1:42" s="206" customFormat="1" x14ac:dyDescent="0.25">
      <c r="A678" s="226">
        <v>45778</v>
      </c>
      <c r="B678" s="206" t="s">
        <v>40</v>
      </c>
      <c r="C678" s="206" t="s">
        <v>41</v>
      </c>
      <c r="D678" s="221">
        <v>25708172</v>
      </c>
      <c r="E678" s="221">
        <v>25106606</v>
      </c>
      <c r="F678" s="221" t="s">
        <v>876</v>
      </c>
      <c r="G678" s="227">
        <v>45779</v>
      </c>
      <c r="H678" s="206" t="s">
        <v>126</v>
      </c>
      <c r="I678" s="206" t="s">
        <v>419</v>
      </c>
      <c r="J678" s="206" t="s">
        <v>716</v>
      </c>
      <c r="K678" s="228">
        <v>60</v>
      </c>
      <c r="L678" s="229" t="s">
        <v>42</v>
      </c>
      <c r="M678" s="228">
        <v>60</v>
      </c>
      <c r="N678" s="228">
        <v>1594312.98</v>
      </c>
      <c r="O678" s="228">
        <v>95658778.799999997</v>
      </c>
      <c r="P678" s="228">
        <v>95658778.799999997</v>
      </c>
      <c r="Q678" s="224">
        <v>0</v>
      </c>
      <c r="R678" s="224">
        <v>0</v>
      </c>
      <c r="S678" s="229" t="s">
        <v>43</v>
      </c>
      <c r="T678" s="228">
        <v>39273673.439999998</v>
      </c>
      <c r="U678" s="228">
        <v>39273673.439999998</v>
      </c>
      <c r="V678" s="228">
        <v>56385105.359999999</v>
      </c>
      <c r="W678" s="230">
        <v>0.58943994547400003</v>
      </c>
      <c r="X678" s="228">
        <v>56385105.359999999</v>
      </c>
      <c r="Y678" s="206" t="s">
        <v>69</v>
      </c>
      <c r="Z678" s="206" t="s">
        <v>46</v>
      </c>
      <c r="AA678" s="206">
        <v>2306153</v>
      </c>
      <c r="AB678" s="206" t="s">
        <v>126</v>
      </c>
      <c r="AC678" s="206" t="s">
        <v>56</v>
      </c>
      <c r="AD678" s="206" t="s">
        <v>77</v>
      </c>
      <c r="AE678" s="206">
        <v>0</v>
      </c>
      <c r="AF678" s="206" t="s">
        <v>68</v>
      </c>
      <c r="AG678" s="206" t="s">
        <v>71</v>
      </c>
      <c r="AH678" s="206" t="s">
        <v>53</v>
      </c>
      <c r="AI678" s="206" t="s">
        <v>69</v>
      </c>
      <c r="AJ678" s="206" t="s">
        <v>46</v>
      </c>
      <c r="AK678" s="206" t="s">
        <v>54</v>
      </c>
      <c r="AL678" s="206" t="s">
        <v>48</v>
      </c>
      <c r="AM678" s="206" t="s">
        <v>49</v>
      </c>
      <c r="AN678" s="133" t="str">
        <f>VLOOKUP(I678,Sheet1!A:D,4,)</f>
        <v>A320400</v>
      </c>
      <c r="AP678" s="4" t="s">
        <v>1004</v>
      </c>
    </row>
    <row r="679" spans="1:42" s="206" customFormat="1" x14ac:dyDescent="0.25">
      <c r="A679" s="226">
        <v>45778</v>
      </c>
      <c r="B679" s="206" t="s">
        <v>40</v>
      </c>
      <c r="C679" s="206" t="s">
        <v>41</v>
      </c>
      <c r="D679" s="221">
        <v>25708180</v>
      </c>
      <c r="E679" s="221">
        <v>25106548</v>
      </c>
      <c r="F679" s="221" t="s">
        <v>714</v>
      </c>
      <c r="G679" s="227">
        <v>45779</v>
      </c>
      <c r="H679" s="206" t="s">
        <v>126</v>
      </c>
      <c r="I679" s="206" t="s">
        <v>406</v>
      </c>
      <c r="J679" s="206" t="s">
        <v>935</v>
      </c>
      <c r="K679" s="228">
        <v>3</v>
      </c>
      <c r="L679" s="229" t="s">
        <v>42</v>
      </c>
      <c r="M679" s="228">
        <v>3</v>
      </c>
      <c r="N679" s="228">
        <v>2392791.2799999998</v>
      </c>
      <c r="O679" s="228">
        <v>7178373.8399999999</v>
      </c>
      <c r="P679" s="228">
        <v>7178373.8399999999</v>
      </c>
      <c r="Q679" s="224">
        <v>0</v>
      </c>
      <c r="R679" s="224">
        <v>0</v>
      </c>
      <c r="S679" s="229" t="s">
        <v>43</v>
      </c>
      <c r="T679" s="228">
        <v>4244844.99</v>
      </c>
      <c r="U679" s="228">
        <v>4244844.99</v>
      </c>
      <c r="V679" s="228">
        <v>2933528.85</v>
      </c>
      <c r="W679" s="230">
        <v>0.40866203340500001</v>
      </c>
      <c r="X679" s="228">
        <v>2933528.85</v>
      </c>
      <c r="Y679" s="206" t="s">
        <v>69</v>
      </c>
      <c r="Z679" s="206" t="s">
        <v>46</v>
      </c>
      <c r="AA679" s="206">
        <v>2306153</v>
      </c>
      <c r="AB679" s="206" t="s">
        <v>126</v>
      </c>
      <c r="AC679" s="206" t="s">
        <v>56</v>
      </c>
      <c r="AD679" s="206" t="s">
        <v>77</v>
      </c>
      <c r="AE679" s="206">
        <v>0</v>
      </c>
      <c r="AF679" s="206" t="s">
        <v>124</v>
      </c>
      <c r="AG679" s="206" t="s">
        <v>131</v>
      </c>
      <c r="AH679" s="206" t="s">
        <v>132</v>
      </c>
      <c r="AI679" s="206" t="s">
        <v>69</v>
      </c>
      <c r="AJ679" s="206" t="s">
        <v>46</v>
      </c>
      <c r="AK679" s="206" t="s">
        <v>54</v>
      </c>
      <c r="AL679" s="206" t="s">
        <v>48</v>
      </c>
      <c r="AM679" s="206" t="s">
        <v>49</v>
      </c>
      <c r="AN679" s="133" t="str">
        <f>VLOOKUP(I679,Sheet1!A:D,4,)</f>
        <v>A320400</v>
      </c>
      <c r="AP679" s="4" t="s">
        <v>1004</v>
      </c>
    </row>
    <row r="680" spans="1:42" s="206" customFormat="1" x14ac:dyDescent="0.25">
      <c r="A680" s="226">
        <v>45778</v>
      </c>
      <c r="B680" s="206" t="s">
        <v>40</v>
      </c>
      <c r="C680" s="206" t="s">
        <v>41</v>
      </c>
      <c r="D680" s="221">
        <v>25708181</v>
      </c>
      <c r="E680" s="221">
        <v>25106577</v>
      </c>
      <c r="F680" s="221" t="s">
        <v>848</v>
      </c>
      <c r="G680" s="227">
        <v>45779</v>
      </c>
      <c r="H680" s="206" t="s">
        <v>126</v>
      </c>
      <c r="I680" s="206" t="s">
        <v>406</v>
      </c>
      <c r="J680" s="206" t="s">
        <v>935</v>
      </c>
      <c r="K680" s="228">
        <v>7</v>
      </c>
      <c r="L680" s="229" t="s">
        <v>42</v>
      </c>
      <c r="M680" s="228">
        <v>7</v>
      </c>
      <c r="N680" s="228">
        <v>2392791.2799999998</v>
      </c>
      <c r="O680" s="228">
        <v>16749538.960000001</v>
      </c>
      <c r="P680" s="228">
        <v>16749538.960000001</v>
      </c>
      <c r="Q680" s="224">
        <v>0</v>
      </c>
      <c r="R680" s="224">
        <v>0</v>
      </c>
      <c r="S680" s="229" t="s">
        <v>43</v>
      </c>
      <c r="T680" s="228">
        <v>9904638.3100000005</v>
      </c>
      <c r="U680" s="228">
        <v>9904638.3100000005</v>
      </c>
      <c r="V680" s="228">
        <v>6844900.6500000004</v>
      </c>
      <c r="W680" s="230">
        <v>0.40866203340500001</v>
      </c>
      <c r="X680" s="228">
        <v>6844900.6500000004</v>
      </c>
      <c r="Y680" s="206" t="s">
        <v>69</v>
      </c>
      <c r="Z680" s="206" t="s">
        <v>46</v>
      </c>
      <c r="AA680" s="206">
        <v>2306153</v>
      </c>
      <c r="AB680" s="206" t="s">
        <v>126</v>
      </c>
      <c r="AC680" s="206" t="s">
        <v>56</v>
      </c>
      <c r="AD680" s="206" t="s">
        <v>77</v>
      </c>
      <c r="AE680" s="206">
        <v>0</v>
      </c>
      <c r="AF680" s="206" t="s">
        <v>124</v>
      </c>
      <c r="AG680" s="206" t="s">
        <v>131</v>
      </c>
      <c r="AH680" s="206" t="s">
        <v>132</v>
      </c>
      <c r="AI680" s="206" t="s">
        <v>69</v>
      </c>
      <c r="AJ680" s="206" t="s">
        <v>46</v>
      </c>
      <c r="AK680" s="206" t="s">
        <v>54</v>
      </c>
      <c r="AL680" s="206" t="s">
        <v>48</v>
      </c>
      <c r="AM680" s="206" t="s">
        <v>49</v>
      </c>
      <c r="AN680" s="133" t="str">
        <f>VLOOKUP(I680,Sheet1!A:D,4,)</f>
        <v>A320400</v>
      </c>
      <c r="AP680" s="4" t="s">
        <v>1004</v>
      </c>
    </row>
    <row r="681" spans="1:42" s="206" customFormat="1" x14ac:dyDescent="0.25">
      <c r="A681" s="226">
        <v>45778</v>
      </c>
      <c r="B681" s="206" t="s">
        <v>40</v>
      </c>
      <c r="C681" s="206" t="s">
        <v>41</v>
      </c>
      <c r="D681" s="221">
        <v>25708182</v>
      </c>
      <c r="E681" s="221">
        <v>25106629</v>
      </c>
      <c r="F681" s="221" t="s">
        <v>989</v>
      </c>
      <c r="G681" s="227">
        <v>45779</v>
      </c>
      <c r="H681" s="206" t="s">
        <v>115</v>
      </c>
      <c r="I681" s="206" t="s">
        <v>240</v>
      </c>
      <c r="J681" s="206" t="s">
        <v>241</v>
      </c>
      <c r="K681" s="228">
        <v>5</v>
      </c>
      <c r="L681" s="229" t="s">
        <v>42</v>
      </c>
      <c r="M681" s="228">
        <v>5</v>
      </c>
      <c r="N681" s="228">
        <v>4374720.62</v>
      </c>
      <c r="O681" s="228">
        <v>21873603.100000001</v>
      </c>
      <c r="P681" s="228">
        <v>21873603.100000001</v>
      </c>
      <c r="Q681" s="224">
        <v>0</v>
      </c>
      <c r="R681" s="224">
        <v>0</v>
      </c>
      <c r="S681" s="229" t="s">
        <v>43</v>
      </c>
      <c r="T681" s="228">
        <v>14493699.310000001</v>
      </c>
      <c r="U681" s="228">
        <v>14493699.310000001</v>
      </c>
      <c r="V681" s="228">
        <v>7379903.79</v>
      </c>
      <c r="W681" s="230">
        <v>0.33738857545599998</v>
      </c>
      <c r="X681" s="228">
        <v>7379903.79</v>
      </c>
      <c r="Y681" s="206" t="s">
        <v>66</v>
      </c>
      <c r="Z681" s="206" t="s">
        <v>44</v>
      </c>
      <c r="AA681" s="206">
        <v>15159</v>
      </c>
      <c r="AB681" s="206" t="s">
        <v>118</v>
      </c>
      <c r="AC681" s="206" t="s">
        <v>154</v>
      </c>
      <c r="AD681" s="206" t="s">
        <v>155</v>
      </c>
      <c r="AE681" s="206">
        <v>0</v>
      </c>
      <c r="AF681" s="206" t="s">
        <v>68</v>
      </c>
      <c r="AG681" s="206" t="s">
        <v>71</v>
      </c>
      <c r="AH681" s="206" t="s">
        <v>53</v>
      </c>
      <c r="AI681" s="206" t="s">
        <v>69</v>
      </c>
      <c r="AJ681" s="206" t="s">
        <v>46</v>
      </c>
      <c r="AK681" s="206" t="s">
        <v>54</v>
      </c>
      <c r="AL681" s="206" t="s">
        <v>48</v>
      </c>
      <c r="AM681" s="206" t="s">
        <v>49</v>
      </c>
      <c r="AN681" s="133" t="str">
        <f>VLOOKUP(I681,Sheet1!A:D,4,)</f>
        <v>A320400</v>
      </c>
      <c r="AP681" s="4" t="s">
        <v>1004</v>
      </c>
    </row>
    <row r="682" spans="1:42" s="206" customFormat="1" x14ac:dyDescent="0.25">
      <c r="A682" s="226">
        <v>45778</v>
      </c>
      <c r="B682" s="206" t="s">
        <v>40</v>
      </c>
      <c r="C682" s="206" t="s">
        <v>41</v>
      </c>
      <c r="D682" s="221">
        <v>25708183</v>
      </c>
      <c r="E682" s="221">
        <v>25106632</v>
      </c>
      <c r="F682" s="221" t="s">
        <v>990</v>
      </c>
      <c r="G682" s="227">
        <v>45779</v>
      </c>
      <c r="H682" s="206" t="s">
        <v>126</v>
      </c>
      <c r="I682" s="206" t="s">
        <v>116</v>
      </c>
      <c r="J682" s="206" t="s">
        <v>117</v>
      </c>
      <c r="K682" s="228">
        <v>60</v>
      </c>
      <c r="L682" s="229" t="s">
        <v>42</v>
      </c>
      <c r="M682" s="228">
        <v>60</v>
      </c>
      <c r="N682" s="228">
        <v>396839.98</v>
      </c>
      <c r="O682" s="228">
        <v>23810398.800000001</v>
      </c>
      <c r="P682" s="228">
        <v>23810398.800000001</v>
      </c>
      <c r="Q682" s="224">
        <v>0</v>
      </c>
      <c r="R682" s="224">
        <v>0</v>
      </c>
      <c r="S682" s="229" t="s">
        <v>43</v>
      </c>
      <c r="T682" s="228">
        <v>18863108.370000001</v>
      </c>
      <c r="U682" s="228">
        <v>18863108.370000001</v>
      </c>
      <c r="V682" s="228">
        <v>4947290.43</v>
      </c>
      <c r="W682" s="230">
        <v>0.20777856228</v>
      </c>
      <c r="X682" s="228">
        <v>4947290.43</v>
      </c>
      <c r="Y682" s="206" t="s">
        <v>69</v>
      </c>
      <c r="Z682" s="206" t="s">
        <v>46</v>
      </c>
      <c r="AA682" s="206">
        <v>2306153</v>
      </c>
      <c r="AB682" s="206" t="s">
        <v>126</v>
      </c>
      <c r="AC682" s="206" t="s">
        <v>56</v>
      </c>
      <c r="AD682" s="206" t="s">
        <v>77</v>
      </c>
      <c r="AE682" s="206">
        <v>0</v>
      </c>
      <c r="AF682" s="206" t="s">
        <v>119</v>
      </c>
      <c r="AG682" s="206" t="s">
        <v>120</v>
      </c>
      <c r="AH682" s="206" t="s">
        <v>121</v>
      </c>
      <c r="AI682" s="206" t="s">
        <v>69</v>
      </c>
      <c r="AJ682" s="206" t="s">
        <v>46</v>
      </c>
      <c r="AK682" s="206" t="s">
        <v>54</v>
      </c>
      <c r="AL682" s="206" t="s">
        <v>48</v>
      </c>
      <c r="AM682" s="206" t="s">
        <v>49</v>
      </c>
      <c r="AN682" s="133" t="str">
        <f>VLOOKUP(I682,Sheet1!A:D,4,)</f>
        <v>A320400</v>
      </c>
      <c r="AP682" s="4" t="s">
        <v>1004</v>
      </c>
    </row>
    <row r="683" spans="1:42" s="206" customFormat="1" x14ac:dyDescent="0.25">
      <c r="A683" s="226">
        <v>45778</v>
      </c>
      <c r="B683" s="206" t="s">
        <v>40</v>
      </c>
      <c r="C683" s="206" t="s">
        <v>41</v>
      </c>
      <c r="D683" s="221">
        <v>25708183</v>
      </c>
      <c r="E683" s="221">
        <v>25106632</v>
      </c>
      <c r="F683" s="221" t="s">
        <v>990</v>
      </c>
      <c r="G683" s="227">
        <v>45779</v>
      </c>
      <c r="H683" s="206" t="s">
        <v>126</v>
      </c>
      <c r="I683" s="206" t="s">
        <v>170</v>
      </c>
      <c r="J683" s="206" t="s">
        <v>171</v>
      </c>
      <c r="K683" s="228">
        <v>6</v>
      </c>
      <c r="L683" s="229" t="s">
        <v>42</v>
      </c>
      <c r="M683" s="228">
        <v>6</v>
      </c>
      <c r="N683" s="228">
        <v>2684351.88</v>
      </c>
      <c r="O683" s="228">
        <v>16106111.279999999</v>
      </c>
      <c r="P683" s="228">
        <v>16106111.279999999</v>
      </c>
      <c r="Q683" s="224">
        <v>0</v>
      </c>
      <c r="R683" s="224">
        <v>0</v>
      </c>
      <c r="S683" s="229" t="s">
        <v>43</v>
      </c>
      <c r="T683" s="228">
        <v>2651400.66</v>
      </c>
      <c r="U683" s="228">
        <v>2651400.66</v>
      </c>
      <c r="V683" s="228">
        <v>13454710.619999999</v>
      </c>
      <c r="W683" s="230">
        <v>0.83537921637900003</v>
      </c>
      <c r="X683" s="228">
        <v>13454710.619999999</v>
      </c>
      <c r="Y683" s="206" t="s">
        <v>69</v>
      </c>
      <c r="Z683" s="206" t="s">
        <v>46</v>
      </c>
      <c r="AA683" s="206">
        <v>2306153</v>
      </c>
      <c r="AB683" s="206" t="s">
        <v>126</v>
      </c>
      <c r="AC683" s="206" t="s">
        <v>56</v>
      </c>
      <c r="AD683" s="206" t="s">
        <v>77</v>
      </c>
      <c r="AE683" s="206">
        <v>0</v>
      </c>
      <c r="AF683" s="206" t="s">
        <v>119</v>
      </c>
      <c r="AG683" s="206" t="s">
        <v>120</v>
      </c>
      <c r="AH683" s="206" t="s">
        <v>121</v>
      </c>
      <c r="AI683" s="206" t="s">
        <v>69</v>
      </c>
      <c r="AJ683" s="206" t="s">
        <v>46</v>
      </c>
      <c r="AK683" s="206" t="s">
        <v>54</v>
      </c>
      <c r="AL683" s="206" t="s">
        <v>48</v>
      </c>
      <c r="AM683" s="206" t="s">
        <v>49</v>
      </c>
      <c r="AN683" s="133" t="str">
        <f>VLOOKUP(I683,Sheet1!A:D,4,)</f>
        <v>A320400</v>
      </c>
      <c r="AP683" s="4" t="s">
        <v>1004</v>
      </c>
    </row>
    <row r="684" spans="1:42" s="206" customFormat="1" x14ac:dyDescent="0.25">
      <c r="A684" s="226">
        <v>45778</v>
      </c>
      <c r="B684" s="206" t="s">
        <v>40</v>
      </c>
      <c r="C684" s="206" t="s">
        <v>41</v>
      </c>
      <c r="D684" s="221">
        <v>25708183</v>
      </c>
      <c r="E684" s="221">
        <v>25106632</v>
      </c>
      <c r="F684" s="221" t="s">
        <v>990</v>
      </c>
      <c r="G684" s="227">
        <v>45779</v>
      </c>
      <c r="H684" s="206" t="s">
        <v>126</v>
      </c>
      <c r="I684" s="206" t="s">
        <v>400</v>
      </c>
      <c r="J684" s="206" t="s">
        <v>851</v>
      </c>
      <c r="K684" s="228">
        <v>1</v>
      </c>
      <c r="L684" s="229" t="s">
        <v>42</v>
      </c>
      <c r="M684" s="228">
        <v>1</v>
      </c>
      <c r="N684" s="228">
        <v>3462661.86</v>
      </c>
      <c r="O684" s="228">
        <v>3462661.86</v>
      </c>
      <c r="P684" s="228">
        <v>3462661.86</v>
      </c>
      <c r="Q684" s="224">
        <v>0</v>
      </c>
      <c r="R684" s="224">
        <v>0</v>
      </c>
      <c r="S684" s="229" t="s">
        <v>43</v>
      </c>
      <c r="T684" s="228">
        <v>1886833.19</v>
      </c>
      <c r="U684" s="228">
        <v>1886833.19</v>
      </c>
      <c r="V684" s="228">
        <v>1575828.67</v>
      </c>
      <c r="W684" s="230">
        <v>0.45509169930900001</v>
      </c>
      <c r="X684" s="228">
        <v>1575828.67</v>
      </c>
      <c r="Y684" s="206" t="s">
        <v>69</v>
      </c>
      <c r="Z684" s="206" t="s">
        <v>46</v>
      </c>
      <c r="AA684" s="206">
        <v>2306153</v>
      </c>
      <c r="AB684" s="206" t="s">
        <v>126</v>
      </c>
      <c r="AC684" s="206" t="s">
        <v>56</v>
      </c>
      <c r="AD684" s="206" t="s">
        <v>77</v>
      </c>
      <c r="AE684" s="206">
        <v>0</v>
      </c>
      <c r="AF684" s="206" t="s">
        <v>124</v>
      </c>
      <c r="AG684" s="206" t="s">
        <v>131</v>
      </c>
      <c r="AH684" s="206" t="s">
        <v>132</v>
      </c>
      <c r="AI684" s="206" t="s">
        <v>69</v>
      </c>
      <c r="AJ684" s="206" t="s">
        <v>46</v>
      </c>
      <c r="AK684" s="206" t="s">
        <v>54</v>
      </c>
      <c r="AL684" s="206" t="s">
        <v>48</v>
      </c>
      <c r="AM684" s="206" t="s">
        <v>49</v>
      </c>
      <c r="AN684" s="133" t="str">
        <f>VLOOKUP(I684,Sheet1!A:D,4,)</f>
        <v>A320400</v>
      </c>
      <c r="AP684" s="4" t="s">
        <v>1004</v>
      </c>
    </row>
    <row r="685" spans="1:42" s="206" customFormat="1" x14ac:dyDescent="0.25">
      <c r="A685" s="226">
        <v>45778</v>
      </c>
      <c r="B685" s="206" t="s">
        <v>40</v>
      </c>
      <c r="C685" s="206" t="s">
        <v>41</v>
      </c>
      <c r="D685" s="221">
        <v>25708183</v>
      </c>
      <c r="E685" s="221">
        <v>25106632</v>
      </c>
      <c r="F685" s="221" t="s">
        <v>990</v>
      </c>
      <c r="G685" s="227">
        <v>45779</v>
      </c>
      <c r="H685" s="206" t="s">
        <v>126</v>
      </c>
      <c r="I685" s="206" t="s">
        <v>240</v>
      </c>
      <c r="J685" s="206" t="s">
        <v>241</v>
      </c>
      <c r="K685" s="228">
        <v>5</v>
      </c>
      <c r="L685" s="229" t="s">
        <v>42</v>
      </c>
      <c r="M685" s="228">
        <v>5</v>
      </c>
      <c r="N685" s="228">
        <v>4489180.78</v>
      </c>
      <c r="O685" s="228">
        <v>22445903.899999999</v>
      </c>
      <c r="P685" s="228">
        <v>22445903.899999999</v>
      </c>
      <c r="Q685" s="224">
        <v>0</v>
      </c>
      <c r="R685" s="224">
        <v>0</v>
      </c>
      <c r="S685" s="229" t="s">
        <v>43</v>
      </c>
      <c r="T685" s="228">
        <v>14493699.310000001</v>
      </c>
      <c r="U685" s="228">
        <v>14493699.310000001</v>
      </c>
      <c r="V685" s="228">
        <v>7952204.5899999999</v>
      </c>
      <c r="W685" s="230">
        <v>0.354283107752</v>
      </c>
      <c r="X685" s="228">
        <v>7952204.5899999999</v>
      </c>
      <c r="Y685" s="206" t="s">
        <v>69</v>
      </c>
      <c r="Z685" s="206" t="s">
        <v>46</v>
      </c>
      <c r="AA685" s="206">
        <v>2306153</v>
      </c>
      <c r="AB685" s="206" t="s">
        <v>126</v>
      </c>
      <c r="AC685" s="206" t="s">
        <v>56</v>
      </c>
      <c r="AD685" s="206" t="s">
        <v>77</v>
      </c>
      <c r="AE685" s="206">
        <v>0</v>
      </c>
      <c r="AF685" s="206" t="s">
        <v>68</v>
      </c>
      <c r="AG685" s="206" t="s">
        <v>71</v>
      </c>
      <c r="AH685" s="206" t="s">
        <v>53</v>
      </c>
      <c r="AI685" s="206" t="s">
        <v>69</v>
      </c>
      <c r="AJ685" s="206" t="s">
        <v>46</v>
      </c>
      <c r="AK685" s="206" t="s">
        <v>54</v>
      </c>
      <c r="AL685" s="206" t="s">
        <v>48</v>
      </c>
      <c r="AM685" s="206" t="s">
        <v>49</v>
      </c>
      <c r="AN685" s="133" t="str">
        <f>VLOOKUP(I685,Sheet1!A:D,4,)</f>
        <v>A320400</v>
      </c>
      <c r="AP685" s="4" t="s">
        <v>1004</v>
      </c>
    </row>
    <row r="686" spans="1:42" s="206" customFormat="1" x14ac:dyDescent="0.25">
      <c r="A686" s="226">
        <v>45778</v>
      </c>
      <c r="B686" s="206" t="s">
        <v>40</v>
      </c>
      <c r="C686" s="206" t="s">
        <v>41</v>
      </c>
      <c r="D686" s="221">
        <v>25708184</v>
      </c>
      <c r="E686" s="221">
        <v>25106637</v>
      </c>
      <c r="F686" s="221" t="s">
        <v>991</v>
      </c>
      <c r="G686" s="227">
        <v>45779</v>
      </c>
      <c r="H686" s="206" t="s">
        <v>126</v>
      </c>
      <c r="I686" s="206" t="s">
        <v>420</v>
      </c>
      <c r="J686" s="206" t="s">
        <v>779</v>
      </c>
      <c r="K686" s="228">
        <v>80</v>
      </c>
      <c r="L686" s="229" t="s">
        <v>42</v>
      </c>
      <c r="M686" s="228">
        <v>80</v>
      </c>
      <c r="N686" s="228">
        <v>2813034.64</v>
      </c>
      <c r="O686" s="228">
        <v>225042771.19999999</v>
      </c>
      <c r="P686" s="228">
        <v>225042771.19999999</v>
      </c>
      <c r="Q686" s="224">
        <v>0</v>
      </c>
      <c r="R686" s="224">
        <v>0</v>
      </c>
      <c r="S686" s="229" t="s">
        <v>43</v>
      </c>
      <c r="T686" s="228">
        <v>40472035.560000002</v>
      </c>
      <c r="U686" s="228">
        <v>40472035.560000002</v>
      </c>
      <c r="V686" s="228">
        <v>184570735.63999999</v>
      </c>
      <c r="W686" s="230">
        <v>0.82015847323500002</v>
      </c>
      <c r="X686" s="228">
        <v>184570735.63999999</v>
      </c>
      <c r="Y686" s="206" t="s">
        <v>69</v>
      </c>
      <c r="Z686" s="206" t="s">
        <v>46</v>
      </c>
      <c r="AA686" s="206">
        <v>2306153</v>
      </c>
      <c r="AB686" s="206" t="s">
        <v>126</v>
      </c>
      <c r="AC686" s="206" t="s">
        <v>56</v>
      </c>
      <c r="AD686" s="206" t="s">
        <v>77</v>
      </c>
      <c r="AE686" s="206">
        <v>0</v>
      </c>
      <c r="AF686" s="206" t="s">
        <v>780</v>
      </c>
      <c r="AG686" s="206" t="s">
        <v>69</v>
      </c>
      <c r="AH686" s="206" t="s">
        <v>46</v>
      </c>
      <c r="AI686" s="206" t="s">
        <v>69</v>
      </c>
      <c r="AJ686" s="206" t="s">
        <v>46</v>
      </c>
      <c r="AK686" s="206" t="s">
        <v>54</v>
      </c>
      <c r="AL686" s="206" t="s">
        <v>48</v>
      </c>
      <c r="AM686" s="206" t="s">
        <v>49</v>
      </c>
      <c r="AN686" s="133" t="str">
        <f>VLOOKUP(I686,Sheet1!A:D,4,)</f>
        <v>A320400</v>
      </c>
      <c r="AP686" s="4" t="s">
        <v>1004</v>
      </c>
    </row>
    <row r="687" spans="1:42" s="206" customFormat="1" x14ac:dyDescent="0.25">
      <c r="A687" s="226">
        <v>45778</v>
      </c>
      <c r="B687" s="206" t="s">
        <v>40</v>
      </c>
      <c r="C687" s="206" t="s">
        <v>41</v>
      </c>
      <c r="D687" s="221">
        <v>25708185</v>
      </c>
      <c r="E687" s="221">
        <v>25106638</v>
      </c>
      <c r="F687" s="221" t="s">
        <v>965</v>
      </c>
      <c r="G687" s="227">
        <v>45779</v>
      </c>
      <c r="H687" s="206" t="s">
        <v>126</v>
      </c>
      <c r="I687" s="206" t="s">
        <v>284</v>
      </c>
      <c r="J687" s="206" t="s">
        <v>782</v>
      </c>
      <c r="K687" s="228">
        <v>20</v>
      </c>
      <c r="L687" s="229" t="s">
        <v>42</v>
      </c>
      <c r="M687" s="228">
        <v>20</v>
      </c>
      <c r="N687" s="228">
        <v>2456091.2200000002</v>
      </c>
      <c r="O687" s="228">
        <v>49121824.399999999</v>
      </c>
      <c r="P687" s="228">
        <v>49121824.399999999</v>
      </c>
      <c r="Q687" s="224">
        <v>0</v>
      </c>
      <c r="R687" s="224">
        <v>0</v>
      </c>
      <c r="S687" s="229" t="s">
        <v>43</v>
      </c>
      <c r="T687" s="228">
        <v>29454384.280000001</v>
      </c>
      <c r="U687" s="228">
        <v>29454384.280000001</v>
      </c>
      <c r="V687" s="228">
        <v>19667440.120000001</v>
      </c>
      <c r="W687" s="230">
        <v>0.40038089709000002</v>
      </c>
      <c r="X687" s="228">
        <v>19667440.120000001</v>
      </c>
      <c r="Y687" s="206" t="s">
        <v>69</v>
      </c>
      <c r="Z687" s="206" t="s">
        <v>46</v>
      </c>
      <c r="AA687" s="206">
        <v>2306153</v>
      </c>
      <c r="AB687" s="206" t="s">
        <v>126</v>
      </c>
      <c r="AC687" s="206" t="s">
        <v>56</v>
      </c>
      <c r="AD687" s="206" t="s">
        <v>77</v>
      </c>
      <c r="AE687" s="206">
        <v>0</v>
      </c>
      <c r="AF687" s="206" t="s">
        <v>68</v>
      </c>
      <c r="AG687" s="206" t="s">
        <v>69</v>
      </c>
      <c r="AH687" s="206" t="s">
        <v>46</v>
      </c>
      <c r="AI687" s="206" t="s">
        <v>69</v>
      </c>
      <c r="AJ687" s="206" t="s">
        <v>46</v>
      </c>
      <c r="AK687" s="206" t="s">
        <v>54</v>
      </c>
      <c r="AL687" s="206" t="s">
        <v>48</v>
      </c>
      <c r="AM687" s="206" t="s">
        <v>49</v>
      </c>
      <c r="AN687" s="133" t="str">
        <f>VLOOKUP(I687,Sheet1!A:D,4,)</f>
        <v>A320400</v>
      </c>
      <c r="AP687" s="4" t="s">
        <v>1004</v>
      </c>
    </row>
    <row r="688" spans="1:42" s="206" customFormat="1" x14ac:dyDescent="0.25">
      <c r="A688" s="226">
        <v>45778</v>
      </c>
      <c r="B688" s="206" t="s">
        <v>40</v>
      </c>
      <c r="C688" s="206" t="s">
        <v>41</v>
      </c>
      <c r="D688" s="221">
        <v>25708186</v>
      </c>
      <c r="E688" s="221">
        <v>25106648</v>
      </c>
      <c r="F688" s="221" t="s">
        <v>992</v>
      </c>
      <c r="G688" s="227">
        <v>45779</v>
      </c>
      <c r="H688" s="206" t="s">
        <v>126</v>
      </c>
      <c r="I688" s="206" t="s">
        <v>413</v>
      </c>
      <c r="J688" s="206" t="s">
        <v>993</v>
      </c>
      <c r="K688" s="228">
        <v>20</v>
      </c>
      <c r="L688" s="229" t="s">
        <v>42</v>
      </c>
      <c r="M688" s="228">
        <v>20</v>
      </c>
      <c r="N688" s="228">
        <v>1207525.04</v>
      </c>
      <c r="O688" s="228">
        <v>24150500.800000001</v>
      </c>
      <c r="P688" s="228">
        <v>24150500.800000001</v>
      </c>
      <c r="Q688" s="224">
        <v>0</v>
      </c>
      <c r="R688" s="224">
        <v>0</v>
      </c>
      <c r="S688" s="229" t="s">
        <v>43</v>
      </c>
      <c r="T688" s="228">
        <v>10805548.199999999</v>
      </c>
      <c r="U688" s="228">
        <v>10805548.199999999</v>
      </c>
      <c r="V688" s="228">
        <v>13344952.6</v>
      </c>
      <c r="W688" s="230">
        <v>0.55257457021300005</v>
      </c>
      <c r="X688" s="228">
        <v>13344952.6</v>
      </c>
      <c r="Y688" s="206" t="s">
        <v>69</v>
      </c>
      <c r="Z688" s="206" t="s">
        <v>46</v>
      </c>
      <c r="AA688" s="206">
        <v>2306153</v>
      </c>
      <c r="AB688" s="206" t="s">
        <v>126</v>
      </c>
      <c r="AC688" s="206" t="s">
        <v>56</v>
      </c>
      <c r="AD688" s="206" t="s">
        <v>77</v>
      </c>
      <c r="AE688" s="206">
        <v>0</v>
      </c>
      <c r="AF688" s="206" t="s">
        <v>72</v>
      </c>
      <c r="AG688" s="206" t="s">
        <v>69</v>
      </c>
      <c r="AH688" s="206" t="s">
        <v>46</v>
      </c>
      <c r="AI688" s="206" t="s">
        <v>69</v>
      </c>
      <c r="AJ688" s="206" t="s">
        <v>46</v>
      </c>
      <c r="AK688" s="206" t="s">
        <v>54</v>
      </c>
      <c r="AL688" s="206" t="s">
        <v>48</v>
      </c>
      <c r="AM688" s="206" t="s">
        <v>49</v>
      </c>
      <c r="AN688" s="133" t="str">
        <f>VLOOKUP(I688,Sheet1!A:D,4,)</f>
        <v>A320400</v>
      </c>
      <c r="AP688" s="4" t="s">
        <v>1004</v>
      </c>
    </row>
    <row r="689" spans="1:42" s="206" customFormat="1" x14ac:dyDescent="0.25">
      <c r="A689" s="226">
        <v>45778</v>
      </c>
      <c r="B689" s="206" t="s">
        <v>40</v>
      </c>
      <c r="C689" s="206" t="s">
        <v>41</v>
      </c>
      <c r="D689" s="221">
        <v>25708186</v>
      </c>
      <c r="E689" s="221">
        <v>25106648</v>
      </c>
      <c r="F689" s="221" t="s">
        <v>992</v>
      </c>
      <c r="G689" s="227">
        <v>45779</v>
      </c>
      <c r="H689" s="206" t="s">
        <v>126</v>
      </c>
      <c r="I689" s="206" t="s">
        <v>240</v>
      </c>
      <c r="J689" s="206" t="s">
        <v>241</v>
      </c>
      <c r="K689" s="228">
        <v>10</v>
      </c>
      <c r="L689" s="229" t="s">
        <v>42</v>
      </c>
      <c r="M689" s="228">
        <v>10</v>
      </c>
      <c r="N689" s="228">
        <v>4489180.78</v>
      </c>
      <c r="O689" s="228">
        <v>44891807.799999997</v>
      </c>
      <c r="P689" s="228">
        <v>44891807.799999997</v>
      </c>
      <c r="Q689" s="224">
        <v>0</v>
      </c>
      <c r="R689" s="224">
        <v>0</v>
      </c>
      <c r="S689" s="229" t="s">
        <v>43</v>
      </c>
      <c r="T689" s="228">
        <v>28987398.620000001</v>
      </c>
      <c r="U689" s="228">
        <v>28987398.620000001</v>
      </c>
      <c r="V689" s="228">
        <v>15904409.18</v>
      </c>
      <c r="W689" s="230">
        <v>0.354283107752</v>
      </c>
      <c r="X689" s="228">
        <v>15904409.18</v>
      </c>
      <c r="Y689" s="206" t="s">
        <v>69</v>
      </c>
      <c r="Z689" s="206" t="s">
        <v>46</v>
      </c>
      <c r="AA689" s="206">
        <v>2306153</v>
      </c>
      <c r="AB689" s="206" t="s">
        <v>126</v>
      </c>
      <c r="AC689" s="206" t="s">
        <v>56</v>
      </c>
      <c r="AD689" s="206" t="s">
        <v>77</v>
      </c>
      <c r="AE689" s="206">
        <v>0</v>
      </c>
      <c r="AF689" s="206" t="s">
        <v>68</v>
      </c>
      <c r="AG689" s="206" t="s">
        <v>71</v>
      </c>
      <c r="AH689" s="206" t="s">
        <v>53</v>
      </c>
      <c r="AI689" s="206" t="s">
        <v>69</v>
      </c>
      <c r="AJ689" s="206" t="s">
        <v>46</v>
      </c>
      <c r="AK689" s="206" t="s">
        <v>54</v>
      </c>
      <c r="AL689" s="206" t="s">
        <v>48</v>
      </c>
      <c r="AM689" s="206" t="s">
        <v>49</v>
      </c>
      <c r="AN689" s="133" t="str">
        <f>VLOOKUP(I689,Sheet1!A:D,4,)</f>
        <v>A320400</v>
      </c>
      <c r="AP689" s="4" t="s">
        <v>1004</v>
      </c>
    </row>
    <row r="690" spans="1:42" s="206" customFormat="1" x14ac:dyDescent="0.25">
      <c r="A690" s="226">
        <v>45778</v>
      </c>
      <c r="B690" s="206" t="s">
        <v>40</v>
      </c>
      <c r="C690" s="206" t="s">
        <v>41</v>
      </c>
      <c r="D690" s="221">
        <v>25708187</v>
      </c>
      <c r="E690" s="221">
        <v>25106661</v>
      </c>
      <c r="F690" s="221" t="s">
        <v>994</v>
      </c>
      <c r="G690" s="227">
        <v>45779</v>
      </c>
      <c r="H690" s="206" t="s">
        <v>126</v>
      </c>
      <c r="I690" s="206" t="s">
        <v>416</v>
      </c>
      <c r="J690" s="206" t="s">
        <v>995</v>
      </c>
      <c r="K690" s="228">
        <v>60</v>
      </c>
      <c r="L690" s="229" t="s">
        <v>42</v>
      </c>
      <c r="M690" s="228">
        <v>60</v>
      </c>
      <c r="N690" s="228">
        <v>3008701.89</v>
      </c>
      <c r="O690" s="228">
        <v>180522113.40000001</v>
      </c>
      <c r="P690" s="228">
        <v>180522113.40000001</v>
      </c>
      <c r="Q690" s="224">
        <v>0</v>
      </c>
      <c r="R690" s="224">
        <v>0</v>
      </c>
      <c r="S690" s="229" t="s">
        <v>43</v>
      </c>
      <c r="T690" s="228">
        <v>136369892.94</v>
      </c>
      <c r="U690" s="228">
        <v>136369892.94</v>
      </c>
      <c r="V690" s="228">
        <v>44152220.460000001</v>
      </c>
      <c r="W690" s="230">
        <v>0.244580675621</v>
      </c>
      <c r="X690" s="228">
        <v>44152220.460000001</v>
      </c>
      <c r="Y690" s="206" t="s">
        <v>69</v>
      </c>
      <c r="Z690" s="206" t="s">
        <v>46</v>
      </c>
      <c r="AA690" s="206">
        <v>2306153</v>
      </c>
      <c r="AB690" s="206" t="s">
        <v>126</v>
      </c>
      <c r="AC690" s="206" t="s">
        <v>56</v>
      </c>
      <c r="AD690" s="206" t="s">
        <v>77</v>
      </c>
      <c r="AE690" s="206">
        <v>0</v>
      </c>
      <c r="AF690" s="206" t="s">
        <v>124</v>
      </c>
      <c r="AG690" s="206" t="s">
        <v>81</v>
      </c>
      <c r="AH690" s="206" t="s">
        <v>57</v>
      </c>
      <c r="AI690" s="206" t="s">
        <v>69</v>
      </c>
      <c r="AJ690" s="206" t="s">
        <v>46</v>
      </c>
      <c r="AK690" s="206" t="s">
        <v>54</v>
      </c>
      <c r="AL690" s="206" t="s">
        <v>48</v>
      </c>
      <c r="AM690" s="206" t="s">
        <v>49</v>
      </c>
      <c r="AN690" s="133" t="str">
        <f>VLOOKUP(I690,Sheet1!A:D,4,)</f>
        <v>A320400</v>
      </c>
      <c r="AP690" s="4" t="s">
        <v>1004</v>
      </c>
    </row>
    <row r="691" spans="1:42" s="206" customFormat="1" x14ac:dyDescent="0.25">
      <c r="A691" s="226">
        <v>45778</v>
      </c>
      <c r="B691" s="206" t="s">
        <v>40</v>
      </c>
      <c r="C691" s="206" t="s">
        <v>41</v>
      </c>
      <c r="D691" s="221">
        <v>25708188</v>
      </c>
      <c r="E691" s="221">
        <v>25106663</v>
      </c>
      <c r="F691" s="221" t="s">
        <v>996</v>
      </c>
      <c r="G691" s="227">
        <v>45779</v>
      </c>
      <c r="H691" s="206" t="s">
        <v>150</v>
      </c>
      <c r="I691" s="206" t="s">
        <v>174</v>
      </c>
      <c r="J691" s="206" t="s">
        <v>175</v>
      </c>
      <c r="K691" s="228">
        <v>40</v>
      </c>
      <c r="L691" s="229" t="s">
        <v>42</v>
      </c>
      <c r="M691" s="228">
        <v>40</v>
      </c>
      <c r="N691" s="228">
        <v>1326973.28</v>
      </c>
      <c r="O691" s="228">
        <v>53078931.200000003</v>
      </c>
      <c r="P691" s="228">
        <v>53078931.200000003</v>
      </c>
      <c r="Q691" s="224">
        <v>0</v>
      </c>
      <c r="R691" s="224">
        <v>0</v>
      </c>
      <c r="S691" s="229" t="s">
        <v>43</v>
      </c>
      <c r="T691" s="228">
        <v>29785840.399999999</v>
      </c>
      <c r="U691" s="228">
        <v>29785840.399999999</v>
      </c>
      <c r="V691" s="228">
        <v>23293090.800000001</v>
      </c>
      <c r="W691" s="230">
        <v>0.43883873079899999</v>
      </c>
      <c r="X691" s="228">
        <v>23293090.800000001</v>
      </c>
      <c r="Y691" s="206" t="s">
        <v>69</v>
      </c>
      <c r="Z691" s="206" t="s">
        <v>46</v>
      </c>
      <c r="AA691" s="206">
        <v>2306392</v>
      </c>
      <c r="AB691" s="206" t="s">
        <v>153</v>
      </c>
      <c r="AC691" s="206" t="s">
        <v>154</v>
      </c>
      <c r="AD691" s="206" t="s">
        <v>155</v>
      </c>
      <c r="AE691" s="206">
        <v>0</v>
      </c>
      <c r="AF691" s="206" t="s">
        <v>72</v>
      </c>
      <c r="AG691" s="206" t="s">
        <v>69</v>
      </c>
      <c r="AH691" s="206" t="s">
        <v>46</v>
      </c>
      <c r="AI691" s="206" t="s">
        <v>69</v>
      </c>
      <c r="AJ691" s="206" t="s">
        <v>46</v>
      </c>
      <c r="AK691" s="206" t="s">
        <v>54</v>
      </c>
      <c r="AL691" s="206" t="s">
        <v>48</v>
      </c>
      <c r="AM691" s="206" t="s">
        <v>49</v>
      </c>
      <c r="AN691" s="133" t="str">
        <f>VLOOKUP(I691,Sheet1!A:D,4,)</f>
        <v>A320400</v>
      </c>
      <c r="AP691" s="4" t="s">
        <v>1004</v>
      </c>
    </row>
    <row r="692" spans="1:42" s="206" customFormat="1" x14ac:dyDescent="0.25">
      <c r="A692" s="226">
        <v>45778</v>
      </c>
      <c r="B692" s="206" t="s">
        <v>40</v>
      </c>
      <c r="C692" s="206" t="s">
        <v>41</v>
      </c>
      <c r="D692" s="221">
        <v>25708189</v>
      </c>
      <c r="E692" s="221">
        <v>25106665</v>
      </c>
      <c r="F692" s="221" t="s">
        <v>997</v>
      </c>
      <c r="G692" s="227">
        <v>45779</v>
      </c>
      <c r="H692" s="206" t="s">
        <v>115</v>
      </c>
      <c r="I692" s="206" t="s">
        <v>428</v>
      </c>
      <c r="J692" s="206" t="s">
        <v>641</v>
      </c>
      <c r="K692" s="228">
        <v>200</v>
      </c>
      <c r="L692" s="229" t="s">
        <v>42</v>
      </c>
      <c r="M692" s="228">
        <v>200</v>
      </c>
      <c r="N692" s="228">
        <v>457829.4</v>
      </c>
      <c r="O692" s="228">
        <v>91565880</v>
      </c>
      <c r="P692" s="228">
        <v>91565880</v>
      </c>
      <c r="Q692" s="224">
        <v>0</v>
      </c>
      <c r="R692" s="224">
        <v>0</v>
      </c>
      <c r="S692" s="229" t="s">
        <v>43</v>
      </c>
      <c r="T692" s="228">
        <v>58917014.490000002</v>
      </c>
      <c r="U692" s="228">
        <v>58917014.490000002</v>
      </c>
      <c r="V692" s="228">
        <v>32648865.510000002</v>
      </c>
      <c r="W692" s="230">
        <v>0.35656147802999999</v>
      </c>
      <c r="X692" s="228">
        <v>32648865.510000002</v>
      </c>
      <c r="Y692" s="206" t="s">
        <v>66</v>
      </c>
      <c r="Z692" s="206" t="s">
        <v>44</v>
      </c>
      <c r="AA692" s="206">
        <v>15159</v>
      </c>
      <c r="AB692" s="206" t="s">
        <v>118</v>
      </c>
      <c r="AC692" s="206" t="s">
        <v>154</v>
      </c>
      <c r="AD692" s="206" t="s">
        <v>155</v>
      </c>
      <c r="AE692" s="206">
        <v>0</v>
      </c>
      <c r="AF692" s="206" t="s">
        <v>119</v>
      </c>
      <c r="AG692" s="206" t="s">
        <v>120</v>
      </c>
      <c r="AH692" s="206" t="s">
        <v>121</v>
      </c>
      <c r="AI692" s="206" t="s">
        <v>69</v>
      </c>
      <c r="AJ692" s="206" t="s">
        <v>46</v>
      </c>
      <c r="AK692" s="206" t="s">
        <v>54</v>
      </c>
      <c r="AL692" s="206" t="s">
        <v>48</v>
      </c>
      <c r="AM692" s="206" t="s">
        <v>49</v>
      </c>
      <c r="AN692" s="133" t="str">
        <f>VLOOKUP(I692,Sheet1!A:D,4,)</f>
        <v>A320400</v>
      </c>
      <c r="AP692" s="4" t="s">
        <v>1004</v>
      </c>
    </row>
    <row r="693" spans="1:42" s="206" customFormat="1" x14ac:dyDescent="0.25">
      <c r="A693" s="226">
        <v>45778</v>
      </c>
      <c r="B693" s="206" t="s">
        <v>40</v>
      </c>
      <c r="C693" s="206" t="s">
        <v>41</v>
      </c>
      <c r="D693" s="221">
        <v>25708190</v>
      </c>
      <c r="E693" s="221">
        <v>25106668</v>
      </c>
      <c r="F693" s="221" t="s">
        <v>998</v>
      </c>
      <c r="G693" s="227">
        <v>45779</v>
      </c>
      <c r="H693" s="206" t="s">
        <v>126</v>
      </c>
      <c r="I693" s="206" t="s">
        <v>284</v>
      </c>
      <c r="J693" s="206" t="s">
        <v>782</v>
      </c>
      <c r="K693" s="228">
        <v>40</v>
      </c>
      <c r="L693" s="229" t="s">
        <v>42</v>
      </c>
      <c r="M693" s="228">
        <v>40</v>
      </c>
      <c r="N693" s="228">
        <v>2456091.2200000002</v>
      </c>
      <c r="O693" s="228">
        <v>98243648.799999997</v>
      </c>
      <c r="P693" s="228">
        <v>98243648.799999997</v>
      </c>
      <c r="Q693" s="224">
        <v>0</v>
      </c>
      <c r="R693" s="224">
        <v>0</v>
      </c>
      <c r="S693" s="229" t="s">
        <v>43</v>
      </c>
      <c r="T693" s="228">
        <v>58908768.560000002</v>
      </c>
      <c r="U693" s="228">
        <v>58908768.560000002</v>
      </c>
      <c r="V693" s="228">
        <v>39334880.240000002</v>
      </c>
      <c r="W693" s="230">
        <v>0.40038089709000002</v>
      </c>
      <c r="X693" s="228">
        <v>39334880.240000002</v>
      </c>
      <c r="Y693" s="206" t="s">
        <v>69</v>
      </c>
      <c r="Z693" s="206" t="s">
        <v>46</v>
      </c>
      <c r="AA693" s="206">
        <v>2306153</v>
      </c>
      <c r="AB693" s="206" t="s">
        <v>126</v>
      </c>
      <c r="AC693" s="206" t="s">
        <v>56</v>
      </c>
      <c r="AD693" s="206" t="s">
        <v>77</v>
      </c>
      <c r="AE693" s="206">
        <v>0</v>
      </c>
      <c r="AF693" s="206" t="s">
        <v>68</v>
      </c>
      <c r="AG693" s="206" t="s">
        <v>69</v>
      </c>
      <c r="AH693" s="206" t="s">
        <v>46</v>
      </c>
      <c r="AI693" s="206" t="s">
        <v>69</v>
      </c>
      <c r="AJ693" s="206" t="s">
        <v>46</v>
      </c>
      <c r="AK693" s="206" t="s">
        <v>54</v>
      </c>
      <c r="AL693" s="206" t="s">
        <v>48</v>
      </c>
      <c r="AM693" s="206" t="s">
        <v>49</v>
      </c>
      <c r="AN693" s="133" t="str">
        <f>VLOOKUP(I693,Sheet1!A:D,4,)</f>
        <v>A320400</v>
      </c>
      <c r="AP693" s="4" t="s">
        <v>1004</v>
      </c>
    </row>
    <row r="694" spans="1:42" s="206" customFormat="1" x14ac:dyDescent="0.25">
      <c r="A694" s="226">
        <v>45778</v>
      </c>
      <c r="B694" s="206" t="s">
        <v>40</v>
      </c>
      <c r="C694" s="206" t="s">
        <v>41</v>
      </c>
      <c r="D694" s="221">
        <v>25708191</v>
      </c>
      <c r="E694" s="221">
        <v>25106676</v>
      </c>
      <c r="F694" s="221" t="s">
        <v>999</v>
      </c>
      <c r="G694" s="227">
        <v>45779</v>
      </c>
      <c r="H694" s="206" t="s">
        <v>126</v>
      </c>
      <c r="I694" s="206" t="s">
        <v>240</v>
      </c>
      <c r="J694" s="206" t="s">
        <v>241</v>
      </c>
      <c r="K694" s="228">
        <v>10</v>
      </c>
      <c r="L694" s="229" t="s">
        <v>42</v>
      </c>
      <c r="M694" s="228">
        <v>10</v>
      </c>
      <c r="N694" s="228">
        <v>4424603.24</v>
      </c>
      <c r="O694" s="228">
        <v>44246032.399999999</v>
      </c>
      <c r="P694" s="228">
        <v>44246032.399999999</v>
      </c>
      <c r="Q694" s="224">
        <v>0</v>
      </c>
      <c r="R694" s="224">
        <v>0</v>
      </c>
      <c r="S694" s="229" t="s">
        <v>43</v>
      </c>
      <c r="T694" s="228">
        <v>28987398.620000001</v>
      </c>
      <c r="U694" s="228">
        <v>28987398.620000001</v>
      </c>
      <c r="V694" s="228">
        <v>15258633.779999999</v>
      </c>
      <c r="W694" s="230">
        <v>0.34485880320399998</v>
      </c>
      <c r="X694" s="228">
        <v>15258633.779999999</v>
      </c>
      <c r="Y694" s="206" t="s">
        <v>69</v>
      </c>
      <c r="Z694" s="206" t="s">
        <v>46</v>
      </c>
      <c r="AA694" s="206">
        <v>2306153</v>
      </c>
      <c r="AB694" s="206" t="s">
        <v>126</v>
      </c>
      <c r="AC694" s="206" t="s">
        <v>56</v>
      </c>
      <c r="AD694" s="206" t="s">
        <v>77</v>
      </c>
      <c r="AE694" s="206">
        <v>0</v>
      </c>
      <c r="AF694" s="206" t="s">
        <v>68</v>
      </c>
      <c r="AG694" s="206" t="s">
        <v>71</v>
      </c>
      <c r="AH694" s="206" t="s">
        <v>53</v>
      </c>
      <c r="AI694" s="206" t="s">
        <v>69</v>
      </c>
      <c r="AJ694" s="206" t="s">
        <v>46</v>
      </c>
      <c r="AK694" s="206" t="s">
        <v>54</v>
      </c>
      <c r="AL694" s="206" t="s">
        <v>48</v>
      </c>
      <c r="AM694" s="206" t="s">
        <v>49</v>
      </c>
      <c r="AN694" s="133" t="str">
        <f>VLOOKUP(I694,Sheet1!A:D,4,)</f>
        <v>A320400</v>
      </c>
      <c r="AP694" s="4" t="s">
        <v>1004</v>
      </c>
    </row>
    <row r="695" spans="1:42" s="206" customFormat="1" x14ac:dyDescent="0.25">
      <c r="A695" s="226">
        <v>45778</v>
      </c>
      <c r="B695" s="206" t="s">
        <v>40</v>
      </c>
      <c r="C695" s="206" t="s">
        <v>41</v>
      </c>
      <c r="D695" s="221">
        <v>25708192</v>
      </c>
      <c r="E695" s="221">
        <v>25106677</v>
      </c>
      <c r="F695" s="221" t="s">
        <v>1000</v>
      </c>
      <c r="G695" s="227">
        <v>45779</v>
      </c>
      <c r="H695" s="206" t="s">
        <v>126</v>
      </c>
      <c r="I695" s="206" t="s">
        <v>420</v>
      </c>
      <c r="J695" s="206" t="s">
        <v>779</v>
      </c>
      <c r="K695" s="228">
        <v>20</v>
      </c>
      <c r="L695" s="229" t="s">
        <v>42</v>
      </c>
      <c r="M695" s="228">
        <v>20</v>
      </c>
      <c r="N695" s="228">
        <v>2831035.19</v>
      </c>
      <c r="O695" s="228">
        <v>56620703.799999997</v>
      </c>
      <c r="P695" s="228">
        <v>56620703.799999997</v>
      </c>
      <c r="Q695" s="224">
        <v>0</v>
      </c>
      <c r="R695" s="224">
        <v>0</v>
      </c>
      <c r="S695" s="229" t="s">
        <v>43</v>
      </c>
      <c r="T695" s="228">
        <v>10118008.890000001</v>
      </c>
      <c r="U695" s="228">
        <v>10118008.890000001</v>
      </c>
      <c r="V695" s="228">
        <v>46502694.909999996</v>
      </c>
      <c r="W695" s="230">
        <v>0.82130195827700003</v>
      </c>
      <c r="X695" s="228">
        <v>46502694.909999996</v>
      </c>
      <c r="Y695" s="206" t="s">
        <v>69</v>
      </c>
      <c r="Z695" s="206" t="s">
        <v>46</v>
      </c>
      <c r="AA695" s="206">
        <v>2306153</v>
      </c>
      <c r="AB695" s="206" t="s">
        <v>126</v>
      </c>
      <c r="AC695" s="206" t="s">
        <v>56</v>
      </c>
      <c r="AD695" s="206" t="s">
        <v>77</v>
      </c>
      <c r="AE695" s="206">
        <v>0</v>
      </c>
      <c r="AF695" s="206" t="s">
        <v>780</v>
      </c>
      <c r="AG695" s="206" t="s">
        <v>69</v>
      </c>
      <c r="AH695" s="206" t="s">
        <v>46</v>
      </c>
      <c r="AI695" s="206" t="s">
        <v>69</v>
      </c>
      <c r="AJ695" s="206" t="s">
        <v>46</v>
      </c>
      <c r="AK695" s="206" t="s">
        <v>54</v>
      </c>
      <c r="AL695" s="206" t="s">
        <v>48</v>
      </c>
      <c r="AM695" s="206" t="s">
        <v>49</v>
      </c>
      <c r="AN695" s="133" t="str">
        <f>VLOOKUP(I695,Sheet1!A:D,4,)</f>
        <v>A320400</v>
      </c>
      <c r="AP695" s="4" t="s">
        <v>1004</v>
      </c>
    </row>
    <row r="696" spans="1:42" s="206" customFormat="1" x14ac:dyDescent="0.25">
      <c r="A696" s="226">
        <v>45778</v>
      </c>
      <c r="B696" s="206" t="s">
        <v>40</v>
      </c>
      <c r="C696" s="206" t="s">
        <v>41</v>
      </c>
      <c r="D696" s="221">
        <v>25708193</v>
      </c>
      <c r="E696" s="221">
        <v>25106683</v>
      </c>
      <c r="F696" s="221" t="s">
        <v>1001</v>
      </c>
      <c r="G696" s="227">
        <v>45779</v>
      </c>
      <c r="H696" s="206" t="s">
        <v>115</v>
      </c>
      <c r="I696" s="206" t="s">
        <v>285</v>
      </c>
      <c r="J696" s="206" t="s">
        <v>708</v>
      </c>
      <c r="K696" s="228">
        <v>100</v>
      </c>
      <c r="L696" s="229" t="s">
        <v>42</v>
      </c>
      <c r="M696" s="228">
        <v>100</v>
      </c>
      <c r="N696" s="228">
        <v>1909352.55</v>
      </c>
      <c r="O696" s="228">
        <v>190935255</v>
      </c>
      <c r="P696" s="228">
        <v>190935255</v>
      </c>
      <c r="Q696" s="224">
        <v>0</v>
      </c>
      <c r="R696" s="224">
        <v>0</v>
      </c>
      <c r="S696" s="229" t="s">
        <v>43</v>
      </c>
      <c r="T696" s="228">
        <v>137769327.59999999</v>
      </c>
      <c r="U696" s="228">
        <v>137769327.59999999</v>
      </c>
      <c r="V696" s="228">
        <v>53165927.399999999</v>
      </c>
      <c r="W696" s="230">
        <v>0.27845002956600001</v>
      </c>
      <c r="X696" s="228">
        <v>53165927.399999999</v>
      </c>
      <c r="Y696" s="206" t="s">
        <v>66</v>
      </c>
      <c r="Z696" s="206" t="s">
        <v>44</v>
      </c>
      <c r="AA696" s="206">
        <v>15159</v>
      </c>
      <c r="AB696" s="206" t="s">
        <v>118</v>
      </c>
      <c r="AC696" s="206" t="s">
        <v>154</v>
      </c>
      <c r="AD696" s="206" t="s">
        <v>155</v>
      </c>
      <c r="AE696" s="206">
        <v>0</v>
      </c>
      <c r="AF696" s="206" t="s">
        <v>68</v>
      </c>
      <c r="AG696" s="206" t="s">
        <v>69</v>
      </c>
      <c r="AH696" s="206" t="s">
        <v>46</v>
      </c>
      <c r="AI696" s="206" t="s">
        <v>69</v>
      </c>
      <c r="AJ696" s="206" t="s">
        <v>46</v>
      </c>
      <c r="AK696" s="206" t="s">
        <v>54</v>
      </c>
      <c r="AL696" s="206" t="s">
        <v>48</v>
      </c>
      <c r="AM696" s="206" t="s">
        <v>49</v>
      </c>
      <c r="AN696" s="133" t="str">
        <f>VLOOKUP(I696,Sheet1!A:D,4,)</f>
        <v>A320400</v>
      </c>
      <c r="AP696" s="4" t="s">
        <v>1004</v>
      </c>
    </row>
    <row r="697" spans="1:42" s="206" customFormat="1" x14ac:dyDescent="0.25">
      <c r="A697" s="226">
        <v>45778</v>
      </c>
      <c r="B697" s="206" t="s">
        <v>40</v>
      </c>
      <c r="C697" s="206" t="s">
        <v>41</v>
      </c>
      <c r="D697" s="221">
        <v>25708194</v>
      </c>
      <c r="E697" s="221">
        <v>25106665</v>
      </c>
      <c r="F697" s="221" t="s">
        <v>997</v>
      </c>
      <c r="G697" s="227">
        <v>45779</v>
      </c>
      <c r="H697" s="206" t="s">
        <v>115</v>
      </c>
      <c r="I697" s="206" t="s">
        <v>335</v>
      </c>
      <c r="J697" s="206" t="s">
        <v>1002</v>
      </c>
      <c r="K697" s="228">
        <v>40</v>
      </c>
      <c r="L697" s="229" t="s">
        <v>42</v>
      </c>
      <c r="M697" s="228">
        <v>40</v>
      </c>
      <c r="N697" s="228">
        <v>517674.23999999999</v>
      </c>
      <c r="O697" s="228">
        <v>20706969.600000001</v>
      </c>
      <c r="P697" s="228">
        <v>20706969.600000001</v>
      </c>
      <c r="Q697" s="224">
        <v>0</v>
      </c>
      <c r="R697" s="224">
        <v>0</v>
      </c>
      <c r="S697" s="229" t="s">
        <v>43</v>
      </c>
      <c r="T697" s="228">
        <v>9258130.4000000004</v>
      </c>
      <c r="U697" s="228">
        <v>9258130.4000000004</v>
      </c>
      <c r="V697" s="228">
        <v>11448839.199999999</v>
      </c>
      <c r="W697" s="230">
        <v>0.552897861017</v>
      </c>
      <c r="X697" s="228">
        <v>11448839.199999999</v>
      </c>
      <c r="Y697" s="206" t="s">
        <v>66</v>
      </c>
      <c r="Z697" s="206" t="s">
        <v>44</v>
      </c>
      <c r="AA697" s="206">
        <v>15159</v>
      </c>
      <c r="AB697" s="206" t="s">
        <v>118</v>
      </c>
      <c r="AC697" s="206" t="s">
        <v>154</v>
      </c>
      <c r="AD697" s="206" t="s">
        <v>155</v>
      </c>
      <c r="AE697" s="206">
        <v>0</v>
      </c>
      <c r="AF697" s="206" t="s">
        <v>124</v>
      </c>
      <c r="AG697" s="206" t="s">
        <v>81</v>
      </c>
      <c r="AH697" s="206" t="s">
        <v>57</v>
      </c>
      <c r="AI697" s="206" t="s">
        <v>69</v>
      </c>
      <c r="AJ697" s="206" t="s">
        <v>46</v>
      </c>
      <c r="AK697" s="206" t="s">
        <v>54</v>
      </c>
      <c r="AL697" s="206" t="s">
        <v>48</v>
      </c>
      <c r="AM697" s="206" t="s">
        <v>49</v>
      </c>
      <c r="AN697" s="133" t="str">
        <f>VLOOKUP(I697,Sheet1!A:D,4,)</f>
        <v>A320400</v>
      </c>
      <c r="AP697" s="4" t="s">
        <v>1004</v>
      </c>
    </row>
    <row r="698" spans="1:42" s="206" customFormat="1" x14ac:dyDescent="0.25">
      <c r="A698" s="226">
        <v>45778</v>
      </c>
      <c r="B698" s="206" t="s">
        <v>40</v>
      </c>
      <c r="C698" s="206" t="s">
        <v>41</v>
      </c>
      <c r="D698" s="221">
        <v>25708195</v>
      </c>
      <c r="E698" s="221">
        <v>24106496</v>
      </c>
      <c r="F698" s="221" t="s">
        <v>1003</v>
      </c>
      <c r="G698" s="227">
        <v>45779</v>
      </c>
      <c r="H698" s="206" t="s">
        <v>115</v>
      </c>
      <c r="I698" s="206" t="s">
        <v>335</v>
      </c>
      <c r="J698" s="206" t="s">
        <v>1002</v>
      </c>
      <c r="K698" s="228">
        <v>60</v>
      </c>
      <c r="L698" s="229" t="s">
        <v>42</v>
      </c>
      <c r="M698" s="228">
        <v>60</v>
      </c>
      <c r="N698" s="228">
        <v>508609.79</v>
      </c>
      <c r="O698" s="228">
        <v>30516587.399999999</v>
      </c>
      <c r="P698" s="228">
        <v>30516587.399999999</v>
      </c>
      <c r="Q698" s="224">
        <v>0</v>
      </c>
      <c r="R698" s="224">
        <v>0</v>
      </c>
      <c r="S698" s="229" t="s">
        <v>43</v>
      </c>
      <c r="T698" s="228">
        <v>13887195.6</v>
      </c>
      <c r="U698" s="228">
        <v>13887195.6</v>
      </c>
      <c r="V698" s="228">
        <v>16629391.800000001</v>
      </c>
      <c r="W698" s="230">
        <v>0.54492960113800004</v>
      </c>
      <c r="X698" s="228">
        <v>16629391.800000001</v>
      </c>
      <c r="Y698" s="206" t="s">
        <v>66</v>
      </c>
      <c r="Z698" s="206" t="s">
        <v>44</v>
      </c>
      <c r="AA698" s="206">
        <v>15159</v>
      </c>
      <c r="AB698" s="206" t="s">
        <v>118</v>
      </c>
      <c r="AC698" s="206" t="s">
        <v>154</v>
      </c>
      <c r="AD698" s="206" t="s">
        <v>155</v>
      </c>
      <c r="AE698" s="206">
        <v>0</v>
      </c>
      <c r="AF698" s="206" t="s">
        <v>124</v>
      </c>
      <c r="AG698" s="206" t="s">
        <v>81</v>
      </c>
      <c r="AH698" s="206" t="s">
        <v>57</v>
      </c>
      <c r="AI698" s="206" t="s">
        <v>69</v>
      </c>
      <c r="AJ698" s="206" t="s">
        <v>46</v>
      </c>
      <c r="AK698" s="206" t="s">
        <v>54</v>
      </c>
      <c r="AL698" s="206" t="s">
        <v>48</v>
      </c>
      <c r="AM698" s="206" t="s">
        <v>49</v>
      </c>
      <c r="AN698" s="133" t="str">
        <f>VLOOKUP(I698,Sheet1!A:D,4,)</f>
        <v>A320400</v>
      </c>
      <c r="AP698" s="4" t="s">
        <v>1004</v>
      </c>
    </row>
    <row r="699" spans="1:42" s="206" customFormat="1" x14ac:dyDescent="0.25">
      <c r="A699" s="226">
        <v>45778</v>
      </c>
      <c r="B699" s="206" t="s">
        <v>40</v>
      </c>
      <c r="C699" s="206" t="s">
        <v>41</v>
      </c>
      <c r="D699" s="221">
        <v>25708196</v>
      </c>
      <c r="E699" s="221">
        <v>25106645</v>
      </c>
      <c r="F699" s="221" t="s">
        <v>1005</v>
      </c>
      <c r="G699" s="227">
        <v>45782</v>
      </c>
      <c r="H699" s="206" t="s">
        <v>126</v>
      </c>
      <c r="I699" s="206" t="s">
        <v>318</v>
      </c>
      <c r="J699" s="206" t="s">
        <v>529</v>
      </c>
      <c r="K699" s="228">
        <v>45</v>
      </c>
      <c r="L699" s="229" t="s">
        <v>42</v>
      </c>
      <c r="M699" s="228">
        <v>45</v>
      </c>
      <c r="N699" s="228">
        <v>1312498.78</v>
      </c>
      <c r="O699" s="228">
        <v>59062445.100000001</v>
      </c>
      <c r="P699" s="228">
        <v>59062445.100000001</v>
      </c>
      <c r="Q699" s="224">
        <v>0</v>
      </c>
      <c r="R699" s="224">
        <v>0</v>
      </c>
      <c r="S699" s="229" t="s">
        <v>43</v>
      </c>
      <c r="T699" s="228">
        <v>21317227.59</v>
      </c>
      <c r="U699" s="228">
        <v>21317227.59</v>
      </c>
      <c r="V699" s="228">
        <v>37745217.509999998</v>
      </c>
      <c r="W699" s="230">
        <v>0.63907305981100004</v>
      </c>
      <c r="X699" s="228">
        <v>37745217.509999998</v>
      </c>
      <c r="Y699" s="206" t="s">
        <v>69</v>
      </c>
      <c r="Z699" s="206" t="s">
        <v>46</v>
      </c>
      <c r="AA699" s="206">
        <v>2306153</v>
      </c>
      <c r="AB699" s="206" t="s">
        <v>126</v>
      </c>
      <c r="AC699" s="206" t="s">
        <v>56</v>
      </c>
      <c r="AD699" s="206" t="s">
        <v>77</v>
      </c>
      <c r="AE699" s="206">
        <v>0</v>
      </c>
      <c r="AF699" s="206" t="s">
        <v>798</v>
      </c>
      <c r="AG699" s="206" t="s">
        <v>1006</v>
      </c>
      <c r="AH699" s="206" t="s">
        <v>1007</v>
      </c>
      <c r="AI699" s="206" t="s">
        <v>69</v>
      </c>
      <c r="AJ699" s="206" t="s">
        <v>46</v>
      </c>
      <c r="AK699" s="206" t="s">
        <v>54</v>
      </c>
      <c r="AL699" s="206" t="s">
        <v>48</v>
      </c>
      <c r="AM699" s="206" t="s">
        <v>49</v>
      </c>
      <c r="AN699" s="133" t="str">
        <f>VLOOKUP(I699,Sheet1!A:D,4,)</f>
        <v>A210600</v>
      </c>
      <c r="AP699" s="4" t="s">
        <v>1014</v>
      </c>
    </row>
    <row r="700" spans="1:42" s="206" customFormat="1" x14ac:dyDescent="0.25">
      <c r="A700" s="226">
        <v>45778</v>
      </c>
      <c r="B700" s="206" t="s">
        <v>40</v>
      </c>
      <c r="C700" s="206" t="s">
        <v>41</v>
      </c>
      <c r="D700" s="221">
        <v>25708197</v>
      </c>
      <c r="E700" s="221">
        <v>25106643</v>
      </c>
      <c r="F700" s="221" t="s">
        <v>1008</v>
      </c>
      <c r="G700" s="227">
        <v>45782</v>
      </c>
      <c r="H700" s="206" t="s">
        <v>126</v>
      </c>
      <c r="I700" s="206" t="s">
        <v>140</v>
      </c>
      <c r="J700" s="206" t="s">
        <v>141</v>
      </c>
      <c r="K700" s="228">
        <v>30</v>
      </c>
      <c r="L700" s="229" t="s">
        <v>42</v>
      </c>
      <c r="M700" s="228">
        <v>30</v>
      </c>
      <c r="N700" s="228">
        <v>529937.53</v>
      </c>
      <c r="O700" s="228">
        <v>15898125.9</v>
      </c>
      <c r="P700" s="228">
        <v>15898125.9</v>
      </c>
      <c r="Q700" s="224">
        <v>0</v>
      </c>
      <c r="R700" s="224">
        <v>0</v>
      </c>
      <c r="S700" s="229" t="s">
        <v>43</v>
      </c>
      <c r="T700" s="228">
        <v>6675412.0700000003</v>
      </c>
      <c r="U700" s="228">
        <v>6675412.0700000003</v>
      </c>
      <c r="V700" s="228">
        <v>9222713.8300000001</v>
      </c>
      <c r="W700" s="230">
        <v>0.58011327171500005</v>
      </c>
      <c r="X700" s="228">
        <v>9222713.8300000001</v>
      </c>
      <c r="Y700" s="206" t="s">
        <v>69</v>
      </c>
      <c r="Z700" s="206" t="s">
        <v>46</v>
      </c>
      <c r="AA700" s="206">
        <v>2306153</v>
      </c>
      <c r="AB700" s="206" t="s">
        <v>126</v>
      </c>
      <c r="AC700" s="206" t="s">
        <v>56</v>
      </c>
      <c r="AD700" s="206" t="s">
        <v>77</v>
      </c>
      <c r="AE700" s="206">
        <v>0</v>
      </c>
      <c r="AF700" s="206" t="s">
        <v>68</v>
      </c>
      <c r="AG700" s="206" t="s">
        <v>142</v>
      </c>
      <c r="AH700" s="206" t="s">
        <v>143</v>
      </c>
      <c r="AI700" s="206" t="s">
        <v>69</v>
      </c>
      <c r="AJ700" s="206" t="s">
        <v>46</v>
      </c>
      <c r="AK700" s="206" t="s">
        <v>54</v>
      </c>
      <c r="AL700" s="206" t="s">
        <v>48</v>
      </c>
      <c r="AM700" s="206" t="s">
        <v>49</v>
      </c>
      <c r="AN700" s="133" t="str">
        <f>VLOOKUP(I700,Sheet1!A:D,4,)</f>
        <v>A320400</v>
      </c>
      <c r="AP700" s="4" t="s">
        <v>1014</v>
      </c>
    </row>
    <row r="701" spans="1:42" s="206" customFormat="1" x14ac:dyDescent="0.25">
      <c r="A701" s="226">
        <v>45778</v>
      </c>
      <c r="B701" s="206" t="s">
        <v>40</v>
      </c>
      <c r="C701" s="206" t="s">
        <v>41</v>
      </c>
      <c r="D701" s="221">
        <v>25708198</v>
      </c>
      <c r="E701" s="221">
        <v>25106645</v>
      </c>
      <c r="F701" s="221" t="s">
        <v>1005</v>
      </c>
      <c r="G701" s="227">
        <v>45782</v>
      </c>
      <c r="H701" s="206" t="s">
        <v>126</v>
      </c>
      <c r="I701" s="206" t="s">
        <v>286</v>
      </c>
      <c r="J701" s="206" t="s">
        <v>844</v>
      </c>
      <c r="K701" s="228">
        <v>30</v>
      </c>
      <c r="L701" s="229" t="s">
        <v>42</v>
      </c>
      <c r="M701" s="228">
        <v>30</v>
      </c>
      <c r="N701" s="228">
        <v>533534.76</v>
      </c>
      <c r="O701" s="228">
        <v>16006042.800000001</v>
      </c>
      <c r="P701" s="228">
        <v>16006042.800000001</v>
      </c>
      <c r="Q701" s="224">
        <v>0</v>
      </c>
      <c r="R701" s="224">
        <v>0</v>
      </c>
      <c r="S701" s="229" t="s">
        <v>43</v>
      </c>
      <c r="T701" s="228">
        <v>9896311.2599999998</v>
      </c>
      <c r="U701" s="228">
        <v>9896311.2599999998</v>
      </c>
      <c r="V701" s="228">
        <v>6109731.54</v>
      </c>
      <c r="W701" s="230">
        <v>0.38171405739300002</v>
      </c>
      <c r="X701" s="228">
        <v>6109731.54</v>
      </c>
      <c r="Y701" s="206" t="s">
        <v>69</v>
      </c>
      <c r="Z701" s="206" t="s">
        <v>46</v>
      </c>
      <c r="AA701" s="206">
        <v>2306153</v>
      </c>
      <c r="AB701" s="206" t="s">
        <v>126</v>
      </c>
      <c r="AC701" s="206" t="s">
        <v>56</v>
      </c>
      <c r="AD701" s="206" t="s">
        <v>77</v>
      </c>
      <c r="AE701" s="206">
        <v>0</v>
      </c>
      <c r="AF701" s="206" t="s">
        <v>68</v>
      </c>
      <c r="AG701" s="206" t="s">
        <v>71</v>
      </c>
      <c r="AH701" s="206" t="s">
        <v>53</v>
      </c>
      <c r="AI701" s="206" t="s">
        <v>69</v>
      </c>
      <c r="AJ701" s="206" t="s">
        <v>46</v>
      </c>
      <c r="AK701" s="206" t="s">
        <v>54</v>
      </c>
      <c r="AL701" s="206" t="s">
        <v>48</v>
      </c>
      <c r="AM701" s="206" t="s">
        <v>49</v>
      </c>
      <c r="AN701" s="133" t="str">
        <f>VLOOKUP(I701,Sheet1!A:D,4,)</f>
        <v>A320400</v>
      </c>
      <c r="AP701" s="4" t="s">
        <v>1014</v>
      </c>
    </row>
    <row r="702" spans="1:42" s="206" customFormat="1" x14ac:dyDescent="0.25">
      <c r="A702" s="226">
        <v>45778</v>
      </c>
      <c r="B702" s="206" t="s">
        <v>40</v>
      </c>
      <c r="C702" s="206" t="s">
        <v>41</v>
      </c>
      <c r="D702" s="221">
        <v>25708199</v>
      </c>
      <c r="E702" s="221">
        <v>25106658</v>
      </c>
      <c r="F702" s="221" t="s">
        <v>1009</v>
      </c>
      <c r="G702" s="227">
        <v>45782</v>
      </c>
      <c r="H702" s="206" t="s">
        <v>115</v>
      </c>
      <c r="I702" s="206" t="s">
        <v>287</v>
      </c>
      <c r="J702" s="206" t="s">
        <v>816</v>
      </c>
      <c r="K702" s="228">
        <v>325</v>
      </c>
      <c r="L702" s="229" t="s">
        <v>42</v>
      </c>
      <c r="M702" s="228">
        <v>325</v>
      </c>
      <c r="N702" s="228">
        <v>505410.96</v>
      </c>
      <c r="O702" s="228">
        <v>164258562</v>
      </c>
      <c r="P702" s="228">
        <v>164258562</v>
      </c>
      <c r="Q702" s="224">
        <v>0</v>
      </c>
      <c r="R702" s="224">
        <v>0</v>
      </c>
      <c r="S702" s="229" t="s">
        <v>43</v>
      </c>
      <c r="T702" s="228">
        <v>67209389.299999997</v>
      </c>
      <c r="U702" s="228">
        <v>67209389.299999997</v>
      </c>
      <c r="V702" s="228">
        <v>97049172.700000003</v>
      </c>
      <c r="W702" s="230">
        <v>0.590831744283</v>
      </c>
      <c r="X702" s="228">
        <v>97049172.700000003</v>
      </c>
      <c r="Y702" s="206" t="s">
        <v>66</v>
      </c>
      <c r="Z702" s="206" t="s">
        <v>44</v>
      </c>
      <c r="AA702" s="206">
        <v>15159</v>
      </c>
      <c r="AB702" s="206" t="s">
        <v>118</v>
      </c>
      <c r="AC702" s="206" t="s">
        <v>154</v>
      </c>
      <c r="AD702" s="206" t="s">
        <v>155</v>
      </c>
      <c r="AE702" s="206">
        <v>0</v>
      </c>
      <c r="AF702" s="206" t="s">
        <v>72</v>
      </c>
      <c r="AG702" s="206" t="s">
        <v>69</v>
      </c>
      <c r="AH702" s="206" t="s">
        <v>46</v>
      </c>
      <c r="AI702" s="206" t="s">
        <v>69</v>
      </c>
      <c r="AJ702" s="206" t="s">
        <v>46</v>
      </c>
      <c r="AK702" s="206" t="s">
        <v>54</v>
      </c>
      <c r="AL702" s="206" t="s">
        <v>48</v>
      </c>
      <c r="AM702" s="206" t="s">
        <v>49</v>
      </c>
      <c r="AN702" s="133" t="str">
        <f>VLOOKUP(I702,Sheet1!A:D,4,)</f>
        <v>A320400</v>
      </c>
      <c r="AP702" s="4" t="s">
        <v>1014</v>
      </c>
    </row>
    <row r="703" spans="1:42" s="206" customFormat="1" x14ac:dyDescent="0.25">
      <c r="A703" s="226">
        <v>45778</v>
      </c>
      <c r="B703" s="206" t="s">
        <v>40</v>
      </c>
      <c r="C703" s="206" t="s">
        <v>41</v>
      </c>
      <c r="D703" s="221">
        <v>25708199</v>
      </c>
      <c r="E703" s="221">
        <v>25106658</v>
      </c>
      <c r="F703" s="221" t="s">
        <v>1009</v>
      </c>
      <c r="G703" s="227">
        <v>45782</v>
      </c>
      <c r="H703" s="206" t="s">
        <v>115</v>
      </c>
      <c r="I703" s="206" t="s">
        <v>306</v>
      </c>
      <c r="J703" s="206" t="s">
        <v>821</v>
      </c>
      <c r="K703" s="228">
        <v>35</v>
      </c>
      <c r="L703" s="229" t="s">
        <v>42</v>
      </c>
      <c r="M703" s="228">
        <v>35</v>
      </c>
      <c r="N703" s="228">
        <v>5852040.7999999998</v>
      </c>
      <c r="O703" s="228">
        <v>204821428</v>
      </c>
      <c r="P703" s="228">
        <v>204821428</v>
      </c>
      <c r="Q703" s="224">
        <v>0</v>
      </c>
      <c r="R703" s="224">
        <v>0</v>
      </c>
      <c r="S703" s="229" t="s">
        <v>43</v>
      </c>
      <c r="T703" s="228">
        <v>75979286.319999993</v>
      </c>
      <c r="U703" s="228">
        <v>75979286.319999993</v>
      </c>
      <c r="V703" s="228">
        <v>128842141.68000001</v>
      </c>
      <c r="W703" s="230">
        <v>0.62904620350499996</v>
      </c>
      <c r="X703" s="228">
        <v>128842141.68000001</v>
      </c>
      <c r="Y703" s="206" t="s">
        <v>66</v>
      </c>
      <c r="Z703" s="206" t="s">
        <v>44</v>
      </c>
      <c r="AA703" s="206">
        <v>15159</v>
      </c>
      <c r="AB703" s="206" t="s">
        <v>118</v>
      </c>
      <c r="AC703" s="206" t="s">
        <v>154</v>
      </c>
      <c r="AD703" s="206" t="s">
        <v>155</v>
      </c>
      <c r="AE703" s="206">
        <v>0</v>
      </c>
      <c r="AF703" s="206" t="s">
        <v>68</v>
      </c>
      <c r="AG703" s="206" t="s">
        <v>71</v>
      </c>
      <c r="AH703" s="206" t="s">
        <v>53</v>
      </c>
      <c r="AI703" s="206" t="s">
        <v>69</v>
      </c>
      <c r="AJ703" s="206" t="s">
        <v>46</v>
      </c>
      <c r="AK703" s="206" t="s">
        <v>54</v>
      </c>
      <c r="AL703" s="206" t="s">
        <v>48</v>
      </c>
      <c r="AM703" s="206" t="s">
        <v>49</v>
      </c>
      <c r="AN703" s="133" t="str">
        <f>VLOOKUP(I703,Sheet1!A:D,4,)</f>
        <v>A320400</v>
      </c>
      <c r="AP703" s="4" t="s">
        <v>1014</v>
      </c>
    </row>
    <row r="704" spans="1:42" s="206" customFormat="1" x14ac:dyDescent="0.25">
      <c r="A704" s="226">
        <v>45778</v>
      </c>
      <c r="B704" s="206" t="s">
        <v>40</v>
      </c>
      <c r="C704" s="206" t="s">
        <v>41</v>
      </c>
      <c r="D704" s="221">
        <v>25708200</v>
      </c>
      <c r="E704" s="221">
        <v>25106659</v>
      </c>
      <c r="F704" s="221" t="s">
        <v>1010</v>
      </c>
      <c r="G704" s="227">
        <v>45782</v>
      </c>
      <c r="H704" s="206" t="s">
        <v>115</v>
      </c>
      <c r="I704" s="206" t="s">
        <v>267</v>
      </c>
      <c r="J704" s="206" t="s">
        <v>754</v>
      </c>
      <c r="K704" s="228">
        <v>30</v>
      </c>
      <c r="L704" s="229" t="s">
        <v>42</v>
      </c>
      <c r="M704" s="228">
        <v>30</v>
      </c>
      <c r="N704" s="228">
        <v>1526043.5</v>
      </c>
      <c r="O704" s="228">
        <v>45781305</v>
      </c>
      <c r="P704" s="228">
        <v>45781305</v>
      </c>
      <c r="Q704" s="224">
        <v>0</v>
      </c>
      <c r="R704" s="224">
        <v>0</v>
      </c>
      <c r="S704" s="229" t="s">
        <v>43</v>
      </c>
      <c r="T704" s="228">
        <v>11658122.630000001</v>
      </c>
      <c r="U704" s="228">
        <v>11658122.630000001</v>
      </c>
      <c r="V704" s="228">
        <v>34123182.369999997</v>
      </c>
      <c r="W704" s="230">
        <v>0.745351893529</v>
      </c>
      <c r="X704" s="228">
        <v>34123182.369999997</v>
      </c>
      <c r="Y704" s="206" t="s">
        <v>66</v>
      </c>
      <c r="Z704" s="206" t="s">
        <v>44</v>
      </c>
      <c r="AA704" s="206">
        <v>15159</v>
      </c>
      <c r="AB704" s="206" t="s">
        <v>118</v>
      </c>
      <c r="AC704" s="206" t="s">
        <v>154</v>
      </c>
      <c r="AD704" s="206" t="s">
        <v>155</v>
      </c>
      <c r="AE704" s="206">
        <v>0</v>
      </c>
      <c r="AF704" s="206" t="s">
        <v>68</v>
      </c>
      <c r="AG704" s="206" t="s">
        <v>142</v>
      </c>
      <c r="AH704" s="206" t="s">
        <v>143</v>
      </c>
      <c r="AI704" s="206" t="s">
        <v>69</v>
      </c>
      <c r="AJ704" s="206" t="s">
        <v>46</v>
      </c>
      <c r="AK704" s="206" t="s">
        <v>54</v>
      </c>
      <c r="AL704" s="206" t="s">
        <v>48</v>
      </c>
      <c r="AM704" s="206" t="s">
        <v>49</v>
      </c>
      <c r="AN704" s="133" t="str">
        <f>VLOOKUP(I704,Sheet1!A:D,4,)</f>
        <v>A320400</v>
      </c>
      <c r="AP704" s="4" t="s">
        <v>1014</v>
      </c>
    </row>
    <row r="705" spans="1:42" s="206" customFormat="1" x14ac:dyDescent="0.25">
      <c r="A705" s="226">
        <v>45778</v>
      </c>
      <c r="B705" s="206" t="s">
        <v>40</v>
      </c>
      <c r="C705" s="206" t="s">
        <v>41</v>
      </c>
      <c r="D705" s="221">
        <v>25708201</v>
      </c>
      <c r="E705" s="221">
        <v>25106666</v>
      </c>
      <c r="F705" s="221" t="s">
        <v>1011</v>
      </c>
      <c r="G705" s="227">
        <v>45782</v>
      </c>
      <c r="H705" s="206" t="s">
        <v>115</v>
      </c>
      <c r="I705" s="206" t="s">
        <v>463</v>
      </c>
      <c r="J705" s="206" t="s">
        <v>1012</v>
      </c>
      <c r="K705" s="228">
        <v>140</v>
      </c>
      <c r="L705" s="229" t="s">
        <v>42</v>
      </c>
      <c r="M705" s="228">
        <v>140</v>
      </c>
      <c r="N705" s="228">
        <v>1859441.41</v>
      </c>
      <c r="O705" s="228">
        <v>260321797.40000001</v>
      </c>
      <c r="P705" s="228">
        <v>260321797.40000001</v>
      </c>
      <c r="Q705" s="224">
        <v>0</v>
      </c>
      <c r="R705" s="224">
        <v>0</v>
      </c>
      <c r="S705" s="229" t="s">
        <v>43</v>
      </c>
      <c r="T705" s="228">
        <v>225322078.80000001</v>
      </c>
      <c r="U705" s="228">
        <v>225322078.80000001</v>
      </c>
      <c r="V705" s="228">
        <v>34999718.600000001</v>
      </c>
      <c r="W705" s="230">
        <v>0.13444789852200001</v>
      </c>
      <c r="X705" s="228">
        <v>34999718.600000001</v>
      </c>
      <c r="Y705" s="206" t="s">
        <v>66</v>
      </c>
      <c r="Z705" s="206" t="s">
        <v>44</v>
      </c>
      <c r="AA705" s="206">
        <v>15159</v>
      </c>
      <c r="AB705" s="206" t="s">
        <v>118</v>
      </c>
      <c r="AC705" s="206" t="s">
        <v>154</v>
      </c>
      <c r="AD705" s="206" t="s">
        <v>155</v>
      </c>
      <c r="AE705" s="206">
        <v>0</v>
      </c>
      <c r="AF705" s="206" t="s">
        <v>72</v>
      </c>
      <c r="AG705" s="206" t="s">
        <v>69</v>
      </c>
      <c r="AH705" s="206" t="s">
        <v>46</v>
      </c>
      <c r="AI705" s="206" t="s">
        <v>69</v>
      </c>
      <c r="AJ705" s="206" t="s">
        <v>46</v>
      </c>
      <c r="AK705" s="206" t="s">
        <v>54</v>
      </c>
      <c r="AL705" s="206" t="s">
        <v>48</v>
      </c>
      <c r="AM705" s="206" t="s">
        <v>49</v>
      </c>
      <c r="AN705" s="133" t="str">
        <f>VLOOKUP(I705,Sheet1!A:D,4,)</f>
        <v>A320400</v>
      </c>
      <c r="AP705" s="4" t="s">
        <v>1014</v>
      </c>
    </row>
    <row r="706" spans="1:42" s="206" customFormat="1" x14ac:dyDescent="0.25">
      <c r="A706" s="226">
        <v>45778</v>
      </c>
      <c r="B706" s="206" t="s">
        <v>40</v>
      </c>
      <c r="C706" s="206" t="s">
        <v>41</v>
      </c>
      <c r="D706" s="221">
        <v>25708202</v>
      </c>
      <c r="E706" s="221">
        <v>25106668</v>
      </c>
      <c r="F706" s="221" t="s">
        <v>998</v>
      </c>
      <c r="G706" s="227">
        <v>45782</v>
      </c>
      <c r="H706" s="206" t="s">
        <v>126</v>
      </c>
      <c r="I706" s="206" t="s">
        <v>140</v>
      </c>
      <c r="J706" s="206" t="s">
        <v>141</v>
      </c>
      <c r="K706" s="228">
        <v>40</v>
      </c>
      <c r="L706" s="229" t="s">
        <v>42</v>
      </c>
      <c r="M706" s="228">
        <v>40</v>
      </c>
      <c r="N706" s="228">
        <v>529937.53</v>
      </c>
      <c r="O706" s="228">
        <v>21197501.199999999</v>
      </c>
      <c r="P706" s="228">
        <v>21197501.199999999</v>
      </c>
      <c r="Q706" s="224">
        <v>0</v>
      </c>
      <c r="R706" s="224">
        <v>0</v>
      </c>
      <c r="S706" s="229" t="s">
        <v>43</v>
      </c>
      <c r="T706" s="228">
        <v>8900549.4299999997</v>
      </c>
      <c r="U706" s="228">
        <v>8900549.4299999997</v>
      </c>
      <c r="V706" s="228">
        <v>12296951.77</v>
      </c>
      <c r="W706" s="230">
        <v>0.58011327155799997</v>
      </c>
      <c r="X706" s="228">
        <v>12296951.77</v>
      </c>
      <c r="Y706" s="206" t="s">
        <v>69</v>
      </c>
      <c r="Z706" s="206" t="s">
        <v>46</v>
      </c>
      <c r="AA706" s="206">
        <v>2306153</v>
      </c>
      <c r="AB706" s="206" t="s">
        <v>126</v>
      </c>
      <c r="AC706" s="206" t="s">
        <v>56</v>
      </c>
      <c r="AD706" s="206" t="s">
        <v>77</v>
      </c>
      <c r="AE706" s="206">
        <v>0</v>
      </c>
      <c r="AF706" s="206" t="s">
        <v>68</v>
      </c>
      <c r="AG706" s="206" t="s">
        <v>142</v>
      </c>
      <c r="AH706" s="206" t="s">
        <v>143</v>
      </c>
      <c r="AI706" s="206" t="s">
        <v>69</v>
      </c>
      <c r="AJ706" s="206" t="s">
        <v>46</v>
      </c>
      <c r="AK706" s="206" t="s">
        <v>54</v>
      </c>
      <c r="AL706" s="206" t="s">
        <v>48</v>
      </c>
      <c r="AM706" s="206" t="s">
        <v>49</v>
      </c>
      <c r="AN706" s="133" t="str">
        <f>VLOOKUP(I706,Sheet1!A:D,4,)</f>
        <v>A320400</v>
      </c>
      <c r="AP706" s="4" t="s">
        <v>1014</v>
      </c>
    </row>
    <row r="707" spans="1:42" s="206" customFormat="1" x14ac:dyDescent="0.25">
      <c r="A707" s="226">
        <v>45778</v>
      </c>
      <c r="B707" s="206" t="s">
        <v>40</v>
      </c>
      <c r="C707" s="206" t="s">
        <v>41</v>
      </c>
      <c r="D707" s="221">
        <v>25708203</v>
      </c>
      <c r="E707" s="221">
        <v>25106708</v>
      </c>
      <c r="F707" s="221" t="s">
        <v>1013</v>
      </c>
      <c r="G707" s="227">
        <v>45783</v>
      </c>
      <c r="H707" s="206" t="s">
        <v>115</v>
      </c>
      <c r="I707" s="206" t="s">
        <v>146</v>
      </c>
      <c r="J707" s="206" t="s">
        <v>147</v>
      </c>
      <c r="K707" s="228">
        <v>2</v>
      </c>
      <c r="L707" s="229" t="s">
        <v>42</v>
      </c>
      <c r="M707" s="228">
        <v>2</v>
      </c>
      <c r="N707" s="228">
        <v>11279683.130000001</v>
      </c>
      <c r="O707" s="228">
        <v>22559366.260000002</v>
      </c>
      <c r="P707" s="228">
        <v>22559366.260000002</v>
      </c>
      <c r="Q707" s="224">
        <v>0</v>
      </c>
      <c r="R707" s="224">
        <v>0</v>
      </c>
      <c r="S707" s="229" t="s">
        <v>43</v>
      </c>
      <c r="T707" s="228">
        <v>13293648.52</v>
      </c>
      <c r="U707" s="228">
        <v>13293648.52</v>
      </c>
      <c r="V707" s="228">
        <v>9265717.7400000002</v>
      </c>
      <c r="W707" s="230">
        <v>0.41072597666100003</v>
      </c>
      <c r="X707" s="228">
        <v>9265717.7400000002</v>
      </c>
      <c r="Y707" s="206" t="s">
        <v>66</v>
      </c>
      <c r="Z707" s="206" t="s">
        <v>44</v>
      </c>
      <c r="AA707" s="206">
        <v>15159</v>
      </c>
      <c r="AB707" s="206" t="s">
        <v>118</v>
      </c>
      <c r="AC707" s="206" t="s">
        <v>154</v>
      </c>
      <c r="AD707" s="206" t="s">
        <v>155</v>
      </c>
      <c r="AE707" s="206">
        <v>0</v>
      </c>
      <c r="AF707" s="206" t="s">
        <v>68</v>
      </c>
      <c r="AG707" s="206" t="s">
        <v>69</v>
      </c>
      <c r="AH707" s="206" t="s">
        <v>46</v>
      </c>
      <c r="AI707" s="206" t="s">
        <v>69</v>
      </c>
      <c r="AJ707" s="206" t="s">
        <v>46</v>
      </c>
      <c r="AK707" s="206" t="s">
        <v>54</v>
      </c>
      <c r="AL707" s="206" t="s">
        <v>48</v>
      </c>
      <c r="AM707" s="206" t="s">
        <v>49</v>
      </c>
      <c r="AN707" s="133" t="str">
        <f>VLOOKUP(I707,Sheet1!A:D,4,)</f>
        <v>A320400</v>
      </c>
      <c r="AP707" s="4" t="s">
        <v>1014</v>
      </c>
    </row>
    <row r="708" spans="1:42" s="206" customFormat="1" x14ac:dyDescent="0.25">
      <c r="A708" s="226">
        <v>45778</v>
      </c>
      <c r="B708" s="206" t="s">
        <v>40</v>
      </c>
      <c r="C708" s="206" t="s">
        <v>41</v>
      </c>
      <c r="D708" s="221">
        <v>25708204</v>
      </c>
      <c r="E708" s="221">
        <v>25106583</v>
      </c>
      <c r="F708" s="221" t="s">
        <v>778</v>
      </c>
      <c r="G708" s="227">
        <v>45786</v>
      </c>
      <c r="H708" s="206" t="s">
        <v>126</v>
      </c>
      <c r="I708" s="206" t="s">
        <v>134</v>
      </c>
      <c r="J708" s="206" t="s">
        <v>135</v>
      </c>
      <c r="K708" s="228">
        <v>1200</v>
      </c>
      <c r="L708" s="229" t="s">
        <v>42</v>
      </c>
      <c r="M708" s="228">
        <v>1200</v>
      </c>
      <c r="N708" s="228">
        <v>430314.3</v>
      </c>
      <c r="O708" s="228">
        <v>516377160</v>
      </c>
      <c r="P708" s="228">
        <v>516377160</v>
      </c>
      <c r="Q708" s="224">
        <v>0</v>
      </c>
      <c r="R708" s="224">
        <v>0</v>
      </c>
      <c r="S708" s="229" t="s">
        <v>43</v>
      </c>
      <c r="T708" s="228">
        <v>214909335.00999999</v>
      </c>
      <c r="U708" s="228">
        <v>214909335.00999999</v>
      </c>
      <c r="V708" s="228">
        <v>301467824.99000001</v>
      </c>
      <c r="W708" s="230">
        <v>0.58381324416000002</v>
      </c>
      <c r="X708" s="228">
        <v>301467824.99000001</v>
      </c>
      <c r="Y708" s="206" t="s">
        <v>69</v>
      </c>
      <c r="Z708" s="206" t="s">
        <v>46</v>
      </c>
      <c r="AA708" s="206">
        <v>2306153</v>
      </c>
      <c r="AB708" s="206" t="s">
        <v>126</v>
      </c>
      <c r="AC708" s="206" t="s">
        <v>56</v>
      </c>
      <c r="AD708" s="206" t="s">
        <v>77</v>
      </c>
      <c r="AE708" s="206">
        <v>0</v>
      </c>
      <c r="AF708" s="206" t="s">
        <v>68</v>
      </c>
      <c r="AG708" s="206" t="s">
        <v>71</v>
      </c>
      <c r="AH708" s="206" t="s">
        <v>53</v>
      </c>
      <c r="AI708" s="206" t="s">
        <v>69</v>
      </c>
      <c r="AJ708" s="206" t="s">
        <v>46</v>
      </c>
      <c r="AK708" s="206" t="s">
        <v>54</v>
      </c>
      <c r="AL708" s="206" t="s">
        <v>48</v>
      </c>
      <c r="AM708" s="206" t="s">
        <v>49</v>
      </c>
      <c r="AN708" s="133" t="str">
        <f>VLOOKUP(I708,Sheet1!A:D,4,)</f>
        <v>A320400</v>
      </c>
      <c r="AP708" s="4" t="s">
        <v>1016</v>
      </c>
    </row>
    <row r="709" spans="1:42" s="206" customFormat="1" x14ac:dyDescent="0.25">
      <c r="A709" s="226">
        <v>45778</v>
      </c>
      <c r="B709" s="206" t="s">
        <v>40</v>
      </c>
      <c r="C709" s="206" t="s">
        <v>41</v>
      </c>
      <c r="D709" s="221">
        <v>25708204</v>
      </c>
      <c r="E709" s="221">
        <v>25106583</v>
      </c>
      <c r="F709" s="221" t="s">
        <v>778</v>
      </c>
      <c r="G709" s="227">
        <v>45786</v>
      </c>
      <c r="H709" s="206" t="s">
        <v>126</v>
      </c>
      <c r="I709" s="206" t="s">
        <v>137</v>
      </c>
      <c r="J709" s="206" t="s">
        <v>138</v>
      </c>
      <c r="K709" s="228">
        <v>600</v>
      </c>
      <c r="L709" s="229" t="s">
        <v>42</v>
      </c>
      <c r="M709" s="228">
        <v>600</v>
      </c>
      <c r="N709" s="228">
        <v>753491.08</v>
      </c>
      <c r="O709" s="228">
        <v>452094648</v>
      </c>
      <c r="P709" s="228">
        <v>452094648</v>
      </c>
      <c r="Q709" s="224">
        <v>0</v>
      </c>
      <c r="R709" s="224">
        <v>0</v>
      </c>
      <c r="S709" s="229" t="s">
        <v>43</v>
      </c>
      <c r="T709" s="228">
        <v>254458887</v>
      </c>
      <c r="U709" s="228">
        <v>254458887</v>
      </c>
      <c r="V709" s="228">
        <v>197635761</v>
      </c>
      <c r="W709" s="230">
        <v>0.43715571921500002</v>
      </c>
      <c r="X709" s="228">
        <v>197635761</v>
      </c>
      <c r="Y709" s="206" t="s">
        <v>69</v>
      </c>
      <c r="Z709" s="206" t="s">
        <v>46</v>
      </c>
      <c r="AA709" s="206">
        <v>2306153</v>
      </c>
      <c r="AB709" s="206" t="s">
        <v>126</v>
      </c>
      <c r="AC709" s="206" t="s">
        <v>56</v>
      </c>
      <c r="AD709" s="206" t="s">
        <v>77</v>
      </c>
      <c r="AE709" s="206">
        <v>0</v>
      </c>
      <c r="AF709" s="206" t="s">
        <v>72</v>
      </c>
      <c r="AG709" s="206" t="s">
        <v>69</v>
      </c>
      <c r="AH709" s="206" t="s">
        <v>46</v>
      </c>
      <c r="AI709" s="206" t="s">
        <v>69</v>
      </c>
      <c r="AJ709" s="206" t="s">
        <v>46</v>
      </c>
      <c r="AK709" s="206" t="s">
        <v>54</v>
      </c>
      <c r="AL709" s="206" t="s">
        <v>48</v>
      </c>
      <c r="AM709" s="206" t="s">
        <v>49</v>
      </c>
      <c r="AN709" s="133" t="str">
        <f>VLOOKUP(I709,Sheet1!A:D,4,)</f>
        <v>A320400</v>
      </c>
      <c r="AP709" s="4" t="s">
        <v>1016</v>
      </c>
    </row>
    <row r="710" spans="1:42" s="206" customFormat="1" x14ac:dyDescent="0.25">
      <c r="A710" s="226">
        <v>45778</v>
      </c>
      <c r="B710" s="206" t="s">
        <v>40</v>
      </c>
      <c r="C710" s="206" t="s">
        <v>41</v>
      </c>
      <c r="D710" s="221">
        <v>25708205</v>
      </c>
      <c r="E710" s="221">
        <v>25106605</v>
      </c>
      <c r="F710" s="221" t="s">
        <v>1015</v>
      </c>
      <c r="G710" s="227">
        <v>45786</v>
      </c>
      <c r="H710" s="206" t="s">
        <v>115</v>
      </c>
      <c r="I710" s="206" t="s">
        <v>134</v>
      </c>
      <c r="J710" s="206" t="s">
        <v>135</v>
      </c>
      <c r="K710" s="228">
        <v>300</v>
      </c>
      <c r="L710" s="229" t="s">
        <v>42</v>
      </c>
      <c r="M710" s="228">
        <v>300</v>
      </c>
      <c r="N710" s="228">
        <v>416190.69</v>
      </c>
      <c r="O710" s="228">
        <v>124857207</v>
      </c>
      <c r="P710" s="228">
        <v>124857207</v>
      </c>
      <c r="Q710" s="224">
        <v>0</v>
      </c>
      <c r="R710" s="224">
        <v>0</v>
      </c>
      <c r="S710" s="229" t="s">
        <v>43</v>
      </c>
      <c r="T710" s="228">
        <v>53727333.75</v>
      </c>
      <c r="U710" s="228">
        <v>53727333.75</v>
      </c>
      <c r="V710" s="228">
        <v>71129873.25</v>
      </c>
      <c r="W710" s="230">
        <v>0.56968976768699997</v>
      </c>
      <c r="X710" s="228">
        <v>71129873.25</v>
      </c>
      <c r="Y710" s="206" t="s">
        <v>66</v>
      </c>
      <c r="Z710" s="206" t="s">
        <v>44</v>
      </c>
      <c r="AA710" s="206">
        <v>15159</v>
      </c>
      <c r="AB710" s="206" t="s">
        <v>118</v>
      </c>
      <c r="AC710" s="206" t="s">
        <v>154</v>
      </c>
      <c r="AD710" s="206" t="s">
        <v>155</v>
      </c>
      <c r="AE710" s="206">
        <v>0</v>
      </c>
      <c r="AF710" s="206" t="s">
        <v>68</v>
      </c>
      <c r="AG710" s="206" t="s">
        <v>71</v>
      </c>
      <c r="AH710" s="206" t="s">
        <v>53</v>
      </c>
      <c r="AI710" s="206" t="s">
        <v>69</v>
      </c>
      <c r="AJ710" s="206" t="s">
        <v>46</v>
      </c>
      <c r="AK710" s="206" t="s">
        <v>54</v>
      </c>
      <c r="AL710" s="206" t="s">
        <v>48</v>
      </c>
      <c r="AM710" s="206" t="s">
        <v>49</v>
      </c>
      <c r="AN710" s="133" t="str">
        <f>VLOOKUP(I710,Sheet1!A:D,4,)</f>
        <v>A320400</v>
      </c>
      <c r="AP710" s="4" t="s">
        <v>1016</v>
      </c>
    </row>
    <row r="711" spans="1:42" s="206" customFormat="1" x14ac:dyDescent="0.25">
      <c r="A711" s="226">
        <v>45778</v>
      </c>
      <c r="B711" s="206" t="s">
        <v>40</v>
      </c>
      <c r="C711" s="206" t="s">
        <v>41</v>
      </c>
      <c r="D711" s="221">
        <v>25708206</v>
      </c>
      <c r="E711" s="221">
        <v>25106638</v>
      </c>
      <c r="F711" s="221" t="s">
        <v>965</v>
      </c>
      <c r="G711" s="227">
        <v>45786</v>
      </c>
      <c r="H711" s="206" t="s">
        <v>126</v>
      </c>
      <c r="I711" s="206" t="s">
        <v>134</v>
      </c>
      <c r="J711" s="206" t="s">
        <v>135</v>
      </c>
      <c r="K711" s="228">
        <v>200</v>
      </c>
      <c r="L711" s="229" t="s">
        <v>42</v>
      </c>
      <c r="M711" s="228">
        <v>200</v>
      </c>
      <c r="N711" s="228">
        <v>438698.67</v>
      </c>
      <c r="O711" s="228">
        <v>87739734</v>
      </c>
      <c r="P711" s="228">
        <v>87739734</v>
      </c>
      <c r="Q711" s="224">
        <v>0</v>
      </c>
      <c r="R711" s="224">
        <v>0</v>
      </c>
      <c r="S711" s="229" t="s">
        <v>43</v>
      </c>
      <c r="T711" s="228">
        <v>35818222.5</v>
      </c>
      <c r="U711" s="228">
        <v>35818222.5</v>
      </c>
      <c r="V711" s="228">
        <v>51921511.5</v>
      </c>
      <c r="W711" s="230">
        <v>0.59176736847599998</v>
      </c>
      <c r="X711" s="228">
        <v>51921511.5</v>
      </c>
      <c r="Y711" s="206" t="s">
        <v>69</v>
      </c>
      <c r="Z711" s="206" t="s">
        <v>46</v>
      </c>
      <c r="AA711" s="206">
        <v>2306153</v>
      </c>
      <c r="AB711" s="206" t="s">
        <v>126</v>
      </c>
      <c r="AC711" s="206" t="s">
        <v>56</v>
      </c>
      <c r="AD711" s="206" t="s">
        <v>77</v>
      </c>
      <c r="AE711" s="206">
        <v>0</v>
      </c>
      <c r="AF711" s="206" t="s">
        <v>68</v>
      </c>
      <c r="AG711" s="206" t="s">
        <v>71</v>
      </c>
      <c r="AH711" s="206" t="s">
        <v>53</v>
      </c>
      <c r="AI711" s="206" t="s">
        <v>69</v>
      </c>
      <c r="AJ711" s="206" t="s">
        <v>46</v>
      </c>
      <c r="AK711" s="206" t="s">
        <v>54</v>
      </c>
      <c r="AL711" s="206" t="s">
        <v>48</v>
      </c>
      <c r="AM711" s="206" t="s">
        <v>49</v>
      </c>
      <c r="AN711" s="133" t="str">
        <f>VLOOKUP(I711,Sheet1!A:D,4,)</f>
        <v>A320400</v>
      </c>
      <c r="AP711" s="4" t="s">
        <v>1016</v>
      </c>
    </row>
    <row r="712" spans="1:42" s="206" customFormat="1" x14ac:dyDescent="0.25">
      <c r="A712" s="226">
        <v>45778</v>
      </c>
      <c r="B712" s="206" t="s">
        <v>40</v>
      </c>
      <c r="C712" s="206" t="s">
        <v>41</v>
      </c>
      <c r="D712" s="221">
        <v>25708210</v>
      </c>
      <c r="E712" s="221">
        <v>24106495</v>
      </c>
      <c r="F712" s="221" t="s">
        <v>1021</v>
      </c>
      <c r="G712" s="227">
        <v>45791</v>
      </c>
      <c r="H712" s="206" t="s">
        <v>126</v>
      </c>
      <c r="I712" s="206" t="s">
        <v>398</v>
      </c>
      <c r="J712" s="206" t="s">
        <v>843</v>
      </c>
      <c r="K712" s="228">
        <v>100</v>
      </c>
      <c r="L712" s="229" t="s">
        <v>42</v>
      </c>
      <c r="M712" s="228">
        <v>100</v>
      </c>
      <c r="N712" s="228">
        <v>1487070.6</v>
      </c>
      <c r="O712" s="228">
        <v>148707060</v>
      </c>
      <c r="P712" s="228">
        <v>148707060</v>
      </c>
      <c r="Q712" s="224">
        <v>0</v>
      </c>
      <c r="R712" s="224">
        <v>0</v>
      </c>
      <c r="S712" s="229" t="s">
        <v>43</v>
      </c>
      <c r="T712" s="228">
        <v>110212856.5</v>
      </c>
      <c r="U712" s="228">
        <v>110212856.5</v>
      </c>
      <c r="V712" s="228">
        <v>38494203.5</v>
      </c>
      <c r="W712" s="230">
        <v>0.25885928684199999</v>
      </c>
      <c r="X712" s="228">
        <v>38494203.5</v>
      </c>
      <c r="Y712" s="206" t="s">
        <v>69</v>
      </c>
      <c r="Z712" s="206" t="s">
        <v>46</v>
      </c>
      <c r="AA712" s="206">
        <v>2306153</v>
      </c>
      <c r="AB712" s="206" t="s">
        <v>126</v>
      </c>
      <c r="AC712" s="206" t="s">
        <v>56</v>
      </c>
      <c r="AD712" s="206" t="s">
        <v>77</v>
      </c>
      <c r="AE712" s="206">
        <v>0</v>
      </c>
      <c r="AF712" s="206" t="s">
        <v>124</v>
      </c>
      <c r="AG712" s="206" t="s">
        <v>81</v>
      </c>
      <c r="AH712" s="206" t="s">
        <v>57</v>
      </c>
      <c r="AI712" s="206" t="s">
        <v>69</v>
      </c>
      <c r="AJ712" s="206" t="s">
        <v>46</v>
      </c>
      <c r="AK712" s="206" t="s">
        <v>54</v>
      </c>
      <c r="AL712" s="206" t="s">
        <v>48</v>
      </c>
      <c r="AM712" s="206" t="s">
        <v>49</v>
      </c>
      <c r="AN712" s="133" t="str">
        <f>VLOOKUP(I712,Sheet1!A:D,4,)</f>
        <v>A320400</v>
      </c>
      <c r="AP712" s="4" t="s">
        <v>1029</v>
      </c>
    </row>
    <row r="713" spans="1:42" s="206" customFormat="1" x14ac:dyDescent="0.25">
      <c r="A713" s="226">
        <v>45778</v>
      </c>
      <c r="B713" s="206" t="s">
        <v>40</v>
      </c>
      <c r="C713" s="206" t="s">
        <v>41</v>
      </c>
      <c r="D713" s="221">
        <v>25708211</v>
      </c>
      <c r="E713" s="221">
        <v>24106502</v>
      </c>
      <c r="F713" s="221" t="s">
        <v>269</v>
      </c>
      <c r="G713" s="227">
        <v>45791</v>
      </c>
      <c r="H713" s="206" t="s">
        <v>126</v>
      </c>
      <c r="I713" s="206" t="s">
        <v>428</v>
      </c>
      <c r="J713" s="206" t="s">
        <v>641</v>
      </c>
      <c r="K713" s="228">
        <v>100</v>
      </c>
      <c r="L713" s="229" t="s">
        <v>42</v>
      </c>
      <c r="M713" s="228">
        <v>100</v>
      </c>
      <c r="N713" s="228">
        <v>313075.82</v>
      </c>
      <c r="O713" s="228">
        <v>31307582</v>
      </c>
      <c r="P713" s="228">
        <v>31307582</v>
      </c>
      <c r="Q713" s="224">
        <v>0</v>
      </c>
      <c r="R713" s="224">
        <v>0</v>
      </c>
      <c r="S713" s="229" t="s">
        <v>43</v>
      </c>
      <c r="T713" s="228">
        <v>29458507.25</v>
      </c>
      <c r="U713" s="228">
        <v>29458507.25</v>
      </c>
      <c r="V713" s="228">
        <v>1849074.75</v>
      </c>
      <c r="W713" s="230">
        <v>5.9061563744999997E-2</v>
      </c>
      <c r="X713" s="228">
        <v>1849074.75</v>
      </c>
      <c r="Y713" s="206" t="s">
        <v>69</v>
      </c>
      <c r="Z713" s="206" t="s">
        <v>46</v>
      </c>
      <c r="AA713" s="206">
        <v>2306153</v>
      </c>
      <c r="AB713" s="206" t="s">
        <v>126</v>
      </c>
      <c r="AC713" s="206" t="s">
        <v>56</v>
      </c>
      <c r="AD713" s="206" t="s">
        <v>77</v>
      </c>
      <c r="AE713" s="206">
        <v>0</v>
      </c>
      <c r="AF713" s="206" t="s">
        <v>119</v>
      </c>
      <c r="AG713" s="206" t="s">
        <v>120</v>
      </c>
      <c r="AH713" s="206" t="s">
        <v>121</v>
      </c>
      <c r="AI713" s="206" t="s">
        <v>69</v>
      </c>
      <c r="AJ713" s="206" t="s">
        <v>46</v>
      </c>
      <c r="AK713" s="206" t="s">
        <v>54</v>
      </c>
      <c r="AL713" s="206" t="s">
        <v>48</v>
      </c>
      <c r="AM713" s="206" t="s">
        <v>49</v>
      </c>
      <c r="AN713" s="133" t="str">
        <f>VLOOKUP(I713,Sheet1!A:D,4,)</f>
        <v>A320400</v>
      </c>
      <c r="AP713" s="4" t="s">
        <v>1029</v>
      </c>
    </row>
    <row r="714" spans="1:42" s="206" customFormat="1" x14ac:dyDescent="0.25">
      <c r="A714" s="226">
        <v>45778</v>
      </c>
      <c r="B714" s="206" t="s">
        <v>40</v>
      </c>
      <c r="C714" s="206" t="s">
        <v>41</v>
      </c>
      <c r="D714" s="221">
        <v>25708212</v>
      </c>
      <c r="E714" s="221">
        <v>25106549</v>
      </c>
      <c r="F714" s="221" t="s">
        <v>929</v>
      </c>
      <c r="G714" s="227">
        <v>45791</v>
      </c>
      <c r="H714" s="206" t="s">
        <v>115</v>
      </c>
      <c r="I714" s="206" t="s">
        <v>122</v>
      </c>
      <c r="J714" s="206" t="s">
        <v>123</v>
      </c>
      <c r="K714" s="228">
        <v>240</v>
      </c>
      <c r="L714" s="229" t="s">
        <v>42</v>
      </c>
      <c r="M714" s="228">
        <v>240</v>
      </c>
      <c r="N714" s="228">
        <v>455975.98</v>
      </c>
      <c r="O714" s="228">
        <v>109434235.2</v>
      </c>
      <c r="P714" s="228">
        <v>109434235.2</v>
      </c>
      <c r="Q714" s="224">
        <v>0</v>
      </c>
      <c r="R714" s="224">
        <v>0</v>
      </c>
      <c r="S714" s="229" t="s">
        <v>43</v>
      </c>
      <c r="T714" s="228">
        <v>57637524.75</v>
      </c>
      <c r="U714" s="228">
        <v>57637524.75</v>
      </c>
      <c r="V714" s="228">
        <v>51796710.450000003</v>
      </c>
      <c r="W714" s="230">
        <v>0.473313587428</v>
      </c>
      <c r="X714" s="228">
        <v>51796710.450000003</v>
      </c>
      <c r="Y714" s="206" t="s">
        <v>66</v>
      </c>
      <c r="Z714" s="206" t="s">
        <v>44</v>
      </c>
      <c r="AA714" s="206">
        <v>15159</v>
      </c>
      <c r="AB714" s="206" t="s">
        <v>118</v>
      </c>
      <c r="AC714" s="206" t="s">
        <v>154</v>
      </c>
      <c r="AD714" s="206" t="s">
        <v>155</v>
      </c>
      <c r="AE714" s="206">
        <v>0</v>
      </c>
      <c r="AF714" s="206" t="s">
        <v>124</v>
      </c>
      <c r="AG714" s="206" t="s">
        <v>81</v>
      </c>
      <c r="AH714" s="206" t="s">
        <v>57</v>
      </c>
      <c r="AI714" s="206" t="s">
        <v>69</v>
      </c>
      <c r="AJ714" s="206" t="s">
        <v>46</v>
      </c>
      <c r="AK714" s="206" t="s">
        <v>54</v>
      </c>
      <c r="AL714" s="206" t="s">
        <v>48</v>
      </c>
      <c r="AM714" s="206" t="s">
        <v>49</v>
      </c>
      <c r="AN714" s="133" t="str">
        <f>VLOOKUP(I714,Sheet1!A:D,4,)</f>
        <v>A320400</v>
      </c>
      <c r="AP714" s="4" t="s">
        <v>1029</v>
      </c>
    </row>
    <row r="715" spans="1:42" s="206" customFormat="1" x14ac:dyDescent="0.25">
      <c r="A715" s="226">
        <v>45778</v>
      </c>
      <c r="B715" s="206" t="s">
        <v>40</v>
      </c>
      <c r="C715" s="206" t="s">
        <v>41</v>
      </c>
      <c r="D715" s="221">
        <v>25708213</v>
      </c>
      <c r="E715" s="221">
        <v>25106551</v>
      </c>
      <c r="F715" s="221" t="s">
        <v>930</v>
      </c>
      <c r="G715" s="227">
        <v>45791</v>
      </c>
      <c r="H715" s="206" t="s">
        <v>126</v>
      </c>
      <c r="I715" s="206" t="s">
        <v>122</v>
      </c>
      <c r="J715" s="206" t="s">
        <v>123</v>
      </c>
      <c r="K715" s="228">
        <v>100</v>
      </c>
      <c r="L715" s="229" t="s">
        <v>42</v>
      </c>
      <c r="M715" s="228">
        <v>100</v>
      </c>
      <c r="N715" s="228">
        <v>455975.98</v>
      </c>
      <c r="O715" s="228">
        <v>45597598</v>
      </c>
      <c r="P715" s="228">
        <v>45597598</v>
      </c>
      <c r="Q715" s="224">
        <v>0</v>
      </c>
      <c r="R715" s="224">
        <v>0</v>
      </c>
      <c r="S715" s="229" t="s">
        <v>43</v>
      </c>
      <c r="T715" s="228">
        <v>24015635.309999999</v>
      </c>
      <c r="U715" s="228">
        <v>24015635.309999999</v>
      </c>
      <c r="V715" s="228">
        <v>21581962.690000001</v>
      </c>
      <c r="W715" s="230">
        <v>0.47331358748300001</v>
      </c>
      <c r="X715" s="228">
        <v>21581962.690000001</v>
      </c>
      <c r="Y715" s="206" t="s">
        <v>69</v>
      </c>
      <c r="Z715" s="206" t="s">
        <v>46</v>
      </c>
      <c r="AA715" s="206">
        <v>2306153</v>
      </c>
      <c r="AB715" s="206" t="s">
        <v>126</v>
      </c>
      <c r="AC715" s="206" t="s">
        <v>56</v>
      </c>
      <c r="AD715" s="206" t="s">
        <v>77</v>
      </c>
      <c r="AE715" s="206">
        <v>0</v>
      </c>
      <c r="AF715" s="206" t="s">
        <v>124</v>
      </c>
      <c r="AG715" s="206" t="s">
        <v>81</v>
      </c>
      <c r="AH715" s="206" t="s">
        <v>57</v>
      </c>
      <c r="AI715" s="206" t="s">
        <v>69</v>
      </c>
      <c r="AJ715" s="206" t="s">
        <v>46</v>
      </c>
      <c r="AK715" s="206" t="s">
        <v>54</v>
      </c>
      <c r="AL715" s="206" t="s">
        <v>48</v>
      </c>
      <c r="AM715" s="206" t="s">
        <v>49</v>
      </c>
      <c r="AN715" s="133" t="str">
        <f>VLOOKUP(I715,Sheet1!A:D,4,)</f>
        <v>A320400</v>
      </c>
      <c r="AP715" s="4" t="s">
        <v>1029</v>
      </c>
    </row>
    <row r="716" spans="1:42" s="206" customFormat="1" x14ac:dyDescent="0.25">
      <c r="A716" s="226">
        <v>45778</v>
      </c>
      <c r="B716" s="206" t="s">
        <v>40</v>
      </c>
      <c r="C716" s="206" t="s">
        <v>41</v>
      </c>
      <c r="D716" s="221">
        <v>25708213</v>
      </c>
      <c r="E716" s="221">
        <v>25106551</v>
      </c>
      <c r="F716" s="221" t="s">
        <v>930</v>
      </c>
      <c r="G716" s="227">
        <v>45791</v>
      </c>
      <c r="H716" s="206" t="s">
        <v>126</v>
      </c>
      <c r="I716" s="206" t="s">
        <v>416</v>
      </c>
      <c r="J716" s="206" t="s">
        <v>995</v>
      </c>
      <c r="K716" s="228">
        <v>60</v>
      </c>
      <c r="L716" s="229" t="s">
        <v>42</v>
      </c>
      <c r="M716" s="228">
        <v>60</v>
      </c>
      <c r="N716" s="228">
        <v>2698806.81</v>
      </c>
      <c r="O716" s="228">
        <v>161928408.59999999</v>
      </c>
      <c r="P716" s="228">
        <v>161928408.59999999</v>
      </c>
      <c r="Q716" s="224">
        <v>0</v>
      </c>
      <c r="R716" s="224">
        <v>0</v>
      </c>
      <c r="S716" s="229" t="s">
        <v>43</v>
      </c>
      <c r="T716" s="228">
        <v>136369892.94</v>
      </c>
      <c r="U716" s="228">
        <v>136369892.94</v>
      </c>
      <c r="V716" s="228">
        <v>25558515.66</v>
      </c>
      <c r="W716" s="230">
        <v>0.157838367467</v>
      </c>
      <c r="X716" s="228">
        <v>25558515.66</v>
      </c>
      <c r="Y716" s="206" t="s">
        <v>69</v>
      </c>
      <c r="Z716" s="206" t="s">
        <v>46</v>
      </c>
      <c r="AA716" s="206">
        <v>2306153</v>
      </c>
      <c r="AB716" s="206" t="s">
        <v>126</v>
      </c>
      <c r="AC716" s="206" t="s">
        <v>56</v>
      </c>
      <c r="AD716" s="206" t="s">
        <v>77</v>
      </c>
      <c r="AE716" s="206">
        <v>0</v>
      </c>
      <c r="AF716" s="206" t="s">
        <v>124</v>
      </c>
      <c r="AG716" s="206" t="s">
        <v>81</v>
      </c>
      <c r="AH716" s="206" t="s">
        <v>57</v>
      </c>
      <c r="AI716" s="206" t="s">
        <v>69</v>
      </c>
      <c r="AJ716" s="206" t="s">
        <v>46</v>
      </c>
      <c r="AK716" s="206" t="s">
        <v>54</v>
      </c>
      <c r="AL716" s="206" t="s">
        <v>48</v>
      </c>
      <c r="AM716" s="206" t="s">
        <v>49</v>
      </c>
      <c r="AN716" s="133" t="str">
        <f>VLOOKUP(I716,Sheet1!A:D,4,)</f>
        <v>A320400</v>
      </c>
      <c r="AP716" s="4" t="s">
        <v>1029</v>
      </c>
    </row>
    <row r="717" spans="1:42" s="206" customFormat="1" x14ac:dyDescent="0.25">
      <c r="A717" s="226">
        <v>45778</v>
      </c>
      <c r="B717" s="206" t="s">
        <v>40</v>
      </c>
      <c r="C717" s="206" t="s">
        <v>41</v>
      </c>
      <c r="D717" s="221">
        <v>25708214</v>
      </c>
      <c r="E717" s="221">
        <v>25106577</v>
      </c>
      <c r="F717" s="221" t="s">
        <v>848</v>
      </c>
      <c r="G717" s="227">
        <v>45791</v>
      </c>
      <c r="H717" s="206" t="s">
        <v>126</v>
      </c>
      <c r="I717" s="206" t="s">
        <v>116</v>
      </c>
      <c r="J717" s="206" t="s">
        <v>117</v>
      </c>
      <c r="K717" s="228">
        <v>40</v>
      </c>
      <c r="L717" s="229" t="s">
        <v>42</v>
      </c>
      <c r="M717" s="228">
        <v>40</v>
      </c>
      <c r="N717" s="228">
        <v>389255.61</v>
      </c>
      <c r="O717" s="228">
        <v>15570224.4</v>
      </c>
      <c r="P717" s="228">
        <v>15570224.4</v>
      </c>
      <c r="Q717" s="224">
        <v>0</v>
      </c>
      <c r="R717" s="224">
        <v>0</v>
      </c>
      <c r="S717" s="229" t="s">
        <v>43</v>
      </c>
      <c r="T717" s="228">
        <v>12575405.58</v>
      </c>
      <c r="U717" s="228">
        <v>12575405.58</v>
      </c>
      <c r="V717" s="228">
        <v>2994818.82</v>
      </c>
      <c r="W717" s="230">
        <v>0.19234268839400001</v>
      </c>
      <c r="X717" s="228">
        <v>2994818.82</v>
      </c>
      <c r="Y717" s="206" t="s">
        <v>69</v>
      </c>
      <c r="Z717" s="206" t="s">
        <v>46</v>
      </c>
      <c r="AA717" s="206">
        <v>2306153</v>
      </c>
      <c r="AB717" s="206" t="s">
        <v>126</v>
      </c>
      <c r="AC717" s="206" t="s">
        <v>56</v>
      </c>
      <c r="AD717" s="206" t="s">
        <v>77</v>
      </c>
      <c r="AE717" s="206">
        <v>0</v>
      </c>
      <c r="AF717" s="206" t="s">
        <v>119</v>
      </c>
      <c r="AG717" s="206" t="s">
        <v>120</v>
      </c>
      <c r="AH717" s="206" t="s">
        <v>121</v>
      </c>
      <c r="AI717" s="206" t="s">
        <v>69</v>
      </c>
      <c r="AJ717" s="206" t="s">
        <v>46</v>
      </c>
      <c r="AK717" s="206" t="s">
        <v>54</v>
      </c>
      <c r="AL717" s="206" t="s">
        <v>48</v>
      </c>
      <c r="AM717" s="206" t="s">
        <v>49</v>
      </c>
      <c r="AN717" s="133" t="str">
        <f>VLOOKUP(I717,Sheet1!A:D,4,)</f>
        <v>A320400</v>
      </c>
      <c r="AP717" s="4" t="s">
        <v>1029</v>
      </c>
    </row>
    <row r="718" spans="1:42" s="206" customFormat="1" x14ac:dyDescent="0.25">
      <c r="A718" s="226">
        <v>45778</v>
      </c>
      <c r="B718" s="206" t="s">
        <v>40</v>
      </c>
      <c r="C718" s="206" t="s">
        <v>41</v>
      </c>
      <c r="D718" s="221">
        <v>25708215</v>
      </c>
      <c r="E718" s="221">
        <v>25106584</v>
      </c>
      <c r="F718" s="221" t="s">
        <v>978</v>
      </c>
      <c r="G718" s="227">
        <v>45791</v>
      </c>
      <c r="H718" s="206" t="s">
        <v>115</v>
      </c>
      <c r="I718" s="206" t="s">
        <v>116</v>
      </c>
      <c r="J718" s="206" t="s">
        <v>117</v>
      </c>
      <c r="K718" s="228">
        <v>397.74</v>
      </c>
      <c r="L718" s="229" t="s">
        <v>42</v>
      </c>
      <c r="M718" s="228">
        <v>397.74</v>
      </c>
      <c r="N718" s="228">
        <v>389255.61</v>
      </c>
      <c r="O718" s="228">
        <v>154822526.31999999</v>
      </c>
      <c r="P718" s="228">
        <v>154822526.31999999</v>
      </c>
      <c r="Q718" s="224">
        <v>0</v>
      </c>
      <c r="R718" s="224">
        <v>0</v>
      </c>
      <c r="S718" s="229" t="s">
        <v>43</v>
      </c>
      <c r="T718" s="228">
        <v>125043545.38</v>
      </c>
      <c r="U718" s="228">
        <v>125043545.38</v>
      </c>
      <c r="V718" s="228">
        <v>29778980.940000001</v>
      </c>
      <c r="W718" s="230">
        <v>0.192342688417</v>
      </c>
      <c r="X718" s="228">
        <v>29778980.940000001</v>
      </c>
      <c r="Y718" s="206" t="s">
        <v>66</v>
      </c>
      <c r="Z718" s="206" t="s">
        <v>44</v>
      </c>
      <c r="AA718" s="206">
        <v>15159</v>
      </c>
      <c r="AB718" s="206" t="s">
        <v>118</v>
      </c>
      <c r="AC718" s="206" t="s">
        <v>154</v>
      </c>
      <c r="AD718" s="206" t="s">
        <v>155</v>
      </c>
      <c r="AE718" s="206">
        <v>0</v>
      </c>
      <c r="AF718" s="206" t="s">
        <v>119</v>
      </c>
      <c r="AG718" s="206" t="s">
        <v>120</v>
      </c>
      <c r="AH718" s="206" t="s">
        <v>121</v>
      </c>
      <c r="AI718" s="206" t="s">
        <v>69</v>
      </c>
      <c r="AJ718" s="206" t="s">
        <v>46</v>
      </c>
      <c r="AK718" s="206" t="s">
        <v>54</v>
      </c>
      <c r="AL718" s="206" t="s">
        <v>48</v>
      </c>
      <c r="AM718" s="206" t="s">
        <v>49</v>
      </c>
      <c r="AN718" s="133" t="str">
        <f>VLOOKUP(I718,Sheet1!A:D,4,)</f>
        <v>A320400</v>
      </c>
      <c r="AP718" s="4" t="s">
        <v>1029</v>
      </c>
    </row>
    <row r="719" spans="1:42" s="206" customFormat="1" x14ac:dyDescent="0.25">
      <c r="A719" s="226">
        <v>45778</v>
      </c>
      <c r="B719" s="206" t="s">
        <v>40</v>
      </c>
      <c r="C719" s="206" t="s">
        <v>41</v>
      </c>
      <c r="D719" s="221">
        <v>25708216</v>
      </c>
      <c r="E719" s="221">
        <v>25106591</v>
      </c>
      <c r="F719" s="221" t="s">
        <v>850</v>
      </c>
      <c r="G719" s="227">
        <v>45791</v>
      </c>
      <c r="H719" s="206" t="s">
        <v>126</v>
      </c>
      <c r="I719" s="206" t="s">
        <v>449</v>
      </c>
      <c r="J719" s="206" t="s">
        <v>1022</v>
      </c>
      <c r="K719" s="228">
        <v>20</v>
      </c>
      <c r="L719" s="229" t="s">
        <v>42</v>
      </c>
      <c r="M719" s="228">
        <v>20</v>
      </c>
      <c r="N719" s="228">
        <v>7042701.46</v>
      </c>
      <c r="O719" s="228">
        <v>140854029.19999999</v>
      </c>
      <c r="P719" s="228">
        <v>140854029.19999999</v>
      </c>
      <c r="Q719" s="224">
        <v>0</v>
      </c>
      <c r="R719" s="224">
        <v>0</v>
      </c>
      <c r="S719" s="229" t="s">
        <v>43</v>
      </c>
      <c r="T719" s="228">
        <v>88943110</v>
      </c>
      <c r="U719" s="228">
        <v>88943110</v>
      </c>
      <c r="V719" s="228">
        <v>51910919.200000003</v>
      </c>
      <c r="W719" s="230">
        <v>0.368544084218</v>
      </c>
      <c r="X719" s="228">
        <v>51910919.200000003</v>
      </c>
      <c r="Y719" s="206" t="s">
        <v>69</v>
      </c>
      <c r="Z719" s="206" t="s">
        <v>46</v>
      </c>
      <c r="AA719" s="206">
        <v>2306153</v>
      </c>
      <c r="AB719" s="206" t="s">
        <v>126</v>
      </c>
      <c r="AC719" s="206" t="s">
        <v>56</v>
      </c>
      <c r="AD719" s="206" t="s">
        <v>77</v>
      </c>
      <c r="AE719" s="206">
        <v>0</v>
      </c>
      <c r="AF719" s="206" t="s">
        <v>119</v>
      </c>
      <c r="AG719" s="206" t="s">
        <v>69</v>
      </c>
      <c r="AH719" s="206" t="s">
        <v>46</v>
      </c>
      <c r="AI719" s="206" t="s">
        <v>69</v>
      </c>
      <c r="AJ719" s="206" t="s">
        <v>46</v>
      </c>
      <c r="AK719" s="206" t="s">
        <v>54</v>
      </c>
      <c r="AL719" s="206" t="s">
        <v>48</v>
      </c>
      <c r="AM719" s="206" t="s">
        <v>49</v>
      </c>
      <c r="AN719" s="133" t="str">
        <f>VLOOKUP(I719,Sheet1!A:D,4,)</f>
        <v>A320400</v>
      </c>
      <c r="AP719" s="4" t="s">
        <v>1029</v>
      </c>
    </row>
    <row r="720" spans="1:42" s="206" customFormat="1" x14ac:dyDescent="0.25">
      <c r="A720" s="226">
        <v>45778</v>
      </c>
      <c r="B720" s="206" t="s">
        <v>40</v>
      </c>
      <c r="C720" s="206" t="s">
        <v>41</v>
      </c>
      <c r="D720" s="221">
        <v>25708217</v>
      </c>
      <c r="E720" s="221">
        <v>25106632</v>
      </c>
      <c r="F720" s="221" t="s">
        <v>990</v>
      </c>
      <c r="G720" s="227">
        <v>45791</v>
      </c>
      <c r="H720" s="206" t="s">
        <v>126</v>
      </c>
      <c r="I720" s="206" t="s">
        <v>298</v>
      </c>
      <c r="J720" s="206" t="s">
        <v>791</v>
      </c>
      <c r="K720" s="228">
        <v>50</v>
      </c>
      <c r="L720" s="229" t="s">
        <v>42</v>
      </c>
      <c r="M720" s="228">
        <v>50</v>
      </c>
      <c r="N720" s="228">
        <v>2132340.4300000002</v>
      </c>
      <c r="O720" s="228">
        <v>106617021.5</v>
      </c>
      <c r="P720" s="228">
        <v>106617021.5</v>
      </c>
      <c r="Q720" s="224">
        <v>0</v>
      </c>
      <c r="R720" s="224">
        <v>0</v>
      </c>
      <c r="S720" s="229" t="s">
        <v>43</v>
      </c>
      <c r="T720" s="228">
        <v>73054453.799999997</v>
      </c>
      <c r="U720" s="228">
        <v>73054453.799999997</v>
      </c>
      <c r="V720" s="228">
        <v>33562567.700000003</v>
      </c>
      <c r="W720" s="230">
        <v>0.31479558543000002</v>
      </c>
      <c r="X720" s="228">
        <v>33562567.700000003</v>
      </c>
      <c r="Y720" s="206" t="s">
        <v>69</v>
      </c>
      <c r="Z720" s="206" t="s">
        <v>46</v>
      </c>
      <c r="AA720" s="206">
        <v>2306153</v>
      </c>
      <c r="AB720" s="206" t="s">
        <v>126</v>
      </c>
      <c r="AC720" s="206" t="s">
        <v>56</v>
      </c>
      <c r="AD720" s="206" t="s">
        <v>77</v>
      </c>
      <c r="AE720" s="206">
        <v>0</v>
      </c>
      <c r="AF720" s="206" t="s">
        <v>780</v>
      </c>
      <c r="AG720" s="206" t="s">
        <v>69</v>
      </c>
      <c r="AH720" s="206" t="s">
        <v>46</v>
      </c>
      <c r="AI720" s="206" t="s">
        <v>69</v>
      </c>
      <c r="AJ720" s="206" t="s">
        <v>46</v>
      </c>
      <c r="AK720" s="206" t="s">
        <v>54</v>
      </c>
      <c r="AL720" s="206" t="s">
        <v>48</v>
      </c>
      <c r="AM720" s="206" t="s">
        <v>49</v>
      </c>
      <c r="AN720" s="133" t="str">
        <f>VLOOKUP(I720,Sheet1!A:D,4,)</f>
        <v>A320400</v>
      </c>
      <c r="AP720" s="4" t="s">
        <v>1029</v>
      </c>
    </row>
    <row r="721" spans="1:42" s="206" customFormat="1" x14ac:dyDescent="0.25">
      <c r="A721" s="226">
        <v>45778</v>
      </c>
      <c r="B721" s="206" t="s">
        <v>40</v>
      </c>
      <c r="C721" s="206" t="s">
        <v>41</v>
      </c>
      <c r="D721" s="221">
        <v>25708218</v>
      </c>
      <c r="E721" s="221">
        <v>25106665</v>
      </c>
      <c r="F721" s="221" t="s">
        <v>997</v>
      </c>
      <c r="G721" s="227">
        <v>45791</v>
      </c>
      <c r="H721" s="206" t="s">
        <v>115</v>
      </c>
      <c r="I721" s="206" t="s">
        <v>335</v>
      </c>
      <c r="J721" s="206" t="s">
        <v>1002</v>
      </c>
      <c r="K721" s="228">
        <v>60</v>
      </c>
      <c r="L721" s="229" t="s">
        <v>42</v>
      </c>
      <c r="M721" s="228">
        <v>60</v>
      </c>
      <c r="N721" s="228">
        <v>517674.23999999999</v>
      </c>
      <c r="O721" s="228">
        <v>31060454.399999999</v>
      </c>
      <c r="P721" s="228">
        <v>31060454.399999999</v>
      </c>
      <c r="Q721" s="224">
        <v>0</v>
      </c>
      <c r="R721" s="224">
        <v>0</v>
      </c>
      <c r="S721" s="229" t="s">
        <v>43</v>
      </c>
      <c r="T721" s="228">
        <v>13887195.6</v>
      </c>
      <c r="U721" s="228">
        <v>13887195.6</v>
      </c>
      <c r="V721" s="228">
        <v>17173258.800000001</v>
      </c>
      <c r="W721" s="230">
        <v>0.552897861017</v>
      </c>
      <c r="X721" s="228">
        <v>17173258.800000001</v>
      </c>
      <c r="Y721" s="206" t="s">
        <v>66</v>
      </c>
      <c r="Z721" s="206" t="s">
        <v>44</v>
      </c>
      <c r="AA721" s="206">
        <v>15159</v>
      </c>
      <c r="AB721" s="206" t="s">
        <v>118</v>
      </c>
      <c r="AC721" s="206" t="s">
        <v>154</v>
      </c>
      <c r="AD721" s="206" t="s">
        <v>155</v>
      </c>
      <c r="AE721" s="206">
        <v>0</v>
      </c>
      <c r="AF721" s="206" t="s">
        <v>124</v>
      </c>
      <c r="AG721" s="206" t="s">
        <v>81</v>
      </c>
      <c r="AH721" s="206" t="s">
        <v>57</v>
      </c>
      <c r="AI721" s="206" t="s">
        <v>69</v>
      </c>
      <c r="AJ721" s="206" t="s">
        <v>46</v>
      </c>
      <c r="AK721" s="206" t="s">
        <v>54</v>
      </c>
      <c r="AL721" s="206" t="s">
        <v>48</v>
      </c>
      <c r="AM721" s="206" t="s">
        <v>49</v>
      </c>
      <c r="AN721" s="133" t="str">
        <f>VLOOKUP(I721,Sheet1!A:D,4,)</f>
        <v>A320400</v>
      </c>
      <c r="AP721" s="4" t="s">
        <v>1029</v>
      </c>
    </row>
    <row r="722" spans="1:42" s="206" customFormat="1" x14ac:dyDescent="0.25">
      <c r="A722" s="226">
        <v>45778</v>
      </c>
      <c r="B722" s="206" t="s">
        <v>40</v>
      </c>
      <c r="C722" s="206" t="s">
        <v>41</v>
      </c>
      <c r="D722" s="221">
        <v>25708219</v>
      </c>
      <c r="E722" s="221">
        <v>25106678</v>
      </c>
      <c r="F722" s="221" t="s">
        <v>1023</v>
      </c>
      <c r="G722" s="227">
        <v>45791</v>
      </c>
      <c r="H722" s="206" t="s">
        <v>126</v>
      </c>
      <c r="I722" s="206" t="s">
        <v>395</v>
      </c>
      <c r="J722" s="206" t="s">
        <v>1024</v>
      </c>
      <c r="K722" s="228">
        <v>5</v>
      </c>
      <c r="L722" s="229" t="s">
        <v>42</v>
      </c>
      <c r="M722" s="228">
        <v>5</v>
      </c>
      <c r="N722" s="228">
        <v>1110758.3999999999</v>
      </c>
      <c r="O722" s="228">
        <v>5553792</v>
      </c>
      <c r="P722" s="228">
        <v>5553792</v>
      </c>
      <c r="Q722" s="224">
        <v>0</v>
      </c>
      <c r="R722" s="224">
        <v>0</v>
      </c>
      <c r="S722" s="229" t="s">
        <v>43</v>
      </c>
      <c r="T722" s="228">
        <v>2380436.5499999998</v>
      </c>
      <c r="U722" s="228">
        <v>2380436.5499999998</v>
      </c>
      <c r="V722" s="228">
        <v>3173355.45</v>
      </c>
      <c r="W722" s="230">
        <v>0.57138536156899999</v>
      </c>
      <c r="X722" s="228">
        <v>3173355.45</v>
      </c>
      <c r="Y722" s="206" t="s">
        <v>69</v>
      </c>
      <c r="Z722" s="206" t="s">
        <v>46</v>
      </c>
      <c r="AA722" s="206">
        <v>2306153</v>
      </c>
      <c r="AB722" s="206" t="s">
        <v>126</v>
      </c>
      <c r="AC722" s="206" t="s">
        <v>56</v>
      </c>
      <c r="AD722" s="206" t="s">
        <v>77</v>
      </c>
      <c r="AE722" s="206">
        <v>0</v>
      </c>
      <c r="AF722" s="206" t="s">
        <v>124</v>
      </c>
      <c r="AG722" s="206" t="s">
        <v>81</v>
      </c>
      <c r="AH722" s="206" t="s">
        <v>57</v>
      </c>
      <c r="AI722" s="206" t="s">
        <v>69</v>
      </c>
      <c r="AJ722" s="206" t="s">
        <v>46</v>
      </c>
      <c r="AK722" s="206" t="s">
        <v>54</v>
      </c>
      <c r="AL722" s="206" t="s">
        <v>48</v>
      </c>
      <c r="AM722" s="206" t="s">
        <v>49</v>
      </c>
      <c r="AN722" s="133" t="str">
        <f>VLOOKUP(I722,Sheet1!A:D,4,)</f>
        <v>A320400</v>
      </c>
      <c r="AP722" s="4" t="s">
        <v>1029</v>
      </c>
    </row>
    <row r="723" spans="1:42" s="206" customFormat="1" x14ac:dyDescent="0.25">
      <c r="A723" s="226">
        <v>45778</v>
      </c>
      <c r="B723" s="206" t="s">
        <v>40</v>
      </c>
      <c r="C723" s="206" t="s">
        <v>41</v>
      </c>
      <c r="D723" s="221">
        <v>25708219</v>
      </c>
      <c r="E723" s="221">
        <v>25106678</v>
      </c>
      <c r="F723" s="221" t="s">
        <v>1023</v>
      </c>
      <c r="G723" s="227">
        <v>45791</v>
      </c>
      <c r="H723" s="206" t="s">
        <v>126</v>
      </c>
      <c r="I723" s="206" t="s">
        <v>400</v>
      </c>
      <c r="J723" s="206" t="s">
        <v>851</v>
      </c>
      <c r="K723" s="228">
        <v>5</v>
      </c>
      <c r="L723" s="229" t="s">
        <v>42</v>
      </c>
      <c r="M723" s="228">
        <v>5</v>
      </c>
      <c r="N723" s="228">
        <v>3484819.35</v>
      </c>
      <c r="O723" s="228">
        <v>17424096.75</v>
      </c>
      <c r="P723" s="228">
        <v>17424096.75</v>
      </c>
      <c r="Q723" s="224">
        <v>0</v>
      </c>
      <c r="R723" s="224">
        <v>0</v>
      </c>
      <c r="S723" s="229" t="s">
        <v>43</v>
      </c>
      <c r="T723" s="228">
        <v>9434165.9499999993</v>
      </c>
      <c r="U723" s="228">
        <v>9434165.9499999993</v>
      </c>
      <c r="V723" s="228">
        <v>7989930.7999999998</v>
      </c>
      <c r="W723" s="230">
        <v>0.45855638399100002</v>
      </c>
      <c r="X723" s="228">
        <v>7989930.7999999998</v>
      </c>
      <c r="Y723" s="206" t="s">
        <v>69</v>
      </c>
      <c r="Z723" s="206" t="s">
        <v>46</v>
      </c>
      <c r="AA723" s="206">
        <v>2306153</v>
      </c>
      <c r="AB723" s="206" t="s">
        <v>126</v>
      </c>
      <c r="AC723" s="206" t="s">
        <v>56</v>
      </c>
      <c r="AD723" s="206" t="s">
        <v>77</v>
      </c>
      <c r="AE723" s="206">
        <v>0</v>
      </c>
      <c r="AF723" s="206" t="s">
        <v>124</v>
      </c>
      <c r="AG723" s="206" t="s">
        <v>131</v>
      </c>
      <c r="AH723" s="206" t="s">
        <v>132</v>
      </c>
      <c r="AI723" s="206" t="s">
        <v>69</v>
      </c>
      <c r="AJ723" s="206" t="s">
        <v>46</v>
      </c>
      <c r="AK723" s="206" t="s">
        <v>54</v>
      </c>
      <c r="AL723" s="206" t="s">
        <v>48</v>
      </c>
      <c r="AM723" s="206" t="s">
        <v>49</v>
      </c>
      <c r="AN723" s="133" t="str">
        <f>VLOOKUP(I723,Sheet1!A:D,4,)</f>
        <v>A320400</v>
      </c>
      <c r="AP723" s="4" t="s">
        <v>1029</v>
      </c>
    </row>
    <row r="724" spans="1:42" s="206" customFormat="1" x14ac:dyDescent="0.25">
      <c r="A724" s="226">
        <v>45778</v>
      </c>
      <c r="B724" s="206" t="s">
        <v>40</v>
      </c>
      <c r="C724" s="206" t="s">
        <v>41</v>
      </c>
      <c r="D724" s="221">
        <v>25708220</v>
      </c>
      <c r="E724" s="221">
        <v>25106711</v>
      </c>
      <c r="F724" s="221" t="s">
        <v>1025</v>
      </c>
      <c r="G724" s="227">
        <v>45791</v>
      </c>
      <c r="H724" s="206" t="s">
        <v>150</v>
      </c>
      <c r="I724" s="206" t="s">
        <v>314</v>
      </c>
      <c r="J724" s="206" t="s">
        <v>1026</v>
      </c>
      <c r="K724" s="228">
        <v>100.8</v>
      </c>
      <c r="L724" s="229" t="s">
        <v>42</v>
      </c>
      <c r="M724" s="228">
        <v>100.8</v>
      </c>
      <c r="N724" s="228">
        <v>929157</v>
      </c>
      <c r="O724" s="228">
        <v>93659025.599999994</v>
      </c>
      <c r="P724" s="228">
        <v>93659025.599999994</v>
      </c>
      <c r="Q724" s="224">
        <v>0</v>
      </c>
      <c r="R724" s="224">
        <v>0</v>
      </c>
      <c r="S724" s="229" t="s">
        <v>43</v>
      </c>
      <c r="T724" s="228">
        <v>71000755.900000006</v>
      </c>
      <c r="U724" s="228">
        <v>71000755.900000006</v>
      </c>
      <c r="V724" s="228">
        <v>22658269.699999999</v>
      </c>
      <c r="W724" s="230">
        <v>0.24192297063500001</v>
      </c>
      <c r="X724" s="228">
        <v>22658269.699999999</v>
      </c>
      <c r="Y724" s="206" t="s">
        <v>69</v>
      </c>
      <c r="Z724" s="206" t="s">
        <v>46</v>
      </c>
      <c r="AA724" s="206">
        <v>2306392</v>
      </c>
      <c r="AB724" s="206" t="s">
        <v>153</v>
      </c>
      <c r="AC724" s="206" t="s">
        <v>154</v>
      </c>
      <c r="AD724" s="206" t="s">
        <v>155</v>
      </c>
      <c r="AE724" s="206">
        <v>0</v>
      </c>
      <c r="AF724" s="206" t="s">
        <v>68</v>
      </c>
      <c r="AG724" s="206" t="s">
        <v>1027</v>
      </c>
      <c r="AH724" s="206" t="s">
        <v>1028</v>
      </c>
      <c r="AI724" s="206" t="s">
        <v>69</v>
      </c>
      <c r="AJ724" s="206" t="s">
        <v>46</v>
      </c>
      <c r="AK724" s="206" t="s">
        <v>54</v>
      </c>
      <c r="AL724" s="206" t="s">
        <v>48</v>
      </c>
      <c r="AM724" s="206" t="s">
        <v>49</v>
      </c>
      <c r="AN724" s="133" t="str">
        <f>VLOOKUP(I724,Sheet1!A:D,4,)</f>
        <v>A320400</v>
      </c>
      <c r="AP724" s="4" t="s">
        <v>1029</v>
      </c>
    </row>
    <row r="725" spans="1:42" s="245" customFormat="1" x14ac:dyDescent="0.25">
      <c r="A725" s="244">
        <v>45778</v>
      </c>
      <c r="B725" s="245" t="s">
        <v>40</v>
      </c>
      <c r="C725" s="245" t="s">
        <v>41</v>
      </c>
      <c r="D725" s="246">
        <v>25708221</v>
      </c>
      <c r="E725" s="246">
        <v>25106690</v>
      </c>
      <c r="F725" s="246" t="s">
        <v>1030</v>
      </c>
      <c r="G725" s="247">
        <v>45793</v>
      </c>
      <c r="H725" s="245" t="s">
        <v>115</v>
      </c>
      <c r="I725" s="245" t="s">
        <v>414</v>
      </c>
      <c r="J725" s="245" t="s">
        <v>833</v>
      </c>
      <c r="K725" s="248">
        <v>20</v>
      </c>
      <c r="L725" s="249" t="s">
        <v>42</v>
      </c>
      <c r="M725" s="248">
        <v>20</v>
      </c>
      <c r="N725" s="248">
        <v>1440105</v>
      </c>
      <c r="O725" s="248">
        <v>28802100</v>
      </c>
      <c r="P725" s="248">
        <v>28802100</v>
      </c>
      <c r="Q725" s="250">
        <v>0</v>
      </c>
      <c r="R725" s="250">
        <v>0</v>
      </c>
      <c r="S725" s="249" t="s">
        <v>43</v>
      </c>
      <c r="T725" s="248">
        <v>12889537</v>
      </c>
      <c r="U725" s="248">
        <v>12889537</v>
      </c>
      <c r="V725" s="248">
        <v>15912563</v>
      </c>
      <c r="W725" s="251">
        <v>0.55247926366400002</v>
      </c>
      <c r="X725" s="248">
        <v>15912563</v>
      </c>
      <c r="Y725" s="245" t="s">
        <v>66</v>
      </c>
      <c r="Z725" s="245" t="s">
        <v>44</v>
      </c>
      <c r="AA725" s="245">
        <v>15159</v>
      </c>
      <c r="AB725" s="245" t="s">
        <v>118</v>
      </c>
      <c r="AC725" s="245" t="s">
        <v>154</v>
      </c>
      <c r="AD725" s="245" t="s">
        <v>155</v>
      </c>
      <c r="AE725" s="245">
        <v>0</v>
      </c>
      <c r="AF725" s="245" t="s">
        <v>72</v>
      </c>
      <c r="AG725" s="245" t="s">
        <v>69</v>
      </c>
      <c r="AH725" s="245" t="s">
        <v>46</v>
      </c>
      <c r="AI725" s="245" t="s">
        <v>69</v>
      </c>
      <c r="AJ725" s="245" t="s">
        <v>46</v>
      </c>
      <c r="AK725" s="245" t="s">
        <v>54</v>
      </c>
      <c r="AL725" s="245" t="s">
        <v>48</v>
      </c>
      <c r="AM725" s="245" t="s">
        <v>49</v>
      </c>
      <c r="AN725" s="243" t="str">
        <f>VLOOKUP(I725,Sheet1!A:D,4,)</f>
        <v>A320400</v>
      </c>
      <c r="AP725" s="4" t="s">
        <v>1036</v>
      </c>
    </row>
    <row r="726" spans="1:42" s="206" customFormat="1" x14ac:dyDescent="0.25">
      <c r="A726" s="226">
        <v>45778</v>
      </c>
      <c r="B726" s="206" t="s">
        <v>40</v>
      </c>
      <c r="C726" s="206" t="s">
        <v>41</v>
      </c>
      <c r="D726" s="221">
        <v>25708226</v>
      </c>
      <c r="E726" s="221">
        <v>25106687</v>
      </c>
      <c r="F726" s="221" t="s">
        <v>1037</v>
      </c>
      <c r="G726" s="227">
        <v>45796</v>
      </c>
      <c r="H726" s="206" t="s">
        <v>115</v>
      </c>
      <c r="I726" s="206" t="s">
        <v>287</v>
      </c>
      <c r="J726" s="206" t="s">
        <v>816</v>
      </c>
      <c r="K726" s="228">
        <v>195</v>
      </c>
      <c r="L726" s="229" t="s">
        <v>42</v>
      </c>
      <c r="M726" s="228">
        <v>195</v>
      </c>
      <c r="N726" s="228">
        <v>508645.07</v>
      </c>
      <c r="O726" s="228">
        <v>99185788.650000006</v>
      </c>
      <c r="P726" s="228">
        <v>99185788.650000006</v>
      </c>
      <c r="Q726" s="224">
        <v>0</v>
      </c>
      <c r="R726" s="224">
        <v>0</v>
      </c>
      <c r="S726" s="229" t="s">
        <v>43</v>
      </c>
      <c r="T726" s="228">
        <v>40325633.579999998</v>
      </c>
      <c r="U726" s="228">
        <v>40325633.579999998</v>
      </c>
      <c r="V726" s="228">
        <v>58860155.07</v>
      </c>
      <c r="W726" s="230">
        <v>0.59343335240999995</v>
      </c>
      <c r="X726" s="228">
        <v>58860155.07</v>
      </c>
      <c r="Y726" s="206" t="s">
        <v>66</v>
      </c>
      <c r="Z726" s="206" t="s">
        <v>44</v>
      </c>
      <c r="AA726" s="206">
        <v>15159</v>
      </c>
      <c r="AB726" s="206" t="s">
        <v>118</v>
      </c>
      <c r="AC726" s="206" t="s">
        <v>154</v>
      </c>
      <c r="AD726" s="206" t="s">
        <v>155</v>
      </c>
      <c r="AE726" s="206">
        <v>0</v>
      </c>
      <c r="AF726" s="206" t="s">
        <v>72</v>
      </c>
      <c r="AG726" s="206" t="s">
        <v>69</v>
      </c>
      <c r="AH726" s="206" t="s">
        <v>46</v>
      </c>
      <c r="AI726" s="206" t="s">
        <v>69</v>
      </c>
      <c r="AJ726" s="206" t="s">
        <v>46</v>
      </c>
      <c r="AK726" s="206" t="s">
        <v>54</v>
      </c>
      <c r="AL726" s="206" t="s">
        <v>48</v>
      </c>
      <c r="AM726" s="206" t="s">
        <v>49</v>
      </c>
      <c r="AN726" s="243" t="str">
        <f>VLOOKUP(I726,Sheet1!A:D,4,)</f>
        <v>A320400</v>
      </c>
      <c r="AP726" s="4" t="s">
        <v>1043</v>
      </c>
    </row>
    <row r="727" spans="1:42" s="206" customFormat="1" x14ac:dyDescent="0.25">
      <c r="A727" s="226">
        <v>45778</v>
      </c>
      <c r="B727" s="206" t="s">
        <v>40</v>
      </c>
      <c r="C727" s="206" t="s">
        <v>41</v>
      </c>
      <c r="D727" s="221">
        <v>25708227</v>
      </c>
      <c r="E727" s="221">
        <v>25106691</v>
      </c>
      <c r="F727" s="221" t="s">
        <v>1038</v>
      </c>
      <c r="G727" s="227">
        <v>45796</v>
      </c>
      <c r="H727" s="206" t="s">
        <v>115</v>
      </c>
      <c r="I727" s="206" t="s">
        <v>306</v>
      </c>
      <c r="J727" s="206" t="s">
        <v>821</v>
      </c>
      <c r="K727" s="228">
        <v>30</v>
      </c>
      <c r="L727" s="229" t="s">
        <v>42</v>
      </c>
      <c r="M727" s="228">
        <v>30</v>
      </c>
      <c r="N727" s="228">
        <v>5889487.8700000001</v>
      </c>
      <c r="O727" s="228">
        <v>176684636.09999999</v>
      </c>
      <c r="P727" s="228">
        <v>176684636.09999999</v>
      </c>
      <c r="Q727" s="224">
        <v>0</v>
      </c>
      <c r="R727" s="224">
        <v>0</v>
      </c>
      <c r="S727" s="229" t="s">
        <v>43</v>
      </c>
      <c r="T727" s="228">
        <v>65125102.560000002</v>
      </c>
      <c r="U727" s="228">
        <v>65125102.560000002</v>
      </c>
      <c r="V727" s="228">
        <v>111559533.54000001</v>
      </c>
      <c r="W727" s="230">
        <v>0.63140483520500001</v>
      </c>
      <c r="X727" s="228">
        <v>111559533.54000001</v>
      </c>
      <c r="Y727" s="206" t="s">
        <v>66</v>
      </c>
      <c r="Z727" s="206" t="s">
        <v>44</v>
      </c>
      <c r="AA727" s="206">
        <v>15159</v>
      </c>
      <c r="AB727" s="206" t="s">
        <v>118</v>
      </c>
      <c r="AC727" s="206" t="s">
        <v>154</v>
      </c>
      <c r="AD727" s="206" t="s">
        <v>155</v>
      </c>
      <c r="AE727" s="206">
        <v>0</v>
      </c>
      <c r="AF727" s="206" t="s">
        <v>68</v>
      </c>
      <c r="AG727" s="206" t="s">
        <v>71</v>
      </c>
      <c r="AH727" s="206" t="s">
        <v>53</v>
      </c>
      <c r="AI727" s="206" t="s">
        <v>69</v>
      </c>
      <c r="AJ727" s="206" t="s">
        <v>46</v>
      </c>
      <c r="AK727" s="206" t="s">
        <v>54</v>
      </c>
      <c r="AL727" s="206" t="s">
        <v>48</v>
      </c>
      <c r="AM727" s="206" t="s">
        <v>49</v>
      </c>
      <c r="AN727" s="243" t="str">
        <f>VLOOKUP(I727,Sheet1!A:D,4,)</f>
        <v>A320400</v>
      </c>
      <c r="AP727" s="4" t="s">
        <v>1043</v>
      </c>
    </row>
    <row r="728" spans="1:42" s="206" customFormat="1" x14ac:dyDescent="0.25">
      <c r="A728" s="226">
        <v>45778</v>
      </c>
      <c r="B728" s="206" t="s">
        <v>40</v>
      </c>
      <c r="C728" s="206" t="s">
        <v>41</v>
      </c>
      <c r="D728" s="221">
        <v>25708228</v>
      </c>
      <c r="E728" s="221">
        <v>25106695</v>
      </c>
      <c r="F728" s="221" t="s">
        <v>1039</v>
      </c>
      <c r="G728" s="227">
        <v>45796</v>
      </c>
      <c r="H728" s="206" t="s">
        <v>150</v>
      </c>
      <c r="I728" s="206" t="s">
        <v>146</v>
      </c>
      <c r="J728" s="206" t="s">
        <v>147</v>
      </c>
      <c r="K728" s="228">
        <v>8</v>
      </c>
      <c r="L728" s="229" t="s">
        <v>42</v>
      </c>
      <c r="M728" s="228">
        <v>8</v>
      </c>
      <c r="N728" s="228">
        <v>10355005.699999999</v>
      </c>
      <c r="O728" s="228">
        <v>82840045.599999994</v>
      </c>
      <c r="P728" s="228">
        <v>82840045.599999994</v>
      </c>
      <c r="Q728" s="224">
        <v>0</v>
      </c>
      <c r="R728" s="224">
        <v>0</v>
      </c>
      <c r="S728" s="229" t="s">
        <v>43</v>
      </c>
      <c r="T728" s="228">
        <v>53174594.07</v>
      </c>
      <c r="U728" s="228">
        <v>53174594.07</v>
      </c>
      <c r="V728" s="228">
        <v>29665451.530000001</v>
      </c>
      <c r="W728" s="230">
        <v>0.35810520521900002</v>
      </c>
      <c r="X728" s="228">
        <v>29665451.530000001</v>
      </c>
      <c r="Y728" s="206" t="s">
        <v>69</v>
      </c>
      <c r="Z728" s="206" t="s">
        <v>46</v>
      </c>
      <c r="AA728" s="206">
        <v>2306392</v>
      </c>
      <c r="AB728" s="206" t="s">
        <v>153</v>
      </c>
      <c r="AC728" s="206" t="s">
        <v>154</v>
      </c>
      <c r="AD728" s="206" t="s">
        <v>155</v>
      </c>
      <c r="AE728" s="206">
        <v>0</v>
      </c>
      <c r="AF728" s="206" t="s">
        <v>68</v>
      </c>
      <c r="AG728" s="206" t="s">
        <v>69</v>
      </c>
      <c r="AH728" s="206" t="s">
        <v>46</v>
      </c>
      <c r="AI728" s="206" t="s">
        <v>69</v>
      </c>
      <c r="AJ728" s="206" t="s">
        <v>46</v>
      </c>
      <c r="AK728" s="206" t="s">
        <v>54</v>
      </c>
      <c r="AL728" s="206" t="s">
        <v>48</v>
      </c>
      <c r="AM728" s="206" t="s">
        <v>49</v>
      </c>
      <c r="AN728" s="243" t="str">
        <f>VLOOKUP(I728,Sheet1!A:D,4,)</f>
        <v>A320400</v>
      </c>
      <c r="AP728" s="4" t="s">
        <v>1043</v>
      </c>
    </row>
    <row r="729" spans="1:42" s="206" customFormat="1" x14ac:dyDescent="0.25">
      <c r="A729" s="226">
        <v>45778</v>
      </c>
      <c r="B729" s="206" t="s">
        <v>40</v>
      </c>
      <c r="C729" s="206" t="s">
        <v>41</v>
      </c>
      <c r="D729" s="221">
        <v>25708229</v>
      </c>
      <c r="E729" s="221">
        <v>25106696</v>
      </c>
      <c r="F729" s="221" t="s">
        <v>1040</v>
      </c>
      <c r="G729" s="227">
        <v>45796</v>
      </c>
      <c r="H729" s="206" t="s">
        <v>115</v>
      </c>
      <c r="I729" s="206" t="s">
        <v>295</v>
      </c>
      <c r="J729" s="206" t="s">
        <v>817</v>
      </c>
      <c r="K729" s="228">
        <v>100</v>
      </c>
      <c r="L729" s="229" t="s">
        <v>42</v>
      </c>
      <c r="M729" s="228">
        <v>100</v>
      </c>
      <c r="N729" s="228">
        <v>1215087.4099999999</v>
      </c>
      <c r="O729" s="228">
        <v>121508741</v>
      </c>
      <c r="P729" s="228">
        <v>121508741</v>
      </c>
      <c r="Q729" s="224">
        <v>0</v>
      </c>
      <c r="R729" s="224">
        <v>0</v>
      </c>
      <c r="S729" s="229" t="s">
        <v>43</v>
      </c>
      <c r="T729" s="228">
        <v>44218424.100000001</v>
      </c>
      <c r="U729" s="228">
        <v>44218424.100000001</v>
      </c>
      <c r="V729" s="228">
        <v>77290316.900000006</v>
      </c>
      <c r="W729" s="230">
        <v>0.63608853374499996</v>
      </c>
      <c r="X729" s="228">
        <v>77290316.900000006</v>
      </c>
      <c r="Y729" s="206" t="s">
        <v>66</v>
      </c>
      <c r="Z729" s="206" t="s">
        <v>44</v>
      </c>
      <c r="AA729" s="206">
        <v>15159</v>
      </c>
      <c r="AB729" s="206" t="s">
        <v>118</v>
      </c>
      <c r="AC729" s="206" t="s">
        <v>154</v>
      </c>
      <c r="AD729" s="206" t="s">
        <v>155</v>
      </c>
      <c r="AE729" s="206">
        <v>0</v>
      </c>
      <c r="AF729" s="206" t="s">
        <v>68</v>
      </c>
      <c r="AG729" s="206" t="s">
        <v>69</v>
      </c>
      <c r="AH729" s="206" t="s">
        <v>46</v>
      </c>
      <c r="AI729" s="206" t="s">
        <v>69</v>
      </c>
      <c r="AJ729" s="206" t="s">
        <v>46</v>
      </c>
      <c r="AK729" s="206" t="s">
        <v>54</v>
      </c>
      <c r="AL729" s="206" t="s">
        <v>48</v>
      </c>
      <c r="AM729" s="206" t="s">
        <v>49</v>
      </c>
      <c r="AN729" s="243" t="str">
        <f>VLOOKUP(I729,Sheet1!A:D,4,)</f>
        <v>A320400</v>
      </c>
      <c r="AP729" s="4" t="s">
        <v>1043</v>
      </c>
    </row>
    <row r="730" spans="1:42" s="206" customFormat="1" x14ac:dyDescent="0.25">
      <c r="A730" s="226">
        <v>45778</v>
      </c>
      <c r="B730" s="206" t="s">
        <v>40</v>
      </c>
      <c r="C730" s="206" t="s">
        <v>41</v>
      </c>
      <c r="D730" s="221">
        <v>25708230</v>
      </c>
      <c r="E730" s="221">
        <v>25106712</v>
      </c>
      <c r="F730" s="221" t="s">
        <v>1041</v>
      </c>
      <c r="G730" s="227">
        <v>45796</v>
      </c>
      <c r="H730" s="206" t="s">
        <v>115</v>
      </c>
      <c r="I730" s="206" t="s">
        <v>146</v>
      </c>
      <c r="J730" s="206" t="s">
        <v>147</v>
      </c>
      <c r="K730" s="228">
        <v>2</v>
      </c>
      <c r="L730" s="229" t="s">
        <v>42</v>
      </c>
      <c r="M730" s="228">
        <v>2</v>
      </c>
      <c r="N730" s="228">
        <v>11279683.130000001</v>
      </c>
      <c r="O730" s="228">
        <v>22559366.260000002</v>
      </c>
      <c r="P730" s="228">
        <v>22559366.260000002</v>
      </c>
      <c r="Q730" s="224">
        <v>0</v>
      </c>
      <c r="R730" s="224">
        <v>0</v>
      </c>
      <c r="S730" s="229" t="s">
        <v>43</v>
      </c>
      <c r="T730" s="228">
        <v>13293648.52</v>
      </c>
      <c r="U730" s="228">
        <v>13293648.52</v>
      </c>
      <c r="V730" s="228">
        <v>9265717.7400000002</v>
      </c>
      <c r="W730" s="230">
        <v>0.41072597666100003</v>
      </c>
      <c r="X730" s="228">
        <v>9265717.7400000002</v>
      </c>
      <c r="Y730" s="206" t="s">
        <v>66</v>
      </c>
      <c r="Z730" s="206" t="s">
        <v>44</v>
      </c>
      <c r="AA730" s="206">
        <v>15159</v>
      </c>
      <c r="AB730" s="206" t="s">
        <v>118</v>
      </c>
      <c r="AC730" s="206" t="s">
        <v>154</v>
      </c>
      <c r="AD730" s="206" t="s">
        <v>155</v>
      </c>
      <c r="AE730" s="206">
        <v>0</v>
      </c>
      <c r="AF730" s="206" t="s">
        <v>68</v>
      </c>
      <c r="AG730" s="206" t="s">
        <v>69</v>
      </c>
      <c r="AH730" s="206" t="s">
        <v>46</v>
      </c>
      <c r="AI730" s="206" t="s">
        <v>69</v>
      </c>
      <c r="AJ730" s="206" t="s">
        <v>46</v>
      </c>
      <c r="AK730" s="206" t="s">
        <v>54</v>
      </c>
      <c r="AL730" s="206" t="s">
        <v>48</v>
      </c>
      <c r="AM730" s="206" t="s">
        <v>49</v>
      </c>
      <c r="AN730" s="243" t="str">
        <f>VLOOKUP(I730,Sheet1!A:D,4,)</f>
        <v>A320400</v>
      </c>
      <c r="AP730" s="4" t="s">
        <v>1043</v>
      </c>
    </row>
    <row r="731" spans="1:42" s="206" customFormat="1" x14ac:dyDescent="0.25">
      <c r="A731" s="226">
        <v>45778</v>
      </c>
      <c r="B731" s="206" t="s">
        <v>40</v>
      </c>
      <c r="C731" s="206" t="s">
        <v>41</v>
      </c>
      <c r="D731" s="221">
        <v>25708231</v>
      </c>
      <c r="E731" s="221">
        <v>25106584</v>
      </c>
      <c r="F731" s="221" t="s">
        <v>978</v>
      </c>
      <c r="G731" s="227">
        <v>45797</v>
      </c>
      <c r="H731" s="206" t="s">
        <v>115</v>
      </c>
      <c r="I731" s="206" t="s">
        <v>122</v>
      </c>
      <c r="J731" s="206" t="s">
        <v>123</v>
      </c>
      <c r="K731" s="228">
        <v>200</v>
      </c>
      <c r="L731" s="229" t="s">
        <v>42</v>
      </c>
      <c r="M731" s="228">
        <v>200</v>
      </c>
      <c r="N731" s="228">
        <v>455975.98</v>
      </c>
      <c r="O731" s="228">
        <v>91195196</v>
      </c>
      <c r="P731" s="228">
        <v>91195196</v>
      </c>
      <c r="Q731" s="224">
        <v>0</v>
      </c>
      <c r="R731" s="224">
        <v>0</v>
      </c>
      <c r="S731" s="229" t="s">
        <v>43</v>
      </c>
      <c r="T731" s="228">
        <v>48031270.630000003</v>
      </c>
      <c r="U731" s="228">
        <v>48031270.630000003</v>
      </c>
      <c r="V731" s="228">
        <v>43163925.369999997</v>
      </c>
      <c r="W731" s="230">
        <v>0.473313587373</v>
      </c>
      <c r="X731" s="228">
        <v>43163925.369999997</v>
      </c>
      <c r="Y731" s="206" t="s">
        <v>66</v>
      </c>
      <c r="Z731" s="206" t="s">
        <v>44</v>
      </c>
      <c r="AA731" s="206">
        <v>15159</v>
      </c>
      <c r="AB731" s="206" t="s">
        <v>118</v>
      </c>
      <c r="AC731" s="206" t="s">
        <v>154</v>
      </c>
      <c r="AD731" s="206" t="s">
        <v>155</v>
      </c>
      <c r="AE731" s="206">
        <v>0</v>
      </c>
      <c r="AF731" s="206" t="s">
        <v>124</v>
      </c>
      <c r="AG731" s="206" t="s">
        <v>81</v>
      </c>
      <c r="AH731" s="206" t="s">
        <v>57</v>
      </c>
      <c r="AI731" s="206" t="s">
        <v>69</v>
      </c>
      <c r="AJ731" s="206" t="s">
        <v>46</v>
      </c>
      <c r="AK731" s="206" t="s">
        <v>54</v>
      </c>
      <c r="AL731" s="206" t="s">
        <v>48</v>
      </c>
      <c r="AM731" s="206" t="s">
        <v>49</v>
      </c>
      <c r="AN731" s="243" t="str">
        <f>VLOOKUP(I731,Sheet1!A:D,4,)</f>
        <v>A320400</v>
      </c>
      <c r="AP731" s="4" t="s">
        <v>1043</v>
      </c>
    </row>
    <row r="732" spans="1:42" s="206" customFormat="1" x14ac:dyDescent="0.25">
      <c r="A732" s="226">
        <v>45778</v>
      </c>
      <c r="B732" s="206" t="s">
        <v>40</v>
      </c>
      <c r="C732" s="206" t="s">
        <v>41</v>
      </c>
      <c r="D732" s="221">
        <v>25708231</v>
      </c>
      <c r="E732" s="221">
        <v>25106584</v>
      </c>
      <c r="F732" s="221" t="s">
        <v>978</v>
      </c>
      <c r="G732" s="227">
        <v>45797</v>
      </c>
      <c r="H732" s="206" t="s">
        <v>115</v>
      </c>
      <c r="I732" s="206" t="s">
        <v>288</v>
      </c>
      <c r="J732" s="206" t="s">
        <v>1042</v>
      </c>
      <c r="K732" s="228">
        <v>500</v>
      </c>
      <c r="L732" s="229" t="s">
        <v>42</v>
      </c>
      <c r="M732" s="228">
        <v>500</v>
      </c>
      <c r="N732" s="228">
        <v>502006.62</v>
      </c>
      <c r="O732" s="228">
        <v>251003310</v>
      </c>
      <c r="P732" s="228">
        <v>251003310</v>
      </c>
      <c r="Q732" s="224">
        <v>0</v>
      </c>
      <c r="R732" s="224">
        <v>0</v>
      </c>
      <c r="S732" s="229" t="s">
        <v>43</v>
      </c>
      <c r="T732" s="228">
        <v>134425557.84</v>
      </c>
      <c r="U732" s="228">
        <v>134425557.84</v>
      </c>
      <c r="V732" s="228">
        <v>116577752.16</v>
      </c>
      <c r="W732" s="230">
        <v>0.46444707107599997</v>
      </c>
      <c r="X732" s="228">
        <v>116577752.16</v>
      </c>
      <c r="Y732" s="206" t="s">
        <v>66</v>
      </c>
      <c r="Z732" s="206" t="s">
        <v>44</v>
      </c>
      <c r="AA732" s="206">
        <v>15159</v>
      </c>
      <c r="AB732" s="206" t="s">
        <v>118</v>
      </c>
      <c r="AC732" s="206" t="s">
        <v>154</v>
      </c>
      <c r="AD732" s="206" t="s">
        <v>155</v>
      </c>
      <c r="AE732" s="206">
        <v>0</v>
      </c>
      <c r="AF732" s="206" t="s">
        <v>119</v>
      </c>
      <c r="AG732" s="206" t="s">
        <v>120</v>
      </c>
      <c r="AH732" s="206" t="s">
        <v>121</v>
      </c>
      <c r="AI732" s="206" t="s">
        <v>69</v>
      </c>
      <c r="AJ732" s="206" t="s">
        <v>46</v>
      </c>
      <c r="AK732" s="206" t="s">
        <v>54</v>
      </c>
      <c r="AL732" s="206" t="s">
        <v>48</v>
      </c>
      <c r="AM732" s="206" t="s">
        <v>49</v>
      </c>
      <c r="AN732" s="243" t="str">
        <f>VLOOKUP(I732,Sheet1!A:D,4,)</f>
        <v>A320400</v>
      </c>
      <c r="AP732" s="4" t="s">
        <v>1043</v>
      </c>
    </row>
    <row r="733" spans="1:42" s="206" customFormat="1" x14ac:dyDescent="0.25">
      <c r="A733" s="226">
        <v>45778</v>
      </c>
      <c r="B733" s="206" t="s">
        <v>40</v>
      </c>
      <c r="C733" s="206" t="s">
        <v>41</v>
      </c>
      <c r="D733" s="221">
        <v>25708231</v>
      </c>
      <c r="E733" s="221">
        <v>25106584</v>
      </c>
      <c r="F733" s="221" t="s">
        <v>978</v>
      </c>
      <c r="G733" s="227">
        <v>45797</v>
      </c>
      <c r="H733" s="206" t="s">
        <v>115</v>
      </c>
      <c r="I733" s="206" t="s">
        <v>281</v>
      </c>
      <c r="J733" s="206" t="s">
        <v>487</v>
      </c>
      <c r="K733" s="228">
        <v>200</v>
      </c>
      <c r="L733" s="229" t="s">
        <v>42</v>
      </c>
      <c r="M733" s="228">
        <v>200</v>
      </c>
      <c r="N733" s="228">
        <v>525422.9</v>
      </c>
      <c r="O733" s="228">
        <v>105084580</v>
      </c>
      <c r="P733" s="228">
        <v>105084580</v>
      </c>
      <c r="Q733" s="224">
        <v>0</v>
      </c>
      <c r="R733" s="224">
        <v>0</v>
      </c>
      <c r="S733" s="229" t="s">
        <v>43</v>
      </c>
      <c r="T733" s="228">
        <v>65447243.700000003</v>
      </c>
      <c r="U733" s="228">
        <v>65447243.700000003</v>
      </c>
      <c r="V733" s="228">
        <v>39637336.299999997</v>
      </c>
      <c r="W733" s="230">
        <v>0.37719460171899999</v>
      </c>
      <c r="X733" s="228">
        <v>39637336.299999997</v>
      </c>
      <c r="Y733" s="206" t="s">
        <v>66</v>
      </c>
      <c r="Z733" s="206" t="s">
        <v>44</v>
      </c>
      <c r="AA733" s="206">
        <v>15159</v>
      </c>
      <c r="AB733" s="206" t="s">
        <v>118</v>
      </c>
      <c r="AC733" s="206" t="s">
        <v>154</v>
      </c>
      <c r="AD733" s="206" t="s">
        <v>155</v>
      </c>
      <c r="AE733" s="206">
        <v>0</v>
      </c>
      <c r="AF733" s="206" t="s">
        <v>119</v>
      </c>
      <c r="AG733" s="206" t="s">
        <v>120</v>
      </c>
      <c r="AH733" s="206" t="s">
        <v>121</v>
      </c>
      <c r="AI733" s="206" t="s">
        <v>69</v>
      </c>
      <c r="AJ733" s="206" t="s">
        <v>46</v>
      </c>
      <c r="AK733" s="206" t="s">
        <v>54</v>
      </c>
      <c r="AL733" s="206" t="s">
        <v>48</v>
      </c>
      <c r="AM733" s="206" t="s">
        <v>49</v>
      </c>
      <c r="AN733" s="243" t="str">
        <f>VLOOKUP(I733,Sheet1!A:D,4,)</f>
        <v>A320400</v>
      </c>
      <c r="AP733" s="4" t="s">
        <v>1043</v>
      </c>
    </row>
    <row r="734" spans="1:42" s="206" customFormat="1" x14ac:dyDescent="0.25">
      <c r="A734" s="226">
        <v>45778</v>
      </c>
      <c r="B734" s="206" t="s">
        <v>40</v>
      </c>
      <c r="C734" s="206" t="s">
        <v>41</v>
      </c>
      <c r="D734" s="221">
        <v>25708231</v>
      </c>
      <c r="E734" s="221">
        <v>25106584</v>
      </c>
      <c r="F734" s="221" t="s">
        <v>978</v>
      </c>
      <c r="G734" s="227">
        <v>45797</v>
      </c>
      <c r="H734" s="206" t="s">
        <v>115</v>
      </c>
      <c r="I734" s="206" t="s">
        <v>335</v>
      </c>
      <c r="J734" s="206" t="s">
        <v>1002</v>
      </c>
      <c r="K734" s="228">
        <v>20</v>
      </c>
      <c r="L734" s="229" t="s">
        <v>42</v>
      </c>
      <c r="M734" s="228">
        <v>20</v>
      </c>
      <c r="N734" s="228">
        <v>526064.43999999994</v>
      </c>
      <c r="O734" s="228">
        <v>10521288.800000001</v>
      </c>
      <c r="P734" s="228">
        <v>10521288.800000001</v>
      </c>
      <c r="Q734" s="224">
        <v>0</v>
      </c>
      <c r="R734" s="224">
        <v>0</v>
      </c>
      <c r="S734" s="229" t="s">
        <v>43</v>
      </c>
      <c r="T734" s="228">
        <v>4629065.2</v>
      </c>
      <c r="U734" s="228">
        <v>4629065.2</v>
      </c>
      <c r="V734" s="228">
        <v>5892223.5999999996</v>
      </c>
      <c r="W734" s="230">
        <v>0.56002869154199997</v>
      </c>
      <c r="X734" s="228">
        <v>5892223.5999999996</v>
      </c>
      <c r="Y734" s="206" t="s">
        <v>66</v>
      </c>
      <c r="Z734" s="206" t="s">
        <v>44</v>
      </c>
      <c r="AA734" s="206">
        <v>15159</v>
      </c>
      <c r="AB734" s="206" t="s">
        <v>118</v>
      </c>
      <c r="AC734" s="206" t="s">
        <v>154</v>
      </c>
      <c r="AD734" s="206" t="s">
        <v>155</v>
      </c>
      <c r="AE734" s="206">
        <v>0</v>
      </c>
      <c r="AF734" s="206" t="s">
        <v>124</v>
      </c>
      <c r="AG734" s="206" t="s">
        <v>81</v>
      </c>
      <c r="AH734" s="206" t="s">
        <v>57</v>
      </c>
      <c r="AI734" s="206" t="s">
        <v>69</v>
      </c>
      <c r="AJ734" s="206" t="s">
        <v>46</v>
      </c>
      <c r="AK734" s="206" t="s">
        <v>54</v>
      </c>
      <c r="AL734" s="206" t="s">
        <v>48</v>
      </c>
      <c r="AM734" s="206" t="s">
        <v>49</v>
      </c>
      <c r="AN734" s="243" t="str">
        <f>VLOOKUP(I734,Sheet1!A:D,4,)</f>
        <v>A320400</v>
      </c>
      <c r="AP734" s="4" t="s">
        <v>1043</v>
      </c>
    </row>
    <row r="735" spans="1:42" s="206" customFormat="1" x14ac:dyDescent="0.25">
      <c r="A735" s="226">
        <v>45778</v>
      </c>
      <c r="B735" s="206" t="s">
        <v>40</v>
      </c>
      <c r="C735" s="206" t="s">
        <v>41</v>
      </c>
      <c r="D735" s="221">
        <v>25708232</v>
      </c>
      <c r="E735" s="221">
        <v>25106648</v>
      </c>
      <c r="F735" s="221" t="s">
        <v>992</v>
      </c>
      <c r="G735" s="227">
        <v>45797</v>
      </c>
      <c r="H735" s="206" t="s">
        <v>126</v>
      </c>
      <c r="I735" s="206" t="s">
        <v>240</v>
      </c>
      <c r="J735" s="206" t="s">
        <v>241</v>
      </c>
      <c r="K735" s="228">
        <v>10</v>
      </c>
      <c r="L735" s="229" t="s">
        <v>42</v>
      </c>
      <c r="M735" s="228">
        <v>10</v>
      </c>
      <c r="N735" s="228">
        <v>4489180.78</v>
      </c>
      <c r="O735" s="228">
        <v>44891807.799999997</v>
      </c>
      <c r="P735" s="228">
        <v>44891807.799999997</v>
      </c>
      <c r="Q735" s="224">
        <v>0</v>
      </c>
      <c r="R735" s="224">
        <v>0</v>
      </c>
      <c r="S735" s="229" t="s">
        <v>43</v>
      </c>
      <c r="T735" s="228">
        <v>28987398.620000001</v>
      </c>
      <c r="U735" s="228">
        <v>28987398.620000001</v>
      </c>
      <c r="V735" s="228">
        <v>15904409.18</v>
      </c>
      <c r="W735" s="230">
        <v>0.354283107752</v>
      </c>
      <c r="X735" s="228">
        <v>15904409.18</v>
      </c>
      <c r="Y735" s="206" t="s">
        <v>69</v>
      </c>
      <c r="Z735" s="206" t="s">
        <v>46</v>
      </c>
      <c r="AA735" s="206">
        <v>2306153</v>
      </c>
      <c r="AB735" s="206" t="s">
        <v>126</v>
      </c>
      <c r="AC735" s="206" t="s">
        <v>56</v>
      </c>
      <c r="AD735" s="206" t="s">
        <v>77</v>
      </c>
      <c r="AE735" s="206">
        <v>0</v>
      </c>
      <c r="AF735" s="206" t="s">
        <v>68</v>
      </c>
      <c r="AG735" s="206" t="s">
        <v>71</v>
      </c>
      <c r="AH735" s="206" t="s">
        <v>53</v>
      </c>
      <c r="AI735" s="206" t="s">
        <v>69</v>
      </c>
      <c r="AJ735" s="206" t="s">
        <v>46</v>
      </c>
      <c r="AK735" s="206" t="s">
        <v>54</v>
      </c>
      <c r="AL735" s="206" t="s">
        <v>48</v>
      </c>
      <c r="AM735" s="206" t="s">
        <v>49</v>
      </c>
      <c r="AN735" s="243" t="str">
        <f>VLOOKUP(I735,Sheet1!A:D,4,)</f>
        <v>A320400</v>
      </c>
      <c r="AP735" s="4" t="s">
        <v>1043</v>
      </c>
    </row>
    <row r="736" spans="1:42" s="206" customFormat="1" x14ac:dyDescent="0.25">
      <c r="A736" s="226">
        <v>45778</v>
      </c>
      <c r="B736" s="206" t="s">
        <v>40</v>
      </c>
      <c r="C736" s="206" t="s">
        <v>41</v>
      </c>
      <c r="D736" s="221">
        <v>25708239</v>
      </c>
      <c r="E736" s="221">
        <v>25106677</v>
      </c>
      <c r="F736" s="221" t="s">
        <v>1000</v>
      </c>
      <c r="G736" s="227">
        <v>45796</v>
      </c>
      <c r="H736" s="206" t="s">
        <v>126</v>
      </c>
      <c r="I736" s="206" t="s">
        <v>140</v>
      </c>
      <c r="J736" s="206" t="s">
        <v>141</v>
      </c>
      <c r="K736" s="228">
        <v>80</v>
      </c>
      <c r="L736" s="229" t="s">
        <v>42</v>
      </c>
      <c r="M736" s="228">
        <v>80</v>
      </c>
      <c r="N736" s="228">
        <v>533328.59</v>
      </c>
      <c r="O736" s="228">
        <v>42666287.200000003</v>
      </c>
      <c r="P736" s="228">
        <v>42666287.200000003</v>
      </c>
      <c r="Q736" s="224">
        <v>0</v>
      </c>
      <c r="R736" s="224">
        <v>0</v>
      </c>
      <c r="S736" s="229" t="s">
        <v>43</v>
      </c>
      <c r="T736" s="228">
        <v>17801098.850000001</v>
      </c>
      <c r="U736" s="228">
        <v>17801098.850000001</v>
      </c>
      <c r="V736" s="228">
        <v>24865188.350000001</v>
      </c>
      <c r="W736" s="230">
        <v>0.58278303507899998</v>
      </c>
      <c r="X736" s="228">
        <v>24865188.350000001</v>
      </c>
      <c r="Y736" s="206" t="s">
        <v>69</v>
      </c>
      <c r="Z736" s="206" t="s">
        <v>46</v>
      </c>
      <c r="AA736" s="206">
        <v>2306153</v>
      </c>
      <c r="AB736" s="206" t="s">
        <v>126</v>
      </c>
      <c r="AC736" s="206" t="s">
        <v>56</v>
      </c>
      <c r="AD736" s="206" t="s">
        <v>77</v>
      </c>
      <c r="AE736" s="206">
        <v>0</v>
      </c>
      <c r="AF736" s="206" t="s">
        <v>68</v>
      </c>
      <c r="AG736" s="206" t="s">
        <v>142</v>
      </c>
      <c r="AH736" s="206" t="s">
        <v>143</v>
      </c>
      <c r="AI736" s="206" t="s">
        <v>69</v>
      </c>
      <c r="AJ736" s="206" t="s">
        <v>46</v>
      </c>
      <c r="AK736" s="206" t="s">
        <v>54</v>
      </c>
      <c r="AL736" s="206" t="s">
        <v>48</v>
      </c>
      <c r="AM736" s="206" t="s">
        <v>49</v>
      </c>
      <c r="AN736" s="243" t="str">
        <f>VLOOKUP(I736,Sheet1!A:D,4,)</f>
        <v>A320400</v>
      </c>
      <c r="AP736" s="36" t="s">
        <v>1055</v>
      </c>
    </row>
    <row r="737" spans="1:42" s="206" customFormat="1" x14ac:dyDescent="0.25">
      <c r="A737" s="226">
        <v>45778</v>
      </c>
      <c r="B737" s="206" t="s">
        <v>40</v>
      </c>
      <c r="C737" s="206" t="s">
        <v>41</v>
      </c>
      <c r="D737" s="221">
        <v>25708239</v>
      </c>
      <c r="E737" s="221">
        <v>25106677</v>
      </c>
      <c r="F737" s="221" t="s">
        <v>1000</v>
      </c>
      <c r="G737" s="227">
        <v>45796</v>
      </c>
      <c r="H737" s="206" t="s">
        <v>126</v>
      </c>
      <c r="I737" s="206" t="s">
        <v>286</v>
      </c>
      <c r="J737" s="206" t="s">
        <v>844</v>
      </c>
      <c r="K737" s="228">
        <v>30</v>
      </c>
      <c r="L737" s="229" t="s">
        <v>42</v>
      </c>
      <c r="M737" s="228">
        <v>30</v>
      </c>
      <c r="N737" s="228">
        <v>536948.84</v>
      </c>
      <c r="O737" s="228">
        <v>16108465.199999999</v>
      </c>
      <c r="P737" s="228">
        <v>16108465.199999999</v>
      </c>
      <c r="Q737" s="224">
        <v>0</v>
      </c>
      <c r="R737" s="224">
        <v>0</v>
      </c>
      <c r="S737" s="229" t="s">
        <v>43</v>
      </c>
      <c r="T737" s="228">
        <v>9896311.2599999998</v>
      </c>
      <c r="U737" s="228">
        <v>9896311.2599999998</v>
      </c>
      <c r="V737" s="228">
        <v>6212153.9400000004</v>
      </c>
      <c r="W737" s="230">
        <v>0.38564530281800002</v>
      </c>
      <c r="X737" s="228">
        <v>6212153.9400000004</v>
      </c>
      <c r="Y737" s="206" t="s">
        <v>69</v>
      </c>
      <c r="Z737" s="206" t="s">
        <v>46</v>
      </c>
      <c r="AA737" s="206">
        <v>2306153</v>
      </c>
      <c r="AB737" s="206" t="s">
        <v>126</v>
      </c>
      <c r="AC737" s="206" t="s">
        <v>56</v>
      </c>
      <c r="AD737" s="206" t="s">
        <v>77</v>
      </c>
      <c r="AE737" s="206">
        <v>0</v>
      </c>
      <c r="AF737" s="206" t="s">
        <v>68</v>
      </c>
      <c r="AG737" s="206" t="s">
        <v>71</v>
      </c>
      <c r="AH737" s="206" t="s">
        <v>53</v>
      </c>
      <c r="AI737" s="206" t="s">
        <v>69</v>
      </c>
      <c r="AJ737" s="206" t="s">
        <v>46</v>
      </c>
      <c r="AK737" s="206" t="s">
        <v>54</v>
      </c>
      <c r="AL737" s="206" t="s">
        <v>48</v>
      </c>
      <c r="AM737" s="206" t="s">
        <v>49</v>
      </c>
      <c r="AN737" s="243" t="str">
        <f>VLOOKUP(I737,Sheet1!A:D,4,)</f>
        <v>A320400</v>
      </c>
      <c r="AP737" s="36" t="s">
        <v>1055</v>
      </c>
    </row>
    <row r="738" spans="1:42" s="206" customFormat="1" x14ac:dyDescent="0.25">
      <c r="A738" s="226">
        <v>45778</v>
      </c>
      <c r="B738" s="206" t="s">
        <v>40</v>
      </c>
      <c r="C738" s="206" t="s">
        <v>41</v>
      </c>
      <c r="D738" s="221">
        <v>25708240</v>
      </c>
      <c r="E738" s="221">
        <v>25106709</v>
      </c>
      <c r="F738" s="221" t="s">
        <v>1052</v>
      </c>
      <c r="G738" s="227">
        <v>45796</v>
      </c>
      <c r="H738" s="206" t="s">
        <v>126</v>
      </c>
      <c r="I738" s="206" t="s">
        <v>140</v>
      </c>
      <c r="J738" s="206" t="s">
        <v>141</v>
      </c>
      <c r="K738" s="228">
        <v>140</v>
      </c>
      <c r="L738" s="229" t="s">
        <v>42</v>
      </c>
      <c r="M738" s="228">
        <v>140</v>
      </c>
      <c r="N738" s="228">
        <v>545365.01</v>
      </c>
      <c r="O738" s="228">
        <v>76351101.400000006</v>
      </c>
      <c r="P738" s="228">
        <v>76351101.400000006</v>
      </c>
      <c r="Q738" s="224">
        <v>0</v>
      </c>
      <c r="R738" s="224">
        <v>0</v>
      </c>
      <c r="S738" s="229" t="s">
        <v>43</v>
      </c>
      <c r="T738" s="228">
        <v>31151922.989999998</v>
      </c>
      <c r="U738" s="228">
        <v>31151922.989999998</v>
      </c>
      <c r="V738" s="228">
        <v>45199178.409999996</v>
      </c>
      <c r="W738" s="230">
        <v>0.591991177353</v>
      </c>
      <c r="X738" s="228">
        <v>45199178.409999996</v>
      </c>
      <c r="Y738" s="206" t="s">
        <v>69</v>
      </c>
      <c r="Z738" s="206" t="s">
        <v>46</v>
      </c>
      <c r="AA738" s="206">
        <v>2306153</v>
      </c>
      <c r="AB738" s="206" t="s">
        <v>126</v>
      </c>
      <c r="AC738" s="206" t="s">
        <v>56</v>
      </c>
      <c r="AD738" s="206" t="s">
        <v>77</v>
      </c>
      <c r="AE738" s="206">
        <v>0</v>
      </c>
      <c r="AF738" s="206" t="s">
        <v>68</v>
      </c>
      <c r="AG738" s="206" t="s">
        <v>142</v>
      </c>
      <c r="AH738" s="206" t="s">
        <v>143</v>
      </c>
      <c r="AI738" s="206" t="s">
        <v>69</v>
      </c>
      <c r="AJ738" s="206" t="s">
        <v>46</v>
      </c>
      <c r="AK738" s="206" t="s">
        <v>54</v>
      </c>
      <c r="AL738" s="206" t="s">
        <v>48</v>
      </c>
      <c r="AM738" s="206" t="s">
        <v>49</v>
      </c>
      <c r="AN738" s="243" t="str">
        <f>VLOOKUP(I738,Sheet1!A:D,4,)</f>
        <v>A320400</v>
      </c>
      <c r="AP738" s="36" t="s">
        <v>1055</v>
      </c>
    </row>
    <row r="739" spans="1:42" s="206" customFormat="1" x14ac:dyDescent="0.25">
      <c r="A739" s="226">
        <v>45778</v>
      </c>
      <c r="B739" s="206" t="s">
        <v>40</v>
      </c>
      <c r="C739" s="206" t="s">
        <v>41</v>
      </c>
      <c r="D739" s="221">
        <v>25708243</v>
      </c>
      <c r="E739" s="221">
        <v>25106743</v>
      </c>
      <c r="F739" s="221" t="s">
        <v>1053</v>
      </c>
      <c r="G739" s="227">
        <v>45796</v>
      </c>
      <c r="H739" s="206" t="s">
        <v>126</v>
      </c>
      <c r="I739" s="206" t="s">
        <v>146</v>
      </c>
      <c r="J739" s="206" t="s">
        <v>147</v>
      </c>
      <c r="K739" s="228">
        <v>2</v>
      </c>
      <c r="L739" s="229" t="s">
        <v>42</v>
      </c>
      <c r="M739" s="228">
        <v>2</v>
      </c>
      <c r="N739" s="228">
        <v>15190460.140000001</v>
      </c>
      <c r="O739" s="228">
        <v>30380920.280000001</v>
      </c>
      <c r="P739" s="228">
        <v>30380920.280000001</v>
      </c>
      <c r="Q739" s="224">
        <v>0</v>
      </c>
      <c r="R739" s="224">
        <v>0</v>
      </c>
      <c r="S739" s="229" t="s">
        <v>43</v>
      </c>
      <c r="T739" s="228">
        <v>13293648.52</v>
      </c>
      <c r="U739" s="228">
        <v>13293648.52</v>
      </c>
      <c r="V739" s="228">
        <v>17087271.760000002</v>
      </c>
      <c r="W739" s="230">
        <v>0.56243430424399998</v>
      </c>
      <c r="X739" s="228">
        <v>17087271.760000002</v>
      </c>
      <c r="Y739" s="206" t="s">
        <v>69</v>
      </c>
      <c r="Z739" s="206" t="s">
        <v>46</v>
      </c>
      <c r="AA739" s="206">
        <v>2306153</v>
      </c>
      <c r="AB739" s="206" t="s">
        <v>126</v>
      </c>
      <c r="AC739" s="206" t="s">
        <v>56</v>
      </c>
      <c r="AD739" s="206" t="s">
        <v>77</v>
      </c>
      <c r="AE739" s="206">
        <v>0</v>
      </c>
      <c r="AF739" s="206" t="s">
        <v>68</v>
      </c>
      <c r="AG739" s="206" t="s">
        <v>69</v>
      </c>
      <c r="AH739" s="206" t="s">
        <v>46</v>
      </c>
      <c r="AI739" s="206" t="s">
        <v>69</v>
      </c>
      <c r="AJ739" s="206" t="s">
        <v>46</v>
      </c>
      <c r="AK739" s="206" t="s">
        <v>54</v>
      </c>
      <c r="AL739" s="206" t="s">
        <v>48</v>
      </c>
      <c r="AM739" s="206" t="s">
        <v>49</v>
      </c>
      <c r="AN739" s="243" t="str">
        <f>VLOOKUP(I739,Sheet1!A:D,4,)</f>
        <v>A320400</v>
      </c>
      <c r="AP739" s="36" t="s">
        <v>1055</v>
      </c>
    </row>
    <row r="740" spans="1:42" s="206" customFormat="1" x14ac:dyDescent="0.25">
      <c r="A740" s="226">
        <v>45778</v>
      </c>
      <c r="B740" s="206" t="s">
        <v>40</v>
      </c>
      <c r="C740" s="206" t="s">
        <v>41</v>
      </c>
      <c r="D740" s="221">
        <v>25708244</v>
      </c>
      <c r="E740" s="221">
        <v>25106583</v>
      </c>
      <c r="F740" s="221" t="s">
        <v>778</v>
      </c>
      <c r="G740" s="227">
        <v>45797</v>
      </c>
      <c r="H740" s="206" t="s">
        <v>126</v>
      </c>
      <c r="I740" s="206" t="s">
        <v>334</v>
      </c>
      <c r="J740" s="206" t="s">
        <v>1054</v>
      </c>
      <c r="K740" s="228">
        <v>20</v>
      </c>
      <c r="L740" s="229" t="s">
        <v>42</v>
      </c>
      <c r="M740" s="228">
        <v>20</v>
      </c>
      <c r="N740" s="228">
        <v>680996.83</v>
      </c>
      <c r="O740" s="228">
        <v>13619936.6</v>
      </c>
      <c r="P740" s="228">
        <v>13619936.6</v>
      </c>
      <c r="Q740" s="224">
        <v>0</v>
      </c>
      <c r="R740" s="224">
        <v>0</v>
      </c>
      <c r="S740" s="229" t="s">
        <v>43</v>
      </c>
      <c r="T740" s="228">
        <v>7707692.9100000001</v>
      </c>
      <c r="U740" s="228">
        <v>7707692.9100000001</v>
      </c>
      <c r="V740" s="228">
        <v>5912243.6900000004</v>
      </c>
      <c r="W740" s="230">
        <v>0.43408746043599999</v>
      </c>
      <c r="X740" s="228">
        <v>5912243.6900000004</v>
      </c>
      <c r="Y740" s="206" t="s">
        <v>69</v>
      </c>
      <c r="Z740" s="206" t="s">
        <v>46</v>
      </c>
      <c r="AA740" s="206">
        <v>2306153</v>
      </c>
      <c r="AB740" s="206" t="s">
        <v>126</v>
      </c>
      <c r="AC740" s="206" t="s">
        <v>56</v>
      </c>
      <c r="AD740" s="206" t="s">
        <v>77</v>
      </c>
      <c r="AE740" s="206">
        <v>0</v>
      </c>
      <c r="AF740" s="206" t="s">
        <v>119</v>
      </c>
      <c r="AG740" s="206" t="s">
        <v>120</v>
      </c>
      <c r="AH740" s="206" t="s">
        <v>121</v>
      </c>
      <c r="AI740" s="206" t="s">
        <v>69</v>
      </c>
      <c r="AJ740" s="206" t="s">
        <v>46</v>
      </c>
      <c r="AK740" s="206" t="s">
        <v>54</v>
      </c>
      <c r="AL740" s="206" t="s">
        <v>48</v>
      </c>
      <c r="AM740" s="206" t="s">
        <v>49</v>
      </c>
      <c r="AN740" s="243" t="str">
        <f>VLOOKUP(I740,Sheet1!A:D,4,)</f>
        <v>A320400</v>
      </c>
      <c r="AP740" s="36" t="s">
        <v>1055</v>
      </c>
    </row>
    <row r="741" spans="1:42" s="206" customFormat="1" x14ac:dyDescent="0.25">
      <c r="A741" s="226">
        <v>45778</v>
      </c>
      <c r="B741" s="206" t="s">
        <v>40</v>
      </c>
      <c r="C741" s="206" t="s">
        <v>41</v>
      </c>
      <c r="D741" s="221">
        <v>25708245</v>
      </c>
      <c r="E741" s="221">
        <v>25106577</v>
      </c>
      <c r="F741" s="221" t="s">
        <v>848</v>
      </c>
      <c r="G741" s="227">
        <v>45797</v>
      </c>
      <c r="H741" s="206" t="s">
        <v>126</v>
      </c>
      <c r="I741" s="206" t="s">
        <v>122</v>
      </c>
      <c r="J741" s="206" t="s">
        <v>123</v>
      </c>
      <c r="K741" s="228">
        <v>180</v>
      </c>
      <c r="L741" s="229" t="s">
        <v>42</v>
      </c>
      <c r="M741" s="228">
        <v>180</v>
      </c>
      <c r="N741" s="228">
        <v>875865.22</v>
      </c>
      <c r="O741" s="228">
        <v>157655739.59999999</v>
      </c>
      <c r="P741" s="228">
        <v>157655739.59999999</v>
      </c>
      <c r="Q741" s="224">
        <v>0</v>
      </c>
      <c r="R741" s="224">
        <v>0</v>
      </c>
      <c r="S741" s="229" t="s">
        <v>43</v>
      </c>
      <c r="T741" s="228">
        <v>43228143.57</v>
      </c>
      <c r="U741" s="228">
        <v>43228143.57</v>
      </c>
      <c r="V741" s="228">
        <v>114427596.03</v>
      </c>
      <c r="W741" s="230">
        <v>0.72580672495800003</v>
      </c>
      <c r="X741" s="228">
        <v>114427596.03</v>
      </c>
      <c r="Y741" s="206" t="s">
        <v>69</v>
      </c>
      <c r="Z741" s="206" t="s">
        <v>46</v>
      </c>
      <c r="AA741" s="206">
        <v>2306153</v>
      </c>
      <c r="AB741" s="206" t="s">
        <v>126</v>
      </c>
      <c r="AC741" s="206" t="s">
        <v>56</v>
      </c>
      <c r="AD741" s="206" t="s">
        <v>77</v>
      </c>
      <c r="AE741" s="206">
        <v>0</v>
      </c>
      <c r="AF741" s="206" t="s">
        <v>124</v>
      </c>
      <c r="AG741" s="206" t="s">
        <v>81</v>
      </c>
      <c r="AH741" s="206" t="s">
        <v>57</v>
      </c>
      <c r="AI741" s="206" t="s">
        <v>69</v>
      </c>
      <c r="AJ741" s="206" t="s">
        <v>46</v>
      </c>
      <c r="AK741" s="206" t="s">
        <v>54</v>
      </c>
      <c r="AL741" s="206" t="s">
        <v>48</v>
      </c>
      <c r="AM741" s="206" t="s">
        <v>49</v>
      </c>
      <c r="AN741" s="243" t="str">
        <f>VLOOKUP(I741,Sheet1!A:D,4,)</f>
        <v>A320400</v>
      </c>
      <c r="AP741" s="36" t="s">
        <v>1055</v>
      </c>
    </row>
    <row r="742" spans="1:42" s="206" customFormat="1" x14ac:dyDescent="0.25">
      <c r="A742" s="226">
        <v>45809</v>
      </c>
      <c r="B742" s="206" t="s">
        <v>40</v>
      </c>
      <c r="C742" s="206" t="s">
        <v>41</v>
      </c>
      <c r="D742" s="221">
        <v>25708264</v>
      </c>
      <c r="E742" s="221">
        <v>25106551</v>
      </c>
      <c r="F742" s="221" t="s">
        <v>930</v>
      </c>
      <c r="G742" s="227">
        <v>45811</v>
      </c>
      <c r="H742" s="206" t="s">
        <v>126</v>
      </c>
      <c r="I742" s="206" t="s">
        <v>430</v>
      </c>
      <c r="J742" s="206" t="s">
        <v>643</v>
      </c>
      <c r="K742" s="228">
        <v>100</v>
      </c>
      <c r="L742" s="229" t="s">
        <v>42</v>
      </c>
      <c r="M742" s="228">
        <v>100</v>
      </c>
      <c r="N742" s="228">
        <v>399520.28</v>
      </c>
      <c r="O742" s="228">
        <v>39952028</v>
      </c>
      <c r="P742" s="228">
        <v>39952028</v>
      </c>
      <c r="Q742" s="224">
        <v>0</v>
      </c>
      <c r="R742" s="224">
        <v>0</v>
      </c>
      <c r="S742" s="229" t="s">
        <v>43</v>
      </c>
      <c r="T742" s="228">
        <v>25022825</v>
      </c>
      <c r="U742" s="228">
        <v>25022825</v>
      </c>
      <c r="V742" s="228">
        <v>14929203</v>
      </c>
      <c r="W742" s="230">
        <v>0.37367822729700001</v>
      </c>
      <c r="X742" s="228">
        <v>14929203</v>
      </c>
      <c r="Y742" s="206" t="s">
        <v>69</v>
      </c>
      <c r="Z742" s="206" t="s">
        <v>46</v>
      </c>
      <c r="AA742" s="206">
        <v>2306153</v>
      </c>
      <c r="AB742" s="206" t="s">
        <v>126</v>
      </c>
      <c r="AC742" s="206" t="s">
        <v>56</v>
      </c>
      <c r="AD742" s="206" t="s">
        <v>77</v>
      </c>
      <c r="AE742" s="206">
        <v>0</v>
      </c>
      <c r="AF742" s="206" t="s">
        <v>119</v>
      </c>
      <c r="AG742" s="206" t="s">
        <v>120</v>
      </c>
      <c r="AH742" s="206" t="s">
        <v>121</v>
      </c>
      <c r="AI742" s="206" t="s">
        <v>69</v>
      </c>
      <c r="AJ742" s="206" t="s">
        <v>46</v>
      </c>
      <c r="AK742" s="206" t="s">
        <v>54</v>
      </c>
      <c r="AL742" s="206" t="s">
        <v>48</v>
      </c>
      <c r="AM742" s="206" t="s">
        <v>49</v>
      </c>
      <c r="AN742" s="243" t="str">
        <f>VLOOKUP(I742,Sheet1!A:D,4,)</f>
        <v>A320400</v>
      </c>
      <c r="AP742" s="4" t="s">
        <v>1069</v>
      </c>
    </row>
    <row r="743" spans="1:42" s="206" customFormat="1" x14ac:dyDescent="0.25">
      <c r="A743" s="226">
        <v>45809</v>
      </c>
      <c r="B743" s="206" t="s">
        <v>40</v>
      </c>
      <c r="C743" s="206" t="s">
        <v>41</v>
      </c>
      <c r="D743" s="221">
        <v>25708264</v>
      </c>
      <c r="E743" s="221">
        <v>25106551</v>
      </c>
      <c r="F743" s="221" t="s">
        <v>930</v>
      </c>
      <c r="G743" s="227">
        <v>45811</v>
      </c>
      <c r="H743" s="206" t="s">
        <v>126</v>
      </c>
      <c r="I743" s="206" t="s">
        <v>398</v>
      </c>
      <c r="J743" s="206" t="s">
        <v>843</v>
      </c>
      <c r="K743" s="228">
        <v>200</v>
      </c>
      <c r="L743" s="229" t="s">
        <v>42</v>
      </c>
      <c r="M743" s="228">
        <v>200</v>
      </c>
      <c r="N743" s="228">
        <v>1587014.52</v>
      </c>
      <c r="O743" s="228">
        <v>317402904</v>
      </c>
      <c r="P743" s="228">
        <v>317402904</v>
      </c>
      <c r="Q743" s="224">
        <v>0</v>
      </c>
      <c r="R743" s="224">
        <v>0</v>
      </c>
      <c r="S743" s="229" t="s">
        <v>43</v>
      </c>
      <c r="T743" s="228">
        <v>217137760</v>
      </c>
      <c r="U743" s="228">
        <v>217137760</v>
      </c>
      <c r="V743" s="228">
        <v>100265144</v>
      </c>
      <c r="W743" s="230">
        <v>0.31589233348599999</v>
      </c>
      <c r="X743" s="228">
        <v>100265144</v>
      </c>
      <c r="Y743" s="206" t="s">
        <v>69</v>
      </c>
      <c r="Z743" s="206" t="s">
        <v>46</v>
      </c>
      <c r="AA743" s="206">
        <v>2306153</v>
      </c>
      <c r="AB743" s="206" t="s">
        <v>126</v>
      </c>
      <c r="AC743" s="206" t="s">
        <v>56</v>
      </c>
      <c r="AD743" s="206" t="s">
        <v>77</v>
      </c>
      <c r="AE743" s="206">
        <v>0</v>
      </c>
      <c r="AF743" s="206" t="s">
        <v>124</v>
      </c>
      <c r="AG743" s="206" t="s">
        <v>81</v>
      </c>
      <c r="AH743" s="206" t="s">
        <v>57</v>
      </c>
      <c r="AI743" s="206" t="s">
        <v>69</v>
      </c>
      <c r="AJ743" s="206" t="s">
        <v>46</v>
      </c>
      <c r="AK743" s="206" t="s">
        <v>54</v>
      </c>
      <c r="AL743" s="206" t="s">
        <v>48</v>
      </c>
      <c r="AM743" s="206" t="s">
        <v>49</v>
      </c>
      <c r="AN743" s="243" t="str">
        <f>VLOOKUP(I743,Sheet1!A:D,4,)</f>
        <v>A320400</v>
      </c>
      <c r="AP743" s="4" t="s">
        <v>1069</v>
      </c>
    </row>
    <row r="744" spans="1:42" s="206" customFormat="1" x14ac:dyDescent="0.25">
      <c r="A744" s="226">
        <v>45809</v>
      </c>
      <c r="B744" s="206" t="s">
        <v>40</v>
      </c>
      <c r="C744" s="206" t="s">
        <v>41</v>
      </c>
      <c r="D744" s="221">
        <v>25708265</v>
      </c>
      <c r="E744" s="221">
        <v>25106568</v>
      </c>
      <c r="F744" s="221" t="s">
        <v>818</v>
      </c>
      <c r="G744" s="227">
        <v>45811</v>
      </c>
      <c r="H744" s="206" t="s">
        <v>115</v>
      </c>
      <c r="I744" s="206" t="s">
        <v>450</v>
      </c>
      <c r="J744" s="206" t="s">
        <v>819</v>
      </c>
      <c r="K744" s="228">
        <v>40</v>
      </c>
      <c r="L744" s="229" t="s">
        <v>42</v>
      </c>
      <c r="M744" s="228">
        <v>40</v>
      </c>
      <c r="N744" s="228">
        <v>825504.17</v>
      </c>
      <c r="O744" s="228">
        <v>33020166.800000001</v>
      </c>
      <c r="P744" s="228">
        <v>33020166.800000001</v>
      </c>
      <c r="Q744" s="224">
        <v>0</v>
      </c>
      <c r="R744" s="224">
        <v>0</v>
      </c>
      <c r="S744" s="229" t="s">
        <v>43</v>
      </c>
      <c r="T744" s="228">
        <v>19503891.030000001</v>
      </c>
      <c r="U744" s="228">
        <v>19503891.030000001</v>
      </c>
      <c r="V744" s="228">
        <v>13516275.77</v>
      </c>
      <c r="W744" s="230">
        <v>0.40933396405400002</v>
      </c>
      <c r="X744" s="228">
        <v>13516275.77</v>
      </c>
      <c r="Y744" s="206" t="s">
        <v>66</v>
      </c>
      <c r="Z744" s="206" t="s">
        <v>44</v>
      </c>
      <c r="AA744" s="206">
        <v>15159</v>
      </c>
      <c r="AB744" s="206" t="s">
        <v>118</v>
      </c>
      <c r="AC744" s="206" t="s">
        <v>154</v>
      </c>
      <c r="AD744" s="206" t="s">
        <v>155</v>
      </c>
      <c r="AE744" s="206">
        <v>0</v>
      </c>
      <c r="AF744" s="206" t="s">
        <v>72</v>
      </c>
      <c r="AG744" s="206" t="s">
        <v>69</v>
      </c>
      <c r="AH744" s="206" t="s">
        <v>46</v>
      </c>
      <c r="AI744" s="206" t="s">
        <v>69</v>
      </c>
      <c r="AJ744" s="206" t="s">
        <v>46</v>
      </c>
      <c r="AK744" s="206" t="s">
        <v>54</v>
      </c>
      <c r="AL744" s="206" t="s">
        <v>48</v>
      </c>
      <c r="AM744" s="206" t="s">
        <v>49</v>
      </c>
      <c r="AN744" s="243" t="str">
        <f>VLOOKUP(I744,Sheet1!A:D,4,)</f>
        <v>A320400</v>
      </c>
      <c r="AP744" s="4" t="s">
        <v>1069</v>
      </c>
    </row>
    <row r="745" spans="1:42" s="206" customFormat="1" x14ac:dyDescent="0.25">
      <c r="A745" s="226">
        <v>45809</v>
      </c>
      <c r="B745" s="206" t="s">
        <v>40</v>
      </c>
      <c r="C745" s="206" t="s">
        <v>41</v>
      </c>
      <c r="D745" s="221">
        <v>25708266</v>
      </c>
      <c r="E745" s="221">
        <v>25106584</v>
      </c>
      <c r="F745" s="221" t="s">
        <v>978</v>
      </c>
      <c r="G745" s="227">
        <v>45811</v>
      </c>
      <c r="H745" s="206" t="s">
        <v>115</v>
      </c>
      <c r="I745" s="206" t="s">
        <v>430</v>
      </c>
      <c r="J745" s="206" t="s">
        <v>643</v>
      </c>
      <c r="K745" s="228">
        <v>100</v>
      </c>
      <c r="L745" s="229" t="s">
        <v>42</v>
      </c>
      <c r="M745" s="228">
        <v>100</v>
      </c>
      <c r="N745" s="228">
        <v>399520.28</v>
      </c>
      <c r="O745" s="228">
        <v>39952028</v>
      </c>
      <c r="P745" s="228">
        <v>39952028</v>
      </c>
      <c r="Q745" s="224">
        <v>0</v>
      </c>
      <c r="R745" s="224">
        <v>0</v>
      </c>
      <c r="S745" s="229" t="s">
        <v>43</v>
      </c>
      <c r="T745" s="228">
        <v>25022825</v>
      </c>
      <c r="U745" s="228">
        <v>25022825</v>
      </c>
      <c r="V745" s="228">
        <v>14929203</v>
      </c>
      <c r="W745" s="230">
        <v>0.37367822729700001</v>
      </c>
      <c r="X745" s="228">
        <v>14929203</v>
      </c>
      <c r="Y745" s="206" t="s">
        <v>66</v>
      </c>
      <c r="Z745" s="206" t="s">
        <v>44</v>
      </c>
      <c r="AA745" s="206">
        <v>15159</v>
      </c>
      <c r="AB745" s="206" t="s">
        <v>118</v>
      </c>
      <c r="AC745" s="206" t="s">
        <v>154</v>
      </c>
      <c r="AD745" s="206" t="s">
        <v>155</v>
      </c>
      <c r="AE745" s="206">
        <v>0</v>
      </c>
      <c r="AF745" s="206" t="s">
        <v>119</v>
      </c>
      <c r="AG745" s="206" t="s">
        <v>120</v>
      </c>
      <c r="AH745" s="206" t="s">
        <v>121</v>
      </c>
      <c r="AI745" s="206" t="s">
        <v>69</v>
      </c>
      <c r="AJ745" s="206" t="s">
        <v>46</v>
      </c>
      <c r="AK745" s="206" t="s">
        <v>54</v>
      </c>
      <c r="AL745" s="206" t="s">
        <v>48</v>
      </c>
      <c r="AM745" s="206" t="s">
        <v>49</v>
      </c>
      <c r="AN745" s="243" t="str">
        <f>VLOOKUP(I745,Sheet1!A:D,4,)</f>
        <v>A320400</v>
      </c>
      <c r="AP745" s="4" t="s">
        <v>1069</v>
      </c>
    </row>
    <row r="746" spans="1:42" s="206" customFormat="1" x14ac:dyDescent="0.25">
      <c r="A746" s="226">
        <v>45809</v>
      </c>
      <c r="B746" s="206" t="s">
        <v>40</v>
      </c>
      <c r="C746" s="206" t="s">
        <v>41</v>
      </c>
      <c r="D746" s="221">
        <v>25708267</v>
      </c>
      <c r="E746" s="221">
        <v>25106685</v>
      </c>
      <c r="F746" s="221" t="s">
        <v>1061</v>
      </c>
      <c r="G746" s="227">
        <v>45811</v>
      </c>
      <c r="H746" s="206" t="s">
        <v>115</v>
      </c>
      <c r="I746" s="206" t="s">
        <v>146</v>
      </c>
      <c r="J746" s="206" t="s">
        <v>147</v>
      </c>
      <c r="K746" s="228">
        <v>2</v>
      </c>
      <c r="L746" s="229" t="s">
        <v>42</v>
      </c>
      <c r="M746" s="228">
        <v>2</v>
      </c>
      <c r="N746" s="228">
        <v>10906376.35</v>
      </c>
      <c r="O746" s="228">
        <v>21812752.699999999</v>
      </c>
      <c r="P746" s="228">
        <v>21812752.699999999</v>
      </c>
      <c r="Q746" s="224">
        <v>0</v>
      </c>
      <c r="R746" s="224">
        <v>0</v>
      </c>
      <c r="S746" s="229" t="s">
        <v>43</v>
      </c>
      <c r="T746" s="228">
        <v>13918399.23</v>
      </c>
      <c r="U746" s="228">
        <v>13918399.23</v>
      </c>
      <c r="V746" s="228">
        <v>7894353.4699999997</v>
      </c>
      <c r="W746" s="230">
        <v>0.36191459090799999</v>
      </c>
      <c r="X746" s="228">
        <v>7894353.4699999997</v>
      </c>
      <c r="Y746" s="206" t="s">
        <v>66</v>
      </c>
      <c r="Z746" s="206" t="s">
        <v>44</v>
      </c>
      <c r="AA746" s="206">
        <v>15159</v>
      </c>
      <c r="AB746" s="206" t="s">
        <v>118</v>
      </c>
      <c r="AC746" s="206" t="s">
        <v>154</v>
      </c>
      <c r="AD746" s="206" t="s">
        <v>155</v>
      </c>
      <c r="AE746" s="206">
        <v>0</v>
      </c>
      <c r="AF746" s="206" t="s">
        <v>68</v>
      </c>
      <c r="AG746" s="206" t="s">
        <v>69</v>
      </c>
      <c r="AH746" s="206" t="s">
        <v>46</v>
      </c>
      <c r="AI746" s="206" t="s">
        <v>69</v>
      </c>
      <c r="AJ746" s="206" t="s">
        <v>46</v>
      </c>
      <c r="AK746" s="206" t="s">
        <v>54</v>
      </c>
      <c r="AL746" s="206" t="s">
        <v>48</v>
      </c>
      <c r="AM746" s="206" t="s">
        <v>49</v>
      </c>
      <c r="AN746" s="243" t="str">
        <f>VLOOKUP(I746,Sheet1!A:D,4,)</f>
        <v>A320400</v>
      </c>
      <c r="AP746" s="4" t="s">
        <v>1069</v>
      </c>
    </row>
    <row r="747" spans="1:42" s="206" customFormat="1" x14ac:dyDescent="0.25">
      <c r="A747" s="226">
        <v>45809</v>
      </c>
      <c r="B747" s="206" t="s">
        <v>40</v>
      </c>
      <c r="C747" s="206" t="s">
        <v>41</v>
      </c>
      <c r="D747" s="221">
        <v>25708268</v>
      </c>
      <c r="E747" s="221">
        <v>25106722</v>
      </c>
      <c r="F747" s="221" t="s">
        <v>1062</v>
      </c>
      <c r="G747" s="227">
        <v>45811</v>
      </c>
      <c r="H747" s="206" t="s">
        <v>126</v>
      </c>
      <c r="I747" s="206" t="s">
        <v>267</v>
      </c>
      <c r="J747" s="206" t="s">
        <v>754</v>
      </c>
      <c r="K747" s="228">
        <v>100</v>
      </c>
      <c r="L747" s="229" t="s">
        <v>42</v>
      </c>
      <c r="M747" s="228">
        <v>100</v>
      </c>
      <c r="N747" s="228">
        <v>412262.97</v>
      </c>
      <c r="O747" s="228">
        <v>41226297</v>
      </c>
      <c r="P747" s="228">
        <v>41226297</v>
      </c>
      <c r="Q747" s="224">
        <v>0</v>
      </c>
      <c r="R747" s="224">
        <v>0</v>
      </c>
      <c r="S747" s="229" t="s">
        <v>43</v>
      </c>
      <c r="T747" s="228">
        <v>39807161</v>
      </c>
      <c r="U747" s="228">
        <v>39807161</v>
      </c>
      <c r="V747" s="228">
        <v>1419136</v>
      </c>
      <c r="W747" s="230">
        <v>3.4423077094999997E-2</v>
      </c>
      <c r="X747" s="228">
        <v>1419136</v>
      </c>
      <c r="Y747" s="206" t="s">
        <v>69</v>
      </c>
      <c r="Z747" s="206" t="s">
        <v>46</v>
      </c>
      <c r="AA747" s="206">
        <v>2306153</v>
      </c>
      <c r="AB747" s="206" t="s">
        <v>126</v>
      </c>
      <c r="AC747" s="206" t="s">
        <v>56</v>
      </c>
      <c r="AD747" s="206" t="s">
        <v>77</v>
      </c>
      <c r="AE747" s="206">
        <v>0</v>
      </c>
      <c r="AF747" s="206" t="s">
        <v>68</v>
      </c>
      <c r="AG747" s="206" t="s">
        <v>142</v>
      </c>
      <c r="AH747" s="206" t="s">
        <v>143</v>
      </c>
      <c r="AI747" s="206" t="s">
        <v>69</v>
      </c>
      <c r="AJ747" s="206" t="s">
        <v>46</v>
      </c>
      <c r="AK747" s="206" t="s">
        <v>54</v>
      </c>
      <c r="AL747" s="206" t="s">
        <v>48</v>
      </c>
      <c r="AM747" s="206" t="s">
        <v>49</v>
      </c>
      <c r="AN747" s="243" t="str">
        <f>VLOOKUP(I747,Sheet1!A:D,4,)</f>
        <v>A320400</v>
      </c>
      <c r="AP747" s="4" t="s">
        <v>1069</v>
      </c>
    </row>
    <row r="748" spans="1:42" s="206" customFormat="1" x14ac:dyDescent="0.25">
      <c r="A748" s="226">
        <v>45809</v>
      </c>
      <c r="B748" s="206" t="s">
        <v>40</v>
      </c>
      <c r="C748" s="206" t="s">
        <v>41</v>
      </c>
      <c r="D748" s="221">
        <v>25708269</v>
      </c>
      <c r="E748" s="221">
        <v>25106723</v>
      </c>
      <c r="F748" s="221" t="s">
        <v>1063</v>
      </c>
      <c r="G748" s="227">
        <v>45811</v>
      </c>
      <c r="H748" s="206" t="s">
        <v>150</v>
      </c>
      <c r="I748" s="206" t="s">
        <v>146</v>
      </c>
      <c r="J748" s="206" t="s">
        <v>147</v>
      </c>
      <c r="K748" s="228">
        <v>10</v>
      </c>
      <c r="L748" s="229" t="s">
        <v>42</v>
      </c>
      <c r="M748" s="228">
        <v>10</v>
      </c>
      <c r="N748" s="228">
        <v>10139350</v>
      </c>
      <c r="O748" s="228">
        <v>101393500</v>
      </c>
      <c r="P748" s="228">
        <v>101393500</v>
      </c>
      <c r="Q748" s="224">
        <v>0</v>
      </c>
      <c r="R748" s="224">
        <v>0</v>
      </c>
      <c r="S748" s="229" t="s">
        <v>43</v>
      </c>
      <c r="T748" s="228">
        <v>69591996.159999996</v>
      </c>
      <c r="U748" s="228">
        <v>69591996.159999996</v>
      </c>
      <c r="V748" s="228">
        <v>31801503.84</v>
      </c>
      <c r="W748" s="230">
        <v>0.31364440363500001</v>
      </c>
      <c r="X748" s="228">
        <v>31801503.84</v>
      </c>
      <c r="Y748" s="206" t="s">
        <v>69</v>
      </c>
      <c r="Z748" s="206" t="s">
        <v>46</v>
      </c>
      <c r="AA748" s="206">
        <v>2306392</v>
      </c>
      <c r="AB748" s="206" t="s">
        <v>153</v>
      </c>
      <c r="AC748" s="206" t="s">
        <v>154</v>
      </c>
      <c r="AD748" s="206" t="s">
        <v>155</v>
      </c>
      <c r="AE748" s="206">
        <v>0</v>
      </c>
      <c r="AF748" s="206" t="s">
        <v>68</v>
      </c>
      <c r="AG748" s="206" t="s">
        <v>69</v>
      </c>
      <c r="AH748" s="206" t="s">
        <v>46</v>
      </c>
      <c r="AI748" s="206" t="s">
        <v>69</v>
      </c>
      <c r="AJ748" s="206" t="s">
        <v>46</v>
      </c>
      <c r="AK748" s="206" t="s">
        <v>54</v>
      </c>
      <c r="AL748" s="206" t="s">
        <v>48</v>
      </c>
      <c r="AM748" s="206" t="s">
        <v>49</v>
      </c>
      <c r="AN748" s="243" t="str">
        <f>VLOOKUP(I748,Sheet1!A:D,4,)</f>
        <v>A320400</v>
      </c>
      <c r="AP748" s="4" t="s">
        <v>1069</v>
      </c>
    </row>
    <row r="749" spans="1:42" s="206" customFormat="1" x14ac:dyDescent="0.25">
      <c r="A749" s="226">
        <v>45809</v>
      </c>
      <c r="B749" s="206" t="s">
        <v>40</v>
      </c>
      <c r="C749" s="206" t="s">
        <v>41</v>
      </c>
      <c r="D749" s="221">
        <v>25708270</v>
      </c>
      <c r="E749" s="221">
        <v>25106741</v>
      </c>
      <c r="F749" s="221" t="s">
        <v>1064</v>
      </c>
      <c r="G749" s="227">
        <v>45811</v>
      </c>
      <c r="H749" s="206" t="s">
        <v>115</v>
      </c>
      <c r="I749" s="206" t="s">
        <v>306</v>
      </c>
      <c r="J749" s="206" t="s">
        <v>821</v>
      </c>
      <c r="K749" s="228">
        <v>40</v>
      </c>
      <c r="L749" s="229" t="s">
        <v>42</v>
      </c>
      <c r="M749" s="228">
        <v>40</v>
      </c>
      <c r="N749" s="228">
        <v>6022404.7699999996</v>
      </c>
      <c r="O749" s="228">
        <v>240896190.80000001</v>
      </c>
      <c r="P749" s="228">
        <v>240896190.80000001</v>
      </c>
      <c r="Q749" s="224">
        <v>0</v>
      </c>
      <c r="R749" s="224">
        <v>0</v>
      </c>
      <c r="S749" s="229" t="s">
        <v>43</v>
      </c>
      <c r="T749" s="228">
        <v>90745275.700000003</v>
      </c>
      <c r="U749" s="228">
        <v>90745275.700000003</v>
      </c>
      <c r="V749" s="228">
        <v>150150915.09999999</v>
      </c>
      <c r="W749" s="230">
        <v>0.62330132577499997</v>
      </c>
      <c r="X749" s="228">
        <v>150150915.09999999</v>
      </c>
      <c r="Y749" s="206" t="s">
        <v>66</v>
      </c>
      <c r="Z749" s="206" t="s">
        <v>44</v>
      </c>
      <c r="AA749" s="206">
        <v>15159</v>
      </c>
      <c r="AB749" s="206" t="s">
        <v>118</v>
      </c>
      <c r="AC749" s="206" t="s">
        <v>154</v>
      </c>
      <c r="AD749" s="206" t="s">
        <v>155</v>
      </c>
      <c r="AE749" s="206">
        <v>0</v>
      </c>
      <c r="AF749" s="206" t="s">
        <v>68</v>
      </c>
      <c r="AG749" s="206" t="s">
        <v>71</v>
      </c>
      <c r="AH749" s="206" t="s">
        <v>53</v>
      </c>
      <c r="AI749" s="206" t="s">
        <v>69</v>
      </c>
      <c r="AJ749" s="206" t="s">
        <v>46</v>
      </c>
      <c r="AK749" s="206" t="s">
        <v>54</v>
      </c>
      <c r="AL749" s="206" t="s">
        <v>48</v>
      </c>
      <c r="AM749" s="206" t="s">
        <v>49</v>
      </c>
      <c r="AN749" s="243" t="str">
        <f>VLOOKUP(I749,Sheet1!A:D,4,)</f>
        <v>A320400</v>
      </c>
      <c r="AP749" s="4" t="s">
        <v>1069</v>
      </c>
    </row>
    <row r="750" spans="1:42" s="206" customFormat="1" x14ac:dyDescent="0.25">
      <c r="A750" s="226">
        <v>45809</v>
      </c>
      <c r="B750" s="206" t="s">
        <v>40</v>
      </c>
      <c r="C750" s="206" t="s">
        <v>41</v>
      </c>
      <c r="D750" s="221">
        <v>25708271</v>
      </c>
      <c r="E750" s="221">
        <v>25106742</v>
      </c>
      <c r="F750" s="221" t="s">
        <v>1065</v>
      </c>
      <c r="G750" s="227">
        <v>45811</v>
      </c>
      <c r="H750" s="206" t="s">
        <v>115</v>
      </c>
      <c r="I750" s="206" t="s">
        <v>287</v>
      </c>
      <c r="J750" s="206" t="s">
        <v>816</v>
      </c>
      <c r="K750" s="228">
        <v>195</v>
      </c>
      <c r="L750" s="229" t="s">
        <v>42</v>
      </c>
      <c r="M750" s="228">
        <v>195</v>
      </c>
      <c r="N750" s="228">
        <v>520124.43</v>
      </c>
      <c r="O750" s="228">
        <v>101424263.84999999</v>
      </c>
      <c r="P750" s="228">
        <v>101424263.84999999</v>
      </c>
      <c r="Q750" s="224">
        <v>0</v>
      </c>
      <c r="R750" s="224">
        <v>0</v>
      </c>
      <c r="S750" s="229" t="s">
        <v>43</v>
      </c>
      <c r="T750" s="228">
        <v>41205803.810000002</v>
      </c>
      <c r="U750" s="228">
        <v>41205803.810000002</v>
      </c>
      <c r="V750" s="228">
        <v>60218460.039999999</v>
      </c>
      <c r="W750" s="230">
        <v>0.59372834225399995</v>
      </c>
      <c r="X750" s="228">
        <v>60218460.039999999</v>
      </c>
      <c r="Y750" s="206" t="s">
        <v>66</v>
      </c>
      <c r="Z750" s="206" t="s">
        <v>44</v>
      </c>
      <c r="AA750" s="206">
        <v>15159</v>
      </c>
      <c r="AB750" s="206" t="s">
        <v>118</v>
      </c>
      <c r="AC750" s="206" t="s">
        <v>154</v>
      </c>
      <c r="AD750" s="206" t="s">
        <v>155</v>
      </c>
      <c r="AE750" s="206">
        <v>0</v>
      </c>
      <c r="AF750" s="206" t="s">
        <v>72</v>
      </c>
      <c r="AG750" s="206" t="s">
        <v>69</v>
      </c>
      <c r="AH750" s="206" t="s">
        <v>46</v>
      </c>
      <c r="AI750" s="206" t="s">
        <v>69</v>
      </c>
      <c r="AJ750" s="206" t="s">
        <v>46</v>
      </c>
      <c r="AK750" s="206" t="s">
        <v>54</v>
      </c>
      <c r="AL750" s="206" t="s">
        <v>48</v>
      </c>
      <c r="AM750" s="206" t="s">
        <v>49</v>
      </c>
      <c r="AN750" s="243" t="str">
        <f>VLOOKUP(I750,Sheet1!A:D,4,)</f>
        <v>A320400</v>
      </c>
      <c r="AP750" s="4" t="s">
        <v>1069</v>
      </c>
    </row>
    <row r="751" spans="1:42" s="206" customFormat="1" x14ac:dyDescent="0.25">
      <c r="A751" s="226">
        <v>45809</v>
      </c>
      <c r="B751" s="206" t="s">
        <v>40</v>
      </c>
      <c r="C751" s="206" t="s">
        <v>41</v>
      </c>
      <c r="D751" s="221">
        <v>25708272</v>
      </c>
      <c r="E751" s="221">
        <v>25106751</v>
      </c>
      <c r="F751" s="221" t="s">
        <v>1066</v>
      </c>
      <c r="G751" s="227">
        <v>45811</v>
      </c>
      <c r="H751" s="206" t="s">
        <v>126</v>
      </c>
      <c r="I751" s="206" t="s">
        <v>146</v>
      </c>
      <c r="J751" s="206" t="s">
        <v>147</v>
      </c>
      <c r="K751" s="228">
        <v>3</v>
      </c>
      <c r="L751" s="229" t="s">
        <v>42</v>
      </c>
      <c r="M751" s="228">
        <v>3</v>
      </c>
      <c r="N751" s="228">
        <v>15190460.140000001</v>
      </c>
      <c r="O751" s="228">
        <v>45571380.420000002</v>
      </c>
      <c r="P751" s="228">
        <v>45571380.420000002</v>
      </c>
      <c r="Q751" s="224">
        <v>0</v>
      </c>
      <c r="R751" s="224">
        <v>0</v>
      </c>
      <c r="S751" s="229" t="s">
        <v>43</v>
      </c>
      <c r="T751" s="228">
        <v>20877598.850000001</v>
      </c>
      <c r="U751" s="228">
        <v>20877598.850000001</v>
      </c>
      <c r="V751" s="228">
        <v>24693781.57</v>
      </c>
      <c r="W751" s="230">
        <v>0.54187038756299999</v>
      </c>
      <c r="X751" s="228">
        <v>24693781.57</v>
      </c>
      <c r="Y751" s="206" t="s">
        <v>69</v>
      </c>
      <c r="Z751" s="206" t="s">
        <v>46</v>
      </c>
      <c r="AA751" s="206">
        <v>2306153</v>
      </c>
      <c r="AB751" s="206" t="s">
        <v>126</v>
      </c>
      <c r="AC751" s="206" t="s">
        <v>56</v>
      </c>
      <c r="AD751" s="206" t="s">
        <v>77</v>
      </c>
      <c r="AE751" s="206">
        <v>0</v>
      </c>
      <c r="AF751" s="206" t="s">
        <v>68</v>
      </c>
      <c r="AG751" s="206" t="s">
        <v>69</v>
      </c>
      <c r="AH751" s="206" t="s">
        <v>46</v>
      </c>
      <c r="AI751" s="206" t="s">
        <v>69</v>
      </c>
      <c r="AJ751" s="206" t="s">
        <v>46</v>
      </c>
      <c r="AK751" s="206" t="s">
        <v>54</v>
      </c>
      <c r="AL751" s="206" t="s">
        <v>48</v>
      </c>
      <c r="AM751" s="206" t="s">
        <v>49</v>
      </c>
      <c r="AN751" s="243" t="str">
        <f>VLOOKUP(I751,Sheet1!A:D,4,)</f>
        <v>A320400</v>
      </c>
      <c r="AP751" s="4" t="s">
        <v>1069</v>
      </c>
    </row>
    <row r="752" spans="1:42" s="206" customFormat="1" x14ac:dyDescent="0.25">
      <c r="A752" s="226">
        <v>45809</v>
      </c>
      <c r="B752" s="206" t="s">
        <v>40</v>
      </c>
      <c r="C752" s="206" t="s">
        <v>41</v>
      </c>
      <c r="D752" s="221">
        <v>25708273</v>
      </c>
      <c r="E752" s="221">
        <v>25106752</v>
      </c>
      <c r="F752" s="221" t="s">
        <v>1067</v>
      </c>
      <c r="G752" s="227">
        <v>45811</v>
      </c>
      <c r="H752" s="206" t="s">
        <v>158</v>
      </c>
      <c r="I752" s="206" t="s">
        <v>272</v>
      </c>
      <c r="J752" s="206" t="s">
        <v>789</v>
      </c>
      <c r="K752" s="228">
        <v>40</v>
      </c>
      <c r="L752" s="229" t="s">
        <v>42</v>
      </c>
      <c r="M752" s="228">
        <v>40</v>
      </c>
      <c r="N752" s="228">
        <v>337000.4</v>
      </c>
      <c r="O752" s="228">
        <v>13480016</v>
      </c>
      <c r="P752" s="228">
        <v>13480016</v>
      </c>
      <c r="Q752" s="224">
        <v>0</v>
      </c>
      <c r="R752" s="224">
        <v>0</v>
      </c>
      <c r="S752" s="229" t="s">
        <v>43</v>
      </c>
      <c r="T752" s="228">
        <v>6987718.9400000004</v>
      </c>
      <c r="U752" s="228">
        <v>6987718.9400000004</v>
      </c>
      <c r="V752" s="228">
        <v>6492297.0599999996</v>
      </c>
      <c r="W752" s="230">
        <v>0.48162383931800001</v>
      </c>
      <c r="X752" s="228">
        <v>6492297.0599999996</v>
      </c>
      <c r="Y752" s="206" t="s">
        <v>69</v>
      </c>
      <c r="Z752" s="206" t="s">
        <v>46</v>
      </c>
      <c r="AA752" s="206">
        <v>2306495</v>
      </c>
      <c r="AB752" s="206" t="s">
        <v>161</v>
      </c>
      <c r="AC752" s="206" t="s">
        <v>56</v>
      </c>
      <c r="AD752" s="206" t="s">
        <v>77</v>
      </c>
      <c r="AE752" s="206">
        <v>0</v>
      </c>
      <c r="AF752" s="206" t="s">
        <v>124</v>
      </c>
      <c r="AG752" s="206" t="s">
        <v>81</v>
      </c>
      <c r="AH752" s="206" t="s">
        <v>57</v>
      </c>
      <c r="AI752" s="206" t="s">
        <v>69</v>
      </c>
      <c r="AJ752" s="206" t="s">
        <v>46</v>
      </c>
      <c r="AK752" s="206" t="s">
        <v>54</v>
      </c>
      <c r="AL752" s="206" t="s">
        <v>48</v>
      </c>
      <c r="AM752" s="206" t="s">
        <v>49</v>
      </c>
      <c r="AN752" s="243" t="str">
        <f>VLOOKUP(I752,Sheet1!A:D,4,)</f>
        <v>A320400</v>
      </c>
      <c r="AP752" s="4" t="s">
        <v>1069</v>
      </c>
    </row>
    <row r="753" spans="1:42" s="206" customFormat="1" x14ac:dyDescent="0.25">
      <c r="A753" s="226">
        <v>45809</v>
      </c>
      <c r="B753" s="206" t="s">
        <v>40</v>
      </c>
      <c r="C753" s="206" t="s">
        <v>41</v>
      </c>
      <c r="D753" s="221">
        <v>25708274</v>
      </c>
      <c r="E753" s="221">
        <v>25106740</v>
      </c>
      <c r="F753" s="221" t="s">
        <v>1068</v>
      </c>
      <c r="G753" s="227">
        <v>45811</v>
      </c>
      <c r="H753" s="206" t="s">
        <v>115</v>
      </c>
      <c r="I753" s="206" t="s">
        <v>450</v>
      </c>
      <c r="J753" s="206" t="s">
        <v>819</v>
      </c>
      <c r="K753" s="228">
        <v>20</v>
      </c>
      <c r="L753" s="229" t="s">
        <v>42</v>
      </c>
      <c r="M753" s="228">
        <v>20</v>
      </c>
      <c r="N753" s="228">
        <v>866088.78</v>
      </c>
      <c r="O753" s="228">
        <v>17321775.600000001</v>
      </c>
      <c r="P753" s="228">
        <v>17321775.600000001</v>
      </c>
      <c r="Q753" s="224">
        <v>0</v>
      </c>
      <c r="R753" s="224">
        <v>0</v>
      </c>
      <c r="S753" s="229" t="s">
        <v>43</v>
      </c>
      <c r="T753" s="228">
        <v>9751945.5099999998</v>
      </c>
      <c r="U753" s="228">
        <v>9751945.5099999998</v>
      </c>
      <c r="V753" s="228">
        <v>7569830.0899999999</v>
      </c>
      <c r="W753" s="230">
        <v>0.43701236321199999</v>
      </c>
      <c r="X753" s="228">
        <v>7569830.0899999999</v>
      </c>
      <c r="Y753" s="206" t="s">
        <v>66</v>
      </c>
      <c r="Z753" s="206" t="s">
        <v>44</v>
      </c>
      <c r="AA753" s="206">
        <v>15159</v>
      </c>
      <c r="AB753" s="206" t="s">
        <v>118</v>
      </c>
      <c r="AC753" s="206" t="s">
        <v>154</v>
      </c>
      <c r="AD753" s="206" t="s">
        <v>155</v>
      </c>
      <c r="AE753" s="206">
        <v>0</v>
      </c>
      <c r="AF753" s="206" t="s">
        <v>72</v>
      </c>
      <c r="AG753" s="206" t="s">
        <v>69</v>
      </c>
      <c r="AH753" s="206" t="s">
        <v>46</v>
      </c>
      <c r="AI753" s="206" t="s">
        <v>69</v>
      </c>
      <c r="AJ753" s="206" t="s">
        <v>46</v>
      </c>
      <c r="AK753" s="206" t="s">
        <v>54</v>
      </c>
      <c r="AL753" s="206" t="s">
        <v>48</v>
      </c>
      <c r="AM753" s="206" t="s">
        <v>49</v>
      </c>
      <c r="AN753" s="243" t="str">
        <f>VLOOKUP(I753,Sheet1!A:D,4,)</f>
        <v>A320400</v>
      </c>
      <c r="AP753" s="4" t="s">
        <v>1069</v>
      </c>
    </row>
    <row r="754" spans="1:42" s="206" customFormat="1" x14ac:dyDescent="0.25">
      <c r="A754" s="226">
        <v>45809</v>
      </c>
      <c r="B754" s="206" t="s">
        <v>40</v>
      </c>
      <c r="C754" s="206" t="s">
        <v>41</v>
      </c>
      <c r="D754" s="221">
        <v>25708290</v>
      </c>
      <c r="E754" s="221">
        <v>25106689</v>
      </c>
      <c r="F754" s="221" t="s">
        <v>1087</v>
      </c>
      <c r="G754" s="227">
        <v>45821</v>
      </c>
      <c r="H754" s="206" t="s">
        <v>115</v>
      </c>
      <c r="I754" s="206" t="s">
        <v>414</v>
      </c>
      <c r="J754" s="206" t="s">
        <v>833</v>
      </c>
      <c r="K754" s="228">
        <v>60</v>
      </c>
      <c r="L754" s="229" t="s">
        <v>42</v>
      </c>
      <c r="M754" s="228">
        <v>60</v>
      </c>
      <c r="N754" s="228">
        <v>1496914.05</v>
      </c>
      <c r="O754" s="228">
        <v>89814843</v>
      </c>
      <c r="P754" s="228">
        <v>89814843</v>
      </c>
      <c r="Q754" s="224">
        <v>0</v>
      </c>
      <c r="R754" s="224">
        <v>0</v>
      </c>
      <c r="S754" s="229" t="s">
        <v>43</v>
      </c>
      <c r="T754" s="228">
        <v>39208050.600000001</v>
      </c>
      <c r="U754" s="228">
        <v>39208050.600000001</v>
      </c>
      <c r="V754" s="228">
        <v>50606792.399999999</v>
      </c>
      <c r="W754" s="230">
        <v>0.56345689319900005</v>
      </c>
      <c r="X754" s="228">
        <v>50606792.399999999</v>
      </c>
      <c r="Y754" s="206" t="s">
        <v>66</v>
      </c>
      <c r="Z754" s="206" t="s">
        <v>44</v>
      </c>
      <c r="AA754" s="206">
        <v>15159</v>
      </c>
      <c r="AB754" s="206" t="s">
        <v>118</v>
      </c>
      <c r="AC754" s="206" t="s">
        <v>154</v>
      </c>
      <c r="AD754" s="206" t="s">
        <v>155</v>
      </c>
      <c r="AE754" s="206">
        <v>0</v>
      </c>
      <c r="AF754" s="206" t="s">
        <v>72</v>
      </c>
      <c r="AG754" s="206" t="s">
        <v>69</v>
      </c>
      <c r="AH754" s="206" t="s">
        <v>46</v>
      </c>
      <c r="AI754" s="206" t="s">
        <v>69</v>
      </c>
      <c r="AJ754" s="206" t="s">
        <v>46</v>
      </c>
      <c r="AK754" s="206" t="s">
        <v>54</v>
      </c>
      <c r="AL754" s="206" t="s">
        <v>48</v>
      </c>
      <c r="AM754" s="206" t="s">
        <v>49</v>
      </c>
      <c r="AN754" s="243" t="str">
        <f>VLOOKUP(I754,Sheet1!A:D,4,)</f>
        <v>A320400</v>
      </c>
      <c r="AP754" s="4" t="s">
        <v>1099</v>
      </c>
    </row>
    <row r="755" spans="1:42" s="206" customFormat="1" x14ac:dyDescent="0.25">
      <c r="A755" s="226">
        <v>45809</v>
      </c>
      <c r="B755" s="206" t="s">
        <v>40</v>
      </c>
      <c r="C755" s="206" t="s">
        <v>41</v>
      </c>
      <c r="D755" s="221">
        <v>25708291</v>
      </c>
      <c r="E755" s="221">
        <v>25106693</v>
      </c>
      <c r="F755" s="221" t="s">
        <v>1088</v>
      </c>
      <c r="G755" s="227">
        <v>45821</v>
      </c>
      <c r="H755" s="206" t="s">
        <v>115</v>
      </c>
      <c r="I755" s="206" t="s">
        <v>414</v>
      </c>
      <c r="J755" s="206" t="s">
        <v>833</v>
      </c>
      <c r="K755" s="228">
        <v>80</v>
      </c>
      <c r="L755" s="229" t="s">
        <v>42</v>
      </c>
      <c r="M755" s="228">
        <v>80</v>
      </c>
      <c r="N755" s="228">
        <v>1484986.8</v>
      </c>
      <c r="O755" s="228">
        <v>118798944</v>
      </c>
      <c r="P755" s="228">
        <v>118798944</v>
      </c>
      <c r="Q755" s="224">
        <v>0</v>
      </c>
      <c r="R755" s="224">
        <v>0</v>
      </c>
      <c r="S755" s="229" t="s">
        <v>43</v>
      </c>
      <c r="T755" s="228">
        <v>52277400.799999997</v>
      </c>
      <c r="U755" s="228">
        <v>52277400.799999997</v>
      </c>
      <c r="V755" s="228">
        <v>66521543.200000003</v>
      </c>
      <c r="W755" s="230">
        <v>0.55995062716999999</v>
      </c>
      <c r="X755" s="228">
        <v>66521543.200000003</v>
      </c>
      <c r="Y755" s="206" t="s">
        <v>66</v>
      </c>
      <c r="Z755" s="206" t="s">
        <v>44</v>
      </c>
      <c r="AA755" s="206">
        <v>15159</v>
      </c>
      <c r="AB755" s="206" t="s">
        <v>118</v>
      </c>
      <c r="AC755" s="206" t="s">
        <v>154</v>
      </c>
      <c r="AD755" s="206" t="s">
        <v>155</v>
      </c>
      <c r="AE755" s="206">
        <v>0</v>
      </c>
      <c r="AF755" s="206" t="s">
        <v>72</v>
      </c>
      <c r="AG755" s="206" t="s">
        <v>69</v>
      </c>
      <c r="AH755" s="206" t="s">
        <v>46</v>
      </c>
      <c r="AI755" s="206" t="s">
        <v>69</v>
      </c>
      <c r="AJ755" s="206" t="s">
        <v>46</v>
      </c>
      <c r="AK755" s="206" t="s">
        <v>54</v>
      </c>
      <c r="AL755" s="206" t="s">
        <v>48</v>
      </c>
      <c r="AM755" s="206" t="s">
        <v>49</v>
      </c>
      <c r="AN755" s="243" t="str">
        <f>VLOOKUP(I755,Sheet1!A:D,4,)</f>
        <v>A320400</v>
      </c>
      <c r="AP755" s="4" t="s">
        <v>1099</v>
      </c>
    </row>
    <row r="756" spans="1:42" s="206" customFormat="1" x14ac:dyDescent="0.25">
      <c r="A756" s="226">
        <v>45809</v>
      </c>
      <c r="B756" s="206" t="s">
        <v>40</v>
      </c>
      <c r="C756" s="206" t="s">
        <v>41</v>
      </c>
      <c r="D756" s="221">
        <v>25708292</v>
      </c>
      <c r="E756" s="221">
        <v>25106694</v>
      </c>
      <c r="F756" s="221" t="s">
        <v>1089</v>
      </c>
      <c r="G756" s="227">
        <v>45821</v>
      </c>
      <c r="H756" s="206" t="s">
        <v>115</v>
      </c>
      <c r="I756" s="206" t="s">
        <v>414</v>
      </c>
      <c r="J756" s="206" t="s">
        <v>833</v>
      </c>
      <c r="K756" s="228">
        <v>80</v>
      </c>
      <c r="L756" s="229" t="s">
        <v>42</v>
      </c>
      <c r="M756" s="228">
        <v>80</v>
      </c>
      <c r="N756" s="228">
        <v>1484986.8</v>
      </c>
      <c r="O756" s="228">
        <v>118798944</v>
      </c>
      <c r="P756" s="228">
        <v>118798944</v>
      </c>
      <c r="Q756" s="224">
        <v>0</v>
      </c>
      <c r="R756" s="224">
        <v>0</v>
      </c>
      <c r="S756" s="229" t="s">
        <v>43</v>
      </c>
      <c r="T756" s="228">
        <v>52277400.799999997</v>
      </c>
      <c r="U756" s="228">
        <v>52277400.799999997</v>
      </c>
      <c r="V756" s="228">
        <v>66521543.200000003</v>
      </c>
      <c r="W756" s="230">
        <v>0.55995062716999999</v>
      </c>
      <c r="X756" s="228">
        <v>66521543.200000003</v>
      </c>
      <c r="Y756" s="206" t="s">
        <v>66</v>
      </c>
      <c r="Z756" s="206" t="s">
        <v>44</v>
      </c>
      <c r="AA756" s="206">
        <v>15159</v>
      </c>
      <c r="AB756" s="206" t="s">
        <v>118</v>
      </c>
      <c r="AC756" s="206" t="s">
        <v>154</v>
      </c>
      <c r="AD756" s="206" t="s">
        <v>155</v>
      </c>
      <c r="AE756" s="206">
        <v>0</v>
      </c>
      <c r="AF756" s="206" t="s">
        <v>72</v>
      </c>
      <c r="AG756" s="206" t="s">
        <v>69</v>
      </c>
      <c r="AH756" s="206" t="s">
        <v>46</v>
      </c>
      <c r="AI756" s="206" t="s">
        <v>69</v>
      </c>
      <c r="AJ756" s="206" t="s">
        <v>46</v>
      </c>
      <c r="AK756" s="206" t="s">
        <v>54</v>
      </c>
      <c r="AL756" s="206" t="s">
        <v>48</v>
      </c>
      <c r="AM756" s="206" t="s">
        <v>49</v>
      </c>
      <c r="AN756" s="243" t="str">
        <f>VLOOKUP(I756,Sheet1!A:D,4,)</f>
        <v>A320400</v>
      </c>
      <c r="AP756" s="4" t="s">
        <v>1099</v>
      </c>
    </row>
    <row r="757" spans="1:42" s="206" customFormat="1" x14ac:dyDescent="0.25">
      <c r="A757" s="226">
        <v>45809</v>
      </c>
      <c r="B757" s="206" t="s">
        <v>40</v>
      </c>
      <c r="C757" s="206" t="s">
        <v>41</v>
      </c>
      <c r="D757" s="221">
        <v>25708293</v>
      </c>
      <c r="E757" s="221">
        <v>25106769</v>
      </c>
      <c r="F757" s="221" t="s">
        <v>1090</v>
      </c>
      <c r="G757" s="227">
        <v>45821</v>
      </c>
      <c r="H757" s="206" t="s">
        <v>115</v>
      </c>
      <c r="I757" s="206" t="s">
        <v>414</v>
      </c>
      <c r="J757" s="206" t="s">
        <v>833</v>
      </c>
      <c r="K757" s="228">
        <v>80</v>
      </c>
      <c r="L757" s="229" t="s">
        <v>42</v>
      </c>
      <c r="M757" s="228">
        <v>80</v>
      </c>
      <c r="N757" s="228">
        <v>1449470.1</v>
      </c>
      <c r="O757" s="228">
        <v>115957608</v>
      </c>
      <c r="P757" s="228">
        <v>115957608</v>
      </c>
      <c r="Q757" s="224">
        <v>0</v>
      </c>
      <c r="R757" s="224">
        <v>0</v>
      </c>
      <c r="S757" s="229" t="s">
        <v>43</v>
      </c>
      <c r="T757" s="228">
        <v>52277400.799999997</v>
      </c>
      <c r="U757" s="228">
        <v>52277400.799999997</v>
      </c>
      <c r="V757" s="228">
        <v>63680207.200000003</v>
      </c>
      <c r="W757" s="230">
        <v>0.54916799594499999</v>
      </c>
      <c r="X757" s="228">
        <v>63680207.200000003</v>
      </c>
      <c r="Y757" s="206" t="s">
        <v>66</v>
      </c>
      <c r="Z757" s="206" t="s">
        <v>44</v>
      </c>
      <c r="AA757" s="206">
        <v>15159</v>
      </c>
      <c r="AB757" s="206" t="s">
        <v>118</v>
      </c>
      <c r="AC757" s="206" t="s">
        <v>154</v>
      </c>
      <c r="AD757" s="206" t="s">
        <v>155</v>
      </c>
      <c r="AE757" s="206">
        <v>0</v>
      </c>
      <c r="AF757" s="206" t="s">
        <v>72</v>
      </c>
      <c r="AG757" s="206" t="s">
        <v>69</v>
      </c>
      <c r="AH757" s="206" t="s">
        <v>46</v>
      </c>
      <c r="AI757" s="206" t="s">
        <v>69</v>
      </c>
      <c r="AJ757" s="206" t="s">
        <v>46</v>
      </c>
      <c r="AK757" s="206" t="s">
        <v>54</v>
      </c>
      <c r="AL757" s="206" t="s">
        <v>48</v>
      </c>
      <c r="AM757" s="206" t="s">
        <v>49</v>
      </c>
      <c r="AN757" s="243" t="str">
        <f>VLOOKUP(I757,Sheet1!A:D,4,)</f>
        <v>A320400</v>
      </c>
      <c r="AP757" s="4" t="s">
        <v>1099</v>
      </c>
    </row>
    <row r="758" spans="1:42" s="206" customFormat="1" x14ac:dyDescent="0.25">
      <c r="A758" s="226">
        <v>45809</v>
      </c>
      <c r="B758" s="206" t="s">
        <v>40</v>
      </c>
      <c r="C758" s="206" t="s">
        <v>41</v>
      </c>
      <c r="D758" s="221">
        <v>25708294</v>
      </c>
      <c r="E758" s="221">
        <v>25106780</v>
      </c>
      <c r="F758" s="221" t="s">
        <v>1091</v>
      </c>
      <c r="G758" s="227">
        <v>45821</v>
      </c>
      <c r="H758" s="206" t="s">
        <v>115</v>
      </c>
      <c r="I758" s="206" t="s">
        <v>414</v>
      </c>
      <c r="J758" s="206" t="s">
        <v>833</v>
      </c>
      <c r="K758" s="228">
        <v>20</v>
      </c>
      <c r="L758" s="229" t="s">
        <v>42</v>
      </c>
      <c r="M758" s="228">
        <v>20</v>
      </c>
      <c r="N758" s="228">
        <v>1435297.4</v>
      </c>
      <c r="O758" s="228">
        <v>28705948</v>
      </c>
      <c r="P758" s="228">
        <v>28705948</v>
      </c>
      <c r="Q758" s="224">
        <v>0</v>
      </c>
      <c r="R758" s="224">
        <v>0</v>
      </c>
      <c r="S758" s="229" t="s">
        <v>43</v>
      </c>
      <c r="T758" s="228">
        <v>13069350.199999999</v>
      </c>
      <c r="U758" s="228">
        <v>13069350.199999999</v>
      </c>
      <c r="V758" s="228">
        <v>15636597.800000001</v>
      </c>
      <c r="W758" s="230">
        <v>0.54471630060700005</v>
      </c>
      <c r="X758" s="228">
        <v>15636597.800000001</v>
      </c>
      <c r="Y758" s="206" t="s">
        <v>66</v>
      </c>
      <c r="Z758" s="206" t="s">
        <v>44</v>
      </c>
      <c r="AA758" s="206">
        <v>15159</v>
      </c>
      <c r="AB758" s="206" t="s">
        <v>118</v>
      </c>
      <c r="AC758" s="206" t="s">
        <v>154</v>
      </c>
      <c r="AD758" s="206" t="s">
        <v>155</v>
      </c>
      <c r="AE758" s="206">
        <v>0</v>
      </c>
      <c r="AF758" s="206" t="s">
        <v>72</v>
      </c>
      <c r="AG758" s="206" t="s">
        <v>69</v>
      </c>
      <c r="AH758" s="206" t="s">
        <v>46</v>
      </c>
      <c r="AI758" s="206" t="s">
        <v>69</v>
      </c>
      <c r="AJ758" s="206" t="s">
        <v>46</v>
      </c>
      <c r="AK758" s="206" t="s">
        <v>54</v>
      </c>
      <c r="AL758" s="206" t="s">
        <v>48</v>
      </c>
      <c r="AM758" s="206" t="s">
        <v>49</v>
      </c>
      <c r="AN758" s="243" t="str">
        <f>VLOOKUP(I758,Sheet1!A:D,4,)</f>
        <v>A320400</v>
      </c>
      <c r="AP758" s="4" t="s">
        <v>1099</v>
      </c>
    </row>
    <row r="759" spans="1:42" s="206" customFormat="1" x14ac:dyDescent="0.25">
      <c r="A759" s="226">
        <v>45809</v>
      </c>
      <c r="B759" s="206" t="s">
        <v>40</v>
      </c>
      <c r="C759" s="206" t="s">
        <v>41</v>
      </c>
      <c r="D759" s="221">
        <v>25708298</v>
      </c>
      <c r="E759" s="221">
        <v>25106603</v>
      </c>
      <c r="F759" s="221" t="s">
        <v>1095</v>
      </c>
      <c r="G759" s="227">
        <v>45824</v>
      </c>
      <c r="H759" s="206" t="s">
        <v>115</v>
      </c>
      <c r="I759" s="206" t="s">
        <v>396</v>
      </c>
      <c r="J759" s="206" t="s">
        <v>1096</v>
      </c>
      <c r="K759" s="228">
        <v>120</v>
      </c>
      <c r="L759" s="229" t="s">
        <v>42</v>
      </c>
      <c r="M759" s="228">
        <v>120</v>
      </c>
      <c r="N759" s="228">
        <v>1324553.73</v>
      </c>
      <c r="O759" s="228">
        <v>158946447.59999999</v>
      </c>
      <c r="P759" s="228">
        <v>158946447.59999999</v>
      </c>
      <c r="Q759" s="224">
        <v>0</v>
      </c>
      <c r="R759" s="224">
        <v>0</v>
      </c>
      <c r="S759" s="229" t="s">
        <v>43</v>
      </c>
      <c r="T759" s="228">
        <v>74382757.280000001</v>
      </c>
      <c r="U759" s="228">
        <v>74382757.280000001</v>
      </c>
      <c r="V759" s="228">
        <v>84563690.319999993</v>
      </c>
      <c r="W759" s="230">
        <v>0.53202629940299995</v>
      </c>
      <c r="X759" s="228">
        <v>84563690.319999993</v>
      </c>
      <c r="Y759" s="206" t="s">
        <v>66</v>
      </c>
      <c r="Z759" s="206" t="s">
        <v>44</v>
      </c>
      <c r="AA759" s="206">
        <v>15159</v>
      </c>
      <c r="AB759" s="206" t="s">
        <v>118</v>
      </c>
      <c r="AC759" s="206" t="s">
        <v>154</v>
      </c>
      <c r="AD759" s="206" t="s">
        <v>155</v>
      </c>
      <c r="AE759" s="206">
        <v>0</v>
      </c>
      <c r="AF759" s="206" t="s">
        <v>68</v>
      </c>
      <c r="AG759" s="206" t="s">
        <v>71</v>
      </c>
      <c r="AH759" s="206" t="s">
        <v>53</v>
      </c>
      <c r="AI759" s="206" t="s">
        <v>69</v>
      </c>
      <c r="AJ759" s="206" t="s">
        <v>46</v>
      </c>
      <c r="AK759" s="206" t="s">
        <v>54</v>
      </c>
      <c r="AL759" s="206" t="s">
        <v>48</v>
      </c>
      <c r="AM759" s="206" t="s">
        <v>49</v>
      </c>
      <c r="AN759" s="243" t="str">
        <f>VLOOKUP(I759,Sheet1!A:D,4,)</f>
        <v>A320400</v>
      </c>
      <c r="AP759" s="4" t="s">
        <v>1099</v>
      </c>
    </row>
    <row r="760" spans="1:42" s="206" customFormat="1" x14ac:dyDescent="0.25">
      <c r="A760" s="226">
        <v>45809</v>
      </c>
      <c r="B760" s="206" t="s">
        <v>40</v>
      </c>
      <c r="C760" s="206" t="s">
        <v>41</v>
      </c>
      <c r="D760" s="221">
        <v>25708300</v>
      </c>
      <c r="E760" s="221">
        <v>25106583</v>
      </c>
      <c r="F760" s="221" t="s">
        <v>778</v>
      </c>
      <c r="G760" s="227">
        <v>45828</v>
      </c>
      <c r="H760" s="206" t="s">
        <v>126</v>
      </c>
      <c r="I760" s="206" t="s">
        <v>177</v>
      </c>
      <c r="J760" s="206" t="s">
        <v>178</v>
      </c>
      <c r="K760" s="228">
        <v>120</v>
      </c>
      <c r="L760" s="229" t="s">
        <v>42</v>
      </c>
      <c r="M760" s="228">
        <v>120</v>
      </c>
      <c r="N760" s="228">
        <v>851967.78</v>
      </c>
      <c r="O760" s="228">
        <v>102236133.59999999</v>
      </c>
      <c r="P760" s="228">
        <v>102236133.59999999</v>
      </c>
      <c r="Q760" s="224">
        <v>0</v>
      </c>
      <c r="R760" s="224">
        <v>0</v>
      </c>
      <c r="S760" s="229" t="s">
        <v>43</v>
      </c>
      <c r="T760" s="228">
        <v>49393769.700000003</v>
      </c>
      <c r="U760" s="228">
        <v>49393769.700000003</v>
      </c>
      <c r="V760" s="228">
        <v>52842363.899999999</v>
      </c>
      <c r="W760" s="230">
        <v>0.51686582854100005</v>
      </c>
      <c r="X760" s="228">
        <v>52842363.899999999</v>
      </c>
      <c r="Y760" s="206" t="s">
        <v>69</v>
      </c>
      <c r="Z760" s="206" t="s">
        <v>46</v>
      </c>
      <c r="AA760" s="206">
        <v>2306153</v>
      </c>
      <c r="AB760" s="206" t="s">
        <v>126</v>
      </c>
      <c r="AC760" s="206" t="s">
        <v>56</v>
      </c>
      <c r="AD760" s="206" t="s">
        <v>77</v>
      </c>
      <c r="AE760" s="206">
        <v>0</v>
      </c>
      <c r="AF760" s="206" t="s">
        <v>72</v>
      </c>
      <c r="AG760" s="206" t="s">
        <v>69</v>
      </c>
      <c r="AH760" s="206" t="s">
        <v>46</v>
      </c>
      <c r="AI760" s="206" t="s">
        <v>69</v>
      </c>
      <c r="AJ760" s="206" t="s">
        <v>46</v>
      </c>
      <c r="AK760" s="206" t="s">
        <v>54</v>
      </c>
      <c r="AL760" s="206" t="s">
        <v>48</v>
      </c>
      <c r="AM760" s="206" t="s">
        <v>49</v>
      </c>
      <c r="AN760" s="243" t="str">
        <f>VLOOKUP(I760,Sheet1!A:D,4,)</f>
        <v>A320400</v>
      </c>
      <c r="AP760" s="4" t="s">
        <v>1103</v>
      </c>
    </row>
    <row r="761" spans="1:42" s="206" customFormat="1" x14ac:dyDescent="0.25">
      <c r="A761" s="226">
        <v>45809</v>
      </c>
      <c r="B761" s="206" t="s">
        <v>40</v>
      </c>
      <c r="C761" s="206" t="s">
        <v>41</v>
      </c>
      <c r="D761" s="221">
        <v>25708301</v>
      </c>
      <c r="E761" s="221">
        <v>25106631</v>
      </c>
      <c r="F761" s="221" t="s">
        <v>1100</v>
      </c>
      <c r="G761" s="227">
        <v>45828</v>
      </c>
      <c r="H761" s="206" t="s">
        <v>126</v>
      </c>
      <c r="I761" s="206" t="s">
        <v>298</v>
      </c>
      <c r="J761" s="206" t="s">
        <v>791</v>
      </c>
      <c r="K761" s="228">
        <v>50</v>
      </c>
      <c r="L761" s="229" t="s">
        <v>42</v>
      </c>
      <c r="M761" s="228">
        <v>50</v>
      </c>
      <c r="N761" s="228">
        <v>2132340.4300000002</v>
      </c>
      <c r="O761" s="228">
        <v>106617021.5</v>
      </c>
      <c r="P761" s="228">
        <v>106617021.5</v>
      </c>
      <c r="Q761" s="224">
        <v>0</v>
      </c>
      <c r="R761" s="224">
        <v>0</v>
      </c>
      <c r="S761" s="229" t="s">
        <v>43</v>
      </c>
      <c r="T761" s="228">
        <v>73082786.299999997</v>
      </c>
      <c r="U761" s="228">
        <v>73082786.299999997</v>
      </c>
      <c r="V761" s="228">
        <v>33534235.199999999</v>
      </c>
      <c r="W761" s="230">
        <v>0.31452984456100003</v>
      </c>
      <c r="X761" s="228">
        <v>33534235.199999999</v>
      </c>
      <c r="Y761" s="206" t="s">
        <v>69</v>
      </c>
      <c r="Z761" s="206" t="s">
        <v>46</v>
      </c>
      <c r="AA761" s="206">
        <v>2306153</v>
      </c>
      <c r="AB761" s="206" t="s">
        <v>126</v>
      </c>
      <c r="AC761" s="206" t="s">
        <v>56</v>
      </c>
      <c r="AD761" s="206" t="s">
        <v>77</v>
      </c>
      <c r="AE761" s="206">
        <v>0</v>
      </c>
      <c r="AF761" s="206" t="s">
        <v>780</v>
      </c>
      <c r="AG761" s="206" t="s">
        <v>69</v>
      </c>
      <c r="AH761" s="206" t="s">
        <v>46</v>
      </c>
      <c r="AI761" s="206" t="s">
        <v>69</v>
      </c>
      <c r="AJ761" s="206" t="s">
        <v>46</v>
      </c>
      <c r="AK761" s="206" t="s">
        <v>54</v>
      </c>
      <c r="AL761" s="206" t="s">
        <v>48</v>
      </c>
      <c r="AM761" s="206" t="s">
        <v>49</v>
      </c>
      <c r="AN761" s="243" t="str">
        <f>VLOOKUP(I761,Sheet1!A:D,4,)</f>
        <v>A320400</v>
      </c>
      <c r="AP761" s="4" t="s">
        <v>1103</v>
      </c>
    </row>
    <row r="762" spans="1:42" s="206" customFormat="1" x14ac:dyDescent="0.25">
      <c r="A762" s="226">
        <v>45809</v>
      </c>
      <c r="B762" s="206" t="s">
        <v>40</v>
      </c>
      <c r="C762" s="206" t="s">
        <v>41</v>
      </c>
      <c r="D762" s="221">
        <v>25708302</v>
      </c>
      <c r="E762" s="221">
        <v>25106691</v>
      </c>
      <c r="F762" s="221" t="s">
        <v>1038</v>
      </c>
      <c r="G762" s="227">
        <v>45828</v>
      </c>
      <c r="H762" s="206" t="s">
        <v>115</v>
      </c>
      <c r="I762" s="206" t="s">
        <v>399</v>
      </c>
      <c r="J762" s="206" t="s">
        <v>1101</v>
      </c>
      <c r="K762" s="228">
        <v>50</v>
      </c>
      <c r="L762" s="229" t="s">
        <v>42</v>
      </c>
      <c r="M762" s="228">
        <v>50</v>
      </c>
      <c r="N762" s="228">
        <v>3929122.71</v>
      </c>
      <c r="O762" s="228">
        <v>196456135.5</v>
      </c>
      <c r="P762" s="228">
        <v>196456135.5</v>
      </c>
      <c r="Q762" s="224">
        <v>0</v>
      </c>
      <c r="R762" s="224">
        <v>0</v>
      </c>
      <c r="S762" s="229" t="s">
        <v>43</v>
      </c>
      <c r="T762" s="228">
        <v>123836420.5</v>
      </c>
      <c r="U762" s="228">
        <v>123836420.5</v>
      </c>
      <c r="V762" s="228">
        <v>72619715</v>
      </c>
      <c r="W762" s="230">
        <v>0.36964849590999999</v>
      </c>
      <c r="X762" s="228">
        <v>72619715</v>
      </c>
      <c r="Y762" s="206" t="s">
        <v>66</v>
      </c>
      <c r="Z762" s="206" t="s">
        <v>44</v>
      </c>
      <c r="AA762" s="206">
        <v>15159</v>
      </c>
      <c r="AB762" s="206" t="s">
        <v>118</v>
      </c>
      <c r="AC762" s="206" t="s">
        <v>154</v>
      </c>
      <c r="AD762" s="206" t="s">
        <v>155</v>
      </c>
      <c r="AE762" s="206">
        <v>0</v>
      </c>
      <c r="AF762" s="206" t="s">
        <v>72</v>
      </c>
      <c r="AG762" s="206" t="s">
        <v>69</v>
      </c>
      <c r="AH762" s="206" t="s">
        <v>46</v>
      </c>
      <c r="AI762" s="206" t="s">
        <v>69</v>
      </c>
      <c r="AJ762" s="206" t="s">
        <v>46</v>
      </c>
      <c r="AK762" s="206" t="s">
        <v>54</v>
      </c>
      <c r="AL762" s="206" t="s">
        <v>48</v>
      </c>
      <c r="AM762" s="206" t="s">
        <v>49</v>
      </c>
      <c r="AN762" s="243" t="str">
        <f>VLOOKUP(I762,Sheet1!A:D,4,)</f>
        <v>A320400</v>
      </c>
      <c r="AP762" s="4" t="s">
        <v>1103</v>
      </c>
    </row>
    <row r="763" spans="1:42" s="206" customFormat="1" x14ac:dyDescent="0.25">
      <c r="A763" s="226">
        <v>45809</v>
      </c>
      <c r="B763" s="206" t="s">
        <v>40</v>
      </c>
      <c r="C763" s="206" t="s">
        <v>41</v>
      </c>
      <c r="D763" s="221">
        <v>25708303</v>
      </c>
      <c r="E763" s="221">
        <v>25106766</v>
      </c>
      <c r="F763" s="221" t="s">
        <v>1102</v>
      </c>
      <c r="G763" s="227">
        <v>45828</v>
      </c>
      <c r="H763" s="206" t="s">
        <v>115</v>
      </c>
      <c r="I763" s="206" t="s">
        <v>399</v>
      </c>
      <c r="J763" s="206" t="s">
        <v>1101</v>
      </c>
      <c r="K763" s="228">
        <v>10</v>
      </c>
      <c r="L763" s="229" t="s">
        <v>42</v>
      </c>
      <c r="M763" s="228">
        <v>10</v>
      </c>
      <c r="N763" s="228">
        <v>3825127.28</v>
      </c>
      <c r="O763" s="228">
        <v>38251272.799999997</v>
      </c>
      <c r="P763" s="228">
        <v>38251272.799999997</v>
      </c>
      <c r="Q763" s="224">
        <v>0</v>
      </c>
      <c r="R763" s="224">
        <v>0</v>
      </c>
      <c r="S763" s="229" t="s">
        <v>43</v>
      </c>
      <c r="T763" s="228">
        <v>24767284.100000001</v>
      </c>
      <c r="U763" s="228">
        <v>24767284.100000001</v>
      </c>
      <c r="V763" s="228">
        <v>13483988.699999999</v>
      </c>
      <c r="W763" s="230">
        <v>0.35251085030500001</v>
      </c>
      <c r="X763" s="228">
        <v>13483988.699999999</v>
      </c>
      <c r="Y763" s="206" t="s">
        <v>66</v>
      </c>
      <c r="Z763" s="206" t="s">
        <v>44</v>
      </c>
      <c r="AA763" s="206">
        <v>15159</v>
      </c>
      <c r="AB763" s="206" t="s">
        <v>118</v>
      </c>
      <c r="AC763" s="206" t="s">
        <v>154</v>
      </c>
      <c r="AD763" s="206" t="s">
        <v>155</v>
      </c>
      <c r="AE763" s="206">
        <v>0</v>
      </c>
      <c r="AF763" s="206" t="s">
        <v>72</v>
      </c>
      <c r="AG763" s="206" t="s">
        <v>69</v>
      </c>
      <c r="AH763" s="206" t="s">
        <v>46</v>
      </c>
      <c r="AI763" s="206" t="s">
        <v>69</v>
      </c>
      <c r="AJ763" s="206" t="s">
        <v>46</v>
      </c>
      <c r="AK763" s="206" t="s">
        <v>54</v>
      </c>
      <c r="AL763" s="206" t="s">
        <v>48</v>
      </c>
      <c r="AM763" s="206" t="s">
        <v>49</v>
      </c>
      <c r="AN763" s="243" t="str">
        <f>VLOOKUP(I763,Sheet1!A:D,4,)</f>
        <v>A320400</v>
      </c>
      <c r="AP763" s="4" t="s">
        <v>1103</v>
      </c>
    </row>
    <row r="764" spans="1:42" s="206" customFormat="1" x14ac:dyDescent="0.25">
      <c r="A764" s="226">
        <v>45809</v>
      </c>
      <c r="B764" s="206" t="s">
        <v>40</v>
      </c>
      <c r="C764" s="206" t="s">
        <v>41</v>
      </c>
      <c r="D764" s="221">
        <v>25708305</v>
      </c>
      <c r="E764" s="221">
        <v>25106547</v>
      </c>
      <c r="F764" s="221" t="s">
        <v>1105</v>
      </c>
      <c r="G764" s="227">
        <v>45828</v>
      </c>
      <c r="H764" s="206" t="s">
        <v>126</v>
      </c>
      <c r="I764" s="206" t="s">
        <v>204</v>
      </c>
      <c r="J764" s="206" t="s">
        <v>706</v>
      </c>
      <c r="K764" s="228">
        <v>200</v>
      </c>
      <c r="L764" s="229" t="s">
        <v>42</v>
      </c>
      <c r="M764" s="228">
        <v>200</v>
      </c>
      <c r="N764" s="228">
        <v>208019.99</v>
      </c>
      <c r="O764" s="228">
        <v>41603998</v>
      </c>
      <c r="P764" s="228">
        <v>41603998</v>
      </c>
      <c r="Q764" s="224">
        <v>0</v>
      </c>
      <c r="R764" s="224">
        <v>0</v>
      </c>
      <c r="S764" s="229" t="s">
        <v>43</v>
      </c>
      <c r="T764" s="228">
        <v>30396860.260000002</v>
      </c>
      <c r="U764" s="228">
        <v>30396860.260000002</v>
      </c>
      <c r="V764" s="228">
        <v>11207137.74</v>
      </c>
      <c r="W764" s="230">
        <v>0.26937646088700001</v>
      </c>
      <c r="X764" s="228">
        <v>11207137.74</v>
      </c>
      <c r="Y764" s="206" t="s">
        <v>69</v>
      </c>
      <c r="Z764" s="206" t="s">
        <v>46</v>
      </c>
      <c r="AA764" s="206">
        <v>2306153</v>
      </c>
      <c r="AB764" s="206" t="s">
        <v>126</v>
      </c>
      <c r="AC764" s="206" t="s">
        <v>56</v>
      </c>
      <c r="AD764" s="206" t="s">
        <v>77</v>
      </c>
      <c r="AE764" s="206">
        <v>0</v>
      </c>
      <c r="AF764" s="206" t="s">
        <v>72</v>
      </c>
      <c r="AG764" s="206" t="s">
        <v>69</v>
      </c>
      <c r="AH764" s="206" t="s">
        <v>46</v>
      </c>
      <c r="AI764" s="206" t="s">
        <v>69</v>
      </c>
      <c r="AJ764" s="206" t="s">
        <v>46</v>
      </c>
      <c r="AK764" s="206" t="s">
        <v>54</v>
      </c>
      <c r="AL764" s="206" t="s">
        <v>48</v>
      </c>
      <c r="AM764" s="206" t="s">
        <v>49</v>
      </c>
      <c r="AN764" s="243" t="str">
        <f>VLOOKUP(I764,Sheet1!A:D,4,)</f>
        <v>A320400</v>
      </c>
      <c r="AP764" s="187" t="s">
        <v>1111</v>
      </c>
    </row>
    <row r="765" spans="1:42" s="206" customFormat="1" x14ac:dyDescent="0.25">
      <c r="A765" s="226">
        <v>45809</v>
      </c>
      <c r="B765" s="206" t="s">
        <v>40</v>
      </c>
      <c r="C765" s="206" t="s">
        <v>41</v>
      </c>
      <c r="D765" s="221">
        <v>25708306</v>
      </c>
      <c r="E765" s="221">
        <v>25106667</v>
      </c>
      <c r="F765" s="221" t="s">
        <v>980</v>
      </c>
      <c r="G765" s="227">
        <v>45828</v>
      </c>
      <c r="H765" s="206" t="s">
        <v>115</v>
      </c>
      <c r="I765" s="206" t="s">
        <v>226</v>
      </c>
      <c r="J765" s="206" t="s">
        <v>936</v>
      </c>
      <c r="K765" s="228">
        <v>500</v>
      </c>
      <c r="L765" s="229" t="s">
        <v>42</v>
      </c>
      <c r="M765" s="228">
        <v>500</v>
      </c>
      <c r="N765" s="228">
        <v>209456.95</v>
      </c>
      <c r="O765" s="228">
        <v>104728475</v>
      </c>
      <c r="P765" s="228">
        <v>104728475</v>
      </c>
      <c r="Q765" s="224">
        <v>0</v>
      </c>
      <c r="R765" s="224">
        <v>0</v>
      </c>
      <c r="S765" s="229" t="s">
        <v>43</v>
      </c>
      <c r="T765" s="228">
        <v>69766472.650000006</v>
      </c>
      <c r="U765" s="228">
        <v>69766472.650000006</v>
      </c>
      <c r="V765" s="228">
        <v>34962002.350000001</v>
      </c>
      <c r="W765" s="230">
        <v>0.33383473167099997</v>
      </c>
      <c r="X765" s="228">
        <v>34962002.350000001</v>
      </c>
      <c r="Y765" s="206" t="s">
        <v>66</v>
      </c>
      <c r="Z765" s="206" t="s">
        <v>44</v>
      </c>
      <c r="AA765" s="206">
        <v>15159</v>
      </c>
      <c r="AB765" s="206" t="s">
        <v>118</v>
      </c>
      <c r="AC765" s="206" t="s">
        <v>154</v>
      </c>
      <c r="AD765" s="206" t="s">
        <v>155</v>
      </c>
      <c r="AE765" s="206">
        <v>0</v>
      </c>
      <c r="AF765" s="206" t="s">
        <v>124</v>
      </c>
      <c r="AG765" s="206" t="s">
        <v>81</v>
      </c>
      <c r="AH765" s="206" t="s">
        <v>57</v>
      </c>
      <c r="AI765" s="206" t="s">
        <v>69</v>
      </c>
      <c r="AJ765" s="206" t="s">
        <v>46</v>
      </c>
      <c r="AK765" s="206" t="s">
        <v>54</v>
      </c>
      <c r="AL765" s="206" t="s">
        <v>48</v>
      </c>
      <c r="AM765" s="206" t="s">
        <v>49</v>
      </c>
      <c r="AN765" s="243" t="str">
        <f>VLOOKUP(I765,Sheet1!A:D,4,)</f>
        <v>A320400</v>
      </c>
      <c r="AP765" s="187" t="s">
        <v>1111</v>
      </c>
    </row>
    <row r="766" spans="1:42" s="206" customFormat="1" x14ac:dyDescent="0.25">
      <c r="A766" s="226">
        <v>45809</v>
      </c>
      <c r="B766" s="206" t="s">
        <v>40</v>
      </c>
      <c r="C766" s="206" t="s">
        <v>41</v>
      </c>
      <c r="D766" s="221">
        <v>25708306</v>
      </c>
      <c r="E766" s="221">
        <v>25106667</v>
      </c>
      <c r="F766" s="221" t="s">
        <v>980</v>
      </c>
      <c r="G766" s="227">
        <v>45828</v>
      </c>
      <c r="H766" s="206" t="s">
        <v>115</v>
      </c>
      <c r="I766" s="206" t="s">
        <v>122</v>
      </c>
      <c r="J766" s="206" t="s">
        <v>123</v>
      </c>
      <c r="K766" s="228">
        <v>120</v>
      </c>
      <c r="L766" s="229" t="s">
        <v>42</v>
      </c>
      <c r="M766" s="228">
        <v>120</v>
      </c>
      <c r="N766" s="228">
        <v>464860.35</v>
      </c>
      <c r="O766" s="228">
        <v>55783242</v>
      </c>
      <c r="P766" s="228">
        <v>55783242</v>
      </c>
      <c r="Q766" s="224">
        <v>0</v>
      </c>
      <c r="R766" s="224">
        <v>0</v>
      </c>
      <c r="S766" s="229" t="s">
        <v>43</v>
      </c>
      <c r="T766" s="228">
        <v>27196740</v>
      </c>
      <c r="U766" s="228">
        <v>27196740</v>
      </c>
      <c r="V766" s="228">
        <v>28586502</v>
      </c>
      <c r="W766" s="230">
        <v>0.51245680557600004</v>
      </c>
      <c r="X766" s="228">
        <v>28586502</v>
      </c>
      <c r="Y766" s="206" t="s">
        <v>66</v>
      </c>
      <c r="Z766" s="206" t="s">
        <v>44</v>
      </c>
      <c r="AA766" s="206">
        <v>15159</v>
      </c>
      <c r="AB766" s="206" t="s">
        <v>118</v>
      </c>
      <c r="AC766" s="206" t="s">
        <v>154</v>
      </c>
      <c r="AD766" s="206" t="s">
        <v>155</v>
      </c>
      <c r="AE766" s="206">
        <v>0</v>
      </c>
      <c r="AF766" s="206" t="s">
        <v>124</v>
      </c>
      <c r="AG766" s="206" t="s">
        <v>81</v>
      </c>
      <c r="AH766" s="206" t="s">
        <v>57</v>
      </c>
      <c r="AI766" s="206" t="s">
        <v>69</v>
      </c>
      <c r="AJ766" s="206" t="s">
        <v>46</v>
      </c>
      <c r="AK766" s="206" t="s">
        <v>54</v>
      </c>
      <c r="AL766" s="206" t="s">
        <v>48</v>
      </c>
      <c r="AM766" s="206" t="s">
        <v>49</v>
      </c>
      <c r="AN766" s="243" t="str">
        <f>VLOOKUP(I766,Sheet1!A:D,4,)</f>
        <v>A320400</v>
      </c>
      <c r="AP766" s="187" t="s">
        <v>1111</v>
      </c>
    </row>
    <row r="767" spans="1:42" s="206" customFormat="1" x14ac:dyDescent="0.25">
      <c r="A767" s="226">
        <v>45809</v>
      </c>
      <c r="B767" s="206" t="s">
        <v>40</v>
      </c>
      <c r="C767" s="206" t="s">
        <v>41</v>
      </c>
      <c r="D767" s="221">
        <v>25708307</v>
      </c>
      <c r="E767" s="221">
        <v>25106669</v>
      </c>
      <c r="F767" s="221" t="s">
        <v>1106</v>
      </c>
      <c r="G767" s="227">
        <v>45828</v>
      </c>
      <c r="H767" s="206" t="s">
        <v>126</v>
      </c>
      <c r="I767" s="206" t="s">
        <v>226</v>
      </c>
      <c r="J767" s="206" t="s">
        <v>936</v>
      </c>
      <c r="K767" s="228">
        <v>500</v>
      </c>
      <c r="L767" s="229" t="s">
        <v>42</v>
      </c>
      <c r="M767" s="228">
        <v>500</v>
      </c>
      <c r="N767" s="228">
        <v>209456.95</v>
      </c>
      <c r="O767" s="228">
        <v>104728475</v>
      </c>
      <c r="P767" s="228">
        <v>104728475</v>
      </c>
      <c r="Q767" s="224">
        <v>0</v>
      </c>
      <c r="R767" s="224">
        <v>0</v>
      </c>
      <c r="S767" s="229" t="s">
        <v>43</v>
      </c>
      <c r="T767" s="228">
        <v>69766472.650000006</v>
      </c>
      <c r="U767" s="228">
        <v>69766472.650000006</v>
      </c>
      <c r="V767" s="228">
        <v>34962002.350000001</v>
      </c>
      <c r="W767" s="230">
        <v>0.33383473167099997</v>
      </c>
      <c r="X767" s="228">
        <v>34962002.350000001</v>
      </c>
      <c r="Y767" s="206" t="s">
        <v>69</v>
      </c>
      <c r="Z767" s="206" t="s">
        <v>46</v>
      </c>
      <c r="AA767" s="206">
        <v>2306153</v>
      </c>
      <c r="AB767" s="206" t="s">
        <v>126</v>
      </c>
      <c r="AC767" s="206" t="s">
        <v>56</v>
      </c>
      <c r="AD767" s="206" t="s">
        <v>77</v>
      </c>
      <c r="AE767" s="206">
        <v>0</v>
      </c>
      <c r="AF767" s="206" t="s">
        <v>124</v>
      </c>
      <c r="AG767" s="206" t="s">
        <v>81</v>
      </c>
      <c r="AH767" s="206" t="s">
        <v>57</v>
      </c>
      <c r="AI767" s="206" t="s">
        <v>69</v>
      </c>
      <c r="AJ767" s="206" t="s">
        <v>46</v>
      </c>
      <c r="AK767" s="206" t="s">
        <v>54</v>
      </c>
      <c r="AL767" s="206" t="s">
        <v>48</v>
      </c>
      <c r="AM767" s="206" t="s">
        <v>49</v>
      </c>
      <c r="AN767" s="243" t="str">
        <f>VLOOKUP(I767,Sheet1!A:D,4,)</f>
        <v>A320400</v>
      </c>
      <c r="AP767" s="187" t="s">
        <v>1111</v>
      </c>
    </row>
    <row r="768" spans="1:42" s="206" customFormat="1" x14ac:dyDescent="0.25">
      <c r="A768" s="226">
        <v>45809</v>
      </c>
      <c r="B768" s="206" t="s">
        <v>40</v>
      </c>
      <c r="C768" s="206" t="s">
        <v>41</v>
      </c>
      <c r="D768" s="221">
        <v>25708308</v>
      </c>
      <c r="E768" s="221">
        <v>25106774</v>
      </c>
      <c r="F768" s="221" t="s">
        <v>1107</v>
      </c>
      <c r="G768" s="227">
        <v>45828</v>
      </c>
      <c r="H768" s="206" t="s">
        <v>126</v>
      </c>
      <c r="I768" s="206" t="s">
        <v>223</v>
      </c>
      <c r="J768" s="206" t="s">
        <v>864</v>
      </c>
      <c r="K768" s="228">
        <v>4</v>
      </c>
      <c r="L768" s="229" t="s">
        <v>42</v>
      </c>
      <c r="M768" s="228">
        <v>4</v>
      </c>
      <c r="N768" s="228">
        <v>10774187.84</v>
      </c>
      <c r="O768" s="228">
        <v>43096751.359999999</v>
      </c>
      <c r="P768" s="228">
        <v>43096751.359999999</v>
      </c>
      <c r="Q768" s="224">
        <v>0</v>
      </c>
      <c r="R768" s="224">
        <v>0</v>
      </c>
      <c r="S768" s="229" t="s">
        <v>43</v>
      </c>
      <c r="T768" s="228">
        <v>22095535.219999999</v>
      </c>
      <c r="U768" s="228">
        <v>22095535.219999999</v>
      </c>
      <c r="V768" s="228">
        <v>21001216.140000001</v>
      </c>
      <c r="W768" s="230">
        <v>0.48730392610200002</v>
      </c>
      <c r="X768" s="228">
        <v>21001216.140000001</v>
      </c>
      <c r="Y768" s="206" t="s">
        <v>69</v>
      </c>
      <c r="Z768" s="206" t="s">
        <v>46</v>
      </c>
      <c r="AA768" s="206">
        <v>2306153</v>
      </c>
      <c r="AB768" s="206" t="s">
        <v>126</v>
      </c>
      <c r="AC768" s="206" t="s">
        <v>56</v>
      </c>
      <c r="AD768" s="206" t="s">
        <v>77</v>
      </c>
      <c r="AE768" s="206">
        <v>0</v>
      </c>
      <c r="AF768" s="206" t="s">
        <v>72</v>
      </c>
      <c r="AG768" s="206" t="s">
        <v>69</v>
      </c>
      <c r="AH768" s="206" t="s">
        <v>46</v>
      </c>
      <c r="AI768" s="206" t="s">
        <v>69</v>
      </c>
      <c r="AJ768" s="206" t="s">
        <v>46</v>
      </c>
      <c r="AK768" s="206" t="s">
        <v>54</v>
      </c>
      <c r="AL768" s="206" t="s">
        <v>48</v>
      </c>
      <c r="AM768" s="206" t="s">
        <v>49</v>
      </c>
      <c r="AN768" s="243" t="str">
        <f>VLOOKUP(I768,Sheet1!A:D,4,)</f>
        <v>A320400</v>
      </c>
      <c r="AP768" s="187" t="s">
        <v>1111</v>
      </c>
    </row>
    <row r="769" spans="1:42" s="206" customFormat="1" x14ac:dyDescent="0.25">
      <c r="A769" s="226">
        <v>45809</v>
      </c>
      <c r="B769" s="206" t="s">
        <v>40</v>
      </c>
      <c r="C769" s="206" t="s">
        <v>41</v>
      </c>
      <c r="D769" s="221">
        <v>25708309</v>
      </c>
      <c r="E769" s="221">
        <v>25106577</v>
      </c>
      <c r="F769" s="221" t="s">
        <v>848</v>
      </c>
      <c r="G769" s="227">
        <v>45826</v>
      </c>
      <c r="H769" s="206" t="s">
        <v>126</v>
      </c>
      <c r="I769" s="206" t="s">
        <v>116</v>
      </c>
      <c r="J769" s="206" t="s">
        <v>117</v>
      </c>
      <c r="K769" s="228">
        <v>20</v>
      </c>
      <c r="L769" s="229" t="s">
        <v>42</v>
      </c>
      <c r="M769" s="228">
        <v>20</v>
      </c>
      <c r="N769" s="228">
        <v>389255.61</v>
      </c>
      <c r="O769" s="228">
        <v>7785112.2000000002</v>
      </c>
      <c r="P769" s="228">
        <v>7785112.2000000002</v>
      </c>
      <c r="Q769" s="224">
        <v>0</v>
      </c>
      <c r="R769" s="224">
        <v>0</v>
      </c>
      <c r="S769" s="229" t="s">
        <v>43</v>
      </c>
      <c r="T769" s="228">
        <v>6196010.4800000004</v>
      </c>
      <c r="U769" s="228">
        <v>6196010.4800000004</v>
      </c>
      <c r="V769" s="228">
        <v>1589101.72</v>
      </c>
      <c r="W769" s="230">
        <v>0.204120593149</v>
      </c>
      <c r="X769" s="228">
        <v>1589101.72</v>
      </c>
      <c r="Y769" s="206" t="s">
        <v>69</v>
      </c>
      <c r="Z769" s="206" t="s">
        <v>46</v>
      </c>
      <c r="AA769" s="206">
        <v>2306153</v>
      </c>
      <c r="AB769" s="206" t="s">
        <v>126</v>
      </c>
      <c r="AC769" s="206" t="s">
        <v>56</v>
      </c>
      <c r="AD769" s="206" t="s">
        <v>77</v>
      </c>
      <c r="AE769" s="206">
        <v>0</v>
      </c>
      <c r="AF769" s="206" t="s">
        <v>119</v>
      </c>
      <c r="AG769" s="206" t="s">
        <v>120</v>
      </c>
      <c r="AH769" s="206" t="s">
        <v>121</v>
      </c>
      <c r="AI769" s="206" t="s">
        <v>69</v>
      </c>
      <c r="AJ769" s="206" t="s">
        <v>46</v>
      </c>
      <c r="AK769" s="206" t="s">
        <v>54</v>
      </c>
      <c r="AL769" s="206" t="s">
        <v>48</v>
      </c>
      <c r="AM769" s="206" t="s">
        <v>49</v>
      </c>
      <c r="AN769" s="243" t="str">
        <f>VLOOKUP(I769,Sheet1!A:D,4,)</f>
        <v>A320400</v>
      </c>
      <c r="AP769" s="36" t="s">
        <v>1110</v>
      </c>
    </row>
    <row r="770" spans="1:42" s="206" customFormat="1" x14ac:dyDescent="0.25">
      <c r="A770" s="226">
        <v>45809</v>
      </c>
      <c r="B770" s="206" t="s">
        <v>40</v>
      </c>
      <c r="C770" s="206" t="s">
        <v>41</v>
      </c>
      <c r="D770" s="221">
        <v>25708310</v>
      </c>
      <c r="E770" s="221">
        <v>25106549</v>
      </c>
      <c r="F770" s="221" t="s">
        <v>929</v>
      </c>
      <c r="G770" s="227">
        <v>45826</v>
      </c>
      <c r="H770" s="206" t="s">
        <v>115</v>
      </c>
      <c r="I770" s="206" t="s">
        <v>428</v>
      </c>
      <c r="J770" s="206" t="s">
        <v>641</v>
      </c>
      <c r="K770" s="228">
        <v>400</v>
      </c>
      <c r="L770" s="229" t="s">
        <v>42</v>
      </c>
      <c r="M770" s="228">
        <v>400</v>
      </c>
      <c r="N770" s="228">
        <v>340979.57</v>
      </c>
      <c r="O770" s="228">
        <v>136391828</v>
      </c>
      <c r="P770" s="228">
        <v>136391828</v>
      </c>
      <c r="Q770" s="224">
        <v>0</v>
      </c>
      <c r="R770" s="224">
        <v>0</v>
      </c>
      <c r="S770" s="229" t="s">
        <v>43</v>
      </c>
      <c r="T770" s="228">
        <v>114878094.40000001</v>
      </c>
      <c r="U770" s="228">
        <v>114878094.40000001</v>
      </c>
      <c r="V770" s="228">
        <v>21513733.600000001</v>
      </c>
      <c r="W770" s="230">
        <v>0.157734769857</v>
      </c>
      <c r="X770" s="228">
        <v>21513733.600000001</v>
      </c>
      <c r="Y770" s="206" t="s">
        <v>66</v>
      </c>
      <c r="Z770" s="206" t="s">
        <v>44</v>
      </c>
      <c r="AA770" s="206">
        <v>15159</v>
      </c>
      <c r="AB770" s="206" t="s">
        <v>118</v>
      </c>
      <c r="AC770" s="206" t="s">
        <v>154</v>
      </c>
      <c r="AD770" s="206" t="s">
        <v>155</v>
      </c>
      <c r="AE770" s="206">
        <v>0</v>
      </c>
      <c r="AF770" s="206" t="s">
        <v>119</v>
      </c>
      <c r="AG770" s="206" t="s">
        <v>120</v>
      </c>
      <c r="AH770" s="206" t="s">
        <v>121</v>
      </c>
      <c r="AI770" s="206" t="s">
        <v>69</v>
      </c>
      <c r="AJ770" s="206" t="s">
        <v>46</v>
      </c>
      <c r="AK770" s="206" t="s">
        <v>54</v>
      </c>
      <c r="AL770" s="206" t="s">
        <v>48</v>
      </c>
      <c r="AM770" s="206" t="s">
        <v>49</v>
      </c>
      <c r="AN770" s="243" t="str">
        <f>VLOOKUP(I770,Sheet1!A:D,4,)</f>
        <v>A320400</v>
      </c>
      <c r="AP770" s="36" t="s">
        <v>1110</v>
      </c>
    </row>
    <row r="771" spans="1:42" s="206" customFormat="1" x14ac:dyDescent="0.25">
      <c r="A771" s="226">
        <v>45809</v>
      </c>
      <c r="B771" s="206" t="s">
        <v>40</v>
      </c>
      <c r="C771" s="206" t="s">
        <v>41</v>
      </c>
      <c r="D771" s="221">
        <v>25708311</v>
      </c>
      <c r="E771" s="221">
        <v>25106551</v>
      </c>
      <c r="F771" s="221" t="s">
        <v>930</v>
      </c>
      <c r="G771" s="227">
        <v>45826</v>
      </c>
      <c r="H771" s="206" t="s">
        <v>126</v>
      </c>
      <c r="I771" s="206" t="s">
        <v>129</v>
      </c>
      <c r="J771" s="206" t="s">
        <v>873</v>
      </c>
      <c r="K771" s="228">
        <v>199.696</v>
      </c>
      <c r="L771" s="229" t="s">
        <v>42</v>
      </c>
      <c r="M771" s="228">
        <v>199.696</v>
      </c>
      <c r="N771" s="228">
        <v>922216.63</v>
      </c>
      <c r="O771" s="228">
        <v>184162972.13999999</v>
      </c>
      <c r="P771" s="228">
        <v>184162972.13999999</v>
      </c>
      <c r="Q771" s="224">
        <v>0</v>
      </c>
      <c r="R771" s="224">
        <v>0</v>
      </c>
      <c r="S771" s="229" t="s">
        <v>43</v>
      </c>
      <c r="T771" s="228">
        <v>111359965.18000001</v>
      </c>
      <c r="U771" s="228">
        <v>111359965.18000001</v>
      </c>
      <c r="V771" s="228">
        <v>72803006.959999993</v>
      </c>
      <c r="W771" s="230">
        <v>0.39531837542499998</v>
      </c>
      <c r="X771" s="228">
        <v>72803006.959999993</v>
      </c>
      <c r="Y771" s="206" t="s">
        <v>69</v>
      </c>
      <c r="Z771" s="206" t="s">
        <v>46</v>
      </c>
      <c r="AA771" s="206">
        <v>2306153</v>
      </c>
      <c r="AB771" s="206" t="s">
        <v>126</v>
      </c>
      <c r="AC771" s="206" t="s">
        <v>56</v>
      </c>
      <c r="AD771" s="206" t="s">
        <v>77</v>
      </c>
      <c r="AE771" s="206">
        <v>0</v>
      </c>
      <c r="AF771" s="206" t="s">
        <v>124</v>
      </c>
      <c r="AG771" s="206" t="s">
        <v>131</v>
      </c>
      <c r="AH771" s="206" t="s">
        <v>132</v>
      </c>
      <c r="AI771" s="206" t="s">
        <v>69</v>
      </c>
      <c r="AJ771" s="206" t="s">
        <v>46</v>
      </c>
      <c r="AK771" s="206" t="s">
        <v>54</v>
      </c>
      <c r="AL771" s="206" t="s">
        <v>48</v>
      </c>
      <c r="AM771" s="206" t="s">
        <v>49</v>
      </c>
      <c r="AN771" s="243" t="str">
        <f>VLOOKUP(I771,Sheet1!A:D,4,)</f>
        <v>A320400</v>
      </c>
      <c r="AP771" s="36" t="s">
        <v>1110</v>
      </c>
    </row>
    <row r="772" spans="1:42" s="206" customFormat="1" x14ac:dyDescent="0.25">
      <c r="A772" s="226">
        <v>45809</v>
      </c>
      <c r="B772" s="206" t="s">
        <v>40</v>
      </c>
      <c r="C772" s="206" t="s">
        <v>41</v>
      </c>
      <c r="D772" s="221">
        <v>25708311</v>
      </c>
      <c r="E772" s="221">
        <v>25106551</v>
      </c>
      <c r="F772" s="221" t="s">
        <v>930</v>
      </c>
      <c r="G772" s="227">
        <v>45826</v>
      </c>
      <c r="H772" s="206" t="s">
        <v>126</v>
      </c>
      <c r="I772" s="206" t="s">
        <v>398</v>
      </c>
      <c r="J772" s="206" t="s">
        <v>843</v>
      </c>
      <c r="K772" s="228">
        <v>100</v>
      </c>
      <c r="L772" s="229" t="s">
        <v>42</v>
      </c>
      <c r="M772" s="228">
        <v>100</v>
      </c>
      <c r="N772" s="228">
        <v>1587014.52</v>
      </c>
      <c r="O772" s="228">
        <v>158701452</v>
      </c>
      <c r="P772" s="228">
        <v>158701452</v>
      </c>
      <c r="Q772" s="224">
        <v>0</v>
      </c>
      <c r="R772" s="224">
        <v>0</v>
      </c>
      <c r="S772" s="229" t="s">
        <v>43</v>
      </c>
      <c r="T772" s="228">
        <v>108568880</v>
      </c>
      <c r="U772" s="228">
        <v>108568880</v>
      </c>
      <c r="V772" s="228">
        <v>50132572</v>
      </c>
      <c r="W772" s="230">
        <v>0.31589233348599999</v>
      </c>
      <c r="X772" s="228">
        <v>50132572</v>
      </c>
      <c r="Y772" s="206" t="s">
        <v>69</v>
      </c>
      <c r="Z772" s="206" t="s">
        <v>46</v>
      </c>
      <c r="AA772" s="206">
        <v>2306153</v>
      </c>
      <c r="AB772" s="206" t="s">
        <v>126</v>
      </c>
      <c r="AC772" s="206" t="s">
        <v>56</v>
      </c>
      <c r="AD772" s="206" t="s">
        <v>77</v>
      </c>
      <c r="AE772" s="206">
        <v>0</v>
      </c>
      <c r="AF772" s="206" t="s">
        <v>124</v>
      </c>
      <c r="AG772" s="206" t="s">
        <v>81</v>
      </c>
      <c r="AH772" s="206" t="s">
        <v>57</v>
      </c>
      <c r="AI772" s="206" t="s">
        <v>69</v>
      </c>
      <c r="AJ772" s="206" t="s">
        <v>46</v>
      </c>
      <c r="AK772" s="206" t="s">
        <v>54</v>
      </c>
      <c r="AL772" s="206" t="s">
        <v>48</v>
      </c>
      <c r="AM772" s="206" t="s">
        <v>49</v>
      </c>
      <c r="AN772" s="243" t="str">
        <f>VLOOKUP(I772,Sheet1!A:D,4,)</f>
        <v>A320400</v>
      </c>
      <c r="AP772" s="36" t="s">
        <v>1110</v>
      </c>
    </row>
    <row r="773" spans="1:42" s="206" customFormat="1" x14ac:dyDescent="0.25">
      <c r="A773" s="226">
        <v>45809</v>
      </c>
      <c r="B773" s="206" t="s">
        <v>40</v>
      </c>
      <c r="C773" s="206" t="s">
        <v>41</v>
      </c>
      <c r="D773" s="221">
        <v>25708311</v>
      </c>
      <c r="E773" s="221">
        <v>25106551</v>
      </c>
      <c r="F773" s="221" t="s">
        <v>930</v>
      </c>
      <c r="G773" s="227">
        <v>45826</v>
      </c>
      <c r="H773" s="206" t="s">
        <v>126</v>
      </c>
      <c r="I773" s="206" t="s">
        <v>416</v>
      </c>
      <c r="J773" s="206" t="s">
        <v>995</v>
      </c>
      <c r="K773" s="228">
        <v>40</v>
      </c>
      <c r="L773" s="229" t="s">
        <v>42</v>
      </c>
      <c r="M773" s="228">
        <v>40</v>
      </c>
      <c r="N773" s="228">
        <v>2698806.81</v>
      </c>
      <c r="O773" s="228">
        <v>107952272.40000001</v>
      </c>
      <c r="P773" s="228">
        <v>107952272.40000001</v>
      </c>
      <c r="Q773" s="224">
        <v>0</v>
      </c>
      <c r="R773" s="224">
        <v>0</v>
      </c>
      <c r="S773" s="229" t="s">
        <v>43</v>
      </c>
      <c r="T773" s="228">
        <v>86531803.560000002</v>
      </c>
      <c r="U773" s="228">
        <v>86531803.560000002</v>
      </c>
      <c r="V773" s="228">
        <v>21420468.84</v>
      </c>
      <c r="W773" s="230">
        <v>0.198425363021</v>
      </c>
      <c r="X773" s="228">
        <v>21420468.84</v>
      </c>
      <c r="Y773" s="206" t="s">
        <v>69</v>
      </c>
      <c r="Z773" s="206" t="s">
        <v>46</v>
      </c>
      <c r="AA773" s="206">
        <v>2306153</v>
      </c>
      <c r="AB773" s="206" t="s">
        <v>126</v>
      </c>
      <c r="AC773" s="206" t="s">
        <v>56</v>
      </c>
      <c r="AD773" s="206" t="s">
        <v>77</v>
      </c>
      <c r="AE773" s="206">
        <v>0</v>
      </c>
      <c r="AF773" s="206" t="s">
        <v>124</v>
      </c>
      <c r="AG773" s="206" t="s">
        <v>81</v>
      </c>
      <c r="AH773" s="206" t="s">
        <v>57</v>
      </c>
      <c r="AI773" s="206" t="s">
        <v>69</v>
      </c>
      <c r="AJ773" s="206" t="s">
        <v>46</v>
      </c>
      <c r="AK773" s="206" t="s">
        <v>54</v>
      </c>
      <c r="AL773" s="206" t="s">
        <v>48</v>
      </c>
      <c r="AM773" s="206" t="s">
        <v>49</v>
      </c>
      <c r="AN773" s="243" t="str">
        <f>VLOOKUP(I773,Sheet1!A:D,4,)</f>
        <v>A320400</v>
      </c>
      <c r="AP773" s="36" t="s">
        <v>1110</v>
      </c>
    </row>
    <row r="774" spans="1:42" s="206" customFormat="1" x14ac:dyDescent="0.25">
      <c r="A774" s="226">
        <v>45809</v>
      </c>
      <c r="B774" s="206" t="s">
        <v>40</v>
      </c>
      <c r="C774" s="206" t="s">
        <v>41</v>
      </c>
      <c r="D774" s="221">
        <v>25708312</v>
      </c>
      <c r="E774" s="221">
        <v>25106584</v>
      </c>
      <c r="F774" s="221" t="s">
        <v>978</v>
      </c>
      <c r="G774" s="227">
        <v>45826</v>
      </c>
      <c r="H774" s="206" t="s">
        <v>115</v>
      </c>
      <c r="I774" s="206" t="s">
        <v>428</v>
      </c>
      <c r="J774" s="206" t="s">
        <v>641</v>
      </c>
      <c r="K774" s="228">
        <v>400</v>
      </c>
      <c r="L774" s="229" t="s">
        <v>42</v>
      </c>
      <c r="M774" s="228">
        <v>400</v>
      </c>
      <c r="N774" s="228">
        <v>340979.57</v>
      </c>
      <c r="O774" s="228">
        <v>136391828</v>
      </c>
      <c r="P774" s="228">
        <v>136391828</v>
      </c>
      <c r="Q774" s="224">
        <v>0</v>
      </c>
      <c r="R774" s="224">
        <v>0</v>
      </c>
      <c r="S774" s="229" t="s">
        <v>43</v>
      </c>
      <c r="T774" s="228">
        <v>114878094.40000001</v>
      </c>
      <c r="U774" s="228">
        <v>114878094.40000001</v>
      </c>
      <c r="V774" s="228">
        <v>21513733.600000001</v>
      </c>
      <c r="W774" s="230">
        <v>0.157734769857</v>
      </c>
      <c r="X774" s="228">
        <v>21513733.600000001</v>
      </c>
      <c r="Y774" s="206" t="s">
        <v>66</v>
      </c>
      <c r="Z774" s="206" t="s">
        <v>44</v>
      </c>
      <c r="AA774" s="206">
        <v>15159</v>
      </c>
      <c r="AB774" s="206" t="s">
        <v>118</v>
      </c>
      <c r="AC774" s="206" t="s">
        <v>154</v>
      </c>
      <c r="AD774" s="206" t="s">
        <v>155</v>
      </c>
      <c r="AE774" s="206">
        <v>0</v>
      </c>
      <c r="AF774" s="206" t="s">
        <v>119</v>
      </c>
      <c r="AG774" s="206" t="s">
        <v>120</v>
      </c>
      <c r="AH774" s="206" t="s">
        <v>121</v>
      </c>
      <c r="AI774" s="206" t="s">
        <v>69</v>
      </c>
      <c r="AJ774" s="206" t="s">
        <v>46</v>
      </c>
      <c r="AK774" s="206" t="s">
        <v>54</v>
      </c>
      <c r="AL774" s="206" t="s">
        <v>48</v>
      </c>
      <c r="AM774" s="206" t="s">
        <v>49</v>
      </c>
      <c r="AN774" s="243" t="str">
        <f>VLOOKUP(I774,Sheet1!A:D,4,)</f>
        <v>A320400</v>
      </c>
      <c r="AP774" s="36" t="s">
        <v>1110</v>
      </c>
    </row>
    <row r="775" spans="1:42" s="206" customFormat="1" x14ac:dyDescent="0.25">
      <c r="A775" s="226">
        <v>45809</v>
      </c>
      <c r="B775" s="206" t="s">
        <v>40</v>
      </c>
      <c r="C775" s="206" t="s">
        <v>41</v>
      </c>
      <c r="D775" s="221">
        <v>25708312</v>
      </c>
      <c r="E775" s="221">
        <v>25106584</v>
      </c>
      <c r="F775" s="221" t="s">
        <v>978</v>
      </c>
      <c r="G775" s="227">
        <v>45826</v>
      </c>
      <c r="H775" s="206" t="s">
        <v>115</v>
      </c>
      <c r="I775" s="206" t="s">
        <v>335</v>
      </c>
      <c r="J775" s="206" t="s">
        <v>1002</v>
      </c>
      <c r="K775" s="228">
        <v>20</v>
      </c>
      <c r="L775" s="229" t="s">
        <v>42</v>
      </c>
      <c r="M775" s="228">
        <v>20</v>
      </c>
      <c r="N775" s="228">
        <v>526064.43999999994</v>
      </c>
      <c r="O775" s="228">
        <v>10521288.800000001</v>
      </c>
      <c r="P775" s="228">
        <v>10521288.800000001</v>
      </c>
      <c r="Q775" s="224">
        <v>0</v>
      </c>
      <c r="R775" s="224">
        <v>0</v>
      </c>
      <c r="S775" s="229" t="s">
        <v>43</v>
      </c>
      <c r="T775" s="228">
        <v>4584797</v>
      </c>
      <c r="U775" s="228">
        <v>4584797</v>
      </c>
      <c r="V775" s="228">
        <v>5936491.7999999998</v>
      </c>
      <c r="W775" s="230">
        <v>0.56423617988700003</v>
      </c>
      <c r="X775" s="228">
        <v>5936491.7999999998</v>
      </c>
      <c r="Y775" s="206" t="s">
        <v>66</v>
      </c>
      <c r="Z775" s="206" t="s">
        <v>44</v>
      </c>
      <c r="AA775" s="206">
        <v>15159</v>
      </c>
      <c r="AB775" s="206" t="s">
        <v>118</v>
      </c>
      <c r="AC775" s="206" t="s">
        <v>154</v>
      </c>
      <c r="AD775" s="206" t="s">
        <v>155</v>
      </c>
      <c r="AE775" s="206">
        <v>0</v>
      </c>
      <c r="AF775" s="206" t="s">
        <v>124</v>
      </c>
      <c r="AG775" s="206" t="s">
        <v>81</v>
      </c>
      <c r="AH775" s="206" t="s">
        <v>57</v>
      </c>
      <c r="AI775" s="206" t="s">
        <v>69</v>
      </c>
      <c r="AJ775" s="206" t="s">
        <v>46</v>
      </c>
      <c r="AK775" s="206" t="s">
        <v>54</v>
      </c>
      <c r="AL775" s="206" t="s">
        <v>48</v>
      </c>
      <c r="AM775" s="206" t="s">
        <v>49</v>
      </c>
      <c r="AN775" s="243" t="str">
        <f>VLOOKUP(I775,Sheet1!A:D,4,)</f>
        <v>A320400</v>
      </c>
      <c r="AP775" s="36" t="s">
        <v>1110</v>
      </c>
    </row>
    <row r="776" spans="1:42" s="206" customFormat="1" x14ac:dyDescent="0.25">
      <c r="A776" s="226">
        <v>45809</v>
      </c>
      <c r="B776" s="206" t="s">
        <v>40</v>
      </c>
      <c r="C776" s="206" t="s">
        <v>41</v>
      </c>
      <c r="D776" s="221">
        <v>25708313</v>
      </c>
      <c r="E776" s="221">
        <v>25106613</v>
      </c>
      <c r="F776" s="221" t="s">
        <v>877</v>
      </c>
      <c r="G776" s="227">
        <v>45826</v>
      </c>
      <c r="H776" s="206" t="s">
        <v>126</v>
      </c>
      <c r="I776" s="206" t="s">
        <v>303</v>
      </c>
      <c r="J776" s="206" t="s">
        <v>1109</v>
      </c>
      <c r="K776" s="228">
        <v>100</v>
      </c>
      <c r="L776" s="229" t="s">
        <v>42</v>
      </c>
      <c r="M776" s="228">
        <v>100</v>
      </c>
      <c r="N776" s="228">
        <v>534474.76</v>
      </c>
      <c r="O776" s="228">
        <v>53447476</v>
      </c>
      <c r="P776" s="228">
        <v>53447476</v>
      </c>
      <c r="Q776" s="224">
        <v>0</v>
      </c>
      <c r="R776" s="224">
        <v>0</v>
      </c>
      <c r="S776" s="229" t="s">
        <v>43</v>
      </c>
      <c r="T776" s="228">
        <v>24452505.75</v>
      </c>
      <c r="U776" s="228">
        <v>24452505.75</v>
      </c>
      <c r="V776" s="228">
        <v>28994970.25</v>
      </c>
      <c r="W776" s="230">
        <v>0.542494658681</v>
      </c>
      <c r="X776" s="228">
        <v>28994970.25</v>
      </c>
      <c r="Y776" s="206" t="s">
        <v>69</v>
      </c>
      <c r="Z776" s="206" t="s">
        <v>46</v>
      </c>
      <c r="AA776" s="206">
        <v>2306153</v>
      </c>
      <c r="AB776" s="206" t="s">
        <v>126</v>
      </c>
      <c r="AC776" s="206" t="s">
        <v>56</v>
      </c>
      <c r="AD776" s="206" t="s">
        <v>77</v>
      </c>
      <c r="AE776" s="206">
        <v>0</v>
      </c>
      <c r="AF776" s="206" t="s">
        <v>124</v>
      </c>
      <c r="AG776" s="206" t="s">
        <v>81</v>
      </c>
      <c r="AH776" s="206" t="s">
        <v>57</v>
      </c>
      <c r="AI776" s="206" t="s">
        <v>69</v>
      </c>
      <c r="AJ776" s="206" t="s">
        <v>46</v>
      </c>
      <c r="AK776" s="206" t="s">
        <v>54</v>
      </c>
      <c r="AL776" s="206" t="s">
        <v>48</v>
      </c>
      <c r="AM776" s="206" t="s">
        <v>49</v>
      </c>
      <c r="AN776" s="243" t="str">
        <f>VLOOKUP(I776,Sheet1!A:D,4,)</f>
        <v>A320400</v>
      </c>
      <c r="AP776" s="36" t="s">
        <v>1110</v>
      </c>
    </row>
    <row r="777" spans="1:42" s="206" customFormat="1" x14ac:dyDescent="0.25">
      <c r="A777" s="226">
        <v>45809</v>
      </c>
      <c r="B777" s="206" t="s">
        <v>40</v>
      </c>
      <c r="C777" s="206" t="s">
        <v>41</v>
      </c>
      <c r="D777" s="221">
        <v>25708314</v>
      </c>
      <c r="E777" s="221">
        <v>25106648</v>
      </c>
      <c r="F777" s="221" t="s">
        <v>992</v>
      </c>
      <c r="G777" s="227">
        <v>45826</v>
      </c>
      <c r="H777" s="206" t="s">
        <v>126</v>
      </c>
      <c r="I777" s="206" t="s">
        <v>416</v>
      </c>
      <c r="J777" s="206" t="s">
        <v>995</v>
      </c>
      <c r="K777" s="228">
        <v>100</v>
      </c>
      <c r="L777" s="229" t="s">
        <v>42</v>
      </c>
      <c r="M777" s="228">
        <v>100</v>
      </c>
      <c r="N777" s="228">
        <v>2751391.18</v>
      </c>
      <c r="O777" s="228">
        <v>275139118</v>
      </c>
      <c r="P777" s="228">
        <v>275139118</v>
      </c>
      <c r="Q777" s="224">
        <v>0</v>
      </c>
      <c r="R777" s="224">
        <v>0</v>
      </c>
      <c r="S777" s="229" t="s">
        <v>43</v>
      </c>
      <c r="T777" s="228">
        <v>216329508.90000001</v>
      </c>
      <c r="U777" s="228">
        <v>216329508.90000001</v>
      </c>
      <c r="V777" s="228">
        <v>58809609.100000001</v>
      </c>
      <c r="W777" s="230">
        <v>0.21374499390500001</v>
      </c>
      <c r="X777" s="228">
        <v>58809609.100000001</v>
      </c>
      <c r="Y777" s="206" t="s">
        <v>69</v>
      </c>
      <c r="Z777" s="206" t="s">
        <v>46</v>
      </c>
      <c r="AA777" s="206">
        <v>2306153</v>
      </c>
      <c r="AB777" s="206" t="s">
        <v>126</v>
      </c>
      <c r="AC777" s="206" t="s">
        <v>56</v>
      </c>
      <c r="AD777" s="206" t="s">
        <v>77</v>
      </c>
      <c r="AE777" s="206">
        <v>0</v>
      </c>
      <c r="AF777" s="206" t="s">
        <v>124</v>
      </c>
      <c r="AG777" s="206" t="s">
        <v>81</v>
      </c>
      <c r="AH777" s="206" t="s">
        <v>57</v>
      </c>
      <c r="AI777" s="206" t="s">
        <v>69</v>
      </c>
      <c r="AJ777" s="206" t="s">
        <v>46</v>
      </c>
      <c r="AK777" s="206" t="s">
        <v>54</v>
      </c>
      <c r="AL777" s="206" t="s">
        <v>48</v>
      </c>
      <c r="AM777" s="206" t="s">
        <v>49</v>
      </c>
      <c r="AN777" s="243" t="str">
        <f>VLOOKUP(I777,Sheet1!A:D,4,)</f>
        <v>A320400</v>
      </c>
      <c r="AP777" s="36" t="s">
        <v>1110</v>
      </c>
    </row>
    <row r="778" spans="1:42" s="206" customFormat="1" x14ac:dyDescent="0.25">
      <c r="A778" s="226">
        <v>45809</v>
      </c>
      <c r="B778" s="206" t="s">
        <v>40</v>
      </c>
      <c r="C778" s="206" t="s">
        <v>41</v>
      </c>
      <c r="D778" s="221">
        <v>25708315</v>
      </c>
      <c r="E778" s="221">
        <v>25106669</v>
      </c>
      <c r="F778" s="221" t="s">
        <v>1106</v>
      </c>
      <c r="G778" s="227">
        <v>45826</v>
      </c>
      <c r="H778" s="206" t="s">
        <v>126</v>
      </c>
      <c r="I778" s="206" t="s">
        <v>428</v>
      </c>
      <c r="J778" s="206" t="s">
        <v>641</v>
      </c>
      <c r="K778" s="228">
        <v>100</v>
      </c>
      <c r="L778" s="229" t="s">
        <v>42</v>
      </c>
      <c r="M778" s="228">
        <v>100</v>
      </c>
      <c r="N778" s="228">
        <v>347623.32</v>
      </c>
      <c r="O778" s="228">
        <v>34762332</v>
      </c>
      <c r="P778" s="228">
        <v>34762332</v>
      </c>
      <c r="Q778" s="224">
        <v>0</v>
      </c>
      <c r="R778" s="224">
        <v>0</v>
      </c>
      <c r="S778" s="229" t="s">
        <v>43</v>
      </c>
      <c r="T778" s="228">
        <v>28719523.600000001</v>
      </c>
      <c r="U778" s="228">
        <v>28719523.600000001</v>
      </c>
      <c r="V778" s="228">
        <v>6042808.4000000004</v>
      </c>
      <c r="W778" s="230">
        <v>0.173832077778</v>
      </c>
      <c r="X778" s="228">
        <v>6042808.4000000004</v>
      </c>
      <c r="Y778" s="206" t="s">
        <v>69</v>
      </c>
      <c r="Z778" s="206" t="s">
        <v>46</v>
      </c>
      <c r="AA778" s="206">
        <v>2306153</v>
      </c>
      <c r="AB778" s="206" t="s">
        <v>126</v>
      </c>
      <c r="AC778" s="206" t="s">
        <v>56</v>
      </c>
      <c r="AD778" s="206" t="s">
        <v>77</v>
      </c>
      <c r="AE778" s="206">
        <v>0</v>
      </c>
      <c r="AF778" s="206" t="s">
        <v>119</v>
      </c>
      <c r="AG778" s="206" t="s">
        <v>120</v>
      </c>
      <c r="AH778" s="206" t="s">
        <v>121</v>
      </c>
      <c r="AI778" s="206" t="s">
        <v>69</v>
      </c>
      <c r="AJ778" s="206" t="s">
        <v>46</v>
      </c>
      <c r="AK778" s="206" t="s">
        <v>54</v>
      </c>
      <c r="AL778" s="206" t="s">
        <v>48</v>
      </c>
      <c r="AM778" s="206" t="s">
        <v>49</v>
      </c>
      <c r="AN778" s="243" t="str">
        <f>VLOOKUP(I778,Sheet1!A:D,4,)</f>
        <v>A320400</v>
      </c>
      <c r="AP778" s="36" t="s">
        <v>1110</v>
      </c>
    </row>
    <row r="779" spans="1:42" s="206" customFormat="1" x14ac:dyDescent="0.25">
      <c r="A779" s="226">
        <v>45809</v>
      </c>
      <c r="B779" s="206" t="s">
        <v>40</v>
      </c>
      <c r="C779" s="206" t="s">
        <v>41</v>
      </c>
      <c r="D779" s="221">
        <v>25708316</v>
      </c>
      <c r="E779" s="221">
        <v>25106698</v>
      </c>
      <c r="F779" s="221" t="s">
        <v>1112</v>
      </c>
      <c r="G779" s="227">
        <v>45828</v>
      </c>
      <c r="H779" s="206" t="s">
        <v>158</v>
      </c>
      <c r="I779" s="206" t="s">
        <v>441</v>
      </c>
      <c r="J779" s="206" t="s">
        <v>1113</v>
      </c>
      <c r="K779" s="228">
        <v>50</v>
      </c>
      <c r="L779" s="229" t="s">
        <v>42</v>
      </c>
      <c r="M779" s="228">
        <v>50</v>
      </c>
      <c r="N779" s="228">
        <v>3660653.43</v>
      </c>
      <c r="O779" s="228">
        <v>183032671.5</v>
      </c>
      <c r="P779" s="228">
        <v>183032671.5</v>
      </c>
      <c r="Q779" s="224">
        <v>0</v>
      </c>
      <c r="R779" s="224">
        <v>0</v>
      </c>
      <c r="S779" s="229" t="s">
        <v>43</v>
      </c>
      <c r="T779" s="228">
        <v>129128317</v>
      </c>
      <c r="U779" s="228">
        <v>129128317</v>
      </c>
      <c r="V779" s="228">
        <v>53904354.5</v>
      </c>
      <c r="W779" s="230">
        <v>0.29450673509899999</v>
      </c>
      <c r="X779" s="228">
        <v>53904354.5</v>
      </c>
      <c r="Y779" s="206" t="s">
        <v>69</v>
      </c>
      <c r="Z779" s="206" t="s">
        <v>46</v>
      </c>
      <c r="AA779" s="206">
        <v>2306495</v>
      </c>
      <c r="AB779" s="206" t="s">
        <v>161</v>
      </c>
      <c r="AC779" s="206" t="s">
        <v>56</v>
      </c>
      <c r="AD779" s="206" t="s">
        <v>77</v>
      </c>
      <c r="AE779" s="206">
        <v>0</v>
      </c>
      <c r="AF779" s="206" t="s">
        <v>72</v>
      </c>
      <c r="AG779" s="206" t="s">
        <v>69</v>
      </c>
      <c r="AH779" s="206" t="s">
        <v>46</v>
      </c>
      <c r="AI779" s="206" t="s">
        <v>69</v>
      </c>
      <c r="AJ779" s="206" t="s">
        <v>46</v>
      </c>
      <c r="AK779" s="206" t="s">
        <v>54</v>
      </c>
      <c r="AL779" s="206" t="s">
        <v>48</v>
      </c>
      <c r="AM779" s="206" t="s">
        <v>49</v>
      </c>
      <c r="AN779" s="243" t="str">
        <f>VLOOKUP(I779,Sheet1!A:D,4,)</f>
        <v>A320400</v>
      </c>
      <c r="AP779" s="36" t="s">
        <v>1119</v>
      </c>
    </row>
    <row r="780" spans="1:42" s="206" customFormat="1" x14ac:dyDescent="0.25">
      <c r="A780" s="226">
        <v>45809</v>
      </c>
      <c r="B780" s="206" t="s">
        <v>40</v>
      </c>
      <c r="C780" s="206" t="s">
        <v>41</v>
      </c>
      <c r="D780" s="221">
        <v>25708317</v>
      </c>
      <c r="E780" s="221">
        <v>25106792</v>
      </c>
      <c r="F780" s="221" t="s">
        <v>1114</v>
      </c>
      <c r="G780" s="227">
        <v>45828</v>
      </c>
      <c r="H780" s="206" t="s">
        <v>158</v>
      </c>
      <c r="I780" s="206" t="s">
        <v>441</v>
      </c>
      <c r="J780" s="206" t="s">
        <v>1113</v>
      </c>
      <c r="K780" s="228">
        <v>50</v>
      </c>
      <c r="L780" s="229" t="s">
        <v>42</v>
      </c>
      <c r="M780" s="228">
        <v>50</v>
      </c>
      <c r="N780" s="228">
        <v>3705183.66</v>
      </c>
      <c r="O780" s="228">
        <v>185259183</v>
      </c>
      <c r="P780" s="228">
        <v>185259183</v>
      </c>
      <c r="Q780" s="224">
        <v>0</v>
      </c>
      <c r="R780" s="224">
        <v>0</v>
      </c>
      <c r="S780" s="229" t="s">
        <v>43</v>
      </c>
      <c r="T780" s="228">
        <v>129128317</v>
      </c>
      <c r="U780" s="228">
        <v>129128317</v>
      </c>
      <c r="V780" s="228">
        <v>56130866</v>
      </c>
      <c r="W780" s="230">
        <v>0.30298560692600002</v>
      </c>
      <c r="X780" s="228">
        <v>56130866</v>
      </c>
      <c r="Y780" s="206" t="s">
        <v>69</v>
      </c>
      <c r="Z780" s="206" t="s">
        <v>46</v>
      </c>
      <c r="AA780" s="206">
        <v>2306495</v>
      </c>
      <c r="AB780" s="206" t="s">
        <v>161</v>
      </c>
      <c r="AC780" s="206" t="s">
        <v>56</v>
      </c>
      <c r="AD780" s="206" t="s">
        <v>77</v>
      </c>
      <c r="AE780" s="206">
        <v>0</v>
      </c>
      <c r="AF780" s="206" t="s">
        <v>72</v>
      </c>
      <c r="AG780" s="206" t="s">
        <v>69</v>
      </c>
      <c r="AH780" s="206" t="s">
        <v>46</v>
      </c>
      <c r="AI780" s="206" t="s">
        <v>69</v>
      </c>
      <c r="AJ780" s="206" t="s">
        <v>46</v>
      </c>
      <c r="AK780" s="206" t="s">
        <v>54</v>
      </c>
      <c r="AL780" s="206" t="s">
        <v>48</v>
      </c>
      <c r="AM780" s="206" t="s">
        <v>49</v>
      </c>
      <c r="AN780" s="243" t="str">
        <f>VLOOKUP(I780,Sheet1!A:D,4,)</f>
        <v>A320400</v>
      </c>
      <c r="AP780" s="36" t="s">
        <v>1119</v>
      </c>
    </row>
    <row r="781" spans="1:42" s="206" customFormat="1" x14ac:dyDescent="0.25">
      <c r="A781" s="226">
        <v>45809</v>
      </c>
      <c r="B781" s="206" t="s">
        <v>40</v>
      </c>
      <c r="C781" s="206" t="s">
        <v>41</v>
      </c>
      <c r="D781" s="221">
        <v>25708318</v>
      </c>
      <c r="E781" s="221">
        <v>25106638</v>
      </c>
      <c r="F781" s="221" t="s">
        <v>965</v>
      </c>
      <c r="G781" s="227">
        <v>45832</v>
      </c>
      <c r="H781" s="206" t="s">
        <v>126</v>
      </c>
      <c r="I781" s="206" t="s">
        <v>137</v>
      </c>
      <c r="J781" s="206" t="s">
        <v>138</v>
      </c>
      <c r="K781" s="228">
        <v>600</v>
      </c>
      <c r="L781" s="229" t="s">
        <v>42</v>
      </c>
      <c r="M781" s="228">
        <v>600</v>
      </c>
      <c r="N781" s="228">
        <v>768172.33</v>
      </c>
      <c r="O781" s="228">
        <v>460903398</v>
      </c>
      <c r="P781" s="228">
        <v>460903398</v>
      </c>
      <c r="Q781" s="224">
        <v>0</v>
      </c>
      <c r="R781" s="224">
        <v>0</v>
      </c>
      <c r="S781" s="229" t="s">
        <v>43</v>
      </c>
      <c r="T781" s="228">
        <v>231546589.74000001</v>
      </c>
      <c r="U781" s="228">
        <v>231546589.74000001</v>
      </c>
      <c r="V781" s="228">
        <v>229356808.25999999</v>
      </c>
      <c r="W781" s="230">
        <v>0.49762446806600003</v>
      </c>
      <c r="X781" s="228">
        <v>229356808.25999999</v>
      </c>
      <c r="Y781" s="206" t="s">
        <v>69</v>
      </c>
      <c r="Z781" s="206" t="s">
        <v>46</v>
      </c>
      <c r="AA781" s="206">
        <v>2306153</v>
      </c>
      <c r="AB781" s="206" t="s">
        <v>126</v>
      </c>
      <c r="AC781" s="206" t="s">
        <v>56</v>
      </c>
      <c r="AD781" s="206" t="s">
        <v>77</v>
      </c>
      <c r="AE781" s="206">
        <v>0</v>
      </c>
      <c r="AF781" s="206" t="s">
        <v>72</v>
      </c>
      <c r="AG781" s="206" t="s">
        <v>69</v>
      </c>
      <c r="AH781" s="206" t="s">
        <v>46</v>
      </c>
      <c r="AI781" s="206" t="s">
        <v>69</v>
      </c>
      <c r="AJ781" s="206" t="s">
        <v>46</v>
      </c>
      <c r="AK781" s="206" t="s">
        <v>54</v>
      </c>
      <c r="AL781" s="206" t="s">
        <v>48</v>
      </c>
      <c r="AM781" s="206" t="s">
        <v>49</v>
      </c>
      <c r="AN781" s="243" t="str">
        <f>VLOOKUP(I781,Sheet1!A:D,4,)</f>
        <v>A320400</v>
      </c>
      <c r="AP781" s="36" t="s">
        <v>1119</v>
      </c>
    </row>
    <row r="782" spans="1:42" s="206" customFormat="1" x14ac:dyDescent="0.25">
      <c r="A782" s="226">
        <v>45809</v>
      </c>
      <c r="B782" s="206" t="s">
        <v>40</v>
      </c>
      <c r="C782" s="206" t="s">
        <v>41</v>
      </c>
      <c r="D782" s="221">
        <v>25708319</v>
      </c>
      <c r="E782" s="221">
        <v>25106668</v>
      </c>
      <c r="F782" s="221" t="s">
        <v>998</v>
      </c>
      <c r="G782" s="227">
        <v>45832</v>
      </c>
      <c r="H782" s="206" t="s">
        <v>126</v>
      </c>
      <c r="I782" s="206" t="s">
        <v>134</v>
      </c>
      <c r="J782" s="206" t="s">
        <v>135</v>
      </c>
      <c r="K782" s="228">
        <v>600</v>
      </c>
      <c r="L782" s="229" t="s">
        <v>42</v>
      </c>
      <c r="M782" s="228">
        <v>600</v>
      </c>
      <c r="N782" s="228">
        <v>438698.67</v>
      </c>
      <c r="O782" s="228">
        <v>263219202</v>
      </c>
      <c r="P782" s="228">
        <v>263219202</v>
      </c>
      <c r="Q782" s="224">
        <v>0</v>
      </c>
      <c r="R782" s="224">
        <v>0</v>
      </c>
      <c r="S782" s="229" t="s">
        <v>43</v>
      </c>
      <c r="T782" s="228">
        <v>107756889.40000001</v>
      </c>
      <c r="U782" s="228">
        <v>107756889.40000001</v>
      </c>
      <c r="V782" s="228">
        <v>155462312.59999999</v>
      </c>
      <c r="W782" s="230">
        <v>0.59061919274399999</v>
      </c>
      <c r="X782" s="228">
        <v>155462312.59999999</v>
      </c>
      <c r="Y782" s="206" t="s">
        <v>69</v>
      </c>
      <c r="Z782" s="206" t="s">
        <v>46</v>
      </c>
      <c r="AA782" s="206">
        <v>2306153</v>
      </c>
      <c r="AB782" s="206" t="s">
        <v>126</v>
      </c>
      <c r="AC782" s="206" t="s">
        <v>56</v>
      </c>
      <c r="AD782" s="206" t="s">
        <v>77</v>
      </c>
      <c r="AE782" s="206">
        <v>0</v>
      </c>
      <c r="AF782" s="206" t="s">
        <v>68</v>
      </c>
      <c r="AG782" s="206" t="s">
        <v>71</v>
      </c>
      <c r="AH782" s="206" t="s">
        <v>53</v>
      </c>
      <c r="AI782" s="206" t="s">
        <v>69</v>
      </c>
      <c r="AJ782" s="206" t="s">
        <v>46</v>
      </c>
      <c r="AK782" s="206" t="s">
        <v>54</v>
      </c>
      <c r="AL782" s="206" t="s">
        <v>48</v>
      </c>
      <c r="AM782" s="206" t="s">
        <v>49</v>
      </c>
      <c r="AN782" s="243" t="str">
        <f>VLOOKUP(I782,Sheet1!A:D,4,)</f>
        <v>A320400</v>
      </c>
      <c r="AP782" s="36" t="s">
        <v>1119</v>
      </c>
    </row>
    <row r="783" spans="1:42" s="206" customFormat="1" x14ac:dyDescent="0.25">
      <c r="A783" s="226">
        <v>45809</v>
      </c>
      <c r="B783" s="206" t="s">
        <v>40</v>
      </c>
      <c r="C783" s="206" t="s">
        <v>41</v>
      </c>
      <c r="D783" s="221">
        <v>25708319</v>
      </c>
      <c r="E783" s="221">
        <v>25106668</v>
      </c>
      <c r="F783" s="221" t="s">
        <v>998</v>
      </c>
      <c r="G783" s="227">
        <v>45832</v>
      </c>
      <c r="H783" s="206" t="s">
        <v>126</v>
      </c>
      <c r="I783" s="206" t="s">
        <v>137</v>
      </c>
      <c r="J783" s="206" t="s">
        <v>138</v>
      </c>
      <c r="K783" s="228">
        <v>600</v>
      </c>
      <c r="L783" s="229" t="s">
        <v>42</v>
      </c>
      <c r="M783" s="228">
        <v>600</v>
      </c>
      <c r="N783" s="228">
        <v>768172.33</v>
      </c>
      <c r="O783" s="228">
        <v>460903398</v>
      </c>
      <c r="P783" s="228">
        <v>460903398</v>
      </c>
      <c r="Q783" s="224">
        <v>0</v>
      </c>
      <c r="R783" s="224">
        <v>0</v>
      </c>
      <c r="S783" s="229" t="s">
        <v>43</v>
      </c>
      <c r="T783" s="228">
        <v>231546589.74000001</v>
      </c>
      <c r="U783" s="228">
        <v>231546589.74000001</v>
      </c>
      <c r="V783" s="228">
        <v>229356808.25999999</v>
      </c>
      <c r="W783" s="230">
        <v>0.49762446806600003</v>
      </c>
      <c r="X783" s="228">
        <v>229356808.25999999</v>
      </c>
      <c r="Y783" s="206" t="s">
        <v>69</v>
      </c>
      <c r="Z783" s="206" t="s">
        <v>46</v>
      </c>
      <c r="AA783" s="206">
        <v>2306153</v>
      </c>
      <c r="AB783" s="206" t="s">
        <v>126</v>
      </c>
      <c r="AC783" s="206" t="s">
        <v>56</v>
      </c>
      <c r="AD783" s="206" t="s">
        <v>77</v>
      </c>
      <c r="AE783" s="206">
        <v>0</v>
      </c>
      <c r="AF783" s="206" t="s">
        <v>72</v>
      </c>
      <c r="AG783" s="206" t="s">
        <v>69</v>
      </c>
      <c r="AH783" s="206" t="s">
        <v>46</v>
      </c>
      <c r="AI783" s="206" t="s">
        <v>69</v>
      </c>
      <c r="AJ783" s="206" t="s">
        <v>46</v>
      </c>
      <c r="AK783" s="206" t="s">
        <v>54</v>
      </c>
      <c r="AL783" s="206" t="s">
        <v>48</v>
      </c>
      <c r="AM783" s="206" t="s">
        <v>49</v>
      </c>
      <c r="AN783" s="243" t="str">
        <f>VLOOKUP(I783,Sheet1!A:D,4,)</f>
        <v>A320400</v>
      </c>
      <c r="AP783" s="36" t="s">
        <v>1119</v>
      </c>
    </row>
    <row r="784" spans="1:42" s="206" customFormat="1" x14ac:dyDescent="0.25">
      <c r="A784" s="226">
        <v>45809</v>
      </c>
      <c r="B784" s="206" t="s">
        <v>40</v>
      </c>
      <c r="C784" s="206" t="s">
        <v>41</v>
      </c>
      <c r="D784" s="221">
        <v>25708320</v>
      </c>
      <c r="E784" s="221">
        <v>25106739</v>
      </c>
      <c r="F784" s="221" t="s">
        <v>1115</v>
      </c>
      <c r="G784" s="227">
        <v>45832</v>
      </c>
      <c r="H784" s="206" t="s">
        <v>126</v>
      </c>
      <c r="I784" s="206" t="s">
        <v>134</v>
      </c>
      <c r="J784" s="206" t="s">
        <v>135</v>
      </c>
      <c r="K784" s="228">
        <v>600</v>
      </c>
      <c r="L784" s="229" t="s">
        <v>42</v>
      </c>
      <c r="M784" s="228">
        <v>600</v>
      </c>
      <c r="N784" s="228">
        <v>438718.26</v>
      </c>
      <c r="O784" s="228">
        <v>263230956</v>
      </c>
      <c r="P784" s="228">
        <v>263230956</v>
      </c>
      <c r="Q784" s="224">
        <v>0</v>
      </c>
      <c r="R784" s="224">
        <v>0</v>
      </c>
      <c r="S784" s="229" t="s">
        <v>43</v>
      </c>
      <c r="T784" s="228">
        <v>107756889.40000001</v>
      </c>
      <c r="U784" s="228">
        <v>107756889.40000001</v>
      </c>
      <c r="V784" s="228">
        <v>155474066.59999999</v>
      </c>
      <c r="W784" s="230">
        <v>0.59063747274400002</v>
      </c>
      <c r="X784" s="228">
        <v>155474066.59999999</v>
      </c>
      <c r="Y784" s="206" t="s">
        <v>69</v>
      </c>
      <c r="Z784" s="206" t="s">
        <v>46</v>
      </c>
      <c r="AA784" s="206">
        <v>2306153</v>
      </c>
      <c r="AB784" s="206" t="s">
        <v>126</v>
      </c>
      <c r="AC784" s="206" t="s">
        <v>56</v>
      </c>
      <c r="AD784" s="206" t="s">
        <v>77</v>
      </c>
      <c r="AE784" s="206">
        <v>0</v>
      </c>
      <c r="AF784" s="206" t="s">
        <v>68</v>
      </c>
      <c r="AG784" s="206" t="s">
        <v>71</v>
      </c>
      <c r="AH784" s="206" t="s">
        <v>53</v>
      </c>
      <c r="AI784" s="206" t="s">
        <v>69</v>
      </c>
      <c r="AJ784" s="206" t="s">
        <v>46</v>
      </c>
      <c r="AK784" s="206" t="s">
        <v>54</v>
      </c>
      <c r="AL784" s="206" t="s">
        <v>48</v>
      </c>
      <c r="AM784" s="206" t="s">
        <v>49</v>
      </c>
      <c r="AN784" s="243" t="str">
        <f>VLOOKUP(I784,Sheet1!A:D,4,)</f>
        <v>A320400</v>
      </c>
      <c r="AP784" s="36" t="s">
        <v>1119</v>
      </c>
    </row>
    <row r="785" spans="1:42" s="206" customFormat="1" x14ac:dyDescent="0.25">
      <c r="A785" s="226">
        <v>45809</v>
      </c>
      <c r="B785" s="206" t="s">
        <v>40</v>
      </c>
      <c r="C785" s="206" t="s">
        <v>41</v>
      </c>
      <c r="D785" s="221">
        <v>25708321</v>
      </c>
      <c r="E785" s="221">
        <v>25106638</v>
      </c>
      <c r="F785" s="221" t="s">
        <v>965</v>
      </c>
      <c r="G785" s="227">
        <v>45833</v>
      </c>
      <c r="H785" s="206" t="s">
        <v>126</v>
      </c>
      <c r="I785" s="206" t="s">
        <v>134</v>
      </c>
      <c r="J785" s="206" t="s">
        <v>135</v>
      </c>
      <c r="K785" s="228">
        <v>400</v>
      </c>
      <c r="L785" s="229" t="s">
        <v>42</v>
      </c>
      <c r="M785" s="228">
        <v>400</v>
      </c>
      <c r="N785" s="228">
        <v>438698.67</v>
      </c>
      <c r="O785" s="228">
        <v>175479468</v>
      </c>
      <c r="P785" s="228">
        <v>175479468</v>
      </c>
      <c r="Q785" s="224">
        <v>0</v>
      </c>
      <c r="R785" s="224">
        <v>0</v>
      </c>
      <c r="S785" s="229" t="s">
        <v>43</v>
      </c>
      <c r="T785" s="228">
        <v>71837926.269999996</v>
      </c>
      <c r="U785" s="228">
        <v>71837926.269999996</v>
      </c>
      <c r="V785" s="228">
        <v>103641541.73</v>
      </c>
      <c r="W785" s="230">
        <v>0.59061919272499996</v>
      </c>
      <c r="X785" s="228">
        <v>103641541.73</v>
      </c>
      <c r="Y785" s="206" t="s">
        <v>69</v>
      </c>
      <c r="Z785" s="206" t="s">
        <v>46</v>
      </c>
      <c r="AA785" s="206">
        <v>2306153</v>
      </c>
      <c r="AB785" s="206" t="s">
        <v>126</v>
      </c>
      <c r="AC785" s="206" t="s">
        <v>56</v>
      </c>
      <c r="AD785" s="206" t="s">
        <v>77</v>
      </c>
      <c r="AE785" s="206">
        <v>0</v>
      </c>
      <c r="AF785" s="206" t="s">
        <v>68</v>
      </c>
      <c r="AG785" s="206" t="s">
        <v>71</v>
      </c>
      <c r="AH785" s="206" t="s">
        <v>53</v>
      </c>
      <c r="AI785" s="206" t="s">
        <v>69</v>
      </c>
      <c r="AJ785" s="206" t="s">
        <v>46</v>
      </c>
      <c r="AK785" s="206" t="s">
        <v>54</v>
      </c>
      <c r="AL785" s="206" t="s">
        <v>48</v>
      </c>
      <c r="AM785" s="206" t="s">
        <v>49</v>
      </c>
      <c r="AN785" s="243" t="str">
        <f>VLOOKUP(I785,Sheet1!A:D,4,)</f>
        <v>A320400</v>
      </c>
      <c r="AP785" s="36" t="s">
        <v>1119</v>
      </c>
    </row>
    <row r="786" spans="1:42" s="206" customFormat="1" x14ac:dyDescent="0.25">
      <c r="A786" s="226">
        <v>45809</v>
      </c>
      <c r="B786" s="206" t="s">
        <v>40</v>
      </c>
      <c r="C786" s="206" t="s">
        <v>41</v>
      </c>
      <c r="D786" s="221">
        <v>25708322</v>
      </c>
      <c r="E786" s="221">
        <v>25106685</v>
      </c>
      <c r="F786" s="221" t="s">
        <v>1061</v>
      </c>
      <c r="G786" s="227">
        <v>45833</v>
      </c>
      <c r="H786" s="206" t="s">
        <v>115</v>
      </c>
      <c r="I786" s="206" t="s">
        <v>146</v>
      </c>
      <c r="J786" s="206" t="s">
        <v>147</v>
      </c>
      <c r="K786" s="228">
        <v>16</v>
      </c>
      <c r="L786" s="229" t="s">
        <v>42</v>
      </c>
      <c r="M786" s="228">
        <v>16</v>
      </c>
      <c r="N786" s="228">
        <v>10906376.35</v>
      </c>
      <c r="O786" s="228">
        <v>174502021.59999999</v>
      </c>
      <c r="P786" s="228">
        <v>174502021.59999999</v>
      </c>
      <c r="Q786" s="224">
        <v>0</v>
      </c>
      <c r="R786" s="224">
        <v>0</v>
      </c>
      <c r="S786" s="229" t="s">
        <v>43</v>
      </c>
      <c r="T786" s="228">
        <v>111347193.84999999</v>
      </c>
      <c r="U786" s="228">
        <v>111347193.84999999</v>
      </c>
      <c r="V786" s="228">
        <v>63154827.75</v>
      </c>
      <c r="W786" s="230">
        <v>0.36191459085</v>
      </c>
      <c r="X786" s="228">
        <v>63154827.75</v>
      </c>
      <c r="Y786" s="206" t="s">
        <v>66</v>
      </c>
      <c r="Z786" s="206" t="s">
        <v>44</v>
      </c>
      <c r="AA786" s="206">
        <v>15159</v>
      </c>
      <c r="AB786" s="206" t="s">
        <v>118</v>
      </c>
      <c r="AC786" s="206" t="s">
        <v>154</v>
      </c>
      <c r="AD786" s="206" t="s">
        <v>155</v>
      </c>
      <c r="AE786" s="206">
        <v>0</v>
      </c>
      <c r="AF786" s="206" t="s">
        <v>68</v>
      </c>
      <c r="AG786" s="206" t="s">
        <v>69</v>
      </c>
      <c r="AH786" s="206" t="s">
        <v>46</v>
      </c>
      <c r="AI786" s="206" t="s">
        <v>69</v>
      </c>
      <c r="AJ786" s="206" t="s">
        <v>46</v>
      </c>
      <c r="AK786" s="206" t="s">
        <v>54</v>
      </c>
      <c r="AL786" s="206" t="s">
        <v>48</v>
      </c>
      <c r="AM786" s="206" t="s">
        <v>49</v>
      </c>
      <c r="AN786" s="243" t="str">
        <f>VLOOKUP(I786,Sheet1!A:D,4,)</f>
        <v>A320400</v>
      </c>
      <c r="AP786" s="36" t="s">
        <v>1119</v>
      </c>
    </row>
    <row r="787" spans="1:42" s="206" customFormat="1" x14ac:dyDescent="0.25">
      <c r="A787" s="226">
        <v>45809</v>
      </c>
      <c r="B787" s="206" t="s">
        <v>40</v>
      </c>
      <c r="C787" s="206" t="s">
        <v>41</v>
      </c>
      <c r="D787" s="221">
        <v>25708323</v>
      </c>
      <c r="E787" s="221">
        <v>25106738</v>
      </c>
      <c r="F787" s="221" t="s">
        <v>1116</v>
      </c>
      <c r="G787" s="227">
        <v>45833</v>
      </c>
      <c r="H787" s="206" t="s">
        <v>126</v>
      </c>
      <c r="I787" s="206" t="s">
        <v>134</v>
      </c>
      <c r="J787" s="206" t="s">
        <v>135</v>
      </c>
      <c r="K787" s="228">
        <v>600</v>
      </c>
      <c r="L787" s="229" t="s">
        <v>42</v>
      </c>
      <c r="M787" s="228">
        <v>600</v>
      </c>
      <c r="N787" s="228">
        <v>438718.26</v>
      </c>
      <c r="O787" s="228">
        <v>263230956</v>
      </c>
      <c r="P787" s="228">
        <v>263230956</v>
      </c>
      <c r="Q787" s="224">
        <v>0</v>
      </c>
      <c r="R787" s="224">
        <v>0</v>
      </c>
      <c r="S787" s="229" t="s">
        <v>43</v>
      </c>
      <c r="T787" s="228">
        <v>107756889.40000001</v>
      </c>
      <c r="U787" s="228">
        <v>107756889.40000001</v>
      </c>
      <c r="V787" s="228">
        <v>155474066.59999999</v>
      </c>
      <c r="W787" s="230">
        <v>0.59063747274400002</v>
      </c>
      <c r="X787" s="228">
        <v>155474066.59999999</v>
      </c>
      <c r="Y787" s="206" t="s">
        <v>69</v>
      </c>
      <c r="Z787" s="206" t="s">
        <v>46</v>
      </c>
      <c r="AA787" s="206">
        <v>2306153</v>
      </c>
      <c r="AB787" s="206" t="s">
        <v>126</v>
      </c>
      <c r="AC787" s="206" t="s">
        <v>56</v>
      </c>
      <c r="AD787" s="206" t="s">
        <v>77</v>
      </c>
      <c r="AE787" s="206">
        <v>0</v>
      </c>
      <c r="AF787" s="206" t="s">
        <v>68</v>
      </c>
      <c r="AG787" s="206" t="s">
        <v>71</v>
      </c>
      <c r="AH787" s="206" t="s">
        <v>53</v>
      </c>
      <c r="AI787" s="206" t="s">
        <v>69</v>
      </c>
      <c r="AJ787" s="206" t="s">
        <v>46</v>
      </c>
      <c r="AK787" s="206" t="s">
        <v>54</v>
      </c>
      <c r="AL787" s="206" t="s">
        <v>48</v>
      </c>
      <c r="AM787" s="206" t="s">
        <v>49</v>
      </c>
      <c r="AN787" s="243" t="str">
        <f>VLOOKUP(I787,Sheet1!A:D,4,)</f>
        <v>A320400</v>
      </c>
      <c r="AP787" s="36" t="s">
        <v>1119</v>
      </c>
    </row>
    <row r="788" spans="1:42" s="206" customFormat="1" x14ac:dyDescent="0.25">
      <c r="A788" s="226">
        <v>45809</v>
      </c>
      <c r="B788" s="206" t="s">
        <v>40</v>
      </c>
      <c r="C788" s="206" t="s">
        <v>41</v>
      </c>
      <c r="D788" s="221">
        <v>25708324</v>
      </c>
      <c r="E788" s="221">
        <v>25106739</v>
      </c>
      <c r="F788" s="221" t="s">
        <v>1115</v>
      </c>
      <c r="G788" s="227">
        <v>45833</v>
      </c>
      <c r="H788" s="206" t="s">
        <v>126</v>
      </c>
      <c r="I788" s="206" t="s">
        <v>134</v>
      </c>
      <c r="J788" s="206" t="s">
        <v>135</v>
      </c>
      <c r="K788" s="228">
        <v>600</v>
      </c>
      <c r="L788" s="229" t="s">
        <v>42</v>
      </c>
      <c r="M788" s="228">
        <v>600</v>
      </c>
      <c r="N788" s="228">
        <v>438718.26</v>
      </c>
      <c r="O788" s="228">
        <v>263230956</v>
      </c>
      <c r="P788" s="228">
        <v>263230956</v>
      </c>
      <c r="Q788" s="224">
        <v>0</v>
      </c>
      <c r="R788" s="224">
        <v>0</v>
      </c>
      <c r="S788" s="229" t="s">
        <v>43</v>
      </c>
      <c r="T788" s="228">
        <v>107756889.40000001</v>
      </c>
      <c r="U788" s="228">
        <v>107756889.40000001</v>
      </c>
      <c r="V788" s="228">
        <v>155474066.59999999</v>
      </c>
      <c r="W788" s="230">
        <v>0.59063747274400002</v>
      </c>
      <c r="X788" s="228">
        <v>155474066.59999999</v>
      </c>
      <c r="Y788" s="206" t="s">
        <v>69</v>
      </c>
      <c r="Z788" s="206" t="s">
        <v>46</v>
      </c>
      <c r="AA788" s="206">
        <v>2306153</v>
      </c>
      <c r="AB788" s="206" t="s">
        <v>126</v>
      </c>
      <c r="AC788" s="206" t="s">
        <v>56</v>
      </c>
      <c r="AD788" s="206" t="s">
        <v>77</v>
      </c>
      <c r="AE788" s="206">
        <v>0</v>
      </c>
      <c r="AF788" s="206" t="s">
        <v>68</v>
      </c>
      <c r="AG788" s="206" t="s">
        <v>71</v>
      </c>
      <c r="AH788" s="206" t="s">
        <v>53</v>
      </c>
      <c r="AI788" s="206" t="s">
        <v>69</v>
      </c>
      <c r="AJ788" s="206" t="s">
        <v>46</v>
      </c>
      <c r="AK788" s="206" t="s">
        <v>54</v>
      </c>
      <c r="AL788" s="206" t="s">
        <v>48</v>
      </c>
      <c r="AM788" s="206" t="s">
        <v>49</v>
      </c>
      <c r="AN788" s="243" t="str">
        <f>VLOOKUP(I788,Sheet1!A:D,4,)</f>
        <v>A320400</v>
      </c>
      <c r="AP788" s="36" t="s">
        <v>1119</v>
      </c>
    </row>
    <row r="789" spans="1:42" s="206" customFormat="1" x14ac:dyDescent="0.25">
      <c r="A789" s="226">
        <v>45809</v>
      </c>
      <c r="B789" s="206" t="s">
        <v>40</v>
      </c>
      <c r="C789" s="206" t="s">
        <v>41</v>
      </c>
      <c r="D789" s="221">
        <v>25708324</v>
      </c>
      <c r="E789" s="221">
        <v>25106739</v>
      </c>
      <c r="F789" s="221" t="s">
        <v>1115</v>
      </c>
      <c r="G789" s="227">
        <v>45833</v>
      </c>
      <c r="H789" s="206" t="s">
        <v>126</v>
      </c>
      <c r="I789" s="206" t="s">
        <v>137</v>
      </c>
      <c r="J789" s="206" t="s">
        <v>138</v>
      </c>
      <c r="K789" s="228">
        <v>600</v>
      </c>
      <c r="L789" s="229" t="s">
        <v>42</v>
      </c>
      <c r="M789" s="228">
        <v>600</v>
      </c>
      <c r="N789" s="228">
        <v>768206.62</v>
      </c>
      <c r="O789" s="228">
        <v>460923972</v>
      </c>
      <c r="P789" s="228">
        <v>460923972</v>
      </c>
      <c r="Q789" s="224">
        <v>0</v>
      </c>
      <c r="R789" s="224">
        <v>0</v>
      </c>
      <c r="S789" s="229" t="s">
        <v>43</v>
      </c>
      <c r="T789" s="228">
        <v>231546589.74000001</v>
      </c>
      <c r="U789" s="228">
        <v>231546589.74000001</v>
      </c>
      <c r="V789" s="228">
        <v>229377382.25999999</v>
      </c>
      <c r="W789" s="230">
        <v>0.49764689231600001</v>
      </c>
      <c r="X789" s="228">
        <v>229377382.25999999</v>
      </c>
      <c r="Y789" s="206" t="s">
        <v>69</v>
      </c>
      <c r="Z789" s="206" t="s">
        <v>46</v>
      </c>
      <c r="AA789" s="206">
        <v>2306153</v>
      </c>
      <c r="AB789" s="206" t="s">
        <v>126</v>
      </c>
      <c r="AC789" s="206" t="s">
        <v>56</v>
      </c>
      <c r="AD789" s="206" t="s">
        <v>77</v>
      </c>
      <c r="AE789" s="206">
        <v>0</v>
      </c>
      <c r="AF789" s="206" t="s">
        <v>72</v>
      </c>
      <c r="AG789" s="206" t="s">
        <v>69</v>
      </c>
      <c r="AH789" s="206" t="s">
        <v>46</v>
      </c>
      <c r="AI789" s="206" t="s">
        <v>69</v>
      </c>
      <c r="AJ789" s="206" t="s">
        <v>46</v>
      </c>
      <c r="AK789" s="206" t="s">
        <v>54</v>
      </c>
      <c r="AL789" s="206" t="s">
        <v>48</v>
      </c>
      <c r="AM789" s="206" t="s">
        <v>49</v>
      </c>
      <c r="AN789" s="243" t="str">
        <f>VLOOKUP(I789,Sheet1!A:D,4,)</f>
        <v>A320400</v>
      </c>
      <c r="AP789" s="36" t="s">
        <v>1119</v>
      </c>
    </row>
    <row r="790" spans="1:42" s="206" customFormat="1" x14ac:dyDescent="0.25">
      <c r="A790" s="226">
        <v>45809</v>
      </c>
      <c r="B790" s="206" t="s">
        <v>40</v>
      </c>
      <c r="C790" s="206" t="s">
        <v>41</v>
      </c>
      <c r="D790" s="221">
        <v>25708325</v>
      </c>
      <c r="E790" s="221">
        <v>25106752</v>
      </c>
      <c r="F790" s="221" t="s">
        <v>1067</v>
      </c>
      <c r="G790" s="227">
        <v>45833</v>
      </c>
      <c r="H790" s="206" t="s">
        <v>158</v>
      </c>
      <c r="I790" s="206" t="s">
        <v>159</v>
      </c>
      <c r="J790" s="206" t="s">
        <v>160</v>
      </c>
      <c r="K790" s="228">
        <v>10</v>
      </c>
      <c r="L790" s="229" t="s">
        <v>42</v>
      </c>
      <c r="M790" s="228">
        <v>10</v>
      </c>
      <c r="N790" s="228">
        <v>9844109.4399999995</v>
      </c>
      <c r="O790" s="228">
        <v>98441094.400000006</v>
      </c>
      <c r="P790" s="228">
        <v>98441094.400000006</v>
      </c>
      <c r="Q790" s="224">
        <v>0</v>
      </c>
      <c r="R790" s="224">
        <v>0</v>
      </c>
      <c r="S790" s="229" t="s">
        <v>43</v>
      </c>
      <c r="T790" s="228">
        <v>69575832.560000002</v>
      </c>
      <c r="U790" s="228">
        <v>69575832.560000002</v>
      </c>
      <c r="V790" s="228">
        <v>28865261.84</v>
      </c>
      <c r="W790" s="230">
        <v>0.29322369906500001</v>
      </c>
      <c r="X790" s="228">
        <v>28865261.84</v>
      </c>
      <c r="Y790" s="206" t="s">
        <v>69</v>
      </c>
      <c r="Z790" s="206" t="s">
        <v>46</v>
      </c>
      <c r="AA790" s="206">
        <v>2306495</v>
      </c>
      <c r="AB790" s="206" t="s">
        <v>161</v>
      </c>
      <c r="AC790" s="206" t="s">
        <v>56</v>
      </c>
      <c r="AD790" s="206" t="s">
        <v>77</v>
      </c>
      <c r="AE790" s="206">
        <v>0</v>
      </c>
      <c r="AF790" s="206" t="s">
        <v>68</v>
      </c>
      <c r="AG790" s="206" t="s">
        <v>142</v>
      </c>
      <c r="AH790" s="206" t="s">
        <v>143</v>
      </c>
      <c r="AI790" s="206" t="s">
        <v>69</v>
      </c>
      <c r="AJ790" s="206" t="s">
        <v>46</v>
      </c>
      <c r="AK790" s="206" t="s">
        <v>54</v>
      </c>
      <c r="AL790" s="206" t="s">
        <v>48</v>
      </c>
      <c r="AM790" s="206" t="s">
        <v>49</v>
      </c>
      <c r="AN790" s="243" t="str">
        <f>VLOOKUP(I790,Sheet1!A:D,4,)</f>
        <v>A320400</v>
      </c>
      <c r="AP790" s="36" t="s">
        <v>1119</v>
      </c>
    </row>
    <row r="791" spans="1:42" s="206" customFormat="1" x14ac:dyDescent="0.25">
      <c r="A791" s="226">
        <v>45809</v>
      </c>
      <c r="B791" s="206" t="s">
        <v>40</v>
      </c>
      <c r="C791" s="206" t="s">
        <v>41</v>
      </c>
      <c r="D791" s="221">
        <v>25708326</v>
      </c>
      <c r="E791" s="221">
        <v>25106773</v>
      </c>
      <c r="F791" s="221" t="s">
        <v>1117</v>
      </c>
      <c r="G791" s="227">
        <v>45833</v>
      </c>
      <c r="H791" s="206" t="s">
        <v>150</v>
      </c>
      <c r="I791" s="206" t="s">
        <v>134</v>
      </c>
      <c r="J791" s="206" t="s">
        <v>135</v>
      </c>
      <c r="K791" s="228">
        <v>200</v>
      </c>
      <c r="L791" s="229" t="s">
        <v>42</v>
      </c>
      <c r="M791" s="228">
        <v>200</v>
      </c>
      <c r="N791" s="228">
        <v>417479.36</v>
      </c>
      <c r="O791" s="228">
        <v>83495872</v>
      </c>
      <c r="P791" s="228">
        <v>83495872</v>
      </c>
      <c r="Q791" s="224">
        <v>0</v>
      </c>
      <c r="R791" s="224">
        <v>0</v>
      </c>
      <c r="S791" s="229" t="s">
        <v>43</v>
      </c>
      <c r="T791" s="228">
        <v>35918963.130000003</v>
      </c>
      <c r="U791" s="228">
        <v>35918963.130000003</v>
      </c>
      <c r="V791" s="228">
        <v>47576908.869999997</v>
      </c>
      <c r="W791" s="230">
        <v>0.56981150960299998</v>
      </c>
      <c r="X791" s="228">
        <v>47576908.869999997</v>
      </c>
      <c r="Y791" s="206" t="s">
        <v>69</v>
      </c>
      <c r="Z791" s="206" t="s">
        <v>46</v>
      </c>
      <c r="AA791" s="206">
        <v>2306392</v>
      </c>
      <c r="AB791" s="206" t="s">
        <v>153</v>
      </c>
      <c r="AC791" s="206" t="s">
        <v>154</v>
      </c>
      <c r="AD791" s="206" t="s">
        <v>155</v>
      </c>
      <c r="AE791" s="206">
        <v>0</v>
      </c>
      <c r="AF791" s="206" t="s">
        <v>68</v>
      </c>
      <c r="AG791" s="206" t="s">
        <v>71</v>
      </c>
      <c r="AH791" s="206" t="s">
        <v>53</v>
      </c>
      <c r="AI791" s="206" t="s">
        <v>69</v>
      </c>
      <c r="AJ791" s="206" t="s">
        <v>46</v>
      </c>
      <c r="AK791" s="206" t="s">
        <v>54</v>
      </c>
      <c r="AL791" s="206" t="s">
        <v>48</v>
      </c>
      <c r="AM791" s="206" t="s">
        <v>49</v>
      </c>
      <c r="AN791" s="243" t="str">
        <f>VLOOKUP(I791,Sheet1!A:D,4,)</f>
        <v>A320400</v>
      </c>
      <c r="AP791" s="36" t="s">
        <v>1119</v>
      </c>
    </row>
    <row r="792" spans="1:42" s="206" customFormat="1" x14ac:dyDescent="0.25">
      <c r="A792" s="226">
        <v>45809</v>
      </c>
      <c r="B792" s="206" t="s">
        <v>40</v>
      </c>
      <c r="C792" s="206" t="s">
        <v>41</v>
      </c>
      <c r="D792" s="221">
        <v>25708327</v>
      </c>
      <c r="E792" s="221">
        <v>25106815</v>
      </c>
      <c r="F792" s="221" t="s">
        <v>1118</v>
      </c>
      <c r="G792" s="227">
        <v>45833</v>
      </c>
      <c r="H792" s="206" t="s">
        <v>150</v>
      </c>
      <c r="I792" s="206" t="s">
        <v>146</v>
      </c>
      <c r="J792" s="206" t="s">
        <v>147</v>
      </c>
      <c r="K792" s="228">
        <v>10</v>
      </c>
      <c r="L792" s="229" t="s">
        <v>42</v>
      </c>
      <c r="M792" s="228">
        <v>10</v>
      </c>
      <c r="N792" s="228">
        <v>10007773.1</v>
      </c>
      <c r="O792" s="228">
        <v>100077731</v>
      </c>
      <c r="P792" s="228">
        <v>100077731</v>
      </c>
      <c r="Q792" s="224">
        <v>0</v>
      </c>
      <c r="R792" s="224">
        <v>0</v>
      </c>
      <c r="S792" s="229" t="s">
        <v>43</v>
      </c>
      <c r="T792" s="228">
        <v>69591996.159999996</v>
      </c>
      <c r="U792" s="228">
        <v>69591996.159999996</v>
      </c>
      <c r="V792" s="228">
        <v>30485734.84</v>
      </c>
      <c r="W792" s="230">
        <v>0.30462056378899999</v>
      </c>
      <c r="X792" s="228">
        <v>30485734.84</v>
      </c>
      <c r="Y792" s="206" t="s">
        <v>69</v>
      </c>
      <c r="Z792" s="206" t="s">
        <v>46</v>
      </c>
      <c r="AA792" s="206">
        <v>2306391</v>
      </c>
      <c r="AB792" s="206" t="s">
        <v>150</v>
      </c>
      <c r="AC792" s="206" t="s">
        <v>154</v>
      </c>
      <c r="AD792" s="206" t="s">
        <v>155</v>
      </c>
      <c r="AE792" s="206">
        <v>0</v>
      </c>
      <c r="AF792" s="206" t="s">
        <v>68</v>
      </c>
      <c r="AG792" s="206" t="s">
        <v>69</v>
      </c>
      <c r="AH792" s="206" t="s">
        <v>46</v>
      </c>
      <c r="AI792" s="206" t="s">
        <v>69</v>
      </c>
      <c r="AJ792" s="206" t="s">
        <v>46</v>
      </c>
      <c r="AK792" s="206" t="s">
        <v>54</v>
      </c>
      <c r="AL792" s="206" t="s">
        <v>48</v>
      </c>
      <c r="AM792" s="206" t="s">
        <v>49</v>
      </c>
      <c r="AN792" s="243" t="str">
        <f>VLOOKUP(I792,Sheet1!A:D,4,)</f>
        <v>A320400</v>
      </c>
      <c r="AP792" s="36" t="s">
        <v>1119</v>
      </c>
    </row>
    <row r="793" spans="1:42" s="206" customFormat="1" x14ac:dyDescent="0.25">
      <c r="A793" s="226">
        <v>45839</v>
      </c>
      <c r="B793" s="206" t="s">
        <v>40</v>
      </c>
      <c r="C793" s="206" t="s">
        <v>41</v>
      </c>
      <c r="D793" s="221">
        <v>25708330</v>
      </c>
      <c r="E793" s="221">
        <v>25106777</v>
      </c>
      <c r="F793" s="221" t="s">
        <v>1120</v>
      </c>
      <c r="G793" s="227">
        <v>45841</v>
      </c>
      <c r="H793" s="206" t="s">
        <v>126</v>
      </c>
      <c r="I793" s="206" t="s">
        <v>302</v>
      </c>
      <c r="J793" s="206" t="s">
        <v>1121</v>
      </c>
      <c r="K793" s="228">
        <v>20</v>
      </c>
      <c r="L793" s="229" t="s">
        <v>42</v>
      </c>
      <c r="M793" s="228">
        <v>20</v>
      </c>
      <c r="N793" s="228">
        <v>2668603.4500000002</v>
      </c>
      <c r="O793" s="228">
        <v>53372069</v>
      </c>
      <c r="P793" s="228">
        <v>53372069</v>
      </c>
      <c r="Q793" s="224">
        <v>0</v>
      </c>
      <c r="R793" s="224">
        <v>0</v>
      </c>
      <c r="S793" s="229" t="s">
        <v>43</v>
      </c>
      <c r="T793" s="228">
        <v>42680894.799999997</v>
      </c>
      <c r="U793" s="228">
        <v>42680894.799999997</v>
      </c>
      <c r="V793" s="228">
        <v>10691174.199999999</v>
      </c>
      <c r="W793" s="230">
        <v>0.200314029422</v>
      </c>
      <c r="X793" s="228">
        <v>10691174.199999999</v>
      </c>
      <c r="Y793" s="206" t="s">
        <v>69</v>
      </c>
      <c r="Z793" s="206" t="s">
        <v>46</v>
      </c>
      <c r="AA793" s="206">
        <v>2306153</v>
      </c>
      <c r="AB793" s="206" t="s">
        <v>126</v>
      </c>
      <c r="AC793" s="206" t="s">
        <v>56</v>
      </c>
      <c r="AD793" s="206" t="s">
        <v>77</v>
      </c>
      <c r="AE793" s="206">
        <v>0</v>
      </c>
      <c r="AF793" s="206" t="s">
        <v>72</v>
      </c>
      <c r="AG793" s="206" t="s">
        <v>69</v>
      </c>
      <c r="AH793" s="206" t="s">
        <v>46</v>
      </c>
      <c r="AI793" s="206" t="s">
        <v>69</v>
      </c>
      <c r="AJ793" s="206" t="s">
        <v>46</v>
      </c>
      <c r="AK793" s="206" t="s">
        <v>54</v>
      </c>
      <c r="AL793" s="206" t="s">
        <v>48</v>
      </c>
      <c r="AM793" s="206" t="s">
        <v>49</v>
      </c>
      <c r="AN793" s="243" t="str">
        <f>VLOOKUP(I793,Sheet1!A:D,4,)</f>
        <v>A320400</v>
      </c>
      <c r="AP793" s="4" t="s">
        <v>1122</v>
      </c>
    </row>
    <row r="794" spans="1:42" s="206" customFormat="1" x14ac:dyDescent="0.25">
      <c r="A794" s="226">
        <v>45839</v>
      </c>
      <c r="B794" s="206" t="s">
        <v>40</v>
      </c>
      <c r="C794" s="206" t="s">
        <v>41</v>
      </c>
      <c r="D794" s="221">
        <v>25708331</v>
      </c>
      <c r="E794" s="221">
        <v>25106577</v>
      </c>
      <c r="F794" s="221" t="s">
        <v>848</v>
      </c>
      <c r="G794" s="227">
        <v>45839</v>
      </c>
      <c r="H794" s="206" t="s">
        <v>126</v>
      </c>
      <c r="I794" s="206" t="s">
        <v>406</v>
      </c>
      <c r="J794" s="206" t="s">
        <v>935</v>
      </c>
      <c r="K794" s="228">
        <v>3</v>
      </c>
      <c r="L794" s="229" t="s">
        <v>42</v>
      </c>
      <c r="M794" s="228">
        <v>3</v>
      </c>
      <c r="N794" s="228">
        <v>2392791.2799999998</v>
      </c>
      <c r="O794" s="228">
        <v>7178373.8399999999</v>
      </c>
      <c r="P794" s="228">
        <v>7178373.8399999999</v>
      </c>
      <c r="Q794" s="224">
        <v>0</v>
      </c>
      <c r="R794" s="224">
        <v>0</v>
      </c>
      <c r="S794" s="229" t="s">
        <v>43</v>
      </c>
      <c r="T794" s="228">
        <v>4037995.02</v>
      </c>
      <c r="U794" s="228">
        <v>4037995.02</v>
      </c>
      <c r="V794" s="228">
        <v>3140378.82</v>
      </c>
      <c r="W794" s="230">
        <v>0.43747774774499998</v>
      </c>
      <c r="X794" s="228">
        <v>3140378.82</v>
      </c>
      <c r="Y794" s="206" t="s">
        <v>69</v>
      </c>
      <c r="Z794" s="206" t="s">
        <v>46</v>
      </c>
      <c r="AA794" s="206">
        <v>2306153</v>
      </c>
      <c r="AB794" s="206" t="s">
        <v>126</v>
      </c>
      <c r="AC794" s="206" t="s">
        <v>56</v>
      </c>
      <c r="AD794" s="206" t="s">
        <v>77</v>
      </c>
      <c r="AE794" s="206">
        <v>0</v>
      </c>
      <c r="AF794" s="206" t="s">
        <v>124</v>
      </c>
      <c r="AG794" s="206" t="s">
        <v>131</v>
      </c>
      <c r="AH794" s="206" t="s">
        <v>132</v>
      </c>
      <c r="AI794" s="206" t="s">
        <v>69</v>
      </c>
      <c r="AJ794" s="206" t="s">
        <v>46</v>
      </c>
      <c r="AK794" s="206" t="s">
        <v>54</v>
      </c>
      <c r="AL794" s="206" t="s">
        <v>48</v>
      </c>
      <c r="AM794" s="206" t="s">
        <v>49</v>
      </c>
      <c r="AN794" s="243" t="str">
        <f>VLOOKUP(I794,Sheet1!A:D,4,)</f>
        <v>A320400</v>
      </c>
      <c r="AP794" s="4" t="s">
        <v>1125</v>
      </c>
    </row>
    <row r="795" spans="1:42" s="206" customFormat="1" x14ac:dyDescent="0.25">
      <c r="A795" s="226">
        <v>45839</v>
      </c>
      <c r="B795" s="206" t="s">
        <v>40</v>
      </c>
      <c r="C795" s="206" t="s">
        <v>41</v>
      </c>
      <c r="D795" s="221">
        <v>25708332</v>
      </c>
      <c r="E795" s="221">
        <v>25106638</v>
      </c>
      <c r="F795" s="221" t="s">
        <v>965</v>
      </c>
      <c r="G795" s="227">
        <v>45839</v>
      </c>
      <c r="H795" s="206" t="s">
        <v>126</v>
      </c>
      <c r="I795" s="206" t="s">
        <v>177</v>
      </c>
      <c r="J795" s="206" t="s">
        <v>178</v>
      </c>
      <c r="K795" s="228">
        <v>120</v>
      </c>
      <c r="L795" s="229" t="s">
        <v>42</v>
      </c>
      <c r="M795" s="228">
        <v>120</v>
      </c>
      <c r="N795" s="228">
        <v>868567.78</v>
      </c>
      <c r="O795" s="228">
        <v>104228133.59999999</v>
      </c>
      <c r="P795" s="228">
        <v>104228133.59999999</v>
      </c>
      <c r="Q795" s="224">
        <v>0</v>
      </c>
      <c r="R795" s="224">
        <v>0</v>
      </c>
      <c r="S795" s="229" t="s">
        <v>43</v>
      </c>
      <c r="T795" s="228">
        <v>49409712.899999999</v>
      </c>
      <c r="U795" s="228">
        <v>49409712.899999999</v>
      </c>
      <c r="V795" s="228">
        <v>54818420.700000003</v>
      </c>
      <c r="W795" s="230">
        <v>0.52594648687000001</v>
      </c>
      <c r="X795" s="228">
        <v>54818420.700000003</v>
      </c>
      <c r="Y795" s="206" t="s">
        <v>69</v>
      </c>
      <c r="Z795" s="206" t="s">
        <v>46</v>
      </c>
      <c r="AA795" s="206">
        <v>2306153</v>
      </c>
      <c r="AB795" s="206" t="s">
        <v>126</v>
      </c>
      <c r="AC795" s="206" t="s">
        <v>56</v>
      </c>
      <c r="AD795" s="206" t="s">
        <v>77</v>
      </c>
      <c r="AE795" s="206">
        <v>0</v>
      </c>
      <c r="AF795" s="206" t="s">
        <v>72</v>
      </c>
      <c r="AG795" s="206" t="s">
        <v>69</v>
      </c>
      <c r="AH795" s="206" t="s">
        <v>46</v>
      </c>
      <c r="AI795" s="206" t="s">
        <v>69</v>
      </c>
      <c r="AJ795" s="206" t="s">
        <v>46</v>
      </c>
      <c r="AK795" s="206" t="s">
        <v>54</v>
      </c>
      <c r="AL795" s="206" t="s">
        <v>48</v>
      </c>
      <c r="AM795" s="206" t="s">
        <v>49</v>
      </c>
      <c r="AN795" s="243" t="str">
        <f>VLOOKUP(I795,Sheet1!A:D,4,)</f>
        <v>A320400</v>
      </c>
      <c r="AP795" s="4" t="s">
        <v>1125</v>
      </c>
    </row>
    <row r="796" spans="1:42" s="206" customFormat="1" x14ac:dyDescent="0.25">
      <c r="A796" s="226">
        <v>45839</v>
      </c>
      <c r="B796" s="206" t="s">
        <v>40</v>
      </c>
      <c r="C796" s="206" t="s">
        <v>41</v>
      </c>
      <c r="D796" s="221">
        <v>25708333</v>
      </c>
      <c r="E796" s="221">
        <v>25106677</v>
      </c>
      <c r="F796" s="221" t="s">
        <v>1000</v>
      </c>
      <c r="G796" s="227">
        <v>45839</v>
      </c>
      <c r="H796" s="206" t="s">
        <v>126</v>
      </c>
      <c r="I796" s="206" t="s">
        <v>420</v>
      </c>
      <c r="J796" s="206" t="s">
        <v>779</v>
      </c>
      <c r="K796" s="228">
        <v>20</v>
      </c>
      <c r="L796" s="229" t="s">
        <v>42</v>
      </c>
      <c r="M796" s="228">
        <v>20</v>
      </c>
      <c r="N796" s="228">
        <v>2831035.19</v>
      </c>
      <c r="O796" s="228">
        <v>56620703.799999997</v>
      </c>
      <c r="P796" s="228">
        <v>56620703.799999997</v>
      </c>
      <c r="Q796" s="224">
        <v>0</v>
      </c>
      <c r="R796" s="224">
        <v>0</v>
      </c>
      <c r="S796" s="229" t="s">
        <v>43</v>
      </c>
      <c r="T796" s="228">
        <v>44298919.289999999</v>
      </c>
      <c r="U796" s="228">
        <v>44298919.289999999</v>
      </c>
      <c r="V796" s="228">
        <v>12321784.51</v>
      </c>
      <c r="W796" s="230">
        <v>0.21761976950199999</v>
      </c>
      <c r="X796" s="228">
        <v>12321784.51</v>
      </c>
      <c r="Y796" s="206" t="s">
        <v>69</v>
      </c>
      <c r="Z796" s="206" t="s">
        <v>46</v>
      </c>
      <c r="AA796" s="206">
        <v>2306153</v>
      </c>
      <c r="AB796" s="206" t="s">
        <v>126</v>
      </c>
      <c r="AC796" s="206" t="s">
        <v>56</v>
      </c>
      <c r="AD796" s="206" t="s">
        <v>77</v>
      </c>
      <c r="AE796" s="206">
        <v>0</v>
      </c>
      <c r="AF796" s="206" t="s">
        <v>780</v>
      </c>
      <c r="AG796" s="206" t="s">
        <v>69</v>
      </c>
      <c r="AH796" s="206" t="s">
        <v>46</v>
      </c>
      <c r="AI796" s="206" t="s">
        <v>69</v>
      </c>
      <c r="AJ796" s="206" t="s">
        <v>46</v>
      </c>
      <c r="AK796" s="206" t="s">
        <v>54</v>
      </c>
      <c r="AL796" s="206" t="s">
        <v>48</v>
      </c>
      <c r="AM796" s="206" t="s">
        <v>49</v>
      </c>
      <c r="AN796" s="243" t="str">
        <f>VLOOKUP(I796,Sheet1!A:D,4,)</f>
        <v>A320400</v>
      </c>
      <c r="AP796" s="4" t="s">
        <v>1125</v>
      </c>
    </row>
    <row r="797" spans="1:42" s="206" customFormat="1" x14ac:dyDescent="0.25">
      <c r="A797" s="226">
        <v>45839</v>
      </c>
      <c r="B797" s="206" t="s">
        <v>40</v>
      </c>
      <c r="C797" s="206" t="s">
        <v>41</v>
      </c>
      <c r="D797" s="221">
        <v>25708334</v>
      </c>
      <c r="E797" s="221">
        <v>25106582</v>
      </c>
      <c r="F797" s="221" t="s">
        <v>1123</v>
      </c>
      <c r="G797" s="227">
        <v>45839</v>
      </c>
      <c r="H797" s="206" t="s">
        <v>115</v>
      </c>
      <c r="I797" s="206" t="s">
        <v>394</v>
      </c>
      <c r="J797" s="206" t="s">
        <v>1124</v>
      </c>
      <c r="K797" s="228">
        <v>18000</v>
      </c>
      <c r="L797" s="229" t="s">
        <v>42</v>
      </c>
      <c r="M797" s="228">
        <v>18000</v>
      </c>
      <c r="N797" s="228">
        <v>83721.23</v>
      </c>
      <c r="O797" s="228">
        <v>1506982140</v>
      </c>
      <c r="P797" s="228">
        <v>1506982140</v>
      </c>
      <c r="Q797" s="224">
        <v>0</v>
      </c>
      <c r="R797" s="224">
        <v>0</v>
      </c>
      <c r="S797" s="229" t="s">
        <v>43</v>
      </c>
      <c r="T797" s="228">
        <v>1120563612</v>
      </c>
      <c r="U797" s="228">
        <v>1120563612</v>
      </c>
      <c r="V797" s="228">
        <v>386418528</v>
      </c>
      <c r="W797" s="230">
        <v>0.25641878410000002</v>
      </c>
      <c r="X797" s="228">
        <v>386418528</v>
      </c>
      <c r="Y797" s="206" t="s">
        <v>66</v>
      </c>
      <c r="Z797" s="206" t="s">
        <v>44</v>
      </c>
      <c r="AA797" s="206">
        <v>15159</v>
      </c>
      <c r="AB797" s="206" t="s">
        <v>118</v>
      </c>
      <c r="AC797" s="206" t="s">
        <v>154</v>
      </c>
      <c r="AD797" s="206" t="s">
        <v>155</v>
      </c>
      <c r="AE797" s="206">
        <v>0</v>
      </c>
      <c r="AF797" s="206" t="s">
        <v>68</v>
      </c>
      <c r="AG797" s="206" t="s">
        <v>71</v>
      </c>
      <c r="AH797" s="206" t="s">
        <v>53</v>
      </c>
      <c r="AI797" s="206" t="s">
        <v>69</v>
      </c>
      <c r="AJ797" s="206" t="s">
        <v>46</v>
      </c>
      <c r="AK797" s="206" t="s">
        <v>54</v>
      </c>
      <c r="AL797" s="206" t="s">
        <v>48</v>
      </c>
      <c r="AM797" s="206" t="s">
        <v>49</v>
      </c>
      <c r="AN797" s="243" t="str">
        <f>VLOOKUP(I797,Sheet1!A:D,4,)</f>
        <v>A320400</v>
      </c>
      <c r="AP797" s="4" t="s">
        <v>1125</v>
      </c>
    </row>
    <row r="798" spans="1:42" s="206" customFormat="1" x14ac:dyDescent="0.25">
      <c r="A798" s="226">
        <v>45839</v>
      </c>
      <c r="B798" s="206" t="s">
        <v>40</v>
      </c>
      <c r="C798" s="206" t="s">
        <v>41</v>
      </c>
      <c r="D798" s="221">
        <v>25708335</v>
      </c>
      <c r="E798" s="221">
        <v>25106783</v>
      </c>
      <c r="F798" s="221" t="s">
        <v>1126</v>
      </c>
      <c r="G798" s="227">
        <v>45841</v>
      </c>
      <c r="H798" s="206" t="s">
        <v>158</v>
      </c>
      <c r="I798" s="206" t="s">
        <v>272</v>
      </c>
      <c r="J798" s="206" t="s">
        <v>789</v>
      </c>
      <c r="K798" s="228">
        <v>80</v>
      </c>
      <c r="L798" s="229" t="s">
        <v>42</v>
      </c>
      <c r="M798" s="228">
        <v>80</v>
      </c>
      <c r="N798" s="228">
        <v>328940.3</v>
      </c>
      <c r="O798" s="228">
        <v>26315224</v>
      </c>
      <c r="P798" s="228">
        <v>26315224</v>
      </c>
      <c r="Q798" s="224">
        <v>0</v>
      </c>
      <c r="R798" s="224">
        <v>0</v>
      </c>
      <c r="S798" s="229" t="s">
        <v>43</v>
      </c>
      <c r="T798" s="228">
        <v>13975437.880000001</v>
      </c>
      <c r="U798" s="228">
        <v>13975437.880000001</v>
      </c>
      <c r="V798" s="228">
        <v>12339786.119999999</v>
      </c>
      <c r="W798" s="230">
        <v>0.46892194875400001</v>
      </c>
      <c r="X798" s="228">
        <v>12339786.119999999</v>
      </c>
      <c r="Y798" s="206" t="s">
        <v>69</v>
      </c>
      <c r="Z798" s="206" t="s">
        <v>46</v>
      </c>
      <c r="AA798" s="206">
        <v>2306495</v>
      </c>
      <c r="AB798" s="206" t="s">
        <v>161</v>
      </c>
      <c r="AC798" s="206" t="s">
        <v>56</v>
      </c>
      <c r="AD798" s="206" t="s">
        <v>77</v>
      </c>
      <c r="AE798" s="206">
        <v>0</v>
      </c>
      <c r="AF798" s="206" t="s">
        <v>124</v>
      </c>
      <c r="AG798" s="206" t="s">
        <v>81</v>
      </c>
      <c r="AH798" s="206" t="s">
        <v>57</v>
      </c>
      <c r="AI798" s="206" t="s">
        <v>69</v>
      </c>
      <c r="AJ798" s="206" t="s">
        <v>46</v>
      </c>
      <c r="AK798" s="206" t="s">
        <v>54</v>
      </c>
      <c r="AL798" s="206" t="s">
        <v>48</v>
      </c>
      <c r="AM798" s="206" t="s">
        <v>49</v>
      </c>
      <c r="AN798" s="243" t="str">
        <f>VLOOKUP(I798,Sheet1!A:D,4,)</f>
        <v>A320400</v>
      </c>
      <c r="AP798" s="4" t="s">
        <v>1130</v>
      </c>
    </row>
    <row r="799" spans="1:42" s="206" customFormat="1" x14ac:dyDescent="0.25">
      <c r="A799" s="226">
        <v>45839</v>
      </c>
      <c r="B799" s="206" t="s">
        <v>40</v>
      </c>
      <c r="C799" s="206" t="s">
        <v>41</v>
      </c>
      <c r="D799" s="221">
        <v>25708335</v>
      </c>
      <c r="E799" s="221">
        <v>25106783</v>
      </c>
      <c r="F799" s="221" t="s">
        <v>1126</v>
      </c>
      <c r="G799" s="227">
        <v>45841</v>
      </c>
      <c r="H799" s="206" t="s">
        <v>158</v>
      </c>
      <c r="I799" s="206" t="s">
        <v>184</v>
      </c>
      <c r="J799" s="206" t="s">
        <v>185</v>
      </c>
      <c r="K799" s="228">
        <v>25</v>
      </c>
      <c r="L799" s="229" t="s">
        <v>42</v>
      </c>
      <c r="M799" s="228">
        <v>25</v>
      </c>
      <c r="N799" s="228">
        <v>595537.80000000005</v>
      </c>
      <c r="O799" s="228">
        <v>14888445</v>
      </c>
      <c r="P799" s="228">
        <v>14888445</v>
      </c>
      <c r="Q799" s="224">
        <v>0</v>
      </c>
      <c r="R799" s="224">
        <v>0</v>
      </c>
      <c r="S799" s="229" t="s">
        <v>43</v>
      </c>
      <c r="T799" s="228">
        <v>8702099.8100000005</v>
      </c>
      <c r="U799" s="228">
        <v>8702099.8100000005</v>
      </c>
      <c r="V799" s="228">
        <v>6186345.1900000004</v>
      </c>
      <c r="W799" s="230">
        <v>0.41551318421700001</v>
      </c>
      <c r="X799" s="228">
        <v>6186345.1900000004</v>
      </c>
      <c r="Y799" s="206" t="s">
        <v>69</v>
      </c>
      <c r="Z799" s="206" t="s">
        <v>46</v>
      </c>
      <c r="AA799" s="206">
        <v>2306495</v>
      </c>
      <c r="AB799" s="206" t="s">
        <v>161</v>
      </c>
      <c r="AC799" s="206" t="s">
        <v>56</v>
      </c>
      <c r="AD799" s="206" t="s">
        <v>77</v>
      </c>
      <c r="AE799" s="206">
        <v>0</v>
      </c>
      <c r="AF799" s="206" t="s">
        <v>72</v>
      </c>
      <c r="AG799" s="206" t="s">
        <v>69</v>
      </c>
      <c r="AH799" s="206" t="s">
        <v>46</v>
      </c>
      <c r="AI799" s="206" t="s">
        <v>69</v>
      </c>
      <c r="AJ799" s="206" t="s">
        <v>46</v>
      </c>
      <c r="AK799" s="206" t="s">
        <v>54</v>
      </c>
      <c r="AL799" s="206" t="s">
        <v>48</v>
      </c>
      <c r="AM799" s="206" t="s">
        <v>49</v>
      </c>
      <c r="AN799" s="243" t="str">
        <f>VLOOKUP(I799,Sheet1!A:D,4,)</f>
        <v>A320400</v>
      </c>
      <c r="AP799" s="4" t="s">
        <v>1130</v>
      </c>
    </row>
    <row r="800" spans="1:42" s="206" customFormat="1" x14ac:dyDescent="0.25">
      <c r="A800" s="226">
        <v>45839</v>
      </c>
      <c r="B800" s="206" t="s">
        <v>40</v>
      </c>
      <c r="C800" s="206" t="s">
        <v>41</v>
      </c>
      <c r="D800" s="221">
        <v>25708336</v>
      </c>
      <c r="E800" s="221">
        <v>24106443</v>
      </c>
      <c r="F800" s="221" t="s">
        <v>720</v>
      </c>
      <c r="G800" s="227">
        <v>45841</v>
      </c>
      <c r="H800" s="206" t="s">
        <v>126</v>
      </c>
      <c r="I800" s="206" t="s">
        <v>127</v>
      </c>
      <c r="J800" s="206" t="s">
        <v>128</v>
      </c>
      <c r="K800" s="228">
        <v>100</v>
      </c>
      <c r="L800" s="229" t="s">
        <v>42</v>
      </c>
      <c r="M800" s="228">
        <v>100</v>
      </c>
      <c r="N800" s="228">
        <v>674291.19999999995</v>
      </c>
      <c r="O800" s="228">
        <v>67429120</v>
      </c>
      <c r="P800" s="228">
        <v>67429120</v>
      </c>
      <c r="Q800" s="224">
        <v>0</v>
      </c>
      <c r="R800" s="224">
        <v>0</v>
      </c>
      <c r="S800" s="229" t="s">
        <v>43</v>
      </c>
      <c r="T800" s="228">
        <v>50955240</v>
      </c>
      <c r="U800" s="228">
        <v>50955240</v>
      </c>
      <c r="V800" s="228">
        <v>16473880</v>
      </c>
      <c r="W800" s="230">
        <v>0.24431402930900001</v>
      </c>
      <c r="X800" s="228">
        <v>16473880</v>
      </c>
      <c r="Y800" s="206" t="s">
        <v>69</v>
      </c>
      <c r="Z800" s="206" t="s">
        <v>46</v>
      </c>
      <c r="AA800" s="206">
        <v>2306153</v>
      </c>
      <c r="AB800" s="206" t="s">
        <v>126</v>
      </c>
      <c r="AC800" s="206" t="s">
        <v>56</v>
      </c>
      <c r="AD800" s="206" t="s">
        <v>77</v>
      </c>
      <c r="AE800" s="206">
        <v>0</v>
      </c>
      <c r="AF800" s="206" t="s">
        <v>124</v>
      </c>
      <c r="AG800" s="206" t="s">
        <v>81</v>
      </c>
      <c r="AH800" s="206" t="s">
        <v>57</v>
      </c>
      <c r="AI800" s="206" t="s">
        <v>69</v>
      </c>
      <c r="AJ800" s="206" t="s">
        <v>46</v>
      </c>
      <c r="AK800" s="206" t="s">
        <v>54</v>
      </c>
      <c r="AL800" s="206" t="s">
        <v>48</v>
      </c>
      <c r="AM800" s="206" t="s">
        <v>49</v>
      </c>
      <c r="AN800" s="243" t="str">
        <f>VLOOKUP(I800,Sheet1!A:D,4,)</f>
        <v>A320400</v>
      </c>
      <c r="AP800" s="4" t="s">
        <v>1130</v>
      </c>
    </row>
    <row r="801" spans="1:42" s="206" customFormat="1" x14ac:dyDescent="0.25">
      <c r="A801" s="226">
        <v>45839</v>
      </c>
      <c r="B801" s="206" t="s">
        <v>40</v>
      </c>
      <c r="C801" s="206" t="s">
        <v>41</v>
      </c>
      <c r="D801" s="221">
        <v>25708337</v>
      </c>
      <c r="E801" s="221">
        <v>25106551</v>
      </c>
      <c r="F801" s="221" t="s">
        <v>930</v>
      </c>
      <c r="G801" s="227">
        <v>45841</v>
      </c>
      <c r="H801" s="206" t="s">
        <v>126</v>
      </c>
      <c r="I801" s="206" t="s">
        <v>127</v>
      </c>
      <c r="J801" s="206" t="s">
        <v>128</v>
      </c>
      <c r="K801" s="228">
        <v>100</v>
      </c>
      <c r="L801" s="229" t="s">
        <v>42</v>
      </c>
      <c r="M801" s="228">
        <v>100</v>
      </c>
      <c r="N801" s="228">
        <v>735046.75</v>
      </c>
      <c r="O801" s="228">
        <v>73504675</v>
      </c>
      <c r="P801" s="228">
        <v>73504675</v>
      </c>
      <c r="Q801" s="224">
        <v>0</v>
      </c>
      <c r="R801" s="224">
        <v>0</v>
      </c>
      <c r="S801" s="229" t="s">
        <v>43</v>
      </c>
      <c r="T801" s="228">
        <v>50955240</v>
      </c>
      <c r="U801" s="228">
        <v>50955240</v>
      </c>
      <c r="V801" s="228">
        <v>22549435</v>
      </c>
      <c r="W801" s="230">
        <v>0.30677552141999997</v>
      </c>
      <c r="X801" s="228">
        <v>22549435</v>
      </c>
      <c r="Y801" s="206" t="s">
        <v>69</v>
      </c>
      <c r="Z801" s="206" t="s">
        <v>46</v>
      </c>
      <c r="AA801" s="206">
        <v>2306153</v>
      </c>
      <c r="AB801" s="206" t="s">
        <v>126</v>
      </c>
      <c r="AC801" s="206" t="s">
        <v>56</v>
      </c>
      <c r="AD801" s="206" t="s">
        <v>77</v>
      </c>
      <c r="AE801" s="206">
        <v>0</v>
      </c>
      <c r="AF801" s="206" t="s">
        <v>124</v>
      </c>
      <c r="AG801" s="206" t="s">
        <v>81</v>
      </c>
      <c r="AH801" s="206" t="s">
        <v>57</v>
      </c>
      <c r="AI801" s="206" t="s">
        <v>69</v>
      </c>
      <c r="AJ801" s="206" t="s">
        <v>46</v>
      </c>
      <c r="AK801" s="206" t="s">
        <v>54</v>
      </c>
      <c r="AL801" s="206" t="s">
        <v>48</v>
      </c>
      <c r="AM801" s="206" t="s">
        <v>49</v>
      </c>
      <c r="AN801" s="243" t="str">
        <f>VLOOKUP(I801,Sheet1!A:D,4,)</f>
        <v>A320400</v>
      </c>
      <c r="AP801" s="4" t="s">
        <v>1130</v>
      </c>
    </row>
    <row r="802" spans="1:42" s="206" customFormat="1" x14ac:dyDescent="0.25">
      <c r="A802" s="226">
        <v>45839</v>
      </c>
      <c r="B802" s="206" t="s">
        <v>40</v>
      </c>
      <c r="C802" s="206" t="s">
        <v>41</v>
      </c>
      <c r="D802" s="221">
        <v>25708338</v>
      </c>
      <c r="E802" s="221">
        <v>25106577</v>
      </c>
      <c r="F802" s="221" t="s">
        <v>848</v>
      </c>
      <c r="G802" s="227">
        <v>45841</v>
      </c>
      <c r="H802" s="206" t="s">
        <v>126</v>
      </c>
      <c r="I802" s="206" t="s">
        <v>127</v>
      </c>
      <c r="J802" s="206" t="s">
        <v>128</v>
      </c>
      <c r="K802" s="228">
        <v>76.305000000000007</v>
      </c>
      <c r="L802" s="229" t="s">
        <v>42</v>
      </c>
      <c r="M802" s="228">
        <v>76.305000000000007</v>
      </c>
      <c r="N802" s="228">
        <v>735046.75</v>
      </c>
      <c r="O802" s="228">
        <v>56087742.259999998</v>
      </c>
      <c r="P802" s="228">
        <v>56087742.259999998</v>
      </c>
      <c r="Q802" s="224">
        <v>0</v>
      </c>
      <c r="R802" s="224">
        <v>0</v>
      </c>
      <c r="S802" s="229" t="s">
        <v>43</v>
      </c>
      <c r="T802" s="228">
        <v>38881395.880000003</v>
      </c>
      <c r="U802" s="228">
        <v>38881395.880000003</v>
      </c>
      <c r="V802" s="228">
        <v>17206346.379999999</v>
      </c>
      <c r="W802" s="230">
        <v>0.30677552147199999</v>
      </c>
      <c r="X802" s="228">
        <v>17206346.379999999</v>
      </c>
      <c r="Y802" s="206" t="s">
        <v>69</v>
      </c>
      <c r="Z802" s="206" t="s">
        <v>46</v>
      </c>
      <c r="AA802" s="206">
        <v>2306153</v>
      </c>
      <c r="AB802" s="206" t="s">
        <v>126</v>
      </c>
      <c r="AC802" s="206" t="s">
        <v>56</v>
      </c>
      <c r="AD802" s="206" t="s">
        <v>77</v>
      </c>
      <c r="AE802" s="206">
        <v>0</v>
      </c>
      <c r="AF802" s="206" t="s">
        <v>124</v>
      </c>
      <c r="AG802" s="206" t="s">
        <v>81</v>
      </c>
      <c r="AH802" s="206" t="s">
        <v>57</v>
      </c>
      <c r="AI802" s="206" t="s">
        <v>69</v>
      </c>
      <c r="AJ802" s="206" t="s">
        <v>46</v>
      </c>
      <c r="AK802" s="206" t="s">
        <v>54</v>
      </c>
      <c r="AL802" s="206" t="s">
        <v>48</v>
      </c>
      <c r="AM802" s="206" t="s">
        <v>49</v>
      </c>
      <c r="AN802" s="243" t="str">
        <f>VLOOKUP(I802,Sheet1!A:D,4,)</f>
        <v>A320400</v>
      </c>
      <c r="AP802" s="4" t="s">
        <v>1130</v>
      </c>
    </row>
    <row r="803" spans="1:42" s="206" customFormat="1" x14ac:dyDescent="0.25">
      <c r="A803" s="226">
        <v>45839</v>
      </c>
      <c r="B803" s="206" t="s">
        <v>40</v>
      </c>
      <c r="C803" s="206" t="s">
        <v>41</v>
      </c>
      <c r="D803" s="221">
        <v>25708339</v>
      </c>
      <c r="E803" s="221">
        <v>25106584</v>
      </c>
      <c r="F803" s="221" t="s">
        <v>978</v>
      </c>
      <c r="G803" s="227">
        <v>45841</v>
      </c>
      <c r="H803" s="206" t="s">
        <v>115</v>
      </c>
      <c r="I803" s="206" t="s">
        <v>127</v>
      </c>
      <c r="J803" s="206" t="s">
        <v>128</v>
      </c>
      <c r="K803" s="228">
        <v>100</v>
      </c>
      <c r="L803" s="229" t="s">
        <v>42</v>
      </c>
      <c r="M803" s="228">
        <v>100</v>
      </c>
      <c r="N803" s="228">
        <v>735046.75</v>
      </c>
      <c r="O803" s="228">
        <v>73504675</v>
      </c>
      <c r="P803" s="228">
        <v>73504675</v>
      </c>
      <c r="Q803" s="224">
        <v>0</v>
      </c>
      <c r="R803" s="224">
        <v>0</v>
      </c>
      <c r="S803" s="229" t="s">
        <v>43</v>
      </c>
      <c r="T803" s="228">
        <v>50955240</v>
      </c>
      <c r="U803" s="228">
        <v>50955240</v>
      </c>
      <c r="V803" s="228">
        <v>22549435</v>
      </c>
      <c r="W803" s="230">
        <v>0.30677552141999997</v>
      </c>
      <c r="X803" s="228">
        <v>22549435</v>
      </c>
      <c r="Y803" s="206" t="s">
        <v>66</v>
      </c>
      <c r="Z803" s="206" t="s">
        <v>44</v>
      </c>
      <c r="AA803" s="206">
        <v>15159</v>
      </c>
      <c r="AB803" s="206" t="s">
        <v>118</v>
      </c>
      <c r="AC803" s="206" t="s">
        <v>154</v>
      </c>
      <c r="AD803" s="206" t="s">
        <v>155</v>
      </c>
      <c r="AE803" s="206">
        <v>0</v>
      </c>
      <c r="AF803" s="206" t="s">
        <v>124</v>
      </c>
      <c r="AG803" s="206" t="s">
        <v>81</v>
      </c>
      <c r="AH803" s="206" t="s">
        <v>57</v>
      </c>
      <c r="AI803" s="206" t="s">
        <v>69</v>
      </c>
      <c r="AJ803" s="206" t="s">
        <v>46</v>
      </c>
      <c r="AK803" s="206" t="s">
        <v>54</v>
      </c>
      <c r="AL803" s="206" t="s">
        <v>48</v>
      </c>
      <c r="AM803" s="206" t="s">
        <v>49</v>
      </c>
      <c r="AN803" s="243" t="str">
        <f>VLOOKUP(I803,Sheet1!A:D,4,)</f>
        <v>A320400</v>
      </c>
      <c r="AP803" s="4" t="s">
        <v>1130</v>
      </c>
    </row>
    <row r="804" spans="1:42" s="206" customFormat="1" x14ac:dyDescent="0.25">
      <c r="A804" s="226">
        <v>45839</v>
      </c>
      <c r="B804" s="206" t="s">
        <v>40</v>
      </c>
      <c r="C804" s="206" t="s">
        <v>41</v>
      </c>
      <c r="D804" s="221">
        <v>25708347</v>
      </c>
      <c r="E804" s="221">
        <v>25106768</v>
      </c>
      <c r="F804" s="221" t="s">
        <v>1133</v>
      </c>
      <c r="G804" s="227">
        <v>45843</v>
      </c>
      <c r="H804" s="206" t="s">
        <v>115</v>
      </c>
      <c r="I804" s="206" t="s">
        <v>464</v>
      </c>
      <c r="J804" s="206" t="s">
        <v>1134</v>
      </c>
      <c r="K804" s="228">
        <v>40</v>
      </c>
      <c r="L804" s="229" t="s">
        <v>42</v>
      </c>
      <c r="M804" s="228">
        <v>40</v>
      </c>
      <c r="N804" s="228">
        <v>1063975</v>
      </c>
      <c r="O804" s="228">
        <v>42559000</v>
      </c>
      <c r="P804" s="228">
        <v>42559000</v>
      </c>
      <c r="Q804" s="224">
        <v>0</v>
      </c>
      <c r="R804" s="224">
        <v>0</v>
      </c>
      <c r="S804" s="229" t="s">
        <v>43</v>
      </c>
      <c r="T804" s="228">
        <v>33888333.600000001</v>
      </c>
      <c r="U804" s="228">
        <v>33888333.600000001</v>
      </c>
      <c r="V804" s="228">
        <v>8670666.4000000004</v>
      </c>
      <c r="W804" s="230">
        <v>0.20373285086500001</v>
      </c>
      <c r="X804" s="228">
        <v>8670666.4000000004</v>
      </c>
      <c r="Y804" s="206" t="s">
        <v>66</v>
      </c>
      <c r="Z804" s="206" t="s">
        <v>44</v>
      </c>
      <c r="AA804" s="206">
        <v>15159</v>
      </c>
      <c r="AB804" s="206" t="s">
        <v>118</v>
      </c>
      <c r="AC804" s="206" t="s">
        <v>154</v>
      </c>
      <c r="AD804" s="206" t="s">
        <v>155</v>
      </c>
      <c r="AE804" s="206">
        <v>0</v>
      </c>
      <c r="AF804" s="206" t="s">
        <v>68</v>
      </c>
      <c r="AG804" s="206" t="s">
        <v>69</v>
      </c>
      <c r="AH804" s="206" t="s">
        <v>46</v>
      </c>
      <c r="AI804" s="206" t="s">
        <v>69</v>
      </c>
      <c r="AJ804" s="206" t="s">
        <v>46</v>
      </c>
      <c r="AK804" s="206" t="s">
        <v>54</v>
      </c>
      <c r="AL804" s="206" t="s">
        <v>48</v>
      </c>
      <c r="AM804" s="206" t="s">
        <v>49</v>
      </c>
      <c r="AN804" s="243" t="str">
        <f>VLOOKUP(I804,Sheet1!A:D,4,)</f>
        <v>A320400</v>
      </c>
      <c r="AP804" s="4" t="s">
        <v>1142</v>
      </c>
    </row>
    <row r="805" spans="1:42" s="206" customFormat="1" x14ac:dyDescent="0.25">
      <c r="A805" s="226">
        <v>45839</v>
      </c>
      <c r="B805" s="206" t="s">
        <v>40</v>
      </c>
      <c r="C805" s="206" t="s">
        <v>41</v>
      </c>
      <c r="D805" s="221">
        <v>25708356</v>
      </c>
      <c r="E805" s="221">
        <v>25106777</v>
      </c>
      <c r="F805" s="221" t="s">
        <v>1120</v>
      </c>
      <c r="G805" s="227">
        <v>45852</v>
      </c>
      <c r="H805" s="206" t="s">
        <v>126</v>
      </c>
      <c r="I805" s="206" t="s">
        <v>291</v>
      </c>
      <c r="J805" s="206" t="s">
        <v>875</v>
      </c>
      <c r="K805" s="228">
        <v>8</v>
      </c>
      <c r="L805" s="229" t="s">
        <v>42</v>
      </c>
      <c r="M805" s="228">
        <v>8</v>
      </c>
      <c r="N805" s="228">
        <v>1180249.99</v>
      </c>
      <c r="O805" s="228">
        <v>9441999.9199999999</v>
      </c>
      <c r="P805" s="228">
        <v>9441999.9199999999</v>
      </c>
      <c r="Q805" s="224">
        <v>0</v>
      </c>
      <c r="R805" s="224">
        <v>0</v>
      </c>
      <c r="S805" s="229" t="s">
        <v>43</v>
      </c>
      <c r="T805" s="228">
        <v>5316564.96</v>
      </c>
      <c r="U805" s="228">
        <v>5316564.96</v>
      </c>
      <c r="V805" s="228">
        <v>4125434.96</v>
      </c>
      <c r="W805" s="230">
        <v>0.436923850344</v>
      </c>
      <c r="X805" s="228">
        <v>4125434.96</v>
      </c>
      <c r="Y805" s="206" t="s">
        <v>69</v>
      </c>
      <c r="Z805" s="206" t="s">
        <v>46</v>
      </c>
      <c r="AA805" s="206">
        <v>2306153</v>
      </c>
      <c r="AB805" s="206" t="s">
        <v>126</v>
      </c>
      <c r="AC805" s="206" t="s">
        <v>56</v>
      </c>
      <c r="AD805" s="206" t="s">
        <v>77</v>
      </c>
      <c r="AE805" s="206">
        <v>0</v>
      </c>
      <c r="AF805" s="206" t="s">
        <v>72</v>
      </c>
      <c r="AG805" s="206" t="s">
        <v>69</v>
      </c>
      <c r="AH805" s="206" t="s">
        <v>46</v>
      </c>
      <c r="AI805" s="206" t="s">
        <v>69</v>
      </c>
      <c r="AJ805" s="206" t="s">
        <v>46</v>
      </c>
      <c r="AK805" s="206" t="s">
        <v>54</v>
      </c>
      <c r="AL805" s="206" t="s">
        <v>48</v>
      </c>
      <c r="AM805" s="206" t="s">
        <v>49</v>
      </c>
      <c r="AN805" s="243" t="str">
        <f>VLOOKUP(I805,Sheet1!A:D,4,)</f>
        <v>A320400</v>
      </c>
      <c r="AP805" s="4" t="s">
        <v>1151</v>
      </c>
    </row>
    <row r="806" spans="1:42" s="206" customFormat="1" x14ac:dyDescent="0.25">
      <c r="A806" s="226">
        <v>45839</v>
      </c>
      <c r="B806" s="206" t="s">
        <v>40</v>
      </c>
      <c r="C806" s="206" t="s">
        <v>41</v>
      </c>
      <c r="D806" s="221">
        <v>25708357</v>
      </c>
      <c r="E806" s="221">
        <v>25106820</v>
      </c>
      <c r="F806" s="221" t="s">
        <v>1149</v>
      </c>
      <c r="G806" s="227">
        <v>45852</v>
      </c>
      <c r="H806" s="206" t="s">
        <v>158</v>
      </c>
      <c r="I806" s="206" t="s">
        <v>146</v>
      </c>
      <c r="J806" s="206" t="s">
        <v>147</v>
      </c>
      <c r="K806" s="228">
        <v>1</v>
      </c>
      <c r="L806" s="229" t="s">
        <v>42</v>
      </c>
      <c r="M806" s="228">
        <v>1</v>
      </c>
      <c r="N806" s="228">
        <v>10525278</v>
      </c>
      <c r="O806" s="228">
        <v>10525278</v>
      </c>
      <c r="P806" s="228">
        <v>10525278</v>
      </c>
      <c r="Q806" s="224">
        <v>0</v>
      </c>
      <c r="R806" s="224">
        <v>0</v>
      </c>
      <c r="S806" s="229" t="s">
        <v>43</v>
      </c>
      <c r="T806" s="228">
        <v>6881637.4100000001</v>
      </c>
      <c r="U806" s="228">
        <v>6881637.4100000001</v>
      </c>
      <c r="V806" s="228">
        <v>3643640.59</v>
      </c>
      <c r="W806" s="230">
        <v>0.34617998593400001</v>
      </c>
      <c r="X806" s="228">
        <v>3643640.59</v>
      </c>
      <c r="Y806" s="206" t="s">
        <v>69</v>
      </c>
      <c r="Z806" s="206" t="s">
        <v>46</v>
      </c>
      <c r="AA806" s="206">
        <v>2306495</v>
      </c>
      <c r="AB806" s="206" t="s">
        <v>161</v>
      </c>
      <c r="AC806" s="206" t="s">
        <v>56</v>
      </c>
      <c r="AD806" s="206" t="s">
        <v>77</v>
      </c>
      <c r="AE806" s="206">
        <v>0</v>
      </c>
      <c r="AF806" s="206" t="s">
        <v>68</v>
      </c>
      <c r="AG806" s="206" t="s">
        <v>69</v>
      </c>
      <c r="AH806" s="206" t="s">
        <v>46</v>
      </c>
      <c r="AI806" s="206" t="s">
        <v>69</v>
      </c>
      <c r="AJ806" s="206" t="s">
        <v>46</v>
      </c>
      <c r="AK806" s="206" t="s">
        <v>54</v>
      </c>
      <c r="AL806" s="206" t="s">
        <v>48</v>
      </c>
      <c r="AM806" s="206" t="s">
        <v>49</v>
      </c>
      <c r="AN806" s="243" t="str">
        <f>VLOOKUP(I806,Sheet1!A:D,4,)</f>
        <v>A320400</v>
      </c>
      <c r="AP806" s="4" t="s">
        <v>1151</v>
      </c>
    </row>
    <row r="807" spans="1:42" s="206" customFormat="1" x14ac:dyDescent="0.25">
      <c r="A807" s="226">
        <v>45839</v>
      </c>
      <c r="B807" s="206" t="s">
        <v>40</v>
      </c>
      <c r="C807" s="206" t="s">
        <v>41</v>
      </c>
      <c r="D807" s="221">
        <v>25708358</v>
      </c>
      <c r="E807" s="221">
        <v>25106767</v>
      </c>
      <c r="F807" s="221" t="s">
        <v>1150</v>
      </c>
      <c r="G807" s="227">
        <v>45852</v>
      </c>
      <c r="H807" s="206" t="s">
        <v>158</v>
      </c>
      <c r="I807" s="206" t="s">
        <v>291</v>
      </c>
      <c r="J807" s="206" t="s">
        <v>875</v>
      </c>
      <c r="K807" s="228">
        <v>32</v>
      </c>
      <c r="L807" s="229" t="s">
        <v>42</v>
      </c>
      <c r="M807" s="228">
        <v>32</v>
      </c>
      <c r="N807" s="228">
        <v>1170568.1000000001</v>
      </c>
      <c r="O807" s="228">
        <v>37458179.200000003</v>
      </c>
      <c r="P807" s="228">
        <v>37458179.200000003</v>
      </c>
      <c r="Q807" s="224">
        <v>0</v>
      </c>
      <c r="R807" s="224">
        <v>0</v>
      </c>
      <c r="S807" s="229" t="s">
        <v>43</v>
      </c>
      <c r="T807" s="228">
        <v>21266259.84</v>
      </c>
      <c r="U807" s="228">
        <v>21266259.84</v>
      </c>
      <c r="V807" s="228">
        <v>16191919.359999999</v>
      </c>
      <c r="W807" s="230">
        <v>0.43226658918799998</v>
      </c>
      <c r="X807" s="228">
        <v>16191919.359999999</v>
      </c>
      <c r="Y807" s="206" t="s">
        <v>69</v>
      </c>
      <c r="Z807" s="206" t="s">
        <v>46</v>
      </c>
      <c r="AA807" s="206">
        <v>2306495</v>
      </c>
      <c r="AB807" s="206" t="s">
        <v>161</v>
      </c>
      <c r="AC807" s="206" t="s">
        <v>56</v>
      </c>
      <c r="AD807" s="206" t="s">
        <v>77</v>
      </c>
      <c r="AE807" s="206">
        <v>0</v>
      </c>
      <c r="AF807" s="206" t="s">
        <v>72</v>
      </c>
      <c r="AG807" s="206" t="s">
        <v>69</v>
      </c>
      <c r="AH807" s="206" t="s">
        <v>46</v>
      </c>
      <c r="AI807" s="206" t="s">
        <v>69</v>
      </c>
      <c r="AJ807" s="206" t="s">
        <v>46</v>
      </c>
      <c r="AK807" s="206" t="s">
        <v>54</v>
      </c>
      <c r="AL807" s="206" t="s">
        <v>48</v>
      </c>
      <c r="AM807" s="206" t="s">
        <v>49</v>
      </c>
      <c r="AN807" s="243" t="str">
        <f>VLOOKUP(I807,Sheet1!A:D,4,)</f>
        <v>A320400</v>
      </c>
      <c r="AP807" s="4" t="s">
        <v>1151</v>
      </c>
    </row>
    <row r="808" spans="1:42" s="206" customFormat="1" x14ac:dyDescent="0.25">
      <c r="A808" s="226">
        <v>45839</v>
      </c>
      <c r="B808" s="206" t="s">
        <v>40</v>
      </c>
      <c r="C808" s="206" t="s">
        <v>41</v>
      </c>
      <c r="D808" s="221">
        <v>25708361</v>
      </c>
      <c r="E808" s="221">
        <v>25106845</v>
      </c>
      <c r="F808" s="221" t="s">
        <v>1153</v>
      </c>
      <c r="G808" s="227">
        <v>45852</v>
      </c>
      <c r="H808" s="206" t="s">
        <v>158</v>
      </c>
      <c r="I808" s="206" t="s">
        <v>272</v>
      </c>
      <c r="J808" s="206" t="s">
        <v>789</v>
      </c>
      <c r="K808" s="228">
        <v>80</v>
      </c>
      <c r="L808" s="229" t="s">
        <v>42</v>
      </c>
      <c r="M808" s="228">
        <v>80</v>
      </c>
      <c r="N808" s="228">
        <v>326734.8</v>
      </c>
      <c r="O808" s="228">
        <v>26138784</v>
      </c>
      <c r="P808" s="228">
        <v>26138784</v>
      </c>
      <c r="Q808" s="224">
        <v>0</v>
      </c>
      <c r="R808" s="224">
        <v>0</v>
      </c>
      <c r="S808" s="229" t="s">
        <v>43</v>
      </c>
      <c r="T808" s="228">
        <v>13975437.880000001</v>
      </c>
      <c r="U808" s="228">
        <v>13975437.880000001</v>
      </c>
      <c r="V808" s="228">
        <v>12163346.119999999</v>
      </c>
      <c r="W808" s="230">
        <v>0.46533710672900003</v>
      </c>
      <c r="X808" s="228">
        <v>12163346.119999999</v>
      </c>
      <c r="Y808" s="206" t="s">
        <v>69</v>
      </c>
      <c r="Z808" s="206" t="s">
        <v>46</v>
      </c>
      <c r="AA808" s="206">
        <v>2306495</v>
      </c>
      <c r="AB808" s="206" t="s">
        <v>161</v>
      </c>
      <c r="AC808" s="206" t="s">
        <v>56</v>
      </c>
      <c r="AD808" s="206" t="s">
        <v>77</v>
      </c>
      <c r="AE808" s="206">
        <v>0</v>
      </c>
      <c r="AF808" s="206" t="s">
        <v>124</v>
      </c>
      <c r="AG808" s="206" t="s">
        <v>81</v>
      </c>
      <c r="AH808" s="206" t="s">
        <v>57</v>
      </c>
      <c r="AI808" s="206" t="s">
        <v>69</v>
      </c>
      <c r="AJ808" s="206" t="s">
        <v>46</v>
      </c>
      <c r="AK808" s="206" t="s">
        <v>54</v>
      </c>
      <c r="AL808" s="206" t="s">
        <v>48</v>
      </c>
      <c r="AM808" s="206" t="s">
        <v>49</v>
      </c>
      <c r="AN808" s="243" t="str">
        <f>VLOOKUP(I808,Sheet1!A:D,4,)</f>
        <v>A320400</v>
      </c>
      <c r="AP808" s="4" t="s">
        <v>1154</v>
      </c>
    </row>
    <row r="809" spans="1:42" s="206" customFormat="1" x14ac:dyDescent="0.25">
      <c r="A809" s="226">
        <v>45839</v>
      </c>
      <c r="B809" s="206" t="s">
        <v>40</v>
      </c>
      <c r="C809" s="206" t="s">
        <v>41</v>
      </c>
      <c r="D809" s="221">
        <v>25708361</v>
      </c>
      <c r="E809" s="221">
        <v>25106845</v>
      </c>
      <c r="F809" s="221" t="s">
        <v>1153</v>
      </c>
      <c r="G809" s="227">
        <v>45852</v>
      </c>
      <c r="H809" s="206" t="s">
        <v>158</v>
      </c>
      <c r="I809" s="206" t="s">
        <v>184</v>
      </c>
      <c r="J809" s="206" t="s">
        <v>185</v>
      </c>
      <c r="K809" s="228">
        <v>75</v>
      </c>
      <c r="L809" s="229" t="s">
        <v>42</v>
      </c>
      <c r="M809" s="228">
        <v>75</v>
      </c>
      <c r="N809" s="228">
        <v>591544.80000000005</v>
      </c>
      <c r="O809" s="228">
        <v>44365860</v>
      </c>
      <c r="P809" s="228">
        <v>44365860</v>
      </c>
      <c r="Q809" s="224">
        <v>0</v>
      </c>
      <c r="R809" s="224">
        <v>0</v>
      </c>
      <c r="S809" s="229" t="s">
        <v>43</v>
      </c>
      <c r="T809" s="228">
        <v>26106299.43</v>
      </c>
      <c r="U809" s="228">
        <v>26106299.43</v>
      </c>
      <c r="V809" s="228">
        <v>18259560.57</v>
      </c>
      <c r="W809" s="230">
        <v>0.41156782647700002</v>
      </c>
      <c r="X809" s="228">
        <v>18259560.57</v>
      </c>
      <c r="Y809" s="206" t="s">
        <v>69</v>
      </c>
      <c r="Z809" s="206" t="s">
        <v>46</v>
      </c>
      <c r="AA809" s="206">
        <v>2306495</v>
      </c>
      <c r="AB809" s="206" t="s">
        <v>161</v>
      </c>
      <c r="AC809" s="206" t="s">
        <v>56</v>
      </c>
      <c r="AD809" s="206" t="s">
        <v>77</v>
      </c>
      <c r="AE809" s="206">
        <v>0</v>
      </c>
      <c r="AF809" s="206" t="s">
        <v>72</v>
      </c>
      <c r="AG809" s="206" t="s">
        <v>69</v>
      </c>
      <c r="AH809" s="206" t="s">
        <v>46</v>
      </c>
      <c r="AI809" s="206" t="s">
        <v>69</v>
      </c>
      <c r="AJ809" s="206" t="s">
        <v>46</v>
      </c>
      <c r="AK809" s="206" t="s">
        <v>54</v>
      </c>
      <c r="AL809" s="206" t="s">
        <v>48</v>
      </c>
      <c r="AM809" s="206" t="s">
        <v>49</v>
      </c>
      <c r="AN809" s="243" t="str">
        <f>VLOOKUP(I809,Sheet1!A:D,4,)</f>
        <v>A320400</v>
      </c>
      <c r="AP809" s="4" t="s">
        <v>1154</v>
      </c>
    </row>
    <row r="810" spans="1:42" s="206" customFormat="1" x14ac:dyDescent="0.25">
      <c r="A810" s="226">
        <v>45839</v>
      </c>
      <c r="B810" s="206" t="s">
        <v>40</v>
      </c>
      <c r="C810" s="206" t="s">
        <v>41</v>
      </c>
      <c r="D810" s="221">
        <v>25708374</v>
      </c>
      <c r="E810" s="221">
        <v>25106777</v>
      </c>
      <c r="F810" s="221" t="s">
        <v>1120</v>
      </c>
      <c r="G810" s="227">
        <v>45860</v>
      </c>
      <c r="H810" s="206" t="s">
        <v>126</v>
      </c>
      <c r="I810" s="206" t="s">
        <v>140</v>
      </c>
      <c r="J810" s="206" t="s">
        <v>141</v>
      </c>
      <c r="K810" s="228">
        <v>40</v>
      </c>
      <c r="L810" s="229" t="s">
        <v>42</v>
      </c>
      <c r="M810" s="228">
        <v>40</v>
      </c>
      <c r="N810" s="228">
        <v>545365.02</v>
      </c>
      <c r="O810" s="228">
        <v>21814600.800000001</v>
      </c>
      <c r="P810" s="228">
        <v>21814600.800000001</v>
      </c>
      <c r="Q810" s="224">
        <v>0</v>
      </c>
      <c r="R810" s="224">
        <v>0</v>
      </c>
      <c r="S810" s="229" t="s">
        <v>43</v>
      </c>
      <c r="T810" s="228">
        <v>9135762.0099999998</v>
      </c>
      <c r="U810" s="228">
        <v>9135762.0099999998</v>
      </c>
      <c r="V810" s="228">
        <v>12678838.789999999</v>
      </c>
      <c r="W810" s="230">
        <v>0.58120883834799997</v>
      </c>
      <c r="X810" s="228">
        <v>12678838.789999999</v>
      </c>
      <c r="Y810" s="206" t="s">
        <v>69</v>
      </c>
      <c r="Z810" s="206" t="s">
        <v>46</v>
      </c>
      <c r="AA810" s="206">
        <v>2306153</v>
      </c>
      <c r="AB810" s="206" t="s">
        <v>126</v>
      </c>
      <c r="AC810" s="206" t="s">
        <v>56</v>
      </c>
      <c r="AD810" s="206" t="s">
        <v>77</v>
      </c>
      <c r="AE810" s="206">
        <v>0</v>
      </c>
      <c r="AF810" s="206" t="s">
        <v>68</v>
      </c>
      <c r="AG810" s="206" t="s">
        <v>142</v>
      </c>
      <c r="AH810" s="206" t="s">
        <v>143</v>
      </c>
      <c r="AI810" s="206" t="s">
        <v>69</v>
      </c>
      <c r="AJ810" s="206" t="s">
        <v>46</v>
      </c>
      <c r="AK810" s="206" t="s">
        <v>54</v>
      </c>
      <c r="AL810" s="206" t="s">
        <v>48</v>
      </c>
      <c r="AM810" s="206" t="s">
        <v>49</v>
      </c>
      <c r="AN810" s="243" t="str">
        <f>VLOOKUP(I810,Sheet1!A:D,4,)</f>
        <v>A320400</v>
      </c>
      <c r="AP810" s="36" t="s">
        <v>1177</v>
      </c>
    </row>
    <row r="811" spans="1:42" s="206" customFormat="1" x14ac:dyDescent="0.25">
      <c r="A811" s="226">
        <v>45839</v>
      </c>
      <c r="B811" s="206" t="s">
        <v>40</v>
      </c>
      <c r="C811" s="206" t="s">
        <v>41</v>
      </c>
      <c r="D811" s="221">
        <v>25708375</v>
      </c>
      <c r="E811" s="221">
        <v>25106783</v>
      </c>
      <c r="F811" s="221" t="s">
        <v>1126</v>
      </c>
      <c r="G811" s="227">
        <v>45860</v>
      </c>
      <c r="H811" s="206" t="s">
        <v>158</v>
      </c>
      <c r="I811" s="206" t="s">
        <v>159</v>
      </c>
      <c r="J811" s="206" t="s">
        <v>160</v>
      </c>
      <c r="K811" s="228">
        <v>5</v>
      </c>
      <c r="L811" s="229" t="s">
        <v>42</v>
      </c>
      <c r="M811" s="228">
        <v>5</v>
      </c>
      <c r="N811" s="228">
        <v>9608666.0800000001</v>
      </c>
      <c r="O811" s="228">
        <v>48043330.399999999</v>
      </c>
      <c r="P811" s="228">
        <v>48043330.399999999</v>
      </c>
      <c r="Q811" s="224">
        <v>0</v>
      </c>
      <c r="R811" s="224">
        <v>0</v>
      </c>
      <c r="S811" s="229" t="s">
        <v>43</v>
      </c>
      <c r="T811" s="228">
        <v>34279838.329999998</v>
      </c>
      <c r="U811" s="228">
        <v>34279838.329999998</v>
      </c>
      <c r="V811" s="228">
        <v>13763492.07</v>
      </c>
      <c r="W811" s="230">
        <v>0.28648080712500001</v>
      </c>
      <c r="X811" s="228">
        <v>13763492.07</v>
      </c>
      <c r="Y811" s="206" t="s">
        <v>69</v>
      </c>
      <c r="Z811" s="206" t="s">
        <v>46</v>
      </c>
      <c r="AA811" s="206">
        <v>2306495</v>
      </c>
      <c r="AB811" s="206" t="s">
        <v>161</v>
      </c>
      <c r="AC811" s="206" t="s">
        <v>56</v>
      </c>
      <c r="AD811" s="206" t="s">
        <v>77</v>
      </c>
      <c r="AE811" s="206">
        <v>0</v>
      </c>
      <c r="AF811" s="206" t="s">
        <v>68</v>
      </c>
      <c r="AG811" s="206" t="s">
        <v>142</v>
      </c>
      <c r="AH811" s="206" t="s">
        <v>143</v>
      </c>
      <c r="AI811" s="206" t="s">
        <v>69</v>
      </c>
      <c r="AJ811" s="206" t="s">
        <v>46</v>
      </c>
      <c r="AK811" s="206" t="s">
        <v>54</v>
      </c>
      <c r="AL811" s="206" t="s">
        <v>48</v>
      </c>
      <c r="AM811" s="206" t="s">
        <v>49</v>
      </c>
      <c r="AN811" s="243" t="str">
        <f>VLOOKUP(I811,Sheet1!A:D,4,)</f>
        <v>A320400</v>
      </c>
      <c r="AP811" s="36" t="s">
        <v>1177</v>
      </c>
    </row>
    <row r="812" spans="1:42" s="206" customFormat="1" x14ac:dyDescent="0.25">
      <c r="A812" s="226">
        <v>45839</v>
      </c>
      <c r="B812" s="206" t="s">
        <v>40</v>
      </c>
      <c r="C812" s="206" t="s">
        <v>41</v>
      </c>
      <c r="D812" s="221">
        <v>25708376</v>
      </c>
      <c r="E812" s="221">
        <v>25106785</v>
      </c>
      <c r="F812" s="221" t="s">
        <v>1168</v>
      </c>
      <c r="G812" s="227">
        <v>45860</v>
      </c>
      <c r="H812" s="206" t="s">
        <v>115</v>
      </c>
      <c r="I812" s="206" t="s">
        <v>140</v>
      </c>
      <c r="J812" s="206" t="s">
        <v>141</v>
      </c>
      <c r="K812" s="228">
        <v>120</v>
      </c>
      <c r="L812" s="229" t="s">
        <v>42</v>
      </c>
      <c r="M812" s="228">
        <v>120</v>
      </c>
      <c r="N812" s="228">
        <v>532120.67000000004</v>
      </c>
      <c r="O812" s="228">
        <v>63854480.399999999</v>
      </c>
      <c r="P812" s="228">
        <v>63854480.399999999</v>
      </c>
      <c r="Q812" s="224">
        <v>0</v>
      </c>
      <c r="R812" s="224">
        <v>0</v>
      </c>
      <c r="S812" s="229" t="s">
        <v>43</v>
      </c>
      <c r="T812" s="228">
        <v>27407286.02</v>
      </c>
      <c r="U812" s="228">
        <v>27407286.02</v>
      </c>
      <c r="V812" s="228">
        <v>36447194.380000003</v>
      </c>
      <c r="W812" s="230">
        <v>0.57078523154000005</v>
      </c>
      <c r="X812" s="228">
        <v>36447194.380000003</v>
      </c>
      <c r="Y812" s="206" t="s">
        <v>66</v>
      </c>
      <c r="Z812" s="206" t="s">
        <v>44</v>
      </c>
      <c r="AA812" s="206">
        <v>15159</v>
      </c>
      <c r="AB812" s="206" t="s">
        <v>118</v>
      </c>
      <c r="AC812" s="206" t="s">
        <v>154</v>
      </c>
      <c r="AD812" s="206" t="s">
        <v>155</v>
      </c>
      <c r="AE812" s="206">
        <v>0</v>
      </c>
      <c r="AF812" s="206" t="s">
        <v>68</v>
      </c>
      <c r="AG812" s="206" t="s">
        <v>142</v>
      </c>
      <c r="AH812" s="206" t="s">
        <v>143</v>
      </c>
      <c r="AI812" s="206" t="s">
        <v>69</v>
      </c>
      <c r="AJ812" s="206" t="s">
        <v>46</v>
      </c>
      <c r="AK812" s="206" t="s">
        <v>54</v>
      </c>
      <c r="AL812" s="206" t="s">
        <v>48</v>
      </c>
      <c r="AM812" s="206" t="s">
        <v>49</v>
      </c>
      <c r="AN812" s="243" t="str">
        <f>VLOOKUP(I812,Sheet1!A:D,4,)</f>
        <v>A320400</v>
      </c>
      <c r="AP812" s="36" t="s">
        <v>1177</v>
      </c>
    </row>
    <row r="813" spans="1:42" s="206" customFormat="1" x14ac:dyDescent="0.25">
      <c r="A813" s="226">
        <v>45839</v>
      </c>
      <c r="B813" s="206" t="s">
        <v>40</v>
      </c>
      <c r="C813" s="206" t="s">
        <v>41</v>
      </c>
      <c r="D813" s="221">
        <v>25708377</v>
      </c>
      <c r="E813" s="221">
        <v>25106791</v>
      </c>
      <c r="F813" s="221" t="s">
        <v>1169</v>
      </c>
      <c r="G813" s="227">
        <v>45860</v>
      </c>
      <c r="H813" s="206" t="s">
        <v>126</v>
      </c>
      <c r="I813" s="206" t="s">
        <v>140</v>
      </c>
      <c r="J813" s="206" t="s">
        <v>141</v>
      </c>
      <c r="K813" s="228">
        <v>20</v>
      </c>
      <c r="L813" s="229" t="s">
        <v>42</v>
      </c>
      <c r="M813" s="228">
        <v>20</v>
      </c>
      <c r="N813" s="228">
        <v>532120.67000000004</v>
      </c>
      <c r="O813" s="228">
        <v>10642413.4</v>
      </c>
      <c r="P813" s="228">
        <v>10642413.4</v>
      </c>
      <c r="Q813" s="224">
        <v>0</v>
      </c>
      <c r="R813" s="224">
        <v>0</v>
      </c>
      <c r="S813" s="229" t="s">
        <v>43</v>
      </c>
      <c r="T813" s="228">
        <v>4567881</v>
      </c>
      <c r="U813" s="228">
        <v>4567881</v>
      </c>
      <c r="V813" s="228">
        <v>6074532.4000000004</v>
      </c>
      <c r="W813" s="230">
        <v>0.57078523185300001</v>
      </c>
      <c r="X813" s="228">
        <v>6074532.4000000004</v>
      </c>
      <c r="Y813" s="206" t="s">
        <v>69</v>
      </c>
      <c r="Z813" s="206" t="s">
        <v>46</v>
      </c>
      <c r="AA813" s="206">
        <v>2306153</v>
      </c>
      <c r="AB813" s="206" t="s">
        <v>126</v>
      </c>
      <c r="AC813" s="206" t="s">
        <v>56</v>
      </c>
      <c r="AD813" s="206" t="s">
        <v>77</v>
      </c>
      <c r="AE813" s="206">
        <v>0</v>
      </c>
      <c r="AF813" s="206" t="s">
        <v>68</v>
      </c>
      <c r="AG813" s="206" t="s">
        <v>142</v>
      </c>
      <c r="AH813" s="206" t="s">
        <v>143</v>
      </c>
      <c r="AI813" s="206" t="s">
        <v>69</v>
      </c>
      <c r="AJ813" s="206" t="s">
        <v>46</v>
      </c>
      <c r="AK813" s="206" t="s">
        <v>54</v>
      </c>
      <c r="AL813" s="206" t="s">
        <v>48</v>
      </c>
      <c r="AM813" s="206" t="s">
        <v>49</v>
      </c>
      <c r="AN813" s="243" t="str">
        <f>VLOOKUP(I813,Sheet1!A:D,4,)</f>
        <v>A320400</v>
      </c>
      <c r="AP813" s="36" t="s">
        <v>1177</v>
      </c>
    </row>
    <row r="814" spans="1:42" s="206" customFormat="1" x14ac:dyDescent="0.25">
      <c r="A814" s="226">
        <v>45839</v>
      </c>
      <c r="B814" s="206" t="s">
        <v>40</v>
      </c>
      <c r="C814" s="206" t="s">
        <v>41</v>
      </c>
      <c r="D814" s="221">
        <v>25708378</v>
      </c>
      <c r="E814" s="221">
        <v>25106808</v>
      </c>
      <c r="F814" s="221" t="s">
        <v>1170</v>
      </c>
      <c r="G814" s="227">
        <v>45860</v>
      </c>
      <c r="H814" s="206" t="s">
        <v>126</v>
      </c>
      <c r="I814" s="206" t="s">
        <v>140</v>
      </c>
      <c r="J814" s="206" t="s">
        <v>141</v>
      </c>
      <c r="K814" s="228">
        <v>60</v>
      </c>
      <c r="L814" s="229" t="s">
        <v>42</v>
      </c>
      <c r="M814" s="228">
        <v>60</v>
      </c>
      <c r="N814" s="228">
        <v>532120.67000000004</v>
      </c>
      <c r="O814" s="228">
        <v>31927240.199999999</v>
      </c>
      <c r="P814" s="228">
        <v>31927240.199999999</v>
      </c>
      <c r="Q814" s="224">
        <v>0</v>
      </c>
      <c r="R814" s="224">
        <v>0</v>
      </c>
      <c r="S814" s="229" t="s">
        <v>43</v>
      </c>
      <c r="T814" s="228">
        <v>13703643.01</v>
      </c>
      <c r="U814" s="228">
        <v>13703643.01</v>
      </c>
      <c r="V814" s="228">
        <v>18223597.190000001</v>
      </c>
      <c r="W814" s="230">
        <v>0.57078523154000005</v>
      </c>
      <c r="X814" s="228">
        <v>18223597.190000001</v>
      </c>
      <c r="Y814" s="206" t="s">
        <v>69</v>
      </c>
      <c r="Z814" s="206" t="s">
        <v>46</v>
      </c>
      <c r="AA814" s="206">
        <v>2306153</v>
      </c>
      <c r="AB814" s="206" t="s">
        <v>126</v>
      </c>
      <c r="AC814" s="206" t="s">
        <v>56</v>
      </c>
      <c r="AD814" s="206" t="s">
        <v>77</v>
      </c>
      <c r="AE814" s="206">
        <v>0</v>
      </c>
      <c r="AF814" s="206" t="s">
        <v>68</v>
      </c>
      <c r="AG814" s="206" t="s">
        <v>142</v>
      </c>
      <c r="AH814" s="206" t="s">
        <v>143</v>
      </c>
      <c r="AI814" s="206" t="s">
        <v>69</v>
      </c>
      <c r="AJ814" s="206" t="s">
        <v>46</v>
      </c>
      <c r="AK814" s="206" t="s">
        <v>54</v>
      </c>
      <c r="AL814" s="206" t="s">
        <v>48</v>
      </c>
      <c r="AM814" s="206" t="s">
        <v>49</v>
      </c>
      <c r="AN814" s="243" t="str">
        <f>VLOOKUP(I814,Sheet1!A:D,4,)</f>
        <v>A320400</v>
      </c>
      <c r="AP814" s="36" t="s">
        <v>1177</v>
      </c>
    </row>
    <row r="815" spans="1:42" s="206" customFormat="1" x14ac:dyDescent="0.25">
      <c r="A815" s="226">
        <v>45839</v>
      </c>
      <c r="B815" s="206" t="s">
        <v>40</v>
      </c>
      <c r="C815" s="206" t="s">
        <v>41</v>
      </c>
      <c r="D815" s="221">
        <v>25708379</v>
      </c>
      <c r="E815" s="221">
        <v>25106830</v>
      </c>
      <c r="F815" s="221" t="s">
        <v>1171</v>
      </c>
      <c r="G815" s="227">
        <v>45860</v>
      </c>
      <c r="H815" s="206" t="s">
        <v>126</v>
      </c>
      <c r="I815" s="206" t="s">
        <v>419</v>
      </c>
      <c r="J815" s="206" t="s">
        <v>716</v>
      </c>
      <c r="K815" s="228">
        <v>360</v>
      </c>
      <c r="L815" s="229" t="s">
        <v>42</v>
      </c>
      <c r="M815" s="228">
        <v>360</v>
      </c>
      <c r="N815" s="228">
        <v>1597895.49</v>
      </c>
      <c r="O815" s="228">
        <v>575242376.39999998</v>
      </c>
      <c r="P815" s="228">
        <v>575242376.39999998</v>
      </c>
      <c r="Q815" s="224">
        <v>0</v>
      </c>
      <c r="R815" s="224">
        <v>0</v>
      </c>
      <c r="S815" s="229" t="s">
        <v>43</v>
      </c>
      <c r="T815" s="228">
        <v>237392613.22</v>
      </c>
      <c r="U815" s="228">
        <v>237392613.22</v>
      </c>
      <c r="V815" s="228">
        <v>337849763.18000001</v>
      </c>
      <c r="W815" s="230">
        <v>0.58731723711700001</v>
      </c>
      <c r="X815" s="228">
        <v>337849763.18000001</v>
      </c>
      <c r="Y815" s="206" t="s">
        <v>69</v>
      </c>
      <c r="Z815" s="206" t="s">
        <v>46</v>
      </c>
      <c r="AA815" s="206">
        <v>2306153</v>
      </c>
      <c r="AB815" s="206" t="s">
        <v>126</v>
      </c>
      <c r="AC815" s="206" t="s">
        <v>56</v>
      </c>
      <c r="AD815" s="206" t="s">
        <v>77</v>
      </c>
      <c r="AE815" s="206">
        <v>0</v>
      </c>
      <c r="AF815" s="206" t="s">
        <v>68</v>
      </c>
      <c r="AG815" s="206" t="s">
        <v>71</v>
      </c>
      <c r="AH815" s="206" t="s">
        <v>53</v>
      </c>
      <c r="AI815" s="206" t="s">
        <v>69</v>
      </c>
      <c r="AJ815" s="206" t="s">
        <v>46</v>
      </c>
      <c r="AK815" s="206" t="s">
        <v>54</v>
      </c>
      <c r="AL815" s="206" t="s">
        <v>48</v>
      </c>
      <c r="AM815" s="206" t="s">
        <v>49</v>
      </c>
      <c r="AN815" s="243" t="str">
        <f>VLOOKUP(I815,Sheet1!A:D,4,)</f>
        <v>A320400</v>
      </c>
      <c r="AP815" s="36" t="s">
        <v>1177</v>
      </c>
    </row>
    <row r="816" spans="1:42" s="206" customFormat="1" x14ac:dyDescent="0.25">
      <c r="A816" s="226">
        <v>45839</v>
      </c>
      <c r="B816" s="206" t="s">
        <v>40</v>
      </c>
      <c r="C816" s="206" t="s">
        <v>41</v>
      </c>
      <c r="D816" s="221">
        <v>25708380</v>
      </c>
      <c r="E816" s="221">
        <v>25106824</v>
      </c>
      <c r="F816" s="221" t="s">
        <v>1172</v>
      </c>
      <c r="G816" s="227">
        <v>45861</v>
      </c>
      <c r="H816" s="206" t="s">
        <v>150</v>
      </c>
      <c r="I816" s="206" t="s">
        <v>151</v>
      </c>
      <c r="J816" s="206" t="s">
        <v>152</v>
      </c>
      <c r="K816" s="228">
        <v>162</v>
      </c>
      <c r="L816" s="229" t="s">
        <v>42</v>
      </c>
      <c r="M816" s="228">
        <v>162</v>
      </c>
      <c r="N816" s="228">
        <v>942264.6</v>
      </c>
      <c r="O816" s="228">
        <v>152646865.19999999</v>
      </c>
      <c r="P816" s="228">
        <v>152646865.19999999</v>
      </c>
      <c r="Q816" s="224">
        <v>0</v>
      </c>
      <c r="R816" s="224">
        <v>0</v>
      </c>
      <c r="S816" s="229" t="s">
        <v>43</v>
      </c>
      <c r="T816" s="228">
        <v>79332664.200000003</v>
      </c>
      <c r="U816" s="228">
        <v>79332664.200000003</v>
      </c>
      <c r="V816" s="228">
        <v>73314201</v>
      </c>
      <c r="W816" s="230">
        <v>0.48028631904000002</v>
      </c>
      <c r="X816" s="228">
        <v>73314201</v>
      </c>
      <c r="Y816" s="206" t="s">
        <v>69</v>
      </c>
      <c r="Z816" s="206" t="s">
        <v>46</v>
      </c>
      <c r="AA816" s="206">
        <v>2306392</v>
      </c>
      <c r="AB816" s="206" t="s">
        <v>153</v>
      </c>
      <c r="AC816" s="206" t="s">
        <v>154</v>
      </c>
      <c r="AD816" s="206" t="s">
        <v>155</v>
      </c>
      <c r="AE816" s="206">
        <v>0</v>
      </c>
      <c r="AF816" s="206" t="s">
        <v>68</v>
      </c>
      <c r="AG816" s="206" t="s">
        <v>69</v>
      </c>
      <c r="AH816" s="206" t="s">
        <v>46</v>
      </c>
      <c r="AI816" s="206" t="s">
        <v>69</v>
      </c>
      <c r="AJ816" s="206" t="s">
        <v>46</v>
      </c>
      <c r="AK816" s="206" t="s">
        <v>54</v>
      </c>
      <c r="AL816" s="206" t="s">
        <v>48</v>
      </c>
      <c r="AM816" s="206" t="s">
        <v>49</v>
      </c>
      <c r="AN816" s="243" t="str">
        <f>VLOOKUP(I816,Sheet1!A:D,4,)</f>
        <v>A320400</v>
      </c>
      <c r="AP816" s="36" t="s">
        <v>1177</v>
      </c>
    </row>
    <row r="817" spans="1:42" s="206" customFormat="1" x14ac:dyDescent="0.25">
      <c r="A817" s="226">
        <v>45839</v>
      </c>
      <c r="B817" s="206" t="s">
        <v>40</v>
      </c>
      <c r="C817" s="206" t="s">
        <v>41</v>
      </c>
      <c r="D817" s="221">
        <v>25708381</v>
      </c>
      <c r="E817" s="221">
        <v>25106848</v>
      </c>
      <c r="F817" s="221" t="s">
        <v>1173</v>
      </c>
      <c r="G817" s="227">
        <v>45861</v>
      </c>
      <c r="H817" s="206" t="s">
        <v>150</v>
      </c>
      <c r="I817" s="206" t="s">
        <v>151</v>
      </c>
      <c r="J817" s="206" t="s">
        <v>152</v>
      </c>
      <c r="K817" s="228">
        <v>40.5</v>
      </c>
      <c r="L817" s="229" t="s">
        <v>42</v>
      </c>
      <c r="M817" s="228">
        <v>40.5</v>
      </c>
      <c r="N817" s="228">
        <v>934211.99</v>
      </c>
      <c r="O817" s="228">
        <v>37835585.600000001</v>
      </c>
      <c r="P817" s="228">
        <v>37835585.600000001</v>
      </c>
      <c r="Q817" s="224">
        <v>0</v>
      </c>
      <c r="R817" s="224">
        <v>0</v>
      </c>
      <c r="S817" s="229" t="s">
        <v>43</v>
      </c>
      <c r="T817" s="228">
        <v>19833166.050000001</v>
      </c>
      <c r="U817" s="228">
        <v>19833166.050000001</v>
      </c>
      <c r="V817" s="228">
        <v>18002419.550000001</v>
      </c>
      <c r="W817" s="230">
        <v>0.47580655260100002</v>
      </c>
      <c r="X817" s="228">
        <v>18002419.550000001</v>
      </c>
      <c r="Y817" s="206" t="s">
        <v>69</v>
      </c>
      <c r="Z817" s="206" t="s">
        <v>46</v>
      </c>
      <c r="AA817" s="206">
        <v>2306392</v>
      </c>
      <c r="AB817" s="206" t="s">
        <v>153</v>
      </c>
      <c r="AC817" s="206" t="s">
        <v>154</v>
      </c>
      <c r="AD817" s="206" t="s">
        <v>155</v>
      </c>
      <c r="AE817" s="206">
        <v>0</v>
      </c>
      <c r="AF817" s="206" t="s">
        <v>68</v>
      </c>
      <c r="AG817" s="206" t="s">
        <v>69</v>
      </c>
      <c r="AH817" s="206" t="s">
        <v>46</v>
      </c>
      <c r="AI817" s="206" t="s">
        <v>69</v>
      </c>
      <c r="AJ817" s="206" t="s">
        <v>46</v>
      </c>
      <c r="AK817" s="206" t="s">
        <v>54</v>
      </c>
      <c r="AL817" s="206" t="s">
        <v>48</v>
      </c>
      <c r="AM817" s="206" t="s">
        <v>49</v>
      </c>
      <c r="AN817" s="243" t="str">
        <f>VLOOKUP(I817,Sheet1!A:D,4,)</f>
        <v>A320400</v>
      </c>
      <c r="AP817" s="36" t="s">
        <v>1177</v>
      </c>
    </row>
    <row r="818" spans="1:42" s="206" customFormat="1" x14ac:dyDescent="0.25">
      <c r="A818" s="226">
        <v>45839</v>
      </c>
      <c r="B818" s="206" t="s">
        <v>40</v>
      </c>
      <c r="C818" s="206" t="s">
        <v>41</v>
      </c>
      <c r="D818" s="221">
        <v>25708382</v>
      </c>
      <c r="E818" s="221">
        <v>25106677</v>
      </c>
      <c r="F818" s="221" t="s">
        <v>1000</v>
      </c>
      <c r="G818" s="227">
        <v>45861</v>
      </c>
      <c r="H818" s="206" t="s">
        <v>126</v>
      </c>
      <c r="I818" s="206" t="s">
        <v>420</v>
      </c>
      <c r="J818" s="206" t="s">
        <v>779</v>
      </c>
      <c r="K818" s="228">
        <v>40</v>
      </c>
      <c r="L818" s="229" t="s">
        <v>42</v>
      </c>
      <c r="M818" s="228">
        <v>40</v>
      </c>
      <c r="N818" s="228">
        <v>2831035.19</v>
      </c>
      <c r="O818" s="228">
        <v>113241407.59999999</v>
      </c>
      <c r="P818" s="228">
        <v>113241407.59999999</v>
      </c>
      <c r="Q818" s="224">
        <v>0</v>
      </c>
      <c r="R818" s="224">
        <v>0</v>
      </c>
      <c r="S818" s="229" t="s">
        <v>43</v>
      </c>
      <c r="T818" s="228">
        <v>88597838.579999998</v>
      </c>
      <c r="U818" s="228">
        <v>88597838.579999998</v>
      </c>
      <c r="V818" s="228">
        <v>24643569.02</v>
      </c>
      <c r="W818" s="230">
        <v>0.21761976950199999</v>
      </c>
      <c r="X818" s="228">
        <v>24643569.02</v>
      </c>
      <c r="Y818" s="206" t="s">
        <v>69</v>
      </c>
      <c r="Z818" s="206" t="s">
        <v>46</v>
      </c>
      <c r="AA818" s="206">
        <v>2306153</v>
      </c>
      <c r="AB818" s="206" t="s">
        <v>126</v>
      </c>
      <c r="AC818" s="206" t="s">
        <v>56</v>
      </c>
      <c r="AD818" s="206" t="s">
        <v>77</v>
      </c>
      <c r="AE818" s="206">
        <v>0</v>
      </c>
      <c r="AF818" s="206" t="s">
        <v>780</v>
      </c>
      <c r="AG818" s="206" t="s">
        <v>69</v>
      </c>
      <c r="AH818" s="206" t="s">
        <v>46</v>
      </c>
      <c r="AI818" s="206" t="s">
        <v>69</v>
      </c>
      <c r="AJ818" s="206" t="s">
        <v>46</v>
      </c>
      <c r="AK818" s="206" t="s">
        <v>54</v>
      </c>
      <c r="AL818" s="206" t="s">
        <v>48</v>
      </c>
      <c r="AM818" s="206" t="s">
        <v>49</v>
      </c>
      <c r="AN818" s="243" t="str">
        <f>VLOOKUP(I818,Sheet1!A:D,4,)</f>
        <v>A320400</v>
      </c>
      <c r="AP818" s="36" t="s">
        <v>1177</v>
      </c>
    </row>
    <row r="819" spans="1:42" s="206" customFormat="1" x14ac:dyDescent="0.25">
      <c r="A819" s="226">
        <v>45839</v>
      </c>
      <c r="B819" s="206" t="s">
        <v>40</v>
      </c>
      <c r="C819" s="206" t="s">
        <v>41</v>
      </c>
      <c r="D819" s="221">
        <v>25708383</v>
      </c>
      <c r="E819" s="221">
        <v>25106802</v>
      </c>
      <c r="F819" s="221" t="s">
        <v>1174</v>
      </c>
      <c r="G819" s="227">
        <v>45861</v>
      </c>
      <c r="H819" s="206" t="s">
        <v>126</v>
      </c>
      <c r="I819" s="206" t="s">
        <v>400</v>
      </c>
      <c r="J819" s="206" t="s">
        <v>851</v>
      </c>
      <c r="K819" s="228">
        <v>1</v>
      </c>
      <c r="L819" s="229" t="s">
        <v>42</v>
      </c>
      <c r="M819" s="228">
        <v>1</v>
      </c>
      <c r="N819" s="228">
        <v>3476926.69</v>
      </c>
      <c r="O819" s="228">
        <v>3476926.69</v>
      </c>
      <c r="P819" s="228">
        <v>3476926.69</v>
      </c>
      <c r="Q819" s="224">
        <v>0</v>
      </c>
      <c r="R819" s="224">
        <v>0</v>
      </c>
      <c r="S819" s="229" t="s">
        <v>43</v>
      </c>
      <c r="T819" s="228">
        <v>1887588.28</v>
      </c>
      <c r="U819" s="228">
        <v>1887588.28</v>
      </c>
      <c r="V819" s="228">
        <v>1589338.41</v>
      </c>
      <c r="W819" s="230">
        <v>0.45711012963499997</v>
      </c>
      <c r="X819" s="228">
        <v>1589338.41</v>
      </c>
      <c r="Y819" s="206" t="s">
        <v>69</v>
      </c>
      <c r="Z819" s="206" t="s">
        <v>46</v>
      </c>
      <c r="AA819" s="206">
        <v>2306153</v>
      </c>
      <c r="AB819" s="206" t="s">
        <v>126</v>
      </c>
      <c r="AC819" s="206" t="s">
        <v>56</v>
      </c>
      <c r="AD819" s="206" t="s">
        <v>77</v>
      </c>
      <c r="AE819" s="206">
        <v>0</v>
      </c>
      <c r="AF819" s="206" t="s">
        <v>124</v>
      </c>
      <c r="AG819" s="206" t="s">
        <v>131</v>
      </c>
      <c r="AH819" s="206" t="s">
        <v>132</v>
      </c>
      <c r="AI819" s="206" t="s">
        <v>69</v>
      </c>
      <c r="AJ819" s="206" t="s">
        <v>46</v>
      </c>
      <c r="AK819" s="206" t="s">
        <v>54</v>
      </c>
      <c r="AL819" s="206" t="s">
        <v>48</v>
      </c>
      <c r="AM819" s="206" t="s">
        <v>49</v>
      </c>
      <c r="AN819" s="243" t="str">
        <f>VLOOKUP(I819,Sheet1!A:D,4,)</f>
        <v>A320400</v>
      </c>
      <c r="AP819" s="36" t="s">
        <v>1177</v>
      </c>
    </row>
    <row r="820" spans="1:42" s="206" customFormat="1" x14ac:dyDescent="0.25">
      <c r="A820" s="226">
        <v>45839</v>
      </c>
      <c r="B820" s="206" t="s">
        <v>40</v>
      </c>
      <c r="C820" s="206" t="s">
        <v>41</v>
      </c>
      <c r="D820" s="221">
        <v>25708384</v>
      </c>
      <c r="E820" s="221">
        <v>25106831</v>
      </c>
      <c r="F820" s="221" t="s">
        <v>1175</v>
      </c>
      <c r="G820" s="227">
        <v>45861</v>
      </c>
      <c r="H820" s="206" t="s">
        <v>150</v>
      </c>
      <c r="I820" s="206" t="s">
        <v>314</v>
      </c>
      <c r="J820" s="206" t="s">
        <v>1026</v>
      </c>
      <c r="K820" s="228">
        <v>100.8</v>
      </c>
      <c r="L820" s="229" t="s">
        <v>42</v>
      </c>
      <c r="M820" s="228">
        <v>100.8</v>
      </c>
      <c r="N820" s="228">
        <v>929157</v>
      </c>
      <c r="O820" s="228">
        <v>93659025.599999994</v>
      </c>
      <c r="P820" s="228">
        <v>93659025.599999994</v>
      </c>
      <c r="Q820" s="224">
        <v>0</v>
      </c>
      <c r="R820" s="224">
        <v>0</v>
      </c>
      <c r="S820" s="229" t="s">
        <v>43</v>
      </c>
      <c r="T820" s="228">
        <v>66215397.869999997</v>
      </c>
      <c r="U820" s="228">
        <v>66215397.869999997</v>
      </c>
      <c r="V820" s="228">
        <v>27443627.73</v>
      </c>
      <c r="W820" s="230">
        <v>0.29301637033</v>
      </c>
      <c r="X820" s="228">
        <v>27443627.73</v>
      </c>
      <c r="Y820" s="206" t="s">
        <v>69</v>
      </c>
      <c r="Z820" s="206" t="s">
        <v>46</v>
      </c>
      <c r="AA820" s="206">
        <v>2306392</v>
      </c>
      <c r="AB820" s="206" t="s">
        <v>153</v>
      </c>
      <c r="AC820" s="206" t="s">
        <v>154</v>
      </c>
      <c r="AD820" s="206" t="s">
        <v>155</v>
      </c>
      <c r="AE820" s="206">
        <v>0</v>
      </c>
      <c r="AF820" s="206" t="s">
        <v>68</v>
      </c>
      <c r="AG820" s="206" t="s">
        <v>1027</v>
      </c>
      <c r="AH820" s="206" t="s">
        <v>1028</v>
      </c>
      <c r="AI820" s="206" t="s">
        <v>69</v>
      </c>
      <c r="AJ820" s="206" t="s">
        <v>46</v>
      </c>
      <c r="AK820" s="206" t="s">
        <v>54</v>
      </c>
      <c r="AL820" s="206" t="s">
        <v>48</v>
      </c>
      <c r="AM820" s="206" t="s">
        <v>49</v>
      </c>
      <c r="AN820" s="243" t="str">
        <f>VLOOKUP(I820,Sheet1!A:D,4,)</f>
        <v>A320400</v>
      </c>
      <c r="AP820" s="36" t="s">
        <v>1177</v>
      </c>
    </row>
    <row r="821" spans="1:42" s="206" customFormat="1" x14ac:dyDescent="0.25">
      <c r="A821" s="226">
        <v>45839</v>
      </c>
      <c r="B821" s="206" t="s">
        <v>40</v>
      </c>
      <c r="C821" s="206" t="s">
        <v>41</v>
      </c>
      <c r="D821" s="221">
        <v>25708385</v>
      </c>
      <c r="E821" s="221">
        <v>25106723</v>
      </c>
      <c r="F821" s="221" t="s">
        <v>1063</v>
      </c>
      <c r="G821" s="227">
        <v>45861</v>
      </c>
      <c r="H821" s="206" t="s">
        <v>150</v>
      </c>
      <c r="I821" s="206" t="s">
        <v>377</v>
      </c>
      <c r="J821" s="206" t="s">
        <v>858</v>
      </c>
      <c r="K821" s="228">
        <v>100</v>
      </c>
      <c r="L821" s="229" t="s">
        <v>42</v>
      </c>
      <c r="M821" s="228">
        <v>100</v>
      </c>
      <c r="N821" s="228">
        <v>1341350.6000000001</v>
      </c>
      <c r="O821" s="228">
        <v>134135060</v>
      </c>
      <c r="P821" s="228">
        <v>134135060</v>
      </c>
      <c r="Q821" s="224">
        <v>0</v>
      </c>
      <c r="R821" s="224">
        <v>0</v>
      </c>
      <c r="S821" s="229" t="s">
        <v>43</v>
      </c>
      <c r="T821" s="228">
        <v>95651540</v>
      </c>
      <c r="U821" s="228">
        <v>95651540</v>
      </c>
      <c r="V821" s="228">
        <v>38483520</v>
      </c>
      <c r="W821" s="230">
        <v>0.28690127696599999</v>
      </c>
      <c r="X821" s="228">
        <v>38483520</v>
      </c>
      <c r="Y821" s="206" t="s">
        <v>69</v>
      </c>
      <c r="Z821" s="206" t="s">
        <v>46</v>
      </c>
      <c r="AA821" s="206">
        <v>2306392</v>
      </c>
      <c r="AB821" s="206" t="s">
        <v>153</v>
      </c>
      <c r="AC821" s="206" t="s">
        <v>154</v>
      </c>
      <c r="AD821" s="206" t="s">
        <v>155</v>
      </c>
      <c r="AE821" s="206">
        <v>0</v>
      </c>
      <c r="AF821" s="206" t="s">
        <v>72</v>
      </c>
      <c r="AG821" s="206" t="s">
        <v>69</v>
      </c>
      <c r="AH821" s="206" t="s">
        <v>46</v>
      </c>
      <c r="AI821" s="206" t="s">
        <v>69</v>
      </c>
      <c r="AJ821" s="206" t="s">
        <v>46</v>
      </c>
      <c r="AK821" s="206" t="s">
        <v>54</v>
      </c>
      <c r="AL821" s="206" t="s">
        <v>48</v>
      </c>
      <c r="AM821" s="206" t="s">
        <v>49</v>
      </c>
      <c r="AN821" s="243" t="str">
        <f>VLOOKUP(I821,Sheet1!A:D,4,)</f>
        <v>A320400</v>
      </c>
      <c r="AP821" s="36" t="s">
        <v>1177</v>
      </c>
    </row>
    <row r="822" spans="1:42" s="206" customFormat="1" x14ac:dyDescent="0.25">
      <c r="A822" s="226">
        <v>45839</v>
      </c>
      <c r="B822" s="206" t="s">
        <v>40</v>
      </c>
      <c r="C822" s="206" t="s">
        <v>41</v>
      </c>
      <c r="D822" s="221">
        <v>25708386</v>
      </c>
      <c r="E822" s="221">
        <v>25106830</v>
      </c>
      <c r="F822" s="221" t="s">
        <v>1171</v>
      </c>
      <c r="G822" s="227">
        <v>45861</v>
      </c>
      <c r="H822" s="206" t="s">
        <v>126</v>
      </c>
      <c r="I822" s="206" t="s">
        <v>414</v>
      </c>
      <c r="J822" s="206" t="s">
        <v>833</v>
      </c>
      <c r="K822" s="228">
        <v>20</v>
      </c>
      <c r="L822" s="229" t="s">
        <v>42</v>
      </c>
      <c r="M822" s="228">
        <v>20</v>
      </c>
      <c r="N822" s="228">
        <v>1192510.43</v>
      </c>
      <c r="O822" s="228">
        <v>23850208.600000001</v>
      </c>
      <c r="P822" s="228">
        <v>23850208.600000001</v>
      </c>
      <c r="Q822" s="224">
        <v>0</v>
      </c>
      <c r="R822" s="224">
        <v>0</v>
      </c>
      <c r="S822" s="229" t="s">
        <v>43</v>
      </c>
      <c r="T822" s="228">
        <v>12902811.800000001</v>
      </c>
      <c r="U822" s="228">
        <v>12902811.800000001</v>
      </c>
      <c r="V822" s="228">
        <v>10947396.800000001</v>
      </c>
      <c r="W822" s="230">
        <v>0.459006333386</v>
      </c>
      <c r="X822" s="228">
        <v>10947396.800000001</v>
      </c>
      <c r="Y822" s="206" t="s">
        <v>69</v>
      </c>
      <c r="Z822" s="206" t="s">
        <v>46</v>
      </c>
      <c r="AA822" s="206">
        <v>2306153</v>
      </c>
      <c r="AB822" s="206" t="s">
        <v>126</v>
      </c>
      <c r="AC822" s="206" t="s">
        <v>56</v>
      </c>
      <c r="AD822" s="206" t="s">
        <v>77</v>
      </c>
      <c r="AE822" s="206">
        <v>0</v>
      </c>
      <c r="AF822" s="206" t="s">
        <v>72</v>
      </c>
      <c r="AG822" s="206" t="s">
        <v>69</v>
      </c>
      <c r="AH822" s="206" t="s">
        <v>46</v>
      </c>
      <c r="AI822" s="206" t="s">
        <v>69</v>
      </c>
      <c r="AJ822" s="206" t="s">
        <v>46</v>
      </c>
      <c r="AK822" s="206" t="s">
        <v>54</v>
      </c>
      <c r="AL822" s="206" t="s">
        <v>48</v>
      </c>
      <c r="AM822" s="206" t="s">
        <v>49</v>
      </c>
      <c r="AN822" s="243" t="str">
        <f>VLOOKUP(I822,Sheet1!A:D,4,)</f>
        <v>A320400</v>
      </c>
      <c r="AP822" s="36" t="s">
        <v>1177</v>
      </c>
    </row>
    <row r="823" spans="1:42" s="206" customFormat="1" x14ac:dyDescent="0.25">
      <c r="A823" s="226">
        <v>45839</v>
      </c>
      <c r="B823" s="206" t="s">
        <v>40</v>
      </c>
      <c r="C823" s="206" t="s">
        <v>41</v>
      </c>
      <c r="D823" s="221">
        <v>25708387</v>
      </c>
      <c r="E823" s="221">
        <v>25106816</v>
      </c>
      <c r="F823" s="221" t="s">
        <v>1176</v>
      </c>
      <c r="G823" s="227">
        <v>45863</v>
      </c>
      <c r="H823" s="206" t="s">
        <v>115</v>
      </c>
      <c r="I823" s="206" t="s">
        <v>450</v>
      </c>
      <c r="J823" s="206" t="s">
        <v>819</v>
      </c>
      <c r="K823" s="228">
        <v>20</v>
      </c>
      <c r="L823" s="229" t="s">
        <v>42</v>
      </c>
      <c r="M823" s="228">
        <v>20</v>
      </c>
      <c r="N823" s="228">
        <v>845055.56</v>
      </c>
      <c r="O823" s="228">
        <v>16901111.199999999</v>
      </c>
      <c r="P823" s="228">
        <v>16901111.199999999</v>
      </c>
      <c r="Q823" s="224">
        <v>0</v>
      </c>
      <c r="R823" s="224">
        <v>0</v>
      </c>
      <c r="S823" s="229" t="s">
        <v>43</v>
      </c>
      <c r="T823" s="228">
        <v>10468398.73</v>
      </c>
      <c r="U823" s="228">
        <v>10468398.73</v>
      </c>
      <c r="V823" s="228">
        <v>6432712.4699999997</v>
      </c>
      <c r="W823" s="230">
        <v>0.380608848369</v>
      </c>
      <c r="X823" s="228">
        <v>6432712.4699999997</v>
      </c>
      <c r="Y823" s="206" t="s">
        <v>66</v>
      </c>
      <c r="Z823" s="206" t="s">
        <v>44</v>
      </c>
      <c r="AA823" s="206">
        <v>15159</v>
      </c>
      <c r="AB823" s="206" t="s">
        <v>118</v>
      </c>
      <c r="AC823" s="206" t="s">
        <v>154</v>
      </c>
      <c r="AD823" s="206" t="s">
        <v>155</v>
      </c>
      <c r="AE823" s="206">
        <v>0</v>
      </c>
      <c r="AF823" s="206" t="s">
        <v>72</v>
      </c>
      <c r="AG823" s="206" t="s">
        <v>69</v>
      </c>
      <c r="AH823" s="206" t="s">
        <v>46</v>
      </c>
      <c r="AI823" s="206" t="s">
        <v>69</v>
      </c>
      <c r="AJ823" s="206" t="s">
        <v>46</v>
      </c>
      <c r="AK823" s="206" t="s">
        <v>54</v>
      </c>
      <c r="AL823" s="206" t="s">
        <v>48</v>
      </c>
      <c r="AM823" s="206" t="s">
        <v>49</v>
      </c>
      <c r="AN823" s="243" t="str">
        <f>VLOOKUP(I823,Sheet1!A:D,4,)</f>
        <v>A320400</v>
      </c>
      <c r="AP823" s="36" t="s">
        <v>1177</v>
      </c>
    </row>
    <row r="824" spans="1:42" s="206" customFormat="1" x14ac:dyDescent="0.25">
      <c r="A824" s="226">
        <v>45839</v>
      </c>
      <c r="B824" s="206" t="s">
        <v>40</v>
      </c>
      <c r="C824" s="206" t="s">
        <v>41</v>
      </c>
      <c r="D824" s="221">
        <v>25708390</v>
      </c>
      <c r="E824" s="221">
        <v>25106835</v>
      </c>
      <c r="F824" s="221" t="s">
        <v>1178</v>
      </c>
      <c r="G824" s="227">
        <v>45861</v>
      </c>
      <c r="H824" s="206" t="s">
        <v>126</v>
      </c>
      <c r="I824" s="206" t="s">
        <v>420</v>
      </c>
      <c r="J824" s="206" t="s">
        <v>779</v>
      </c>
      <c r="K824" s="228">
        <v>20</v>
      </c>
      <c r="L824" s="229" t="s">
        <v>42</v>
      </c>
      <c r="M824" s="228">
        <v>20</v>
      </c>
      <c r="N824" s="228">
        <v>2805408.11</v>
      </c>
      <c r="O824" s="228">
        <v>56108162.200000003</v>
      </c>
      <c r="P824" s="228">
        <v>56108162.200000003</v>
      </c>
      <c r="Q824" s="224">
        <v>0</v>
      </c>
      <c r="R824" s="224">
        <v>0</v>
      </c>
      <c r="S824" s="229" t="s">
        <v>43</v>
      </c>
      <c r="T824" s="228">
        <v>44298919.289999999</v>
      </c>
      <c r="U824" s="228">
        <v>44298919.289999999</v>
      </c>
      <c r="V824" s="228">
        <v>11809242.91</v>
      </c>
      <c r="W824" s="230">
        <v>0.21047281619899999</v>
      </c>
      <c r="X824" s="228">
        <v>11809242.91</v>
      </c>
      <c r="Y824" s="206" t="s">
        <v>69</v>
      </c>
      <c r="Z824" s="206" t="s">
        <v>46</v>
      </c>
      <c r="AA824" s="206">
        <v>2306153</v>
      </c>
      <c r="AB824" s="206" t="s">
        <v>126</v>
      </c>
      <c r="AC824" s="206" t="s">
        <v>56</v>
      </c>
      <c r="AD824" s="206" t="s">
        <v>77</v>
      </c>
      <c r="AE824" s="206">
        <v>0</v>
      </c>
      <c r="AF824" s="206" t="s">
        <v>780</v>
      </c>
      <c r="AG824" s="206" t="s">
        <v>69</v>
      </c>
      <c r="AH824" s="206" t="s">
        <v>46</v>
      </c>
      <c r="AI824" s="206" t="s">
        <v>69</v>
      </c>
      <c r="AJ824" s="206" t="s">
        <v>46</v>
      </c>
      <c r="AK824" s="206" t="s">
        <v>54</v>
      </c>
      <c r="AL824" s="206" t="s">
        <v>48</v>
      </c>
      <c r="AM824" s="206" t="s">
        <v>49</v>
      </c>
      <c r="AN824" s="243" t="str">
        <f>VLOOKUP(I824,Sheet1!A:D,4,)</f>
        <v>A320400</v>
      </c>
      <c r="AP824" s="4" t="s">
        <v>1184</v>
      </c>
    </row>
    <row r="825" spans="1:42" s="206" customFormat="1" x14ac:dyDescent="0.25">
      <c r="A825" s="226">
        <v>45839</v>
      </c>
      <c r="B825" s="206" t="s">
        <v>40</v>
      </c>
      <c r="C825" s="206" t="s">
        <v>41</v>
      </c>
      <c r="D825" s="221">
        <v>25708393</v>
      </c>
      <c r="E825" s="221">
        <v>25106809</v>
      </c>
      <c r="F825" s="221" t="s">
        <v>1179</v>
      </c>
      <c r="G825" s="227">
        <v>45868</v>
      </c>
      <c r="H825" s="206" t="s">
        <v>115</v>
      </c>
      <c r="I825" s="206" t="s">
        <v>146</v>
      </c>
      <c r="J825" s="206" t="s">
        <v>147</v>
      </c>
      <c r="K825" s="228">
        <v>2</v>
      </c>
      <c r="L825" s="229" t="s">
        <v>42</v>
      </c>
      <c r="M825" s="228">
        <v>2</v>
      </c>
      <c r="N825" s="228">
        <v>11005752.779999999</v>
      </c>
      <c r="O825" s="228">
        <v>22011505.559999999</v>
      </c>
      <c r="P825" s="228">
        <v>22011505.559999999</v>
      </c>
      <c r="Q825" s="224">
        <v>0</v>
      </c>
      <c r="R825" s="224">
        <v>0</v>
      </c>
      <c r="S825" s="229" t="s">
        <v>43</v>
      </c>
      <c r="T825" s="228">
        <v>13763274.810000001</v>
      </c>
      <c r="U825" s="228">
        <v>13763274.810000001</v>
      </c>
      <c r="V825" s="228">
        <v>8248230.75</v>
      </c>
      <c r="W825" s="230">
        <v>0.37472360659300002</v>
      </c>
      <c r="X825" s="228">
        <v>8248230.75</v>
      </c>
      <c r="Y825" s="206" t="s">
        <v>66</v>
      </c>
      <c r="Z825" s="206" t="s">
        <v>44</v>
      </c>
      <c r="AA825" s="206">
        <v>15159</v>
      </c>
      <c r="AB825" s="206" t="s">
        <v>118</v>
      </c>
      <c r="AC825" s="206" t="s">
        <v>154</v>
      </c>
      <c r="AD825" s="206" t="s">
        <v>155</v>
      </c>
      <c r="AE825" s="206">
        <v>0</v>
      </c>
      <c r="AF825" s="206" t="s">
        <v>68</v>
      </c>
      <c r="AG825" s="206" t="s">
        <v>69</v>
      </c>
      <c r="AH825" s="206" t="s">
        <v>46</v>
      </c>
      <c r="AI825" s="206" t="s">
        <v>69</v>
      </c>
      <c r="AJ825" s="206" t="s">
        <v>46</v>
      </c>
      <c r="AK825" s="206" t="s">
        <v>54</v>
      </c>
      <c r="AL825" s="206" t="s">
        <v>48</v>
      </c>
      <c r="AM825" s="206" t="s">
        <v>49</v>
      </c>
      <c r="AN825" s="243" t="str">
        <f>VLOOKUP(I825,Sheet1!A:D,4,)</f>
        <v>A320400</v>
      </c>
      <c r="AP825" s="4" t="s">
        <v>1184</v>
      </c>
    </row>
    <row r="826" spans="1:42" s="206" customFormat="1" x14ac:dyDescent="0.25">
      <c r="A826" s="226">
        <v>45839</v>
      </c>
      <c r="B826" s="206" t="s">
        <v>40</v>
      </c>
      <c r="C826" s="206" t="s">
        <v>41</v>
      </c>
      <c r="D826" s="221">
        <v>25708394</v>
      </c>
      <c r="E826" s="221">
        <v>25106816</v>
      </c>
      <c r="F826" s="221" t="s">
        <v>1176</v>
      </c>
      <c r="G826" s="227">
        <v>45868</v>
      </c>
      <c r="H826" s="206" t="s">
        <v>115</v>
      </c>
      <c r="I826" s="206" t="s">
        <v>287</v>
      </c>
      <c r="J826" s="206" t="s">
        <v>816</v>
      </c>
      <c r="K826" s="228">
        <v>546</v>
      </c>
      <c r="L826" s="229" t="s">
        <v>42</v>
      </c>
      <c r="M826" s="228">
        <v>546</v>
      </c>
      <c r="N826" s="228">
        <v>507493.05</v>
      </c>
      <c r="O826" s="228">
        <v>277091205.30000001</v>
      </c>
      <c r="P826" s="228">
        <v>277091205.30000001</v>
      </c>
      <c r="Q826" s="224">
        <v>0</v>
      </c>
      <c r="R826" s="224">
        <v>0</v>
      </c>
      <c r="S826" s="229" t="s">
        <v>43</v>
      </c>
      <c r="T826" s="228">
        <v>115376250.67</v>
      </c>
      <c r="U826" s="228">
        <v>115376250.67</v>
      </c>
      <c r="V826" s="228">
        <v>161714954.63</v>
      </c>
      <c r="W826" s="230">
        <v>0.58361633836299998</v>
      </c>
      <c r="X826" s="228">
        <v>161714954.63</v>
      </c>
      <c r="Y826" s="206" t="s">
        <v>66</v>
      </c>
      <c r="Z826" s="206" t="s">
        <v>44</v>
      </c>
      <c r="AA826" s="206">
        <v>15159</v>
      </c>
      <c r="AB826" s="206" t="s">
        <v>118</v>
      </c>
      <c r="AC826" s="206" t="s">
        <v>154</v>
      </c>
      <c r="AD826" s="206" t="s">
        <v>155</v>
      </c>
      <c r="AE826" s="206">
        <v>0</v>
      </c>
      <c r="AF826" s="206" t="s">
        <v>72</v>
      </c>
      <c r="AG826" s="206" t="s">
        <v>69</v>
      </c>
      <c r="AH826" s="206" t="s">
        <v>46</v>
      </c>
      <c r="AI826" s="206" t="s">
        <v>69</v>
      </c>
      <c r="AJ826" s="206" t="s">
        <v>46</v>
      </c>
      <c r="AK826" s="206" t="s">
        <v>54</v>
      </c>
      <c r="AL826" s="206" t="s">
        <v>48</v>
      </c>
      <c r="AM826" s="206" t="s">
        <v>49</v>
      </c>
      <c r="AN826" s="243" t="str">
        <f>VLOOKUP(I826,Sheet1!A:D,4,)</f>
        <v>A320400</v>
      </c>
      <c r="AP826" s="4" t="s">
        <v>1184</v>
      </c>
    </row>
    <row r="827" spans="1:42" s="206" customFormat="1" x14ac:dyDescent="0.25">
      <c r="A827" s="226">
        <v>45839</v>
      </c>
      <c r="B827" s="206" t="s">
        <v>40</v>
      </c>
      <c r="C827" s="206" t="s">
        <v>41</v>
      </c>
      <c r="D827" s="221">
        <v>25708394</v>
      </c>
      <c r="E827" s="221">
        <v>25106816</v>
      </c>
      <c r="F827" s="221" t="s">
        <v>1176</v>
      </c>
      <c r="G827" s="227">
        <v>45868</v>
      </c>
      <c r="H827" s="206" t="s">
        <v>115</v>
      </c>
      <c r="I827" s="206" t="s">
        <v>306</v>
      </c>
      <c r="J827" s="206" t="s">
        <v>821</v>
      </c>
      <c r="K827" s="228">
        <v>60</v>
      </c>
      <c r="L827" s="229" t="s">
        <v>42</v>
      </c>
      <c r="M827" s="228">
        <v>60</v>
      </c>
      <c r="N827" s="228">
        <v>5876148.9400000004</v>
      </c>
      <c r="O827" s="228">
        <v>352568936.39999998</v>
      </c>
      <c r="P827" s="228">
        <v>352568936.39999998</v>
      </c>
      <c r="Q827" s="224">
        <v>0</v>
      </c>
      <c r="R827" s="224">
        <v>0</v>
      </c>
      <c r="S827" s="229" t="s">
        <v>43</v>
      </c>
      <c r="T827" s="228">
        <v>136117913.56</v>
      </c>
      <c r="U827" s="228">
        <v>136117913.56</v>
      </c>
      <c r="V827" s="228">
        <v>216451022.84</v>
      </c>
      <c r="W827" s="230">
        <v>0.613925393002</v>
      </c>
      <c r="X827" s="228">
        <v>216451022.84</v>
      </c>
      <c r="Y827" s="206" t="s">
        <v>66</v>
      </c>
      <c r="Z827" s="206" t="s">
        <v>44</v>
      </c>
      <c r="AA827" s="206">
        <v>15159</v>
      </c>
      <c r="AB827" s="206" t="s">
        <v>118</v>
      </c>
      <c r="AC827" s="206" t="s">
        <v>154</v>
      </c>
      <c r="AD827" s="206" t="s">
        <v>155</v>
      </c>
      <c r="AE827" s="206">
        <v>0</v>
      </c>
      <c r="AF827" s="206" t="s">
        <v>68</v>
      </c>
      <c r="AG827" s="206" t="s">
        <v>71</v>
      </c>
      <c r="AH827" s="206" t="s">
        <v>53</v>
      </c>
      <c r="AI827" s="206" t="s">
        <v>69</v>
      </c>
      <c r="AJ827" s="206" t="s">
        <v>46</v>
      </c>
      <c r="AK827" s="206" t="s">
        <v>54</v>
      </c>
      <c r="AL827" s="206" t="s">
        <v>48</v>
      </c>
      <c r="AM827" s="206" t="s">
        <v>49</v>
      </c>
      <c r="AN827" s="243" t="str">
        <f>VLOOKUP(I827,Sheet1!A:D,4,)</f>
        <v>A320400</v>
      </c>
      <c r="AP827" s="4" t="s">
        <v>1184</v>
      </c>
    </row>
    <row r="828" spans="1:42" s="206" customFormat="1" x14ac:dyDescent="0.25">
      <c r="A828" s="226">
        <v>45839</v>
      </c>
      <c r="B828" s="206" t="s">
        <v>40</v>
      </c>
      <c r="C828" s="206" t="s">
        <v>41</v>
      </c>
      <c r="D828" s="221">
        <v>25708395</v>
      </c>
      <c r="E828" s="221">
        <v>25106822</v>
      </c>
      <c r="F828" s="221" t="s">
        <v>1180</v>
      </c>
      <c r="G828" s="227">
        <v>45868</v>
      </c>
      <c r="H828" s="206" t="s">
        <v>115</v>
      </c>
      <c r="I828" s="206" t="s">
        <v>443</v>
      </c>
      <c r="J828" s="206" t="s">
        <v>1181</v>
      </c>
      <c r="K828" s="228">
        <v>20</v>
      </c>
      <c r="L828" s="229" t="s">
        <v>42</v>
      </c>
      <c r="M828" s="228">
        <v>20</v>
      </c>
      <c r="N828" s="228">
        <v>785785.1</v>
      </c>
      <c r="O828" s="228">
        <v>15715702</v>
      </c>
      <c r="P828" s="228">
        <v>15715702</v>
      </c>
      <c r="Q828" s="224">
        <v>0</v>
      </c>
      <c r="R828" s="224">
        <v>0</v>
      </c>
      <c r="S828" s="229" t="s">
        <v>43</v>
      </c>
      <c r="T828" s="228">
        <v>8646086.7799999993</v>
      </c>
      <c r="U828" s="228">
        <v>8646086.7799999993</v>
      </c>
      <c r="V828" s="228">
        <v>7069615.2199999997</v>
      </c>
      <c r="W828" s="230">
        <v>0.44984406169000002</v>
      </c>
      <c r="X828" s="228">
        <v>7069615.2199999997</v>
      </c>
      <c r="Y828" s="206" t="s">
        <v>66</v>
      </c>
      <c r="Z828" s="206" t="s">
        <v>44</v>
      </c>
      <c r="AA828" s="206">
        <v>15159</v>
      </c>
      <c r="AB828" s="206" t="s">
        <v>118</v>
      </c>
      <c r="AC828" s="206" t="s">
        <v>154</v>
      </c>
      <c r="AD828" s="206" t="s">
        <v>155</v>
      </c>
      <c r="AE828" s="206">
        <v>0</v>
      </c>
      <c r="AF828" s="206" t="s">
        <v>72</v>
      </c>
      <c r="AG828" s="206" t="s">
        <v>69</v>
      </c>
      <c r="AH828" s="206" t="s">
        <v>46</v>
      </c>
      <c r="AI828" s="206" t="s">
        <v>69</v>
      </c>
      <c r="AJ828" s="206" t="s">
        <v>46</v>
      </c>
      <c r="AK828" s="206" t="s">
        <v>54</v>
      </c>
      <c r="AL828" s="206" t="s">
        <v>48</v>
      </c>
      <c r="AM828" s="206" t="s">
        <v>49</v>
      </c>
      <c r="AN828" s="243" t="str">
        <f>VLOOKUP(I828,Sheet1!A:D,4,)</f>
        <v>A320400</v>
      </c>
      <c r="AP828" s="4" t="s">
        <v>1184</v>
      </c>
    </row>
    <row r="829" spans="1:42" s="206" customFormat="1" x14ac:dyDescent="0.25">
      <c r="A829" s="226">
        <v>45839</v>
      </c>
      <c r="B829" s="206" t="s">
        <v>40</v>
      </c>
      <c r="C829" s="206" t="s">
        <v>41</v>
      </c>
      <c r="D829" s="221">
        <v>25708396</v>
      </c>
      <c r="E829" s="221">
        <v>25106827</v>
      </c>
      <c r="F829" s="221" t="s">
        <v>1182</v>
      </c>
      <c r="G829" s="227">
        <v>45868</v>
      </c>
      <c r="H829" s="206" t="s">
        <v>126</v>
      </c>
      <c r="I829" s="206" t="s">
        <v>140</v>
      </c>
      <c r="J829" s="206" t="s">
        <v>141</v>
      </c>
      <c r="K829" s="228">
        <v>40</v>
      </c>
      <c r="L829" s="229" t="s">
        <v>42</v>
      </c>
      <c r="M829" s="228">
        <v>40</v>
      </c>
      <c r="N829" s="228">
        <v>528500.79</v>
      </c>
      <c r="O829" s="228">
        <v>21140031.600000001</v>
      </c>
      <c r="P829" s="228">
        <v>21140031.600000001</v>
      </c>
      <c r="Q829" s="224">
        <v>0</v>
      </c>
      <c r="R829" s="224">
        <v>0</v>
      </c>
      <c r="S829" s="229" t="s">
        <v>43</v>
      </c>
      <c r="T829" s="228">
        <v>9135762.0099999998</v>
      </c>
      <c r="U829" s="228">
        <v>9135762.0099999998</v>
      </c>
      <c r="V829" s="228">
        <v>12004269.59</v>
      </c>
      <c r="W829" s="230">
        <v>0.56784539479999996</v>
      </c>
      <c r="X829" s="228">
        <v>12004269.59</v>
      </c>
      <c r="Y829" s="206" t="s">
        <v>69</v>
      </c>
      <c r="Z829" s="206" t="s">
        <v>46</v>
      </c>
      <c r="AA829" s="206">
        <v>2306153</v>
      </c>
      <c r="AB829" s="206" t="s">
        <v>126</v>
      </c>
      <c r="AC829" s="206" t="s">
        <v>56</v>
      </c>
      <c r="AD829" s="206" t="s">
        <v>77</v>
      </c>
      <c r="AE829" s="206">
        <v>0</v>
      </c>
      <c r="AF829" s="206" t="s">
        <v>68</v>
      </c>
      <c r="AG829" s="206" t="s">
        <v>142</v>
      </c>
      <c r="AH829" s="206" t="s">
        <v>143</v>
      </c>
      <c r="AI829" s="206" t="s">
        <v>69</v>
      </c>
      <c r="AJ829" s="206" t="s">
        <v>46</v>
      </c>
      <c r="AK829" s="206" t="s">
        <v>54</v>
      </c>
      <c r="AL829" s="206" t="s">
        <v>48</v>
      </c>
      <c r="AM829" s="206" t="s">
        <v>49</v>
      </c>
      <c r="AN829" s="243" t="str">
        <f>VLOOKUP(I829,Sheet1!A:D,4,)</f>
        <v>A320400</v>
      </c>
      <c r="AP829" s="4" t="s">
        <v>1184</v>
      </c>
    </row>
    <row r="830" spans="1:42" s="206" customFormat="1" x14ac:dyDescent="0.25">
      <c r="A830" s="226">
        <v>45839</v>
      </c>
      <c r="B830" s="206" t="s">
        <v>40</v>
      </c>
      <c r="C830" s="206" t="s">
        <v>41</v>
      </c>
      <c r="D830" s="221">
        <v>25708397</v>
      </c>
      <c r="E830" s="221">
        <v>25106830</v>
      </c>
      <c r="F830" s="221" t="s">
        <v>1171</v>
      </c>
      <c r="G830" s="227">
        <v>45868</v>
      </c>
      <c r="H830" s="206" t="s">
        <v>126</v>
      </c>
      <c r="I830" s="206" t="s">
        <v>140</v>
      </c>
      <c r="J830" s="206" t="s">
        <v>141</v>
      </c>
      <c r="K830" s="228">
        <v>200</v>
      </c>
      <c r="L830" s="229" t="s">
        <v>42</v>
      </c>
      <c r="M830" s="228">
        <v>200</v>
      </c>
      <c r="N830" s="228">
        <v>528500.79</v>
      </c>
      <c r="O830" s="228">
        <v>105700158</v>
      </c>
      <c r="P830" s="228">
        <v>105700158</v>
      </c>
      <c r="Q830" s="224">
        <v>0</v>
      </c>
      <c r="R830" s="224">
        <v>0</v>
      </c>
      <c r="S830" s="229" t="s">
        <v>43</v>
      </c>
      <c r="T830" s="228">
        <v>45678810.039999999</v>
      </c>
      <c r="U830" s="228">
        <v>45678810.039999999</v>
      </c>
      <c r="V830" s="228">
        <v>60021347.960000001</v>
      </c>
      <c r="W830" s="230">
        <v>0.56784539489499997</v>
      </c>
      <c r="X830" s="228">
        <v>60021347.960000001</v>
      </c>
      <c r="Y830" s="206" t="s">
        <v>69</v>
      </c>
      <c r="Z830" s="206" t="s">
        <v>46</v>
      </c>
      <c r="AA830" s="206">
        <v>2306153</v>
      </c>
      <c r="AB830" s="206" t="s">
        <v>126</v>
      </c>
      <c r="AC830" s="206" t="s">
        <v>56</v>
      </c>
      <c r="AD830" s="206" t="s">
        <v>77</v>
      </c>
      <c r="AE830" s="206">
        <v>0</v>
      </c>
      <c r="AF830" s="206" t="s">
        <v>68</v>
      </c>
      <c r="AG830" s="206" t="s">
        <v>142</v>
      </c>
      <c r="AH830" s="206" t="s">
        <v>143</v>
      </c>
      <c r="AI830" s="206" t="s">
        <v>69</v>
      </c>
      <c r="AJ830" s="206" t="s">
        <v>46</v>
      </c>
      <c r="AK830" s="206" t="s">
        <v>54</v>
      </c>
      <c r="AL830" s="206" t="s">
        <v>48</v>
      </c>
      <c r="AM830" s="206" t="s">
        <v>49</v>
      </c>
      <c r="AN830" s="243" t="str">
        <f>VLOOKUP(I830,Sheet1!A:D,4,)</f>
        <v>A320400</v>
      </c>
      <c r="AP830" s="4" t="s">
        <v>1184</v>
      </c>
    </row>
    <row r="831" spans="1:42" s="206" customFormat="1" x14ac:dyDescent="0.25">
      <c r="A831" s="226">
        <v>45839</v>
      </c>
      <c r="B831" s="206" t="s">
        <v>40</v>
      </c>
      <c r="C831" s="206" t="s">
        <v>41</v>
      </c>
      <c r="D831" s="221">
        <v>25708398</v>
      </c>
      <c r="E831" s="221">
        <v>25106845</v>
      </c>
      <c r="F831" s="221" t="s">
        <v>1153</v>
      </c>
      <c r="G831" s="227">
        <v>45868</v>
      </c>
      <c r="H831" s="206" t="s">
        <v>158</v>
      </c>
      <c r="I831" s="206" t="s">
        <v>159</v>
      </c>
      <c r="J831" s="206" t="s">
        <v>160</v>
      </c>
      <c r="K831" s="228">
        <v>5</v>
      </c>
      <c r="L831" s="229" t="s">
        <v>42</v>
      </c>
      <c r="M831" s="228">
        <v>5</v>
      </c>
      <c r="N831" s="228">
        <v>9544241.2799999993</v>
      </c>
      <c r="O831" s="228">
        <v>47721206.399999999</v>
      </c>
      <c r="P831" s="228">
        <v>47721206.399999999</v>
      </c>
      <c r="Q831" s="224">
        <v>0</v>
      </c>
      <c r="R831" s="224">
        <v>0</v>
      </c>
      <c r="S831" s="229" t="s">
        <v>43</v>
      </c>
      <c r="T831" s="228">
        <v>34279838.329999998</v>
      </c>
      <c r="U831" s="228">
        <v>34279838.329999998</v>
      </c>
      <c r="V831" s="228">
        <v>13441368.07</v>
      </c>
      <c r="W831" s="230">
        <v>0.28166446500300002</v>
      </c>
      <c r="X831" s="228">
        <v>13441368.07</v>
      </c>
      <c r="Y831" s="206" t="s">
        <v>69</v>
      </c>
      <c r="Z831" s="206" t="s">
        <v>46</v>
      </c>
      <c r="AA831" s="206">
        <v>2306495</v>
      </c>
      <c r="AB831" s="206" t="s">
        <v>161</v>
      </c>
      <c r="AC831" s="206" t="s">
        <v>56</v>
      </c>
      <c r="AD831" s="206" t="s">
        <v>77</v>
      </c>
      <c r="AE831" s="206">
        <v>0</v>
      </c>
      <c r="AF831" s="206" t="s">
        <v>68</v>
      </c>
      <c r="AG831" s="206" t="s">
        <v>142</v>
      </c>
      <c r="AH831" s="206" t="s">
        <v>143</v>
      </c>
      <c r="AI831" s="206" t="s">
        <v>69</v>
      </c>
      <c r="AJ831" s="206" t="s">
        <v>46</v>
      </c>
      <c r="AK831" s="206" t="s">
        <v>54</v>
      </c>
      <c r="AL831" s="206" t="s">
        <v>48</v>
      </c>
      <c r="AM831" s="206" t="s">
        <v>49</v>
      </c>
      <c r="AN831" s="243" t="str">
        <f>VLOOKUP(I831,Sheet1!A:D,4,)</f>
        <v>A320400</v>
      </c>
      <c r="AP831" s="4" t="s">
        <v>1184</v>
      </c>
    </row>
    <row r="832" spans="1:42" s="206" customFormat="1" x14ac:dyDescent="0.25">
      <c r="A832" s="226">
        <v>45839</v>
      </c>
      <c r="B832" s="206" t="s">
        <v>40</v>
      </c>
      <c r="C832" s="206" t="s">
        <v>41</v>
      </c>
      <c r="D832" s="221">
        <v>25708399</v>
      </c>
      <c r="E832" s="221">
        <v>25106854</v>
      </c>
      <c r="F832" s="221" t="s">
        <v>1183</v>
      </c>
      <c r="G832" s="227">
        <v>45868</v>
      </c>
      <c r="H832" s="206" t="s">
        <v>126</v>
      </c>
      <c r="I832" s="206" t="s">
        <v>146</v>
      </c>
      <c r="J832" s="206" t="s">
        <v>147</v>
      </c>
      <c r="K832" s="228">
        <v>1</v>
      </c>
      <c r="L832" s="229" t="s">
        <v>42</v>
      </c>
      <c r="M832" s="228">
        <v>1</v>
      </c>
      <c r="N832" s="228">
        <v>14720728.41</v>
      </c>
      <c r="O832" s="228">
        <v>14720728.41</v>
      </c>
      <c r="P832" s="228">
        <v>14720728.41</v>
      </c>
      <c r="Q832" s="224">
        <v>0</v>
      </c>
      <c r="R832" s="224">
        <v>0</v>
      </c>
      <c r="S832" s="229" t="s">
        <v>43</v>
      </c>
      <c r="T832" s="228">
        <v>6881637.4100000001</v>
      </c>
      <c r="U832" s="228">
        <v>6881637.4100000001</v>
      </c>
      <c r="V832" s="228">
        <v>7839091</v>
      </c>
      <c r="W832" s="230">
        <v>0.53252059148599995</v>
      </c>
      <c r="X832" s="228">
        <v>7839091</v>
      </c>
      <c r="Y832" s="206" t="s">
        <v>69</v>
      </c>
      <c r="Z832" s="206" t="s">
        <v>46</v>
      </c>
      <c r="AA832" s="206">
        <v>2306153</v>
      </c>
      <c r="AB832" s="206" t="s">
        <v>126</v>
      </c>
      <c r="AC832" s="206" t="s">
        <v>56</v>
      </c>
      <c r="AD832" s="206" t="s">
        <v>77</v>
      </c>
      <c r="AE832" s="206">
        <v>0</v>
      </c>
      <c r="AF832" s="206" t="s">
        <v>68</v>
      </c>
      <c r="AG832" s="206" t="s">
        <v>69</v>
      </c>
      <c r="AH832" s="206" t="s">
        <v>46</v>
      </c>
      <c r="AI832" s="206" t="s">
        <v>69</v>
      </c>
      <c r="AJ832" s="206" t="s">
        <v>46</v>
      </c>
      <c r="AK832" s="206" t="s">
        <v>54</v>
      </c>
      <c r="AL832" s="206" t="s">
        <v>48</v>
      </c>
      <c r="AM832" s="206" t="s">
        <v>49</v>
      </c>
      <c r="AN832" s="243" t="str">
        <f>VLOOKUP(I832,Sheet1!A:D,4,)</f>
        <v>A320400</v>
      </c>
      <c r="AP832" s="4" t="s">
        <v>1184</v>
      </c>
    </row>
    <row r="833" spans="1:42" s="206" customFormat="1" x14ac:dyDescent="0.25">
      <c r="A833" s="226">
        <v>45839</v>
      </c>
      <c r="B833" s="206" t="s">
        <v>40</v>
      </c>
      <c r="C833" s="206" t="s">
        <v>41</v>
      </c>
      <c r="D833" s="221">
        <v>25708400</v>
      </c>
      <c r="E833" s="221">
        <v>25106551</v>
      </c>
      <c r="F833" s="221" t="s">
        <v>930</v>
      </c>
      <c r="G833" s="227">
        <v>45868</v>
      </c>
      <c r="H833" s="206" t="s">
        <v>126</v>
      </c>
      <c r="I833" s="206" t="s">
        <v>167</v>
      </c>
      <c r="J833" s="206" t="s">
        <v>168</v>
      </c>
      <c r="K833" s="228">
        <v>40</v>
      </c>
      <c r="L833" s="229" t="s">
        <v>42</v>
      </c>
      <c r="M833" s="228">
        <v>40</v>
      </c>
      <c r="N833" s="228">
        <v>968888.81</v>
      </c>
      <c r="O833" s="228">
        <v>38755552.399999999</v>
      </c>
      <c r="P833" s="228">
        <v>38755552.399999999</v>
      </c>
      <c r="Q833" s="224">
        <v>0</v>
      </c>
      <c r="R833" s="224">
        <v>0</v>
      </c>
      <c r="S833" s="229" t="s">
        <v>43</v>
      </c>
      <c r="T833" s="228">
        <v>20569726.66</v>
      </c>
      <c r="U833" s="228">
        <v>20569726.66</v>
      </c>
      <c r="V833" s="228">
        <v>18185825.739999998</v>
      </c>
      <c r="W833" s="230">
        <v>0.46924439502999998</v>
      </c>
      <c r="X833" s="228">
        <v>18185825.739999998</v>
      </c>
      <c r="Y833" s="206" t="s">
        <v>69</v>
      </c>
      <c r="Z833" s="206" t="s">
        <v>46</v>
      </c>
      <c r="AA833" s="206">
        <v>2306153</v>
      </c>
      <c r="AB833" s="206" t="s">
        <v>126</v>
      </c>
      <c r="AC833" s="206" t="s">
        <v>56</v>
      </c>
      <c r="AD833" s="206" t="s">
        <v>77</v>
      </c>
      <c r="AE833" s="206">
        <v>0</v>
      </c>
      <c r="AF833" s="206" t="s">
        <v>119</v>
      </c>
      <c r="AG833" s="206" t="s">
        <v>120</v>
      </c>
      <c r="AH833" s="206" t="s">
        <v>121</v>
      </c>
      <c r="AI833" s="206" t="s">
        <v>69</v>
      </c>
      <c r="AJ833" s="206" t="s">
        <v>46</v>
      </c>
      <c r="AK833" s="206" t="s">
        <v>54</v>
      </c>
      <c r="AL833" s="206" t="s">
        <v>48</v>
      </c>
      <c r="AM833" s="206" t="s">
        <v>49</v>
      </c>
      <c r="AN833" s="243" t="str">
        <f>VLOOKUP(I833,Sheet1!A:D,4,)</f>
        <v>A320400</v>
      </c>
      <c r="AP833" s="4" t="s">
        <v>1189</v>
      </c>
    </row>
    <row r="834" spans="1:42" s="206" customFormat="1" x14ac:dyDescent="0.25">
      <c r="A834" s="226">
        <v>45839</v>
      </c>
      <c r="B834" s="206" t="s">
        <v>40</v>
      </c>
      <c r="C834" s="206" t="s">
        <v>41</v>
      </c>
      <c r="D834" s="221">
        <v>25708401</v>
      </c>
      <c r="E834" s="221">
        <v>25106584</v>
      </c>
      <c r="F834" s="221" t="s">
        <v>978</v>
      </c>
      <c r="G834" s="227">
        <v>45868</v>
      </c>
      <c r="H834" s="206" t="s">
        <v>115</v>
      </c>
      <c r="I834" s="206" t="s">
        <v>428</v>
      </c>
      <c r="J834" s="206" t="s">
        <v>641</v>
      </c>
      <c r="K834" s="228">
        <v>100</v>
      </c>
      <c r="L834" s="229" t="s">
        <v>42</v>
      </c>
      <c r="M834" s="228">
        <v>100</v>
      </c>
      <c r="N834" s="228">
        <v>340979.57</v>
      </c>
      <c r="O834" s="228">
        <v>34097957</v>
      </c>
      <c r="P834" s="228">
        <v>34097957</v>
      </c>
      <c r="Q834" s="224">
        <v>0</v>
      </c>
      <c r="R834" s="224">
        <v>0</v>
      </c>
      <c r="S834" s="229" t="s">
        <v>43</v>
      </c>
      <c r="T834" s="228">
        <v>29612520</v>
      </c>
      <c r="U834" s="228">
        <v>29612520</v>
      </c>
      <c r="V834" s="228">
        <v>4485437</v>
      </c>
      <c r="W834" s="230">
        <v>0.131545623099</v>
      </c>
      <c r="X834" s="228">
        <v>4485437</v>
      </c>
      <c r="Y834" s="206" t="s">
        <v>66</v>
      </c>
      <c r="Z834" s="206" t="s">
        <v>44</v>
      </c>
      <c r="AA834" s="206">
        <v>15159</v>
      </c>
      <c r="AB834" s="206" t="s">
        <v>118</v>
      </c>
      <c r="AC834" s="206" t="s">
        <v>154</v>
      </c>
      <c r="AD834" s="206" t="s">
        <v>155</v>
      </c>
      <c r="AE834" s="206">
        <v>0</v>
      </c>
      <c r="AF834" s="206" t="s">
        <v>119</v>
      </c>
      <c r="AG834" s="206" t="s">
        <v>120</v>
      </c>
      <c r="AH834" s="206" t="s">
        <v>121</v>
      </c>
      <c r="AI834" s="206" t="s">
        <v>69</v>
      </c>
      <c r="AJ834" s="206" t="s">
        <v>46</v>
      </c>
      <c r="AK834" s="206" t="s">
        <v>54</v>
      </c>
      <c r="AL834" s="206" t="s">
        <v>48</v>
      </c>
      <c r="AM834" s="206" t="s">
        <v>49</v>
      </c>
      <c r="AN834" s="243" t="str">
        <f>VLOOKUP(I834,Sheet1!A:D,4,)</f>
        <v>A320400</v>
      </c>
      <c r="AP834" s="4" t="s">
        <v>1189</v>
      </c>
    </row>
    <row r="835" spans="1:42" s="206" customFormat="1" x14ac:dyDescent="0.25">
      <c r="A835" s="226">
        <v>45839</v>
      </c>
      <c r="B835" s="206" t="s">
        <v>40</v>
      </c>
      <c r="C835" s="206" t="s">
        <v>41</v>
      </c>
      <c r="D835" s="221">
        <v>25708402</v>
      </c>
      <c r="E835" s="221">
        <v>25106599</v>
      </c>
      <c r="F835" s="221" t="s">
        <v>1185</v>
      </c>
      <c r="G835" s="227">
        <v>45868</v>
      </c>
      <c r="H835" s="206" t="s">
        <v>115</v>
      </c>
      <c r="I835" s="206" t="s">
        <v>408</v>
      </c>
      <c r="J835" s="206" t="s">
        <v>1186</v>
      </c>
      <c r="K835" s="228">
        <v>20</v>
      </c>
      <c r="L835" s="229" t="s">
        <v>42</v>
      </c>
      <c r="M835" s="228">
        <v>20</v>
      </c>
      <c r="N835" s="228">
        <v>1187721.68</v>
      </c>
      <c r="O835" s="228">
        <v>23754433.600000001</v>
      </c>
      <c r="P835" s="228">
        <v>23754433.600000001</v>
      </c>
      <c r="Q835" s="224">
        <v>0</v>
      </c>
      <c r="R835" s="224">
        <v>0</v>
      </c>
      <c r="S835" s="229" t="s">
        <v>43</v>
      </c>
      <c r="T835" s="228">
        <v>17809532.449999999</v>
      </c>
      <c r="U835" s="228">
        <v>17809532.449999999</v>
      </c>
      <c r="V835" s="228">
        <v>5944901.1500000004</v>
      </c>
      <c r="W835" s="230">
        <v>0.250264908442</v>
      </c>
      <c r="X835" s="228">
        <v>5944901.1500000004</v>
      </c>
      <c r="Y835" s="206" t="s">
        <v>66</v>
      </c>
      <c r="Z835" s="206" t="s">
        <v>44</v>
      </c>
      <c r="AA835" s="206">
        <v>15159</v>
      </c>
      <c r="AB835" s="206" t="s">
        <v>118</v>
      </c>
      <c r="AC835" s="206" t="s">
        <v>154</v>
      </c>
      <c r="AD835" s="206" t="s">
        <v>155</v>
      </c>
      <c r="AE835" s="206">
        <v>0</v>
      </c>
      <c r="AF835" s="206" t="s">
        <v>124</v>
      </c>
      <c r="AG835" s="206" t="s">
        <v>81</v>
      </c>
      <c r="AH835" s="206" t="s">
        <v>57</v>
      </c>
      <c r="AI835" s="206" t="s">
        <v>69</v>
      </c>
      <c r="AJ835" s="206" t="s">
        <v>46</v>
      </c>
      <c r="AK835" s="206" t="s">
        <v>54</v>
      </c>
      <c r="AL835" s="206" t="s">
        <v>48</v>
      </c>
      <c r="AM835" s="206" t="s">
        <v>49</v>
      </c>
      <c r="AN835" s="243" t="str">
        <f>VLOOKUP(I835,Sheet1!A:D,4,)</f>
        <v>A320400</v>
      </c>
      <c r="AP835" s="4" t="s">
        <v>1189</v>
      </c>
    </row>
    <row r="836" spans="1:42" s="206" customFormat="1" x14ac:dyDescent="0.25">
      <c r="A836" s="226">
        <v>45839</v>
      </c>
      <c r="B836" s="206" t="s">
        <v>40</v>
      </c>
      <c r="C836" s="206" t="s">
        <v>41</v>
      </c>
      <c r="D836" s="221">
        <v>25708403</v>
      </c>
      <c r="E836" s="221">
        <v>25106669</v>
      </c>
      <c r="F836" s="221" t="s">
        <v>1106</v>
      </c>
      <c r="G836" s="227">
        <v>45868</v>
      </c>
      <c r="H836" s="206" t="s">
        <v>126</v>
      </c>
      <c r="I836" s="206" t="s">
        <v>116</v>
      </c>
      <c r="J836" s="206" t="s">
        <v>117</v>
      </c>
      <c r="K836" s="228">
        <v>100</v>
      </c>
      <c r="L836" s="229" t="s">
        <v>42</v>
      </c>
      <c r="M836" s="228">
        <v>100</v>
      </c>
      <c r="N836" s="228">
        <v>396839.98</v>
      </c>
      <c r="O836" s="228">
        <v>39683998</v>
      </c>
      <c r="P836" s="228">
        <v>39683998</v>
      </c>
      <c r="Q836" s="224">
        <v>0</v>
      </c>
      <c r="R836" s="224">
        <v>0</v>
      </c>
      <c r="S836" s="229" t="s">
        <v>43</v>
      </c>
      <c r="T836" s="228">
        <v>30706566.07</v>
      </c>
      <c r="U836" s="228">
        <v>30706566.07</v>
      </c>
      <c r="V836" s="228">
        <v>8977431.9299999997</v>
      </c>
      <c r="W836" s="230">
        <v>0.22622297103200001</v>
      </c>
      <c r="X836" s="228">
        <v>8977431.9299999997</v>
      </c>
      <c r="Y836" s="206" t="s">
        <v>69</v>
      </c>
      <c r="Z836" s="206" t="s">
        <v>46</v>
      </c>
      <c r="AA836" s="206">
        <v>2306153</v>
      </c>
      <c r="AB836" s="206" t="s">
        <v>126</v>
      </c>
      <c r="AC836" s="206" t="s">
        <v>56</v>
      </c>
      <c r="AD836" s="206" t="s">
        <v>77</v>
      </c>
      <c r="AE836" s="206">
        <v>0</v>
      </c>
      <c r="AF836" s="206" t="s">
        <v>119</v>
      </c>
      <c r="AG836" s="206" t="s">
        <v>120</v>
      </c>
      <c r="AH836" s="206" t="s">
        <v>121</v>
      </c>
      <c r="AI836" s="206" t="s">
        <v>69</v>
      </c>
      <c r="AJ836" s="206" t="s">
        <v>46</v>
      </c>
      <c r="AK836" s="206" t="s">
        <v>54</v>
      </c>
      <c r="AL836" s="206" t="s">
        <v>48</v>
      </c>
      <c r="AM836" s="206" t="s">
        <v>49</v>
      </c>
      <c r="AN836" s="243" t="str">
        <f>VLOOKUP(I836,Sheet1!A:D,4,)</f>
        <v>A320400</v>
      </c>
      <c r="AP836" s="4" t="s">
        <v>1189</v>
      </c>
    </row>
    <row r="837" spans="1:42" s="206" customFormat="1" x14ac:dyDescent="0.25">
      <c r="A837" s="226">
        <v>45839</v>
      </c>
      <c r="B837" s="206" t="s">
        <v>40</v>
      </c>
      <c r="C837" s="206" t="s">
        <v>41</v>
      </c>
      <c r="D837" s="221">
        <v>25708404</v>
      </c>
      <c r="E837" s="221">
        <v>25106710</v>
      </c>
      <c r="F837" s="221" t="s">
        <v>1187</v>
      </c>
      <c r="G837" s="227">
        <v>45868</v>
      </c>
      <c r="H837" s="206" t="s">
        <v>126</v>
      </c>
      <c r="I837" s="206" t="s">
        <v>129</v>
      </c>
      <c r="J837" s="206" t="s">
        <v>873</v>
      </c>
      <c r="K837" s="228">
        <v>200</v>
      </c>
      <c r="L837" s="229" t="s">
        <v>42</v>
      </c>
      <c r="M837" s="228">
        <v>200</v>
      </c>
      <c r="N837" s="228">
        <v>967555.95</v>
      </c>
      <c r="O837" s="228">
        <v>193511190</v>
      </c>
      <c r="P837" s="228">
        <v>193511190</v>
      </c>
      <c r="Q837" s="224">
        <v>0</v>
      </c>
      <c r="R837" s="224">
        <v>0</v>
      </c>
      <c r="S837" s="229" t="s">
        <v>43</v>
      </c>
      <c r="T837" s="228">
        <v>112385840</v>
      </c>
      <c r="U837" s="228">
        <v>112385840</v>
      </c>
      <c r="V837" s="228">
        <v>81125350</v>
      </c>
      <c r="W837" s="230">
        <v>0.41922821104000002</v>
      </c>
      <c r="X837" s="228">
        <v>81125350</v>
      </c>
      <c r="Y837" s="206" t="s">
        <v>69</v>
      </c>
      <c r="Z837" s="206" t="s">
        <v>46</v>
      </c>
      <c r="AA837" s="206">
        <v>2306153</v>
      </c>
      <c r="AB837" s="206" t="s">
        <v>126</v>
      </c>
      <c r="AC837" s="206" t="s">
        <v>56</v>
      </c>
      <c r="AD837" s="206" t="s">
        <v>77</v>
      </c>
      <c r="AE837" s="206">
        <v>0</v>
      </c>
      <c r="AF837" s="206" t="s">
        <v>124</v>
      </c>
      <c r="AG837" s="206" t="s">
        <v>131</v>
      </c>
      <c r="AH837" s="206" t="s">
        <v>132</v>
      </c>
      <c r="AI837" s="206" t="s">
        <v>69</v>
      </c>
      <c r="AJ837" s="206" t="s">
        <v>46</v>
      </c>
      <c r="AK837" s="206" t="s">
        <v>54</v>
      </c>
      <c r="AL837" s="206" t="s">
        <v>48</v>
      </c>
      <c r="AM837" s="206" t="s">
        <v>49</v>
      </c>
      <c r="AN837" s="243" t="str">
        <f>VLOOKUP(I837,Sheet1!A:D,4,)</f>
        <v>A320400</v>
      </c>
      <c r="AP837" s="4" t="s">
        <v>1189</v>
      </c>
    </row>
    <row r="838" spans="1:42" s="206" customFormat="1" x14ac:dyDescent="0.25">
      <c r="A838" s="226">
        <v>45839</v>
      </c>
      <c r="B838" s="206" t="s">
        <v>40</v>
      </c>
      <c r="C838" s="206" t="s">
        <v>41</v>
      </c>
      <c r="D838" s="221">
        <v>25708405</v>
      </c>
      <c r="E838" s="221">
        <v>25106667</v>
      </c>
      <c r="F838" s="221" t="s">
        <v>980</v>
      </c>
      <c r="G838" s="227">
        <v>45868</v>
      </c>
      <c r="H838" s="206" t="s">
        <v>115</v>
      </c>
      <c r="I838" s="206" t="s">
        <v>428</v>
      </c>
      <c r="J838" s="206" t="s">
        <v>641</v>
      </c>
      <c r="K838" s="228">
        <v>1000</v>
      </c>
      <c r="L838" s="229" t="s">
        <v>42</v>
      </c>
      <c r="M838" s="228">
        <v>1000</v>
      </c>
      <c r="N838" s="228">
        <v>347623.32</v>
      </c>
      <c r="O838" s="228">
        <v>347623320</v>
      </c>
      <c r="P838" s="228">
        <v>347623320</v>
      </c>
      <c r="Q838" s="224">
        <v>0</v>
      </c>
      <c r="R838" s="224">
        <v>0</v>
      </c>
      <c r="S838" s="229" t="s">
        <v>43</v>
      </c>
      <c r="T838" s="228">
        <v>296125200</v>
      </c>
      <c r="U838" s="228">
        <v>296125200</v>
      </c>
      <c r="V838" s="228">
        <v>51498120</v>
      </c>
      <c r="W838" s="230">
        <v>0.14814345596799999</v>
      </c>
      <c r="X838" s="228">
        <v>51498120</v>
      </c>
      <c r="Y838" s="206" t="s">
        <v>66</v>
      </c>
      <c r="Z838" s="206" t="s">
        <v>44</v>
      </c>
      <c r="AA838" s="206">
        <v>15159</v>
      </c>
      <c r="AB838" s="206" t="s">
        <v>118</v>
      </c>
      <c r="AC838" s="206" t="s">
        <v>154</v>
      </c>
      <c r="AD838" s="206" t="s">
        <v>155</v>
      </c>
      <c r="AE838" s="206">
        <v>0</v>
      </c>
      <c r="AF838" s="206" t="s">
        <v>119</v>
      </c>
      <c r="AG838" s="206" t="s">
        <v>120</v>
      </c>
      <c r="AH838" s="206" t="s">
        <v>121</v>
      </c>
      <c r="AI838" s="206" t="s">
        <v>69</v>
      </c>
      <c r="AJ838" s="206" t="s">
        <v>46</v>
      </c>
      <c r="AK838" s="206" t="s">
        <v>54</v>
      </c>
      <c r="AL838" s="206" t="s">
        <v>48</v>
      </c>
      <c r="AM838" s="206" t="s">
        <v>49</v>
      </c>
      <c r="AN838" s="243" t="str">
        <f>VLOOKUP(I838,Sheet1!A:D,4,)</f>
        <v>A320400</v>
      </c>
      <c r="AP838" s="4" t="s">
        <v>1189</v>
      </c>
    </row>
    <row r="839" spans="1:42" s="206" customFormat="1" x14ac:dyDescent="0.25">
      <c r="A839" s="226">
        <v>45839</v>
      </c>
      <c r="B839" s="206" t="s">
        <v>40</v>
      </c>
      <c r="C839" s="206" t="s">
        <v>41</v>
      </c>
      <c r="D839" s="221">
        <v>25708405</v>
      </c>
      <c r="E839" s="221">
        <v>25106667</v>
      </c>
      <c r="F839" s="221" t="s">
        <v>980</v>
      </c>
      <c r="G839" s="227">
        <v>45868</v>
      </c>
      <c r="H839" s="206" t="s">
        <v>115</v>
      </c>
      <c r="I839" s="206" t="s">
        <v>430</v>
      </c>
      <c r="J839" s="206" t="s">
        <v>643</v>
      </c>
      <c r="K839" s="228">
        <v>200</v>
      </c>
      <c r="L839" s="229" t="s">
        <v>42</v>
      </c>
      <c r="M839" s="228">
        <v>200</v>
      </c>
      <c r="N839" s="228">
        <v>407304.66</v>
      </c>
      <c r="O839" s="228">
        <v>81460932</v>
      </c>
      <c r="P839" s="228">
        <v>81460932</v>
      </c>
      <c r="Q839" s="224">
        <v>0</v>
      </c>
      <c r="R839" s="224">
        <v>0</v>
      </c>
      <c r="S839" s="229" t="s">
        <v>43</v>
      </c>
      <c r="T839" s="228">
        <v>49313698</v>
      </c>
      <c r="U839" s="228">
        <v>49313698</v>
      </c>
      <c r="V839" s="228">
        <v>32147234</v>
      </c>
      <c r="W839" s="230">
        <v>0.39463376137099998</v>
      </c>
      <c r="X839" s="228">
        <v>32147234</v>
      </c>
      <c r="Y839" s="206" t="s">
        <v>66</v>
      </c>
      <c r="Z839" s="206" t="s">
        <v>44</v>
      </c>
      <c r="AA839" s="206">
        <v>15159</v>
      </c>
      <c r="AB839" s="206" t="s">
        <v>118</v>
      </c>
      <c r="AC839" s="206" t="s">
        <v>154</v>
      </c>
      <c r="AD839" s="206" t="s">
        <v>155</v>
      </c>
      <c r="AE839" s="206">
        <v>0</v>
      </c>
      <c r="AF839" s="206" t="s">
        <v>119</v>
      </c>
      <c r="AG839" s="206" t="s">
        <v>120</v>
      </c>
      <c r="AH839" s="206" t="s">
        <v>121</v>
      </c>
      <c r="AI839" s="206" t="s">
        <v>69</v>
      </c>
      <c r="AJ839" s="206" t="s">
        <v>46</v>
      </c>
      <c r="AK839" s="206" t="s">
        <v>54</v>
      </c>
      <c r="AL839" s="206" t="s">
        <v>48</v>
      </c>
      <c r="AM839" s="206" t="s">
        <v>49</v>
      </c>
      <c r="AN839" s="243" t="str">
        <f>VLOOKUP(I839,Sheet1!A:D,4,)</f>
        <v>A320400</v>
      </c>
      <c r="AP839" s="4" t="s">
        <v>1189</v>
      </c>
    </row>
    <row r="840" spans="1:42" s="206" customFormat="1" x14ac:dyDescent="0.25">
      <c r="A840" s="226">
        <v>45839</v>
      </c>
      <c r="B840" s="206" t="s">
        <v>40</v>
      </c>
      <c r="C840" s="206" t="s">
        <v>41</v>
      </c>
      <c r="D840" s="221">
        <v>25708405</v>
      </c>
      <c r="E840" s="221">
        <v>25106667</v>
      </c>
      <c r="F840" s="221" t="s">
        <v>980</v>
      </c>
      <c r="G840" s="227">
        <v>45868</v>
      </c>
      <c r="H840" s="206" t="s">
        <v>115</v>
      </c>
      <c r="I840" s="206" t="s">
        <v>392</v>
      </c>
      <c r="J840" s="206" t="s">
        <v>604</v>
      </c>
      <c r="K840" s="228">
        <v>500</v>
      </c>
      <c r="L840" s="229" t="s">
        <v>42</v>
      </c>
      <c r="M840" s="228">
        <v>500</v>
      </c>
      <c r="N840" s="228">
        <v>433629.85</v>
      </c>
      <c r="O840" s="228">
        <v>216814925</v>
      </c>
      <c r="P840" s="228">
        <v>216814925</v>
      </c>
      <c r="Q840" s="224">
        <v>0</v>
      </c>
      <c r="R840" s="224">
        <v>0</v>
      </c>
      <c r="S840" s="229" t="s">
        <v>43</v>
      </c>
      <c r="T840" s="228">
        <v>169016132.69999999</v>
      </c>
      <c r="U840" s="228">
        <v>169016132.69999999</v>
      </c>
      <c r="V840" s="228">
        <v>47798792.299999997</v>
      </c>
      <c r="W840" s="230">
        <v>0.22045895733400001</v>
      </c>
      <c r="X840" s="228">
        <v>47798792.299999997</v>
      </c>
      <c r="Y840" s="206" t="s">
        <v>66</v>
      </c>
      <c r="Z840" s="206" t="s">
        <v>44</v>
      </c>
      <c r="AA840" s="206">
        <v>15159</v>
      </c>
      <c r="AB840" s="206" t="s">
        <v>118</v>
      </c>
      <c r="AC840" s="206" t="s">
        <v>154</v>
      </c>
      <c r="AD840" s="206" t="s">
        <v>155</v>
      </c>
      <c r="AE840" s="206">
        <v>0</v>
      </c>
      <c r="AF840" s="206" t="s">
        <v>124</v>
      </c>
      <c r="AG840" s="206" t="s">
        <v>81</v>
      </c>
      <c r="AH840" s="206" t="s">
        <v>57</v>
      </c>
      <c r="AI840" s="206" t="s">
        <v>69</v>
      </c>
      <c r="AJ840" s="206" t="s">
        <v>46</v>
      </c>
      <c r="AK840" s="206" t="s">
        <v>54</v>
      </c>
      <c r="AL840" s="206" t="s">
        <v>48</v>
      </c>
      <c r="AM840" s="206" t="s">
        <v>49</v>
      </c>
      <c r="AN840" s="243" t="str">
        <f>VLOOKUP(I840,Sheet1!A:D,4,)</f>
        <v>A320400</v>
      </c>
      <c r="AP840" s="4" t="s">
        <v>1189</v>
      </c>
    </row>
    <row r="841" spans="1:42" s="206" customFormat="1" x14ac:dyDescent="0.25">
      <c r="A841" s="226">
        <v>45839</v>
      </c>
      <c r="B841" s="206" t="s">
        <v>40</v>
      </c>
      <c r="C841" s="206" t="s">
        <v>41</v>
      </c>
      <c r="D841" s="221">
        <v>25708405</v>
      </c>
      <c r="E841" s="221">
        <v>25106667</v>
      </c>
      <c r="F841" s="221" t="s">
        <v>980</v>
      </c>
      <c r="G841" s="227">
        <v>45868</v>
      </c>
      <c r="H841" s="206" t="s">
        <v>115</v>
      </c>
      <c r="I841" s="206" t="s">
        <v>167</v>
      </c>
      <c r="J841" s="206" t="s">
        <v>168</v>
      </c>
      <c r="K841" s="228">
        <v>40</v>
      </c>
      <c r="L841" s="229" t="s">
        <v>42</v>
      </c>
      <c r="M841" s="228">
        <v>40</v>
      </c>
      <c r="N841" s="228">
        <v>987766.93</v>
      </c>
      <c r="O841" s="228">
        <v>39510677.200000003</v>
      </c>
      <c r="P841" s="228">
        <v>39510677.200000003</v>
      </c>
      <c r="Q841" s="224">
        <v>0</v>
      </c>
      <c r="R841" s="224">
        <v>0</v>
      </c>
      <c r="S841" s="229" t="s">
        <v>43</v>
      </c>
      <c r="T841" s="228">
        <v>20569726.670000002</v>
      </c>
      <c r="U841" s="228">
        <v>20569726.670000002</v>
      </c>
      <c r="V841" s="228">
        <v>18940950.530000001</v>
      </c>
      <c r="W841" s="230">
        <v>0.479388152071</v>
      </c>
      <c r="X841" s="228">
        <v>18940950.530000001</v>
      </c>
      <c r="Y841" s="206" t="s">
        <v>66</v>
      </c>
      <c r="Z841" s="206" t="s">
        <v>44</v>
      </c>
      <c r="AA841" s="206">
        <v>15159</v>
      </c>
      <c r="AB841" s="206" t="s">
        <v>118</v>
      </c>
      <c r="AC841" s="206" t="s">
        <v>154</v>
      </c>
      <c r="AD841" s="206" t="s">
        <v>155</v>
      </c>
      <c r="AE841" s="206">
        <v>0</v>
      </c>
      <c r="AF841" s="206" t="s">
        <v>119</v>
      </c>
      <c r="AG841" s="206" t="s">
        <v>120</v>
      </c>
      <c r="AH841" s="206" t="s">
        <v>121</v>
      </c>
      <c r="AI841" s="206" t="s">
        <v>69</v>
      </c>
      <c r="AJ841" s="206" t="s">
        <v>46</v>
      </c>
      <c r="AK841" s="206" t="s">
        <v>54</v>
      </c>
      <c r="AL841" s="206" t="s">
        <v>48</v>
      </c>
      <c r="AM841" s="206" t="s">
        <v>49</v>
      </c>
      <c r="AN841" s="243" t="str">
        <f>VLOOKUP(I841,Sheet1!A:D,4,)</f>
        <v>A320400</v>
      </c>
      <c r="AP841" s="4" t="s">
        <v>1189</v>
      </c>
    </row>
    <row r="842" spans="1:42" s="206" customFormat="1" x14ac:dyDescent="0.25">
      <c r="A842" s="226">
        <v>45839</v>
      </c>
      <c r="B842" s="206" t="s">
        <v>40</v>
      </c>
      <c r="C842" s="206" t="s">
        <v>41</v>
      </c>
      <c r="D842" s="221">
        <v>25708405</v>
      </c>
      <c r="E842" s="221">
        <v>25106667</v>
      </c>
      <c r="F842" s="221" t="s">
        <v>980</v>
      </c>
      <c r="G842" s="227">
        <v>45868</v>
      </c>
      <c r="H842" s="206" t="s">
        <v>115</v>
      </c>
      <c r="I842" s="206" t="s">
        <v>417</v>
      </c>
      <c r="J842" s="206" t="s">
        <v>630</v>
      </c>
      <c r="K842" s="228">
        <v>100</v>
      </c>
      <c r="L842" s="229" t="s">
        <v>42</v>
      </c>
      <c r="M842" s="228">
        <v>100</v>
      </c>
      <c r="N842" s="228">
        <v>1651946.58</v>
      </c>
      <c r="O842" s="228">
        <v>165194658</v>
      </c>
      <c r="P842" s="228">
        <v>165194658</v>
      </c>
      <c r="Q842" s="224">
        <v>0</v>
      </c>
      <c r="R842" s="224">
        <v>0</v>
      </c>
      <c r="S842" s="229" t="s">
        <v>43</v>
      </c>
      <c r="T842" s="228">
        <v>129474551.09999999</v>
      </c>
      <c r="U842" s="228">
        <v>129474551.09999999</v>
      </c>
      <c r="V842" s="228">
        <v>35720106.899999999</v>
      </c>
      <c r="W842" s="230">
        <v>0.21623039953199999</v>
      </c>
      <c r="X842" s="228">
        <v>35720106.899999999</v>
      </c>
      <c r="Y842" s="206" t="s">
        <v>66</v>
      </c>
      <c r="Z842" s="206" t="s">
        <v>44</v>
      </c>
      <c r="AA842" s="206">
        <v>15159</v>
      </c>
      <c r="AB842" s="206" t="s">
        <v>118</v>
      </c>
      <c r="AC842" s="206" t="s">
        <v>154</v>
      </c>
      <c r="AD842" s="206" t="s">
        <v>155</v>
      </c>
      <c r="AE842" s="206">
        <v>0</v>
      </c>
      <c r="AF842" s="206" t="s">
        <v>119</v>
      </c>
      <c r="AG842" s="206" t="s">
        <v>120</v>
      </c>
      <c r="AH842" s="206" t="s">
        <v>121</v>
      </c>
      <c r="AI842" s="206" t="s">
        <v>69</v>
      </c>
      <c r="AJ842" s="206" t="s">
        <v>46</v>
      </c>
      <c r="AK842" s="206" t="s">
        <v>54</v>
      </c>
      <c r="AL842" s="206" t="s">
        <v>48</v>
      </c>
      <c r="AM842" s="206" t="s">
        <v>49</v>
      </c>
      <c r="AN842" s="243" t="str">
        <f>VLOOKUP(I842,Sheet1!A:D,4,)</f>
        <v>A320400</v>
      </c>
      <c r="AP842" s="4" t="s">
        <v>1189</v>
      </c>
    </row>
    <row r="843" spans="1:42" s="206" customFormat="1" x14ac:dyDescent="0.25">
      <c r="A843" s="226">
        <v>45839</v>
      </c>
      <c r="B843" s="206" t="s">
        <v>40</v>
      </c>
      <c r="C843" s="206" t="s">
        <v>41</v>
      </c>
      <c r="D843" s="221">
        <v>25708406</v>
      </c>
      <c r="E843" s="221">
        <v>25106667</v>
      </c>
      <c r="F843" s="221" t="s">
        <v>980</v>
      </c>
      <c r="G843" s="227">
        <v>45868</v>
      </c>
      <c r="H843" s="206" t="s">
        <v>115</v>
      </c>
      <c r="I843" s="206" t="s">
        <v>116</v>
      </c>
      <c r="J843" s="206" t="s">
        <v>117</v>
      </c>
      <c r="K843" s="228">
        <v>500</v>
      </c>
      <c r="L843" s="229" t="s">
        <v>42</v>
      </c>
      <c r="M843" s="228">
        <v>500</v>
      </c>
      <c r="N843" s="228">
        <v>395858.92</v>
      </c>
      <c r="O843" s="228">
        <v>197929460</v>
      </c>
      <c r="P843" s="228">
        <v>197929460</v>
      </c>
      <c r="Q843" s="224">
        <v>0</v>
      </c>
      <c r="R843" s="224">
        <v>0</v>
      </c>
      <c r="S843" s="229" t="s">
        <v>43</v>
      </c>
      <c r="T843" s="228">
        <v>153532830.36000001</v>
      </c>
      <c r="U843" s="228">
        <v>153532830.36000001</v>
      </c>
      <c r="V843" s="228">
        <v>44396629.640000001</v>
      </c>
      <c r="W843" s="230">
        <v>0.224305313822</v>
      </c>
      <c r="X843" s="228">
        <v>44396629.640000001</v>
      </c>
      <c r="Y843" s="206" t="s">
        <v>66</v>
      </c>
      <c r="Z843" s="206" t="s">
        <v>44</v>
      </c>
      <c r="AA843" s="206">
        <v>15159</v>
      </c>
      <c r="AB843" s="206" t="s">
        <v>118</v>
      </c>
      <c r="AC843" s="206" t="s">
        <v>154</v>
      </c>
      <c r="AD843" s="206" t="s">
        <v>155</v>
      </c>
      <c r="AE843" s="206">
        <v>0</v>
      </c>
      <c r="AF843" s="206" t="s">
        <v>119</v>
      </c>
      <c r="AG843" s="206" t="s">
        <v>120</v>
      </c>
      <c r="AH843" s="206" t="s">
        <v>121</v>
      </c>
      <c r="AI843" s="206" t="s">
        <v>69</v>
      </c>
      <c r="AJ843" s="206" t="s">
        <v>46</v>
      </c>
      <c r="AK843" s="206" t="s">
        <v>54</v>
      </c>
      <c r="AL843" s="206" t="s">
        <v>48</v>
      </c>
      <c r="AM843" s="206" t="s">
        <v>49</v>
      </c>
      <c r="AN843" s="243" t="str">
        <f>VLOOKUP(I843,Sheet1!A:D,4,)</f>
        <v>A320400</v>
      </c>
      <c r="AP843" s="4" t="s">
        <v>1189</v>
      </c>
    </row>
    <row r="844" spans="1:42" s="206" customFormat="1" x14ac:dyDescent="0.25">
      <c r="A844" s="226">
        <v>45839</v>
      </c>
      <c r="B844" s="206" t="s">
        <v>40</v>
      </c>
      <c r="C844" s="206" t="s">
        <v>41</v>
      </c>
      <c r="D844" s="221">
        <v>25708406</v>
      </c>
      <c r="E844" s="221">
        <v>25106667</v>
      </c>
      <c r="F844" s="221" t="s">
        <v>980</v>
      </c>
      <c r="G844" s="227">
        <v>45868</v>
      </c>
      <c r="H844" s="206" t="s">
        <v>115</v>
      </c>
      <c r="I844" s="206" t="s">
        <v>122</v>
      </c>
      <c r="J844" s="206" t="s">
        <v>123</v>
      </c>
      <c r="K844" s="228">
        <v>680</v>
      </c>
      <c r="L844" s="229" t="s">
        <v>42</v>
      </c>
      <c r="M844" s="228">
        <v>680</v>
      </c>
      <c r="N844" s="228">
        <v>464860.35</v>
      </c>
      <c r="O844" s="228">
        <v>316105038</v>
      </c>
      <c r="P844" s="228">
        <v>316105038</v>
      </c>
      <c r="Q844" s="224">
        <v>0</v>
      </c>
      <c r="R844" s="224">
        <v>0</v>
      </c>
      <c r="S844" s="229" t="s">
        <v>43</v>
      </c>
      <c r="T844" s="228">
        <v>151506108</v>
      </c>
      <c r="U844" s="228">
        <v>151506108</v>
      </c>
      <c r="V844" s="228">
        <v>164598930</v>
      </c>
      <c r="W844" s="230">
        <v>0.52070960665900001</v>
      </c>
      <c r="X844" s="228">
        <v>164598930</v>
      </c>
      <c r="Y844" s="206" t="s">
        <v>66</v>
      </c>
      <c r="Z844" s="206" t="s">
        <v>44</v>
      </c>
      <c r="AA844" s="206">
        <v>15159</v>
      </c>
      <c r="AB844" s="206" t="s">
        <v>118</v>
      </c>
      <c r="AC844" s="206" t="s">
        <v>154</v>
      </c>
      <c r="AD844" s="206" t="s">
        <v>155</v>
      </c>
      <c r="AE844" s="206">
        <v>0</v>
      </c>
      <c r="AF844" s="206" t="s">
        <v>124</v>
      </c>
      <c r="AG844" s="206" t="s">
        <v>81</v>
      </c>
      <c r="AH844" s="206" t="s">
        <v>57</v>
      </c>
      <c r="AI844" s="206" t="s">
        <v>69</v>
      </c>
      <c r="AJ844" s="206" t="s">
        <v>46</v>
      </c>
      <c r="AK844" s="206" t="s">
        <v>54</v>
      </c>
      <c r="AL844" s="206" t="s">
        <v>48</v>
      </c>
      <c r="AM844" s="206" t="s">
        <v>49</v>
      </c>
      <c r="AN844" s="243" t="str">
        <f>VLOOKUP(I844,Sheet1!A:D,4,)</f>
        <v>A320400</v>
      </c>
      <c r="AP844" s="4" t="s">
        <v>1189</v>
      </c>
    </row>
    <row r="845" spans="1:42" s="206" customFormat="1" x14ac:dyDescent="0.25">
      <c r="A845" s="226">
        <v>45839</v>
      </c>
      <c r="B845" s="206" t="s">
        <v>40</v>
      </c>
      <c r="C845" s="206" t="s">
        <v>41</v>
      </c>
      <c r="D845" s="221">
        <v>25708406</v>
      </c>
      <c r="E845" s="221">
        <v>25106667</v>
      </c>
      <c r="F845" s="221" t="s">
        <v>980</v>
      </c>
      <c r="G845" s="227">
        <v>45868</v>
      </c>
      <c r="H845" s="206" t="s">
        <v>115</v>
      </c>
      <c r="I845" s="206" t="s">
        <v>281</v>
      </c>
      <c r="J845" s="206" t="s">
        <v>487</v>
      </c>
      <c r="K845" s="228">
        <v>200</v>
      </c>
      <c r="L845" s="229" t="s">
        <v>42</v>
      </c>
      <c r="M845" s="228">
        <v>200</v>
      </c>
      <c r="N845" s="228">
        <v>535660.4</v>
      </c>
      <c r="O845" s="228">
        <v>107132080</v>
      </c>
      <c r="P845" s="228">
        <v>107132080</v>
      </c>
      <c r="Q845" s="224">
        <v>0</v>
      </c>
      <c r="R845" s="224">
        <v>0</v>
      </c>
      <c r="S845" s="229" t="s">
        <v>43</v>
      </c>
      <c r="T845" s="228">
        <v>65105558.399999999</v>
      </c>
      <c r="U845" s="228">
        <v>65105558.399999999</v>
      </c>
      <c r="V845" s="228">
        <v>42026521.600000001</v>
      </c>
      <c r="W845" s="230">
        <v>0.392286993774</v>
      </c>
      <c r="X845" s="228">
        <v>42026521.600000001</v>
      </c>
      <c r="Y845" s="206" t="s">
        <v>66</v>
      </c>
      <c r="Z845" s="206" t="s">
        <v>44</v>
      </c>
      <c r="AA845" s="206">
        <v>15159</v>
      </c>
      <c r="AB845" s="206" t="s">
        <v>118</v>
      </c>
      <c r="AC845" s="206" t="s">
        <v>154</v>
      </c>
      <c r="AD845" s="206" t="s">
        <v>155</v>
      </c>
      <c r="AE845" s="206">
        <v>0</v>
      </c>
      <c r="AF845" s="206" t="s">
        <v>119</v>
      </c>
      <c r="AG845" s="206" t="s">
        <v>120</v>
      </c>
      <c r="AH845" s="206" t="s">
        <v>121</v>
      </c>
      <c r="AI845" s="206" t="s">
        <v>69</v>
      </c>
      <c r="AJ845" s="206" t="s">
        <v>46</v>
      </c>
      <c r="AK845" s="206" t="s">
        <v>54</v>
      </c>
      <c r="AL845" s="206" t="s">
        <v>48</v>
      </c>
      <c r="AM845" s="206" t="s">
        <v>49</v>
      </c>
      <c r="AN845" s="243" t="str">
        <f>VLOOKUP(I845,Sheet1!A:D,4,)</f>
        <v>A320400</v>
      </c>
      <c r="AP845" s="4" t="s">
        <v>1189</v>
      </c>
    </row>
    <row r="846" spans="1:42" s="206" customFormat="1" x14ac:dyDescent="0.25">
      <c r="A846" s="226">
        <v>45839</v>
      </c>
      <c r="B846" s="206" t="s">
        <v>40</v>
      </c>
      <c r="C846" s="206" t="s">
        <v>41</v>
      </c>
      <c r="D846" s="221">
        <v>25708406</v>
      </c>
      <c r="E846" s="221">
        <v>25106667</v>
      </c>
      <c r="F846" s="221" t="s">
        <v>980</v>
      </c>
      <c r="G846" s="227">
        <v>45868</v>
      </c>
      <c r="H846" s="206" t="s">
        <v>115</v>
      </c>
      <c r="I846" s="206" t="s">
        <v>335</v>
      </c>
      <c r="J846" s="206" t="s">
        <v>1002</v>
      </c>
      <c r="K846" s="228">
        <v>60</v>
      </c>
      <c r="L846" s="229" t="s">
        <v>42</v>
      </c>
      <c r="M846" s="228">
        <v>60</v>
      </c>
      <c r="N846" s="228">
        <v>536314.43999999994</v>
      </c>
      <c r="O846" s="228">
        <v>32178866.399999999</v>
      </c>
      <c r="P846" s="228">
        <v>32178866.399999999</v>
      </c>
      <c r="Q846" s="224">
        <v>0</v>
      </c>
      <c r="R846" s="224">
        <v>0</v>
      </c>
      <c r="S846" s="229" t="s">
        <v>43</v>
      </c>
      <c r="T846" s="228">
        <v>13951896</v>
      </c>
      <c r="U846" s="228">
        <v>13951896</v>
      </c>
      <c r="V846" s="228">
        <v>18226970.399999999</v>
      </c>
      <c r="W846" s="230">
        <v>0.56642674025299999</v>
      </c>
      <c r="X846" s="228">
        <v>18226970.399999999</v>
      </c>
      <c r="Y846" s="206" t="s">
        <v>66</v>
      </c>
      <c r="Z846" s="206" t="s">
        <v>44</v>
      </c>
      <c r="AA846" s="206">
        <v>15159</v>
      </c>
      <c r="AB846" s="206" t="s">
        <v>118</v>
      </c>
      <c r="AC846" s="206" t="s">
        <v>154</v>
      </c>
      <c r="AD846" s="206" t="s">
        <v>155</v>
      </c>
      <c r="AE846" s="206">
        <v>0</v>
      </c>
      <c r="AF846" s="206" t="s">
        <v>124</v>
      </c>
      <c r="AG846" s="206" t="s">
        <v>81</v>
      </c>
      <c r="AH846" s="206" t="s">
        <v>57</v>
      </c>
      <c r="AI846" s="206" t="s">
        <v>69</v>
      </c>
      <c r="AJ846" s="206" t="s">
        <v>46</v>
      </c>
      <c r="AK846" s="206" t="s">
        <v>54</v>
      </c>
      <c r="AL846" s="206" t="s">
        <v>48</v>
      </c>
      <c r="AM846" s="206" t="s">
        <v>49</v>
      </c>
      <c r="AN846" s="243" t="str">
        <f>VLOOKUP(I846,Sheet1!A:D,4,)</f>
        <v>A320400</v>
      </c>
      <c r="AP846" s="4" t="s">
        <v>1189</v>
      </c>
    </row>
    <row r="847" spans="1:42" s="206" customFormat="1" x14ac:dyDescent="0.25">
      <c r="A847" s="226">
        <v>45839</v>
      </c>
      <c r="B847" s="206" t="s">
        <v>40</v>
      </c>
      <c r="C847" s="206" t="s">
        <v>41</v>
      </c>
      <c r="D847" s="221">
        <v>25708406</v>
      </c>
      <c r="E847" s="221">
        <v>25106667</v>
      </c>
      <c r="F847" s="221" t="s">
        <v>980</v>
      </c>
      <c r="G847" s="227">
        <v>45868</v>
      </c>
      <c r="H847" s="206" t="s">
        <v>115</v>
      </c>
      <c r="I847" s="206" t="s">
        <v>408</v>
      </c>
      <c r="J847" s="206" t="s">
        <v>1186</v>
      </c>
      <c r="K847" s="228">
        <v>20</v>
      </c>
      <c r="L847" s="229" t="s">
        <v>42</v>
      </c>
      <c r="M847" s="228">
        <v>20</v>
      </c>
      <c r="N847" s="228">
        <v>1193626.6499999999</v>
      </c>
      <c r="O847" s="228">
        <v>23872533</v>
      </c>
      <c r="P847" s="228">
        <v>23872533</v>
      </c>
      <c r="Q847" s="224">
        <v>0</v>
      </c>
      <c r="R847" s="224">
        <v>0</v>
      </c>
      <c r="S847" s="229" t="s">
        <v>43</v>
      </c>
      <c r="T847" s="228">
        <v>17809532.449999999</v>
      </c>
      <c r="U847" s="228">
        <v>17809532.449999999</v>
      </c>
      <c r="V847" s="228">
        <v>6063000.5499999998</v>
      </c>
      <c r="W847" s="230">
        <v>0.253973910099</v>
      </c>
      <c r="X847" s="228">
        <v>6063000.5499999998</v>
      </c>
      <c r="Y847" s="206" t="s">
        <v>66</v>
      </c>
      <c r="Z847" s="206" t="s">
        <v>44</v>
      </c>
      <c r="AA847" s="206">
        <v>15159</v>
      </c>
      <c r="AB847" s="206" t="s">
        <v>118</v>
      </c>
      <c r="AC847" s="206" t="s">
        <v>154</v>
      </c>
      <c r="AD847" s="206" t="s">
        <v>155</v>
      </c>
      <c r="AE847" s="206">
        <v>0</v>
      </c>
      <c r="AF847" s="206" t="s">
        <v>124</v>
      </c>
      <c r="AG847" s="206" t="s">
        <v>81</v>
      </c>
      <c r="AH847" s="206" t="s">
        <v>57</v>
      </c>
      <c r="AI847" s="206" t="s">
        <v>69</v>
      </c>
      <c r="AJ847" s="206" t="s">
        <v>46</v>
      </c>
      <c r="AK847" s="206" t="s">
        <v>54</v>
      </c>
      <c r="AL847" s="206" t="s">
        <v>48</v>
      </c>
      <c r="AM847" s="206" t="s">
        <v>49</v>
      </c>
      <c r="AN847" s="243" t="str">
        <f>VLOOKUP(I847,Sheet1!A:D,4,)</f>
        <v>A320400</v>
      </c>
      <c r="AP847" s="4" t="s">
        <v>1189</v>
      </c>
    </row>
    <row r="848" spans="1:42" s="206" customFormat="1" x14ac:dyDescent="0.25">
      <c r="A848" s="226">
        <v>45839</v>
      </c>
      <c r="B848" s="206" t="s">
        <v>40</v>
      </c>
      <c r="C848" s="206" t="s">
        <v>41</v>
      </c>
      <c r="D848" s="221">
        <v>25708406</v>
      </c>
      <c r="E848" s="221">
        <v>25106667</v>
      </c>
      <c r="F848" s="221" t="s">
        <v>980</v>
      </c>
      <c r="G848" s="227">
        <v>45868</v>
      </c>
      <c r="H848" s="206" t="s">
        <v>115</v>
      </c>
      <c r="I848" s="206" t="s">
        <v>407</v>
      </c>
      <c r="J848" s="206" t="s">
        <v>1188</v>
      </c>
      <c r="K848" s="228">
        <v>20</v>
      </c>
      <c r="L848" s="229" t="s">
        <v>42</v>
      </c>
      <c r="M848" s="228">
        <v>20</v>
      </c>
      <c r="N848" s="228">
        <v>1291242.42</v>
      </c>
      <c r="O848" s="228">
        <v>25824848.399999999</v>
      </c>
      <c r="P848" s="228">
        <v>25824848.399999999</v>
      </c>
      <c r="Q848" s="224">
        <v>0</v>
      </c>
      <c r="R848" s="224">
        <v>0</v>
      </c>
      <c r="S848" s="229" t="s">
        <v>43</v>
      </c>
      <c r="T848" s="228">
        <v>12175336</v>
      </c>
      <c r="U848" s="228">
        <v>12175336</v>
      </c>
      <c r="V848" s="228">
        <v>13649512.4</v>
      </c>
      <c r="W848" s="230">
        <v>0.52854182098500002</v>
      </c>
      <c r="X848" s="228">
        <v>13649512.4</v>
      </c>
      <c r="Y848" s="206" t="s">
        <v>66</v>
      </c>
      <c r="Z848" s="206" t="s">
        <v>44</v>
      </c>
      <c r="AA848" s="206">
        <v>15159</v>
      </c>
      <c r="AB848" s="206" t="s">
        <v>118</v>
      </c>
      <c r="AC848" s="206" t="s">
        <v>154</v>
      </c>
      <c r="AD848" s="206" t="s">
        <v>155</v>
      </c>
      <c r="AE848" s="206">
        <v>0</v>
      </c>
      <c r="AF848" s="206" t="s">
        <v>124</v>
      </c>
      <c r="AG848" s="206" t="s">
        <v>81</v>
      </c>
      <c r="AH848" s="206" t="s">
        <v>57</v>
      </c>
      <c r="AI848" s="206" t="s">
        <v>69</v>
      </c>
      <c r="AJ848" s="206" t="s">
        <v>46</v>
      </c>
      <c r="AK848" s="206" t="s">
        <v>54</v>
      </c>
      <c r="AL848" s="206" t="s">
        <v>48</v>
      </c>
      <c r="AM848" s="206" t="s">
        <v>49</v>
      </c>
      <c r="AN848" s="243" t="str">
        <f>VLOOKUP(I848,Sheet1!A:D,4,)</f>
        <v>A320400</v>
      </c>
      <c r="AP848" s="4" t="s">
        <v>1189</v>
      </c>
    </row>
    <row r="849" spans="1:42" s="206" customFormat="1" x14ac:dyDescent="0.25">
      <c r="A849" s="226">
        <v>45870</v>
      </c>
      <c r="B849" s="206" t="s">
        <v>40</v>
      </c>
      <c r="C849" s="206" t="s">
        <v>41</v>
      </c>
      <c r="D849" s="221">
        <v>25708408</v>
      </c>
      <c r="E849" s="221">
        <v>25106869</v>
      </c>
      <c r="F849" s="221" t="s">
        <v>1191</v>
      </c>
      <c r="G849" s="227">
        <v>45873</v>
      </c>
      <c r="H849" s="206" t="s">
        <v>115</v>
      </c>
      <c r="I849" s="206" t="s">
        <v>1192</v>
      </c>
      <c r="J849" s="206" t="s">
        <v>1193</v>
      </c>
      <c r="K849" s="228">
        <v>2</v>
      </c>
      <c r="L849" s="229" t="s">
        <v>42</v>
      </c>
      <c r="M849" s="228">
        <v>2</v>
      </c>
      <c r="N849" s="228">
        <v>3717359.39</v>
      </c>
      <c r="O849" s="228">
        <v>7434718.7800000003</v>
      </c>
      <c r="P849" s="228">
        <v>7434718.7800000003</v>
      </c>
      <c r="Q849" s="224">
        <v>0</v>
      </c>
      <c r="R849" s="224">
        <v>0</v>
      </c>
      <c r="S849" s="229" t="s">
        <v>43</v>
      </c>
      <c r="T849" s="228">
        <v>6569017.9199999999</v>
      </c>
      <c r="U849" s="228">
        <v>6569017.9199999999</v>
      </c>
      <c r="V849" s="228">
        <v>865700.86</v>
      </c>
      <c r="W849" s="230">
        <v>0.116440296616</v>
      </c>
      <c r="X849" s="228">
        <v>865700.86</v>
      </c>
      <c r="Y849" s="206" t="s">
        <v>66</v>
      </c>
      <c r="Z849" s="206" t="s">
        <v>44</v>
      </c>
      <c r="AA849" s="206">
        <v>15159</v>
      </c>
      <c r="AB849" s="206" t="s">
        <v>118</v>
      </c>
      <c r="AC849" s="206" t="s">
        <v>154</v>
      </c>
      <c r="AD849" s="206" t="s">
        <v>155</v>
      </c>
      <c r="AE849" s="206">
        <v>0</v>
      </c>
      <c r="AF849" s="206" t="s">
        <v>72</v>
      </c>
      <c r="AG849" s="206" t="s">
        <v>69</v>
      </c>
      <c r="AH849" s="206" t="s">
        <v>46</v>
      </c>
      <c r="AI849" s="206" t="s">
        <v>69</v>
      </c>
      <c r="AJ849" s="206" t="s">
        <v>46</v>
      </c>
      <c r="AK849" s="206" t="s">
        <v>54</v>
      </c>
      <c r="AL849" s="206" t="s">
        <v>48</v>
      </c>
      <c r="AM849" s="206" t="s">
        <v>49</v>
      </c>
      <c r="AN849" s="243" t="str">
        <f>VLOOKUP(I849,Sheet1!A:D,4,)</f>
        <v>A320400</v>
      </c>
      <c r="AP849" s="36" t="s">
        <v>1196</v>
      </c>
    </row>
    <row r="850" spans="1:42" s="206" customFormat="1" x14ac:dyDescent="0.25">
      <c r="A850" s="226">
        <v>45870</v>
      </c>
      <c r="B850" s="206" t="s">
        <v>40</v>
      </c>
      <c r="C850" s="206" t="s">
        <v>41</v>
      </c>
      <c r="D850" s="221">
        <v>25708409</v>
      </c>
      <c r="E850" s="221">
        <v>25106816</v>
      </c>
      <c r="F850" s="221" t="s">
        <v>1176</v>
      </c>
      <c r="G850" s="227">
        <v>45873</v>
      </c>
      <c r="H850" s="206" t="s">
        <v>115</v>
      </c>
      <c r="I850" s="206" t="s">
        <v>411</v>
      </c>
      <c r="J850" s="206" t="s">
        <v>713</v>
      </c>
      <c r="K850" s="228">
        <v>20</v>
      </c>
      <c r="L850" s="229" t="s">
        <v>42</v>
      </c>
      <c r="M850" s="228">
        <v>20</v>
      </c>
      <c r="N850" s="228">
        <v>2086779.9</v>
      </c>
      <c r="O850" s="228">
        <v>41735598</v>
      </c>
      <c r="P850" s="228">
        <v>41735598</v>
      </c>
      <c r="Q850" s="224">
        <v>0</v>
      </c>
      <c r="R850" s="224">
        <v>0</v>
      </c>
      <c r="S850" s="229" t="s">
        <v>43</v>
      </c>
      <c r="T850" s="228">
        <v>18143496.460000001</v>
      </c>
      <c r="U850" s="228">
        <v>18143496.460000001</v>
      </c>
      <c r="V850" s="228">
        <v>23592101.539999999</v>
      </c>
      <c r="W850" s="230">
        <v>0.56527527268199995</v>
      </c>
      <c r="X850" s="228">
        <v>23592101.539999999</v>
      </c>
      <c r="Y850" s="206" t="s">
        <v>66</v>
      </c>
      <c r="Z850" s="206" t="s">
        <v>44</v>
      </c>
      <c r="AA850" s="206">
        <v>15159</v>
      </c>
      <c r="AB850" s="206" t="s">
        <v>118</v>
      </c>
      <c r="AC850" s="206" t="s">
        <v>154</v>
      </c>
      <c r="AD850" s="206" t="s">
        <v>155</v>
      </c>
      <c r="AE850" s="206">
        <v>0</v>
      </c>
      <c r="AF850" s="206" t="s">
        <v>68</v>
      </c>
      <c r="AG850" s="206" t="s">
        <v>69</v>
      </c>
      <c r="AH850" s="206" t="s">
        <v>46</v>
      </c>
      <c r="AI850" s="206" t="s">
        <v>69</v>
      </c>
      <c r="AJ850" s="206" t="s">
        <v>46</v>
      </c>
      <c r="AK850" s="206" t="s">
        <v>54</v>
      </c>
      <c r="AL850" s="206" t="s">
        <v>48</v>
      </c>
      <c r="AM850" s="206" t="s">
        <v>49</v>
      </c>
      <c r="AN850" s="243" t="str">
        <f>VLOOKUP(I850,Sheet1!A:D,4,)</f>
        <v>A320400</v>
      </c>
      <c r="AP850" s="36" t="s">
        <v>1196</v>
      </c>
    </row>
    <row r="851" spans="1:42" s="206" customFormat="1" x14ac:dyDescent="0.25">
      <c r="A851" s="226">
        <v>45870</v>
      </c>
      <c r="B851" s="206" t="s">
        <v>40</v>
      </c>
      <c r="C851" s="206" t="s">
        <v>41</v>
      </c>
      <c r="D851" s="221">
        <v>25708410</v>
      </c>
      <c r="E851" s="221">
        <v>25106867</v>
      </c>
      <c r="F851" s="221" t="s">
        <v>1194</v>
      </c>
      <c r="G851" s="227">
        <v>45873</v>
      </c>
      <c r="H851" s="206" t="s">
        <v>150</v>
      </c>
      <c r="I851" s="206" t="s">
        <v>174</v>
      </c>
      <c r="J851" s="206" t="s">
        <v>175</v>
      </c>
      <c r="K851" s="228">
        <v>20</v>
      </c>
      <c r="L851" s="229" t="s">
        <v>42</v>
      </c>
      <c r="M851" s="228">
        <v>20</v>
      </c>
      <c r="N851" s="228">
        <v>1326973.28</v>
      </c>
      <c r="O851" s="228">
        <v>26539465.600000001</v>
      </c>
      <c r="P851" s="228">
        <v>26539465.600000001</v>
      </c>
      <c r="Q851" s="224">
        <v>0</v>
      </c>
      <c r="R851" s="224">
        <v>0</v>
      </c>
      <c r="S851" s="229" t="s">
        <v>43</v>
      </c>
      <c r="T851" s="228">
        <v>12535359.720000001</v>
      </c>
      <c r="U851" s="228">
        <v>12535359.720000001</v>
      </c>
      <c r="V851" s="228">
        <v>14004105.880000001</v>
      </c>
      <c r="W851" s="230">
        <v>0.52767098219099995</v>
      </c>
      <c r="X851" s="228">
        <v>14004105.880000001</v>
      </c>
      <c r="Y851" s="206" t="s">
        <v>69</v>
      </c>
      <c r="Z851" s="206" t="s">
        <v>46</v>
      </c>
      <c r="AA851" s="206">
        <v>2306392</v>
      </c>
      <c r="AB851" s="206" t="s">
        <v>153</v>
      </c>
      <c r="AC851" s="206" t="s">
        <v>154</v>
      </c>
      <c r="AD851" s="206" t="s">
        <v>155</v>
      </c>
      <c r="AE851" s="206">
        <v>0</v>
      </c>
      <c r="AF851" s="206" t="s">
        <v>72</v>
      </c>
      <c r="AG851" s="206" t="s">
        <v>69</v>
      </c>
      <c r="AH851" s="206" t="s">
        <v>46</v>
      </c>
      <c r="AI851" s="206" t="s">
        <v>69</v>
      </c>
      <c r="AJ851" s="206" t="s">
        <v>46</v>
      </c>
      <c r="AK851" s="206" t="s">
        <v>54</v>
      </c>
      <c r="AL851" s="206" t="s">
        <v>48</v>
      </c>
      <c r="AM851" s="206" t="s">
        <v>49</v>
      </c>
      <c r="AN851" s="243" t="str">
        <f>VLOOKUP(I851,Sheet1!A:D,4,)</f>
        <v>A320400</v>
      </c>
      <c r="AP851" s="36" t="s">
        <v>1196</v>
      </c>
    </row>
    <row r="852" spans="1:42" s="206" customFormat="1" x14ac:dyDescent="0.25">
      <c r="A852" s="226">
        <v>45870</v>
      </c>
      <c r="B852" s="206" t="s">
        <v>40</v>
      </c>
      <c r="C852" s="206" t="s">
        <v>41</v>
      </c>
      <c r="D852" s="221">
        <v>25708411</v>
      </c>
      <c r="E852" s="221">
        <v>25106827</v>
      </c>
      <c r="F852" s="221" t="s">
        <v>1182</v>
      </c>
      <c r="G852" s="227">
        <v>45873</v>
      </c>
      <c r="H852" s="206" t="s">
        <v>126</v>
      </c>
      <c r="I852" s="206" t="s">
        <v>473</v>
      </c>
      <c r="J852" s="206" t="s">
        <v>1195</v>
      </c>
      <c r="K852" s="228">
        <v>1</v>
      </c>
      <c r="L852" s="229" t="s">
        <v>42</v>
      </c>
      <c r="M852" s="228">
        <v>1</v>
      </c>
      <c r="N852" s="228">
        <v>3219761.86</v>
      </c>
      <c r="O852" s="228">
        <v>3219761.86</v>
      </c>
      <c r="P852" s="228">
        <v>3219761.86</v>
      </c>
      <c r="Q852" s="224">
        <v>0</v>
      </c>
      <c r="R852" s="224">
        <v>0</v>
      </c>
      <c r="S852" s="229" t="s">
        <v>43</v>
      </c>
      <c r="T852" s="228">
        <v>1566134.55</v>
      </c>
      <c r="U852" s="228">
        <v>1566134.55</v>
      </c>
      <c r="V852" s="228">
        <v>1653627.31</v>
      </c>
      <c r="W852" s="230">
        <v>0.51358683713300002</v>
      </c>
      <c r="X852" s="228">
        <v>1653627.31</v>
      </c>
      <c r="Y852" s="206" t="s">
        <v>69</v>
      </c>
      <c r="Z852" s="206" t="s">
        <v>46</v>
      </c>
      <c r="AA852" s="206">
        <v>2306153</v>
      </c>
      <c r="AB852" s="206" t="s">
        <v>126</v>
      </c>
      <c r="AC852" s="206" t="s">
        <v>56</v>
      </c>
      <c r="AD852" s="206" t="s">
        <v>77</v>
      </c>
      <c r="AE852" s="206">
        <v>0</v>
      </c>
      <c r="AF852" s="206" t="s">
        <v>72</v>
      </c>
      <c r="AG852" s="206" t="s">
        <v>71</v>
      </c>
      <c r="AH852" s="206" t="s">
        <v>53</v>
      </c>
      <c r="AI852" s="206" t="s">
        <v>69</v>
      </c>
      <c r="AJ852" s="206" t="s">
        <v>46</v>
      </c>
      <c r="AK852" s="206" t="s">
        <v>54</v>
      </c>
      <c r="AL852" s="206" t="s">
        <v>48</v>
      </c>
      <c r="AM852" s="206" t="s">
        <v>49</v>
      </c>
      <c r="AN852" s="243" t="str">
        <f>VLOOKUP(I852,Sheet1!A:D,4,)</f>
        <v>A320400</v>
      </c>
      <c r="AP852" s="36" t="s">
        <v>1196</v>
      </c>
    </row>
    <row r="853" spans="1:42" s="206" customFormat="1" x14ac:dyDescent="0.25">
      <c r="A853" s="226">
        <v>45870</v>
      </c>
      <c r="B853" s="206" t="s">
        <v>40</v>
      </c>
      <c r="C853" s="206" t="s">
        <v>41</v>
      </c>
      <c r="D853" s="221">
        <v>25708417</v>
      </c>
      <c r="E853" s="221">
        <v>25106777</v>
      </c>
      <c r="F853" s="221" t="s">
        <v>1120</v>
      </c>
      <c r="G853" s="227">
        <v>45873</v>
      </c>
      <c r="H853" s="206" t="s">
        <v>126</v>
      </c>
      <c r="I853" s="206" t="s">
        <v>167</v>
      </c>
      <c r="J853" s="206" t="s">
        <v>168</v>
      </c>
      <c r="K853" s="228">
        <v>20</v>
      </c>
      <c r="L853" s="229" t="s">
        <v>42</v>
      </c>
      <c r="M853" s="228">
        <v>20</v>
      </c>
      <c r="N853" s="228">
        <v>1016522.7</v>
      </c>
      <c r="O853" s="228">
        <v>20330454</v>
      </c>
      <c r="P853" s="228">
        <v>20330454</v>
      </c>
      <c r="Q853" s="224">
        <v>0</v>
      </c>
      <c r="R853" s="224">
        <v>0</v>
      </c>
      <c r="S853" s="229" t="s">
        <v>43</v>
      </c>
      <c r="T853" s="228">
        <v>10282122.02</v>
      </c>
      <c r="U853" s="228">
        <v>10282122.02</v>
      </c>
      <c r="V853" s="228">
        <v>10048331.98</v>
      </c>
      <c r="W853" s="230">
        <v>0.49425025038699999</v>
      </c>
      <c r="X853" s="228">
        <v>10048331.98</v>
      </c>
      <c r="Y853" s="206" t="s">
        <v>69</v>
      </c>
      <c r="Z853" s="206" t="s">
        <v>46</v>
      </c>
      <c r="AA853" s="206">
        <v>2306153</v>
      </c>
      <c r="AB853" s="206" t="s">
        <v>126</v>
      </c>
      <c r="AC853" s="206" t="s">
        <v>56</v>
      </c>
      <c r="AD853" s="206" t="s">
        <v>77</v>
      </c>
      <c r="AE853" s="206">
        <v>0</v>
      </c>
      <c r="AF853" s="206" t="s">
        <v>119</v>
      </c>
      <c r="AG853" s="206" t="s">
        <v>120</v>
      </c>
      <c r="AH853" s="206" t="s">
        <v>121</v>
      </c>
      <c r="AI853" s="206" t="s">
        <v>69</v>
      </c>
      <c r="AJ853" s="206" t="s">
        <v>46</v>
      </c>
      <c r="AK853" s="206" t="s">
        <v>54</v>
      </c>
      <c r="AL853" s="206" t="s">
        <v>48</v>
      </c>
      <c r="AM853" s="206" t="s">
        <v>49</v>
      </c>
      <c r="AN853" s="243" t="str">
        <f>VLOOKUP(I853,Sheet1!A:D,4,)</f>
        <v>A320400</v>
      </c>
      <c r="AP853" s="4" t="s">
        <v>1207</v>
      </c>
    </row>
    <row r="854" spans="1:42" s="206" customFormat="1" x14ac:dyDescent="0.25">
      <c r="A854" s="226">
        <v>45870</v>
      </c>
      <c r="B854" s="206" t="s">
        <v>40</v>
      </c>
      <c r="C854" s="206" t="s">
        <v>41</v>
      </c>
      <c r="D854" s="221">
        <v>25708418</v>
      </c>
      <c r="E854" s="221">
        <v>25106827</v>
      </c>
      <c r="F854" s="221" t="s">
        <v>1182</v>
      </c>
      <c r="G854" s="227">
        <v>45873</v>
      </c>
      <c r="H854" s="206" t="s">
        <v>126</v>
      </c>
      <c r="I854" s="206" t="s">
        <v>1202</v>
      </c>
      <c r="J854" s="206" t="s">
        <v>1203</v>
      </c>
      <c r="K854" s="228">
        <v>15</v>
      </c>
      <c r="L854" s="229" t="s">
        <v>42</v>
      </c>
      <c r="M854" s="228">
        <v>15</v>
      </c>
      <c r="N854" s="228">
        <v>1238984.58</v>
      </c>
      <c r="O854" s="228">
        <v>18584768.699999999</v>
      </c>
      <c r="P854" s="228">
        <v>18584768.699999999</v>
      </c>
      <c r="Q854" s="224">
        <v>0</v>
      </c>
      <c r="R854" s="224">
        <v>0</v>
      </c>
      <c r="S854" s="229" t="s">
        <v>43</v>
      </c>
      <c r="T854" s="228">
        <v>3603311.56</v>
      </c>
      <c r="U854" s="228">
        <v>3603311.56</v>
      </c>
      <c r="V854" s="228">
        <v>14981457.140000001</v>
      </c>
      <c r="W854" s="230">
        <v>0.80611480195600005</v>
      </c>
      <c r="X854" s="228">
        <v>14981457.140000001</v>
      </c>
      <c r="Y854" s="206" t="s">
        <v>69</v>
      </c>
      <c r="Z854" s="206" t="s">
        <v>46</v>
      </c>
      <c r="AA854" s="206">
        <v>2306153</v>
      </c>
      <c r="AB854" s="206" t="s">
        <v>126</v>
      </c>
      <c r="AC854" s="206" t="s">
        <v>56</v>
      </c>
      <c r="AD854" s="206" t="s">
        <v>77</v>
      </c>
      <c r="AE854" s="206">
        <v>0</v>
      </c>
      <c r="AF854" s="206" t="s">
        <v>72</v>
      </c>
      <c r="AG854" s="206" t="s">
        <v>69</v>
      </c>
      <c r="AH854" s="206" t="s">
        <v>46</v>
      </c>
      <c r="AI854" s="206" t="s">
        <v>69</v>
      </c>
      <c r="AJ854" s="206" t="s">
        <v>46</v>
      </c>
      <c r="AK854" s="206" t="s">
        <v>54</v>
      </c>
      <c r="AL854" s="206" t="s">
        <v>48</v>
      </c>
      <c r="AM854" s="206" t="s">
        <v>49</v>
      </c>
      <c r="AN854" s="243" t="str">
        <f>VLOOKUP(I854,Sheet1!A:D,4,)</f>
        <v>A320400</v>
      </c>
      <c r="AP854" s="4" t="s">
        <v>1207</v>
      </c>
    </row>
    <row r="855" spans="1:42" s="206" customFormat="1" x14ac:dyDescent="0.25">
      <c r="A855" s="226">
        <v>45870</v>
      </c>
      <c r="B855" s="206" t="s">
        <v>40</v>
      </c>
      <c r="C855" s="206" t="s">
        <v>41</v>
      </c>
      <c r="D855" s="221">
        <v>25708419</v>
      </c>
      <c r="E855" s="221">
        <v>25106748</v>
      </c>
      <c r="F855" s="221" t="s">
        <v>1204</v>
      </c>
      <c r="G855" s="227">
        <v>45875</v>
      </c>
      <c r="H855" s="206" t="s">
        <v>115</v>
      </c>
      <c r="I855" s="206" t="s">
        <v>450</v>
      </c>
      <c r="J855" s="206" t="s">
        <v>819</v>
      </c>
      <c r="K855" s="228">
        <v>40</v>
      </c>
      <c r="L855" s="229" t="s">
        <v>42</v>
      </c>
      <c r="M855" s="228">
        <v>40</v>
      </c>
      <c r="N855" s="228">
        <v>866088.78</v>
      </c>
      <c r="O855" s="228">
        <v>34643551.200000003</v>
      </c>
      <c r="P855" s="228">
        <v>34643551.200000003</v>
      </c>
      <c r="Q855" s="224">
        <v>0</v>
      </c>
      <c r="R855" s="224">
        <v>0</v>
      </c>
      <c r="S855" s="229" t="s">
        <v>43</v>
      </c>
      <c r="T855" s="228">
        <v>21185798.350000001</v>
      </c>
      <c r="U855" s="228">
        <v>21185798.350000001</v>
      </c>
      <c r="V855" s="228">
        <v>13457752.85</v>
      </c>
      <c r="W855" s="230">
        <v>0.388463433563</v>
      </c>
      <c r="X855" s="228">
        <v>13457752.85</v>
      </c>
      <c r="Y855" s="206" t="s">
        <v>66</v>
      </c>
      <c r="Z855" s="206" t="s">
        <v>44</v>
      </c>
      <c r="AA855" s="206">
        <v>15159</v>
      </c>
      <c r="AB855" s="206" t="s">
        <v>118</v>
      </c>
      <c r="AC855" s="206" t="s">
        <v>154</v>
      </c>
      <c r="AD855" s="206" t="s">
        <v>155</v>
      </c>
      <c r="AE855" s="206">
        <v>0</v>
      </c>
      <c r="AF855" s="206" t="s">
        <v>72</v>
      </c>
      <c r="AG855" s="206" t="s">
        <v>69</v>
      </c>
      <c r="AH855" s="206" t="s">
        <v>46</v>
      </c>
      <c r="AI855" s="206" t="s">
        <v>69</v>
      </c>
      <c r="AJ855" s="206" t="s">
        <v>46</v>
      </c>
      <c r="AK855" s="206" t="s">
        <v>54</v>
      </c>
      <c r="AL855" s="206" t="s">
        <v>48</v>
      </c>
      <c r="AM855" s="206" t="s">
        <v>49</v>
      </c>
      <c r="AN855" s="243" t="str">
        <f>VLOOKUP(I855,Sheet1!A:D,4,)</f>
        <v>A320400</v>
      </c>
      <c r="AP855" s="4" t="s">
        <v>1207</v>
      </c>
    </row>
    <row r="856" spans="1:42" s="206" customFormat="1" x14ac:dyDescent="0.25">
      <c r="A856" s="226">
        <v>45870</v>
      </c>
      <c r="B856" s="206" t="s">
        <v>40</v>
      </c>
      <c r="C856" s="206" t="s">
        <v>41</v>
      </c>
      <c r="D856" s="221">
        <v>25708420</v>
      </c>
      <c r="E856" s="221">
        <v>25106816</v>
      </c>
      <c r="F856" s="221" t="s">
        <v>1176</v>
      </c>
      <c r="G856" s="227">
        <v>45875</v>
      </c>
      <c r="H856" s="206" t="s">
        <v>115</v>
      </c>
      <c r="I856" s="206" t="s">
        <v>450</v>
      </c>
      <c r="J856" s="206" t="s">
        <v>819</v>
      </c>
      <c r="K856" s="228">
        <v>40</v>
      </c>
      <c r="L856" s="229" t="s">
        <v>42</v>
      </c>
      <c r="M856" s="228">
        <v>40</v>
      </c>
      <c r="N856" s="228">
        <v>845055.56</v>
      </c>
      <c r="O856" s="228">
        <v>33802222.399999999</v>
      </c>
      <c r="P856" s="228">
        <v>33802222.399999999</v>
      </c>
      <c r="Q856" s="224">
        <v>0</v>
      </c>
      <c r="R856" s="224">
        <v>0</v>
      </c>
      <c r="S856" s="229" t="s">
        <v>43</v>
      </c>
      <c r="T856" s="228">
        <v>21185798.350000001</v>
      </c>
      <c r="U856" s="228">
        <v>21185798.350000001</v>
      </c>
      <c r="V856" s="228">
        <v>12616424.050000001</v>
      </c>
      <c r="W856" s="230">
        <v>0.37324244248499999</v>
      </c>
      <c r="X856" s="228">
        <v>12616424.050000001</v>
      </c>
      <c r="Y856" s="206" t="s">
        <v>66</v>
      </c>
      <c r="Z856" s="206" t="s">
        <v>44</v>
      </c>
      <c r="AA856" s="206">
        <v>15159</v>
      </c>
      <c r="AB856" s="206" t="s">
        <v>118</v>
      </c>
      <c r="AC856" s="206" t="s">
        <v>154</v>
      </c>
      <c r="AD856" s="206" t="s">
        <v>155</v>
      </c>
      <c r="AE856" s="206">
        <v>0</v>
      </c>
      <c r="AF856" s="206" t="s">
        <v>72</v>
      </c>
      <c r="AG856" s="206" t="s">
        <v>69</v>
      </c>
      <c r="AH856" s="206" t="s">
        <v>46</v>
      </c>
      <c r="AI856" s="206" t="s">
        <v>69</v>
      </c>
      <c r="AJ856" s="206" t="s">
        <v>46</v>
      </c>
      <c r="AK856" s="206" t="s">
        <v>54</v>
      </c>
      <c r="AL856" s="206" t="s">
        <v>48</v>
      </c>
      <c r="AM856" s="206" t="s">
        <v>49</v>
      </c>
      <c r="AN856" s="243" t="str">
        <f>VLOOKUP(I856,Sheet1!A:D,4,)</f>
        <v>A320400</v>
      </c>
      <c r="AP856" s="4" t="s">
        <v>1207</v>
      </c>
    </row>
    <row r="857" spans="1:42" s="206" customFormat="1" x14ac:dyDescent="0.25">
      <c r="A857" s="226">
        <v>45870</v>
      </c>
      <c r="B857" s="206" t="s">
        <v>40</v>
      </c>
      <c r="C857" s="206" t="s">
        <v>41</v>
      </c>
      <c r="D857" s="221">
        <v>25708421</v>
      </c>
      <c r="E857" s="221">
        <v>25106846</v>
      </c>
      <c r="F857" s="221" t="s">
        <v>1205</v>
      </c>
      <c r="G857" s="227">
        <v>45875</v>
      </c>
      <c r="H857" s="206" t="s">
        <v>115</v>
      </c>
      <c r="I857" s="206" t="s">
        <v>140</v>
      </c>
      <c r="J857" s="206" t="s">
        <v>141</v>
      </c>
      <c r="K857" s="228">
        <v>60</v>
      </c>
      <c r="L857" s="229" t="s">
        <v>42</v>
      </c>
      <c r="M857" s="228">
        <v>60</v>
      </c>
      <c r="N857" s="228">
        <v>528500.80000000005</v>
      </c>
      <c r="O857" s="228">
        <v>31710048</v>
      </c>
      <c r="P857" s="228">
        <v>31710048</v>
      </c>
      <c r="Q857" s="224">
        <v>0</v>
      </c>
      <c r="R857" s="224">
        <v>0</v>
      </c>
      <c r="S857" s="229" t="s">
        <v>43</v>
      </c>
      <c r="T857" s="228">
        <v>13835799.99</v>
      </c>
      <c r="U857" s="228">
        <v>13835799.99</v>
      </c>
      <c r="V857" s="228">
        <v>17874248.010000002</v>
      </c>
      <c r="W857" s="230">
        <v>0.56367773426199996</v>
      </c>
      <c r="X857" s="228">
        <v>17874248.010000002</v>
      </c>
      <c r="Y857" s="206" t="s">
        <v>66</v>
      </c>
      <c r="Z857" s="206" t="s">
        <v>44</v>
      </c>
      <c r="AA857" s="206">
        <v>15159</v>
      </c>
      <c r="AB857" s="206" t="s">
        <v>118</v>
      </c>
      <c r="AC857" s="206" t="s">
        <v>154</v>
      </c>
      <c r="AD857" s="206" t="s">
        <v>155</v>
      </c>
      <c r="AE857" s="206">
        <v>0</v>
      </c>
      <c r="AF857" s="206" t="s">
        <v>68</v>
      </c>
      <c r="AG857" s="206" t="s">
        <v>142</v>
      </c>
      <c r="AH857" s="206" t="s">
        <v>143</v>
      </c>
      <c r="AI857" s="206" t="s">
        <v>69</v>
      </c>
      <c r="AJ857" s="206" t="s">
        <v>46</v>
      </c>
      <c r="AK857" s="206" t="s">
        <v>54</v>
      </c>
      <c r="AL857" s="206" t="s">
        <v>48</v>
      </c>
      <c r="AM857" s="206" t="s">
        <v>49</v>
      </c>
      <c r="AN857" s="243" t="str">
        <f>VLOOKUP(I857,Sheet1!A:D,4,)</f>
        <v>A320400</v>
      </c>
      <c r="AP857" s="4" t="s">
        <v>1207</v>
      </c>
    </row>
    <row r="858" spans="1:42" s="206" customFormat="1" x14ac:dyDescent="0.25">
      <c r="A858" s="226">
        <v>45870</v>
      </c>
      <c r="B858" s="206" t="s">
        <v>40</v>
      </c>
      <c r="C858" s="206" t="s">
        <v>41</v>
      </c>
      <c r="D858" s="221">
        <v>25708422</v>
      </c>
      <c r="E858" s="221">
        <v>25106853</v>
      </c>
      <c r="F858" s="221" t="s">
        <v>1206</v>
      </c>
      <c r="G858" s="227">
        <v>45875</v>
      </c>
      <c r="H858" s="206" t="s">
        <v>115</v>
      </c>
      <c r="I858" s="206" t="s">
        <v>451</v>
      </c>
      <c r="J858" s="206" t="s">
        <v>820</v>
      </c>
      <c r="K858" s="228">
        <v>60</v>
      </c>
      <c r="L858" s="229" t="s">
        <v>42</v>
      </c>
      <c r="M858" s="228">
        <v>60</v>
      </c>
      <c r="N858" s="228">
        <v>1065970.29</v>
      </c>
      <c r="O858" s="228">
        <v>63958217.399999999</v>
      </c>
      <c r="P858" s="228">
        <v>63958217.399999999</v>
      </c>
      <c r="Q858" s="224">
        <v>0</v>
      </c>
      <c r="R858" s="224">
        <v>0</v>
      </c>
      <c r="S858" s="229" t="s">
        <v>43</v>
      </c>
      <c r="T858" s="228">
        <v>38899176.399999999</v>
      </c>
      <c r="U858" s="228">
        <v>38899176.399999999</v>
      </c>
      <c r="V858" s="228">
        <v>25059041</v>
      </c>
      <c r="W858" s="230">
        <v>0.391803305637</v>
      </c>
      <c r="X858" s="228">
        <v>25059041</v>
      </c>
      <c r="Y858" s="206" t="s">
        <v>66</v>
      </c>
      <c r="Z858" s="206" t="s">
        <v>44</v>
      </c>
      <c r="AA858" s="206">
        <v>15159</v>
      </c>
      <c r="AB858" s="206" t="s">
        <v>118</v>
      </c>
      <c r="AC858" s="206" t="s">
        <v>154</v>
      </c>
      <c r="AD858" s="206" t="s">
        <v>155</v>
      </c>
      <c r="AE858" s="206">
        <v>0</v>
      </c>
      <c r="AF858" s="206" t="s">
        <v>72</v>
      </c>
      <c r="AG858" s="206" t="s">
        <v>69</v>
      </c>
      <c r="AH858" s="206" t="s">
        <v>46</v>
      </c>
      <c r="AI858" s="206" t="s">
        <v>69</v>
      </c>
      <c r="AJ858" s="206" t="s">
        <v>46</v>
      </c>
      <c r="AK858" s="206" t="s">
        <v>54</v>
      </c>
      <c r="AL858" s="206" t="s">
        <v>48</v>
      </c>
      <c r="AM858" s="206" t="s">
        <v>49</v>
      </c>
      <c r="AN858" s="243" t="str">
        <f>VLOOKUP(I858,Sheet1!A:D,4,)</f>
        <v>A320400</v>
      </c>
      <c r="AP858" s="4" t="s">
        <v>1207</v>
      </c>
    </row>
    <row r="859" spans="1:42" s="206" customFormat="1" x14ac:dyDescent="0.25">
      <c r="A859" s="226">
        <v>45870</v>
      </c>
      <c r="B859" s="206" t="s">
        <v>40</v>
      </c>
      <c r="C859" s="206" t="s">
        <v>41</v>
      </c>
      <c r="D859" s="221">
        <v>25708424</v>
      </c>
      <c r="E859" s="221">
        <v>25106828</v>
      </c>
      <c r="F859" s="221" t="s">
        <v>1208</v>
      </c>
      <c r="G859" s="227">
        <v>45873</v>
      </c>
      <c r="H859" s="206" t="s">
        <v>158</v>
      </c>
      <c r="I859" s="206" t="s">
        <v>291</v>
      </c>
      <c r="J859" s="206" t="s">
        <v>875</v>
      </c>
      <c r="K859" s="228">
        <v>8</v>
      </c>
      <c r="L859" s="229" t="s">
        <v>42</v>
      </c>
      <c r="M859" s="228">
        <v>8</v>
      </c>
      <c r="N859" s="228">
        <v>1170568.1000000001</v>
      </c>
      <c r="O859" s="228">
        <v>9364544.8000000007</v>
      </c>
      <c r="P859" s="228">
        <v>9364544.8000000007</v>
      </c>
      <c r="Q859" s="224">
        <v>0</v>
      </c>
      <c r="R859" s="224">
        <v>0</v>
      </c>
      <c r="S859" s="229" t="s">
        <v>43</v>
      </c>
      <c r="T859" s="228">
        <v>5336061.28</v>
      </c>
      <c r="U859" s="228">
        <v>5336061.28</v>
      </c>
      <c r="V859" s="228">
        <v>4028483.52</v>
      </c>
      <c r="W859" s="230">
        <v>0.43018465990999999</v>
      </c>
      <c r="X859" s="228">
        <v>4028483.52</v>
      </c>
      <c r="Y859" s="206" t="s">
        <v>69</v>
      </c>
      <c r="Z859" s="206" t="s">
        <v>46</v>
      </c>
      <c r="AA859" s="206">
        <v>2306495</v>
      </c>
      <c r="AB859" s="206" t="s">
        <v>161</v>
      </c>
      <c r="AC859" s="206" t="s">
        <v>56</v>
      </c>
      <c r="AD859" s="206" t="s">
        <v>77</v>
      </c>
      <c r="AE859" s="206">
        <v>0</v>
      </c>
      <c r="AF859" s="206" t="s">
        <v>72</v>
      </c>
      <c r="AG859" s="206" t="s">
        <v>69</v>
      </c>
      <c r="AH859" s="206" t="s">
        <v>46</v>
      </c>
      <c r="AI859" s="206" t="s">
        <v>69</v>
      </c>
      <c r="AJ859" s="206" t="s">
        <v>46</v>
      </c>
      <c r="AK859" s="206" t="s">
        <v>54</v>
      </c>
      <c r="AL859" s="206" t="s">
        <v>48</v>
      </c>
      <c r="AM859" s="206" t="s">
        <v>49</v>
      </c>
      <c r="AN859" s="243" t="str">
        <f>VLOOKUP(I859,Sheet1!A:D,4,)</f>
        <v>A320400</v>
      </c>
      <c r="AP859" s="4" t="s">
        <v>1213</v>
      </c>
    </row>
    <row r="860" spans="1:42" s="206" customFormat="1" x14ac:dyDescent="0.25">
      <c r="A860" s="226">
        <v>45870</v>
      </c>
      <c r="B860" s="206" t="s">
        <v>40</v>
      </c>
      <c r="C860" s="206" t="s">
        <v>41</v>
      </c>
      <c r="D860" s="221">
        <v>25708425</v>
      </c>
      <c r="E860" s="221">
        <v>25106829</v>
      </c>
      <c r="F860" s="221" t="s">
        <v>1209</v>
      </c>
      <c r="G860" s="227">
        <v>45873</v>
      </c>
      <c r="H860" s="206" t="s">
        <v>158</v>
      </c>
      <c r="I860" s="206" t="s">
        <v>441</v>
      </c>
      <c r="J860" s="206" t="s">
        <v>1113</v>
      </c>
      <c r="K860" s="228">
        <v>60</v>
      </c>
      <c r="L860" s="229" t="s">
        <v>42</v>
      </c>
      <c r="M860" s="228">
        <v>60</v>
      </c>
      <c r="N860" s="228">
        <v>3646555.92</v>
      </c>
      <c r="O860" s="228">
        <v>218793355.19999999</v>
      </c>
      <c r="P860" s="228">
        <v>218793355.19999999</v>
      </c>
      <c r="Q860" s="224">
        <v>0</v>
      </c>
      <c r="R860" s="224">
        <v>0</v>
      </c>
      <c r="S860" s="229" t="s">
        <v>43</v>
      </c>
      <c r="T860" s="228">
        <v>159593611.80000001</v>
      </c>
      <c r="U860" s="228">
        <v>159593611.80000001</v>
      </c>
      <c r="V860" s="228">
        <v>59199743.399999999</v>
      </c>
      <c r="W860" s="230">
        <v>0.270573771977</v>
      </c>
      <c r="X860" s="228">
        <v>59199743.399999999</v>
      </c>
      <c r="Y860" s="206" t="s">
        <v>69</v>
      </c>
      <c r="Z860" s="206" t="s">
        <v>46</v>
      </c>
      <c r="AA860" s="206">
        <v>2306495</v>
      </c>
      <c r="AB860" s="206" t="s">
        <v>161</v>
      </c>
      <c r="AC860" s="206" t="s">
        <v>56</v>
      </c>
      <c r="AD860" s="206" t="s">
        <v>77</v>
      </c>
      <c r="AE860" s="206">
        <v>0</v>
      </c>
      <c r="AF860" s="206" t="s">
        <v>72</v>
      </c>
      <c r="AG860" s="206" t="s">
        <v>69</v>
      </c>
      <c r="AH860" s="206" t="s">
        <v>46</v>
      </c>
      <c r="AI860" s="206" t="s">
        <v>69</v>
      </c>
      <c r="AJ860" s="206" t="s">
        <v>46</v>
      </c>
      <c r="AK860" s="206" t="s">
        <v>54</v>
      </c>
      <c r="AL860" s="206" t="s">
        <v>48</v>
      </c>
      <c r="AM860" s="206" t="s">
        <v>49</v>
      </c>
      <c r="AN860" s="243" t="str">
        <f>VLOOKUP(I860,Sheet1!A:D,4,)</f>
        <v>A320400</v>
      </c>
      <c r="AP860" s="4" t="s">
        <v>1213</v>
      </c>
    </row>
    <row r="861" spans="1:42" s="206" customFormat="1" x14ac:dyDescent="0.25">
      <c r="A861" s="226">
        <v>45870</v>
      </c>
      <c r="B861" s="206" t="s">
        <v>40</v>
      </c>
      <c r="C861" s="206" t="s">
        <v>41</v>
      </c>
      <c r="D861" s="221">
        <v>25708426</v>
      </c>
      <c r="E861" s="221">
        <v>25106859</v>
      </c>
      <c r="F861" s="221" t="s">
        <v>1210</v>
      </c>
      <c r="G861" s="227">
        <v>45873</v>
      </c>
      <c r="H861" s="206" t="s">
        <v>158</v>
      </c>
      <c r="I861" s="206" t="s">
        <v>304</v>
      </c>
      <c r="J861" s="206" t="s">
        <v>512</v>
      </c>
      <c r="K861" s="228">
        <v>10</v>
      </c>
      <c r="L861" s="229" t="s">
        <v>42</v>
      </c>
      <c r="M861" s="228">
        <v>10</v>
      </c>
      <c r="N861" s="228">
        <v>1755577.78</v>
      </c>
      <c r="O861" s="228">
        <v>17555777.800000001</v>
      </c>
      <c r="P861" s="228">
        <v>17555777.800000001</v>
      </c>
      <c r="Q861" s="224">
        <v>0</v>
      </c>
      <c r="R861" s="224">
        <v>0</v>
      </c>
      <c r="S861" s="229" t="s">
        <v>43</v>
      </c>
      <c r="T861" s="228">
        <v>7954843</v>
      </c>
      <c r="U861" s="228">
        <v>7954843</v>
      </c>
      <c r="V861" s="228">
        <v>9600934.8000000007</v>
      </c>
      <c r="W861" s="230">
        <v>0.54688176789200005</v>
      </c>
      <c r="X861" s="228">
        <v>9600934.8000000007</v>
      </c>
      <c r="Y861" s="206" t="s">
        <v>69</v>
      </c>
      <c r="Z861" s="206" t="s">
        <v>46</v>
      </c>
      <c r="AA861" s="206">
        <v>2306495</v>
      </c>
      <c r="AB861" s="206" t="s">
        <v>161</v>
      </c>
      <c r="AC861" s="206" t="s">
        <v>56</v>
      </c>
      <c r="AD861" s="206" t="s">
        <v>77</v>
      </c>
      <c r="AE861" s="206">
        <v>0</v>
      </c>
      <c r="AF861" s="206" t="s">
        <v>119</v>
      </c>
      <c r="AG861" s="206" t="s">
        <v>120</v>
      </c>
      <c r="AH861" s="206" t="s">
        <v>121</v>
      </c>
      <c r="AI861" s="206" t="s">
        <v>69</v>
      </c>
      <c r="AJ861" s="206" t="s">
        <v>46</v>
      </c>
      <c r="AK861" s="206" t="s">
        <v>54</v>
      </c>
      <c r="AL861" s="206" t="s">
        <v>48</v>
      </c>
      <c r="AM861" s="206" t="s">
        <v>49</v>
      </c>
      <c r="AN861" s="243" t="str">
        <f>VLOOKUP(I861,Sheet1!A:D,4,)</f>
        <v>A320400</v>
      </c>
      <c r="AP861" s="4" t="s">
        <v>1213</v>
      </c>
    </row>
    <row r="862" spans="1:42" s="206" customFormat="1" x14ac:dyDescent="0.25">
      <c r="A862" s="226">
        <v>45870</v>
      </c>
      <c r="B862" s="206" t="s">
        <v>40</v>
      </c>
      <c r="C862" s="206" t="s">
        <v>41</v>
      </c>
      <c r="D862" s="221">
        <v>25708427</v>
      </c>
      <c r="E862" s="221">
        <v>25106876</v>
      </c>
      <c r="F862" s="221" t="s">
        <v>1211</v>
      </c>
      <c r="G862" s="227">
        <v>45875</v>
      </c>
      <c r="H862" s="206" t="s">
        <v>158</v>
      </c>
      <c r="I862" s="206" t="s">
        <v>301</v>
      </c>
      <c r="J862" s="206" t="s">
        <v>1212</v>
      </c>
      <c r="K862" s="228">
        <v>40</v>
      </c>
      <c r="L862" s="229" t="s">
        <v>42</v>
      </c>
      <c r="M862" s="228">
        <v>40</v>
      </c>
      <c r="N862" s="228">
        <v>7696063.8099999996</v>
      </c>
      <c r="O862" s="228">
        <v>307842552.39999998</v>
      </c>
      <c r="P862" s="228">
        <v>307842552.39999998</v>
      </c>
      <c r="Q862" s="224">
        <v>0</v>
      </c>
      <c r="R862" s="224">
        <v>0</v>
      </c>
      <c r="S862" s="229" t="s">
        <v>43</v>
      </c>
      <c r="T862" s="228">
        <v>241195840.40000001</v>
      </c>
      <c r="U862" s="228">
        <v>241195840.40000001</v>
      </c>
      <c r="V862" s="228">
        <v>66646712</v>
      </c>
      <c r="W862" s="230">
        <v>0.216496099971</v>
      </c>
      <c r="X862" s="228">
        <v>66646712</v>
      </c>
      <c r="Y862" s="206" t="s">
        <v>69</v>
      </c>
      <c r="Z862" s="206" t="s">
        <v>46</v>
      </c>
      <c r="AA862" s="206">
        <v>2306495</v>
      </c>
      <c r="AB862" s="206" t="s">
        <v>161</v>
      </c>
      <c r="AC862" s="206" t="s">
        <v>56</v>
      </c>
      <c r="AD862" s="206" t="s">
        <v>77</v>
      </c>
      <c r="AE862" s="206">
        <v>0</v>
      </c>
      <c r="AF862" s="206" t="s">
        <v>68</v>
      </c>
      <c r="AG862" s="206" t="s">
        <v>69</v>
      </c>
      <c r="AH862" s="206" t="s">
        <v>46</v>
      </c>
      <c r="AI862" s="206" t="s">
        <v>69</v>
      </c>
      <c r="AJ862" s="206" t="s">
        <v>46</v>
      </c>
      <c r="AK862" s="206" t="s">
        <v>54</v>
      </c>
      <c r="AL862" s="206" t="s">
        <v>48</v>
      </c>
      <c r="AM862" s="206" t="s">
        <v>49</v>
      </c>
      <c r="AN862" s="243" t="str">
        <f>VLOOKUP(I862,Sheet1!A:D,4,)</f>
        <v>A320400</v>
      </c>
      <c r="AP862" s="4" t="s">
        <v>1213</v>
      </c>
    </row>
    <row r="863" spans="1:42" s="206" customFormat="1" x14ac:dyDescent="0.25">
      <c r="A863" s="226">
        <v>45870</v>
      </c>
      <c r="B863" s="206" t="s">
        <v>40</v>
      </c>
      <c r="C863" s="206" t="s">
        <v>41</v>
      </c>
      <c r="D863" s="221">
        <v>25708429</v>
      </c>
      <c r="E863" s="221">
        <v>25106886</v>
      </c>
      <c r="F863" s="221" t="s">
        <v>1217</v>
      </c>
      <c r="G863" s="227">
        <v>45882</v>
      </c>
      <c r="H863" s="206" t="s">
        <v>126</v>
      </c>
      <c r="I863" s="206" t="s">
        <v>1202</v>
      </c>
      <c r="J863" s="206" t="s">
        <v>1203</v>
      </c>
      <c r="K863" s="228">
        <v>1</v>
      </c>
      <c r="L863" s="229" t="s">
        <v>42</v>
      </c>
      <c r="M863" s="228">
        <v>1</v>
      </c>
      <c r="N863" s="228">
        <v>1237436.8700000001</v>
      </c>
      <c r="O863" s="228">
        <v>1237436.8700000001</v>
      </c>
      <c r="P863" s="228">
        <v>1237436.8700000001</v>
      </c>
      <c r="Q863" s="224">
        <v>0</v>
      </c>
      <c r="R863" s="224">
        <v>0</v>
      </c>
      <c r="S863" s="229" t="s">
        <v>43</v>
      </c>
      <c r="T863" s="228">
        <v>240220.77</v>
      </c>
      <c r="U863" s="228">
        <v>240220.77</v>
      </c>
      <c r="V863" s="228">
        <v>997216.1</v>
      </c>
      <c r="W863" s="230">
        <v>0.80587230280199995</v>
      </c>
      <c r="X863" s="228">
        <v>997216.1</v>
      </c>
      <c r="Y863" s="206" t="s">
        <v>69</v>
      </c>
      <c r="Z863" s="206" t="s">
        <v>46</v>
      </c>
      <c r="AA863" s="206">
        <v>2306153</v>
      </c>
      <c r="AB863" s="206" t="s">
        <v>126</v>
      </c>
      <c r="AC863" s="206" t="s">
        <v>56</v>
      </c>
      <c r="AD863" s="206" t="s">
        <v>77</v>
      </c>
      <c r="AE863" s="206">
        <v>0</v>
      </c>
      <c r="AF863" s="206" t="s">
        <v>72</v>
      </c>
      <c r="AG863" s="206" t="s">
        <v>69</v>
      </c>
      <c r="AH863" s="206" t="s">
        <v>46</v>
      </c>
      <c r="AI863" s="206" t="s">
        <v>69</v>
      </c>
      <c r="AJ863" s="206" t="s">
        <v>46</v>
      </c>
      <c r="AK863" s="206" t="s">
        <v>54</v>
      </c>
      <c r="AL863" s="206" t="s">
        <v>48</v>
      </c>
      <c r="AM863" s="206" t="s">
        <v>49</v>
      </c>
      <c r="AN863" s="243" t="str">
        <f>VLOOKUP(I863,Sheet1!A:D,4,)</f>
        <v>A320400</v>
      </c>
      <c r="AP863" s="187" t="s">
        <v>1224</v>
      </c>
    </row>
    <row r="864" spans="1:42" s="206" customFormat="1" x14ac:dyDescent="0.25">
      <c r="A864" s="226">
        <v>45870</v>
      </c>
      <c r="B864" s="206" t="s">
        <v>40</v>
      </c>
      <c r="C864" s="206" t="s">
        <v>41</v>
      </c>
      <c r="D864" s="221">
        <v>25708430</v>
      </c>
      <c r="E864" s="221">
        <v>25106816</v>
      </c>
      <c r="F864" s="221" t="s">
        <v>1176</v>
      </c>
      <c r="G864" s="227">
        <v>45883</v>
      </c>
      <c r="H864" s="206" t="s">
        <v>115</v>
      </c>
      <c r="I864" s="206" t="s">
        <v>287</v>
      </c>
      <c r="J864" s="206" t="s">
        <v>816</v>
      </c>
      <c r="K864" s="228">
        <v>39</v>
      </c>
      <c r="L864" s="229" t="s">
        <v>42</v>
      </c>
      <c r="M864" s="228">
        <v>39</v>
      </c>
      <c r="N864" s="228">
        <v>507493.05</v>
      </c>
      <c r="O864" s="228">
        <v>19792228.949999999</v>
      </c>
      <c r="P864" s="228">
        <v>19792228.949999999</v>
      </c>
      <c r="Q864" s="224">
        <v>0</v>
      </c>
      <c r="R864" s="224">
        <v>0</v>
      </c>
      <c r="S864" s="229" t="s">
        <v>43</v>
      </c>
      <c r="T864" s="228">
        <v>8271750.7800000003</v>
      </c>
      <c r="U864" s="228">
        <v>8271750.7800000003</v>
      </c>
      <c r="V864" s="228">
        <v>11520478.17</v>
      </c>
      <c r="W864" s="230">
        <v>0.58207078137000001</v>
      </c>
      <c r="X864" s="228">
        <v>11520478.17</v>
      </c>
      <c r="Y864" s="206" t="s">
        <v>66</v>
      </c>
      <c r="Z864" s="206" t="s">
        <v>44</v>
      </c>
      <c r="AA864" s="206">
        <v>15159</v>
      </c>
      <c r="AB864" s="206" t="s">
        <v>118</v>
      </c>
      <c r="AC864" s="206" t="s">
        <v>154</v>
      </c>
      <c r="AD864" s="206" t="s">
        <v>155</v>
      </c>
      <c r="AE864" s="206">
        <v>0</v>
      </c>
      <c r="AF864" s="206" t="s">
        <v>72</v>
      </c>
      <c r="AG864" s="206" t="s">
        <v>69</v>
      </c>
      <c r="AH864" s="206" t="s">
        <v>46</v>
      </c>
      <c r="AI864" s="206" t="s">
        <v>69</v>
      </c>
      <c r="AJ864" s="206" t="s">
        <v>46</v>
      </c>
      <c r="AK864" s="206" t="s">
        <v>54</v>
      </c>
      <c r="AL864" s="206" t="s">
        <v>48</v>
      </c>
      <c r="AM864" s="206" t="s">
        <v>49</v>
      </c>
      <c r="AN864" s="243" t="str">
        <f>VLOOKUP(I864,Sheet1!A:D,4,)</f>
        <v>A320400</v>
      </c>
      <c r="AP864" s="187" t="s">
        <v>1224</v>
      </c>
    </row>
    <row r="865" spans="1:42" s="206" customFormat="1" x14ac:dyDescent="0.25">
      <c r="A865" s="226">
        <v>45870</v>
      </c>
      <c r="B865" s="206" t="s">
        <v>40</v>
      </c>
      <c r="C865" s="206" t="s">
        <v>41</v>
      </c>
      <c r="D865" s="221">
        <v>25708430</v>
      </c>
      <c r="E865" s="221">
        <v>25106816</v>
      </c>
      <c r="F865" s="221" t="s">
        <v>1176</v>
      </c>
      <c r="G865" s="227">
        <v>45883</v>
      </c>
      <c r="H865" s="206" t="s">
        <v>115</v>
      </c>
      <c r="I865" s="206" t="s">
        <v>295</v>
      </c>
      <c r="J865" s="206" t="s">
        <v>817</v>
      </c>
      <c r="K865" s="228">
        <v>150</v>
      </c>
      <c r="L865" s="229" t="s">
        <v>42</v>
      </c>
      <c r="M865" s="228">
        <v>150</v>
      </c>
      <c r="N865" s="228">
        <v>1212355.3899999999</v>
      </c>
      <c r="O865" s="228">
        <v>181853308.5</v>
      </c>
      <c r="P865" s="228">
        <v>181853308.5</v>
      </c>
      <c r="Q865" s="224">
        <v>0</v>
      </c>
      <c r="R865" s="224">
        <v>0</v>
      </c>
      <c r="S865" s="229" t="s">
        <v>43</v>
      </c>
      <c r="T865" s="228">
        <v>68342609.849999994</v>
      </c>
      <c r="U865" s="228">
        <v>68342609.849999994</v>
      </c>
      <c r="V865" s="228">
        <v>113510698.65000001</v>
      </c>
      <c r="W865" s="230">
        <v>0.62418825143300005</v>
      </c>
      <c r="X865" s="228">
        <v>113510698.65000001</v>
      </c>
      <c r="Y865" s="206" t="s">
        <v>66</v>
      </c>
      <c r="Z865" s="206" t="s">
        <v>44</v>
      </c>
      <c r="AA865" s="206">
        <v>15159</v>
      </c>
      <c r="AB865" s="206" t="s">
        <v>118</v>
      </c>
      <c r="AC865" s="206" t="s">
        <v>154</v>
      </c>
      <c r="AD865" s="206" t="s">
        <v>155</v>
      </c>
      <c r="AE865" s="206">
        <v>0</v>
      </c>
      <c r="AF865" s="206" t="s">
        <v>68</v>
      </c>
      <c r="AG865" s="206" t="s">
        <v>69</v>
      </c>
      <c r="AH865" s="206" t="s">
        <v>46</v>
      </c>
      <c r="AI865" s="206" t="s">
        <v>69</v>
      </c>
      <c r="AJ865" s="206" t="s">
        <v>46</v>
      </c>
      <c r="AK865" s="206" t="s">
        <v>54</v>
      </c>
      <c r="AL865" s="206" t="s">
        <v>48</v>
      </c>
      <c r="AM865" s="206" t="s">
        <v>49</v>
      </c>
      <c r="AN865" s="243" t="str">
        <f>VLOOKUP(I865,Sheet1!A:D,4,)</f>
        <v>A320400</v>
      </c>
      <c r="AP865" s="187" t="s">
        <v>1224</v>
      </c>
    </row>
    <row r="866" spans="1:42" s="206" customFormat="1" x14ac:dyDescent="0.25">
      <c r="A866" s="226">
        <v>45870</v>
      </c>
      <c r="B866" s="206" t="s">
        <v>40</v>
      </c>
      <c r="C866" s="206" t="s">
        <v>41</v>
      </c>
      <c r="D866" s="221">
        <v>25708431</v>
      </c>
      <c r="E866" s="221">
        <v>25106847</v>
      </c>
      <c r="F866" s="221" t="s">
        <v>1218</v>
      </c>
      <c r="G866" s="227">
        <v>45883</v>
      </c>
      <c r="H866" s="206" t="s">
        <v>150</v>
      </c>
      <c r="I866" s="206" t="s">
        <v>151</v>
      </c>
      <c r="J866" s="206" t="s">
        <v>152</v>
      </c>
      <c r="K866" s="228">
        <v>108</v>
      </c>
      <c r="L866" s="229" t="s">
        <v>42</v>
      </c>
      <c r="M866" s="228">
        <v>108</v>
      </c>
      <c r="N866" s="228">
        <v>934211.99</v>
      </c>
      <c r="O866" s="228">
        <v>100894894.92</v>
      </c>
      <c r="P866" s="228">
        <v>100894894.92</v>
      </c>
      <c r="Q866" s="224">
        <v>0</v>
      </c>
      <c r="R866" s="224">
        <v>0</v>
      </c>
      <c r="S866" s="229" t="s">
        <v>43</v>
      </c>
      <c r="T866" s="228">
        <v>51914768.799999997</v>
      </c>
      <c r="U866" s="228">
        <v>51914768.799999997</v>
      </c>
      <c r="V866" s="228">
        <v>48980126.119999997</v>
      </c>
      <c r="W866" s="230">
        <v>0.48545693177799998</v>
      </c>
      <c r="X866" s="228">
        <v>48980126.119999997</v>
      </c>
      <c r="Y866" s="206" t="s">
        <v>69</v>
      </c>
      <c r="Z866" s="206" t="s">
        <v>46</v>
      </c>
      <c r="AA866" s="206">
        <v>2306392</v>
      </c>
      <c r="AB866" s="206" t="s">
        <v>153</v>
      </c>
      <c r="AC866" s="206" t="s">
        <v>154</v>
      </c>
      <c r="AD866" s="206" t="s">
        <v>155</v>
      </c>
      <c r="AE866" s="206">
        <v>0</v>
      </c>
      <c r="AF866" s="206" t="s">
        <v>68</v>
      </c>
      <c r="AG866" s="206" t="s">
        <v>69</v>
      </c>
      <c r="AH866" s="206" t="s">
        <v>46</v>
      </c>
      <c r="AI866" s="206" t="s">
        <v>69</v>
      </c>
      <c r="AJ866" s="206" t="s">
        <v>46</v>
      </c>
      <c r="AK866" s="206" t="s">
        <v>54</v>
      </c>
      <c r="AL866" s="206" t="s">
        <v>48</v>
      </c>
      <c r="AM866" s="206" t="s">
        <v>49</v>
      </c>
      <c r="AN866" s="243" t="str">
        <f>VLOOKUP(I866,Sheet1!A:D,4,)</f>
        <v>A320400</v>
      </c>
      <c r="AP866" s="187" t="s">
        <v>1224</v>
      </c>
    </row>
    <row r="867" spans="1:42" s="206" customFormat="1" x14ac:dyDescent="0.25">
      <c r="A867" s="226">
        <v>45870</v>
      </c>
      <c r="B867" s="206" t="s">
        <v>40</v>
      </c>
      <c r="C867" s="206" t="s">
        <v>41</v>
      </c>
      <c r="D867" s="221">
        <v>25708432</v>
      </c>
      <c r="E867" s="221">
        <v>25106861</v>
      </c>
      <c r="F867" s="221" t="s">
        <v>1219</v>
      </c>
      <c r="G867" s="227">
        <v>45883</v>
      </c>
      <c r="H867" s="206" t="s">
        <v>115</v>
      </c>
      <c r="I867" s="206" t="s">
        <v>450</v>
      </c>
      <c r="J867" s="206" t="s">
        <v>819</v>
      </c>
      <c r="K867" s="228">
        <v>40</v>
      </c>
      <c r="L867" s="229" t="s">
        <v>42</v>
      </c>
      <c r="M867" s="228">
        <v>40</v>
      </c>
      <c r="N867" s="228">
        <v>783374.83</v>
      </c>
      <c r="O867" s="228">
        <v>31334993.199999999</v>
      </c>
      <c r="P867" s="228">
        <v>31334993.199999999</v>
      </c>
      <c r="Q867" s="224">
        <v>0</v>
      </c>
      <c r="R867" s="224">
        <v>0</v>
      </c>
      <c r="S867" s="229" t="s">
        <v>43</v>
      </c>
      <c r="T867" s="228">
        <v>21185798.350000001</v>
      </c>
      <c r="U867" s="228">
        <v>21185798.350000001</v>
      </c>
      <c r="V867" s="228">
        <v>10149194.85</v>
      </c>
      <c r="W867" s="230">
        <v>0.32389331585999998</v>
      </c>
      <c r="X867" s="228">
        <v>10149194.85</v>
      </c>
      <c r="Y867" s="206" t="s">
        <v>66</v>
      </c>
      <c r="Z867" s="206" t="s">
        <v>44</v>
      </c>
      <c r="AA867" s="206">
        <v>15159</v>
      </c>
      <c r="AB867" s="206" t="s">
        <v>118</v>
      </c>
      <c r="AC867" s="206" t="s">
        <v>154</v>
      </c>
      <c r="AD867" s="206" t="s">
        <v>155</v>
      </c>
      <c r="AE867" s="206">
        <v>0</v>
      </c>
      <c r="AF867" s="206" t="s">
        <v>72</v>
      </c>
      <c r="AG867" s="206" t="s">
        <v>69</v>
      </c>
      <c r="AH867" s="206" t="s">
        <v>46</v>
      </c>
      <c r="AI867" s="206" t="s">
        <v>69</v>
      </c>
      <c r="AJ867" s="206" t="s">
        <v>46</v>
      </c>
      <c r="AK867" s="206" t="s">
        <v>54</v>
      </c>
      <c r="AL867" s="206" t="s">
        <v>48</v>
      </c>
      <c r="AM867" s="206" t="s">
        <v>49</v>
      </c>
      <c r="AN867" s="243" t="str">
        <f>VLOOKUP(I867,Sheet1!A:D,4,)</f>
        <v>A320400</v>
      </c>
      <c r="AP867" s="187" t="s">
        <v>1224</v>
      </c>
    </row>
    <row r="868" spans="1:42" s="206" customFormat="1" x14ac:dyDescent="0.25">
      <c r="A868" s="226">
        <v>45870</v>
      </c>
      <c r="B868" s="206" t="s">
        <v>40</v>
      </c>
      <c r="C868" s="206" t="s">
        <v>41</v>
      </c>
      <c r="D868" s="221">
        <v>25708438</v>
      </c>
      <c r="E868" s="221">
        <v>25106749</v>
      </c>
      <c r="F868" s="221" t="s">
        <v>1225</v>
      </c>
      <c r="G868" s="227">
        <v>45883</v>
      </c>
      <c r="H868" s="206" t="s">
        <v>115</v>
      </c>
      <c r="I868" s="206" t="s">
        <v>226</v>
      </c>
      <c r="J868" s="206" t="s">
        <v>936</v>
      </c>
      <c r="K868" s="228">
        <v>100</v>
      </c>
      <c r="L868" s="229" t="s">
        <v>42</v>
      </c>
      <c r="M868" s="228">
        <v>100</v>
      </c>
      <c r="N868" s="228">
        <v>215554.64</v>
      </c>
      <c r="O868" s="228">
        <v>21555464</v>
      </c>
      <c r="P868" s="228">
        <v>21555464</v>
      </c>
      <c r="Q868" s="224">
        <v>0</v>
      </c>
      <c r="R868" s="224">
        <v>0</v>
      </c>
      <c r="S868" s="229" t="s">
        <v>43</v>
      </c>
      <c r="T868" s="228">
        <v>14699219.76</v>
      </c>
      <c r="U868" s="228">
        <v>14699219.76</v>
      </c>
      <c r="V868" s="228">
        <v>6856244.2400000002</v>
      </c>
      <c r="W868" s="230">
        <v>0.31807453738800001</v>
      </c>
      <c r="X868" s="228">
        <v>6856244.2400000002</v>
      </c>
      <c r="Y868" s="206" t="s">
        <v>66</v>
      </c>
      <c r="Z868" s="206" t="s">
        <v>44</v>
      </c>
      <c r="AA868" s="206">
        <v>15159</v>
      </c>
      <c r="AB868" s="206" t="s">
        <v>118</v>
      </c>
      <c r="AC868" s="206" t="s">
        <v>154</v>
      </c>
      <c r="AD868" s="206" t="s">
        <v>155</v>
      </c>
      <c r="AE868" s="206">
        <v>0</v>
      </c>
      <c r="AF868" s="206" t="s">
        <v>124</v>
      </c>
      <c r="AG868" s="206" t="s">
        <v>81</v>
      </c>
      <c r="AH868" s="206" t="s">
        <v>57</v>
      </c>
      <c r="AI868" s="206" t="s">
        <v>69</v>
      </c>
      <c r="AJ868" s="206" t="s">
        <v>46</v>
      </c>
      <c r="AK868" s="206" t="s">
        <v>54</v>
      </c>
      <c r="AL868" s="206" t="s">
        <v>48</v>
      </c>
      <c r="AM868" s="206" t="s">
        <v>49</v>
      </c>
      <c r="AN868" s="243" t="str">
        <f>VLOOKUP(I868,Sheet1!A:D,4,)</f>
        <v>A320400</v>
      </c>
      <c r="AP868" s="36" t="s">
        <v>1237</v>
      </c>
    </row>
    <row r="869" spans="1:42" s="206" customFormat="1" x14ac:dyDescent="0.25">
      <c r="A869" s="226">
        <v>45870</v>
      </c>
      <c r="B869" s="206" t="s">
        <v>40</v>
      </c>
      <c r="C869" s="206" t="s">
        <v>41</v>
      </c>
      <c r="D869" s="221">
        <v>25708438</v>
      </c>
      <c r="E869" s="221">
        <v>25106749</v>
      </c>
      <c r="F869" s="221" t="s">
        <v>1225</v>
      </c>
      <c r="G869" s="227">
        <v>45883</v>
      </c>
      <c r="H869" s="206" t="s">
        <v>115</v>
      </c>
      <c r="I869" s="206" t="s">
        <v>204</v>
      </c>
      <c r="J869" s="206" t="s">
        <v>706</v>
      </c>
      <c r="K869" s="228">
        <v>100</v>
      </c>
      <c r="L869" s="229" t="s">
        <v>42</v>
      </c>
      <c r="M869" s="228">
        <v>100</v>
      </c>
      <c r="N869" s="228">
        <v>218246.97</v>
      </c>
      <c r="O869" s="228">
        <v>21824697</v>
      </c>
      <c r="P869" s="228">
        <v>21824697</v>
      </c>
      <c r="Q869" s="224">
        <v>0</v>
      </c>
      <c r="R869" s="224">
        <v>0</v>
      </c>
      <c r="S869" s="229" t="s">
        <v>43</v>
      </c>
      <c r="T869" s="228">
        <v>15312952.050000001</v>
      </c>
      <c r="U869" s="228">
        <v>15312952.050000001</v>
      </c>
      <c r="V869" s="228">
        <v>6511744.9500000002</v>
      </c>
      <c r="W869" s="230">
        <v>0.298365881093</v>
      </c>
      <c r="X869" s="228">
        <v>6511744.9500000002</v>
      </c>
      <c r="Y869" s="206" t="s">
        <v>66</v>
      </c>
      <c r="Z869" s="206" t="s">
        <v>44</v>
      </c>
      <c r="AA869" s="206">
        <v>15159</v>
      </c>
      <c r="AB869" s="206" t="s">
        <v>118</v>
      </c>
      <c r="AC869" s="206" t="s">
        <v>154</v>
      </c>
      <c r="AD869" s="206" t="s">
        <v>155</v>
      </c>
      <c r="AE869" s="206">
        <v>0</v>
      </c>
      <c r="AF869" s="206" t="s">
        <v>72</v>
      </c>
      <c r="AG869" s="206" t="s">
        <v>69</v>
      </c>
      <c r="AH869" s="206" t="s">
        <v>46</v>
      </c>
      <c r="AI869" s="206" t="s">
        <v>69</v>
      </c>
      <c r="AJ869" s="206" t="s">
        <v>46</v>
      </c>
      <c r="AK869" s="206" t="s">
        <v>54</v>
      </c>
      <c r="AL869" s="206" t="s">
        <v>48</v>
      </c>
      <c r="AM869" s="206" t="s">
        <v>49</v>
      </c>
      <c r="AN869" s="243" t="str">
        <f>VLOOKUP(I869,Sheet1!A:D,4,)</f>
        <v>A320400</v>
      </c>
      <c r="AP869" s="36" t="s">
        <v>1237</v>
      </c>
    </row>
    <row r="870" spans="1:42" s="206" customFormat="1" x14ac:dyDescent="0.25">
      <c r="A870" s="226">
        <v>45870</v>
      </c>
      <c r="B870" s="206" t="s">
        <v>40</v>
      </c>
      <c r="C870" s="206" t="s">
        <v>41</v>
      </c>
      <c r="D870" s="221">
        <v>25708439</v>
      </c>
      <c r="E870" s="221">
        <v>25106826</v>
      </c>
      <c r="F870" s="221" t="s">
        <v>1226</v>
      </c>
      <c r="G870" s="227">
        <v>45883</v>
      </c>
      <c r="H870" s="206" t="s">
        <v>115</v>
      </c>
      <c r="I870" s="206" t="s">
        <v>55</v>
      </c>
      <c r="J870" s="206" t="s">
        <v>70</v>
      </c>
      <c r="K870" s="228">
        <v>140</v>
      </c>
      <c r="L870" s="229" t="s">
        <v>42</v>
      </c>
      <c r="M870" s="228">
        <v>140</v>
      </c>
      <c r="N870" s="228">
        <v>815336</v>
      </c>
      <c r="O870" s="228">
        <v>114147040</v>
      </c>
      <c r="P870" s="228">
        <v>114147040</v>
      </c>
      <c r="Q870" s="224">
        <v>0</v>
      </c>
      <c r="R870" s="224">
        <v>0</v>
      </c>
      <c r="S870" s="229" t="s">
        <v>43</v>
      </c>
      <c r="T870" s="228">
        <v>71275166.980000004</v>
      </c>
      <c r="U870" s="228">
        <v>71275166.980000004</v>
      </c>
      <c r="V870" s="228">
        <v>42871873.020000003</v>
      </c>
      <c r="W870" s="230">
        <v>0.37558462330600001</v>
      </c>
      <c r="X870" s="228">
        <v>42871873.020000003</v>
      </c>
      <c r="Y870" s="206" t="s">
        <v>66</v>
      </c>
      <c r="Z870" s="206" t="s">
        <v>44</v>
      </c>
      <c r="AA870" s="206">
        <v>15159</v>
      </c>
      <c r="AB870" s="206" t="s">
        <v>118</v>
      </c>
      <c r="AC870" s="206" t="s">
        <v>154</v>
      </c>
      <c r="AD870" s="206" t="s">
        <v>155</v>
      </c>
      <c r="AE870" s="206">
        <v>0</v>
      </c>
      <c r="AF870" s="206" t="s">
        <v>68</v>
      </c>
      <c r="AG870" s="206" t="s">
        <v>71</v>
      </c>
      <c r="AH870" s="206" t="s">
        <v>53</v>
      </c>
      <c r="AI870" s="206" t="s">
        <v>69</v>
      </c>
      <c r="AJ870" s="206" t="s">
        <v>46</v>
      </c>
      <c r="AK870" s="206" t="s">
        <v>54</v>
      </c>
      <c r="AL870" s="206" t="s">
        <v>48</v>
      </c>
      <c r="AM870" s="206" t="s">
        <v>49</v>
      </c>
      <c r="AN870" s="243" t="str">
        <f>VLOOKUP(I870,Sheet1!A:D,4,)</f>
        <v>A320400</v>
      </c>
      <c r="AP870" s="36" t="s">
        <v>1237</v>
      </c>
    </row>
    <row r="871" spans="1:42" s="206" customFormat="1" x14ac:dyDescent="0.25">
      <c r="A871" s="226">
        <v>45870</v>
      </c>
      <c r="B871" s="206" t="s">
        <v>40</v>
      </c>
      <c r="C871" s="206" t="s">
        <v>41</v>
      </c>
      <c r="D871" s="221">
        <v>25708440</v>
      </c>
      <c r="E871" s="221">
        <v>25106863</v>
      </c>
      <c r="F871" s="221" t="s">
        <v>1227</v>
      </c>
      <c r="G871" s="227">
        <v>45883</v>
      </c>
      <c r="H871" s="206" t="s">
        <v>115</v>
      </c>
      <c r="I871" s="206" t="s">
        <v>414</v>
      </c>
      <c r="J871" s="206" t="s">
        <v>833</v>
      </c>
      <c r="K871" s="228">
        <v>60</v>
      </c>
      <c r="L871" s="229" t="s">
        <v>42</v>
      </c>
      <c r="M871" s="228">
        <v>60</v>
      </c>
      <c r="N871" s="228">
        <v>1442755.5</v>
      </c>
      <c r="O871" s="228">
        <v>86565330</v>
      </c>
      <c r="P871" s="228">
        <v>86565330</v>
      </c>
      <c r="Q871" s="224">
        <v>0</v>
      </c>
      <c r="R871" s="224">
        <v>0</v>
      </c>
      <c r="S871" s="229" t="s">
        <v>43</v>
      </c>
      <c r="T871" s="228">
        <v>38547327.600000001</v>
      </c>
      <c r="U871" s="228">
        <v>38547327.600000001</v>
      </c>
      <c r="V871" s="228">
        <v>48018002.399999999</v>
      </c>
      <c r="W871" s="230">
        <v>0.55470247037599996</v>
      </c>
      <c r="X871" s="228">
        <v>48018002.399999999</v>
      </c>
      <c r="Y871" s="206" t="s">
        <v>66</v>
      </c>
      <c r="Z871" s="206" t="s">
        <v>44</v>
      </c>
      <c r="AA871" s="206">
        <v>15159</v>
      </c>
      <c r="AB871" s="206" t="s">
        <v>118</v>
      </c>
      <c r="AC871" s="206" t="s">
        <v>154</v>
      </c>
      <c r="AD871" s="206" t="s">
        <v>155</v>
      </c>
      <c r="AE871" s="206">
        <v>0</v>
      </c>
      <c r="AF871" s="206" t="s">
        <v>72</v>
      </c>
      <c r="AG871" s="206" t="s">
        <v>69</v>
      </c>
      <c r="AH871" s="206" t="s">
        <v>46</v>
      </c>
      <c r="AI871" s="206" t="s">
        <v>69</v>
      </c>
      <c r="AJ871" s="206" t="s">
        <v>46</v>
      </c>
      <c r="AK871" s="206" t="s">
        <v>54</v>
      </c>
      <c r="AL871" s="206" t="s">
        <v>48</v>
      </c>
      <c r="AM871" s="206" t="s">
        <v>49</v>
      </c>
      <c r="AN871" s="243" t="str">
        <f>VLOOKUP(I871,Sheet1!A:D,4,)</f>
        <v>A320400</v>
      </c>
      <c r="AP871" s="36" t="s">
        <v>1237</v>
      </c>
    </row>
    <row r="872" spans="1:42" s="206" customFormat="1" x14ac:dyDescent="0.25">
      <c r="A872" s="226">
        <v>45870</v>
      </c>
      <c r="B872" s="206" t="s">
        <v>40</v>
      </c>
      <c r="C872" s="206" t="s">
        <v>41</v>
      </c>
      <c r="D872" s="221">
        <v>25708441</v>
      </c>
      <c r="E872" s="221">
        <v>25106878</v>
      </c>
      <c r="F872" s="221" t="s">
        <v>1228</v>
      </c>
      <c r="G872" s="227">
        <v>45883</v>
      </c>
      <c r="H872" s="206" t="s">
        <v>158</v>
      </c>
      <c r="I872" s="206" t="s">
        <v>55</v>
      </c>
      <c r="J872" s="206" t="s">
        <v>70</v>
      </c>
      <c r="K872" s="228">
        <v>10</v>
      </c>
      <c r="L872" s="229" t="s">
        <v>42</v>
      </c>
      <c r="M872" s="228">
        <v>10</v>
      </c>
      <c r="N872" s="228">
        <v>814317</v>
      </c>
      <c r="O872" s="228">
        <v>8143170</v>
      </c>
      <c r="P872" s="228">
        <v>8143170</v>
      </c>
      <c r="Q872" s="224">
        <v>0</v>
      </c>
      <c r="R872" s="224">
        <v>0</v>
      </c>
      <c r="S872" s="229" t="s">
        <v>43</v>
      </c>
      <c r="T872" s="228">
        <v>5091083.3600000003</v>
      </c>
      <c r="U872" s="228">
        <v>5091083.3600000003</v>
      </c>
      <c r="V872" s="228">
        <v>3052086.64</v>
      </c>
      <c r="W872" s="230">
        <v>0.37480325720800001</v>
      </c>
      <c r="X872" s="228">
        <v>3052086.64</v>
      </c>
      <c r="Y872" s="206" t="s">
        <v>69</v>
      </c>
      <c r="Z872" s="206" t="s">
        <v>46</v>
      </c>
      <c r="AA872" s="206">
        <v>2306495</v>
      </c>
      <c r="AB872" s="206" t="s">
        <v>161</v>
      </c>
      <c r="AC872" s="206" t="s">
        <v>56</v>
      </c>
      <c r="AD872" s="206" t="s">
        <v>77</v>
      </c>
      <c r="AE872" s="206">
        <v>0</v>
      </c>
      <c r="AF872" s="206" t="s">
        <v>68</v>
      </c>
      <c r="AG872" s="206" t="s">
        <v>71</v>
      </c>
      <c r="AH872" s="206" t="s">
        <v>53</v>
      </c>
      <c r="AI872" s="206" t="s">
        <v>69</v>
      </c>
      <c r="AJ872" s="206" t="s">
        <v>46</v>
      </c>
      <c r="AK872" s="206" t="s">
        <v>54</v>
      </c>
      <c r="AL872" s="206" t="s">
        <v>48</v>
      </c>
      <c r="AM872" s="206" t="s">
        <v>49</v>
      </c>
      <c r="AN872" s="243" t="str">
        <f>VLOOKUP(I872,Sheet1!A:D,4,)</f>
        <v>A320400</v>
      </c>
      <c r="AP872" s="36" t="s">
        <v>1237</v>
      </c>
    </row>
    <row r="873" spans="1:42" s="206" customFormat="1" x14ac:dyDescent="0.25">
      <c r="A873" s="226">
        <v>45870</v>
      </c>
      <c r="B873" s="206" t="s">
        <v>40</v>
      </c>
      <c r="C873" s="206" t="s">
        <v>41</v>
      </c>
      <c r="D873" s="221">
        <v>25708442</v>
      </c>
      <c r="E873" s="221">
        <v>25106879</v>
      </c>
      <c r="F873" s="221" t="s">
        <v>1229</v>
      </c>
      <c r="G873" s="227">
        <v>45883</v>
      </c>
      <c r="H873" s="206" t="s">
        <v>115</v>
      </c>
      <c r="I873" s="206" t="s">
        <v>146</v>
      </c>
      <c r="J873" s="206" t="s">
        <v>147</v>
      </c>
      <c r="K873" s="228">
        <v>2</v>
      </c>
      <c r="L873" s="229" t="s">
        <v>42</v>
      </c>
      <c r="M873" s="228">
        <v>2</v>
      </c>
      <c r="N873" s="228">
        <v>10917228</v>
      </c>
      <c r="O873" s="228">
        <v>21834456</v>
      </c>
      <c r="P873" s="228">
        <v>21834456</v>
      </c>
      <c r="Q873" s="224">
        <v>0</v>
      </c>
      <c r="R873" s="224">
        <v>0</v>
      </c>
      <c r="S873" s="229" t="s">
        <v>43</v>
      </c>
      <c r="T873" s="228">
        <v>14200847.640000001</v>
      </c>
      <c r="U873" s="228">
        <v>14200847.640000001</v>
      </c>
      <c r="V873" s="228">
        <v>7633608.3600000003</v>
      </c>
      <c r="W873" s="230">
        <v>0.34961294020700001</v>
      </c>
      <c r="X873" s="228">
        <v>7633608.3600000003</v>
      </c>
      <c r="Y873" s="206" t="s">
        <v>66</v>
      </c>
      <c r="Z873" s="206" t="s">
        <v>44</v>
      </c>
      <c r="AA873" s="206">
        <v>15159</v>
      </c>
      <c r="AB873" s="206" t="s">
        <v>118</v>
      </c>
      <c r="AC873" s="206" t="s">
        <v>154</v>
      </c>
      <c r="AD873" s="206" t="s">
        <v>155</v>
      </c>
      <c r="AE873" s="206">
        <v>0</v>
      </c>
      <c r="AF873" s="206" t="s">
        <v>68</v>
      </c>
      <c r="AG873" s="206" t="s">
        <v>69</v>
      </c>
      <c r="AH873" s="206" t="s">
        <v>46</v>
      </c>
      <c r="AI873" s="206" t="s">
        <v>69</v>
      </c>
      <c r="AJ873" s="206" t="s">
        <v>46</v>
      </c>
      <c r="AK873" s="206" t="s">
        <v>54</v>
      </c>
      <c r="AL873" s="206" t="s">
        <v>48</v>
      </c>
      <c r="AM873" s="206" t="s">
        <v>49</v>
      </c>
      <c r="AN873" s="243" t="str">
        <f>VLOOKUP(I873,Sheet1!A:D,4,)</f>
        <v>A320400</v>
      </c>
      <c r="AP873" s="36" t="s">
        <v>1237</v>
      </c>
    </row>
    <row r="874" spans="1:42" s="206" customFormat="1" x14ac:dyDescent="0.25">
      <c r="A874" s="226">
        <v>45870</v>
      </c>
      <c r="B874" s="206" t="s">
        <v>40</v>
      </c>
      <c r="C874" s="206" t="s">
        <v>41</v>
      </c>
      <c r="D874" s="221">
        <v>25708443</v>
      </c>
      <c r="E874" s="221">
        <v>25106881</v>
      </c>
      <c r="F874" s="221" t="s">
        <v>1230</v>
      </c>
      <c r="G874" s="227">
        <v>45883</v>
      </c>
      <c r="H874" s="206" t="s">
        <v>126</v>
      </c>
      <c r="I874" s="206" t="s">
        <v>223</v>
      </c>
      <c r="J874" s="206" t="s">
        <v>864</v>
      </c>
      <c r="K874" s="228">
        <v>1</v>
      </c>
      <c r="L874" s="229" t="s">
        <v>42</v>
      </c>
      <c r="M874" s="228">
        <v>1</v>
      </c>
      <c r="N874" s="228">
        <v>10731076.02</v>
      </c>
      <c r="O874" s="228">
        <v>10731076.02</v>
      </c>
      <c r="P874" s="228">
        <v>10731076.02</v>
      </c>
      <c r="Q874" s="224">
        <v>0</v>
      </c>
      <c r="R874" s="224">
        <v>0</v>
      </c>
      <c r="S874" s="229" t="s">
        <v>43</v>
      </c>
      <c r="T874" s="228">
        <v>5414327.6799999997</v>
      </c>
      <c r="U874" s="228">
        <v>5414327.6799999997</v>
      </c>
      <c r="V874" s="228">
        <v>5316748.34</v>
      </c>
      <c r="W874" s="230">
        <v>0.49545342238599999</v>
      </c>
      <c r="X874" s="228">
        <v>5316748.34</v>
      </c>
      <c r="Y874" s="206" t="s">
        <v>69</v>
      </c>
      <c r="Z874" s="206" t="s">
        <v>46</v>
      </c>
      <c r="AA874" s="206">
        <v>2306153</v>
      </c>
      <c r="AB874" s="206" t="s">
        <v>126</v>
      </c>
      <c r="AC874" s="206" t="s">
        <v>56</v>
      </c>
      <c r="AD874" s="206" t="s">
        <v>77</v>
      </c>
      <c r="AE874" s="206">
        <v>0</v>
      </c>
      <c r="AF874" s="206" t="s">
        <v>72</v>
      </c>
      <c r="AG874" s="206" t="s">
        <v>69</v>
      </c>
      <c r="AH874" s="206" t="s">
        <v>46</v>
      </c>
      <c r="AI874" s="206" t="s">
        <v>69</v>
      </c>
      <c r="AJ874" s="206" t="s">
        <v>46</v>
      </c>
      <c r="AK874" s="206" t="s">
        <v>54</v>
      </c>
      <c r="AL874" s="206" t="s">
        <v>48</v>
      </c>
      <c r="AM874" s="206" t="s">
        <v>49</v>
      </c>
      <c r="AN874" s="243" t="str">
        <f>VLOOKUP(I874,Sheet1!A:D,4,)</f>
        <v>A320400</v>
      </c>
      <c r="AP874" s="36" t="s">
        <v>1237</v>
      </c>
    </row>
    <row r="875" spans="1:42" s="206" customFormat="1" x14ac:dyDescent="0.25">
      <c r="A875" s="226">
        <v>45870</v>
      </c>
      <c r="B875" s="206" t="s">
        <v>40</v>
      </c>
      <c r="C875" s="206" t="s">
        <v>41</v>
      </c>
      <c r="D875" s="221">
        <v>25708444</v>
      </c>
      <c r="E875" s="221">
        <v>25106883</v>
      </c>
      <c r="F875" s="221" t="s">
        <v>1231</v>
      </c>
      <c r="G875" s="227">
        <v>45883</v>
      </c>
      <c r="H875" s="206" t="s">
        <v>158</v>
      </c>
      <c r="I875" s="206" t="s">
        <v>272</v>
      </c>
      <c r="J875" s="206" t="s">
        <v>789</v>
      </c>
      <c r="K875" s="228">
        <v>140</v>
      </c>
      <c r="L875" s="229" t="s">
        <v>42</v>
      </c>
      <c r="M875" s="228">
        <v>140</v>
      </c>
      <c r="N875" s="228">
        <v>326474.15000000002</v>
      </c>
      <c r="O875" s="228">
        <v>45706381</v>
      </c>
      <c r="P875" s="228">
        <v>45706381</v>
      </c>
      <c r="Q875" s="224">
        <v>0</v>
      </c>
      <c r="R875" s="224">
        <v>0</v>
      </c>
      <c r="S875" s="229" t="s">
        <v>43</v>
      </c>
      <c r="T875" s="228">
        <v>24457016.289999999</v>
      </c>
      <c r="U875" s="228">
        <v>24457016.289999999</v>
      </c>
      <c r="V875" s="228">
        <v>21249364.710000001</v>
      </c>
      <c r="W875" s="230">
        <v>0.464910243276</v>
      </c>
      <c r="X875" s="228">
        <v>21249364.710000001</v>
      </c>
      <c r="Y875" s="206" t="s">
        <v>69</v>
      </c>
      <c r="Z875" s="206" t="s">
        <v>46</v>
      </c>
      <c r="AA875" s="206">
        <v>2306495</v>
      </c>
      <c r="AB875" s="206" t="s">
        <v>161</v>
      </c>
      <c r="AC875" s="206" t="s">
        <v>56</v>
      </c>
      <c r="AD875" s="206" t="s">
        <v>77</v>
      </c>
      <c r="AE875" s="206">
        <v>0</v>
      </c>
      <c r="AF875" s="206" t="s">
        <v>124</v>
      </c>
      <c r="AG875" s="206" t="s">
        <v>81</v>
      </c>
      <c r="AH875" s="206" t="s">
        <v>57</v>
      </c>
      <c r="AI875" s="206" t="s">
        <v>69</v>
      </c>
      <c r="AJ875" s="206" t="s">
        <v>46</v>
      </c>
      <c r="AK875" s="206" t="s">
        <v>54</v>
      </c>
      <c r="AL875" s="206" t="s">
        <v>48</v>
      </c>
      <c r="AM875" s="206" t="s">
        <v>49</v>
      </c>
      <c r="AN875" s="243" t="str">
        <f>VLOOKUP(I875,Sheet1!A:D,4,)</f>
        <v>A320400</v>
      </c>
      <c r="AP875" s="36" t="s">
        <v>1237</v>
      </c>
    </row>
    <row r="876" spans="1:42" s="206" customFormat="1" x14ac:dyDescent="0.25">
      <c r="A876" s="226">
        <v>45870</v>
      </c>
      <c r="B876" s="206" t="s">
        <v>40</v>
      </c>
      <c r="C876" s="206" t="s">
        <v>41</v>
      </c>
      <c r="D876" s="221">
        <v>25708444</v>
      </c>
      <c r="E876" s="221">
        <v>25106883</v>
      </c>
      <c r="F876" s="221" t="s">
        <v>1231</v>
      </c>
      <c r="G876" s="227">
        <v>45883</v>
      </c>
      <c r="H876" s="206" t="s">
        <v>158</v>
      </c>
      <c r="I876" s="206" t="s">
        <v>474</v>
      </c>
      <c r="J876" s="206" t="s">
        <v>752</v>
      </c>
      <c r="K876" s="228">
        <v>60</v>
      </c>
      <c r="L876" s="229" t="s">
        <v>42</v>
      </c>
      <c r="M876" s="228">
        <v>60</v>
      </c>
      <c r="N876" s="228">
        <v>1407140</v>
      </c>
      <c r="O876" s="228">
        <v>84428400</v>
      </c>
      <c r="P876" s="228">
        <v>84428400</v>
      </c>
      <c r="Q876" s="224">
        <v>0</v>
      </c>
      <c r="R876" s="224">
        <v>0</v>
      </c>
      <c r="S876" s="229" t="s">
        <v>43</v>
      </c>
      <c r="T876" s="228">
        <v>42229602.299999997</v>
      </c>
      <c r="U876" s="228">
        <v>42229602.299999997</v>
      </c>
      <c r="V876" s="228">
        <v>42198797.700000003</v>
      </c>
      <c r="W876" s="230">
        <v>0.49981756968000002</v>
      </c>
      <c r="X876" s="228">
        <v>42198797.700000003</v>
      </c>
      <c r="Y876" s="206" t="s">
        <v>69</v>
      </c>
      <c r="Z876" s="206" t="s">
        <v>46</v>
      </c>
      <c r="AA876" s="206">
        <v>2306495</v>
      </c>
      <c r="AB876" s="206" t="s">
        <v>161</v>
      </c>
      <c r="AC876" s="206" t="s">
        <v>56</v>
      </c>
      <c r="AD876" s="206" t="s">
        <v>77</v>
      </c>
      <c r="AE876" s="206">
        <v>0</v>
      </c>
      <c r="AF876" s="206" t="s">
        <v>72</v>
      </c>
      <c r="AG876" s="206" t="s">
        <v>69</v>
      </c>
      <c r="AH876" s="206" t="s">
        <v>46</v>
      </c>
      <c r="AI876" s="206" t="s">
        <v>69</v>
      </c>
      <c r="AJ876" s="206" t="s">
        <v>46</v>
      </c>
      <c r="AK876" s="206" t="s">
        <v>54</v>
      </c>
      <c r="AL876" s="206" t="s">
        <v>48</v>
      </c>
      <c r="AM876" s="206" t="s">
        <v>49</v>
      </c>
      <c r="AN876" s="243" t="str">
        <f>VLOOKUP(I876,Sheet1!A:D,4,)</f>
        <v>A320400</v>
      </c>
      <c r="AP876" s="36" t="s">
        <v>1237</v>
      </c>
    </row>
    <row r="877" spans="1:42" s="206" customFormat="1" x14ac:dyDescent="0.25">
      <c r="A877" s="226">
        <v>45870</v>
      </c>
      <c r="B877" s="206" t="s">
        <v>40</v>
      </c>
      <c r="C877" s="206" t="s">
        <v>41</v>
      </c>
      <c r="D877" s="221">
        <v>25708445</v>
      </c>
      <c r="E877" s="221">
        <v>25106890</v>
      </c>
      <c r="F877" s="221" t="s">
        <v>1232</v>
      </c>
      <c r="G877" s="227">
        <v>45883</v>
      </c>
      <c r="H877" s="206" t="s">
        <v>150</v>
      </c>
      <c r="I877" s="206" t="s">
        <v>151</v>
      </c>
      <c r="J877" s="206" t="s">
        <v>152</v>
      </c>
      <c r="K877" s="228">
        <v>13.5</v>
      </c>
      <c r="L877" s="229" t="s">
        <v>42</v>
      </c>
      <c r="M877" s="228">
        <v>13.5</v>
      </c>
      <c r="N877" s="228">
        <v>942601.58</v>
      </c>
      <c r="O877" s="228">
        <v>12725121.33</v>
      </c>
      <c r="P877" s="228">
        <v>12725121.33</v>
      </c>
      <c r="Q877" s="224">
        <v>0</v>
      </c>
      <c r="R877" s="224">
        <v>0</v>
      </c>
      <c r="S877" s="229" t="s">
        <v>43</v>
      </c>
      <c r="T877" s="228">
        <v>6489346.0999999996</v>
      </c>
      <c r="U877" s="228">
        <v>6489346.0999999996</v>
      </c>
      <c r="V877" s="228">
        <v>6235775.2300000004</v>
      </c>
      <c r="W877" s="230">
        <v>0.49003660305300001</v>
      </c>
      <c r="X877" s="228">
        <v>6235775.2300000004</v>
      </c>
      <c r="Y877" s="206" t="s">
        <v>69</v>
      </c>
      <c r="Z877" s="206" t="s">
        <v>46</v>
      </c>
      <c r="AA877" s="206">
        <v>2306392</v>
      </c>
      <c r="AB877" s="206" t="s">
        <v>153</v>
      </c>
      <c r="AC877" s="206" t="s">
        <v>154</v>
      </c>
      <c r="AD877" s="206" t="s">
        <v>155</v>
      </c>
      <c r="AE877" s="206">
        <v>0</v>
      </c>
      <c r="AF877" s="206" t="s">
        <v>68</v>
      </c>
      <c r="AG877" s="206" t="s">
        <v>69</v>
      </c>
      <c r="AH877" s="206" t="s">
        <v>46</v>
      </c>
      <c r="AI877" s="206" t="s">
        <v>69</v>
      </c>
      <c r="AJ877" s="206" t="s">
        <v>46</v>
      </c>
      <c r="AK877" s="206" t="s">
        <v>54</v>
      </c>
      <c r="AL877" s="206" t="s">
        <v>48</v>
      </c>
      <c r="AM877" s="206" t="s">
        <v>49</v>
      </c>
      <c r="AN877" s="243" t="str">
        <f>VLOOKUP(I877,Sheet1!A:D,4,)</f>
        <v>A320400</v>
      </c>
      <c r="AP877" s="36" t="s">
        <v>1237</v>
      </c>
    </row>
    <row r="878" spans="1:42" s="206" customFormat="1" x14ac:dyDescent="0.25">
      <c r="A878" s="226">
        <v>45870</v>
      </c>
      <c r="B878" s="206" t="s">
        <v>40</v>
      </c>
      <c r="C878" s="206" t="s">
        <v>41</v>
      </c>
      <c r="D878" s="221">
        <v>25708446</v>
      </c>
      <c r="E878" s="221">
        <v>25106891</v>
      </c>
      <c r="F878" s="221" t="s">
        <v>1233</v>
      </c>
      <c r="G878" s="227">
        <v>45883</v>
      </c>
      <c r="H878" s="206" t="s">
        <v>150</v>
      </c>
      <c r="I878" s="206" t="s">
        <v>151</v>
      </c>
      <c r="J878" s="206" t="s">
        <v>152</v>
      </c>
      <c r="K878" s="228">
        <v>54</v>
      </c>
      <c r="L878" s="229" t="s">
        <v>42</v>
      </c>
      <c r="M878" s="228">
        <v>54</v>
      </c>
      <c r="N878" s="228">
        <v>942601.58</v>
      </c>
      <c r="O878" s="228">
        <v>50900485.32</v>
      </c>
      <c r="P878" s="228">
        <v>50900485.32</v>
      </c>
      <c r="Q878" s="224">
        <v>0</v>
      </c>
      <c r="R878" s="224">
        <v>0</v>
      </c>
      <c r="S878" s="229" t="s">
        <v>43</v>
      </c>
      <c r="T878" s="228">
        <v>25957384.399999999</v>
      </c>
      <c r="U878" s="228">
        <v>25957384.399999999</v>
      </c>
      <c r="V878" s="228">
        <v>24943100.920000002</v>
      </c>
      <c r="W878" s="230">
        <v>0.49003660305300001</v>
      </c>
      <c r="X878" s="228">
        <v>24943100.920000002</v>
      </c>
      <c r="Y878" s="206" t="s">
        <v>69</v>
      </c>
      <c r="Z878" s="206" t="s">
        <v>46</v>
      </c>
      <c r="AA878" s="206">
        <v>2306392</v>
      </c>
      <c r="AB878" s="206" t="s">
        <v>153</v>
      </c>
      <c r="AC878" s="206" t="s">
        <v>154</v>
      </c>
      <c r="AD878" s="206" t="s">
        <v>155</v>
      </c>
      <c r="AE878" s="206">
        <v>0</v>
      </c>
      <c r="AF878" s="206" t="s">
        <v>68</v>
      </c>
      <c r="AG878" s="206" t="s">
        <v>69</v>
      </c>
      <c r="AH878" s="206" t="s">
        <v>46</v>
      </c>
      <c r="AI878" s="206" t="s">
        <v>69</v>
      </c>
      <c r="AJ878" s="206" t="s">
        <v>46</v>
      </c>
      <c r="AK878" s="206" t="s">
        <v>54</v>
      </c>
      <c r="AL878" s="206" t="s">
        <v>48</v>
      </c>
      <c r="AM878" s="206" t="s">
        <v>49</v>
      </c>
      <c r="AN878" s="243" t="str">
        <f>VLOOKUP(I878,Sheet1!A:D,4,)</f>
        <v>A320400</v>
      </c>
      <c r="AP878" s="36" t="s">
        <v>1237</v>
      </c>
    </row>
    <row r="879" spans="1:42" s="206" customFormat="1" x14ac:dyDescent="0.25">
      <c r="A879" s="226">
        <v>45870</v>
      </c>
      <c r="B879" s="206" t="s">
        <v>40</v>
      </c>
      <c r="C879" s="206" t="s">
        <v>41</v>
      </c>
      <c r="D879" s="221">
        <v>25708447</v>
      </c>
      <c r="E879" s="221">
        <v>25106739</v>
      </c>
      <c r="F879" s="221" t="s">
        <v>1115</v>
      </c>
      <c r="G879" s="227">
        <v>45884</v>
      </c>
      <c r="H879" s="206" t="s">
        <v>126</v>
      </c>
      <c r="I879" s="206" t="s">
        <v>318</v>
      </c>
      <c r="J879" s="206" t="s">
        <v>529</v>
      </c>
      <c r="K879" s="228">
        <v>105</v>
      </c>
      <c r="L879" s="229" t="s">
        <v>42</v>
      </c>
      <c r="M879" s="228">
        <v>105</v>
      </c>
      <c r="N879" s="228">
        <v>1099330.17</v>
      </c>
      <c r="O879" s="228">
        <v>115429667.84999999</v>
      </c>
      <c r="P879" s="228">
        <v>115429667.84999999</v>
      </c>
      <c r="Q879" s="224">
        <v>0</v>
      </c>
      <c r="R879" s="224">
        <v>0</v>
      </c>
      <c r="S879" s="229" t="s">
        <v>43</v>
      </c>
      <c r="T879" s="228">
        <v>77715690.739999995</v>
      </c>
      <c r="U879" s="228">
        <v>77715690.739999995</v>
      </c>
      <c r="V879" s="228">
        <v>37713977.109999999</v>
      </c>
      <c r="W879" s="230">
        <v>0.32672689623399997</v>
      </c>
      <c r="X879" s="228">
        <v>37713977.109999999</v>
      </c>
      <c r="Y879" s="206" t="s">
        <v>69</v>
      </c>
      <c r="Z879" s="206" t="s">
        <v>46</v>
      </c>
      <c r="AA879" s="206">
        <v>2306153</v>
      </c>
      <c r="AB879" s="206" t="s">
        <v>126</v>
      </c>
      <c r="AC879" s="206" t="s">
        <v>56</v>
      </c>
      <c r="AD879" s="206" t="s">
        <v>77</v>
      </c>
      <c r="AE879" s="206">
        <v>0</v>
      </c>
      <c r="AF879" s="206" t="s">
        <v>798</v>
      </c>
      <c r="AG879" s="206" t="s">
        <v>1006</v>
      </c>
      <c r="AH879" s="206" t="s">
        <v>1007</v>
      </c>
      <c r="AI879" s="206" t="s">
        <v>69</v>
      </c>
      <c r="AJ879" s="206" t="s">
        <v>46</v>
      </c>
      <c r="AK879" s="206" t="s">
        <v>54</v>
      </c>
      <c r="AL879" s="206" t="s">
        <v>48</v>
      </c>
      <c r="AM879" s="206" t="s">
        <v>49</v>
      </c>
      <c r="AN879" s="243" t="str">
        <f>VLOOKUP(I879,Sheet1!A:D,4,)</f>
        <v>A210600</v>
      </c>
      <c r="AP879" s="36" t="s">
        <v>1237</v>
      </c>
    </row>
    <row r="880" spans="1:42" s="206" customFormat="1" x14ac:dyDescent="0.25">
      <c r="A880" s="226">
        <v>45870</v>
      </c>
      <c r="B880" s="206" t="s">
        <v>40</v>
      </c>
      <c r="C880" s="206" t="s">
        <v>41</v>
      </c>
      <c r="D880" s="221">
        <v>25708448</v>
      </c>
      <c r="E880" s="221">
        <v>25106862</v>
      </c>
      <c r="F880" s="221" t="s">
        <v>1234</v>
      </c>
      <c r="G880" s="227">
        <v>45884</v>
      </c>
      <c r="H880" s="206" t="s">
        <v>126</v>
      </c>
      <c r="I880" s="206" t="s">
        <v>302</v>
      </c>
      <c r="J880" s="206" t="s">
        <v>1121</v>
      </c>
      <c r="K880" s="228">
        <v>40</v>
      </c>
      <c r="L880" s="229" t="s">
        <v>42</v>
      </c>
      <c r="M880" s="228">
        <v>40</v>
      </c>
      <c r="N880" s="228">
        <v>2638916.5</v>
      </c>
      <c r="O880" s="228">
        <v>105556660</v>
      </c>
      <c r="P880" s="228">
        <v>105556660</v>
      </c>
      <c r="Q880" s="224">
        <v>0</v>
      </c>
      <c r="R880" s="224">
        <v>0</v>
      </c>
      <c r="S880" s="229" t="s">
        <v>43</v>
      </c>
      <c r="T880" s="228">
        <v>69307920.599999994</v>
      </c>
      <c r="U880" s="228">
        <v>69307920.599999994</v>
      </c>
      <c r="V880" s="228">
        <v>36248739.399999999</v>
      </c>
      <c r="W880" s="230">
        <v>0.34340551699900002</v>
      </c>
      <c r="X880" s="228">
        <v>36248739.399999999</v>
      </c>
      <c r="Y880" s="206" t="s">
        <v>69</v>
      </c>
      <c r="Z880" s="206" t="s">
        <v>46</v>
      </c>
      <c r="AA880" s="206">
        <v>2306153</v>
      </c>
      <c r="AB880" s="206" t="s">
        <v>126</v>
      </c>
      <c r="AC880" s="206" t="s">
        <v>56</v>
      </c>
      <c r="AD880" s="206" t="s">
        <v>77</v>
      </c>
      <c r="AE880" s="206">
        <v>0</v>
      </c>
      <c r="AF880" s="206" t="s">
        <v>72</v>
      </c>
      <c r="AG880" s="206" t="s">
        <v>69</v>
      </c>
      <c r="AH880" s="206" t="s">
        <v>46</v>
      </c>
      <c r="AI880" s="206" t="s">
        <v>69</v>
      </c>
      <c r="AJ880" s="206" t="s">
        <v>46</v>
      </c>
      <c r="AK880" s="206" t="s">
        <v>54</v>
      </c>
      <c r="AL880" s="206" t="s">
        <v>48</v>
      </c>
      <c r="AM880" s="206" t="s">
        <v>49</v>
      </c>
      <c r="AN880" s="243" t="str">
        <f>VLOOKUP(I880,Sheet1!A:D,4,)</f>
        <v>A320400</v>
      </c>
      <c r="AP880" s="36" t="s">
        <v>1237</v>
      </c>
    </row>
    <row r="881" spans="1:42" s="206" customFormat="1" x14ac:dyDescent="0.25">
      <c r="A881" s="226">
        <v>45870</v>
      </c>
      <c r="B881" s="206" t="s">
        <v>40</v>
      </c>
      <c r="C881" s="206" t="s">
        <v>41</v>
      </c>
      <c r="D881" s="221">
        <v>25708449</v>
      </c>
      <c r="E881" s="221">
        <v>25106738</v>
      </c>
      <c r="F881" s="221" t="s">
        <v>1116</v>
      </c>
      <c r="G881" s="227">
        <v>45884</v>
      </c>
      <c r="H881" s="206" t="s">
        <v>126</v>
      </c>
      <c r="I881" s="206" t="s">
        <v>177</v>
      </c>
      <c r="J881" s="206" t="s">
        <v>178</v>
      </c>
      <c r="K881" s="228">
        <v>120</v>
      </c>
      <c r="L881" s="229" t="s">
        <v>42</v>
      </c>
      <c r="M881" s="228">
        <v>120</v>
      </c>
      <c r="N881" s="228">
        <v>868606.55</v>
      </c>
      <c r="O881" s="228">
        <v>104232786</v>
      </c>
      <c r="P881" s="228">
        <v>104232786</v>
      </c>
      <c r="Q881" s="224">
        <v>0</v>
      </c>
      <c r="R881" s="224">
        <v>0</v>
      </c>
      <c r="S881" s="229" t="s">
        <v>43</v>
      </c>
      <c r="T881" s="228">
        <v>48781095.299999997</v>
      </c>
      <c r="U881" s="228">
        <v>48781095.299999997</v>
      </c>
      <c r="V881" s="228">
        <v>55451690.700000003</v>
      </c>
      <c r="W881" s="230">
        <v>0.53199854698299998</v>
      </c>
      <c r="X881" s="228">
        <v>55451690.700000003</v>
      </c>
      <c r="Y881" s="206" t="s">
        <v>69</v>
      </c>
      <c r="Z881" s="206" t="s">
        <v>46</v>
      </c>
      <c r="AA881" s="206">
        <v>2306153</v>
      </c>
      <c r="AB881" s="206" t="s">
        <v>126</v>
      </c>
      <c r="AC881" s="206" t="s">
        <v>56</v>
      </c>
      <c r="AD881" s="206" t="s">
        <v>77</v>
      </c>
      <c r="AE881" s="206">
        <v>0</v>
      </c>
      <c r="AF881" s="206" t="s">
        <v>72</v>
      </c>
      <c r="AG881" s="206" t="s">
        <v>69</v>
      </c>
      <c r="AH881" s="206" t="s">
        <v>46</v>
      </c>
      <c r="AI881" s="206" t="s">
        <v>69</v>
      </c>
      <c r="AJ881" s="206" t="s">
        <v>46</v>
      </c>
      <c r="AK881" s="206" t="s">
        <v>54</v>
      </c>
      <c r="AL881" s="206" t="s">
        <v>48</v>
      </c>
      <c r="AM881" s="206" t="s">
        <v>49</v>
      </c>
      <c r="AN881" s="243" t="str">
        <f>VLOOKUP(I881,Sheet1!A:D,4,)</f>
        <v>A320400</v>
      </c>
      <c r="AP881" s="36" t="s">
        <v>1237</v>
      </c>
    </row>
    <row r="882" spans="1:42" s="206" customFormat="1" x14ac:dyDescent="0.25">
      <c r="A882" s="226">
        <v>45870</v>
      </c>
      <c r="B882" s="206" t="s">
        <v>40</v>
      </c>
      <c r="C882" s="206" t="s">
        <v>41</v>
      </c>
      <c r="D882" s="221">
        <v>25708450</v>
      </c>
      <c r="E882" s="221">
        <v>25106821</v>
      </c>
      <c r="F882" s="221" t="s">
        <v>1235</v>
      </c>
      <c r="G882" s="227">
        <v>45884</v>
      </c>
      <c r="H882" s="206" t="s">
        <v>126</v>
      </c>
      <c r="I882" s="206" t="s">
        <v>170</v>
      </c>
      <c r="J882" s="206" t="s">
        <v>171</v>
      </c>
      <c r="K882" s="228">
        <v>20</v>
      </c>
      <c r="L882" s="229" t="s">
        <v>42</v>
      </c>
      <c r="M882" s="228">
        <v>20</v>
      </c>
      <c r="N882" s="228">
        <v>2695410</v>
      </c>
      <c r="O882" s="228">
        <v>53908200</v>
      </c>
      <c r="P882" s="228">
        <v>53908200</v>
      </c>
      <c r="Q882" s="224">
        <v>0</v>
      </c>
      <c r="R882" s="224">
        <v>0</v>
      </c>
      <c r="S882" s="229" t="s">
        <v>43</v>
      </c>
      <c r="T882" s="228">
        <v>8831407</v>
      </c>
      <c r="U882" s="228">
        <v>8831407</v>
      </c>
      <c r="V882" s="228">
        <v>45076793</v>
      </c>
      <c r="W882" s="230">
        <v>0.83617692670099997</v>
      </c>
      <c r="X882" s="228">
        <v>45076793</v>
      </c>
      <c r="Y882" s="206" t="s">
        <v>69</v>
      </c>
      <c r="Z882" s="206" t="s">
        <v>46</v>
      </c>
      <c r="AA882" s="206">
        <v>2306153</v>
      </c>
      <c r="AB882" s="206" t="s">
        <v>126</v>
      </c>
      <c r="AC882" s="206" t="s">
        <v>56</v>
      </c>
      <c r="AD882" s="206" t="s">
        <v>77</v>
      </c>
      <c r="AE882" s="206">
        <v>0</v>
      </c>
      <c r="AF882" s="206" t="s">
        <v>119</v>
      </c>
      <c r="AG882" s="206" t="s">
        <v>120</v>
      </c>
      <c r="AH882" s="206" t="s">
        <v>121</v>
      </c>
      <c r="AI882" s="206" t="s">
        <v>69</v>
      </c>
      <c r="AJ882" s="206" t="s">
        <v>46</v>
      </c>
      <c r="AK882" s="206" t="s">
        <v>54</v>
      </c>
      <c r="AL882" s="206" t="s">
        <v>48</v>
      </c>
      <c r="AM882" s="206" t="s">
        <v>49</v>
      </c>
      <c r="AN882" s="243" t="str">
        <f>VLOOKUP(I882,Sheet1!A:D,4,)</f>
        <v>A320400</v>
      </c>
      <c r="AP882" s="36" t="s">
        <v>1237</v>
      </c>
    </row>
    <row r="883" spans="1:42" s="206" customFormat="1" x14ac:dyDescent="0.25">
      <c r="A883" s="226">
        <v>45870</v>
      </c>
      <c r="B883" s="206" t="s">
        <v>40</v>
      </c>
      <c r="C883" s="206" t="s">
        <v>41</v>
      </c>
      <c r="D883" s="221">
        <v>25708451</v>
      </c>
      <c r="E883" s="221">
        <v>25106830</v>
      </c>
      <c r="F883" s="221" t="s">
        <v>1171</v>
      </c>
      <c r="G883" s="227">
        <v>45884</v>
      </c>
      <c r="H883" s="206" t="s">
        <v>126</v>
      </c>
      <c r="I883" s="206" t="s">
        <v>298</v>
      </c>
      <c r="J883" s="206" t="s">
        <v>791</v>
      </c>
      <c r="K883" s="228">
        <v>40</v>
      </c>
      <c r="L883" s="229" t="s">
        <v>42</v>
      </c>
      <c r="M883" s="228">
        <v>40</v>
      </c>
      <c r="N883" s="228">
        <v>2126559.35</v>
      </c>
      <c r="O883" s="228">
        <v>85062374</v>
      </c>
      <c r="P883" s="228">
        <v>85062374</v>
      </c>
      <c r="Q883" s="224">
        <v>0</v>
      </c>
      <c r="R883" s="224">
        <v>0</v>
      </c>
      <c r="S883" s="229" t="s">
        <v>43</v>
      </c>
      <c r="T883" s="228">
        <v>58466229.039999999</v>
      </c>
      <c r="U883" s="228">
        <v>58466229.039999999</v>
      </c>
      <c r="V883" s="228">
        <v>26596144.960000001</v>
      </c>
      <c r="W883" s="230">
        <v>0.31266638478699998</v>
      </c>
      <c r="X883" s="228">
        <v>26596144.960000001</v>
      </c>
      <c r="Y883" s="206" t="s">
        <v>69</v>
      </c>
      <c r="Z883" s="206" t="s">
        <v>46</v>
      </c>
      <c r="AA883" s="206">
        <v>2306153</v>
      </c>
      <c r="AB883" s="206" t="s">
        <v>126</v>
      </c>
      <c r="AC883" s="206" t="s">
        <v>56</v>
      </c>
      <c r="AD883" s="206" t="s">
        <v>77</v>
      </c>
      <c r="AE883" s="206">
        <v>0</v>
      </c>
      <c r="AF883" s="206" t="s">
        <v>780</v>
      </c>
      <c r="AG883" s="206" t="s">
        <v>69</v>
      </c>
      <c r="AH883" s="206" t="s">
        <v>46</v>
      </c>
      <c r="AI883" s="206" t="s">
        <v>69</v>
      </c>
      <c r="AJ883" s="206" t="s">
        <v>46</v>
      </c>
      <c r="AK883" s="206" t="s">
        <v>54</v>
      </c>
      <c r="AL883" s="206" t="s">
        <v>48</v>
      </c>
      <c r="AM883" s="206" t="s">
        <v>49</v>
      </c>
      <c r="AN883" s="243" t="str">
        <f>VLOOKUP(I883,Sheet1!A:D,4,)</f>
        <v>A320400</v>
      </c>
      <c r="AP883" s="36" t="s">
        <v>1237</v>
      </c>
    </row>
    <row r="884" spans="1:42" s="206" customFormat="1" x14ac:dyDescent="0.25">
      <c r="A884" s="226">
        <v>45870</v>
      </c>
      <c r="B884" s="206" t="s">
        <v>40</v>
      </c>
      <c r="C884" s="206" t="s">
        <v>41</v>
      </c>
      <c r="D884" s="221">
        <v>25708452</v>
      </c>
      <c r="E884" s="221">
        <v>25106835</v>
      </c>
      <c r="F884" s="221" t="s">
        <v>1178</v>
      </c>
      <c r="G884" s="227">
        <v>45884</v>
      </c>
      <c r="H884" s="206" t="s">
        <v>126</v>
      </c>
      <c r="I884" s="206" t="s">
        <v>170</v>
      </c>
      <c r="J884" s="206" t="s">
        <v>171</v>
      </c>
      <c r="K884" s="228">
        <v>1</v>
      </c>
      <c r="L884" s="229" t="s">
        <v>42</v>
      </c>
      <c r="M884" s="228">
        <v>1</v>
      </c>
      <c r="N884" s="228">
        <v>2677074.2200000002</v>
      </c>
      <c r="O884" s="228">
        <v>2677074.2200000002</v>
      </c>
      <c r="P884" s="228">
        <v>2677074.2200000002</v>
      </c>
      <c r="Q884" s="224">
        <v>0</v>
      </c>
      <c r="R884" s="224">
        <v>0</v>
      </c>
      <c r="S884" s="229" t="s">
        <v>43</v>
      </c>
      <c r="T884" s="228">
        <v>441570.35</v>
      </c>
      <c r="U884" s="228">
        <v>441570.35</v>
      </c>
      <c r="V884" s="228">
        <v>2235503.87</v>
      </c>
      <c r="W884" s="230">
        <v>0.83505487195600003</v>
      </c>
      <c r="X884" s="228">
        <v>2235503.87</v>
      </c>
      <c r="Y884" s="206" t="s">
        <v>69</v>
      </c>
      <c r="Z884" s="206" t="s">
        <v>46</v>
      </c>
      <c r="AA884" s="206">
        <v>2306153</v>
      </c>
      <c r="AB884" s="206" t="s">
        <v>126</v>
      </c>
      <c r="AC884" s="206" t="s">
        <v>56</v>
      </c>
      <c r="AD884" s="206" t="s">
        <v>77</v>
      </c>
      <c r="AE884" s="206">
        <v>0</v>
      </c>
      <c r="AF884" s="206" t="s">
        <v>119</v>
      </c>
      <c r="AG884" s="206" t="s">
        <v>120</v>
      </c>
      <c r="AH884" s="206" t="s">
        <v>121</v>
      </c>
      <c r="AI884" s="206" t="s">
        <v>69</v>
      </c>
      <c r="AJ884" s="206" t="s">
        <v>46</v>
      </c>
      <c r="AK884" s="206" t="s">
        <v>54</v>
      </c>
      <c r="AL884" s="206" t="s">
        <v>48</v>
      </c>
      <c r="AM884" s="206" t="s">
        <v>49</v>
      </c>
      <c r="AN884" s="243" t="str">
        <f>VLOOKUP(I884,Sheet1!A:D,4,)</f>
        <v>A320400</v>
      </c>
      <c r="AP884" s="36" t="s">
        <v>1237</v>
      </c>
    </row>
    <row r="885" spans="1:42" s="206" customFormat="1" x14ac:dyDescent="0.25">
      <c r="A885" s="226">
        <v>45870</v>
      </c>
      <c r="B885" s="206" t="s">
        <v>40</v>
      </c>
      <c r="C885" s="206" t="s">
        <v>41</v>
      </c>
      <c r="D885" s="221">
        <v>25708453</v>
      </c>
      <c r="E885" s="221">
        <v>25106854</v>
      </c>
      <c r="F885" s="221" t="s">
        <v>1183</v>
      </c>
      <c r="G885" s="227">
        <v>45884</v>
      </c>
      <c r="H885" s="206" t="s">
        <v>126</v>
      </c>
      <c r="I885" s="206" t="s">
        <v>400</v>
      </c>
      <c r="J885" s="206" t="s">
        <v>851</v>
      </c>
      <c r="K885" s="228">
        <v>10</v>
      </c>
      <c r="L885" s="229" t="s">
        <v>42</v>
      </c>
      <c r="M885" s="228">
        <v>10</v>
      </c>
      <c r="N885" s="228">
        <v>3453274.09</v>
      </c>
      <c r="O885" s="228">
        <v>34532740.899999999</v>
      </c>
      <c r="P885" s="228">
        <v>34532740.899999999</v>
      </c>
      <c r="Q885" s="224">
        <v>0</v>
      </c>
      <c r="R885" s="224">
        <v>0</v>
      </c>
      <c r="S885" s="229" t="s">
        <v>43</v>
      </c>
      <c r="T885" s="228">
        <v>21044513.699999999</v>
      </c>
      <c r="U885" s="228">
        <v>21044513.699999999</v>
      </c>
      <c r="V885" s="228">
        <v>13488227.199999999</v>
      </c>
      <c r="W885" s="230">
        <v>0.39059243050100001</v>
      </c>
      <c r="X885" s="228">
        <v>13488227.199999999</v>
      </c>
      <c r="Y885" s="206" t="s">
        <v>69</v>
      </c>
      <c r="Z885" s="206" t="s">
        <v>46</v>
      </c>
      <c r="AA885" s="206">
        <v>2306153</v>
      </c>
      <c r="AB885" s="206" t="s">
        <v>126</v>
      </c>
      <c r="AC885" s="206" t="s">
        <v>56</v>
      </c>
      <c r="AD885" s="206" t="s">
        <v>77</v>
      </c>
      <c r="AE885" s="206">
        <v>0</v>
      </c>
      <c r="AF885" s="206" t="s">
        <v>124</v>
      </c>
      <c r="AG885" s="206" t="s">
        <v>131</v>
      </c>
      <c r="AH885" s="206" t="s">
        <v>132</v>
      </c>
      <c r="AI885" s="206" t="s">
        <v>69</v>
      </c>
      <c r="AJ885" s="206" t="s">
        <v>46</v>
      </c>
      <c r="AK885" s="206" t="s">
        <v>54</v>
      </c>
      <c r="AL885" s="206" t="s">
        <v>48</v>
      </c>
      <c r="AM885" s="206" t="s">
        <v>49</v>
      </c>
      <c r="AN885" s="243" t="str">
        <f>VLOOKUP(I885,Sheet1!A:D,4,)</f>
        <v>A320400</v>
      </c>
      <c r="AP885" s="36" t="s">
        <v>1237</v>
      </c>
    </row>
    <row r="886" spans="1:42" s="206" customFormat="1" x14ac:dyDescent="0.25">
      <c r="A886" s="226">
        <v>45870</v>
      </c>
      <c r="B886" s="206" t="s">
        <v>40</v>
      </c>
      <c r="C886" s="206" t="s">
        <v>41</v>
      </c>
      <c r="D886" s="221">
        <v>25708454</v>
      </c>
      <c r="E886" s="221">
        <v>25106862</v>
      </c>
      <c r="F886" s="221" t="s">
        <v>1234</v>
      </c>
      <c r="G886" s="227">
        <v>45884</v>
      </c>
      <c r="H886" s="206" t="s">
        <v>126</v>
      </c>
      <c r="I886" s="206" t="s">
        <v>298</v>
      </c>
      <c r="J886" s="206" t="s">
        <v>791</v>
      </c>
      <c r="K886" s="228">
        <v>40</v>
      </c>
      <c r="L886" s="229" t="s">
        <v>42</v>
      </c>
      <c r="M886" s="228">
        <v>40</v>
      </c>
      <c r="N886" s="228">
        <v>2126559.36</v>
      </c>
      <c r="O886" s="228">
        <v>85062374.400000006</v>
      </c>
      <c r="P886" s="228">
        <v>85062374.400000006</v>
      </c>
      <c r="Q886" s="224">
        <v>0</v>
      </c>
      <c r="R886" s="224">
        <v>0</v>
      </c>
      <c r="S886" s="229" t="s">
        <v>43</v>
      </c>
      <c r="T886" s="228">
        <v>58466229.039999999</v>
      </c>
      <c r="U886" s="228">
        <v>58466229.039999999</v>
      </c>
      <c r="V886" s="228">
        <v>26596145.359999999</v>
      </c>
      <c r="W886" s="230">
        <v>0.31266638801899999</v>
      </c>
      <c r="X886" s="228">
        <v>26596145.359999999</v>
      </c>
      <c r="Y886" s="206" t="s">
        <v>69</v>
      </c>
      <c r="Z886" s="206" t="s">
        <v>46</v>
      </c>
      <c r="AA886" s="206">
        <v>2306153</v>
      </c>
      <c r="AB886" s="206" t="s">
        <v>126</v>
      </c>
      <c r="AC886" s="206" t="s">
        <v>56</v>
      </c>
      <c r="AD886" s="206" t="s">
        <v>77</v>
      </c>
      <c r="AE886" s="206">
        <v>0</v>
      </c>
      <c r="AF886" s="206" t="s">
        <v>780</v>
      </c>
      <c r="AG886" s="206" t="s">
        <v>69</v>
      </c>
      <c r="AH886" s="206" t="s">
        <v>46</v>
      </c>
      <c r="AI886" s="206" t="s">
        <v>69</v>
      </c>
      <c r="AJ886" s="206" t="s">
        <v>46</v>
      </c>
      <c r="AK886" s="206" t="s">
        <v>54</v>
      </c>
      <c r="AL886" s="206" t="s">
        <v>48</v>
      </c>
      <c r="AM886" s="206" t="s">
        <v>49</v>
      </c>
      <c r="AN886" s="243" t="str">
        <f>VLOOKUP(I886,Sheet1!A:D,4,)</f>
        <v>A320400</v>
      </c>
      <c r="AP886" s="36" t="s">
        <v>1237</v>
      </c>
    </row>
    <row r="887" spans="1:42" s="206" customFormat="1" x14ac:dyDescent="0.25">
      <c r="A887" s="226">
        <v>45870</v>
      </c>
      <c r="B887" s="206" t="s">
        <v>40</v>
      </c>
      <c r="C887" s="206" t="s">
        <v>41</v>
      </c>
      <c r="D887" s="221">
        <v>25708471</v>
      </c>
      <c r="E887" s="221">
        <v>25106858</v>
      </c>
      <c r="F887" s="221" t="s">
        <v>1252</v>
      </c>
      <c r="G887" s="227">
        <v>45894</v>
      </c>
      <c r="H887" s="206" t="s">
        <v>126</v>
      </c>
      <c r="I887" s="206" t="s">
        <v>473</v>
      </c>
      <c r="J887" s="206" t="s">
        <v>1195</v>
      </c>
      <c r="K887" s="228">
        <v>1</v>
      </c>
      <c r="L887" s="229" t="s">
        <v>42</v>
      </c>
      <c r="M887" s="228">
        <v>1</v>
      </c>
      <c r="N887" s="228">
        <v>3424411.2</v>
      </c>
      <c r="O887" s="228">
        <v>3424411.2</v>
      </c>
      <c r="P887" s="228">
        <v>3424411.2</v>
      </c>
      <c r="Q887" s="224">
        <v>0</v>
      </c>
      <c r="R887" s="224">
        <v>0</v>
      </c>
      <c r="S887" s="229" t="s">
        <v>43</v>
      </c>
      <c r="T887" s="228">
        <v>1566134.55</v>
      </c>
      <c r="U887" s="228">
        <v>1566134.55</v>
      </c>
      <c r="V887" s="228">
        <v>1858276.65</v>
      </c>
      <c r="W887" s="230">
        <v>0.54265581481500003</v>
      </c>
      <c r="X887" s="228">
        <v>1858276.65</v>
      </c>
      <c r="Y887" s="206" t="s">
        <v>69</v>
      </c>
      <c r="Z887" s="206" t="s">
        <v>46</v>
      </c>
      <c r="AA887" s="206">
        <v>2306153</v>
      </c>
      <c r="AB887" s="206" t="s">
        <v>126</v>
      </c>
      <c r="AC887" s="206" t="s">
        <v>56</v>
      </c>
      <c r="AD887" s="206" t="s">
        <v>77</v>
      </c>
      <c r="AE887" s="206">
        <v>0</v>
      </c>
      <c r="AF887" s="206" t="s">
        <v>72</v>
      </c>
      <c r="AG887" s="206" t="s">
        <v>71</v>
      </c>
      <c r="AH887" s="206" t="s">
        <v>53</v>
      </c>
      <c r="AI887" s="206" t="s">
        <v>69</v>
      </c>
      <c r="AJ887" s="206" t="s">
        <v>46</v>
      </c>
      <c r="AK887" s="206" t="s">
        <v>54</v>
      </c>
      <c r="AL887" s="206" t="s">
        <v>48</v>
      </c>
      <c r="AM887" s="206" t="s">
        <v>49</v>
      </c>
      <c r="AN887" s="243" t="str">
        <f>VLOOKUP(I887,Sheet1!A:D,4,)</f>
        <v>A320400</v>
      </c>
      <c r="AP887" s="4" t="s">
        <v>1261</v>
      </c>
    </row>
    <row r="888" spans="1:42" s="206" customFormat="1" x14ac:dyDescent="0.25">
      <c r="A888" s="226">
        <v>45870</v>
      </c>
      <c r="B888" s="206" t="s">
        <v>40</v>
      </c>
      <c r="C888" s="206" t="s">
        <v>41</v>
      </c>
      <c r="D888" s="221">
        <v>25708472</v>
      </c>
      <c r="E888" s="221">
        <v>25106877</v>
      </c>
      <c r="F888" s="221" t="s">
        <v>1253</v>
      </c>
      <c r="G888" s="227">
        <v>45894</v>
      </c>
      <c r="H888" s="206" t="s">
        <v>126</v>
      </c>
      <c r="I888" s="206" t="s">
        <v>167</v>
      </c>
      <c r="J888" s="206" t="s">
        <v>168</v>
      </c>
      <c r="K888" s="228">
        <v>20</v>
      </c>
      <c r="L888" s="229" t="s">
        <v>42</v>
      </c>
      <c r="M888" s="228">
        <v>20</v>
      </c>
      <c r="N888" s="228">
        <v>1148024</v>
      </c>
      <c r="O888" s="228">
        <v>22960480</v>
      </c>
      <c r="P888" s="228">
        <v>22960480</v>
      </c>
      <c r="Q888" s="224">
        <v>0</v>
      </c>
      <c r="R888" s="224">
        <v>0</v>
      </c>
      <c r="S888" s="229" t="s">
        <v>43</v>
      </c>
      <c r="T888" s="228">
        <v>10282122.02</v>
      </c>
      <c r="U888" s="228">
        <v>10282122.02</v>
      </c>
      <c r="V888" s="228">
        <v>12678357.98</v>
      </c>
      <c r="W888" s="230">
        <v>0.55218174794200003</v>
      </c>
      <c r="X888" s="228">
        <v>12678357.98</v>
      </c>
      <c r="Y888" s="206" t="s">
        <v>69</v>
      </c>
      <c r="Z888" s="206" t="s">
        <v>46</v>
      </c>
      <c r="AA888" s="206">
        <v>2306153</v>
      </c>
      <c r="AB888" s="206" t="s">
        <v>126</v>
      </c>
      <c r="AC888" s="206" t="s">
        <v>56</v>
      </c>
      <c r="AD888" s="206" t="s">
        <v>77</v>
      </c>
      <c r="AE888" s="206">
        <v>0</v>
      </c>
      <c r="AF888" s="206" t="s">
        <v>119</v>
      </c>
      <c r="AG888" s="206" t="s">
        <v>120</v>
      </c>
      <c r="AH888" s="206" t="s">
        <v>121</v>
      </c>
      <c r="AI888" s="206" t="s">
        <v>69</v>
      </c>
      <c r="AJ888" s="206" t="s">
        <v>46</v>
      </c>
      <c r="AK888" s="206" t="s">
        <v>54</v>
      </c>
      <c r="AL888" s="206" t="s">
        <v>48</v>
      </c>
      <c r="AM888" s="206" t="s">
        <v>49</v>
      </c>
      <c r="AN888" s="243" t="str">
        <f>VLOOKUP(I888,Sheet1!A:D,4,)</f>
        <v>A320400</v>
      </c>
      <c r="AP888" s="4" t="s">
        <v>1261</v>
      </c>
    </row>
    <row r="889" spans="1:42" s="206" customFormat="1" x14ac:dyDescent="0.25">
      <c r="A889" s="226">
        <v>45870</v>
      </c>
      <c r="B889" s="206" t="s">
        <v>40</v>
      </c>
      <c r="C889" s="206" t="s">
        <v>41</v>
      </c>
      <c r="D889" s="221">
        <v>25708473</v>
      </c>
      <c r="E889" s="221">
        <v>25106686</v>
      </c>
      <c r="F889" s="221" t="s">
        <v>1254</v>
      </c>
      <c r="G889" s="227">
        <v>45894</v>
      </c>
      <c r="H889" s="206" t="s">
        <v>126</v>
      </c>
      <c r="I889" s="206" t="s">
        <v>404</v>
      </c>
      <c r="J889" s="206" t="s">
        <v>852</v>
      </c>
      <c r="K889" s="228">
        <v>20</v>
      </c>
      <c r="L889" s="229" t="s">
        <v>42</v>
      </c>
      <c r="M889" s="228">
        <v>20</v>
      </c>
      <c r="N889" s="228">
        <v>4238324.9400000004</v>
      </c>
      <c r="O889" s="228">
        <v>84766498.799999997</v>
      </c>
      <c r="P889" s="228">
        <v>84766498.799999997</v>
      </c>
      <c r="Q889" s="224">
        <v>0</v>
      </c>
      <c r="R889" s="224">
        <v>0</v>
      </c>
      <c r="S889" s="229" t="s">
        <v>43</v>
      </c>
      <c r="T889" s="228">
        <v>43223832.450000003</v>
      </c>
      <c r="U889" s="228">
        <v>43223832.450000003</v>
      </c>
      <c r="V889" s="228">
        <v>41542666.350000001</v>
      </c>
      <c r="W889" s="230">
        <v>0.49008354642500002</v>
      </c>
      <c r="X889" s="228">
        <v>41542666.350000001</v>
      </c>
      <c r="Y889" s="206" t="s">
        <v>69</v>
      </c>
      <c r="Z889" s="206" t="s">
        <v>46</v>
      </c>
      <c r="AA889" s="206">
        <v>2306153</v>
      </c>
      <c r="AB889" s="206" t="s">
        <v>126</v>
      </c>
      <c r="AC889" s="206" t="s">
        <v>56</v>
      </c>
      <c r="AD889" s="206" t="s">
        <v>77</v>
      </c>
      <c r="AE889" s="206">
        <v>0</v>
      </c>
      <c r="AF889" s="206" t="s">
        <v>119</v>
      </c>
      <c r="AG889" s="206" t="s">
        <v>131</v>
      </c>
      <c r="AH889" s="206" t="s">
        <v>132</v>
      </c>
      <c r="AI889" s="206" t="s">
        <v>69</v>
      </c>
      <c r="AJ889" s="206" t="s">
        <v>46</v>
      </c>
      <c r="AK889" s="206" t="s">
        <v>54</v>
      </c>
      <c r="AL889" s="206" t="s">
        <v>48</v>
      </c>
      <c r="AM889" s="206" t="s">
        <v>49</v>
      </c>
      <c r="AN889" s="243" t="str">
        <f>VLOOKUP(I889,Sheet1!A:D,4,)</f>
        <v>A320400</v>
      </c>
      <c r="AP889" s="4" t="s">
        <v>1261</v>
      </c>
    </row>
    <row r="890" spans="1:42" s="206" customFormat="1" x14ac:dyDescent="0.25">
      <c r="A890" s="226">
        <v>45870</v>
      </c>
      <c r="B890" s="206" t="s">
        <v>40</v>
      </c>
      <c r="C890" s="206" t="s">
        <v>41</v>
      </c>
      <c r="D890" s="221">
        <v>25708474</v>
      </c>
      <c r="E890" s="221">
        <v>25106765</v>
      </c>
      <c r="F890" s="221" t="s">
        <v>1255</v>
      </c>
      <c r="G890" s="227">
        <v>45895</v>
      </c>
      <c r="H890" s="206" t="s">
        <v>126</v>
      </c>
      <c r="I890" s="206" t="s">
        <v>1256</v>
      </c>
      <c r="J890" s="206" t="s">
        <v>1257</v>
      </c>
      <c r="K890" s="228">
        <v>10</v>
      </c>
      <c r="L890" s="229" t="s">
        <v>42</v>
      </c>
      <c r="M890" s="228">
        <v>10</v>
      </c>
      <c r="N890" s="228">
        <v>1923501.23</v>
      </c>
      <c r="O890" s="228">
        <v>19235012.300000001</v>
      </c>
      <c r="P890" s="228">
        <v>19235012.300000001</v>
      </c>
      <c r="Q890" s="224">
        <v>0</v>
      </c>
      <c r="R890" s="224">
        <v>0</v>
      </c>
      <c r="S890" s="229" t="s">
        <v>43</v>
      </c>
      <c r="T890" s="228">
        <v>12661601.1</v>
      </c>
      <c r="U890" s="228">
        <v>12661601.1</v>
      </c>
      <c r="V890" s="228">
        <v>6573411.2000000002</v>
      </c>
      <c r="W890" s="230">
        <v>0.34174198058600003</v>
      </c>
      <c r="X890" s="228">
        <v>6573411.2000000002</v>
      </c>
      <c r="Y890" s="206" t="s">
        <v>69</v>
      </c>
      <c r="Z890" s="206" t="s">
        <v>46</v>
      </c>
      <c r="AA890" s="206">
        <v>2306153</v>
      </c>
      <c r="AB890" s="206" t="s">
        <v>126</v>
      </c>
      <c r="AC890" s="206" t="s">
        <v>56</v>
      </c>
      <c r="AD890" s="206" t="s">
        <v>77</v>
      </c>
      <c r="AE890" s="206">
        <v>0</v>
      </c>
      <c r="AF890" s="206" t="s">
        <v>1258</v>
      </c>
      <c r="AG890" s="206" t="s">
        <v>69</v>
      </c>
      <c r="AH890" s="206" t="s">
        <v>46</v>
      </c>
      <c r="AI890" s="206" t="s">
        <v>69</v>
      </c>
      <c r="AJ890" s="206" t="s">
        <v>46</v>
      </c>
      <c r="AK890" s="206" t="s">
        <v>54</v>
      </c>
      <c r="AL890" s="206" t="s">
        <v>48</v>
      </c>
      <c r="AM890" s="206" t="s">
        <v>49</v>
      </c>
      <c r="AN890" s="243" t="str">
        <f>VLOOKUP(I890,Sheet1!A:D,4,)</f>
        <v>A320400</v>
      </c>
      <c r="AP890" s="4" t="s">
        <v>1261</v>
      </c>
    </row>
    <row r="891" spans="1:42" s="206" customFormat="1" x14ac:dyDescent="0.25">
      <c r="A891" s="226">
        <v>45870</v>
      </c>
      <c r="B891" s="206" t="s">
        <v>40</v>
      </c>
      <c r="C891" s="206" t="s">
        <v>41</v>
      </c>
      <c r="D891" s="221">
        <v>25708475</v>
      </c>
      <c r="E891" s="221">
        <v>25106862</v>
      </c>
      <c r="F891" s="221" t="s">
        <v>1234</v>
      </c>
      <c r="G891" s="227">
        <v>45895</v>
      </c>
      <c r="H891" s="206" t="s">
        <v>126</v>
      </c>
      <c r="I891" s="206" t="s">
        <v>413</v>
      </c>
      <c r="J891" s="206" t="s">
        <v>993</v>
      </c>
      <c r="K891" s="228">
        <v>20</v>
      </c>
      <c r="L891" s="229" t="s">
        <v>42</v>
      </c>
      <c r="M891" s="228">
        <v>20</v>
      </c>
      <c r="N891" s="228">
        <v>1204251.27</v>
      </c>
      <c r="O891" s="228">
        <v>24085025.399999999</v>
      </c>
      <c r="P891" s="228">
        <v>24085025.399999999</v>
      </c>
      <c r="Q891" s="224">
        <v>0</v>
      </c>
      <c r="R891" s="224">
        <v>0</v>
      </c>
      <c r="S891" s="229" t="s">
        <v>43</v>
      </c>
      <c r="T891" s="228">
        <v>10797954.6</v>
      </c>
      <c r="U891" s="228">
        <v>10797954.6</v>
      </c>
      <c r="V891" s="228">
        <v>13287070.800000001</v>
      </c>
      <c r="W891" s="230">
        <v>0.55167352242000001</v>
      </c>
      <c r="X891" s="228">
        <v>13287070.800000001</v>
      </c>
      <c r="Y891" s="206" t="s">
        <v>69</v>
      </c>
      <c r="Z891" s="206" t="s">
        <v>46</v>
      </c>
      <c r="AA891" s="206">
        <v>2306153</v>
      </c>
      <c r="AB891" s="206" t="s">
        <v>126</v>
      </c>
      <c r="AC891" s="206" t="s">
        <v>56</v>
      </c>
      <c r="AD891" s="206" t="s">
        <v>77</v>
      </c>
      <c r="AE891" s="206">
        <v>0</v>
      </c>
      <c r="AF891" s="206" t="s">
        <v>72</v>
      </c>
      <c r="AG891" s="206" t="s">
        <v>69</v>
      </c>
      <c r="AH891" s="206" t="s">
        <v>46</v>
      </c>
      <c r="AI891" s="206" t="s">
        <v>69</v>
      </c>
      <c r="AJ891" s="206" t="s">
        <v>46</v>
      </c>
      <c r="AK891" s="206" t="s">
        <v>54</v>
      </c>
      <c r="AL891" s="206" t="s">
        <v>48</v>
      </c>
      <c r="AM891" s="206" t="s">
        <v>49</v>
      </c>
      <c r="AN891" s="243" t="str">
        <f>VLOOKUP(I891,Sheet1!A:D,4,)</f>
        <v>A320400</v>
      </c>
      <c r="AP891" s="4" t="s">
        <v>1261</v>
      </c>
    </row>
    <row r="892" spans="1:42" s="206" customFormat="1" x14ac:dyDescent="0.25">
      <c r="A892" s="226">
        <v>45870</v>
      </c>
      <c r="B892" s="206" t="s">
        <v>40</v>
      </c>
      <c r="C892" s="206" t="s">
        <v>41</v>
      </c>
      <c r="D892" s="221">
        <v>25708476</v>
      </c>
      <c r="E892" s="221">
        <v>25106895</v>
      </c>
      <c r="F892" s="221" t="s">
        <v>1259</v>
      </c>
      <c r="G892" s="227">
        <v>45895</v>
      </c>
      <c r="H892" s="206" t="s">
        <v>126</v>
      </c>
      <c r="I892" s="206" t="s">
        <v>146</v>
      </c>
      <c r="J892" s="206" t="s">
        <v>147</v>
      </c>
      <c r="K892" s="228">
        <v>1</v>
      </c>
      <c r="L892" s="229" t="s">
        <v>42</v>
      </c>
      <c r="M892" s="228">
        <v>1</v>
      </c>
      <c r="N892" s="228">
        <v>14702339.6</v>
      </c>
      <c r="O892" s="228">
        <v>14702339.6</v>
      </c>
      <c r="P892" s="228">
        <v>14702339.6</v>
      </c>
      <c r="Q892" s="224">
        <v>0</v>
      </c>
      <c r="R892" s="224">
        <v>0</v>
      </c>
      <c r="S892" s="229" t="s">
        <v>43</v>
      </c>
      <c r="T892" s="228">
        <v>7100423.8200000003</v>
      </c>
      <c r="U892" s="228">
        <v>7100423.8200000003</v>
      </c>
      <c r="V892" s="228">
        <v>7601915.7800000003</v>
      </c>
      <c r="W892" s="230">
        <v>0.51705483527200002</v>
      </c>
      <c r="X892" s="228">
        <v>7601915.7800000003</v>
      </c>
      <c r="Y892" s="206" t="s">
        <v>69</v>
      </c>
      <c r="Z892" s="206" t="s">
        <v>46</v>
      </c>
      <c r="AA892" s="206">
        <v>2306153</v>
      </c>
      <c r="AB892" s="206" t="s">
        <v>126</v>
      </c>
      <c r="AC892" s="206" t="s">
        <v>56</v>
      </c>
      <c r="AD892" s="206" t="s">
        <v>77</v>
      </c>
      <c r="AE892" s="206">
        <v>0</v>
      </c>
      <c r="AF892" s="206" t="s">
        <v>68</v>
      </c>
      <c r="AG892" s="206" t="s">
        <v>69</v>
      </c>
      <c r="AH892" s="206" t="s">
        <v>46</v>
      </c>
      <c r="AI892" s="206" t="s">
        <v>69</v>
      </c>
      <c r="AJ892" s="206" t="s">
        <v>46</v>
      </c>
      <c r="AK892" s="206" t="s">
        <v>54</v>
      </c>
      <c r="AL892" s="206" t="s">
        <v>48</v>
      </c>
      <c r="AM892" s="206" t="s">
        <v>49</v>
      </c>
      <c r="AN892" s="243" t="str">
        <f>VLOOKUP(I892,Sheet1!A:D,4,)</f>
        <v>A320400</v>
      </c>
      <c r="AP892" s="4" t="s">
        <v>1261</v>
      </c>
    </row>
    <row r="893" spans="1:42" s="206" customFormat="1" x14ac:dyDescent="0.25">
      <c r="A893" s="226">
        <v>45870</v>
      </c>
      <c r="B893" s="206" t="s">
        <v>40</v>
      </c>
      <c r="C893" s="206" t="s">
        <v>41</v>
      </c>
      <c r="D893" s="221">
        <v>25708477</v>
      </c>
      <c r="E893" s="221">
        <v>25106896</v>
      </c>
      <c r="F893" s="221" t="s">
        <v>1260</v>
      </c>
      <c r="G893" s="227">
        <v>45895</v>
      </c>
      <c r="H893" s="206" t="s">
        <v>126</v>
      </c>
      <c r="I893" s="206" t="s">
        <v>146</v>
      </c>
      <c r="J893" s="206" t="s">
        <v>147</v>
      </c>
      <c r="K893" s="228">
        <v>1</v>
      </c>
      <c r="L893" s="229" t="s">
        <v>42</v>
      </c>
      <c r="M893" s="228">
        <v>1</v>
      </c>
      <c r="N893" s="228">
        <v>14702339.6</v>
      </c>
      <c r="O893" s="228">
        <v>14702339.6</v>
      </c>
      <c r="P893" s="228">
        <v>14702339.6</v>
      </c>
      <c r="Q893" s="224">
        <v>0</v>
      </c>
      <c r="R893" s="224">
        <v>0</v>
      </c>
      <c r="S893" s="229" t="s">
        <v>43</v>
      </c>
      <c r="T893" s="228">
        <v>7100423.8200000003</v>
      </c>
      <c r="U893" s="228">
        <v>7100423.8200000003</v>
      </c>
      <c r="V893" s="228">
        <v>7601915.7800000003</v>
      </c>
      <c r="W893" s="230">
        <v>0.51705483527200002</v>
      </c>
      <c r="X893" s="228">
        <v>7601915.7800000003</v>
      </c>
      <c r="Y893" s="206" t="s">
        <v>69</v>
      </c>
      <c r="Z893" s="206" t="s">
        <v>46</v>
      </c>
      <c r="AA893" s="206">
        <v>2306153</v>
      </c>
      <c r="AB893" s="206" t="s">
        <v>126</v>
      </c>
      <c r="AC893" s="206" t="s">
        <v>56</v>
      </c>
      <c r="AD893" s="206" t="s">
        <v>77</v>
      </c>
      <c r="AE893" s="206">
        <v>0</v>
      </c>
      <c r="AF893" s="206" t="s">
        <v>68</v>
      </c>
      <c r="AG893" s="206" t="s">
        <v>69</v>
      </c>
      <c r="AH893" s="206" t="s">
        <v>46</v>
      </c>
      <c r="AI893" s="206" t="s">
        <v>69</v>
      </c>
      <c r="AJ893" s="206" t="s">
        <v>46</v>
      </c>
      <c r="AK893" s="206" t="s">
        <v>54</v>
      </c>
      <c r="AL893" s="206" t="s">
        <v>48</v>
      </c>
      <c r="AM893" s="206" t="s">
        <v>49</v>
      </c>
      <c r="AN893" s="243" t="str">
        <f>VLOOKUP(I893,Sheet1!A:D,4,)</f>
        <v>A320400</v>
      </c>
      <c r="AP893" s="4" t="s">
        <v>1261</v>
      </c>
    </row>
    <row r="894" spans="1:42" s="206" customFormat="1" x14ac:dyDescent="0.25">
      <c r="A894" s="226">
        <v>45870</v>
      </c>
      <c r="B894" s="206" t="s">
        <v>40</v>
      </c>
      <c r="C894" s="206" t="s">
        <v>41</v>
      </c>
      <c r="D894" s="221">
        <v>25708482</v>
      </c>
      <c r="E894" s="221">
        <v>25106882</v>
      </c>
      <c r="F894" s="221" t="s">
        <v>1262</v>
      </c>
      <c r="G894" s="227">
        <v>45895</v>
      </c>
      <c r="H894" s="206" t="s">
        <v>150</v>
      </c>
      <c r="I894" s="206" t="s">
        <v>174</v>
      </c>
      <c r="J894" s="206" t="s">
        <v>175</v>
      </c>
      <c r="K894" s="228">
        <v>20</v>
      </c>
      <c r="L894" s="229" t="s">
        <v>42</v>
      </c>
      <c r="M894" s="228">
        <v>20</v>
      </c>
      <c r="N894" s="228">
        <v>1331116.01</v>
      </c>
      <c r="O894" s="228">
        <v>26622320.199999999</v>
      </c>
      <c r="P894" s="228">
        <v>26622320.199999999</v>
      </c>
      <c r="Q894" s="224">
        <v>0</v>
      </c>
      <c r="R894" s="224">
        <v>0</v>
      </c>
      <c r="S894" s="229" t="s">
        <v>43</v>
      </c>
      <c r="T894" s="228">
        <v>12535359.720000001</v>
      </c>
      <c r="U894" s="228">
        <v>12535359.720000001</v>
      </c>
      <c r="V894" s="228">
        <v>14086960.48</v>
      </c>
      <c r="W894" s="230">
        <v>0.52914097547299999</v>
      </c>
      <c r="X894" s="228">
        <v>14086960.48</v>
      </c>
      <c r="Y894" s="206" t="s">
        <v>69</v>
      </c>
      <c r="Z894" s="206" t="s">
        <v>46</v>
      </c>
      <c r="AA894" s="206">
        <v>2306392</v>
      </c>
      <c r="AB894" s="206" t="s">
        <v>153</v>
      </c>
      <c r="AC894" s="206" t="s">
        <v>154</v>
      </c>
      <c r="AD894" s="206" t="s">
        <v>155</v>
      </c>
      <c r="AE894" s="206">
        <v>0</v>
      </c>
      <c r="AF894" s="206" t="s">
        <v>72</v>
      </c>
      <c r="AG894" s="206" t="s">
        <v>69</v>
      </c>
      <c r="AH894" s="206" t="s">
        <v>46</v>
      </c>
      <c r="AI894" s="206" t="s">
        <v>69</v>
      </c>
      <c r="AJ894" s="206" t="s">
        <v>46</v>
      </c>
      <c r="AK894" s="206" t="s">
        <v>54</v>
      </c>
      <c r="AL894" s="206" t="s">
        <v>48</v>
      </c>
      <c r="AM894" s="206" t="s">
        <v>49</v>
      </c>
      <c r="AN894" s="243" t="str">
        <f>VLOOKUP(I894,Sheet1!A:D,4,)</f>
        <v>A320400</v>
      </c>
      <c r="AP894" s="36" t="s">
        <v>1266</v>
      </c>
    </row>
    <row r="895" spans="1:42" s="206" customFormat="1" x14ac:dyDescent="0.25">
      <c r="A895" s="226">
        <v>45870</v>
      </c>
      <c r="B895" s="206" t="s">
        <v>40</v>
      </c>
      <c r="C895" s="206" t="s">
        <v>41</v>
      </c>
      <c r="D895" s="221">
        <v>25708483</v>
      </c>
      <c r="E895" s="221">
        <v>25106906</v>
      </c>
      <c r="F895" s="221" t="s">
        <v>1263</v>
      </c>
      <c r="G895" s="227">
        <v>45894</v>
      </c>
      <c r="H895" s="206" t="s">
        <v>115</v>
      </c>
      <c r="I895" s="206" t="s">
        <v>448</v>
      </c>
      <c r="J895" s="206" t="s">
        <v>890</v>
      </c>
      <c r="K895" s="228">
        <v>5</v>
      </c>
      <c r="L895" s="229" t="s">
        <v>42</v>
      </c>
      <c r="M895" s="228">
        <v>5</v>
      </c>
      <c r="N895" s="228">
        <v>1547203.25</v>
      </c>
      <c r="O895" s="228">
        <v>7736016.25</v>
      </c>
      <c r="P895" s="228">
        <v>7736016.25</v>
      </c>
      <c r="Q895" s="224">
        <v>0</v>
      </c>
      <c r="R895" s="224">
        <v>0</v>
      </c>
      <c r="S895" s="229" t="s">
        <v>43</v>
      </c>
      <c r="T895" s="228">
        <v>5289422</v>
      </c>
      <c r="U895" s="228">
        <v>5289422</v>
      </c>
      <c r="V895" s="228">
        <v>2446594.25</v>
      </c>
      <c r="W895" s="230">
        <v>0.31626022631400003</v>
      </c>
      <c r="X895" s="228">
        <v>2446594.25</v>
      </c>
      <c r="Y895" s="206" t="s">
        <v>66</v>
      </c>
      <c r="Z895" s="206" t="s">
        <v>44</v>
      </c>
      <c r="AA895" s="206">
        <v>15159</v>
      </c>
      <c r="AB895" s="206" t="s">
        <v>118</v>
      </c>
      <c r="AC895" s="206" t="s">
        <v>154</v>
      </c>
      <c r="AD895" s="206" t="s">
        <v>155</v>
      </c>
      <c r="AE895" s="206">
        <v>0</v>
      </c>
      <c r="AF895" s="206" t="s">
        <v>68</v>
      </c>
      <c r="AG895" s="206" t="s">
        <v>69</v>
      </c>
      <c r="AH895" s="206" t="s">
        <v>46</v>
      </c>
      <c r="AI895" s="206" t="s">
        <v>69</v>
      </c>
      <c r="AJ895" s="206" t="s">
        <v>46</v>
      </c>
      <c r="AK895" s="206" t="s">
        <v>54</v>
      </c>
      <c r="AL895" s="206" t="s">
        <v>48</v>
      </c>
      <c r="AM895" s="206" t="s">
        <v>49</v>
      </c>
      <c r="AN895" s="243" t="str">
        <f>VLOOKUP(I895,Sheet1!A:D,4,)</f>
        <v>A320400</v>
      </c>
      <c r="AP895" s="36" t="s">
        <v>1266</v>
      </c>
    </row>
    <row r="896" spans="1:42" s="206" customFormat="1" x14ac:dyDescent="0.25">
      <c r="A896" s="226">
        <v>45870</v>
      </c>
      <c r="B896" s="206" t="s">
        <v>40</v>
      </c>
      <c r="C896" s="206" t="s">
        <v>41</v>
      </c>
      <c r="D896" s="221">
        <v>25708485</v>
      </c>
      <c r="E896" s="221">
        <v>25106873</v>
      </c>
      <c r="F896" s="221" t="s">
        <v>1265</v>
      </c>
      <c r="G896" s="227">
        <v>45896</v>
      </c>
      <c r="H896" s="206" t="s">
        <v>73</v>
      </c>
      <c r="I896" s="206" t="s">
        <v>50</v>
      </c>
      <c r="J896" s="206" t="s">
        <v>74</v>
      </c>
      <c r="K896" s="228">
        <v>100</v>
      </c>
      <c r="L896" s="229" t="s">
        <v>42</v>
      </c>
      <c r="M896" s="228">
        <v>100</v>
      </c>
      <c r="N896" s="228">
        <v>313023.65000000002</v>
      </c>
      <c r="O896" s="228">
        <v>31302365</v>
      </c>
      <c r="P896" s="228">
        <v>31302365</v>
      </c>
      <c r="Q896" s="224">
        <v>0</v>
      </c>
      <c r="R896" s="224">
        <v>0</v>
      </c>
      <c r="S896" s="229" t="s">
        <v>43</v>
      </c>
      <c r="T896" s="228">
        <v>15713862.51</v>
      </c>
      <c r="U896" s="228">
        <v>15713862.51</v>
      </c>
      <c r="V896" s="228">
        <v>15588502.49</v>
      </c>
      <c r="W896" s="230">
        <v>0.49799759506899999</v>
      </c>
      <c r="X896" s="228">
        <v>15588502.49</v>
      </c>
      <c r="Y896" s="206" t="s">
        <v>66</v>
      </c>
      <c r="Z896" s="206" t="s">
        <v>44</v>
      </c>
      <c r="AA896" s="206">
        <v>15161</v>
      </c>
      <c r="AB896" s="206" t="s">
        <v>75</v>
      </c>
      <c r="AC896" s="206" t="s">
        <v>56</v>
      </c>
      <c r="AD896" s="206" t="s">
        <v>77</v>
      </c>
      <c r="AE896" s="206">
        <v>0</v>
      </c>
      <c r="AF896" s="206" t="s">
        <v>76</v>
      </c>
      <c r="AG896" s="206" t="s">
        <v>69</v>
      </c>
      <c r="AH896" s="206" t="s">
        <v>46</v>
      </c>
      <c r="AI896" s="206" t="s">
        <v>69</v>
      </c>
      <c r="AJ896" s="206" t="s">
        <v>46</v>
      </c>
      <c r="AK896" s="206" t="s">
        <v>47</v>
      </c>
      <c r="AL896" s="206" t="s">
        <v>48</v>
      </c>
      <c r="AM896" s="206" t="s">
        <v>49</v>
      </c>
      <c r="AN896" s="243" t="str">
        <f>VLOOKUP(I896,Sheet1!A:D,4,)</f>
        <v>A210600</v>
      </c>
      <c r="AP896" s="36" t="s">
        <v>1266</v>
      </c>
    </row>
    <row r="897" spans="1:42" s="206" customFormat="1" x14ac:dyDescent="0.25">
      <c r="A897" s="226">
        <v>45901</v>
      </c>
      <c r="B897" s="206" t="s">
        <v>40</v>
      </c>
      <c r="C897" s="206" t="s">
        <v>41</v>
      </c>
      <c r="D897" s="221">
        <v>25708487</v>
      </c>
      <c r="E897" s="221">
        <v>25106910</v>
      </c>
      <c r="F897" s="221" t="s">
        <v>1268</v>
      </c>
      <c r="G897" s="227">
        <v>45904</v>
      </c>
      <c r="H897" s="206" t="s">
        <v>245</v>
      </c>
      <c r="I897" s="206" t="s">
        <v>1269</v>
      </c>
      <c r="J897" s="206" t="s">
        <v>1270</v>
      </c>
      <c r="K897" s="228">
        <v>4</v>
      </c>
      <c r="L897" s="229" t="s">
        <v>42</v>
      </c>
      <c r="M897" s="228">
        <v>4</v>
      </c>
      <c r="N897" s="228">
        <v>1999800.92</v>
      </c>
      <c r="O897" s="228">
        <v>7999203.6799999997</v>
      </c>
      <c r="P897" s="228">
        <v>7999203.6799999997</v>
      </c>
      <c r="Q897" s="224">
        <v>0</v>
      </c>
      <c r="R897" s="224">
        <v>0</v>
      </c>
      <c r="S897" s="229" t="s">
        <v>43</v>
      </c>
      <c r="T897" s="228">
        <v>7803765.9400000004</v>
      </c>
      <c r="U897" s="228">
        <v>7803765.9400000004</v>
      </c>
      <c r="V897" s="228">
        <v>195437.739999999</v>
      </c>
      <c r="W897" s="230">
        <v>2.4432149476E-2</v>
      </c>
      <c r="X897" s="228">
        <v>195437.739999999</v>
      </c>
      <c r="Y897" s="206" t="s">
        <v>235</v>
      </c>
      <c r="Z897" s="206" t="s">
        <v>44</v>
      </c>
      <c r="AA897" s="206">
        <v>15159</v>
      </c>
      <c r="AB897" s="206" t="s">
        <v>246</v>
      </c>
      <c r="AC897" s="206" t="s">
        <v>154</v>
      </c>
      <c r="AD897" s="206" t="s">
        <v>155</v>
      </c>
      <c r="AE897" s="206">
        <v>0</v>
      </c>
      <c r="AF897" s="206" t="s">
        <v>207</v>
      </c>
      <c r="AG897" s="206" t="s">
        <v>101</v>
      </c>
      <c r="AH897" s="206" t="s">
        <v>46</v>
      </c>
      <c r="AI897" s="206" t="s">
        <v>101</v>
      </c>
      <c r="AJ897" s="206" t="s">
        <v>46</v>
      </c>
      <c r="AK897" s="206" t="s">
        <v>54</v>
      </c>
      <c r="AL897" s="206" t="s">
        <v>48</v>
      </c>
      <c r="AM897" s="206" t="s">
        <v>49</v>
      </c>
      <c r="AN897" s="243" t="str">
        <f>VLOOKUP(I897,Sheet1!A:D,4,)</f>
        <v>A320400</v>
      </c>
      <c r="AP897" s="4" t="s">
        <v>1275</v>
      </c>
    </row>
    <row r="898" spans="1:42" s="206" customFormat="1" x14ac:dyDescent="0.25">
      <c r="A898" s="226">
        <v>45901</v>
      </c>
      <c r="B898" s="206" t="s">
        <v>40</v>
      </c>
      <c r="C898" s="206" t="s">
        <v>41</v>
      </c>
      <c r="D898" s="221">
        <v>25708488</v>
      </c>
      <c r="E898" s="221">
        <v>25106913</v>
      </c>
      <c r="F898" s="221" t="s">
        <v>1271</v>
      </c>
      <c r="G898" s="227">
        <v>45903</v>
      </c>
      <c r="H898" s="206" t="s">
        <v>245</v>
      </c>
      <c r="I898" s="206" t="s">
        <v>448</v>
      </c>
      <c r="J898" s="206" t="s">
        <v>659</v>
      </c>
      <c r="K898" s="228">
        <v>10</v>
      </c>
      <c r="L898" s="229" t="s">
        <v>42</v>
      </c>
      <c r="M898" s="228">
        <v>10</v>
      </c>
      <c r="N898" s="228">
        <v>1547203.25</v>
      </c>
      <c r="O898" s="228">
        <v>15472032.5</v>
      </c>
      <c r="P898" s="228">
        <v>15472032.5</v>
      </c>
      <c r="Q898" s="224">
        <v>0</v>
      </c>
      <c r="R898" s="224">
        <v>0</v>
      </c>
      <c r="S898" s="229" t="s">
        <v>43</v>
      </c>
      <c r="T898" s="228">
        <v>8907452.6600000001</v>
      </c>
      <c r="U898" s="228">
        <v>8907452.6600000001</v>
      </c>
      <c r="V898" s="228">
        <v>6564579.8399999999</v>
      </c>
      <c r="W898" s="230">
        <v>0.42428684402</v>
      </c>
      <c r="X898" s="228">
        <v>6564579.8399999999</v>
      </c>
      <c r="Y898" s="206" t="s">
        <v>235</v>
      </c>
      <c r="Z898" s="206" t="s">
        <v>44</v>
      </c>
      <c r="AA898" s="206">
        <v>15159</v>
      </c>
      <c r="AB898" s="206" t="s">
        <v>246</v>
      </c>
      <c r="AC898" s="206" t="s">
        <v>154</v>
      </c>
      <c r="AD898" s="206" t="s">
        <v>155</v>
      </c>
      <c r="AE898" s="206">
        <v>0</v>
      </c>
      <c r="AF898" s="206" t="s">
        <v>191</v>
      </c>
      <c r="AG898" s="206" t="s">
        <v>101</v>
      </c>
      <c r="AH898" s="206" t="s">
        <v>46</v>
      </c>
      <c r="AI898" s="206" t="s">
        <v>101</v>
      </c>
      <c r="AJ898" s="206" t="s">
        <v>46</v>
      </c>
      <c r="AK898" s="206" t="s">
        <v>54</v>
      </c>
      <c r="AL898" s="206" t="s">
        <v>48</v>
      </c>
      <c r="AM898" s="206" t="s">
        <v>49</v>
      </c>
      <c r="AN898" s="243" t="str">
        <f>VLOOKUP(I898,Sheet1!A:D,4,)</f>
        <v>A320400</v>
      </c>
      <c r="AP898" s="4" t="s">
        <v>1275</v>
      </c>
    </row>
    <row r="899" spans="1:42" s="206" customFormat="1" x14ac:dyDescent="0.25">
      <c r="A899" s="226">
        <v>45901</v>
      </c>
      <c r="B899" s="206" t="s">
        <v>40</v>
      </c>
      <c r="C899" s="206" t="s">
        <v>41</v>
      </c>
      <c r="D899" s="221">
        <v>25708499</v>
      </c>
      <c r="E899" s="221">
        <v>25106897</v>
      </c>
      <c r="F899" s="221" t="s">
        <v>1287</v>
      </c>
      <c r="G899" s="227">
        <v>45907</v>
      </c>
      <c r="H899" s="206" t="s">
        <v>245</v>
      </c>
      <c r="I899" s="206" t="s">
        <v>140</v>
      </c>
      <c r="J899" s="206" t="s">
        <v>261</v>
      </c>
      <c r="K899" s="228">
        <v>60</v>
      </c>
      <c r="L899" s="229" t="s">
        <v>42</v>
      </c>
      <c r="M899" s="228">
        <v>60</v>
      </c>
      <c r="N899" s="228">
        <v>527840.6</v>
      </c>
      <c r="O899" s="228">
        <v>31670436</v>
      </c>
      <c r="P899" s="228">
        <v>31670436</v>
      </c>
      <c r="Q899" s="224">
        <v>0</v>
      </c>
      <c r="R899" s="224">
        <v>0</v>
      </c>
      <c r="S899" s="229" t="s">
        <v>43</v>
      </c>
      <c r="T899" s="228">
        <v>13835981.529999999</v>
      </c>
      <c r="U899" s="228">
        <v>13835981.529999999</v>
      </c>
      <c r="V899" s="228">
        <v>17834454.469999999</v>
      </c>
      <c r="W899" s="230">
        <v>0.56312626924300002</v>
      </c>
      <c r="X899" s="228">
        <v>17834454.469999999</v>
      </c>
      <c r="Y899" s="206" t="s">
        <v>235</v>
      </c>
      <c r="Z899" s="206" t="s">
        <v>44</v>
      </c>
      <c r="AA899" s="206">
        <v>15159</v>
      </c>
      <c r="AB899" s="206" t="s">
        <v>246</v>
      </c>
      <c r="AC899" s="206" t="s">
        <v>154</v>
      </c>
      <c r="AD899" s="206" t="s">
        <v>155</v>
      </c>
      <c r="AE899" s="206">
        <v>0</v>
      </c>
      <c r="AF899" s="206" t="s">
        <v>191</v>
      </c>
      <c r="AG899" s="206" t="s">
        <v>262</v>
      </c>
      <c r="AH899" s="206" t="s">
        <v>143</v>
      </c>
      <c r="AI899" s="206" t="s">
        <v>101</v>
      </c>
      <c r="AJ899" s="206" t="s">
        <v>46</v>
      </c>
      <c r="AK899" s="206" t="s">
        <v>54</v>
      </c>
      <c r="AL899" s="206" t="s">
        <v>48</v>
      </c>
      <c r="AM899" s="206" t="s">
        <v>49</v>
      </c>
      <c r="AN899" s="243" t="str">
        <f>VLOOKUP(I899,Sheet1!A:D,4,)</f>
        <v>A320400</v>
      </c>
      <c r="AP899" s="4" t="s">
        <v>1297</v>
      </c>
    </row>
    <row r="900" spans="1:42" s="206" customFormat="1" x14ac:dyDescent="0.25">
      <c r="A900" s="226">
        <v>45901</v>
      </c>
      <c r="B900" s="206" t="s">
        <v>40</v>
      </c>
      <c r="C900" s="206" t="s">
        <v>41</v>
      </c>
      <c r="D900" s="221">
        <v>25708500</v>
      </c>
      <c r="E900" s="221">
        <v>25106932</v>
      </c>
      <c r="F900" s="221" t="s">
        <v>1288</v>
      </c>
      <c r="G900" s="227">
        <v>45907</v>
      </c>
      <c r="H900" s="206" t="s">
        <v>245</v>
      </c>
      <c r="I900" s="206" t="s">
        <v>140</v>
      </c>
      <c r="J900" s="206" t="s">
        <v>261</v>
      </c>
      <c r="K900" s="228">
        <v>50</v>
      </c>
      <c r="L900" s="229" t="s">
        <v>42</v>
      </c>
      <c r="M900" s="228">
        <v>50</v>
      </c>
      <c r="N900" s="228">
        <v>528571.44999999995</v>
      </c>
      <c r="O900" s="228">
        <v>26428572.5</v>
      </c>
      <c r="P900" s="228">
        <v>26428572.5</v>
      </c>
      <c r="Q900" s="224">
        <v>0</v>
      </c>
      <c r="R900" s="224">
        <v>0</v>
      </c>
      <c r="S900" s="229" t="s">
        <v>43</v>
      </c>
      <c r="T900" s="228">
        <v>11529984.609999999</v>
      </c>
      <c r="U900" s="228">
        <v>11529984.609999999</v>
      </c>
      <c r="V900" s="228">
        <v>14898587.890000001</v>
      </c>
      <c r="W900" s="230">
        <v>0.56373032974000004</v>
      </c>
      <c r="X900" s="228">
        <v>14898587.890000001</v>
      </c>
      <c r="Y900" s="206" t="s">
        <v>235</v>
      </c>
      <c r="Z900" s="206" t="s">
        <v>44</v>
      </c>
      <c r="AA900" s="206">
        <v>15159</v>
      </c>
      <c r="AB900" s="206" t="s">
        <v>246</v>
      </c>
      <c r="AC900" s="206" t="s">
        <v>154</v>
      </c>
      <c r="AD900" s="206" t="s">
        <v>155</v>
      </c>
      <c r="AE900" s="206">
        <v>0</v>
      </c>
      <c r="AF900" s="206" t="s">
        <v>191</v>
      </c>
      <c r="AG900" s="206" t="s">
        <v>262</v>
      </c>
      <c r="AH900" s="206" t="s">
        <v>143</v>
      </c>
      <c r="AI900" s="206" t="s">
        <v>101</v>
      </c>
      <c r="AJ900" s="206" t="s">
        <v>46</v>
      </c>
      <c r="AK900" s="206" t="s">
        <v>54</v>
      </c>
      <c r="AL900" s="206" t="s">
        <v>48</v>
      </c>
      <c r="AM900" s="206" t="s">
        <v>49</v>
      </c>
      <c r="AN900" s="243" t="str">
        <f>VLOOKUP(I900,Sheet1!A:D,4,)</f>
        <v>A320400</v>
      </c>
      <c r="AP900" s="4" t="s">
        <v>1297</v>
      </c>
    </row>
    <row r="901" spans="1:42" s="206" customFormat="1" x14ac:dyDescent="0.25">
      <c r="A901" s="226">
        <v>45901</v>
      </c>
      <c r="B901" s="206" t="s">
        <v>40</v>
      </c>
      <c r="C901" s="206" t="s">
        <v>41</v>
      </c>
      <c r="D901" s="221">
        <v>25708501</v>
      </c>
      <c r="E901" s="221">
        <v>25106828</v>
      </c>
      <c r="F901" s="221" t="s">
        <v>1208</v>
      </c>
      <c r="G901" s="227">
        <v>45909</v>
      </c>
      <c r="H901" s="206" t="s">
        <v>158</v>
      </c>
      <c r="I901" s="206" t="s">
        <v>291</v>
      </c>
      <c r="J901" s="206" t="s">
        <v>498</v>
      </c>
      <c r="K901" s="228">
        <v>24</v>
      </c>
      <c r="L901" s="229" t="s">
        <v>42</v>
      </c>
      <c r="M901" s="228">
        <v>24</v>
      </c>
      <c r="N901" s="228">
        <v>1170568.1000000001</v>
      </c>
      <c r="O901" s="228">
        <v>28093634.399999999</v>
      </c>
      <c r="P901" s="228">
        <v>28093634.399999999</v>
      </c>
      <c r="Q901" s="224">
        <v>0</v>
      </c>
      <c r="R901" s="224">
        <v>0</v>
      </c>
      <c r="S901" s="229" t="s">
        <v>43</v>
      </c>
      <c r="T901" s="228">
        <v>16008183.84</v>
      </c>
      <c r="U901" s="228">
        <v>16008183.84</v>
      </c>
      <c r="V901" s="228">
        <v>12085450.560000001</v>
      </c>
      <c r="W901" s="230">
        <v>0.43018465990999999</v>
      </c>
      <c r="X901" s="228">
        <v>12085450.560000001</v>
      </c>
      <c r="Y901" s="206" t="s">
        <v>101</v>
      </c>
      <c r="Z901" s="206" t="s">
        <v>46</v>
      </c>
      <c r="AA901" s="206">
        <v>2306495</v>
      </c>
      <c r="AB901" s="206" t="s">
        <v>161</v>
      </c>
      <c r="AC901" s="206" t="s">
        <v>56</v>
      </c>
      <c r="AD901" s="206" t="s">
        <v>103</v>
      </c>
      <c r="AE901" s="206">
        <v>0</v>
      </c>
      <c r="AF901" s="206" t="s">
        <v>207</v>
      </c>
      <c r="AG901" s="206" t="s">
        <v>101</v>
      </c>
      <c r="AH901" s="206" t="s">
        <v>46</v>
      </c>
      <c r="AI901" s="206" t="s">
        <v>101</v>
      </c>
      <c r="AJ901" s="206" t="s">
        <v>46</v>
      </c>
      <c r="AK901" s="206" t="s">
        <v>54</v>
      </c>
      <c r="AL901" s="206" t="s">
        <v>48</v>
      </c>
      <c r="AM901" s="206" t="s">
        <v>49</v>
      </c>
      <c r="AN901" s="243" t="str">
        <f>VLOOKUP(I901,Sheet1!A:D,4,)</f>
        <v>A320400</v>
      </c>
      <c r="AP901" s="4" t="s">
        <v>1297</v>
      </c>
    </row>
    <row r="902" spans="1:42" s="206" customFormat="1" x14ac:dyDescent="0.25">
      <c r="A902" s="226">
        <v>45901</v>
      </c>
      <c r="B902" s="206" t="s">
        <v>40</v>
      </c>
      <c r="C902" s="206" t="s">
        <v>41</v>
      </c>
      <c r="D902" s="221">
        <v>25708502</v>
      </c>
      <c r="E902" s="221">
        <v>25106916</v>
      </c>
      <c r="F902" s="221" t="s">
        <v>1289</v>
      </c>
      <c r="G902" s="227">
        <v>45909</v>
      </c>
      <c r="H902" s="206" t="s">
        <v>245</v>
      </c>
      <c r="I902" s="206" t="s">
        <v>291</v>
      </c>
      <c r="J902" s="206" t="s">
        <v>498</v>
      </c>
      <c r="K902" s="228">
        <v>16</v>
      </c>
      <c r="L902" s="229" t="s">
        <v>42</v>
      </c>
      <c r="M902" s="228">
        <v>16</v>
      </c>
      <c r="N902" s="228">
        <v>1134344.28</v>
      </c>
      <c r="O902" s="228">
        <v>18149508.48</v>
      </c>
      <c r="P902" s="228">
        <v>18149508.48</v>
      </c>
      <c r="Q902" s="224">
        <v>0</v>
      </c>
      <c r="R902" s="224">
        <v>0</v>
      </c>
      <c r="S902" s="229" t="s">
        <v>43</v>
      </c>
      <c r="T902" s="228">
        <v>10672122.560000001</v>
      </c>
      <c r="U902" s="228">
        <v>10672122.560000001</v>
      </c>
      <c r="V902" s="228">
        <v>7477385.9199999999</v>
      </c>
      <c r="W902" s="230">
        <v>0.41198834272700002</v>
      </c>
      <c r="X902" s="228">
        <v>7477385.9199999999</v>
      </c>
      <c r="Y902" s="206" t="s">
        <v>235</v>
      </c>
      <c r="Z902" s="206" t="s">
        <v>44</v>
      </c>
      <c r="AA902" s="206">
        <v>15159</v>
      </c>
      <c r="AB902" s="206" t="s">
        <v>246</v>
      </c>
      <c r="AC902" s="206" t="s">
        <v>154</v>
      </c>
      <c r="AD902" s="206" t="s">
        <v>155</v>
      </c>
      <c r="AE902" s="206">
        <v>0</v>
      </c>
      <c r="AF902" s="206" t="s">
        <v>207</v>
      </c>
      <c r="AG902" s="206" t="s">
        <v>101</v>
      </c>
      <c r="AH902" s="206" t="s">
        <v>46</v>
      </c>
      <c r="AI902" s="206" t="s">
        <v>101</v>
      </c>
      <c r="AJ902" s="206" t="s">
        <v>46</v>
      </c>
      <c r="AK902" s="206" t="s">
        <v>54</v>
      </c>
      <c r="AL902" s="206" t="s">
        <v>48</v>
      </c>
      <c r="AM902" s="206" t="s">
        <v>49</v>
      </c>
      <c r="AN902" s="243" t="str">
        <f>VLOOKUP(I902,Sheet1!A:D,4,)</f>
        <v>A320400</v>
      </c>
      <c r="AP902" s="4" t="s">
        <v>1297</v>
      </c>
    </row>
    <row r="903" spans="1:42" s="206" customFormat="1" x14ac:dyDescent="0.25">
      <c r="A903" s="226">
        <v>45901</v>
      </c>
      <c r="B903" s="206" t="s">
        <v>40</v>
      </c>
      <c r="C903" s="206" t="s">
        <v>41</v>
      </c>
      <c r="D903" s="221">
        <v>25708503</v>
      </c>
      <c r="E903" s="221">
        <v>25106937</v>
      </c>
      <c r="F903" s="221" t="s">
        <v>1290</v>
      </c>
      <c r="G903" s="227">
        <v>45909</v>
      </c>
      <c r="H903" s="206" t="s">
        <v>150</v>
      </c>
      <c r="I903" s="206" t="s">
        <v>146</v>
      </c>
      <c r="J903" s="206" t="s">
        <v>194</v>
      </c>
      <c r="K903" s="228">
        <v>20</v>
      </c>
      <c r="L903" s="229" t="s">
        <v>42</v>
      </c>
      <c r="M903" s="228">
        <v>20</v>
      </c>
      <c r="N903" s="228">
        <v>10035801.43</v>
      </c>
      <c r="O903" s="228">
        <v>200716028.59999999</v>
      </c>
      <c r="P903" s="228">
        <v>200716028.59999999</v>
      </c>
      <c r="Q903" s="224">
        <v>0</v>
      </c>
      <c r="R903" s="224">
        <v>0</v>
      </c>
      <c r="S903" s="229" t="s">
        <v>43</v>
      </c>
      <c r="T903" s="228">
        <v>140231982.78</v>
      </c>
      <c r="U903" s="228">
        <v>140231982.78</v>
      </c>
      <c r="V903" s="228">
        <v>60484045.82</v>
      </c>
      <c r="W903" s="230">
        <v>0.30134138385300002</v>
      </c>
      <c r="X903" s="228">
        <v>60484045.82</v>
      </c>
      <c r="Y903" s="206" t="s">
        <v>101</v>
      </c>
      <c r="Z903" s="206" t="s">
        <v>46</v>
      </c>
      <c r="AA903" s="206">
        <v>2306392</v>
      </c>
      <c r="AB903" s="206" t="s">
        <v>153</v>
      </c>
      <c r="AC903" s="206" t="s">
        <v>154</v>
      </c>
      <c r="AD903" s="206" t="s">
        <v>155</v>
      </c>
      <c r="AE903" s="206">
        <v>0</v>
      </c>
      <c r="AF903" s="206" t="s">
        <v>191</v>
      </c>
      <c r="AG903" s="206" t="s">
        <v>101</v>
      </c>
      <c r="AH903" s="206" t="s">
        <v>46</v>
      </c>
      <c r="AI903" s="206" t="s">
        <v>101</v>
      </c>
      <c r="AJ903" s="206" t="s">
        <v>46</v>
      </c>
      <c r="AK903" s="206" t="s">
        <v>54</v>
      </c>
      <c r="AL903" s="206" t="s">
        <v>48</v>
      </c>
      <c r="AM903" s="206" t="s">
        <v>49</v>
      </c>
      <c r="AN903" s="243" t="str">
        <f>VLOOKUP(I903,Sheet1!A:D,4,)</f>
        <v>A320400</v>
      </c>
      <c r="AP903" s="4" t="s">
        <v>1297</v>
      </c>
    </row>
    <row r="904" spans="1:42" s="206" customFormat="1" x14ac:dyDescent="0.25">
      <c r="A904" s="226">
        <v>45901</v>
      </c>
      <c r="B904" s="206" t="s">
        <v>40</v>
      </c>
      <c r="C904" s="206" t="s">
        <v>41</v>
      </c>
      <c r="D904" s="221">
        <v>25708504</v>
      </c>
      <c r="E904" s="221">
        <v>25106710</v>
      </c>
      <c r="F904" s="221" t="s">
        <v>1187</v>
      </c>
      <c r="G904" s="227">
        <v>45904</v>
      </c>
      <c r="H904" s="206" t="s">
        <v>237</v>
      </c>
      <c r="I904" s="206" t="s">
        <v>334</v>
      </c>
      <c r="J904" s="206" t="s">
        <v>546</v>
      </c>
      <c r="K904" s="228">
        <v>20</v>
      </c>
      <c r="L904" s="229" t="s">
        <v>42</v>
      </c>
      <c r="M904" s="228">
        <v>20</v>
      </c>
      <c r="N904" s="228">
        <v>714476.97</v>
      </c>
      <c r="O904" s="228">
        <v>14289539.4</v>
      </c>
      <c r="P904" s="228">
        <v>14289539.4</v>
      </c>
      <c r="Q904" s="224">
        <v>0</v>
      </c>
      <c r="R904" s="224">
        <v>0</v>
      </c>
      <c r="S904" s="229" t="s">
        <v>43</v>
      </c>
      <c r="T904" s="228">
        <v>7735125.7999999998</v>
      </c>
      <c r="U904" s="228">
        <v>7735125.7999999998</v>
      </c>
      <c r="V904" s="228">
        <v>6554413.5999999996</v>
      </c>
      <c r="W904" s="230">
        <v>0.45868613511700002</v>
      </c>
      <c r="X904" s="228">
        <v>6554413.5999999996</v>
      </c>
      <c r="Y904" s="206" t="s">
        <v>101</v>
      </c>
      <c r="Z904" s="206" t="s">
        <v>46</v>
      </c>
      <c r="AA904" s="206">
        <v>2306153</v>
      </c>
      <c r="AB904" s="206" t="s">
        <v>237</v>
      </c>
      <c r="AC904" s="206" t="s">
        <v>56</v>
      </c>
      <c r="AD904" s="206" t="s">
        <v>103</v>
      </c>
      <c r="AE904" s="206">
        <v>0</v>
      </c>
      <c r="AF904" s="206" t="s">
        <v>727</v>
      </c>
      <c r="AG904" s="206" t="s">
        <v>728</v>
      </c>
      <c r="AH904" s="206" t="s">
        <v>121</v>
      </c>
      <c r="AI904" s="206" t="s">
        <v>101</v>
      </c>
      <c r="AJ904" s="206" t="s">
        <v>46</v>
      </c>
      <c r="AK904" s="206" t="s">
        <v>54</v>
      </c>
      <c r="AL904" s="206" t="s">
        <v>48</v>
      </c>
      <c r="AM904" s="206" t="s">
        <v>49</v>
      </c>
      <c r="AN904" s="243" t="str">
        <f>VLOOKUP(I904,Sheet1!A:D,4,)</f>
        <v>A320400</v>
      </c>
      <c r="AP904" s="4" t="s">
        <v>1297</v>
      </c>
    </row>
    <row r="905" spans="1:42" s="206" customFormat="1" x14ac:dyDescent="0.25">
      <c r="A905" s="226">
        <v>45901</v>
      </c>
      <c r="B905" s="206" t="s">
        <v>40</v>
      </c>
      <c r="C905" s="206" t="s">
        <v>41</v>
      </c>
      <c r="D905" s="221">
        <v>25708505</v>
      </c>
      <c r="E905" s="221">
        <v>25106881</v>
      </c>
      <c r="F905" s="221" t="s">
        <v>1230</v>
      </c>
      <c r="G905" s="227">
        <v>45904</v>
      </c>
      <c r="H905" s="206" t="s">
        <v>237</v>
      </c>
      <c r="I905" s="206" t="s">
        <v>223</v>
      </c>
      <c r="J905" s="206" t="s">
        <v>224</v>
      </c>
      <c r="K905" s="228">
        <v>4</v>
      </c>
      <c r="L905" s="229" t="s">
        <v>42</v>
      </c>
      <c r="M905" s="228">
        <v>4</v>
      </c>
      <c r="N905" s="228">
        <v>10731076.02</v>
      </c>
      <c r="O905" s="228">
        <v>42924304.079999998</v>
      </c>
      <c r="P905" s="228">
        <v>42924304.079999998</v>
      </c>
      <c r="Q905" s="224">
        <v>0</v>
      </c>
      <c r="R905" s="224">
        <v>0</v>
      </c>
      <c r="S905" s="229" t="s">
        <v>43</v>
      </c>
      <c r="T905" s="228">
        <v>21657310.719999999</v>
      </c>
      <c r="U905" s="228">
        <v>21657310.719999999</v>
      </c>
      <c r="V905" s="228">
        <v>21266993.359999999</v>
      </c>
      <c r="W905" s="230">
        <v>0.49545342238599999</v>
      </c>
      <c r="X905" s="228">
        <v>21266993.359999999</v>
      </c>
      <c r="Y905" s="206" t="s">
        <v>101</v>
      </c>
      <c r="Z905" s="206" t="s">
        <v>46</v>
      </c>
      <c r="AA905" s="206">
        <v>2306153</v>
      </c>
      <c r="AB905" s="206" t="s">
        <v>237</v>
      </c>
      <c r="AC905" s="206" t="s">
        <v>56</v>
      </c>
      <c r="AD905" s="206" t="s">
        <v>103</v>
      </c>
      <c r="AE905" s="206">
        <v>0</v>
      </c>
      <c r="AF905" s="206" t="s">
        <v>207</v>
      </c>
      <c r="AG905" s="206" t="s">
        <v>101</v>
      </c>
      <c r="AH905" s="206" t="s">
        <v>46</v>
      </c>
      <c r="AI905" s="206" t="s">
        <v>101</v>
      </c>
      <c r="AJ905" s="206" t="s">
        <v>46</v>
      </c>
      <c r="AK905" s="206" t="s">
        <v>54</v>
      </c>
      <c r="AL905" s="206" t="s">
        <v>48</v>
      </c>
      <c r="AM905" s="206" t="s">
        <v>49</v>
      </c>
      <c r="AN905" s="243" t="str">
        <f>VLOOKUP(I905,Sheet1!A:D,4,)</f>
        <v>A320400</v>
      </c>
      <c r="AP905" s="4" t="s">
        <v>1297</v>
      </c>
    </row>
    <row r="906" spans="1:42" s="206" customFormat="1" x14ac:dyDescent="0.25">
      <c r="A906" s="226">
        <v>45901</v>
      </c>
      <c r="B906" s="206" t="s">
        <v>40</v>
      </c>
      <c r="C906" s="206" t="s">
        <v>41</v>
      </c>
      <c r="D906" s="221">
        <v>25708506</v>
      </c>
      <c r="E906" s="221">
        <v>25106903</v>
      </c>
      <c r="F906" s="221" t="s">
        <v>1291</v>
      </c>
      <c r="G906" s="227">
        <v>45904</v>
      </c>
      <c r="H906" s="206" t="s">
        <v>150</v>
      </c>
      <c r="I906" s="206" t="s">
        <v>377</v>
      </c>
      <c r="J906" s="206" t="s">
        <v>590</v>
      </c>
      <c r="K906" s="228">
        <v>120</v>
      </c>
      <c r="L906" s="229" t="s">
        <v>42</v>
      </c>
      <c r="M906" s="228">
        <v>120</v>
      </c>
      <c r="N906" s="228">
        <v>1489680.82</v>
      </c>
      <c r="O906" s="228">
        <v>178761698.40000001</v>
      </c>
      <c r="P906" s="228">
        <v>178761698.40000001</v>
      </c>
      <c r="Q906" s="224">
        <v>0</v>
      </c>
      <c r="R906" s="224">
        <v>0</v>
      </c>
      <c r="S906" s="229" t="s">
        <v>43</v>
      </c>
      <c r="T906" s="228">
        <v>121404331.38</v>
      </c>
      <c r="U906" s="228">
        <v>121404331.38</v>
      </c>
      <c r="V906" s="228">
        <v>57357367.020000003</v>
      </c>
      <c r="W906" s="230">
        <v>0.320859376104</v>
      </c>
      <c r="X906" s="228">
        <v>57357367.020000003</v>
      </c>
      <c r="Y906" s="206" t="s">
        <v>101</v>
      </c>
      <c r="Z906" s="206" t="s">
        <v>46</v>
      </c>
      <c r="AA906" s="206">
        <v>2306392</v>
      </c>
      <c r="AB906" s="206" t="s">
        <v>153</v>
      </c>
      <c r="AC906" s="206" t="s">
        <v>154</v>
      </c>
      <c r="AD906" s="206" t="s">
        <v>155</v>
      </c>
      <c r="AE906" s="206">
        <v>0</v>
      </c>
      <c r="AF906" s="206" t="s">
        <v>207</v>
      </c>
      <c r="AG906" s="206" t="s">
        <v>101</v>
      </c>
      <c r="AH906" s="206" t="s">
        <v>46</v>
      </c>
      <c r="AI906" s="206" t="s">
        <v>101</v>
      </c>
      <c r="AJ906" s="206" t="s">
        <v>46</v>
      </c>
      <c r="AK906" s="206" t="s">
        <v>54</v>
      </c>
      <c r="AL906" s="206" t="s">
        <v>48</v>
      </c>
      <c r="AM906" s="206" t="s">
        <v>49</v>
      </c>
      <c r="AN906" s="243" t="str">
        <f>VLOOKUP(I906,Sheet1!A:D,4,)</f>
        <v>A320400</v>
      </c>
      <c r="AP906" s="4" t="s">
        <v>1297</v>
      </c>
    </row>
    <row r="907" spans="1:42" s="206" customFormat="1" x14ac:dyDescent="0.25">
      <c r="A907" s="226">
        <v>45901</v>
      </c>
      <c r="B907" s="206" t="s">
        <v>40</v>
      </c>
      <c r="C907" s="206" t="s">
        <v>41</v>
      </c>
      <c r="D907" s="221">
        <v>25708507</v>
      </c>
      <c r="E907" s="221">
        <v>25106921</v>
      </c>
      <c r="F907" s="221" t="s">
        <v>1292</v>
      </c>
      <c r="G907" s="227">
        <v>45904</v>
      </c>
      <c r="H907" s="206" t="s">
        <v>150</v>
      </c>
      <c r="I907" s="206" t="s">
        <v>1293</v>
      </c>
      <c r="J907" s="206" t="s">
        <v>1294</v>
      </c>
      <c r="K907" s="228">
        <v>5</v>
      </c>
      <c r="L907" s="229" t="s">
        <v>42</v>
      </c>
      <c r="M907" s="228">
        <v>5</v>
      </c>
      <c r="N907" s="228">
        <v>2697930.27</v>
      </c>
      <c r="O907" s="228">
        <v>13489651.35</v>
      </c>
      <c r="P907" s="228">
        <v>13489651.35</v>
      </c>
      <c r="Q907" s="224">
        <v>0</v>
      </c>
      <c r="R907" s="224">
        <v>0</v>
      </c>
      <c r="S907" s="229" t="s">
        <v>43</v>
      </c>
      <c r="T907" s="228">
        <v>6678242.3600000003</v>
      </c>
      <c r="U907" s="228">
        <v>6678242.3600000003</v>
      </c>
      <c r="V907" s="228">
        <v>6811408.9900000002</v>
      </c>
      <c r="W907" s="230">
        <v>0.504935881089</v>
      </c>
      <c r="X907" s="228">
        <v>6811408.9900000002</v>
      </c>
      <c r="Y907" s="206" t="s">
        <v>101</v>
      </c>
      <c r="Z907" s="206" t="s">
        <v>46</v>
      </c>
      <c r="AA907" s="206">
        <v>2306392</v>
      </c>
      <c r="AB907" s="206" t="s">
        <v>153</v>
      </c>
      <c r="AC907" s="206" t="s">
        <v>154</v>
      </c>
      <c r="AD907" s="206" t="s">
        <v>155</v>
      </c>
      <c r="AE907" s="206">
        <v>0</v>
      </c>
      <c r="AF907" s="206" t="s">
        <v>207</v>
      </c>
      <c r="AG907" s="206" t="s">
        <v>101</v>
      </c>
      <c r="AH907" s="206" t="s">
        <v>46</v>
      </c>
      <c r="AI907" s="206" t="s">
        <v>101</v>
      </c>
      <c r="AJ907" s="206" t="s">
        <v>46</v>
      </c>
      <c r="AK907" s="206" t="s">
        <v>54</v>
      </c>
      <c r="AL907" s="206" t="s">
        <v>48</v>
      </c>
      <c r="AM907" s="206" t="s">
        <v>49</v>
      </c>
      <c r="AN907" s="243" t="str">
        <f>VLOOKUP(I907,Sheet1!A:D,4,)</f>
        <v>A320400</v>
      </c>
      <c r="AP907" s="4" t="s">
        <v>1297</v>
      </c>
    </row>
    <row r="908" spans="1:42" s="206" customFormat="1" x14ac:dyDescent="0.25">
      <c r="A908" s="226">
        <v>45901</v>
      </c>
      <c r="B908" s="206" t="s">
        <v>40</v>
      </c>
      <c r="C908" s="206" t="s">
        <v>41</v>
      </c>
      <c r="D908" s="221">
        <v>25708508</v>
      </c>
      <c r="E908" s="221">
        <v>25106930</v>
      </c>
      <c r="F908" s="221" t="s">
        <v>1295</v>
      </c>
      <c r="G908" s="227">
        <v>45904</v>
      </c>
      <c r="H908" s="206" t="s">
        <v>245</v>
      </c>
      <c r="I908" s="206" t="s">
        <v>314</v>
      </c>
      <c r="J908" s="206" t="s">
        <v>525</v>
      </c>
      <c r="K908" s="228">
        <v>100.8</v>
      </c>
      <c r="L908" s="229" t="s">
        <v>42</v>
      </c>
      <c r="M908" s="228">
        <v>100.8</v>
      </c>
      <c r="N908" s="228">
        <v>929157</v>
      </c>
      <c r="O908" s="228">
        <v>93659025.599999994</v>
      </c>
      <c r="P908" s="228">
        <v>93659025.599999994</v>
      </c>
      <c r="Q908" s="224">
        <v>0</v>
      </c>
      <c r="R908" s="224">
        <v>0</v>
      </c>
      <c r="S908" s="229" t="s">
        <v>43</v>
      </c>
      <c r="T908" s="228">
        <v>65799467.840000004</v>
      </c>
      <c r="U908" s="228">
        <v>65799467.840000004</v>
      </c>
      <c r="V908" s="228">
        <v>27859557.760000002</v>
      </c>
      <c r="W908" s="230">
        <v>0.29745726673400003</v>
      </c>
      <c r="X908" s="228">
        <v>27859557.760000002</v>
      </c>
      <c r="Y908" s="206" t="s">
        <v>235</v>
      </c>
      <c r="Z908" s="206" t="s">
        <v>44</v>
      </c>
      <c r="AA908" s="206">
        <v>15159</v>
      </c>
      <c r="AB908" s="206" t="s">
        <v>246</v>
      </c>
      <c r="AC908" s="206" t="s">
        <v>154</v>
      </c>
      <c r="AD908" s="206" t="s">
        <v>155</v>
      </c>
      <c r="AE908" s="206">
        <v>0</v>
      </c>
      <c r="AF908" s="206" t="s">
        <v>191</v>
      </c>
      <c r="AG908" s="206" t="s">
        <v>1296</v>
      </c>
      <c r="AH908" s="206" t="s">
        <v>1028</v>
      </c>
      <c r="AI908" s="206" t="s">
        <v>101</v>
      </c>
      <c r="AJ908" s="206" t="s">
        <v>46</v>
      </c>
      <c r="AK908" s="206" t="s">
        <v>54</v>
      </c>
      <c r="AL908" s="206" t="s">
        <v>48</v>
      </c>
      <c r="AM908" s="206" t="s">
        <v>49</v>
      </c>
      <c r="AN908" s="243" t="str">
        <f>VLOOKUP(I908,Sheet1!A:D,4,)</f>
        <v>A320400</v>
      </c>
      <c r="AP908" s="4" t="s">
        <v>1297</v>
      </c>
    </row>
    <row r="909" spans="1:42" s="206" customFormat="1" x14ac:dyDescent="0.25">
      <c r="A909" s="226">
        <v>45901</v>
      </c>
      <c r="B909" s="206" t="s">
        <v>40</v>
      </c>
      <c r="C909" s="206" t="s">
        <v>41</v>
      </c>
      <c r="D909" s="221">
        <v>25708509</v>
      </c>
      <c r="E909" s="221">
        <v>25106881</v>
      </c>
      <c r="F909" s="221" t="s">
        <v>1230</v>
      </c>
      <c r="G909" s="227">
        <v>45907</v>
      </c>
      <c r="H909" s="206" t="s">
        <v>237</v>
      </c>
      <c r="I909" s="206" t="s">
        <v>140</v>
      </c>
      <c r="J909" s="206" t="s">
        <v>261</v>
      </c>
      <c r="K909" s="228">
        <v>200</v>
      </c>
      <c r="L909" s="229" t="s">
        <v>42</v>
      </c>
      <c r="M909" s="228">
        <v>200</v>
      </c>
      <c r="N909" s="228">
        <v>527840.6</v>
      </c>
      <c r="O909" s="228">
        <v>105568120</v>
      </c>
      <c r="P909" s="228">
        <v>105568120</v>
      </c>
      <c r="Q909" s="224">
        <v>0</v>
      </c>
      <c r="R909" s="224">
        <v>0</v>
      </c>
      <c r="S909" s="229" t="s">
        <v>43</v>
      </c>
      <c r="T909" s="228">
        <v>46119938.43</v>
      </c>
      <c r="U909" s="228">
        <v>46119938.43</v>
      </c>
      <c r="V909" s="228">
        <v>59448181.57</v>
      </c>
      <c r="W909" s="230">
        <v>0.56312626927499998</v>
      </c>
      <c r="X909" s="228">
        <v>59448181.57</v>
      </c>
      <c r="Y909" s="206" t="s">
        <v>101</v>
      </c>
      <c r="Z909" s="206" t="s">
        <v>46</v>
      </c>
      <c r="AA909" s="206">
        <v>2306153</v>
      </c>
      <c r="AB909" s="206" t="s">
        <v>237</v>
      </c>
      <c r="AC909" s="206" t="s">
        <v>56</v>
      </c>
      <c r="AD909" s="206" t="s">
        <v>103</v>
      </c>
      <c r="AE909" s="206">
        <v>0</v>
      </c>
      <c r="AF909" s="206" t="s">
        <v>191</v>
      </c>
      <c r="AG909" s="206" t="s">
        <v>262</v>
      </c>
      <c r="AH909" s="206" t="s">
        <v>143</v>
      </c>
      <c r="AI909" s="206" t="s">
        <v>101</v>
      </c>
      <c r="AJ909" s="206" t="s">
        <v>46</v>
      </c>
      <c r="AK909" s="206" t="s">
        <v>54</v>
      </c>
      <c r="AL909" s="206" t="s">
        <v>48</v>
      </c>
      <c r="AM909" s="206" t="s">
        <v>49</v>
      </c>
      <c r="AN909" s="243" t="str">
        <f>VLOOKUP(I909,Sheet1!A:D,4,)</f>
        <v>A320400</v>
      </c>
      <c r="AP909" s="4" t="s">
        <v>1324</v>
      </c>
    </row>
    <row r="910" spans="1:42" s="206" customFormat="1" x14ac:dyDescent="0.25">
      <c r="A910" s="226">
        <v>45901</v>
      </c>
      <c r="B910" s="206" t="s">
        <v>40</v>
      </c>
      <c r="C910" s="206" t="s">
        <v>41</v>
      </c>
      <c r="D910" s="221">
        <v>25708510</v>
      </c>
      <c r="E910" s="221">
        <v>25106902</v>
      </c>
      <c r="F910" s="221" t="s">
        <v>1298</v>
      </c>
      <c r="G910" s="227">
        <v>45912</v>
      </c>
      <c r="H910" s="206" t="s">
        <v>245</v>
      </c>
      <c r="I910" s="206" t="s">
        <v>414</v>
      </c>
      <c r="J910" s="206" t="s">
        <v>626</v>
      </c>
      <c r="K910" s="228">
        <v>10</v>
      </c>
      <c r="L910" s="229" t="s">
        <v>42</v>
      </c>
      <c r="M910" s="228">
        <v>10</v>
      </c>
      <c r="N910" s="228">
        <v>1439928.3</v>
      </c>
      <c r="O910" s="228">
        <v>14399283</v>
      </c>
      <c r="P910" s="228">
        <v>14399283</v>
      </c>
      <c r="Q910" s="224">
        <v>0</v>
      </c>
      <c r="R910" s="224">
        <v>0</v>
      </c>
      <c r="S910" s="229" t="s">
        <v>43</v>
      </c>
      <c r="T910" s="228">
        <v>6424554.5999999996</v>
      </c>
      <c r="U910" s="228">
        <v>6424554.5999999996</v>
      </c>
      <c r="V910" s="228">
        <v>7974728.4000000004</v>
      </c>
      <c r="W910" s="230">
        <v>0.55382815935999996</v>
      </c>
      <c r="X910" s="228">
        <v>7974728.4000000004</v>
      </c>
      <c r="Y910" s="206" t="s">
        <v>235</v>
      </c>
      <c r="Z910" s="206" t="s">
        <v>44</v>
      </c>
      <c r="AA910" s="206">
        <v>15159</v>
      </c>
      <c r="AB910" s="206" t="s">
        <v>246</v>
      </c>
      <c r="AC910" s="206" t="s">
        <v>154</v>
      </c>
      <c r="AD910" s="206" t="s">
        <v>155</v>
      </c>
      <c r="AE910" s="206">
        <v>0</v>
      </c>
      <c r="AF910" s="206" t="s">
        <v>207</v>
      </c>
      <c r="AG910" s="206" t="s">
        <v>101</v>
      </c>
      <c r="AH910" s="206" t="s">
        <v>46</v>
      </c>
      <c r="AI910" s="206" t="s">
        <v>101</v>
      </c>
      <c r="AJ910" s="206" t="s">
        <v>46</v>
      </c>
      <c r="AK910" s="206" t="s">
        <v>54</v>
      </c>
      <c r="AL910" s="206" t="s">
        <v>48</v>
      </c>
      <c r="AM910" s="206" t="s">
        <v>49</v>
      </c>
      <c r="AN910" s="243" t="str">
        <f>VLOOKUP(I910,Sheet1!A:D,4,)</f>
        <v>A320400</v>
      </c>
      <c r="AP910" s="4" t="s">
        <v>1324</v>
      </c>
    </row>
    <row r="911" spans="1:42" s="206" customFormat="1" x14ac:dyDescent="0.25">
      <c r="A911" s="226">
        <v>45901</v>
      </c>
      <c r="B911" s="206" t="s">
        <v>40</v>
      </c>
      <c r="C911" s="206" t="s">
        <v>41</v>
      </c>
      <c r="D911" s="221">
        <v>25708511</v>
      </c>
      <c r="E911" s="221">
        <v>25106864</v>
      </c>
      <c r="F911" s="221" t="s">
        <v>1299</v>
      </c>
      <c r="G911" s="227">
        <v>45912</v>
      </c>
      <c r="H911" s="206" t="s">
        <v>245</v>
      </c>
      <c r="I911" s="206" t="s">
        <v>414</v>
      </c>
      <c r="J911" s="206" t="s">
        <v>626</v>
      </c>
      <c r="K911" s="228">
        <v>50</v>
      </c>
      <c r="L911" s="229" t="s">
        <v>42</v>
      </c>
      <c r="M911" s="228">
        <v>50</v>
      </c>
      <c r="N911" s="228">
        <v>1439839.95</v>
      </c>
      <c r="O911" s="228">
        <v>71991997.5</v>
      </c>
      <c r="P911" s="228">
        <v>71991997.5</v>
      </c>
      <c r="Q911" s="224">
        <v>0</v>
      </c>
      <c r="R911" s="224">
        <v>0</v>
      </c>
      <c r="S911" s="229" t="s">
        <v>43</v>
      </c>
      <c r="T911" s="228">
        <v>32122773</v>
      </c>
      <c r="U911" s="228">
        <v>32122773</v>
      </c>
      <c r="V911" s="228">
        <v>39869224.5</v>
      </c>
      <c r="W911" s="230">
        <v>0.55380078181600001</v>
      </c>
      <c r="X911" s="228">
        <v>39869224.5</v>
      </c>
      <c r="Y911" s="206" t="s">
        <v>235</v>
      </c>
      <c r="Z911" s="206" t="s">
        <v>44</v>
      </c>
      <c r="AA911" s="206">
        <v>15159</v>
      </c>
      <c r="AB911" s="206" t="s">
        <v>246</v>
      </c>
      <c r="AC911" s="206" t="s">
        <v>154</v>
      </c>
      <c r="AD911" s="206" t="s">
        <v>155</v>
      </c>
      <c r="AE911" s="206">
        <v>0</v>
      </c>
      <c r="AF911" s="206" t="s">
        <v>207</v>
      </c>
      <c r="AG911" s="206" t="s">
        <v>101</v>
      </c>
      <c r="AH911" s="206" t="s">
        <v>46</v>
      </c>
      <c r="AI911" s="206" t="s">
        <v>101</v>
      </c>
      <c r="AJ911" s="206" t="s">
        <v>46</v>
      </c>
      <c r="AK911" s="206" t="s">
        <v>54</v>
      </c>
      <c r="AL911" s="206" t="s">
        <v>48</v>
      </c>
      <c r="AM911" s="206" t="s">
        <v>49</v>
      </c>
      <c r="AN911" s="243" t="str">
        <f>VLOOKUP(I911,Sheet1!A:D,4,)</f>
        <v>A320400</v>
      </c>
      <c r="AP911" s="4" t="s">
        <v>1324</v>
      </c>
    </row>
    <row r="912" spans="1:42" s="206" customFormat="1" x14ac:dyDescent="0.25">
      <c r="A912" s="226">
        <v>45901</v>
      </c>
      <c r="B912" s="206" t="s">
        <v>40</v>
      </c>
      <c r="C912" s="206" t="s">
        <v>41</v>
      </c>
      <c r="D912" s="221">
        <v>25708512</v>
      </c>
      <c r="E912" s="221">
        <v>25106901</v>
      </c>
      <c r="F912" s="221" t="s">
        <v>1300</v>
      </c>
      <c r="G912" s="227">
        <v>45909</v>
      </c>
      <c r="H912" s="206" t="s">
        <v>158</v>
      </c>
      <c r="I912" s="206" t="s">
        <v>301</v>
      </c>
      <c r="J912" s="206" t="s">
        <v>509</v>
      </c>
      <c r="K912" s="228">
        <v>40</v>
      </c>
      <c r="L912" s="229" t="s">
        <v>42</v>
      </c>
      <c r="M912" s="228">
        <v>40</v>
      </c>
      <c r="N912" s="228">
        <v>7592258.8300000001</v>
      </c>
      <c r="O912" s="228">
        <v>303690353.19999999</v>
      </c>
      <c r="P912" s="228">
        <v>303690353.19999999</v>
      </c>
      <c r="Q912" s="224">
        <v>0</v>
      </c>
      <c r="R912" s="224">
        <v>0</v>
      </c>
      <c r="S912" s="229" t="s">
        <v>43</v>
      </c>
      <c r="T912" s="228">
        <v>234769481.30000001</v>
      </c>
      <c r="U912" s="228">
        <v>234769481.30000001</v>
      </c>
      <c r="V912" s="228">
        <v>68920871.900000006</v>
      </c>
      <c r="W912" s="230">
        <v>0.22694455445699999</v>
      </c>
      <c r="X912" s="228">
        <v>68920871.900000006</v>
      </c>
      <c r="Y912" s="206" t="s">
        <v>101</v>
      </c>
      <c r="Z912" s="206" t="s">
        <v>46</v>
      </c>
      <c r="AA912" s="206">
        <v>2306495</v>
      </c>
      <c r="AB912" s="206" t="s">
        <v>161</v>
      </c>
      <c r="AC912" s="206" t="s">
        <v>56</v>
      </c>
      <c r="AD912" s="206" t="s">
        <v>103</v>
      </c>
      <c r="AE912" s="206">
        <v>0</v>
      </c>
      <c r="AF912" s="206" t="s">
        <v>191</v>
      </c>
      <c r="AG912" s="206" t="s">
        <v>101</v>
      </c>
      <c r="AH912" s="206" t="s">
        <v>46</v>
      </c>
      <c r="AI912" s="206" t="s">
        <v>101</v>
      </c>
      <c r="AJ912" s="206" t="s">
        <v>46</v>
      </c>
      <c r="AK912" s="206" t="s">
        <v>54</v>
      </c>
      <c r="AL912" s="206" t="s">
        <v>48</v>
      </c>
      <c r="AM912" s="206" t="s">
        <v>49</v>
      </c>
      <c r="AN912" s="243" t="str">
        <f>VLOOKUP(I912,Sheet1!A:D,4,)</f>
        <v>A320400</v>
      </c>
      <c r="AP912" s="4" t="s">
        <v>1324</v>
      </c>
    </row>
    <row r="913" spans="1:42" s="206" customFormat="1" x14ac:dyDescent="0.25">
      <c r="A913" s="226">
        <v>45901</v>
      </c>
      <c r="B913" s="206" t="s">
        <v>40</v>
      </c>
      <c r="C913" s="206" t="s">
        <v>41</v>
      </c>
      <c r="D913" s="221">
        <v>25708513</v>
      </c>
      <c r="E913" s="221">
        <v>25106909</v>
      </c>
      <c r="F913" s="221" t="s">
        <v>1301</v>
      </c>
      <c r="G913" s="227">
        <v>45912</v>
      </c>
      <c r="H913" s="206" t="s">
        <v>237</v>
      </c>
      <c r="I913" s="206" t="s">
        <v>414</v>
      </c>
      <c r="J913" s="206" t="s">
        <v>626</v>
      </c>
      <c r="K913" s="228">
        <v>40</v>
      </c>
      <c r="L913" s="229" t="s">
        <v>42</v>
      </c>
      <c r="M913" s="228">
        <v>40</v>
      </c>
      <c r="N913" s="228">
        <v>1191020.78</v>
      </c>
      <c r="O913" s="228">
        <v>47640831.200000003</v>
      </c>
      <c r="P913" s="228">
        <v>47640831.200000003</v>
      </c>
      <c r="Q913" s="224">
        <v>0</v>
      </c>
      <c r="R913" s="224">
        <v>0</v>
      </c>
      <c r="S913" s="229" t="s">
        <v>43</v>
      </c>
      <c r="T913" s="228">
        <v>25698218.399999999</v>
      </c>
      <c r="U913" s="228">
        <v>25698218.399999999</v>
      </c>
      <c r="V913" s="228">
        <v>21942612.800000001</v>
      </c>
      <c r="W913" s="230">
        <v>0.46058417217499997</v>
      </c>
      <c r="X913" s="228">
        <v>21942612.800000001</v>
      </c>
      <c r="Y913" s="206" t="s">
        <v>101</v>
      </c>
      <c r="Z913" s="206" t="s">
        <v>46</v>
      </c>
      <c r="AA913" s="206">
        <v>2306153</v>
      </c>
      <c r="AB913" s="206" t="s">
        <v>237</v>
      </c>
      <c r="AC913" s="206" t="s">
        <v>56</v>
      </c>
      <c r="AD913" s="206" t="s">
        <v>103</v>
      </c>
      <c r="AE913" s="206">
        <v>0</v>
      </c>
      <c r="AF913" s="206" t="s">
        <v>207</v>
      </c>
      <c r="AG913" s="206" t="s">
        <v>101</v>
      </c>
      <c r="AH913" s="206" t="s">
        <v>46</v>
      </c>
      <c r="AI913" s="206" t="s">
        <v>101</v>
      </c>
      <c r="AJ913" s="206" t="s">
        <v>46</v>
      </c>
      <c r="AK913" s="206" t="s">
        <v>54</v>
      </c>
      <c r="AL913" s="206" t="s">
        <v>48</v>
      </c>
      <c r="AM913" s="206" t="s">
        <v>49</v>
      </c>
      <c r="AN913" s="243" t="str">
        <f>VLOOKUP(I913,Sheet1!A:D,4,)</f>
        <v>A320400</v>
      </c>
      <c r="AP913" s="4" t="s">
        <v>1324</v>
      </c>
    </row>
    <row r="914" spans="1:42" s="206" customFormat="1" x14ac:dyDescent="0.25">
      <c r="A914" s="226">
        <v>45901</v>
      </c>
      <c r="B914" s="206" t="s">
        <v>40</v>
      </c>
      <c r="C914" s="206" t="s">
        <v>41</v>
      </c>
      <c r="D914" s="221">
        <v>25708514</v>
      </c>
      <c r="E914" s="221">
        <v>25106638</v>
      </c>
      <c r="F914" s="221" t="s">
        <v>965</v>
      </c>
      <c r="G914" s="227">
        <v>45904</v>
      </c>
      <c r="H914" s="206" t="s">
        <v>237</v>
      </c>
      <c r="I914" s="206" t="s">
        <v>129</v>
      </c>
      <c r="J914" s="206" t="s">
        <v>1302</v>
      </c>
      <c r="K914" s="228">
        <v>200</v>
      </c>
      <c r="L914" s="229" t="s">
        <v>42</v>
      </c>
      <c r="M914" s="228">
        <v>200</v>
      </c>
      <c r="N914" s="228">
        <v>940185.38</v>
      </c>
      <c r="O914" s="228">
        <v>188037076</v>
      </c>
      <c r="P914" s="228">
        <v>188037076</v>
      </c>
      <c r="Q914" s="224">
        <v>0</v>
      </c>
      <c r="R914" s="224">
        <v>0</v>
      </c>
      <c r="S914" s="229" t="s">
        <v>43</v>
      </c>
      <c r="T914" s="228">
        <v>113694415.69</v>
      </c>
      <c r="U914" s="228">
        <v>113694415.69</v>
      </c>
      <c r="V914" s="228">
        <v>74342660.310000002</v>
      </c>
      <c r="W914" s="230">
        <v>0.39536171212299998</v>
      </c>
      <c r="X914" s="228">
        <v>74342660.310000002</v>
      </c>
      <c r="Y914" s="206" t="s">
        <v>101</v>
      </c>
      <c r="Z914" s="206" t="s">
        <v>46</v>
      </c>
      <c r="AA914" s="206">
        <v>2306153</v>
      </c>
      <c r="AB914" s="206" t="s">
        <v>237</v>
      </c>
      <c r="AC914" s="206" t="s">
        <v>56</v>
      </c>
      <c r="AD914" s="206" t="s">
        <v>103</v>
      </c>
      <c r="AE914" s="206">
        <v>0</v>
      </c>
      <c r="AF914" s="206" t="s">
        <v>212</v>
      </c>
      <c r="AG914" s="206" t="s">
        <v>921</v>
      </c>
      <c r="AH914" s="206" t="s">
        <v>132</v>
      </c>
      <c r="AI914" s="206" t="s">
        <v>101</v>
      </c>
      <c r="AJ914" s="206" t="s">
        <v>46</v>
      </c>
      <c r="AK914" s="206" t="s">
        <v>54</v>
      </c>
      <c r="AL914" s="206" t="s">
        <v>48</v>
      </c>
      <c r="AM914" s="206" t="s">
        <v>49</v>
      </c>
      <c r="AN914" s="243" t="str">
        <f>VLOOKUP(I914,Sheet1!A:D,4,)</f>
        <v>A320400</v>
      </c>
      <c r="AP914" s="4" t="s">
        <v>1324</v>
      </c>
    </row>
    <row r="915" spans="1:42" s="206" customFormat="1" x14ac:dyDescent="0.25">
      <c r="A915" s="226">
        <v>45901</v>
      </c>
      <c r="B915" s="206" t="s">
        <v>40</v>
      </c>
      <c r="C915" s="206" t="s">
        <v>41</v>
      </c>
      <c r="D915" s="221">
        <v>25708515</v>
      </c>
      <c r="E915" s="221">
        <v>25106782</v>
      </c>
      <c r="F915" s="221" t="s">
        <v>1303</v>
      </c>
      <c r="G915" s="227">
        <v>45904</v>
      </c>
      <c r="H915" s="206" t="s">
        <v>237</v>
      </c>
      <c r="I915" s="206" t="s">
        <v>428</v>
      </c>
      <c r="J915" s="206" t="s">
        <v>641</v>
      </c>
      <c r="K915" s="228">
        <v>99.45</v>
      </c>
      <c r="L915" s="229" t="s">
        <v>42</v>
      </c>
      <c r="M915" s="228">
        <v>99.45</v>
      </c>
      <c r="N915" s="228">
        <v>349055.4</v>
      </c>
      <c r="O915" s="228">
        <v>34713559.530000001</v>
      </c>
      <c r="P915" s="228">
        <v>34713559.530000001</v>
      </c>
      <c r="Q915" s="224">
        <v>0</v>
      </c>
      <c r="R915" s="224">
        <v>0</v>
      </c>
      <c r="S915" s="229" t="s">
        <v>43</v>
      </c>
      <c r="T915" s="228">
        <v>29098908.890000001</v>
      </c>
      <c r="U915" s="228">
        <v>29098908.890000001</v>
      </c>
      <c r="V915" s="228">
        <v>5614650.6399999997</v>
      </c>
      <c r="W915" s="230">
        <v>0.16174229079399999</v>
      </c>
      <c r="X915" s="228">
        <v>5614650.6399999997</v>
      </c>
      <c r="Y915" s="206" t="s">
        <v>101</v>
      </c>
      <c r="Z915" s="206" t="s">
        <v>46</v>
      </c>
      <c r="AA915" s="206">
        <v>2306153</v>
      </c>
      <c r="AB915" s="206" t="s">
        <v>237</v>
      </c>
      <c r="AC915" s="206" t="s">
        <v>56</v>
      </c>
      <c r="AD915" s="206" t="s">
        <v>103</v>
      </c>
      <c r="AE915" s="206">
        <v>0</v>
      </c>
      <c r="AF915" s="206" t="s">
        <v>727</v>
      </c>
      <c r="AG915" s="206" t="s">
        <v>728</v>
      </c>
      <c r="AH915" s="206" t="s">
        <v>121</v>
      </c>
      <c r="AI915" s="206" t="s">
        <v>101</v>
      </c>
      <c r="AJ915" s="206" t="s">
        <v>46</v>
      </c>
      <c r="AK915" s="206" t="s">
        <v>54</v>
      </c>
      <c r="AL915" s="206" t="s">
        <v>48</v>
      </c>
      <c r="AM915" s="206" t="s">
        <v>49</v>
      </c>
      <c r="AN915" s="243" t="str">
        <f>VLOOKUP(I915,Sheet1!A:D,4,)</f>
        <v>A320400</v>
      </c>
      <c r="AP915" s="4" t="s">
        <v>1324</v>
      </c>
    </row>
    <row r="916" spans="1:42" s="206" customFormat="1" x14ac:dyDescent="0.25">
      <c r="A916" s="226">
        <v>45901</v>
      </c>
      <c r="B916" s="206" t="s">
        <v>40</v>
      </c>
      <c r="C916" s="206" t="s">
        <v>41</v>
      </c>
      <c r="D916" s="221">
        <v>25708515</v>
      </c>
      <c r="E916" s="221">
        <v>25106782</v>
      </c>
      <c r="F916" s="221" t="s">
        <v>1303</v>
      </c>
      <c r="G916" s="227">
        <v>45904</v>
      </c>
      <c r="H916" s="206" t="s">
        <v>237</v>
      </c>
      <c r="I916" s="206" t="s">
        <v>424</v>
      </c>
      <c r="J916" s="206" t="s">
        <v>637</v>
      </c>
      <c r="K916" s="228">
        <v>40</v>
      </c>
      <c r="L916" s="229" t="s">
        <v>42</v>
      </c>
      <c r="M916" s="228">
        <v>40</v>
      </c>
      <c r="N916" s="228">
        <v>684319.33</v>
      </c>
      <c r="O916" s="228">
        <v>27372773.199999999</v>
      </c>
      <c r="P916" s="228">
        <v>27372773.199999999</v>
      </c>
      <c r="Q916" s="224">
        <v>0</v>
      </c>
      <c r="R916" s="224">
        <v>0</v>
      </c>
      <c r="S916" s="229" t="s">
        <v>43</v>
      </c>
      <c r="T916" s="228">
        <v>19438713.579999998</v>
      </c>
      <c r="U916" s="228">
        <v>19438713.579999998</v>
      </c>
      <c r="V916" s="228">
        <v>7934059.6200000001</v>
      </c>
      <c r="W916" s="230">
        <v>0.28985223974300001</v>
      </c>
      <c r="X916" s="228">
        <v>7934059.6200000001</v>
      </c>
      <c r="Y916" s="206" t="s">
        <v>101</v>
      </c>
      <c r="Z916" s="206" t="s">
        <v>46</v>
      </c>
      <c r="AA916" s="206">
        <v>2306153</v>
      </c>
      <c r="AB916" s="206" t="s">
        <v>237</v>
      </c>
      <c r="AC916" s="206" t="s">
        <v>56</v>
      </c>
      <c r="AD916" s="206" t="s">
        <v>103</v>
      </c>
      <c r="AE916" s="206">
        <v>0</v>
      </c>
      <c r="AF916" s="206" t="s">
        <v>727</v>
      </c>
      <c r="AG916" s="206" t="s">
        <v>728</v>
      </c>
      <c r="AH916" s="206" t="s">
        <v>121</v>
      </c>
      <c r="AI916" s="206" t="s">
        <v>101</v>
      </c>
      <c r="AJ916" s="206" t="s">
        <v>46</v>
      </c>
      <c r="AK916" s="206" t="s">
        <v>54</v>
      </c>
      <c r="AL916" s="206" t="s">
        <v>48</v>
      </c>
      <c r="AM916" s="206" t="s">
        <v>49</v>
      </c>
      <c r="AN916" s="243" t="str">
        <f>VLOOKUP(I916,Sheet1!A:D,4,)</f>
        <v>A320400</v>
      </c>
      <c r="AP916" s="4" t="s">
        <v>1324</v>
      </c>
    </row>
    <row r="917" spans="1:42" s="206" customFormat="1" x14ac:dyDescent="0.25">
      <c r="A917" s="226">
        <v>45901</v>
      </c>
      <c r="B917" s="206" t="s">
        <v>40</v>
      </c>
      <c r="C917" s="206" t="s">
        <v>41</v>
      </c>
      <c r="D917" s="221">
        <v>25708518</v>
      </c>
      <c r="E917" s="221">
        <v>25106825</v>
      </c>
      <c r="F917" s="221" t="s">
        <v>1304</v>
      </c>
      <c r="G917" s="227">
        <v>45910</v>
      </c>
      <c r="H917" s="206" t="s">
        <v>158</v>
      </c>
      <c r="I917" s="206" t="s">
        <v>1269</v>
      </c>
      <c r="J917" s="206" t="s">
        <v>1270</v>
      </c>
      <c r="K917" s="228">
        <v>2</v>
      </c>
      <c r="L917" s="229" t="s">
        <v>42</v>
      </c>
      <c r="M917" s="228">
        <v>2</v>
      </c>
      <c r="N917" s="228">
        <v>1989904</v>
      </c>
      <c r="O917" s="228">
        <v>3979808</v>
      </c>
      <c r="P917" s="228">
        <v>3979808</v>
      </c>
      <c r="Q917" s="224">
        <v>0</v>
      </c>
      <c r="R917" s="224">
        <v>0</v>
      </c>
      <c r="S917" s="229" t="s">
        <v>43</v>
      </c>
      <c r="T917" s="228">
        <v>3901882.97</v>
      </c>
      <c r="U917" s="228">
        <v>3901882.97</v>
      </c>
      <c r="V917" s="228">
        <v>77925.029999999795</v>
      </c>
      <c r="W917" s="230">
        <v>1.9580097833E-2</v>
      </c>
      <c r="X917" s="228">
        <v>77925.029999999795</v>
      </c>
      <c r="Y917" s="206" t="s">
        <v>101</v>
      </c>
      <c r="Z917" s="206" t="s">
        <v>46</v>
      </c>
      <c r="AA917" s="206">
        <v>2306495</v>
      </c>
      <c r="AB917" s="206" t="s">
        <v>161</v>
      </c>
      <c r="AC917" s="206" t="s">
        <v>56</v>
      </c>
      <c r="AD917" s="206" t="s">
        <v>103</v>
      </c>
      <c r="AE917" s="206">
        <v>0</v>
      </c>
      <c r="AF917" s="206" t="s">
        <v>207</v>
      </c>
      <c r="AG917" s="206" t="s">
        <v>101</v>
      </c>
      <c r="AH917" s="206" t="s">
        <v>46</v>
      </c>
      <c r="AI917" s="206" t="s">
        <v>101</v>
      </c>
      <c r="AJ917" s="206" t="s">
        <v>46</v>
      </c>
      <c r="AK917" s="206" t="s">
        <v>54</v>
      </c>
      <c r="AL917" s="206" t="s">
        <v>48</v>
      </c>
      <c r="AM917" s="206" t="s">
        <v>49</v>
      </c>
      <c r="AN917" s="243" t="str">
        <f>VLOOKUP(I917,Sheet1!A:D,4,)</f>
        <v>A320400</v>
      </c>
      <c r="AP917" s="4" t="s">
        <v>1324</v>
      </c>
    </row>
    <row r="918" spans="1:42" s="206" customFormat="1" x14ac:dyDescent="0.25">
      <c r="A918" s="226">
        <v>45901</v>
      </c>
      <c r="B918" s="206" t="s">
        <v>40</v>
      </c>
      <c r="C918" s="206" t="s">
        <v>41</v>
      </c>
      <c r="D918" s="221">
        <v>25708519</v>
      </c>
      <c r="E918" s="221">
        <v>25106870</v>
      </c>
      <c r="F918" s="221" t="s">
        <v>1305</v>
      </c>
      <c r="G918" s="227">
        <v>45912</v>
      </c>
      <c r="H918" s="206" t="s">
        <v>237</v>
      </c>
      <c r="I918" s="206" t="s">
        <v>304</v>
      </c>
      <c r="J918" s="206" t="s">
        <v>512</v>
      </c>
      <c r="K918" s="228">
        <v>5</v>
      </c>
      <c r="L918" s="229" t="s">
        <v>42</v>
      </c>
      <c r="M918" s="228">
        <v>5</v>
      </c>
      <c r="N918" s="228">
        <v>1534174.17</v>
      </c>
      <c r="O918" s="228">
        <v>7670870.8499999996</v>
      </c>
      <c r="P918" s="228">
        <v>7670870.8499999996</v>
      </c>
      <c r="Q918" s="224">
        <v>0</v>
      </c>
      <c r="R918" s="224">
        <v>0</v>
      </c>
      <c r="S918" s="229" t="s">
        <v>43</v>
      </c>
      <c r="T918" s="228">
        <v>4761747</v>
      </c>
      <c r="U918" s="228">
        <v>4761747</v>
      </c>
      <c r="V918" s="228">
        <v>2909123.85</v>
      </c>
      <c r="W918" s="230">
        <v>0.37924297082899999</v>
      </c>
      <c r="X918" s="228">
        <v>2909123.85</v>
      </c>
      <c r="Y918" s="206" t="s">
        <v>101</v>
      </c>
      <c r="Z918" s="206" t="s">
        <v>46</v>
      </c>
      <c r="AA918" s="206">
        <v>2306153</v>
      </c>
      <c r="AB918" s="206" t="s">
        <v>237</v>
      </c>
      <c r="AC918" s="206" t="s">
        <v>56</v>
      </c>
      <c r="AD918" s="206" t="s">
        <v>103</v>
      </c>
      <c r="AE918" s="206">
        <v>0</v>
      </c>
      <c r="AF918" s="206" t="s">
        <v>727</v>
      </c>
      <c r="AG918" s="206" t="s">
        <v>728</v>
      </c>
      <c r="AH918" s="206" t="s">
        <v>121</v>
      </c>
      <c r="AI918" s="206" t="s">
        <v>101</v>
      </c>
      <c r="AJ918" s="206" t="s">
        <v>46</v>
      </c>
      <c r="AK918" s="206" t="s">
        <v>54</v>
      </c>
      <c r="AL918" s="206" t="s">
        <v>48</v>
      </c>
      <c r="AM918" s="206" t="s">
        <v>49</v>
      </c>
      <c r="AN918" s="243" t="str">
        <f>VLOOKUP(I918,Sheet1!A:D,4,)</f>
        <v>A320400</v>
      </c>
      <c r="AP918" s="4" t="s">
        <v>1324</v>
      </c>
    </row>
    <row r="919" spans="1:42" s="206" customFormat="1" x14ac:dyDescent="0.25">
      <c r="A919" s="226">
        <v>45901</v>
      </c>
      <c r="B919" s="206" t="s">
        <v>40</v>
      </c>
      <c r="C919" s="206" t="s">
        <v>41</v>
      </c>
      <c r="D919" s="221">
        <v>25708520</v>
      </c>
      <c r="E919" s="221">
        <v>25106882</v>
      </c>
      <c r="F919" s="221" t="s">
        <v>1262</v>
      </c>
      <c r="G919" s="227">
        <v>45912</v>
      </c>
      <c r="H919" s="206" t="s">
        <v>150</v>
      </c>
      <c r="I919" s="206" t="s">
        <v>174</v>
      </c>
      <c r="J919" s="206" t="s">
        <v>502</v>
      </c>
      <c r="K919" s="228">
        <v>20</v>
      </c>
      <c r="L919" s="229" t="s">
        <v>42</v>
      </c>
      <c r="M919" s="228">
        <v>20</v>
      </c>
      <c r="N919" s="228">
        <v>1331116.01</v>
      </c>
      <c r="O919" s="228">
        <v>26622320.199999999</v>
      </c>
      <c r="P919" s="228">
        <v>26622320.199999999</v>
      </c>
      <c r="Q919" s="224">
        <v>0</v>
      </c>
      <c r="R919" s="224">
        <v>0</v>
      </c>
      <c r="S919" s="229" t="s">
        <v>43</v>
      </c>
      <c r="T919" s="228">
        <v>12458033.32</v>
      </c>
      <c r="U919" s="228">
        <v>12458033.32</v>
      </c>
      <c r="V919" s="228">
        <v>14164286.880000001</v>
      </c>
      <c r="W919" s="230">
        <v>0.53204554575200003</v>
      </c>
      <c r="X919" s="228">
        <v>14164286.880000001</v>
      </c>
      <c r="Y919" s="206" t="s">
        <v>101</v>
      </c>
      <c r="Z919" s="206" t="s">
        <v>46</v>
      </c>
      <c r="AA919" s="206">
        <v>2306392</v>
      </c>
      <c r="AB919" s="206" t="s">
        <v>153</v>
      </c>
      <c r="AC919" s="206" t="s">
        <v>154</v>
      </c>
      <c r="AD919" s="206" t="s">
        <v>155</v>
      </c>
      <c r="AE919" s="206">
        <v>0</v>
      </c>
      <c r="AF919" s="206" t="s">
        <v>207</v>
      </c>
      <c r="AG919" s="206" t="s">
        <v>101</v>
      </c>
      <c r="AH919" s="206" t="s">
        <v>46</v>
      </c>
      <c r="AI919" s="206" t="s">
        <v>101</v>
      </c>
      <c r="AJ919" s="206" t="s">
        <v>46</v>
      </c>
      <c r="AK919" s="206" t="s">
        <v>54</v>
      </c>
      <c r="AL919" s="206" t="s">
        <v>48</v>
      </c>
      <c r="AM919" s="206" t="s">
        <v>49</v>
      </c>
      <c r="AN919" s="243" t="str">
        <f>VLOOKUP(I919,Sheet1!A:D,4,)</f>
        <v>A320400</v>
      </c>
      <c r="AP919" s="4" t="s">
        <v>1324</v>
      </c>
    </row>
    <row r="920" spans="1:42" s="206" customFormat="1" x14ac:dyDescent="0.25">
      <c r="A920" s="226">
        <v>45901</v>
      </c>
      <c r="B920" s="206" t="s">
        <v>40</v>
      </c>
      <c r="C920" s="206" t="s">
        <v>41</v>
      </c>
      <c r="D920" s="221">
        <v>25708521</v>
      </c>
      <c r="E920" s="221">
        <v>25106931</v>
      </c>
      <c r="F920" s="221" t="s">
        <v>1306</v>
      </c>
      <c r="G920" s="227">
        <v>45912</v>
      </c>
      <c r="H920" s="206" t="s">
        <v>245</v>
      </c>
      <c r="I920" s="206" t="s">
        <v>285</v>
      </c>
      <c r="J920" s="206" t="s">
        <v>492</v>
      </c>
      <c r="K920" s="228">
        <v>160</v>
      </c>
      <c r="L920" s="229" t="s">
        <v>42</v>
      </c>
      <c r="M920" s="228">
        <v>160</v>
      </c>
      <c r="N920" s="228">
        <v>1892321.67</v>
      </c>
      <c r="O920" s="228">
        <v>302771467.19999999</v>
      </c>
      <c r="P920" s="228">
        <v>302771467.19999999</v>
      </c>
      <c r="Q920" s="224">
        <v>0</v>
      </c>
      <c r="R920" s="224">
        <v>0</v>
      </c>
      <c r="S920" s="229" t="s">
        <v>43</v>
      </c>
      <c r="T920" s="228">
        <v>229227301.84</v>
      </c>
      <c r="U920" s="228">
        <v>229227301.84</v>
      </c>
      <c r="V920" s="228">
        <v>73544165.359999999</v>
      </c>
      <c r="W920" s="230">
        <v>0.242903223477</v>
      </c>
      <c r="X920" s="228">
        <v>73544165.359999999</v>
      </c>
      <c r="Y920" s="206" t="s">
        <v>235</v>
      </c>
      <c r="Z920" s="206" t="s">
        <v>44</v>
      </c>
      <c r="AA920" s="206">
        <v>15159</v>
      </c>
      <c r="AB920" s="206" t="s">
        <v>246</v>
      </c>
      <c r="AC920" s="206" t="s">
        <v>154</v>
      </c>
      <c r="AD920" s="206" t="s">
        <v>155</v>
      </c>
      <c r="AE920" s="206">
        <v>0</v>
      </c>
      <c r="AF920" s="206" t="s">
        <v>191</v>
      </c>
      <c r="AG920" s="206" t="s">
        <v>101</v>
      </c>
      <c r="AH920" s="206" t="s">
        <v>46</v>
      </c>
      <c r="AI920" s="206" t="s">
        <v>101</v>
      </c>
      <c r="AJ920" s="206" t="s">
        <v>46</v>
      </c>
      <c r="AK920" s="206" t="s">
        <v>54</v>
      </c>
      <c r="AL920" s="206" t="s">
        <v>48</v>
      </c>
      <c r="AM920" s="206" t="s">
        <v>49</v>
      </c>
      <c r="AN920" s="243" t="str">
        <f>VLOOKUP(I920,Sheet1!A:D,4,)</f>
        <v>A320400</v>
      </c>
      <c r="AP920" s="4" t="s">
        <v>1324</v>
      </c>
    </row>
    <row r="921" spans="1:42" s="206" customFormat="1" x14ac:dyDescent="0.25">
      <c r="A921" s="226">
        <v>45901</v>
      </c>
      <c r="B921" s="206" t="s">
        <v>40</v>
      </c>
      <c r="C921" s="206" t="s">
        <v>41</v>
      </c>
      <c r="D921" s="221">
        <v>25708522</v>
      </c>
      <c r="E921" s="221">
        <v>25106862</v>
      </c>
      <c r="F921" s="221" t="s">
        <v>1234</v>
      </c>
      <c r="G921" s="227">
        <v>45912</v>
      </c>
      <c r="H921" s="206" t="s">
        <v>237</v>
      </c>
      <c r="I921" s="206" t="s">
        <v>170</v>
      </c>
      <c r="J921" s="206" t="s">
        <v>507</v>
      </c>
      <c r="K921" s="228">
        <v>34</v>
      </c>
      <c r="L921" s="229" t="s">
        <v>42</v>
      </c>
      <c r="M921" s="228">
        <v>34</v>
      </c>
      <c r="N921" s="228">
        <v>2677074.2200000002</v>
      </c>
      <c r="O921" s="228">
        <v>91020523.480000004</v>
      </c>
      <c r="P921" s="228">
        <v>91020523.480000004</v>
      </c>
      <c r="Q921" s="224">
        <v>0</v>
      </c>
      <c r="R921" s="224">
        <v>0</v>
      </c>
      <c r="S921" s="229" t="s">
        <v>43</v>
      </c>
      <c r="T921" s="228">
        <v>14926500.140000001</v>
      </c>
      <c r="U921" s="228">
        <v>14926500.140000001</v>
      </c>
      <c r="V921" s="228">
        <v>76094023.340000004</v>
      </c>
      <c r="W921" s="230">
        <v>0.83600951115900002</v>
      </c>
      <c r="X921" s="228">
        <v>76094023.340000004</v>
      </c>
      <c r="Y921" s="206" t="s">
        <v>101</v>
      </c>
      <c r="Z921" s="206" t="s">
        <v>46</v>
      </c>
      <c r="AA921" s="206">
        <v>2306153</v>
      </c>
      <c r="AB921" s="206" t="s">
        <v>237</v>
      </c>
      <c r="AC921" s="206" t="s">
        <v>56</v>
      </c>
      <c r="AD921" s="206" t="s">
        <v>103</v>
      </c>
      <c r="AE921" s="206">
        <v>0</v>
      </c>
      <c r="AF921" s="206" t="s">
        <v>727</v>
      </c>
      <c r="AG921" s="206" t="s">
        <v>728</v>
      </c>
      <c r="AH921" s="206" t="s">
        <v>121</v>
      </c>
      <c r="AI921" s="206" t="s">
        <v>101</v>
      </c>
      <c r="AJ921" s="206" t="s">
        <v>46</v>
      </c>
      <c r="AK921" s="206" t="s">
        <v>54</v>
      </c>
      <c r="AL921" s="206" t="s">
        <v>48</v>
      </c>
      <c r="AM921" s="206" t="s">
        <v>49</v>
      </c>
      <c r="AN921" s="243" t="str">
        <f>VLOOKUP(I921,Sheet1!A:D,4,)</f>
        <v>A320400</v>
      </c>
      <c r="AP921" s="4" t="s">
        <v>1324</v>
      </c>
    </row>
    <row r="922" spans="1:42" s="206" customFormat="1" x14ac:dyDescent="0.25">
      <c r="A922" s="226">
        <v>45901</v>
      </c>
      <c r="B922" s="206" t="s">
        <v>40</v>
      </c>
      <c r="C922" s="206" t="s">
        <v>41</v>
      </c>
      <c r="D922" s="221">
        <v>25708523</v>
      </c>
      <c r="E922" s="221">
        <v>25106802</v>
      </c>
      <c r="F922" s="221" t="s">
        <v>1174</v>
      </c>
      <c r="G922" s="227">
        <v>45912</v>
      </c>
      <c r="H922" s="206" t="s">
        <v>237</v>
      </c>
      <c r="I922" s="206" t="s">
        <v>404</v>
      </c>
      <c r="J922" s="206" t="s">
        <v>615</v>
      </c>
      <c r="K922" s="228">
        <v>20</v>
      </c>
      <c r="L922" s="229" t="s">
        <v>42</v>
      </c>
      <c r="M922" s="228">
        <v>20</v>
      </c>
      <c r="N922" s="228">
        <v>4228725.68</v>
      </c>
      <c r="O922" s="228">
        <v>84574513.599999994</v>
      </c>
      <c r="P922" s="228">
        <v>84574513.599999994</v>
      </c>
      <c r="Q922" s="224">
        <v>0</v>
      </c>
      <c r="R922" s="224">
        <v>0</v>
      </c>
      <c r="S922" s="229" t="s">
        <v>43</v>
      </c>
      <c r="T922" s="228">
        <v>43522027.25</v>
      </c>
      <c r="U922" s="228">
        <v>43522027.25</v>
      </c>
      <c r="V922" s="228">
        <v>41052486.350000001</v>
      </c>
      <c r="W922" s="230">
        <v>0.48540020630899999</v>
      </c>
      <c r="X922" s="228">
        <v>41052486.350000001</v>
      </c>
      <c r="Y922" s="206" t="s">
        <v>101</v>
      </c>
      <c r="Z922" s="206" t="s">
        <v>46</v>
      </c>
      <c r="AA922" s="206">
        <v>2306153</v>
      </c>
      <c r="AB922" s="206" t="s">
        <v>237</v>
      </c>
      <c r="AC922" s="206" t="s">
        <v>56</v>
      </c>
      <c r="AD922" s="206" t="s">
        <v>103</v>
      </c>
      <c r="AE922" s="206">
        <v>0</v>
      </c>
      <c r="AF922" s="206" t="s">
        <v>727</v>
      </c>
      <c r="AG922" s="206" t="s">
        <v>921</v>
      </c>
      <c r="AH922" s="206" t="s">
        <v>132</v>
      </c>
      <c r="AI922" s="206" t="s">
        <v>101</v>
      </c>
      <c r="AJ922" s="206" t="s">
        <v>46</v>
      </c>
      <c r="AK922" s="206" t="s">
        <v>54</v>
      </c>
      <c r="AL922" s="206" t="s">
        <v>48</v>
      </c>
      <c r="AM922" s="206" t="s">
        <v>49</v>
      </c>
      <c r="AN922" s="243" t="str">
        <f>VLOOKUP(I922,Sheet1!A:D,4,)</f>
        <v>A320400</v>
      </c>
      <c r="AP922" s="4" t="s">
        <v>1324</v>
      </c>
    </row>
    <row r="923" spans="1:42" s="206" customFormat="1" x14ac:dyDescent="0.25">
      <c r="A923" s="226">
        <v>45901</v>
      </c>
      <c r="B923" s="206" t="s">
        <v>40</v>
      </c>
      <c r="C923" s="206" t="s">
        <v>41</v>
      </c>
      <c r="D923" s="221">
        <v>25708524</v>
      </c>
      <c r="E923" s="221">
        <v>25106833</v>
      </c>
      <c r="F923" s="221" t="s">
        <v>1307</v>
      </c>
      <c r="G923" s="227">
        <v>45912</v>
      </c>
      <c r="H923" s="206" t="s">
        <v>237</v>
      </c>
      <c r="I923" s="206" t="s">
        <v>420</v>
      </c>
      <c r="J923" s="206" t="s">
        <v>633</v>
      </c>
      <c r="K923" s="228">
        <v>20</v>
      </c>
      <c r="L923" s="229" t="s">
        <v>42</v>
      </c>
      <c r="M923" s="228">
        <v>20</v>
      </c>
      <c r="N923" s="228">
        <v>2805408.11</v>
      </c>
      <c r="O923" s="228">
        <v>56108162.200000003</v>
      </c>
      <c r="P923" s="228">
        <v>56108162.200000003</v>
      </c>
      <c r="Q923" s="224">
        <v>0</v>
      </c>
      <c r="R923" s="224">
        <v>0</v>
      </c>
      <c r="S923" s="229" t="s">
        <v>43</v>
      </c>
      <c r="T923" s="228">
        <v>43443030.090000004</v>
      </c>
      <c r="U923" s="228">
        <v>43443030.090000004</v>
      </c>
      <c r="V923" s="228">
        <v>12665132.109999999</v>
      </c>
      <c r="W923" s="230">
        <v>0.22572708877600001</v>
      </c>
      <c r="X923" s="228">
        <v>12665132.109999999</v>
      </c>
      <c r="Y923" s="206" t="s">
        <v>101</v>
      </c>
      <c r="Z923" s="206" t="s">
        <v>46</v>
      </c>
      <c r="AA923" s="206">
        <v>2306153</v>
      </c>
      <c r="AB923" s="206" t="s">
        <v>237</v>
      </c>
      <c r="AC923" s="206" t="s">
        <v>56</v>
      </c>
      <c r="AD923" s="206" t="s">
        <v>103</v>
      </c>
      <c r="AE923" s="206">
        <v>0</v>
      </c>
      <c r="AF923" s="206" t="s">
        <v>1308</v>
      </c>
      <c r="AG923" s="206" t="s">
        <v>101</v>
      </c>
      <c r="AH923" s="206" t="s">
        <v>46</v>
      </c>
      <c r="AI923" s="206" t="s">
        <v>101</v>
      </c>
      <c r="AJ923" s="206" t="s">
        <v>46</v>
      </c>
      <c r="AK923" s="206" t="s">
        <v>54</v>
      </c>
      <c r="AL923" s="206" t="s">
        <v>48</v>
      </c>
      <c r="AM923" s="206" t="s">
        <v>49</v>
      </c>
      <c r="AN923" s="243" t="str">
        <f>VLOOKUP(I923,Sheet1!A:D,4,)</f>
        <v>A320400</v>
      </c>
      <c r="AP923" s="4" t="s">
        <v>1324</v>
      </c>
    </row>
    <row r="924" spans="1:42" s="206" customFormat="1" x14ac:dyDescent="0.25">
      <c r="A924" s="226">
        <v>45901</v>
      </c>
      <c r="B924" s="206" t="s">
        <v>40</v>
      </c>
      <c r="C924" s="206" t="s">
        <v>41</v>
      </c>
      <c r="D924" s="221">
        <v>25708525</v>
      </c>
      <c r="E924" s="221">
        <v>25106834</v>
      </c>
      <c r="F924" s="221" t="s">
        <v>1309</v>
      </c>
      <c r="G924" s="227">
        <v>45912</v>
      </c>
      <c r="H924" s="206" t="s">
        <v>237</v>
      </c>
      <c r="I924" s="206" t="s">
        <v>420</v>
      </c>
      <c r="J924" s="206" t="s">
        <v>633</v>
      </c>
      <c r="K924" s="228">
        <v>20</v>
      </c>
      <c r="L924" s="229" t="s">
        <v>42</v>
      </c>
      <c r="M924" s="228">
        <v>20</v>
      </c>
      <c r="N924" s="228">
        <v>2805408.11</v>
      </c>
      <c r="O924" s="228">
        <v>56108162.200000003</v>
      </c>
      <c r="P924" s="228">
        <v>56108162.200000003</v>
      </c>
      <c r="Q924" s="224">
        <v>0</v>
      </c>
      <c r="R924" s="224">
        <v>0</v>
      </c>
      <c r="S924" s="229" t="s">
        <v>43</v>
      </c>
      <c r="T924" s="228">
        <v>43443030.090000004</v>
      </c>
      <c r="U924" s="228">
        <v>43443030.090000004</v>
      </c>
      <c r="V924" s="228">
        <v>12665132.109999999</v>
      </c>
      <c r="W924" s="230">
        <v>0.22572708877600001</v>
      </c>
      <c r="X924" s="228">
        <v>12665132.109999999</v>
      </c>
      <c r="Y924" s="206" t="s">
        <v>101</v>
      </c>
      <c r="Z924" s="206" t="s">
        <v>46</v>
      </c>
      <c r="AA924" s="206">
        <v>2306153</v>
      </c>
      <c r="AB924" s="206" t="s">
        <v>237</v>
      </c>
      <c r="AC924" s="206" t="s">
        <v>56</v>
      </c>
      <c r="AD924" s="206" t="s">
        <v>103</v>
      </c>
      <c r="AE924" s="206">
        <v>0</v>
      </c>
      <c r="AF924" s="206" t="s">
        <v>1308</v>
      </c>
      <c r="AG924" s="206" t="s">
        <v>101</v>
      </c>
      <c r="AH924" s="206" t="s">
        <v>46</v>
      </c>
      <c r="AI924" s="206" t="s">
        <v>101</v>
      </c>
      <c r="AJ924" s="206" t="s">
        <v>46</v>
      </c>
      <c r="AK924" s="206" t="s">
        <v>54</v>
      </c>
      <c r="AL924" s="206" t="s">
        <v>48</v>
      </c>
      <c r="AM924" s="206" t="s">
        <v>49</v>
      </c>
      <c r="AN924" s="243" t="str">
        <f>VLOOKUP(I924,Sheet1!A:D,4,)</f>
        <v>A320400</v>
      </c>
      <c r="AP924" s="4" t="s">
        <v>1324</v>
      </c>
    </row>
    <row r="925" spans="1:42" s="206" customFormat="1" x14ac:dyDescent="0.25">
      <c r="A925" s="226">
        <v>45901</v>
      </c>
      <c r="B925" s="206" t="s">
        <v>40</v>
      </c>
      <c r="C925" s="206" t="s">
        <v>41</v>
      </c>
      <c r="D925" s="221">
        <v>25708526</v>
      </c>
      <c r="E925" s="221">
        <v>25106924</v>
      </c>
      <c r="F925" s="221" t="s">
        <v>1310</v>
      </c>
      <c r="G925" s="227">
        <v>45912</v>
      </c>
      <c r="H925" s="206" t="s">
        <v>237</v>
      </c>
      <c r="I925" s="206" t="s">
        <v>420</v>
      </c>
      <c r="J925" s="206" t="s">
        <v>633</v>
      </c>
      <c r="K925" s="228">
        <v>20</v>
      </c>
      <c r="L925" s="229" t="s">
        <v>42</v>
      </c>
      <c r="M925" s="228">
        <v>20</v>
      </c>
      <c r="N925" s="228">
        <v>2805783.16</v>
      </c>
      <c r="O925" s="228">
        <v>56115663.200000003</v>
      </c>
      <c r="P925" s="228">
        <v>56115663.200000003</v>
      </c>
      <c r="Q925" s="224">
        <v>0</v>
      </c>
      <c r="R925" s="224">
        <v>0</v>
      </c>
      <c r="S925" s="229" t="s">
        <v>43</v>
      </c>
      <c r="T925" s="228">
        <v>43443030.090000004</v>
      </c>
      <c r="U925" s="228">
        <v>43443030.090000004</v>
      </c>
      <c r="V925" s="228">
        <v>12672633.109999999</v>
      </c>
      <c r="W925" s="230">
        <v>0.22583058610199999</v>
      </c>
      <c r="X925" s="228">
        <v>12672633.109999999</v>
      </c>
      <c r="Y925" s="206" t="s">
        <v>101</v>
      </c>
      <c r="Z925" s="206" t="s">
        <v>46</v>
      </c>
      <c r="AA925" s="206">
        <v>2306153</v>
      </c>
      <c r="AB925" s="206" t="s">
        <v>237</v>
      </c>
      <c r="AC925" s="206" t="s">
        <v>56</v>
      </c>
      <c r="AD925" s="206" t="s">
        <v>103</v>
      </c>
      <c r="AE925" s="206">
        <v>0</v>
      </c>
      <c r="AF925" s="206" t="s">
        <v>1308</v>
      </c>
      <c r="AG925" s="206" t="s">
        <v>101</v>
      </c>
      <c r="AH925" s="206" t="s">
        <v>46</v>
      </c>
      <c r="AI925" s="206" t="s">
        <v>101</v>
      </c>
      <c r="AJ925" s="206" t="s">
        <v>46</v>
      </c>
      <c r="AK925" s="206" t="s">
        <v>54</v>
      </c>
      <c r="AL925" s="206" t="s">
        <v>48</v>
      </c>
      <c r="AM925" s="206" t="s">
        <v>49</v>
      </c>
      <c r="AN925" s="243" t="str">
        <f>VLOOKUP(I925,Sheet1!A:D,4,)</f>
        <v>A320400</v>
      </c>
      <c r="AP925" s="4" t="s">
        <v>1324</v>
      </c>
    </row>
    <row r="926" spans="1:42" s="206" customFormat="1" x14ac:dyDescent="0.25">
      <c r="A926" s="226">
        <v>45901</v>
      </c>
      <c r="B926" s="206" t="s">
        <v>40</v>
      </c>
      <c r="C926" s="206" t="s">
        <v>41</v>
      </c>
      <c r="D926" s="221">
        <v>25708527</v>
      </c>
      <c r="E926" s="221">
        <v>25106927</v>
      </c>
      <c r="F926" s="221" t="s">
        <v>1311</v>
      </c>
      <c r="G926" s="227">
        <v>45912</v>
      </c>
      <c r="H926" s="206" t="s">
        <v>237</v>
      </c>
      <c r="I926" s="206" t="s">
        <v>413</v>
      </c>
      <c r="J926" s="206" t="s">
        <v>624</v>
      </c>
      <c r="K926" s="228">
        <v>20</v>
      </c>
      <c r="L926" s="229" t="s">
        <v>42</v>
      </c>
      <c r="M926" s="228">
        <v>20</v>
      </c>
      <c r="N926" s="228">
        <v>1204412.27</v>
      </c>
      <c r="O926" s="228">
        <v>24088245.399999999</v>
      </c>
      <c r="P926" s="228">
        <v>24088245.399999999</v>
      </c>
      <c r="Q926" s="224">
        <v>0</v>
      </c>
      <c r="R926" s="224">
        <v>0</v>
      </c>
      <c r="S926" s="229" t="s">
        <v>43</v>
      </c>
      <c r="T926" s="228">
        <v>10739104.199999999</v>
      </c>
      <c r="U926" s="228">
        <v>10739104.199999999</v>
      </c>
      <c r="V926" s="228">
        <v>13349141.199999999</v>
      </c>
      <c r="W926" s="230">
        <v>0.55417656945600002</v>
      </c>
      <c r="X926" s="228">
        <v>13349141.199999999</v>
      </c>
      <c r="Y926" s="206" t="s">
        <v>101</v>
      </c>
      <c r="Z926" s="206" t="s">
        <v>46</v>
      </c>
      <c r="AA926" s="206">
        <v>2306153</v>
      </c>
      <c r="AB926" s="206" t="s">
        <v>237</v>
      </c>
      <c r="AC926" s="206" t="s">
        <v>56</v>
      </c>
      <c r="AD926" s="206" t="s">
        <v>103</v>
      </c>
      <c r="AE926" s="206">
        <v>0</v>
      </c>
      <c r="AF926" s="206" t="s">
        <v>207</v>
      </c>
      <c r="AG926" s="206" t="s">
        <v>101</v>
      </c>
      <c r="AH926" s="206" t="s">
        <v>46</v>
      </c>
      <c r="AI926" s="206" t="s">
        <v>101</v>
      </c>
      <c r="AJ926" s="206" t="s">
        <v>46</v>
      </c>
      <c r="AK926" s="206" t="s">
        <v>54</v>
      </c>
      <c r="AL926" s="206" t="s">
        <v>48</v>
      </c>
      <c r="AM926" s="206" t="s">
        <v>49</v>
      </c>
      <c r="AN926" s="243" t="str">
        <f>VLOOKUP(I926,Sheet1!A:D,4,)</f>
        <v>A320400</v>
      </c>
      <c r="AP926" s="4" t="s">
        <v>1324</v>
      </c>
    </row>
    <row r="927" spans="1:42" s="206" customFormat="1" x14ac:dyDescent="0.25">
      <c r="A927" s="226">
        <v>45901</v>
      </c>
      <c r="B927" s="206" t="s">
        <v>40</v>
      </c>
      <c r="C927" s="206" t="s">
        <v>41</v>
      </c>
      <c r="D927" s="221">
        <v>25708528</v>
      </c>
      <c r="E927" s="221">
        <v>25106928</v>
      </c>
      <c r="F927" s="221" t="s">
        <v>1312</v>
      </c>
      <c r="G927" s="227">
        <v>45908</v>
      </c>
      <c r="H927" s="206" t="s">
        <v>237</v>
      </c>
      <c r="I927" s="206" t="s">
        <v>461</v>
      </c>
      <c r="J927" s="206" t="s">
        <v>672</v>
      </c>
      <c r="K927" s="228">
        <v>1</v>
      </c>
      <c r="L927" s="229" t="s">
        <v>42</v>
      </c>
      <c r="M927" s="228">
        <v>1</v>
      </c>
      <c r="N927" s="228">
        <v>973152.06</v>
      </c>
      <c r="O927" s="228">
        <v>973152.06</v>
      </c>
      <c r="P927" s="228">
        <v>973152.06</v>
      </c>
      <c r="Q927" s="224">
        <v>0</v>
      </c>
      <c r="R927" s="224">
        <v>0</v>
      </c>
      <c r="S927" s="229" t="s">
        <v>43</v>
      </c>
      <c r="T927" s="228">
        <v>597631.65</v>
      </c>
      <c r="U927" s="228">
        <v>597631.65</v>
      </c>
      <c r="V927" s="228">
        <v>375520.41</v>
      </c>
      <c r="W927" s="230">
        <v>0.38588050669000001</v>
      </c>
      <c r="X927" s="228">
        <v>375520.41</v>
      </c>
      <c r="Y927" s="206" t="s">
        <v>101</v>
      </c>
      <c r="Z927" s="206" t="s">
        <v>46</v>
      </c>
      <c r="AA927" s="206">
        <v>2306153</v>
      </c>
      <c r="AB927" s="206" t="s">
        <v>237</v>
      </c>
      <c r="AC927" s="206" t="s">
        <v>56</v>
      </c>
      <c r="AD927" s="206" t="s">
        <v>103</v>
      </c>
      <c r="AE927" s="206">
        <v>0</v>
      </c>
      <c r="AF927" s="206" t="s">
        <v>1313</v>
      </c>
      <c r="AG927" s="206" t="s">
        <v>1314</v>
      </c>
      <c r="AH927" s="206" t="s">
        <v>1315</v>
      </c>
      <c r="AI927" s="206" t="s">
        <v>1316</v>
      </c>
      <c r="AJ927" s="206" t="s">
        <v>1317</v>
      </c>
      <c r="AK927" s="206" t="s">
        <v>54</v>
      </c>
      <c r="AL927" s="206" t="s">
        <v>48</v>
      </c>
      <c r="AM927" s="206" t="s">
        <v>49</v>
      </c>
      <c r="AN927" s="243" t="str">
        <f>VLOOKUP(I927,Sheet1!A:D,4,)</f>
        <v>A320400</v>
      </c>
      <c r="AP927" s="4" t="s">
        <v>1324</v>
      </c>
    </row>
    <row r="928" spans="1:42" s="206" customFormat="1" x14ac:dyDescent="0.25">
      <c r="A928" s="226">
        <v>45901</v>
      </c>
      <c r="B928" s="206" t="s">
        <v>40</v>
      </c>
      <c r="C928" s="206" t="s">
        <v>41</v>
      </c>
      <c r="D928" s="221">
        <v>25708528</v>
      </c>
      <c r="E928" s="221">
        <v>25106928</v>
      </c>
      <c r="F928" s="221" t="s">
        <v>1312</v>
      </c>
      <c r="G928" s="227">
        <v>45908</v>
      </c>
      <c r="H928" s="206" t="s">
        <v>237</v>
      </c>
      <c r="I928" s="206" t="s">
        <v>458</v>
      </c>
      <c r="J928" s="206" t="s">
        <v>669</v>
      </c>
      <c r="K928" s="228">
        <v>10</v>
      </c>
      <c r="L928" s="229" t="s">
        <v>42</v>
      </c>
      <c r="M928" s="228">
        <v>10</v>
      </c>
      <c r="N928" s="228">
        <v>1626160.42</v>
      </c>
      <c r="O928" s="228">
        <v>16261604.199999999</v>
      </c>
      <c r="P928" s="228">
        <v>16261604.199999999</v>
      </c>
      <c r="Q928" s="224">
        <v>0</v>
      </c>
      <c r="R928" s="224">
        <v>0</v>
      </c>
      <c r="S928" s="229" t="s">
        <v>43</v>
      </c>
      <c r="T928" s="228">
        <v>6029182.1200000001</v>
      </c>
      <c r="U928" s="228">
        <v>6029182.1200000001</v>
      </c>
      <c r="V928" s="228">
        <v>10232422.08</v>
      </c>
      <c r="W928" s="230">
        <v>0.62923817073300004</v>
      </c>
      <c r="X928" s="228">
        <v>10232422.08</v>
      </c>
      <c r="Y928" s="206" t="s">
        <v>101</v>
      </c>
      <c r="Z928" s="206" t="s">
        <v>46</v>
      </c>
      <c r="AA928" s="206">
        <v>2306153</v>
      </c>
      <c r="AB928" s="206" t="s">
        <v>237</v>
      </c>
      <c r="AC928" s="206" t="s">
        <v>56</v>
      </c>
      <c r="AD928" s="206" t="s">
        <v>103</v>
      </c>
      <c r="AE928" s="206">
        <v>0</v>
      </c>
      <c r="AF928" s="206" t="s">
        <v>1313</v>
      </c>
      <c r="AG928" s="206" t="s">
        <v>101</v>
      </c>
      <c r="AH928" s="206" t="s">
        <v>46</v>
      </c>
      <c r="AI928" s="206" t="s">
        <v>101</v>
      </c>
      <c r="AJ928" s="206" t="s">
        <v>46</v>
      </c>
      <c r="AK928" s="206" t="s">
        <v>54</v>
      </c>
      <c r="AL928" s="206" t="s">
        <v>48</v>
      </c>
      <c r="AM928" s="206" t="s">
        <v>49</v>
      </c>
      <c r="AN928" s="243" t="str">
        <f>VLOOKUP(I928,Sheet1!A:D,4,)</f>
        <v>A320400</v>
      </c>
      <c r="AP928" s="4" t="s">
        <v>1324</v>
      </c>
    </row>
    <row r="929" spans="1:42" s="206" customFormat="1" x14ac:dyDescent="0.25">
      <c r="A929" s="226">
        <v>45901</v>
      </c>
      <c r="B929" s="206" t="s">
        <v>40</v>
      </c>
      <c r="C929" s="206" t="s">
        <v>41</v>
      </c>
      <c r="D929" s="221">
        <v>25708533</v>
      </c>
      <c r="E929" s="221">
        <v>25106888</v>
      </c>
      <c r="F929" s="221" t="s">
        <v>1323</v>
      </c>
      <c r="G929" s="227">
        <v>45907</v>
      </c>
      <c r="H929" s="206" t="s">
        <v>245</v>
      </c>
      <c r="I929" s="206" t="s">
        <v>140</v>
      </c>
      <c r="J929" s="206" t="s">
        <v>261</v>
      </c>
      <c r="K929" s="228">
        <v>60</v>
      </c>
      <c r="L929" s="229" t="s">
        <v>42</v>
      </c>
      <c r="M929" s="228">
        <v>60</v>
      </c>
      <c r="N929" s="228">
        <v>527840.6</v>
      </c>
      <c r="O929" s="228">
        <v>31670436</v>
      </c>
      <c r="P929" s="228">
        <v>31670436</v>
      </c>
      <c r="Q929" s="224">
        <v>0</v>
      </c>
      <c r="R929" s="224">
        <v>0</v>
      </c>
      <c r="S929" s="229" t="s">
        <v>43</v>
      </c>
      <c r="T929" s="228">
        <v>13835981.529999999</v>
      </c>
      <c r="U929" s="228">
        <v>13835981.529999999</v>
      </c>
      <c r="V929" s="228">
        <v>17834454.469999999</v>
      </c>
      <c r="W929" s="230">
        <v>0.56312626924300002</v>
      </c>
      <c r="X929" s="228">
        <v>17834454.469999999</v>
      </c>
      <c r="Y929" s="206" t="s">
        <v>235</v>
      </c>
      <c r="Z929" s="206" t="s">
        <v>44</v>
      </c>
      <c r="AA929" s="206">
        <v>15159</v>
      </c>
      <c r="AB929" s="206" t="s">
        <v>246</v>
      </c>
      <c r="AC929" s="206" t="s">
        <v>154</v>
      </c>
      <c r="AD929" s="206" t="s">
        <v>155</v>
      </c>
      <c r="AE929" s="206">
        <v>0</v>
      </c>
      <c r="AF929" s="206" t="s">
        <v>191</v>
      </c>
      <c r="AG929" s="206" t="s">
        <v>262</v>
      </c>
      <c r="AH929" s="206" t="s">
        <v>143</v>
      </c>
      <c r="AI929" s="206" t="s">
        <v>101</v>
      </c>
      <c r="AJ929" s="206" t="s">
        <v>46</v>
      </c>
      <c r="AK929" s="206" t="s">
        <v>54</v>
      </c>
      <c r="AL929" s="206" t="s">
        <v>48</v>
      </c>
      <c r="AM929" s="206" t="s">
        <v>49</v>
      </c>
      <c r="AN929" s="243" t="str">
        <f>VLOOKUP(I929,Sheet1!A:D,4,)</f>
        <v>A320400</v>
      </c>
      <c r="AP929" s="4" t="s">
        <v>1324</v>
      </c>
    </row>
    <row r="930" spans="1:42" s="206" customFormat="1" x14ac:dyDescent="0.25">
      <c r="A930" s="226">
        <v>45901</v>
      </c>
      <c r="B930" s="206" t="s">
        <v>40</v>
      </c>
      <c r="C930" s="206" t="s">
        <v>41</v>
      </c>
      <c r="D930" s="221">
        <v>25708534</v>
      </c>
      <c r="E930" s="221">
        <v>25106935</v>
      </c>
      <c r="F930" s="221" t="s">
        <v>1325</v>
      </c>
      <c r="G930" s="227">
        <v>45916</v>
      </c>
      <c r="H930" s="206" t="s">
        <v>245</v>
      </c>
      <c r="I930" s="206" t="s">
        <v>1326</v>
      </c>
      <c r="J930" s="206" t="s">
        <v>1327</v>
      </c>
      <c r="K930" s="228">
        <v>110</v>
      </c>
      <c r="L930" s="229" t="s">
        <v>42</v>
      </c>
      <c r="M930" s="228">
        <v>110</v>
      </c>
      <c r="N930" s="228">
        <v>570789.5</v>
      </c>
      <c r="O930" s="228">
        <v>62786845</v>
      </c>
      <c r="P930" s="228">
        <v>62786845</v>
      </c>
      <c r="Q930" s="224">
        <v>0</v>
      </c>
      <c r="R930" s="224">
        <v>0</v>
      </c>
      <c r="S930" s="229" t="s">
        <v>43</v>
      </c>
      <c r="T930" s="228">
        <v>51443892.280000001</v>
      </c>
      <c r="U930" s="228">
        <v>51443892.280000001</v>
      </c>
      <c r="V930" s="228">
        <v>11342952.720000001</v>
      </c>
      <c r="W930" s="230">
        <v>0.18065810951299999</v>
      </c>
      <c r="X930" s="228">
        <v>11342952.720000001</v>
      </c>
      <c r="Y930" s="206" t="s">
        <v>235</v>
      </c>
      <c r="Z930" s="206" t="s">
        <v>44</v>
      </c>
      <c r="AA930" s="206">
        <v>15159</v>
      </c>
      <c r="AB930" s="206" t="s">
        <v>246</v>
      </c>
      <c r="AC930" s="206" t="s">
        <v>154</v>
      </c>
      <c r="AD930" s="206" t="s">
        <v>155</v>
      </c>
      <c r="AE930" s="206">
        <v>0</v>
      </c>
      <c r="AF930" s="206" t="s">
        <v>108</v>
      </c>
      <c r="AG930" s="206" t="s">
        <v>101</v>
      </c>
      <c r="AH930" s="206" t="s">
        <v>46</v>
      </c>
      <c r="AI930" s="206" t="s">
        <v>101</v>
      </c>
      <c r="AJ930" s="206" t="s">
        <v>46</v>
      </c>
      <c r="AK930" s="206" t="s">
        <v>54</v>
      </c>
      <c r="AL930" s="206" t="s">
        <v>48</v>
      </c>
      <c r="AM930" s="206" t="s">
        <v>49</v>
      </c>
      <c r="AN930" s="243" t="str">
        <f>VLOOKUP(I930,Sheet1!A:D,4,)</f>
        <v>A320400</v>
      </c>
      <c r="AP930" s="36" t="s">
        <v>1332</v>
      </c>
    </row>
    <row r="931" spans="1:42" s="206" customFormat="1" x14ac:dyDescent="0.25">
      <c r="A931" s="226">
        <v>45901</v>
      </c>
      <c r="B931" s="206" t="s">
        <v>40</v>
      </c>
      <c r="C931" s="206" t="s">
        <v>41</v>
      </c>
      <c r="D931" s="221">
        <v>25708535</v>
      </c>
      <c r="E931" s="221">
        <v>25106958</v>
      </c>
      <c r="F931" s="221" t="s">
        <v>1328</v>
      </c>
      <c r="G931" s="227">
        <v>45916</v>
      </c>
      <c r="H931" s="206" t="s">
        <v>158</v>
      </c>
      <c r="I931" s="206" t="s">
        <v>184</v>
      </c>
      <c r="J931" s="206" t="s">
        <v>625</v>
      </c>
      <c r="K931" s="228">
        <v>100</v>
      </c>
      <c r="L931" s="229" t="s">
        <v>42</v>
      </c>
      <c r="M931" s="228">
        <v>100</v>
      </c>
      <c r="N931" s="228">
        <v>593722.80000000005</v>
      </c>
      <c r="O931" s="228">
        <v>59372280</v>
      </c>
      <c r="P931" s="228">
        <v>59372280</v>
      </c>
      <c r="Q931" s="224">
        <v>0</v>
      </c>
      <c r="R931" s="224">
        <v>0</v>
      </c>
      <c r="S931" s="229" t="s">
        <v>43</v>
      </c>
      <c r="T931" s="228">
        <v>34808399.240000002</v>
      </c>
      <c r="U931" s="228">
        <v>34808399.240000002</v>
      </c>
      <c r="V931" s="228">
        <v>24563880.760000002</v>
      </c>
      <c r="W931" s="230">
        <v>0.413726418456</v>
      </c>
      <c r="X931" s="228">
        <v>24563880.760000002</v>
      </c>
      <c r="Y931" s="206" t="s">
        <v>101</v>
      </c>
      <c r="Z931" s="206" t="s">
        <v>46</v>
      </c>
      <c r="AA931" s="206">
        <v>2306495</v>
      </c>
      <c r="AB931" s="206" t="s">
        <v>161</v>
      </c>
      <c r="AC931" s="206" t="s">
        <v>56</v>
      </c>
      <c r="AD931" s="206" t="s">
        <v>103</v>
      </c>
      <c r="AE931" s="206">
        <v>0</v>
      </c>
      <c r="AF931" s="206" t="s">
        <v>207</v>
      </c>
      <c r="AG931" s="206" t="s">
        <v>101</v>
      </c>
      <c r="AH931" s="206" t="s">
        <v>46</v>
      </c>
      <c r="AI931" s="206" t="s">
        <v>101</v>
      </c>
      <c r="AJ931" s="206" t="s">
        <v>46</v>
      </c>
      <c r="AK931" s="206" t="s">
        <v>54</v>
      </c>
      <c r="AL931" s="206" t="s">
        <v>48</v>
      </c>
      <c r="AM931" s="206" t="s">
        <v>49</v>
      </c>
      <c r="AN931" s="243" t="str">
        <f>VLOOKUP(I931,Sheet1!A:D,4,)</f>
        <v>A320400</v>
      </c>
      <c r="AP931" s="36" t="s">
        <v>1332</v>
      </c>
    </row>
    <row r="932" spans="1:42" s="206" customFormat="1" x14ac:dyDescent="0.25">
      <c r="A932" s="226">
        <v>45901</v>
      </c>
      <c r="B932" s="206" t="s">
        <v>40</v>
      </c>
      <c r="C932" s="206" t="s">
        <v>41</v>
      </c>
      <c r="D932" s="221">
        <v>25708536</v>
      </c>
      <c r="E932" s="221">
        <v>25106801</v>
      </c>
      <c r="F932" s="221" t="s">
        <v>1329</v>
      </c>
      <c r="G932" s="227">
        <v>45916</v>
      </c>
      <c r="H932" s="206" t="s">
        <v>237</v>
      </c>
      <c r="I932" s="206" t="s">
        <v>137</v>
      </c>
      <c r="J932" s="206" t="s">
        <v>640</v>
      </c>
      <c r="K932" s="228">
        <v>800</v>
      </c>
      <c r="L932" s="229" t="s">
        <v>42</v>
      </c>
      <c r="M932" s="228">
        <v>800</v>
      </c>
      <c r="N932" s="228">
        <v>768206.62</v>
      </c>
      <c r="O932" s="228">
        <v>614565296</v>
      </c>
      <c r="P932" s="228">
        <v>614565296</v>
      </c>
      <c r="Q932" s="224">
        <v>0</v>
      </c>
      <c r="R932" s="224">
        <v>0</v>
      </c>
      <c r="S932" s="229" t="s">
        <v>43</v>
      </c>
      <c r="T932" s="228">
        <v>339587031.74000001</v>
      </c>
      <c r="U932" s="228">
        <v>339587031.74000001</v>
      </c>
      <c r="V932" s="228">
        <v>274978264.25999999</v>
      </c>
      <c r="W932" s="230">
        <v>0.44743539221900003</v>
      </c>
      <c r="X932" s="228">
        <v>274978264.25999999</v>
      </c>
      <c r="Y932" s="206" t="s">
        <v>101</v>
      </c>
      <c r="Z932" s="206" t="s">
        <v>46</v>
      </c>
      <c r="AA932" s="206">
        <v>2306153</v>
      </c>
      <c r="AB932" s="206" t="s">
        <v>237</v>
      </c>
      <c r="AC932" s="206" t="s">
        <v>56</v>
      </c>
      <c r="AD932" s="206" t="s">
        <v>103</v>
      </c>
      <c r="AE932" s="206">
        <v>0</v>
      </c>
      <c r="AF932" s="206" t="s">
        <v>207</v>
      </c>
      <c r="AG932" s="206" t="s">
        <v>101</v>
      </c>
      <c r="AH932" s="206" t="s">
        <v>46</v>
      </c>
      <c r="AI932" s="206" t="s">
        <v>101</v>
      </c>
      <c r="AJ932" s="206" t="s">
        <v>46</v>
      </c>
      <c r="AK932" s="206" t="s">
        <v>54</v>
      </c>
      <c r="AL932" s="206" t="s">
        <v>48</v>
      </c>
      <c r="AM932" s="206" t="s">
        <v>49</v>
      </c>
      <c r="AN932" s="243" t="str">
        <f>VLOOKUP(I932,Sheet1!A:D,4,)</f>
        <v>A320400</v>
      </c>
      <c r="AP932" s="36" t="s">
        <v>1332</v>
      </c>
    </row>
    <row r="933" spans="1:42" s="206" customFormat="1" x14ac:dyDescent="0.25">
      <c r="A933" s="226">
        <v>45901</v>
      </c>
      <c r="B933" s="206" t="s">
        <v>40</v>
      </c>
      <c r="C933" s="206" t="s">
        <v>41</v>
      </c>
      <c r="D933" s="221">
        <v>25708537</v>
      </c>
      <c r="E933" s="221">
        <v>25106806</v>
      </c>
      <c r="F933" s="221" t="s">
        <v>1330</v>
      </c>
      <c r="G933" s="227">
        <v>45916</v>
      </c>
      <c r="H933" s="206" t="s">
        <v>237</v>
      </c>
      <c r="I933" s="206" t="s">
        <v>134</v>
      </c>
      <c r="J933" s="206" t="s">
        <v>645</v>
      </c>
      <c r="K933" s="228">
        <v>1180</v>
      </c>
      <c r="L933" s="229" t="s">
        <v>42</v>
      </c>
      <c r="M933" s="228">
        <v>1180</v>
      </c>
      <c r="N933" s="228">
        <v>438718.26</v>
      </c>
      <c r="O933" s="228">
        <v>517687546.80000001</v>
      </c>
      <c r="P933" s="228">
        <v>517687546.80000001</v>
      </c>
      <c r="Q933" s="224">
        <v>0</v>
      </c>
      <c r="R933" s="224">
        <v>0</v>
      </c>
      <c r="S933" s="229" t="s">
        <v>43</v>
      </c>
      <c r="T933" s="228">
        <v>229253786.49000001</v>
      </c>
      <c r="U933" s="228">
        <v>229253786.49000001</v>
      </c>
      <c r="V933" s="228">
        <v>288433760.31</v>
      </c>
      <c r="W933" s="230">
        <v>0.55715800407500005</v>
      </c>
      <c r="X933" s="228">
        <v>288433760.31</v>
      </c>
      <c r="Y933" s="206" t="s">
        <v>101</v>
      </c>
      <c r="Z933" s="206" t="s">
        <v>46</v>
      </c>
      <c r="AA933" s="206">
        <v>2306153</v>
      </c>
      <c r="AB933" s="206" t="s">
        <v>237</v>
      </c>
      <c r="AC933" s="206" t="s">
        <v>56</v>
      </c>
      <c r="AD933" s="206" t="s">
        <v>103</v>
      </c>
      <c r="AE933" s="206">
        <v>0</v>
      </c>
      <c r="AF933" s="206" t="s">
        <v>191</v>
      </c>
      <c r="AG933" s="206" t="s">
        <v>242</v>
      </c>
      <c r="AH933" s="206" t="s">
        <v>53</v>
      </c>
      <c r="AI933" s="206" t="s">
        <v>101</v>
      </c>
      <c r="AJ933" s="206" t="s">
        <v>46</v>
      </c>
      <c r="AK933" s="206" t="s">
        <v>54</v>
      </c>
      <c r="AL933" s="206" t="s">
        <v>48</v>
      </c>
      <c r="AM933" s="206" t="s">
        <v>49</v>
      </c>
      <c r="AN933" s="243" t="str">
        <f>VLOOKUP(I933,Sheet1!A:D,4,)</f>
        <v>A320400</v>
      </c>
      <c r="AP933" s="36" t="s">
        <v>1332</v>
      </c>
    </row>
    <row r="934" spans="1:42" s="206" customFormat="1" x14ac:dyDescent="0.25">
      <c r="A934" s="226">
        <v>45901</v>
      </c>
      <c r="B934" s="206" t="s">
        <v>40</v>
      </c>
      <c r="C934" s="206" t="s">
        <v>41</v>
      </c>
      <c r="D934" s="221">
        <v>25708537</v>
      </c>
      <c r="E934" s="221">
        <v>25106806</v>
      </c>
      <c r="F934" s="221" t="s">
        <v>1330</v>
      </c>
      <c r="G934" s="227">
        <v>45916</v>
      </c>
      <c r="H934" s="206" t="s">
        <v>237</v>
      </c>
      <c r="I934" s="206" t="s">
        <v>137</v>
      </c>
      <c r="J934" s="206" t="s">
        <v>640</v>
      </c>
      <c r="K934" s="228">
        <v>600</v>
      </c>
      <c r="L934" s="229" t="s">
        <v>42</v>
      </c>
      <c r="M934" s="228">
        <v>600</v>
      </c>
      <c r="N934" s="228">
        <v>768206.62</v>
      </c>
      <c r="O934" s="228">
        <v>460923972</v>
      </c>
      <c r="P934" s="228">
        <v>460923972</v>
      </c>
      <c r="Q934" s="224">
        <v>0</v>
      </c>
      <c r="R934" s="224">
        <v>0</v>
      </c>
      <c r="S934" s="229" t="s">
        <v>43</v>
      </c>
      <c r="T934" s="228">
        <v>254690273.80000001</v>
      </c>
      <c r="U934" s="228">
        <v>254690273.80000001</v>
      </c>
      <c r="V934" s="228">
        <v>206233698.19999999</v>
      </c>
      <c r="W934" s="230">
        <v>0.44743539222899997</v>
      </c>
      <c r="X934" s="228">
        <v>206233698.19999999</v>
      </c>
      <c r="Y934" s="206" t="s">
        <v>101</v>
      </c>
      <c r="Z934" s="206" t="s">
        <v>46</v>
      </c>
      <c r="AA934" s="206">
        <v>2306153</v>
      </c>
      <c r="AB934" s="206" t="s">
        <v>237</v>
      </c>
      <c r="AC934" s="206" t="s">
        <v>56</v>
      </c>
      <c r="AD934" s="206" t="s">
        <v>103</v>
      </c>
      <c r="AE934" s="206">
        <v>0</v>
      </c>
      <c r="AF934" s="206" t="s">
        <v>207</v>
      </c>
      <c r="AG934" s="206" t="s">
        <v>101</v>
      </c>
      <c r="AH934" s="206" t="s">
        <v>46</v>
      </c>
      <c r="AI934" s="206" t="s">
        <v>101</v>
      </c>
      <c r="AJ934" s="206" t="s">
        <v>46</v>
      </c>
      <c r="AK934" s="206" t="s">
        <v>54</v>
      </c>
      <c r="AL934" s="206" t="s">
        <v>48</v>
      </c>
      <c r="AM934" s="206" t="s">
        <v>49</v>
      </c>
      <c r="AN934" s="243" t="str">
        <f>VLOOKUP(I934,Sheet1!A:D,4,)</f>
        <v>A320400</v>
      </c>
      <c r="AP934" s="36" t="s">
        <v>1332</v>
      </c>
    </row>
    <row r="935" spans="1:42" s="206" customFormat="1" x14ac:dyDescent="0.25">
      <c r="A935" s="226">
        <v>45901</v>
      </c>
      <c r="B935" s="206" t="s">
        <v>40</v>
      </c>
      <c r="C935" s="206" t="s">
        <v>41</v>
      </c>
      <c r="D935" s="221">
        <v>25708538</v>
      </c>
      <c r="E935" s="221">
        <v>25106807</v>
      </c>
      <c r="F935" s="221" t="s">
        <v>1331</v>
      </c>
      <c r="G935" s="227">
        <v>45916</v>
      </c>
      <c r="H935" s="206" t="s">
        <v>237</v>
      </c>
      <c r="I935" s="206" t="s">
        <v>137</v>
      </c>
      <c r="J935" s="206" t="s">
        <v>640</v>
      </c>
      <c r="K935" s="228">
        <v>600</v>
      </c>
      <c r="L935" s="229" t="s">
        <v>42</v>
      </c>
      <c r="M935" s="228">
        <v>600</v>
      </c>
      <c r="N935" s="228">
        <v>768206.62</v>
      </c>
      <c r="O935" s="228">
        <v>460923972</v>
      </c>
      <c r="P935" s="228">
        <v>460923972</v>
      </c>
      <c r="Q935" s="224">
        <v>0</v>
      </c>
      <c r="R935" s="224">
        <v>0</v>
      </c>
      <c r="S935" s="229" t="s">
        <v>43</v>
      </c>
      <c r="T935" s="228">
        <v>254690273.80000001</v>
      </c>
      <c r="U935" s="228">
        <v>254690273.80000001</v>
      </c>
      <c r="V935" s="228">
        <v>206233698.19999999</v>
      </c>
      <c r="W935" s="230">
        <v>0.44743539222899997</v>
      </c>
      <c r="X935" s="228">
        <v>206233698.19999999</v>
      </c>
      <c r="Y935" s="206" t="s">
        <v>101</v>
      </c>
      <c r="Z935" s="206" t="s">
        <v>46</v>
      </c>
      <c r="AA935" s="206">
        <v>2306153</v>
      </c>
      <c r="AB935" s="206" t="s">
        <v>237</v>
      </c>
      <c r="AC935" s="206" t="s">
        <v>56</v>
      </c>
      <c r="AD935" s="206" t="s">
        <v>103</v>
      </c>
      <c r="AE935" s="206">
        <v>0</v>
      </c>
      <c r="AF935" s="206" t="s">
        <v>207</v>
      </c>
      <c r="AG935" s="206" t="s">
        <v>101</v>
      </c>
      <c r="AH935" s="206" t="s">
        <v>46</v>
      </c>
      <c r="AI935" s="206" t="s">
        <v>101</v>
      </c>
      <c r="AJ935" s="206" t="s">
        <v>46</v>
      </c>
      <c r="AK935" s="206" t="s">
        <v>54</v>
      </c>
      <c r="AL935" s="206" t="s">
        <v>48</v>
      </c>
      <c r="AM935" s="206" t="s">
        <v>49</v>
      </c>
      <c r="AN935" s="243" t="str">
        <f>VLOOKUP(I935,Sheet1!A:D,4,)</f>
        <v>A320400</v>
      </c>
      <c r="AP935" s="36" t="s">
        <v>1332</v>
      </c>
    </row>
    <row r="936" spans="1:42" s="206" customFormat="1" x14ac:dyDescent="0.25">
      <c r="A936" s="226">
        <v>45901</v>
      </c>
      <c r="B936" s="206" t="s">
        <v>40</v>
      </c>
      <c r="C936" s="206" t="s">
        <v>41</v>
      </c>
      <c r="D936" s="221">
        <v>25708539</v>
      </c>
      <c r="E936" s="221">
        <v>25106826</v>
      </c>
      <c r="F936" s="221" t="s">
        <v>1226</v>
      </c>
      <c r="G936" s="227">
        <v>45916</v>
      </c>
      <c r="H936" s="206" t="s">
        <v>245</v>
      </c>
      <c r="I936" s="206" t="s">
        <v>55</v>
      </c>
      <c r="J936" s="206" t="s">
        <v>259</v>
      </c>
      <c r="K936" s="228">
        <v>760</v>
      </c>
      <c r="L936" s="229" t="s">
        <v>42</v>
      </c>
      <c r="M936" s="228">
        <v>760</v>
      </c>
      <c r="N936" s="228">
        <v>815336</v>
      </c>
      <c r="O936" s="228">
        <v>619655360</v>
      </c>
      <c r="P936" s="228">
        <v>619655360</v>
      </c>
      <c r="Q936" s="224">
        <v>0</v>
      </c>
      <c r="R936" s="224">
        <v>0</v>
      </c>
      <c r="S936" s="229" t="s">
        <v>43</v>
      </c>
      <c r="T936" s="228">
        <v>386922335.00999999</v>
      </c>
      <c r="U936" s="228">
        <v>386922335.00999999</v>
      </c>
      <c r="V936" s="228">
        <v>232733024.99000001</v>
      </c>
      <c r="W936" s="230">
        <v>0.37558462334600001</v>
      </c>
      <c r="X936" s="228">
        <v>232733024.99000001</v>
      </c>
      <c r="Y936" s="206" t="s">
        <v>235</v>
      </c>
      <c r="Z936" s="206" t="s">
        <v>44</v>
      </c>
      <c r="AA936" s="206">
        <v>15159</v>
      </c>
      <c r="AB936" s="206" t="s">
        <v>246</v>
      </c>
      <c r="AC936" s="206" t="s">
        <v>154</v>
      </c>
      <c r="AD936" s="206" t="s">
        <v>155</v>
      </c>
      <c r="AE936" s="206">
        <v>0</v>
      </c>
      <c r="AF936" s="206" t="s">
        <v>191</v>
      </c>
      <c r="AG936" s="206" t="s">
        <v>242</v>
      </c>
      <c r="AH936" s="206" t="s">
        <v>53</v>
      </c>
      <c r="AI936" s="206" t="s">
        <v>101</v>
      </c>
      <c r="AJ936" s="206" t="s">
        <v>46</v>
      </c>
      <c r="AK936" s="206" t="s">
        <v>54</v>
      </c>
      <c r="AL936" s="206" t="s">
        <v>48</v>
      </c>
      <c r="AM936" s="206" t="s">
        <v>49</v>
      </c>
      <c r="AN936" s="243" t="str">
        <f>VLOOKUP(I936,Sheet1!A:D,4,)</f>
        <v>A320400</v>
      </c>
      <c r="AP936" s="36" t="s">
        <v>1332</v>
      </c>
    </row>
    <row r="937" spans="1:42" s="285" customFormat="1" x14ac:dyDescent="0.25">
      <c r="A937" s="306">
        <v>45901</v>
      </c>
      <c r="B937" s="285" t="s">
        <v>40</v>
      </c>
      <c r="C937" s="285" t="s">
        <v>41</v>
      </c>
      <c r="D937" s="307">
        <v>25708543</v>
      </c>
      <c r="E937" s="307">
        <v>25106868</v>
      </c>
      <c r="F937" s="307" t="s">
        <v>1338</v>
      </c>
      <c r="G937" s="308">
        <v>45918</v>
      </c>
      <c r="H937" s="285" t="s">
        <v>245</v>
      </c>
      <c r="I937" s="285" t="s">
        <v>285</v>
      </c>
      <c r="J937" s="285" t="s">
        <v>492</v>
      </c>
      <c r="K937" s="309">
        <v>100</v>
      </c>
      <c r="L937" s="310" t="s">
        <v>42</v>
      </c>
      <c r="M937" s="309">
        <v>100</v>
      </c>
      <c r="N937" s="309">
        <v>1889705.19</v>
      </c>
      <c r="O937" s="309">
        <v>188970519</v>
      </c>
      <c r="P937" s="309">
        <v>188970519</v>
      </c>
      <c r="Q937" s="287">
        <v>0</v>
      </c>
      <c r="R937" s="287">
        <v>0</v>
      </c>
      <c r="S937" s="310" t="s">
        <v>43</v>
      </c>
      <c r="T937" s="309">
        <v>143267063.65000001</v>
      </c>
      <c r="U937" s="309">
        <v>143267063.65000001</v>
      </c>
      <c r="V937" s="309">
        <v>45703455.350000001</v>
      </c>
      <c r="W937" s="288">
        <v>0.24185494960699999</v>
      </c>
      <c r="X937" s="309">
        <v>45703455.350000001</v>
      </c>
      <c r="Y937" s="285" t="s">
        <v>235</v>
      </c>
      <c r="Z937" s="285" t="s">
        <v>44</v>
      </c>
      <c r="AA937" s="285">
        <v>15159</v>
      </c>
      <c r="AB937" s="285" t="s">
        <v>246</v>
      </c>
      <c r="AC937" s="285" t="s">
        <v>154</v>
      </c>
      <c r="AD937" s="285" t="s">
        <v>155</v>
      </c>
      <c r="AE937" s="285">
        <v>0</v>
      </c>
      <c r="AF937" s="285" t="s">
        <v>191</v>
      </c>
      <c r="AG937" s="285" t="s">
        <v>101</v>
      </c>
      <c r="AH937" s="285" t="s">
        <v>46</v>
      </c>
      <c r="AI937" s="285" t="s">
        <v>101</v>
      </c>
      <c r="AJ937" s="285" t="s">
        <v>46</v>
      </c>
      <c r="AK937" s="285" t="s">
        <v>54</v>
      </c>
      <c r="AL937" s="285" t="s">
        <v>48</v>
      </c>
      <c r="AM937" s="285" t="s">
        <v>49</v>
      </c>
      <c r="AN937" s="311" t="str">
        <f>VLOOKUP(I937,Sheet1!A:D,4,)</f>
        <v>A320400</v>
      </c>
      <c r="AP937" s="4" t="s">
        <v>1351</v>
      </c>
    </row>
    <row r="938" spans="1:42" s="285" customFormat="1" x14ac:dyDescent="0.25">
      <c r="A938" s="306">
        <v>45901</v>
      </c>
      <c r="B938" s="285" t="s">
        <v>40</v>
      </c>
      <c r="C938" s="285" t="s">
        <v>41</v>
      </c>
      <c r="D938" s="307">
        <v>25708544</v>
      </c>
      <c r="E938" s="307">
        <v>25106931</v>
      </c>
      <c r="F938" s="307" t="s">
        <v>1306</v>
      </c>
      <c r="G938" s="308">
        <v>45918</v>
      </c>
      <c r="H938" s="285" t="s">
        <v>245</v>
      </c>
      <c r="I938" s="285" t="s">
        <v>285</v>
      </c>
      <c r="J938" s="285" t="s">
        <v>492</v>
      </c>
      <c r="K938" s="309">
        <v>40</v>
      </c>
      <c r="L938" s="310" t="s">
        <v>42</v>
      </c>
      <c r="M938" s="309">
        <v>40</v>
      </c>
      <c r="N938" s="309">
        <v>1892321.67</v>
      </c>
      <c r="O938" s="309">
        <v>75692866.799999997</v>
      </c>
      <c r="P938" s="309">
        <v>75692866.799999997</v>
      </c>
      <c r="Q938" s="287">
        <v>0</v>
      </c>
      <c r="R938" s="287">
        <v>0</v>
      </c>
      <c r="S938" s="310" t="s">
        <v>43</v>
      </c>
      <c r="T938" s="309">
        <v>57306825.460000001</v>
      </c>
      <c r="U938" s="309">
        <v>57306825.460000001</v>
      </c>
      <c r="V938" s="309">
        <v>18386041.34</v>
      </c>
      <c r="W938" s="288">
        <v>0.242903223477</v>
      </c>
      <c r="X938" s="309">
        <v>18386041.34</v>
      </c>
      <c r="Y938" s="285" t="s">
        <v>235</v>
      </c>
      <c r="Z938" s="285" t="s">
        <v>44</v>
      </c>
      <c r="AA938" s="285">
        <v>15159</v>
      </c>
      <c r="AB938" s="285" t="s">
        <v>246</v>
      </c>
      <c r="AC938" s="285" t="s">
        <v>154</v>
      </c>
      <c r="AD938" s="285" t="s">
        <v>155</v>
      </c>
      <c r="AE938" s="285">
        <v>0</v>
      </c>
      <c r="AF938" s="285" t="s">
        <v>191</v>
      </c>
      <c r="AG938" s="285" t="s">
        <v>101</v>
      </c>
      <c r="AH938" s="285" t="s">
        <v>46</v>
      </c>
      <c r="AI938" s="285" t="s">
        <v>101</v>
      </c>
      <c r="AJ938" s="285" t="s">
        <v>46</v>
      </c>
      <c r="AK938" s="285" t="s">
        <v>54</v>
      </c>
      <c r="AL938" s="285" t="s">
        <v>48</v>
      </c>
      <c r="AM938" s="285" t="s">
        <v>49</v>
      </c>
      <c r="AN938" s="311" t="str">
        <f>VLOOKUP(I938,Sheet1!A:D,4,)</f>
        <v>A320400</v>
      </c>
      <c r="AP938" s="4" t="s">
        <v>1351</v>
      </c>
    </row>
    <row r="939" spans="1:42" s="285" customFormat="1" x14ac:dyDescent="0.25">
      <c r="A939" s="306">
        <v>45901</v>
      </c>
      <c r="B939" s="285" t="s">
        <v>40</v>
      </c>
      <c r="C939" s="285" t="s">
        <v>41</v>
      </c>
      <c r="D939" s="307">
        <v>25708545</v>
      </c>
      <c r="E939" s="307">
        <v>25106861</v>
      </c>
      <c r="F939" s="307" t="s">
        <v>1219</v>
      </c>
      <c r="G939" s="308">
        <v>45920</v>
      </c>
      <c r="H939" s="285" t="s">
        <v>245</v>
      </c>
      <c r="I939" s="285" t="s">
        <v>450</v>
      </c>
      <c r="J939" s="285" t="s">
        <v>661</v>
      </c>
      <c r="K939" s="309">
        <v>60</v>
      </c>
      <c r="L939" s="310" t="s">
        <v>42</v>
      </c>
      <c r="M939" s="309">
        <v>60</v>
      </c>
      <c r="N939" s="309">
        <v>783374.83</v>
      </c>
      <c r="O939" s="309">
        <v>47002489.799999997</v>
      </c>
      <c r="P939" s="309">
        <v>47002489.799999997</v>
      </c>
      <c r="Q939" s="287">
        <v>0</v>
      </c>
      <c r="R939" s="287">
        <v>0</v>
      </c>
      <c r="S939" s="310" t="s">
        <v>43</v>
      </c>
      <c r="T939" s="309">
        <v>31380679.149999999</v>
      </c>
      <c r="U939" s="309">
        <v>31380679.149999999</v>
      </c>
      <c r="V939" s="309">
        <v>15621810.65</v>
      </c>
      <c r="W939" s="288">
        <v>0.33236134333400003</v>
      </c>
      <c r="X939" s="309">
        <v>15621810.65</v>
      </c>
      <c r="Y939" s="285" t="s">
        <v>235</v>
      </c>
      <c r="Z939" s="285" t="s">
        <v>44</v>
      </c>
      <c r="AA939" s="285">
        <v>15159</v>
      </c>
      <c r="AB939" s="285" t="s">
        <v>246</v>
      </c>
      <c r="AC939" s="285" t="s">
        <v>154</v>
      </c>
      <c r="AD939" s="285" t="s">
        <v>155</v>
      </c>
      <c r="AE939" s="285">
        <v>0</v>
      </c>
      <c r="AF939" s="285" t="s">
        <v>207</v>
      </c>
      <c r="AG939" s="285" t="s">
        <v>101</v>
      </c>
      <c r="AH939" s="285" t="s">
        <v>46</v>
      </c>
      <c r="AI939" s="285" t="s">
        <v>101</v>
      </c>
      <c r="AJ939" s="285" t="s">
        <v>46</v>
      </c>
      <c r="AK939" s="285" t="s">
        <v>54</v>
      </c>
      <c r="AL939" s="285" t="s">
        <v>48</v>
      </c>
      <c r="AM939" s="285" t="s">
        <v>49</v>
      </c>
      <c r="AN939" s="311" t="str">
        <f>VLOOKUP(I939,Sheet1!A:D,4,)</f>
        <v>A320400</v>
      </c>
      <c r="AP939" s="4" t="s">
        <v>1351</v>
      </c>
    </row>
    <row r="940" spans="1:42" s="285" customFormat="1" x14ac:dyDescent="0.25">
      <c r="A940" s="306">
        <v>45901</v>
      </c>
      <c r="B940" s="285" t="s">
        <v>40</v>
      </c>
      <c r="C940" s="285" t="s">
        <v>41</v>
      </c>
      <c r="D940" s="307">
        <v>25708546</v>
      </c>
      <c r="E940" s="307">
        <v>25106883</v>
      </c>
      <c r="F940" s="307" t="s">
        <v>1231</v>
      </c>
      <c r="G940" s="308">
        <v>45920</v>
      </c>
      <c r="H940" s="285" t="s">
        <v>158</v>
      </c>
      <c r="I940" s="285" t="s">
        <v>159</v>
      </c>
      <c r="J940" s="285" t="s">
        <v>270</v>
      </c>
      <c r="K940" s="309">
        <v>10</v>
      </c>
      <c r="L940" s="310" t="s">
        <v>42</v>
      </c>
      <c r="M940" s="309">
        <v>10</v>
      </c>
      <c r="N940" s="309">
        <v>9536627.4399999995</v>
      </c>
      <c r="O940" s="309">
        <v>95366274.400000006</v>
      </c>
      <c r="P940" s="309">
        <v>95366274.400000006</v>
      </c>
      <c r="Q940" s="287">
        <v>0</v>
      </c>
      <c r="R940" s="287">
        <v>0</v>
      </c>
      <c r="S940" s="310" t="s">
        <v>43</v>
      </c>
      <c r="T940" s="309">
        <v>69496986.640000001</v>
      </c>
      <c r="U940" s="309">
        <v>69496986.640000001</v>
      </c>
      <c r="V940" s="309">
        <v>25869287.760000002</v>
      </c>
      <c r="W940" s="288">
        <v>0.271262434469</v>
      </c>
      <c r="X940" s="309">
        <v>25869287.760000002</v>
      </c>
      <c r="Y940" s="285" t="s">
        <v>101</v>
      </c>
      <c r="Z940" s="285" t="s">
        <v>46</v>
      </c>
      <c r="AA940" s="285">
        <v>2306495</v>
      </c>
      <c r="AB940" s="285" t="s">
        <v>161</v>
      </c>
      <c r="AC940" s="285" t="s">
        <v>56</v>
      </c>
      <c r="AD940" s="285" t="s">
        <v>103</v>
      </c>
      <c r="AE940" s="285">
        <v>0</v>
      </c>
      <c r="AF940" s="285" t="s">
        <v>191</v>
      </c>
      <c r="AG940" s="285" t="s">
        <v>262</v>
      </c>
      <c r="AH940" s="285" t="s">
        <v>143</v>
      </c>
      <c r="AI940" s="285" t="s">
        <v>101</v>
      </c>
      <c r="AJ940" s="285" t="s">
        <v>46</v>
      </c>
      <c r="AK940" s="285" t="s">
        <v>54</v>
      </c>
      <c r="AL940" s="285" t="s">
        <v>48</v>
      </c>
      <c r="AM940" s="285" t="s">
        <v>49</v>
      </c>
      <c r="AN940" s="311" t="str">
        <f>VLOOKUP(I940,Sheet1!A:D,4,)</f>
        <v>A320400</v>
      </c>
      <c r="AP940" s="4" t="s">
        <v>1351</v>
      </c>
    </row>
    <row r="941" spans="1:42" s="285" customFormat="1" x14ac:dyDescent="0.25">
      <c r="A941" s="306">
        <v>45901</v>
      </c>
      <c r="B941" s="285" t="s">
        <v>40</v>
      </c>
      <c r="C941" s="285" t="s">
        <v>41</v>
      </c>
      <c r="D941" s="307">
        <v>25708547</v>
      </c>
      <c r="E941" s="307">
        <v>25106905</v>
      </c>
      <c r="F941" s="307" t="s">
        <v>1339</v>
      </c>
      <c r="G941" s="308">
        <v>45920</v>
      </c>
      <c r="H941" s="285" t="s">
        <v>158</v>
      </c>
      <c r="I941" s="285" t="s">
        <v>159</v>
      </c>
      <c r="J941" s="285" t="s">
        <v>270</v>
      </c>
      <c r="K941" s="309">
        <v>10</v>
      </c>
      <c r="L941" s="310" t="s">
        <v>42</v>
      </c>
      <c r="M941" s="309">
        <v>10</v>
      </c>
      <c r="N941" s="309">
        <v>9519057.0399999991</v>
      </c>
      <c r="O941" s="309">
        <v>95190570.400000006</v>
      </c>
      <c r="P941" s="309">
        <v>95190570.400000006</v>
      </c>
      <c r="Q941" s="287">
        <v>0</v>
      </c>
      <c r="R941" s="287">
        <v>0</v>
      </c>
      <c r="S941" s="310" t="s">
        <v>43</v>
      </c>
      <c r="T941" s="309">
        <v>69496986.640000001</v>
      </c>
      <c r="U941" s="309">
        <v>69496986.640000001</v>
      </c>
      <c r="V941" s="309">
        <v>25693583.760000002</v>
      </c>
      <c r="W941" s="288">
        <v>0.26991732113799999</v>
      </c>
      <c r="X941" s="309">
        <v>25693583.760000002</v>
      </c>
      <c r="Y941" s="285" t="s">
        <v>101</v>
      </c>
      <c r="Z941" s="285" t="s">
        <v>46</v>
      </c>
      <c r="AA941" s="285">
        <v>2306495</v>
      </c>
      <c r="AB941" s="285" t="s">
        <v>161</v>
      </c>
      <c r="AC941" s="285" t="s">
        <v>56</v>
      </c>
      <c r="AD941" s="285" t="s">
        <v>103</v>
      </c>
      <c r="AE941" s="285">
        <v>0</v>
      </c>
      <c r="AF941" s="285" t="s">
        <v>191</v>
      </c>
      <c r="AG941" s="285" t="s">
        <v>262</v>
      </c>
      <c r="AH941" s="285" t="s">
        <v>143</v>
      </c>
      <c r="AI941" s="285" t="s">
        <v>101</v>
      </c>
      <c r="AJ941" s="285" t="s">
        <v>46</v>
      </c>
      <c r="AK941" s="285" t="s">
        <v>54</v>
      </c>
      <c r="AL941" s="285" t="s">
        <v>48</v>
      </c>
      <c r="AM941" s="285" t="s">
        <v>49</v>
      </c>
      <c r="AN941" s="311" t="str">
        <f>VLOOKUP(I941,Sheet1!A:D,4,)</f>
        <v>A320400</v>
      </c>
      <c r="AP941" s="4" t="s">
        <v>1351</v>
      </c>
    </row>
    <row r="942" spans="1:42" s="285" customFormat="1" x14ac:dyDescent="0.25">
      <c r="A942" s="306">
        <v>45901</v>
      </c>
      <c r="B942" s="285" t="s">
        <v>40</v>
      </c>
      <c r="C942" s="285" t="s">
        <v>41</v>
      </c>
      <c r="D942" s="307">
        <v>25708548</v>
      </c>
      <c r="E942" s="307">
        <v>25106926</v>
      </c>
      <c r="F942" s="307" t="s">
        <v>1340</v>
      </c>
      <c r="G942" s="308">
        <v>45920</v>
      </c>
      <c r="H942" s="285" t="s">
        <v>245</v>
      </c>
      <c r="I942" s="285" t="s">
        <v>307</v>
      </c>
      <c r="J942" s="285" t="s">
        <v>516</v>
      </c>
      <c r="K942" s="309">
        <v>50</v>
      </c>
      <c r="L942" s="310" t="s">
        <v>42</v>
      </c>
      <c r="M942" s="309">
        <v>50</v>
      </c>
      <c r="N942" s="309">
        <v>4910120.5199999996</v>
      </c>
      <c r="O942" s="309">
        <v>245506026</v>
      </c>
      <c r="P942" s="309">
        <v>245506026</v>
      </c>
      <c r="Q942" s="287">
        <v>0</v>
      </c>
      <c r="R942" s="287">
        <v>0</v>
      </c>
      <c r="S942" s="310" t="s">
        <v>43</v>
      </c>
      <c r="T942" s="309">
        <v>95020211.079999998</v>
      </c>
      <c r="U942" s="309">
        <v>95020211.079999998</v>
      </c>
      <c r="V942" s="309">
        <v>150485814.91999999</v>
      </c>
      <c r="W942" s="288">
        <v>0.61296179719800004</v>
      </c>
      <c r="X942" s="309">
        <v>150485814.91999999</v>
      </c>
      <c r="Y942" s="285" t="s">
        <v>235</v>
      </c>
      <c r="Z942" s="285" t="s">
        <v>44</v>
      </c>
      <c r="AA942" s="285">
        <v>15159</v>
      </c>
      <c r="AB942" s="285" t="s">
        <v>246</v>
      </c>
      <c r="AC942" s="285" t="s">
        <v>154</v>
      </c>
      <c r="AD942" s="285" t="s">
        <v>155</v>
      </c>
      <c r="AE942" s="285">
        <v>0</v>
      </c>
      <c r="AF942" s="285" t="s">
        <v>191</v>
      </c>
      <c r="AG942" s="285" t="s">
        <v>242</v>
      </c>
      <c r="AH942" s="285" t="s">
        <v>53</v>
      </c>
      <c r="AI942" s="285" t="s">
        <v>101</v>
      </c>
      <c r="AJ942" s="285" t="s">
        <v>46</v>
      </c>
      <c r="AK942" s="285" t="s">
        <v>54</v>
      </c>
      <c r="AL942" s="285" t="s">
        <v>48</v>
      </c>
      <c r="AM942" s="285" t="s">
        <v>49</v>
      </c>
      <c r="AN942" s="311" t="str">
        <f>VLOOKUP(I942,Sheet1!A:D,4,)</f>
        <v>A320400</v>
      </c>
      <c r="AP942" s="4" t="s">
        <v>1351</v>
      </c>
    </row>
    <row r="943" spans="1:42" s="285" customFormat="1" x14ac:dyDescent="0.25">
      <c r="A943" s="306">
        <v>45901</v>
      </c>
      <c r="B943" s="285" t="s">
        <v>40</v>
      </c>
      <c r="C943" s="285" t="s">
        <v>41</v>
      </c>
      <c r="D943" s="307">
        <v>25708549</v>
      </c>
      <c r="E943" s="307">
        <v>25106932</v>
      </c>
      <c r="F943" s="307" t="s">
        <v>1288</v>
      </c>
      <c r="G943" s="308">
        <v>45920</v>
      </c>
      <c r="H943" s="285" t="s">
        <v>245</v>
      </c>
      <c r="I943" s="285" t="s">
        <v>140</v>
      </c>
      <c r="J943" s="285" t="s">
        <v>261</v>
      </c>
      <c r="K943" s="309">
        <v>70</v>
      </c>
      <c r="L943" s="310" t="s">
        <v>42</v>
      </c>
      <c r="M943" s="309">
        <v>70</v>
      </c>
      <c r="N943" s="309">
        <v>528571.44999999995</v>
      </c>
      <c r="O943" s="309">
        <v>37000001.5</v>
      </c>
      <c r="P943" s="309">
        <v>37000001.5</v>
      </c>
      <c r="Q943" s="287">
        <v>0</v>
      </c>
      <c r="R943" s="287">
        <v>0</v>
      </c>
      <c r="S943" s="310" t="s">
        <v>43</v>
      </c>
      <c r="T943" s="309">
        <v>16141978.449999999</v>
      </c>
      <c r="U943" s="309">
        <v>16141978.449999999</v>
      </c>
      <c r="V943" s="309">
        <v>20858023.050000001</v>
      </c>
      <c r="W943" s="288">
        <v>0.56373032984799998</v>
      </c>
      <c r="X943" s="309">
        <v>20858023.050000001</v>
      </c>
      <c r="Y943" s="285" t="s">
        <v>235</v>
      </c>
      <c r="Z943" s="285" t="s">
        <v>44</v>
      </c>
      <c r="AA943" s="285">
        <v>15159</v>
      </c>
      <c r="AB943" s="285" t="s">
        <v>246</v>
      </c>
      <c r="AC943" s="285" t="s">
        <v>154</v>
      </c>
      <c r="AD943" s="285" t="s">
        <v>155</v>
      </c>
      <c r="AE943" s="285">
        <v>0</v>
      </c>
      <c r="AF943" s="285" t="s">
        <v>191</v>
      </c>
      <c r="AG943" s="285" t="s">
        <v>262</v>
      </c>
      <c r="AH943" s="285" t="s">
        <v>143</v>
      </c>
      <c r="AI943" s="285" t="s">
        <v>101</v>
      </c>
      <c r="AJ943" s="285" t="s">
        <v>46</v>
      </c>
      <c r="AK943" s="285" t="s">
        <v>54</v>
      </c>
      <c r="AL943" s="285" t="s">
        <v>48</v>
      </c>
      <c r="AM943" s="285" t="s">
        <v>49</v>
      </c>
      <c r="AN943" s="311" t="str">
        <f>VLOOKUP(I943,Sheet1!A:D,4,)</f>
        <v>A320400</v>
      </c>
      <c r="AP943" s="4" t="s">
        <v>1351</v>
      </c>
    </row>
    <row r="944" spans="1:42" s="285" customFormat="1" x14ac:dyDescent="0.25">
      <c r="A944" s="306">
        <v>45901</v>
      </c>
      <c r="B944" s="285" t="s">
        <v>40</v>
      </c>
      <c r="C944" s="285" t="s">
        <v>41</v>
      </c>
      <c r="D944" s="307">
        <v>25708550</v>
      </c>
      <c r="E944" s="307">
        <v>25106933</v>
      </c>
      <c r="F944" s="307" t="s">
        <v>1341</v>
      </c>
      <c r="G944" s="308">
        <v>45920</v>
      </c>
      <c r="H944" s="285" t="s">
        <v>237</v>
      </c>
      <c r="I944" s="285" t="s">
        <v>140</v>
      </c>
      <c r="J944" s="285" t="s">
        <v>261</v>
      </c>
      <c r="K944" s="309">
        <v>20</v>
      </c>
      <c r="L944" s="310" t="s">
        <v>42</v>
      </c>
      <c r="M944" s="309">
        <v>20</v>
      </c>
      <c r="N944" s="309">
        <v>528571.44999999995</v>
      </c>
      <c r="O944" s="309">
        <v>10571429</v>
      </c>
      <c r="P944" s="309">
        <v>10571429</v>
      </c>
      <c r="Q944" s="287">
        <v>0</v>
      </c>
      <c r="R944" s="287">
        <v>0</v>
      </c>
      <c r="S944" s="310" t="s">
        <v>43</v>
      </c>
      <c r="T944" s="309">
        <v>4611993.84</v>
      </c>
      <c r="U944" s="309">
        <v>4611993.84</v>
      </c>
      <c r="V944" s="309">
        <v>5959435.1600000001</v>
      </c>
      <c r="W944" s="288">
        <v>0.56373033011899998</v>
      </c>
      <c r="X944" s="309">
        <v>5959435.1600000001</v>
      </c>
      <c r="Y944" s="285" t="s">
        <v>101</v>
      </c>
      <c r="Z944" s="285" t="s">
        <v>46</v>
      </c>
      <c r="AA944" s="285">
        <v>2306153</v>
      </c>
      <c r="AB944" s="285" t="s">
        <v>237</v>
      </c>
      <c r="AC944" s="285" t="s">
        <v>56</v>
      </c>
      <c r="AD944" s="285" t="s">
        <v>103</v>
      </c>
      <c r="AE944" s="285">
        <v>0</v>
      </c>
      <c r="AF944" s="285" t="s">
        <v>191</v>
      </c>
      <c r="AG944" s="285" t="s">
        <v>262</v>
      </c>
      <c r="AH944" s="285" t="s">
        <v>143</v>
      </c>
      <c r="AI944" s="285" t="s">
        <v>101</v>
      </c>
      <c r="AJ944" s="285" t="s">
        <v>46</v>
      </c>
      <c r="AK944" s="285" t="s">
        <v>54</v>
      </c>
      <c r="AL944" s="285" t="s">
        <v>48</v>
      </c>
      <c r="AM944" s="285" t="s">
        <v>49</v>
      </c>
      <c r="AN944" s="311" t="str">
        <f>VLOOKUP(I944,Sheet1!A:D,4,)</f>
        <v>A320400</v>
      </c>
      <c r="AP944" s="4" t="s">
        <v>1351</v>
      </c>
    </row>
    <row r="945" spans="1:42" s="285" customFormat="1" x14ac:dyDescent="0.25">
      <c r="A945" s="306">
        <v>45901</v>
      </c>
      <c r="B945" s="285" t="s">
        <v>40</v>
      </c>
      <c r="C945" s="285" t="s">
        <v>41</v>
      </c>
      <c r="D945" s="307">
        <v>25708551</v>
      </c>
      <c r="E945" s="307">
        <v>25106936</v>
      </c>
      <c r="F945" s="307" t="s">
        <v>1342</v>
      </c>
      <c r="G945" s="308">
        <v>45920</v>
      </c>
      <c r="H945" s="285" t="s">
        <v>237</v>
      </c>
      <c r="I945" s="285" t="s">
        <v>267</v>
      </c>
      <c r="J945" s="285" t="s">
        <v>268</v>
      </c>
      <c r="K945" s="309">
        <v>100</v>
      </c>
      <c r="L945" s="310" t="s">
        <v>42</v>
      </c>
      <c r="M945" s="309">
        <v>100</v>
      </c>
      <c r="N945" s="309">
        <v>947384</v>
      </c>
      <c r="O945" s="309">
        <v>94738400</v>
      </c>
      <c r="P945" s="309">
        <v>94738400</v>
      </c>
      <c r="Q945" s="287">
        <v>0</v>
      </c>
      <c r="R945" s="287">
        <v>0</v>
      </c>
      <c r="S945" s="310" t="s">
        <v>43</v>
      </c>
      <c r="T945" s="309">
        <v>40966700.700000003</v>
      </c>
      <c r="U945" s="309">
        <v>40966700.700000003</v>
      </c>
      <c r="V945" s="309">
        <v>53771699.299999997</v>
      </c>
      <c r="W945" s="288">
        <v>0.56758082572599999</v>
      </c>
      <c r="X945" s="309">
        <v>53771699.299999997</v>
      </c>
      <c r="Y945" s="285" t="s">
        <v>101</v>
      </c>
      <c r="Z945" s="285" t="s">
        <v>46</v>
      </c>
      <c r="AA945" s="285">
        <v>2306153</v>
      </c>
      <c r="AB945" s="285" t="s">
        <v>237</v>
      </c>
      <c r="AC945" s="285" t="s">
        <v>56</v>
      </c>
      <c r="AD945" s="285" t="s">
        <v>103</v>
      </c>
      <c r="AE945" s="285">
        <v>0</v>
      </c>
      <c r="AF945" s="285" t="s">
        <v>191</v>
      </c>
      <c r="AG945" s="285" t="s">
        <v>262</v>
      </c>
      <c r="AH945" s="285" t="s">
        <v>143</v>
      </c>
      <c r="AI945" s="285" t="s">
        <v>101</v>
      </c>
      <c r="AJ945" s="285" t="s">
        <v>46</v>
      </c>
      <c r="AK945" s="285" t="s">
        <v>54</v>
      </c>
      <c r="AL945" s="285" t="s">
        <v>48</v>
      </c>
      <c r="AM945" s="285" t="s">
        <v>49</v>
      </c>
      <c r="AN945" s="311" t="str">
        <f>VLOOKUP(I945,Sheet1!A:D,4,)</f>
        <v>A320400</v>
      </c>
      <c r="AP945" s="4" t="s">
        <v>1351</v>
      </c>
    </row>
    <row r="946" spans="1:42" s="285" customFormat="1" x14ac:dyDescent="0.25">
      <c r="A946" s="306">
        <v>45901</v>
      </c>
      <c r="B946" s="285" t="s">
        <v>40</v>
      </c>
      <c r="C946" s="285" t="s">
        <v>41</v>
      </c>
      <c r="D946" s="307">
        <v>25708552</v>
      </c>
      <c r="E946" s="307">
        <v>25106941</v>
      </c>
      <c r="F946" s="307" t="s">
        <v>1343</v>
      </c>
      <c r="G946" s="308">
        <v>45920</v>
      </c>
      <c r="H946" s="285" t="s">
        <v>237</v>
      </c>
      <c r="I946" s="285" t="s">
        <v>140</v>
      </c>
      <c r="J946" s="285" t="s">
        <v>261</v>
      </c>
      <c r="K946" s="309">
        <v>120</v>
      </c>
      <c r="L946" s="310" t="s">
        <v>42</v>
      </c>
      <c r="M946" s="309">
        <v>120</v>
      </c>
      <c r="N946" s="309">
        <v>528571.44999999995</v>
      </c>
      <c r="O946" s="309">
        <v>63428574</v>
      </c>
      <c r="P946" s="309">
        <v>63428574</v>
      </c>
      <c r="Q946" s="287">
        <v>0</v>
      </c>
      <c r="R946" s="287">
        <v>0</v>
      </c>
      <c r="S946" s="310" t="s">
        <v>43</v>
      </c>
      <c r="T946" s="309">
        <v>27671963.059999999</v>
      </c>
      <c r="U946" s="309">
        <v>27671963.059999999</v>
      </c>
      <c r="V946" s="309">
        <v>35756610.939999998</v>
      </c>
      <c r="W946" s="288">
        <v>0.56373032980299997</v>
      </c>
      <c r="X946" s="309">
        <v>35756610.939999998</v>
      </c>
      <c r="Y946" s="285" t="s">
        <v>101</v>
      </c>
      <c r="Z946" s="285" t="s">
        <v>46</v>
      </c>
      <c r="AA946" s="285">
        <v>2306153</v>
      </c>
      <c r="AB946" s="285" t="s">
        <v>237</v>
      </c>
      <c r="AC946" s="285" t="s">
        <v>56</v>
      </c>
      <c r="AD946" s="285" t="s">
        <v>103</v>
      </c>
      <c r="AE946" s="285">
        <v>0</v>
      </c>
      <c r="AF946" s="285" t="s">
        <v>191</v>
      </c>
      <c r="AG946" s="285" t="s">
        <v>262</v>
      </c>
      <c r="AH946" s="285" t="s">
        <v>143</v>
      </c>
      <c r="AI946" s="285" t="s">
        <v>101</v>
      </c>
      <c r="AJ946" s="285" t="s">
        <v>46</v>
      </c>
      <c r="AK946" s="285" t="s">
        <v>54</v>
      </c>
      <c r="AL946" s="285" t="s">
        <v>48</v>
      </c>
      <c r="AM946" s="285" t="s">
        <v>49</v>
      </c>
      <c r="AN946" s="311" t="str">
        <f>VLOOKUP(I946,Sheet1!A:D,4,)</f>
        <v>A320400</v>
      </c>
      <c r="AP946" s="4" t="s">
        <v>1351</v>
      </c>
    </row>
    <row r="947" spans="1:42" s="285" customFormat="1" x14ac:dyDescent="0.25">
      <c r="A947" s="306">
        <v>45901</v>
      </c>
      <c r="B947" s="285" t="s">
        <v>40</v>
      </c>
      <c r="C947" s="285" t="s">
        <v>41</v>
      </c>
      <c r="D947" s="307">
        <v>25708553</v>
      </c>
      <c r="E947" s="307">
        <v>25106958</v>
      </c>
      <c r="F947" s="307" t="s">
        <v>1328</v>
      </c>
      <c r="G947" s="308">
        <v>45920</v>
      </c>
      <c r="H947" s="285" t="s">
        <v>158</v>
      </c>
      <c r="I947" s="285" t="s">
        <v>159</v>
      </c>
      <c r="J947" s="285" t="s">
        <v>270</v>
      </c>
      <c r="K947" s="309">
        <v>5</v>
      </c>
      <c r="L947" s="310" t="s">
        <v>42</v>
      </c>
      <c r="M947" s="309">
        <v>5</v>
      </c>
      <c r="N947" s="309">
        <v>9579382.0800000001</v>
      </c>
      <c r="O947" s="309">
        <v>47896910.399999999</v>
      </c>
      <c r="P947" s="309">
        <v>47896910.399999999</v>
      </c>
      <c r="Q947" s="287">
        <v>0</v>
      </c>
      <c r="R947" s="287">
        <v>0</v>
      </c>
      <c r="S947" s="310" t="s">
        <v>43</v>
      </c>
      <c r="T947" s="309">
        <v>34748493.32</v>
      </c>
      <c r="U947" s="309">
        <v>34748493.32</v>
      </c>
      <c r="V947" s="309">
        <v>13148417.08</v>
      </c>
      <c r="W947" s="288">
        <v>0.27451493155099999</v>
      </c>
      <c r="X947" s="309">
        <v>13148417.08</v>
      </c>
      <c r="Y947" s="285" t="s">
        <v>101</v>
      </c>
      <c r="Z947" s="285" t="s">
        <v>46</v>
      </c>
      <c r="AA947" s="285">
        <v>2306495</v>
      </c>
      <c r="AB947" s="285" t="s">
        <v>161</v>
      </c>
      <c r="AC947" s="285" t="s">
        <v>56</v>
      </c>
      <c r="AD947" s="285" t="s">
        <v>103</v>
      </c>
      <c r="AE947" s="285">
        <v>0</v>
      </c>
      <c r="AF947" s="285" t="s">
        <v>191</v>
      </c>
      <c r="AG947" s="285" t="s">
        <v>262</v>
      </c>
      <c r="AH947" s="285" t="s">
        <v>143</v>
      </c>
      <c r="AI947" s="285" t="s">
        <v>101</v>
      </c>
      <c r="AJ947" s="285" t="s">
        <v>46</v>
      </c>
      <c r="AK947" s="285" t="s">
        <v>54</v>
      </c>
      <c r="AL947" s="285" t="s">
        <v>48</v>
      </c>
      <c r="AM947" s="285" t="s">
        <v>49</v>
      </c>
      <c r="AN947" s="311" t="str">
        <f>VLOOKUP(I947,Sheet1!A:D,4,)</f>
        <v>A320400</v>
      </c>
      <c r="AP947" s="4" t="s">
        <v>1351</v>
      </c>
    </row>
    <row r="948" spans="1:42" s="285" customFormat="1" x14ac:dyDescent="0.25">
      <c r="A948" s="306">
        <v>45901</v>
      </c>
      <c r="B948" s="285" t="s">
        <v>40</v>
      </c>
      <c r="C948" s="285" t="s">
        <v>41</v>
      </c>
      <c r="D948" s="307">
        <v>25708557</v>
      </c>
      <c r="E948" s="307">
        <v>25106971</v>
      </c>
      <c r="F948" s="307" t="s">
        <v>1231</v>
      </c>
      <c r="G948" s="308">
        <v>45920</v>
      </c>
      <c r="H948" s="285" t="s">
        <v>158</v>
      </c>
      <c r="I948" s="285" t="s">
        <v>159</v>
      </c>
      <c r="J948" s="285" t="s">
        <v>270</v>
      </c>
      <c r="K948" s="309">
        <v>5</v>
      </c>
      <c r="L948" s="310" t="s">
        <v>42</v>
      </c>
      <c r="M948" s="309">
        <v>5</v>
      </c>
      <c r="N948" s="309">
        <v>9536627.4399999995</v>
      </c>
      <c r="O948" s="309">
        <v>47683137.200000003</v>
      </c>
      <c r="P948" s="309">
        <v>47683137.200000003</v>
      </c>
      <c r="Q948" s="287">
        <v>0</v>
      </c>
      <c r="R948" s="287">
        <v>0</v>
      </c>
      <c r="S948" s="310" t="s">
        <v>43</v>
      </c>
      <c r="T948" s="309">
        <v>34748493.32</v>
      </c>
      <c r="U948" s="309">
        <v>34748493.32</v>
      </c>
      <c r="V948" s="309">
        <v>12934643.880000001</v>
      </c>
      <c r="W948" s="288">
        <v>0.271262434469</v>
      </c>
      <c r="X948" s="309">
        <v>12934643.880000001</v>
      </c>
      <c r="Y948" s="285" t="s">
        <v>101</v>
      </c>
      <c r="Z948" s="285" t="s">
        <v>46</v>
      </c>
      <c r="AA948" s="285">
        <v>2306495</v>
      </c>
      <c r="AB948" s="285" t="s">
        <v>161</v>
      </c>
      <c r="AC948" s="285" t="s">
        <v>56</v>
      </c>
      <c r="AD948" s="285" t="s">
        <v>103</v>
      </c>
      <c r="AE948" s="285">
        <v>0</v>
      </c>
      <c r="AF948" s="285" t="s">
        <v>191</v>
      </c>
      <c r="AG948" s="285" t="s">
        <v>262</v>
      </c>
      <c r="AH948" s="285" t="s">
        <v>143</v>
      </c>
      <c r="AI948" s="285" t="s">
        <v>101</v>
      </c>
      <c r="AJ948" s="285" t="s">
        <v>46</v>
      </c>
      <c r="AK948" s="285" t="s">
        <v>54</v>
      </c>
      <c r="AL948" s="285" t="s">
        <v>48</v>
      </c>
      <c r="AM948" s="285" t="s">
        <v>49</v>
      </c>
      <c r="AN948" s="311" t="str">
        <f>VLOOKUP(I948,Sheet1!A:D,4,)</f>
        <v>A320400</v>
      </c>
      <c r="AP948" s="4" t="s">
        <v>1351</v>
      </c>
    </row>
    <row r="949" spans="1:42" s="285" customFormat="1" x14ac:dyDescent="0.25">
      <c r="A949" s="306">
        <v>45901</v>
      </c>
      <c r="B949" s="285" t="s">
        <v>40</v>
      </c>
      <c r="C949" s="285" t="s">
        <v>41</v>
      </c>
      <c r="D949" s="307">
        <v>25708558</v>
      </c>
      <c r="E949" s="307">
        <v>25106958</v>
      </c>
      <c r="F949" s="307" t="s">
        <v>1328</v>
      </c>
      <c r="G949" s="308">
        <v>45920</v>
      </c>
      <c r="H949" s="285" t="s">
        <v>158</v>
      </c>
      <c r="I949" s="285" t="s">
        <v>159</v>
      </c>
      <c r="J949" s="285" t="s">
        <v>270</v>
      </c>
      <c r="K949" s="309">
        <v>10</v>
      </c>
      <c r="L949" s="310" t="s">
        <v>42</v>
      </c>
      <c r="M949" s="309">
        <v>10</v>
      </c>
      <c r="N949" s="309">
        <v>9579382.0800000001</v>
      </c>
      <c r="O949" s="309">
        <v>95793820.799999997</v>
      </c>
      <c r="P949" s="309">
        <v>95793820.799999997</v>
      </c>
      <c r="Q949" s="287">
        <v>0</v>
      </c>
      <c r="R949" s="287">
        <v>0</v>
      </c>
      <c r="S949" s="310" t="s">
        <v>43</v>
      </c>
      <c r="T949" s="309">
        <v>69496986.640000001</v>
      </c>
      <c r="U949" s="309">
        <v>69496986.640000001</v>
      </c>
      <c r="V949" s="309">
        <v>26296834.16</v>
      </c>
      <c r="W949" s="288">
        <v>0.27451493155099999</v>
      </c>
      <c r="X949" s="309">
        <v>26296834.16</v>
      </c>
      <c r="Y949" s="285" t="s">
        <v>101</v>
      </c>
      <c r="Z949" s="285" t="s">
        <v>46</v>
      </c>
      <c r="AA949" s="285">
        <v>2306495</v>
      </c>
      <c r="AB949" s="285" t="s">
        <v>161</v>
      </c>
      <c r="AC949" s="285" t="s">
        <v>56</v>
      </c>
      <c r="AD949" s="285" t="s">
        <v>103</v>
      </c>
      <c r="AE949" s="285">
        <v>0</v>
      </c>
      <c r="AF949" s="285" t="s">
        <v>191</v>
      </c>
      <c r="AG949" s="285" t="s">
        <v>262</v>
      </c>
      <c r="AH949" s="285" t="s">
        <v>143</v>
      </c>
      <c r="AI949" s="285" t="s">
        <v>101</v>
      </c>
      <c r="AJ949" s="285" t="s">
        <v>46</v>
      </c>
      <c r="AK949" s="285" t="s">
        <v>54</v>
      </c>
      <c r="AL949" s="285" t="s">
        <v>48</v>
      </c>
      <c r="AM949" s="285" t="s">
        <v>49</v>
      </c>
      <c r="AN949" s="311" t="str">
        <f>VLOOKUP(I949,Sheet1!A:D,4,)</f>
        <v>A320400</v>
      </c>
      <c r="AP949" s="4" t="s">
        <v>1351</v>
      </c>
    </row>
    <row r="950" spans="1:42" s="285" customFormat="1" x14ac:dyDescent="0.25">
      <c r="A950" s="306">
        <v>45901</v>
      </c>
      <c r="B950" s="285" t="s">
        <v>40</v>
      </c>
      <c r="C950" s="285" t="s">
        <v>41</v>
      </c>
      <c r="D950" s="307">
        <v>25708559</v>
      </c>
      <c r="E950" s="307">
        <v>25106972</v>
      </c>
      <c r="F950" s="307" t="s">
        <v>1231</v>
      </c>
      <c r="G950" s="308">
        <v>45912</v>
      </c>
      <c r="H950" s="285" t="s">
        <v>158</v>
      </c>
      <c r="I950" s="285" t="s">
        <v>159</v>
      </c>
      <c r="J950" s="285" t="s">
        <v>270</v>
      </c>
      <c r="K950" s="309">
        <v>5</v>
      </c>
      <c r="L950" s="310" t="s">
        <v>42</v>
      </c>
      <c r="M950" s="309">
        <v>5</v>
      </c>
      <c r="N950" s="309">
        <v>9536627.4399999995</v>
      </c>
      <c r="O950" s="309">
        <v>47683137.200000003</v>
      </c>
      <c r="P950" s="309">
        <v>47683137.200000003</v>
      </c>
      <c r="Q950" s="287">
        <v>0</v>
      </c>
      <c r="R950" s="287">
        <v>0</v>
      </c>
      <c r="S950" s="310" t="s">
        <v>43</v>
      </c>
      <c r="T950" s="309">
        <v>34748493.32</v>
      </c>
      <c r="U950" s="309">
        <v>34748493.32</v>
      </c>
      <c r="V950" s="309">
        <v>12934643.880000001</v>
      </c>
      <c r="W950" s="288">
        <v>0.271262434469</v>
      </c>
      <c r="X950" s="309">
        <v>12934643.880000001</v>
      </c>
      <c r="Y950" s="285" t="s">
        <v>101</v>
      </c>
      <c r="Z950" s="285" t="s">
        <v>46</v>
      </c>
      <c r="AA950" s="285">
        <v>2306495</v>
      </c>
      <c r="AB950" s="285" t="s">
        <v>161</v>
      </c>
      <c r="AC950" s="285" t="s">
        <v>56</v>
      </c>
      <c r="AD950" s="285" t="s">
        <v>103</v>
      </c>
      <c r="AE950" s="285">
        <v>0</v>
      </c>
      <c r="AF950" s="285" t="s">
        <v>191</v>
      </c>
      <c r="AG950" s="285" t="s">
        <v>262</v>
      </c>
      <c r="AH950" s="285" t="s">
        <v>143</v>
      </c>
      <c r="AI950" s="285" t="s">
        <v>101</v>
      </c>
      <c r="AJ950" s="285" t="s">
        <v>46</v>
      </c>
      <c r="AK950" s="285" t="s">
        <v>54</v>
      </c>
      <c r="AL950" s="285" t="s">
        <v>48</v>
      </c>
      <c r="AM950" s="285" t="s">
        <v>49</v>
      </c>
      <c r="AN950" s="311" t="str">
        <f>VLOOKUP(I950,Sheet1!A:D,4,)</f>
        <v>A320400</v>
      </c>
      <c r="AP950" s="4" t="s">
        <v>1351</v>
      </c>
    </row>
    <row r="951" spans="1:42" s="285" customFormat="1" x14ac:dyDescent="0.25">
      <c r="A951" s="306">
        <v>45901</v>
      </c>
      <c r="B951" s="285" t="s">
        <v>40</v>
      </c>
      <c r="C951" s="285" t="s">
        <v>41</v>
      </c>
      <c r="D951" s="307">
        <v>25708560</v>
      </c>
      <c r="E951" s="307">
        <v>25106897</v>
      </c>
      <c r="F951" s="307" t="s">
        <v>1287</v>
      </c>
      <c r="G951" s="308">
        <v>45920</v>
      </c>
      <c r="H951" s="285" t="s">
        <v>245</v>
      </c>
      <c r="I951" s="285" t="s">
        <v>287</v>
      </c>
      <c r="J951" s="285" t="s">
        <v>494</v>
      </c>
      <c r="K951" s="309">
        <v>260</v>
      </c>
      <c r="L951" s="310" t="s">
        <v>42</v>
      </c>
      <c r="M951" s="309">
        <v>260</v>
      </c>
      <c r="N951" s="309">
        <v>503411.08</v>
      </c>
      <c r="O951" s="309">
        <v>130886880.8</v>
      </c>
      <c r="P951" s="309">
        <v>130886880.8</v>
      </c>
      <c r="Q951" s="287">
        <v>0</v>
      </c>
      <c r="R951" s="287">
        <v>0</v>
      </c>
      <c r="S951" s="310" t="s">
        <v>43</v>
      </c>
      <c r="T951" s="309">
        <v>55145005.219999999</v>
      </c>
      <c r="U951" s="309">
        <v>55145005.219999999</v>
      </c>
      <c r="V951" s="309">
        <v>75741875.579999998</v>
      </c>
      <c r="W951" s="288">
        <v>0.57868195129300004</v>
      </c>
      <c r="X951" s="309">
        <v>75741875.579999998</v>
      </c>
      <c r="Y951" s="285" t="s">
        <v>235</v>
      </c>
      <c r="Z951" s="285" t="s">
        <v>44</v>
      </c>
      <c r="AA951" s="285">
        <v>15159</v>
      </c>
      <c r="AB951" s="285" t="s">
        <v>246</v>
      </c>
      <c r="AC951" s="285" t="s">
        <v>154</v>
      </c>
      <c r="AD951" s="285" t="s">
        <v>155</v>
      </c>
      <c r="AE951" s="285">
        <v>0</v>
      </c>
      <c r="AF951" s="285" t="s">
        <v>207</v>
      </c>
      <c r="AG951" s="285" t="s">
        <v>101</v>
      </c>
      <c r="AH951" s="285" t="s">
        <v>46</v>
      </c>
      <c r="AI951" s="285" t="s">
        <v>101</v>
      </c>
      <c r="AJ951" s="285" t="s">
        <v>46</v>
      </c>
      <c r="AK951" s="285" t="s">
        <v>54</v>
      </c>
      <c r="AL951" s="285" t="s">
        <v>48</v>
      </c>
      <c r="AM951" s="285" t="s">
        <v>49</v>
      </c>
      <c r="AN951" s="311" t="str">
        <f>VLOOKUP(I951,Sheet1!A:D,4,)</f>
        <v>A320400</v>
      </c>
      <c r="AP951" s="4" t="s">
        <v>1361</v>
      </c>
    </row>
    <row r="952" spans="1:42" s="285" customFormat="1" x14ac:dyDescent="0.25">
      <c r="A952" s="306">
        <v>45901</v>
      </c>
      <c r="B952" s="285" t="s">
        <v>40</v>
      </c>
      <c r="C952" s="285" t="s">
        <v>41</v>
      </c>
      <c r="D952" s="307">
        <v>25708560</v>
      </c>
      <c r="E952" s="307">
        <v>25106897</v>
      </c>
      <c r="F952" s="307" t="s">
        <v>1287</v>
      </c>
      <c r="G952" s="308">
        <v>45920</v>
      </c>
      <c r="H952" s="285" t="s">
        <v>245</v>
      </c>
      <c r="I952" s="285" t="s">
        <v>451</v>
      </c>
      <c r="J952" s="285" t="s">
        <v>662</v>
      </c>
      <c r="K952" s="309">
        <v>60</v>
      </c>
      <c r="L952" s="310" t="s">
        <v>42</v>
      </c>
      <c r="M952" s="309">
        <v>60</v>
      </c>
      <c r="N952" s="309">
        <v>1064638.7</v>
      </c>
      <c r="O952" s="309">
        <v>63878322</v>
      </c>
      <c r="P952" s="309">
        <v>63878322</v>
      </c>
      <c r="Q952" s="287">
        <v>0</v>
      </c>
      <c r="R952" s="287">
        <v>0</v>
      </c>
      <c r="S952" s="310" t="s">
        <v>43</v>
      </c>
      <c r="T952" s="309">
        <v>42623528.039999999</v>
      </c>
      <c r="U952" s="309">
        <v>42623528.039999999</v>
      </c>
      <c r="V952" s="309">
        <v>21254793.960000001</v>
      </c>
      <c r="W952" s="288">
        <v>0.33273876480300002</v>
      </c>
      <c r="X952" s="309">
        <v>21254793.960000001</v>
      </c>
      <c r="Y952" s="285" t="s">
        <v>235</v>
      </c>
      <c r="Z952" s="285" t="s">
        <v>44</v>
      </c>
      <c r="AA952" s="285">
        <v>15159</v>
      </c>
      <c r="AB952" s="285" t="s">
        <v>246</v>
      </c>
      <c r="AC952" s="285" t="s">
        <v>154</v>
      </c>
      <c r="AD952" s="285" t="s">
        <v>155</v>
      </c>
      <c r="AE952" s="285">
        <v>0</v>
      </c>
      <c r="AF952" s="285" t="s">
        <v>207</v>
      </c>
      <c r="AG952" s="285" t="s">
        <v>101</v>
      </c>
      <c r="AH952" s="285" t="s">
        <v>46</v>
      </c>
      <c r="AI952" s="285" t="s">
        <v>101</v>
      </c>
      <c r="AJ952" s="285" t="s">
        <v>46</v>
      </c>
      <c r="AK952" s="285" t="s">
        <v>54</v>
      </c>
      <c r="AL952" s="285" t="s">
        <v>48</v>
      </c>
      <c r="AM952" s="285" t="s">
        <v>49</v>
      </c>
      <c r="AN952" s="311" t="str">
        <f>VLOOKUP(I952,Sheet1!A:D,4,)</f>
        <v>A320400</v>
      </c>
      <c r="AP952" s="4" t="s">
        <v>1361</v>
      </c>
    </row>
    <row r="953" spans="1:42" s="285" customFormat="1" x14ac:dyDescent="0.25">
      <c r="A953" s="306">
        <v>45901</v>
      </c>
      <c r="B953" s="285" t="s">
        <v>40</v>
      </c>
      <c r="C953" s="285" t="s">
        <v>41</v>
      </c>
      <c r="D953" s="307">
        <v>25708560</v>
      </c>
      <c r="E953" s="307">
        <v>25106897</v>
      </c>
      <c r="F953" s="307" t="s">
        <v>1287</v>
      </c>
      <c r="G953" s="308">
        <v>45920</v>
      </c>
      <c r="H953" s="285" t="s">
        <v>245</v>
      </c>
      <c r="I953" s="285" t="s">
        <v>306</v>
      </c>
      <c r="J953" s="285" t="s">
        <v>515</v>
      </c>
      <c r="K953" s="309">
        <v>30</v>
      </c>
      <c r="L953" s="310" t="s">
        <v>42</v>
      </c>
      <c r="M953" s="309">
        <v>30</v>
      </c>
      <c r="N953" s="309">
        <v>5828884.6699999999</v>
      </c>
      <c r="O953" s="309">
        <v>174866540.09999999</v>
      </c>
      <c r="P953" s="309">
        <v>174866540.09999999</v>
      </c>
      <c r="Q953" s="287">
        <v>0</v>
      </c>
      <c r="R953" s="287">
        <v>0</v>
      </c>
      <c r="S953" s="310" t="s">
        <v>43</v>
      </c>
      <c r="T953" s="309">
        <v>68144766.359999999</v>
      </c>
      <c r="U953" s="309">
        <v>68144766.359999999</v>
      </c>
      <c r="V953" s="309">
        <v>106721773.73999999</v>
      </c>
      <c r="W953" s="288">
        <v>0.61030414211299999</v>
      </c>
      <c r="X953" s="309">
        <v>106721773.73999999</v>
      </c>
      <c r="Y953" s="285" t="s">
        <v>235</v>
      </c>
      <c r="Z953" s="285" t="s">
        <v>44</v>
      </c>
      <c r="AA953" s="285">
        <v>15159</v>
      </c>
      <c r="AB953" s="285" t="s">
        <v>246</v>
      </c>
      <c r="AC953" s="285" t="s">
        <v>154</v>
      </c>
      <c r="AD953" s="285" t="s">
        <v>155</v>
      </c>
      <c r="AE953" s="285">
        <v>0</v>
      </c>
      <c r="AF953" s="285" t="s">
        <v>191</v>
      </c>
      <c r="AG953" s="285" t="s">
        <v>242</v>
      </c>
      <c r="AH953" s="285" t="s">
        <v>53</v>
      </c>
      <c r="AI953" s="285" t="s">
        <v>101</v>
      </c>
      <c r="AJ953" s="285" t="s">
        <v>46</v>
      </c>
      <c r="AK953" s="285" t="s">
        <v>54</v>
      </c>
      <c r="AL953" s="285" t="s">
        <v>48</v>
      </c>
      <c r="AM953" s="285" t="s">
        <v>49</v>
      </c>
      <c r="AN953" s="311" t="str">
        <f>VLOOKUP(I953,Sheet1!A:D,4,)</f>
        <v>A320400</v>
      </c>
      <c r="AP953" s="4" t="s">
        <v>1361</v>
      </c>
    </row>
    <row r="954" spans="1:42" s="285" customFormat="1" x14ac:dyDescent="0.25">
      <c r="A954" s="306">
        <v>45901</v>
      </c>
      <c r="B954" s="285" t="s">
        <v>40</v>
      </c>
      <c r="C954" s="285" t="s">
        <v>41</v>
      </c>
      <c r="D954" s="307">
        <v>25708566</v>
      </c>
      <c r="E954" s="307">
        <v>25106710</v>
      </c>
      <c r="F954" s="307" t="s">
        <v>1187</v>
      </c>
      <c r="G954" s="308">
        <v>45924</v>
      </c>
      <c r="H954" s="285" t="s">
        <v>237</v>
      </c>
      <c r="I954" s="285" t="s">
        <v>430</v>
      </c>
      <c r="J954" s="285" t="s">
        <v>643</v>
      </c>
      <c r="K954" s="309">
        <v>300</v>
      </c>
      <c r="L954" s="310" t="s">
        <v>42</v>
      </c>
      <c r="M954" s="309">
        <v>300</v>
      </c>
      <c r="N954" s="309">
        <v>419162.06</v>
      </c>
      <c r="O954" s="309">
        <v>125748618</v>
      </c>
      <c r="P954" s="309">
        <v>125748618</v>
      </c>
      <c r="Q954" s="287">
        <v>0</v>
      </c>
      <c r="R954" s="287">
        <v>0</v>
      </c>
      <c r="S954" s="310" t="s">
        <v>43</v>
      </c>
      <c r="T954" s="309">
        <v>75155991</v>
      </c>
      <c r="U954" s="309">
        <v>75155991</v>
      </c>
      <c r="V954" s="309">
        <v>50592627</v>
      </c>
      <c r="W954" s="288">
        <v>0.40233147532399999</v>
      </c>
      <c r="X954" s="309">
        <v>50592627</v>
      </c>
      <c r="Y954" s="285" t="s">
        <v>101</v>
      </c>
      <c r="Z954" s="285" t="s">
        <v>46</v>
      </c>
      <c r="AA954" s="285">
        <v>2306153</v>
      </c>
      <c r="AB954" s="285" t="s">
        <v>237</v>
      </c>
      <c r="AC954" s="285" t="s">
        <v>56</v>
      </c>
      <c r="AD954" s="285" t="s">
        <v>103</v>
      </c>
      <c r="AE954" s="285">
        <v>0</v>
      </c>
      <c r="AF954" s="285" t="s">
        <v>727</v>
      </c>
      <c r="AG954" s="285" t="s">
        <v>728</v>
      </c>
      <c r="AH954" s="285" t="s">
        <v>121</v>
      </c>
      <c r="AI954" s="285" t="s">
        <v>101</v>
      </c>
      <c r="AJ954" s="285" t="s">
        <v>46</v>
      </c>
      <c r="AK954" s="285" t="s">
        <v>54</v>
      </c>
      <c r="AL954" s="285" t="s">
        <v>48</v>
      </c>
      <c r="AM954" s="285" t="s">
        <v>49</v>
      </c>
      <c r="AN954" s="311" t="str">
        <f>VLOOKUP(I954,Sheet1!A:D,4,)</f>
        <v>A320400</v>
      </c>
      <c r="AP954" s="4" t="s">
        <v>1361</v>
      </c>
    </row>
    <row r="955" spans="1:42" s="285" customFormat="1" x14ac:dyDescent="0.25">
      <c r="A955" s="306">
        <v>45901</v>
      </c>
      <c r="B955" s="285" t="s">
        <v>40</v>
      </c>
      <c r="C955" s="285" t="s">
        <v>41</v>
      </c>
      <c r="D955" s="307">
        <v>25708567</v>
      </c>
      <c r="E955" s="307">
        <v>25106749</v>
      </c>
      <c r="F955" s="307" t="s">
        <v>1225</v>
      </c>
      <c r="G955" s="308">
        <v>45924</v>
      </c>
      <c r="H955" s="285" t="s">
        <v>245</v>
      </c>
      <c r="I955" s="285" t="s">
        <v>428</v>
      </c>
      <c r="J955" s="285" t="s">
        <v>641</v>
      </c>
      <c r="K955" s="309">
        <v>600</v>
      </c>
      <c r="L955" s="310" t="s">
        <v>42</v>
      </c>
      <c r="M955" s="309">
        <v>600</v>
      </c>
      <c r="N955" s="309">
        <v>357743.3</v>
      </c>
      <c r="O955" s="309">
        <v>214645980</v>
      </c>
      <c r="P955" s="309">
        <v>214645980</v>
      </c>
      <c r="Q955" s="287">
        <v>0</v>
      </c>
      <c r="R955" s="287">
        <v>0</v>
      </c>
      <c r="S955" s="310" t="s">
        <v>43</v>
      </c>
      <c r="T955" s="309">
        <v>175559028</v>
      </c>
      <c r="U955" s="309">
        <v>175559028</v>
      </c>
      <c r="V955" s="309">
        <v>39086952</v>
      </c>
      <c r="W955" s="288">
        <v>0.18209962283</v>
      </c>
      <c r="X955" s="309">
        <v>39086952</v>
      </c>
      <c r="Y955" s="285" t="s">
        <v>235</v>
      </c>
      <c r="Z955" s="285" t="s">
        <v>44</v>
      </c>
      <c r="AA955" s="285">
        <v>15159</v>
      </c>
      <c r="AB955" s="285" t="s">
        <v>246</v>
      </c>
      <c r="AC955" s="285" t="s">
        <v>154</v>
      </c>
      <c r="AD955" s="285" t="s">
        <v>155</v>
      </c>
      <c r="AE955" s="285">
        <v>0</v>
      </c>
      <c r="AF955" s="285" t="s">
        <v>727</v>
      </c>
      <c r="AG955" s="285" t="s">
        <v>728</v>
      </c>
      <c r="AH955" s="285" t="s">
        <v>121</v>
      </c>
      <c r="AI955" s="285" t="s">
        <v>101</v>
      </c>
      <c r="AJ955" s="285" t="s">
        <v>46</v>
      </c>
      <c r="AK955" s="285" t="s">
        <v>54</v>
      </c>
      <c r="AL955" s="285" t="s">
        <v>48</v>
      </c>
      <c r="AM955" s="285" t="s">
        <v>49</v>
      </c>
      <c r="AN955" s="311" t="str">
        <f>VLOOKUP(I955,Sheet1!A:D,4,)</f>
        <v>A320400</v>
      </c>
      <c r="AP955" s="4" t="s">
        <v>1361</v>
      </c>
    </row>
    <row r="956" spans="1:42" s="285" customFormat="1" x14ac:dyDescent="0.25">
      <c r="A956" s="306">
        <v>45901</v>
      </c>
      <c r="B956" s="285" t="s">
        <v>40</v>
      </c>
      <c r="C956" s="285" t="s">
        <v>41</v>
      </c>
      <c r="D956" s="307">
        <v>25708567</v>
      </c>
      <c r="E956" s="307">
        <v>25106749</v>
      </c>
      <c r="F956" s="307" t="s">
        <v>1225</v>
      </c>
      <c r="G956" s="308">
        <v>45924</v>
      </c>
      <c r="H956" s="285" t="s">
        <v>245</v>
      </c>
      <c r="I956" s="285" t="s">
        <v>116</v>
      </c>
      <c r="J956" s="285" t="s">
        <v>117</v>
      </c>
      <c r="K956" s="309">
        <v>300</v>
      </c>
      <c r="L956" s="310" t="s">
        <v>42</v>
      </c>
      <c r="M956" s="309">
        <v>300</v>
      </c>
      <c r="N956" s="309">
        <v>408392.75</v>
      </c>
      <c r="O956" s="309">
        <v>122517825</v>
      </c>
      <c r="P956" s="309">
        <v>122517825</v>
      </c>
      <c r="Q956" s="287">
        <v>0</v>
      </c>
      <c r="R956" s="287">
        <v>0</v>
      </c>
      <c r="S956" s="310" t="s">
        <v>43</v>
      </c>
      <c r="T956" s="309">
        <v>93076264.620000005</v>
      </c>
      <c r="U956" s="309">
        <v>93076264.620000005</v>
      </c>
      <c r="V956" s="309">
        <v>29441560.379999999</v>
      </c>
      <c r="W956" s="288">
        <v>0.24030430168</v>
      </c>
      <c r="X956" s="309">
        <v>29441560.379999999</v>
      </c>
      <c r="Y956" s="285" t="s">
        <v>235</v>
      </c>
      <c r="Z956" s="285" t="s">
        <v>44</v>
      </c>
      <c r="AA956" s="285">
        <v>15159</v>
      </c>
      <c r="AB956" s="285" t="s">
        <v>246</v>
      </c>
      <c r="AC956" s="285" t="s">
        <v>154</v>
      </c>
      <c r="AD956" s="285" t="s">
        <v>155</v>
      </c>
      <c r="AE956" s="285">
        <v>0</v>
      </c>
      <c r="AF956" s="285" t="s">
        <v>727</v>
      </c>
      <c r="AG956" s="285" t="s">
        <v>728</v>
      </c>
      <c r="AH956" s="285" t="s">
        <v>121</v>
      </c>
      <c r="AI956" s="285" t="s">
        <v>101</v>
      </c>
      <c r="AJ956" s="285" t="s">
        <v>46</v>
      </c>
      <c r="AK956" s="285" t="s">
        <v>54</v>
      </c>
      <c r="AL956" s="285" t="s">
        <v>48</v>
      </c>
      <c r="AM956" s="285" t="s">
        <v>49</v>
      </c>
      <c r="AN956" s="311" t="str">
        <f>VLOOKUP(I956,Sheet1!A:D,4,)</f>
        <v>A320400</v>
      </c>
      <c r="AP956" s="4" t="s">
        <v>1361</v>
      </c>
    </row>
    <row r="957" spans="1:42" s="285" customFormat="1" x14ac:dyDescent="0.25">
      <c r="A957" s="306">
        <v>45901</v>
      </c>
      <c r="B957" s="285" t="s">
        <v>40</v>
      </c>
      <c r="C957" s="285" t="s">
        <v>41</v>
      </c>
      <c r="D957" s="307">
        <v>25708567</v>
      </c>
      <c r="E957" s="307">
        <v>25106749</v>
      </c>
      <c r="F957" s="307" t="s">
        <v>1225</v>
      </c>
      <c r="G957" s="308">
        <v>45924</v>
      </c>
      <c r="H957" s="285" t="s">
        <v>245</v>
      </c>
      <c r="I957" s="285" t="s">
        <v>424</v>
      </c>
      <c r="J957" s="285" t="s">
        <v>637</v>
      </c>
      <c r="K957" s="309">
        <v>160</v>
      </c>
      <c r="L957" s="310" t="s">
        <v>42</v>
      </c>
      <c r="M957" s="309">
        <v>160</v>
      </c>
      <c r="N957" s="309">
        <v>701351.86</v>
      </c>
      <c r="O957" s="309">
        <v>112216297.59999999</v>
      </c>
      <c r="P957" s="309">
        <v>112216297.59999999</v>
      </c>
      <c r="Q957" s="287">
        <v>0</v>
      </c>
      <c r="R957" s="287">
        <v>0</v>
      </c>
      <c r="S957" s="310" t="s">
        <v>43</v>
      </c>
      <c r="T957" s="309">
        <v>77754854.319999993</v>
      </c>
      <c r="U957" s="309">
        <v>77754854.319999993</v>
      </c>
      <c r="V957" s="309">
        <v>34461443.280000001</v>
      </c>
      <c r="W957" s="288">
        <v>0.30709838069000001</v>
      </c>
      <c r="X957" s="309">
        <v>34461443.280000001</v>
      </c>
      <c r="Y957" s="285" t="s">
        <v>235</v>
      </c>
      <c r="Z957" s="285" t="s">
        <v>44</v>
      </c>
      <c r="AA957" s="285">
        <v>15159</v>
      </c>
      <c r="AB957" s="285" t="s">
        <v>246</v>
      </c>
      <c r="AC957" s="285" t="s">
        <v>154</v>
      </c>
      <c r="AD957" s="285" t="s">
        <v>155</v>
      </c>
      <c r="AE957" s="285">
        <v>0</v>
      </c>
      <c r="AF957" s="285" t="s">
        <v>727</v>
      </c>
      <c r="AG957" s="285" t="s">
        <v>728</v>
      </c>
      <c r="AH957" s="285" t="s">
        <v>121</v>
      </c>
      <c r="AI957" s="285" t="s">
        <v>101</v>
      </c>
      <c r="AJ957" s="285" t="s">
        <v>46</v>
      </c>
      <c r="AK957" s="285" t="s">
        <v>54</v>
      </c>
      <c r="AL957" s="285" t="s">
        <v>48</v>
      </c>
      <c r="AM957" s="285" t="s">
        <v>49</v>
      </c>
      <c r="AN957" s="311" t="str">
        <f>VLOOKUP(I957,Sheet1!A:D,4,)</f>
        <v>A320400</v>
      </c>
      <c r="AP957" s="4" t="s">
        <v>1361</v>
      </c>
    </row>
    <row r="958" spans="1:42" s="285" customFormat="1" x14ac:dyDescent="0.25">
      <c r="A958" s="306">
        <v>45901</v>
      </c>
      <c r="B958" s="285" t="s">
        <v>40</v>
      </c>
      <c r="C958" s="285" t="s">
        <v>41</v>
      </c>
      <c r="D958" s="307">
        <v>25708568</v>
      </c>
      <c r="E958" s="307">
        <v>25106781</v>
      </c>
      <c r="F958" s="307" t="s">
        <v>1352</v>
      </c>
      <c r="G958" s="308">
        <v>45924</v>
      </c>
      <c r="H958" s="285" t="s">
        <v>245</v>
      </c>
      <c r="I958" s="285" t="s">
        <v>407</v>
      </c>
      <c r="J958" s="285" t="s">
        <v>618</v>
      </c>
      <c r="K958" s="309">
        <v>20</v>
      </c>
      <c r="L958" s="310" t="s">
        <v>42</v>
      </c>
      <c r="M958" s="309">
        <v>20</v>
      </c>
      <c r="N958" s="309">
        <v>1296561.8400000001</v>
      </c>
      <c r="O958" s="309">
        <v>25931236.800000001</v>
      </c>
      <c r="P958" s="309">
        <v>25931236.800000001</v>
      </c>
      <c r="Q958" s="287">
        <v>0</v>
      </c>
      <c r="R958" s="287">
        <v>0</v>
      </c>
      <c r="S958" s="310" t="s">
        <v>43</v>
      </c>
      <c r="T958" s="309">
        <v>10444096.4</v>
      </c>
      <c r="U958" s="309">
        <v>10444096.4</v>
      </c>
      <c r="V958" s="309">
        <v>15487140.4</v>
      </c>
      <c r="W958" s="288">
        <v>0.597238786543</v>
      </c>
      <c r="X958" s="309">
        <v>15487140.4</v>
      </c>
      <c r="Y958" s="285" t="s">
        <v>235</v>
      </c>
      <c r="Z958" s="285" t="s">
        <v>44</v>
      </c>
      <c r="AA958" s="285">
        <v>15159</v>
      </c>
      <c r="AB958" s="285" t="s">
        <v>246</v>
      </c>
      <c r="AC958" s="285" t="s">
        <v>154</v>
      </c>
      <c r="AD958" s="285" t="s">
        <v>155</v>
      </c>
      <c r="AE958" s="285">
        <v>0</v>
      </c>
      <c r="AF958" s="285" t="s">
        <v>212</v>
      </c>
      <c r="AG958" s="285" t="s">
        <v>213</v>
      </c>
      <c r="AH958" s="285" t="s">
        <v>57</v>
      </c>
      <c r="AI958" s="285" t="s">
        <v>101</v>
      </c>
      <c r="AJ958" s="285" t="s">
        <v>46</v>
      </c>
      <c r="AK958" s="285" t="s">
        <v>54</v>
      </c>
      <c r="AL958" s="285" t="s">
        <v>48</v>
      </c>
      <c r="AM958" s="285" t="s">
        <v>49</v>
      </c>
      <c r="AN958" s="311" t="str">
        <f>VLOOKUP(I958,Sheet1!A:D,4,)</f>
        <v>A320400</v>
      </c>
      <c r="AP958" s="4" t="s">
        <v>1361</v>
      </c>
    </row>
    <row r="959" spans="1:42" s="285" customFormat="1" x14ac:dyDescent="0.25">
      <c r="A959" s="306">
        <v>45901</v>
      </c>
      <c r="B959" s="285" t="s">
        <v>40</v>
      </c>
      <c r="C959" s="285" t="s">
        <v>41</v>
      </c>
      <c r="D959" s="307">
        <v>25708569</v>
      </c>
      <c r="E959" s="307">
        <v>25106808</v>
      </c>
      <c r="F959" s="307" t="s">
        <v>1170</v>
      </c>
      <c r="G959" s="308">
        <v>45924</v>
      </c>
      <c r="H959" s="285" t="s">
        <v>237</v>
      </c>
      <c r="I959" s="285" t="s">
        <v>416</v>
      </c>
      <c r="J959" s="285" t="s">
        <v>629</v>
      </c>
      <c r="K959" s="309">
        <v>100</v>
      </c>
      <c r="L959" s="310" t="s">
        <v>42</v>
      </c>
      <c r="M959" s="309">
        <v>100</v>
      </c>
      <c r="N959" s="309">
        <v>2762725.85</v>
      </c>
      <c r="O959" s="309">
        <v>276272585</v>
      </c>
      <c r="P959" s="309">
        <v>276272585</v>
      </c>
      <c r="Q959" s="287">
        <v>0</v>
      </c>
      <c r="R959" s="287">
        <v>0</v>
      </c>
      <c r="S959" s="310" t="s">
        <v>43</v>
      </c>
      <c r="T959" s="309">
        <v>230373012.69999999</v>
      </c>
      <c r="U959" s="309">
        <v>230373012.69999999</v>
      </c>
      <c r="V959" s="309">
        <v>45899572.299999997</v>
      </c>
      <c r="W959" s="288">
        <v>0.16613871513799999</v>
      </c>
      <c r="X959" s="309">
        <v>45899572.299999997</v>
      </c>
      <c r="Y959" s="285" t="s">
        <v>101</v>
      </c>
      <c r="Z959" s="285" t="s">
        <v>46</v>
      </c>
      <c r="AA959" s="285">
        <v>2306153</v>
      </c>
      <c r="AB959" s="285" t="s">
        <v>237</v>
      </c>
      <c r="AC959" s="285" t="s">
        <v>56</v>
      </c>
      <c r="AD959" s="285" t="s">
        <v>103</v>
      </c>
      <c r="AE959" s="285">
        <v>0</v>
      </c>
      <c r="AF959" s="285" t="s">
        <v>212</v>
      </c>
      <c r="AG959" s="285" t="s">
        <v>213</v>
      </c>
      <c r="AH959" s="285" t="s">
        <v>57</v>
      </c>
      <c r="AI959" s="285" t="s">
        <v>101</v>
      </c>
      <c r="AJ959" s="285" t="s">
        <v>46</v>
      </c>
      <c r="AK959" s="285" t="s">
        <v>54</v>
      </c>
      <c r="AL959" s="285" t="s">
        <v>48</v>
      </c>
      <c r="AM959" s="285" t="s">
        <v>49</v>
      </c>
      <c r="AN959" s="311" t="str">
        <f>VLOOKUP(I959,Sheet1!A:D,4,)</f>
        <v>A320400</v>
      </c>
      <c r="AP959" s="4" t="s">
        <v>1361</v>
      </c>
    </row>
    <row r="960" spans="1:42" s="285" customFormat="1" x14ac:dyDescent="0.25">
      <c r="A960" s="306">
        <v>45901</v>
      </c>
      <c r="B960" s="285" t="s">
        <v>40</v>
      </c>
      <c r="C960" s="285" t="s">
        <v>41</v>
      </c>
      <c r="D960" s="307">
        <v>25708570</v>
      </c>
      <c r="E960" s="307">
        <v>25106849</v>
      </c>
      <c r="F960" s="307" t="s">
        <v>1353</v>
      </c>
      <c r="G960" s="308">
        <v>45924</v>
      </c>
      <c r="H960" s="285" t="s">
        <v>245</v>
      </c>
      <c r="I960" s="285" t="s">
        <v>122</v>
      </c>
      <c r="J960" s="285" t="s">
        <v>238</v>
      </c>
      <c r="K960" s="309">
        <v>100</v>
      </c>
      <c r="L960" s="310" t="s">
        <v>42</v>
      </c>
      <c r="M960" s="309">
        <v>100</v>
      </c>
      <c r="N960" s="309">
        <v>463600.05</v>
      </c>
      <c r="O960" s="309">
        <v>46360005</v>
      </c>
      <c r="P960" s="309">
        <v>46360005</v>
      </c>
      <c r="Q960" s="287">
        <v>0</v>
      </c>
      <c r="R960" s="287">
        <v>0</v>
      </c>
      <c r="S960" s="310" t="s">
        <v>43</v>
      </c>
      <c r="T960" s="309">
        <v>23078170</v>
      </c>
      <c r="U960" s="309">
        <v>23078170</v>
      </c>
      <c r="V960" s="309">
        <v>23281835</v>
      </c>
      <c r="W960" s="288">
        <v>0.50219655929700002</v>
      </c>
      <c r="X960" s="309">
        <v>23281835</v>
      </c>
      <c r="Y960" s="285" t="s">
        <v>235</v>
      </c>
      <c r="Z960" s="285" t="s">
        <v>44</v>
      </c>
      <c r="AA960" s="285">
        <v>15159</v>
      </c>
      <c r="AB960" s="285" t="s">
        <v>246</v>
      </c>
      <c r="AC960" s="285" t="s">
        <v>154</v>
      </c>
      <c r="AD960" s="285" t="s">
        <v>155</v>
      </c>
      <c r="AE960" s="285">
        <v>0</v>
      </c>
      <c r="AF960" s="285" t="s">
        <v>212</v>
      </c>
      <c r="AG960" s="285" t="s">
        <v>213</v>
      </c>
      <c r="AH960" s="285" t="s">
        <v>57</v>
      </c>
      <c r="AI960" s="285" t="s">
        <v>101</v>
      </c>
      <c r="AJ960" s="285" t="s">
        <v>46</v>
      </c>
      <c r="AK960" s="285" t="s">
        <v>54</v>
      </c>
      <c r="AL960" s="285" t="s">
        <v>48</v>
      </c>
      <c r="AM960" s="285" t="s">
        <v>49</v>
      </c>
      <c r="AN960" s="311" t="str">
        <f>VLOOKUP(I960,Sheet1!A:D,4,)</f>
        <v>A320400</v>
      </c>
      <c r="AP960" s="4" t="s">
        <v>1361</v>
      </c>
    </row>
    <row r="961" spans="1:42" s="285" customFormat="1" x14ac:dyDescent="0.25">
      <c r="A961" s="306">
        <v>45901</v>
      </c>
      <c r="B961" s="285" t="s">
        <v>40</v>
      </c>
      <c r="C961" s="285" t="s">
        <v>41</v>
      </c>
      <c r="D961" s="307">
        <v>25708571</v>
      </c>
      <c r="E961" s="307">
        <v>25106859</v>
      </c>
      <c r="F961" s="307" t="s">
        <v>1210</v>
      </c>
      <c r="G961" s="308">
        <v>45924</v>
      </c>
      <c r="H961" s="285" t="s">
        <v>158</v>
      </c>
      <c r="I961" s="285" t="s">
        <v>304</v>
      </c>
      <c r="J961" s="285" t="s">
        <v>512</v>
      </c>
      <c r="K961" s="309">
        <v>5</v>
      </c>
      <c r="L961" s="310" t="s">
        <v>42</v>
      </c>
      <c r="M961" s="309">
        <v>5</v>
      </c>
      <c r="N961" s="309">
        <v>1755577.78</v>
      </c>
      <c r="O961" s="309">
        <v>8777888.9000000004</v>
      </c>
      <c r="P961" s="309">
        <v>8777888.9000000004</v>
      </c>
      <c r="Q961" s="287">
        <v>0</v>
      </c>
      <c r="R961" s="287">
        <v>0</v>
      </c>
      <c r="S961" s="310" t="s">
        <v>43</v>
      </c>
      <c r="T961" s="309">
        <v>4761747</v>
      </c>
      <c r="U961" s="309">
        <v>4761747</v>
      </c>
      <c r="V961" s="309">
        <v>4016141.9</v>
      </c>
      <c r="W961" s="288">
        <v>0.457529361074</v>
      </c>
      <c r="X961" s="309">
        <v>4016141.9</v>
      </c>
      <c r="Y961" s="285" t="s">
        <v>101</v>
      </c>
      <c r="Z961" s="285" t="s">
        <v>46</v>
      </c>
      <c r="AA961" s="285">
        <v>2306495</v>
      </c>
      <c r="AB961" s="285" t="s">
        <v>161</v>
      </c>
      <c r="AC961" s="285" t="s">
        <v>56</v>
      </c>
      <c r="AD961" s="285" t="s">
        <v>103</v>
      </c>
      <c r="AE961" s="285">
        <v>0</v>
      </c>
      <c r="AF961" s="285" t="s">
        <v>727</v>
      </c>
      <c r="AG961" s="285" t="s">
        <v>728</v>
      </c>
      <c r="AH961" s="285" t="s">
        <v>121</v>
      </c>
      <c r="AI961" s="285" t="s">
        <v>101</v>
      </c>
      <c r="AJ961" s="285" t="s">
        <v>46</v>
      </c>
      <c r="AK961" s="285" t="s">
        <v>54</v>
      </c>
      <c r="AL961" s="285" t="s">
        <v>48</v>
      </c>
      <c r="AM961" s="285" t="s">
        <v>49</v>
      </c>
      <c r="AN961" s="311" t="str">
        <f>VLOOKUP(I961,Sheet1!A:D,4,)</f>
        <v>A320400</v>
      </c>
      <c r="AP961" s="4" t="s">
        <v>1361</v>
      </c>
    </row>
    <row r="962" spans="1:42" s="285" customFormat="1" x14ac:dyDescent="0.25">
      <c r="A962" s="306">
        <v>45901</v>
      </c>
      <c r="B962" s="285" t="s">
        <v>40</v>
      </c>
      <c r="C962" s="285" t="s">
        <v>41</v>
      </c>
      <c r="D962" s="307">
        <v>25708572</v>
      </c>
      <c r="E962" s="307">
        <v>25106948</v>
      </c>
      <c r="F962" s="307" t="s">
        <v>1354</v>
      </c>
      <c r="G962" s="308">
        <v>45924</v>
      </c>
      <c r="H962" s="285" t="s">
        <v>150</v>
      </c>
      <c r="I962" s="285" t="s">
        <v>1293</v>
      </c>
      <c r="J962" s="285" t="s">
        <v>1294</v>
      </c>
      <c r="K962" s="309">
        <v>5</v>
      </c>
      <c r="L962" s="310" t="s">
        <v>42</v>
      </c>
      <c r="M962" s="309">
        <v>5</v>
      </c>
      <c r="N962" s="309">
        <v>2697930.27</v>
      </c>
      <c r="O962" s="309">
        <v>13489651.35</v>
      </c>
      <c r="P962" s="309">
        <v>13489651.35</v>
      </c>
      <c r="Q962" s="287">
        <v>0</v>
      </c>
      <c r="R962" s="287">
        <v>0</v>
      </c>
      <c r="S962" s="310" t="s">
        <v>43</v>
      </c>
      <c r="T962" s="309">
        <v>6678242.3600000003</v>
      </c>
      <c r="U962" s="309">
        <v>6678242.3600000003</v>
      </c>
      <c r="V962" s="309">
        <v>6811408.9900000002</v>
      </c>
      <c r="W962" s="288">
        <v>0.504935881089</v>
      </c>
      <c r="X962" s="309">
        <v>6811408.9900000002</v>
      </c>
      <c r="Y962" s="285" t="s">
        <v>101</v>
      </c>
      <c r="Z962" s="285" t="s">
        <v>46</v>
      </c>
      <c r="AA962" s="285">
        <v>2306392</v>
      </c>
      <c r="AB962" s="285" t="s">
        <v>153</v>
      </c>
      <c r="AC962" s="285" t="s">
        <v>154</v>
      </c>
      <c r="AD962" s="285" t="s">
        <v>155</v>
      </c>
      <c r="AE962" s="285">
        <v>0</v>
      </c>
      <c r="AF962" s="285" t="s">
        <v>207</v>
      </c>
      <c r="AG962" s="285" t="s">
        <v>101</v>
      </c>
      <c r="AH962" s="285" t="s">
        <v>46</v>
      </c>
      <c r="AI962" s="285" t="s">
        <v>101</v>
      </c>
      <c r="AJ962" s="285" t="s">
        <v>46</v>
      </c>
      <c r="AK962" s="285" t="s">
        <v>54</v>
      </c>
      <c r="AL962" s="285" t="s">
        <v>48</v>
      </c>
      <c r="AM962" s="285" t="s">
        <v>49</v>
      </c>
      <c r="AN962" s="311" t="str">
        <f>VLOOKUP(I962,Sheet1!A:D,4,)</f>
        <v>A320400</v>
      </c>
      <c r="AP962" s="4" t="s">
        <v>1361</v>
      </c>
    </row>
    <row r="963" spans="1:42" s="285" customFormat="1" x14ac:dyDescent="0.25">
      <c r="A963" s="306">
        <v>45901</v>
      </c>
      <c r="B963" s="285" t="s">
        <v>40</v>
      </c>
      <c r="C963" s="285" t="s">
        <v>41</v>
      </c>
      <c r="D963" s="307">
        <v>25708573</v>
      </c>
      <c r="E963" s="307">
        <v>25106958</v>
      </c>
      <c r="F963" s="307" t="s">
        <v>1328</v>
      </c>
      <c r="G963" s="308">
        <v>45924</v>
      </c>
      <c r="H963" s="285" t="s">
        <v>158</v>
      </c>
      <c r="I963" s="285" t="s">
        <v>272</v>
      </c>
      <c r="J963" s="285" t="s">
        <v>273</v>
      </c>
      <c r="K963" s="309">
        <v>140</v>
      </c>
      <c r="L963" s="310" t="s">
        <v>42</v>
      </c>
      <c r="M963" s="309">
        <v>140</v>
      </c>
      <c r="N963" s="309">
        <v>327937.8</v>
      </c>
      <c r="O963" s="309">
        <v>45911292</v>
      </c>
      <c r="P963" s="309">
        <v>45911292</v>
      </c>
      <c r="Q963" s="287">
        <v>0</v>
      </c>
      <c r="R963" s="287">
        <v>0</v>
      </c>
      <c r="S963" s="310" t="s">
        <v>43</v>
      </c>
      <c r="T963" s="309">
        <v>24457016.289999999</v>
      </c>
      <c r="U963" s="309">
        <v>24457016.289999999</v>
      </c>
      <c r="V963" s="309">
        <v>21454275.710000001</v>
      </c>
      <c r="W963" s="288">
        <v>0.46729845263300002</v>
      </c>
      <c r="X963" s="309">
        <v>21454275.710000001</v>
      </c>
      <c r="Y963" s="285" t="s">
        <v>101</v>
      </c>
      <c r="Z963" s="285" t="s">
        <v>46</v>
      </c>
      <c r="AA963" s="285">
        <v>2306495</v>
      </c>
      <c r="AB963" s="285" t="s">
        <v>161</v>
      </c>
      <c r="AC963" s="285" t="s">
        <v>56</v>
      </c>
      <c r="AD963" s="285" t="s">
        <v>103</v>
      </c>
      <c r="AE963" s="285">
        <v>0</v>
      </c>
      <c r="AF963" s="285" t="s">
        <v>212</v>
      </c>
      <c r="AG963" s="285" t="s">
        <v>213</v>
      </c>
      <c r="AH963" s="285" t="s">
        <v>57</v>
      </c>
      <c r="AI963" s="285" t="s">
        <v>101</v>
      </c>
      <c r="AJ963" s="285" t="s">
        <v>46</v>
      </c>
      <c r="AK963" s="285" t="s">
        <v>54</v>
      </c>
      <c r="AL963" s="285" t="s">
        <v>48</v>
      </c>
      <c r="AM963" s="285" t="s">
        <v>49</v>
      </c>
      <c r="AN963" s="311" t="str">
        <f>VLOOKUP(I963,Sheet1!A:D,4,)</f>
        <v>A320400</v>
      </c>
      <c r="AP963" s="4" t="s">
        <v>1361</v>
      </c>
    </row>
    <row r="964" spans="1:42" s="285" customFormat="1" x14ac:dyDescent="0.25">
      <c r="A964" s="306">
        <v>45901</v>
      </c>
      <c r="B964" s="285" t="s">
        <v>40</v>
      </c>
      <c r="C964" s="285" t="s">
        <v>41</v>
      </c>
      <c r="D964" s="307">
        <v>25708574</v>
      </c>
      <c r="E964" s="307">
        <v>25106806</v>
      </c>
      <c r="F964" s="307" t="s">
        <v>1330</v>
      </c>
      <c r="G964" s="308">
        <v>45918</v>
      </c>
      <c r="H964" s="285" t="s">
        <v>237</v>
      </c>
      <c r="I964" s="285" t="s">
        <v>177</v>
      </c>
      <c r="J964" s="285" t="s">
        <v>243</v>
      </c>
      <c r="K964" s="309">
        <v>120</v>
      </c>
      <c r="L964" s="310" t="s">
        <v>42</v>
      </c>
      <c r="M964" s="309">
        <v>120</v>
      </c>
      <c r="N964" s="309">
        <v>885939.44</v>
      </c>
      <c r="O964" s="309">
        <v>106312732.8</v>
      </c>
      <c r="P964" s="309">
        <v>106312732.8</v>
      </c>
      <c r="Q964" s="287">
        <v>0</v>
      </c>
      <c r="R964" s="287">
        <v>0</v>
      </c>
      <c r="S964" s="310" t="s">
        <v>43</v>
      </c>
      <c r="T964" s="309">
        <v>49074905.700000003</v>
      </c>
      <c r="U964" s="309">
        <v>49074905.700000003</v>
      </c>
      <c r="V964" s="309">
        <v>57237827.100000001</v>
      </c>
      <c r="W964" s="288">
        <v>0.53839108065800001</v>
      </c>
      <c r="X964" s="309">
        <v>57237827.100000001</v>
      </c>
      <c r="Y964" s="285" t="s">
        <v>101</v>
      </c>
      <c r="Z964" s="285" t="s">
        <v>46</v>
      </c>
      <c r="AA964" s="285">
        <v>2306153</v>
      </c>
      <c r="AB964" s="285" t="s">
        <v>237</v>
      </c>
      <c r="AC964" s="285" t="s">
        <v>56</v>
      </c>
      <c r="AD964" s="285" t="s">
        <v>103</v>
      </c>
      <c r="AE964" s="285">
        <v>0</v>
      </c>
      <c r="AF964" s="285" t="s">
        <v>207</v>
      </c>
      <c r="AG964" s="285" t="s">
        <v>101</v>
      </c>
      <c r="AH964" s="285" t="s">
        <v>46</v>
      </c>
      <c r="AI964" s="285" t="s">
        <v>101</v>
      </c>
      <c r="AJ964" s="285" t="s">
        <v>46</v>
      </c>
      <c r="AK964" s="285" t="s">
        <v>54</v>
      </c>
      <c r="AL964" s="285" t="s">
        <v>48</v>
      </c>
      <c r="AM964" s="285" t="s">
        <v>49</v>
      </c>
      <c r="AP964" s="4"/>
    </row>
    <row r="965" spans="1:42" s="285" customFormat="1" x14ac:dyDescent="0.25">
      <c r="A965" s="306">
        <v>45901</v>
      </c>
      <c r="B965" s="285" t="s">
        <v>40</v>
      </c>
      <c r="C965" s="285" t="s">
        <v>41</v>
      </c>
      <c r="D965" s="307">
        <v>25708575</v>
      </c>
      <c r="E965" s="307">
        <v>25106911</v>
      </c>
      <c r="F965" s="307" t="s">
        <v>1362</v>
      </c>
      <c r="G965" s="308">
        <v>45918</v>
      </c>
      <c r="H965" s="285" t="s">
        <v>237</v>
      </c>
      <c r="I965" s="285" t="s">
        <v>400</v>
      </c>
      <c r="J965" s="285" t="s">
        <v>612</v>
      </c>
      <c r="K965" s="309">
        <v>5</v>
      </c>
      <c r="L965" s="310" t="s">
        <v>42</v>
      </c>
      <c r="M965" s="309">
        <v>5</v>
      </c>
      <c r="N965" s="309">
        <v>3448960.34</v>
      </c>
      <c r="O965" s="309">
        <v>17244801.699999999</v>
      </c>
      <c r="P965" s="309">
        <v>17244801.699999999</v>
      </c>
      <c r="Q965" s="287">
        <v>0</v>
      </c>
      <c r="R965" s="287">
        <v>0</v>
      </c>
      <c r="S965" s="310" t="s">
        <v>43</v>
      </c>
      <c r="T965" s="309">
        <v>9358656.9499999993</v>
      </c>
      <c r="U965" s="309">
        <v>9358656.9499999993</v>
      </c>
      <c r="V965" s="309">
        <v>7886144.75</v>
      </c>
      <c r="W965" s="288">
        <v>0.45730562097400002</v>
      </c>
      <c r="X965" s="309">
        <v>7886144.75</v>
      </c>
      <c r="Y965" s="285" t="s">
        <v>101</v>
      </c>
      <c r="Z965" s="285" t="s">
        <v>46</v>
      </c>
      <c r="AA965" s="285">
        <v>2306153</v>
      </c>
      <c r="AB965" s="285" t="s">
        <v>237</v>
      </c>
      <c r="AC965" s="285" t="s">
        <v>56</v>
      </c>
      <c r="AD965" s="285" t="s">
        <v>103</v>
      </c>
      <c r="AE965" s="285">
        <v>0</v>
      </c>
      <c r="AF965" s="285" t="s">
        <v>212</v>
      </c>
      <c r="AG965" s="285" t="s">
        <v>921</v>
      </c>
      <c r="AH965" s="285" t="s">
        <v>132</v>
      </c>
      <c r="AI965" s="285" t="s">
        <v>101</v>
      </c>
      <c r="AJ965" s="285" t="s">
        <v>46</v>
      </c>
      <c r="AK965" s="285" t="s">
        <v>54</v>
      </c>
      <c r="AL965" s="285" t="s">
        <v>48</v>
      </c>
      <c r="AM965" s="285" t="s">
        <v>49</v>
      </c>
      <c r="AP965" s="4"/>
    </row>
    <row r="966" spans="1:42" s="285" customFormat="1" x14ac:dyDescent="0.25">
      <c r="A966" s="306">
        <v>45901</v>
      </c>
      <c r="B966" s="285" t="s">
        <v>40</v>
      </c>
      <c r="C966" s="285" t="s">
        <v>41</v>
      </c>
      <c r="D966" s="307">
        <v>25708576</v>
      </c>
      <c r="E966" s="307">
        <v>25106928</v>
      </c>
      <c r="F966" s="307" t="s">
        <v>1312</v>
      </c>
      <c r="G966" s="308">
        <v>45918</v>
      </c>
      <c r="H966" s="285" t="s">
        <v>237</v>
      </c>
      <c r="I966" s="285" t="s">
        <v>400</v>
      </c>
      <c r="J966" s="285" t="s">
        <v>612</v>
      </c>
      <c r="K966" s="309">
        <v>1</v>
      </c>
      <c r="L966" s="310" t="s">
        <v>42</v>
      </c>
      <c r="M966" s="309">
        <v>1</v>
      </c>
      <c r="N966" s="309">
        <v>3453735.75</v>
      </c>
      <c r="O966" s="309">
        <v>3453735.75</v>
      </c>
      <c r="P966" s="309">
        <v>3453735.75</v>
      </c>
      <c r="Q966" s="287">
        <v>0</v>
      </c>
      <c r="R966" s="287">
        <v>0</v>
      </c>
      <c r="S966" s="310" t="s">
        <v>43</v>
      </c>
      <c r="T966" s="309">
        <v>1871731.39</v>
      </c>
      <c r="U966" s="309">
        <v>1871731.39</v>
      </c>
      <c r="V966" s="309">
        <v>1582004.36</v>
      </c>
      <c r="W966" s="288">
        <v>0.45805599342600001</v>
      </c>
      <c r="X966" s="309">
        <v>1582004.36</v>
      </c>
      <c r="Y966" s="285" t="s">
        <v>101</v>
      </c>
      <c r="Z966" s="285" t="s">
        <v>46</v>
      </c>
      <c r="AA966" s="285">
        <v>2306153</v>
      </c>
      <c r="AB966" s="285" t="s">
        <v>237</v>
      </c>
      <c r="AC966" s="285" t="s">
        <v>56</v>
      </c>
      <c r="AD966" s="285" t="s">
        <v>103</v>
      </c>
      <c r="AE966" s="285">
        <v>0</v>
      </c>
      <c r="AF966" s="285" t="s">
        <v>212</v>
      </c>
      <c r="AG966" s="285" t="s">
        <v>921</v>
      </c>
      <c r="AH966" s="285" t="s">
        <v>132</v>
      </c>
      <c r="AI966" s="285" t="s">
        <v>101</v>
      </c>
      <c r="AJ966" s="285" t="s">
        <v>46</v>
      </c>
      <c r="AK966" s="285" t="s">
        <v>54</v>
      </c>
      <c r="AL966" s="285" t="s">
        <v>48</v>
      </c>
      <c r="AM966" s="285" t="s">
        <v>49</v>
      </c>
      <c r="AP966" s="4"/>
    </row>
    <row r="967" spans="1:42" s="285" customFormat="1" x14ac:dyDescent="0.25">
      <c r="A967" s="306">
        <v>45901</v>
      </c>
      <c r="B967" s="285" t="s">
        <v>40</v>
      </c>
      <c r="C967" s="285" t="s">
        <v>41</v>
      </c>
      <c r="D967" s="307">
        <v>25708577</v>
      </c>
      <c r="E967" s="307">
        <v>25106805</v>
      </c>
      <c r="F967" s="307" t="s">
        <v>1363</v>
      </c>
      <c r="G967" s="308">
        <v>45924</v>
      </c>
      <c r="H967" s="285" t="s">
        <v>237</v>
      </c>
      <c r="I967" s="285" t="s">
        <v>129</v>
      </c>
      <c r="J967" s="285" t="s">
        <v>1302</v>
      </c>
      <c r="K967" s="309">
        <v>300</v>
      </c>
      <c r="L967" s="310" t="s">
        <v>42</v>
      </c>
      <c r="M967" s="309">
        <v>300</v>
      </c>
      <c r="N967" s="309">
        <v>944058.58</v>
      </c>
      <c r="O967" s="309">
        <v>283217574</v>
      </c>
      <c r="P967" s="309">
        <v>283217574</v>
      </c>
      <c r="Q967" s="287">
        <v>0</v>
      </c>
      <c r="R967" s="287">
        <v>0</v>
      </c>
      <c r="S967" s="310" t="s">
        <v>43</v>
      </c>
      <c r="T967" s="309">
        <v>170541623.53</v>
      </c>
      <c r="U967" s="309">
        <v>170541623.53</v>
      </c>
      <c r="V967" s="309">
        <v>112675950.47</v>
      </c>
      <c r="W967" s="288">
        <v>0.39784236860200001</v>
      </c>
      <c r="X967" s="309">
        <v>112675950.47</v>
      </c>
      <c r="Y967" s="285" t="s">
        <v>101</v>
      </c>
      <c r="Z967" s="285" t="s">
        <v>46</v>
      </c>
      <c r="AA967" s="285">
        <v>2306153</v>
      </c>
      <c r="AB967" s="285" t="s">
        <v>237</v>
      </c>
      <c r="AC967" s="285" t="s">
        <v>56</v>
      </c>
      <c r="AD967" s="285" t="s">
        <v>103</v>
      </c>
      <c r="AE967" s="285">
        <v>0</v>
      </c>
      <c r="AF967" s="285" t="s">
        <v>212</v>
      </c>
      <c r="AG967" s="285" t="s">
        <v>921</v>
      </c>
      <c r="AH967" s="285" t="s">
        <v>132</v>
      </c>
      <c r="AI967" s="285" t="s">
        <v>101</v>
      </c>
      <c r="AJ967" s="285" t="s">
        <v>46</v>
      </c>
      <c r="AK967" s="285" t="s">
        <v>54</v>
      </c>
      <c r="AL967" s="285" t="s">
        <v>48</v>
      </c>
      <c r="AM967" s="285" t="s">
        <v>49</v>
      </c>
      <c r="AP967" s="4"/>
    </row>
    <row r="968" spans="1:42" s="285" customFormat="1" x14ac:dyDescent="0.25">
      <c r="A968" s="306">
        <v>45901</v>
      </c>
      <c r="B968" s="285" t="s">
        <v>40</v>
      </c>
      <c r="C968" s="285" t="s">
        <v>41</v>
      </c>
      <c r="D968" s="307">
        <v>25708578</v>
      </c>
      <c r="E968" s="307">
        <v>25106808</v>
      </c>
      <c r="F968" s="307" t="s">
        <v>1170</v>
      </c>
      <c r="G968" s="308">
        <v>45924</v>
      </c>
      <c r="H968" s="285" t="s">
        <v>237</v>
      </c>
      <c r="I968" s="285" t="s">
        <v>129</v>
      </c>
      <c r="J968" s="285" t="s">
        <v>1302</v>
      </c>
      <c r="K968" s="309">
        <v>200</v>
      </c>
      <c r="L968" s="310" t="s">
        <v>42</v>
      </c>
      <c r="M968" s="309">
        <v>200</v>
      </c>
      <c r="N968" s="309">
        <v>944058.58</v>
      </c>
      <c r="O968" s="309">
        <v>188811716</v>
      </c>
      <c r="P968" s="309">
        <v>188811716</v>
      </c>
      <c r="Q968" s="287">
        <v>0</v>
      </c>
      <c r="R968" s="287">
        <v>0</v>
      </c>
      <c r="S968" s="310" t="s">
        <v>43</v>
      </c>
      <c r="T968" s="309">
        <v>113694415.69</v>
      </c>
      <c r="U968" s="309">
        <v>113694415.69</v>
      </c>
      <c r="V968" s="309">
        <v>75117300.310000002</v>
      </c>
      <c r="W968" s="288">
        <v>0.39784236858400002</v>
      </c>
      <c r="X968" s="309">
        <v>75117300.310000002</v>
      </c>
      <c r="Y968" s="285" t="s">
        <v>101</v>
      </c>
      <c r="Z968" s="285" t="s">
        <v>46</v>
      </c>
      <c r="AA968" s="285">
        <v>2306153</v>
      </c>
      <c r="AB968" s="285" t="s">
        <v>237</v>
      </c>
      <c r="AC968" s="285" t="s">
        <v>56</v>
      </c>
      <c r="AD968" s="285" t="s">
        <v>103</v>
      </c>
      <c r="AE968" s="285">
        <v>0</v>
      </c>
      <c r="AF968" s="285" t="s">
        <v>212</v>
      </c>
      <c r="AG968" s="285" t="s">
        <v>921</v>
      </c>
      <c r="AH968" s="285" t="s">
        <v>132</v>
      </c>
      <c r="AI968" s="285" t="s">
        <v>101</v>
      </c>
      <c r="AJ968" s="285" t="s">
        <v>46</v>
      </c>
      <c r="AK968" s="285" t="s">
        <v>54</v>
      </c>
      <c r="AL968" s="285" t="s">
        <v>48</v>
      </c>
      <c r="AM968" s="285" t="s">
        <v>49</v>
      </c>
      <c r="AP968" s="4"/>
    </row>
    <row r="969" spans="1:42" s="285" customFormat="1" x14ac:dyDescent="0.25">
      <c r="A969" s="306">
        <v>45901</v>
      </c>
      <c r="B969" s="285" t="s">
        <v>40</v>
      </c>
      <c r="C969" s="285" t="s">
        <v>41</v>
      </c>
      <c r="D969" s="307">
        <v>25708579</v>
      </c>
      <c r="E969" s="307">
        <v>25106959</v>
      </c>
      <c r="F969" s="307" t="s">
        <v>1364</v>
      </c>
      <c r="G969" s="308">
        <v>45924</v>
      </c>
      <c r="H969" s="285" t="s">
        <v>158</v>
      </c>
      <c r="I969" s="285" t="s">
        <v>301</v>
      </c>
      <c r="J969" s="285" t="s">
        <v>509</v>
      </c>
      <c r="K969" s="309">
        <v>60</v>
      </c>
      <c r="L969" s="310" t="s">
        <v>42</v>
      </c>
      <c r="M969" s="309">
        <v>60</v>
      </c>
      <c r="N969" s="309">
        <v>7545638.7599999998</v>
      </c>
      <c r="O969" s="309">
        <v>452738325.60000002</v>
      </c>
      <c r="P969" s="309">
        <v>452738325.60000002</v>
      </c>
      <c r="Q969" s="287">
        <v>0</v>
      </c>
      <c r="R969" s="287">
        <v>0</v>
      </c>
      <c r="S969" s="310" t="s">
        <v>43</v>
      </c>
      <c r="T969" s="309">
        <v>352154221.94999999</v>
      </c>
      <c r="U969" s="309">
        <v>352154221.94999999</v>
      </c>
      <c r="V969" s="309">
        <v>100584103.65000001</v>
      </c>
      <c r="W969" s="288">
        <v>0.22216829891000001</v>
      </c>
      <c r="X969" s="309">
        <v>100584103.65000001</v>
      </c>
      <c r="Y969" s="285" t="s">
        <v>101</v>
      </c>
      <c r="Z969" s="285" t="s">
        <v>46</v>
      </c>
      <c r="AA969" s="285">
        <v>2306495</v>
      </c>
      <c r="AB969" s="285" t="s">
        <v>161</v>
      </c>
      <c r="AC969" s="285" t="s">
        <v>56</v>
      </c>
      <c r="AD969" s="285" t="s">
        <v>103</v>
      </c>
      <c r="AE969" s="285">
        <v>0</v>
      </c>
      <c r="AF969" s="285" t="s">
        <v>191</v>
      </c>
      <c r="AG969" s="285" t="s">
        <v>101</v>
      </c>
      <c r="AH969" s="285" t="s">
        <v>46</v>
      </c>
      <c r="AI969" s="285" t="s">
        <v>101</v>
      </c>
      <c r="AJ969" s="285" t="s">
        <v>46</v>
      </c>
      <c r="AK969" s="285" t="s">
        <v>54</v>
      </c>
      <c r="AL969" s="285" t="s">
        <v>48</v>
      </c>
      <c r="AM969" s="285" t="s">
        <v>49</v>
      </c>
      <c r="AP969" s="4"/>
    </row>
    <row r="970" spans="1:42" s="285" customFormat="1" x14ac:dyDescent="0.25">
      <c r="A970" s="306">
        <v>45901</v>
      </c>
      <c r="B970" s="285" t="s">
        <v>40</v>
      </c>
      <c r="C970" s="285" t="s">
        <v>41</v>
      </c>
      <c r="D970" s="307">
        <v>25708580</v>
      </c>
      <c r="E970" s="307">
        <v>25106805</v>
      </c>
      <c r="F970" s="307" t="s">
        <v>1363</v>
      </c>
      <c r="G970" s="308">
        <v>45924</v>
      </c>
      <c r="H970" s="285" t="s">
        <v>237</v>
      </c>
      <c r="I970" s="285" t="s">
        <v>431</v>
      </c>
      <c r="J970" s="285" t="s">
        <v>644</v>
      </c>
      <c r="K970" s="309">
        <v>100</v>
      </c>
      <c r="L970" s="310" t="s">
        <v>42</v>
      </c>
      <c r="M970" s="309">
        <v>100</v>
      </c>
      <c r="N970" s="309">
        <v>2466209.37</v>
      </c>
      <c r="O970" s="309">
        <v>246620937</v>
      </c>
      <c r="P970" s="309">
        <v>246620937</v>
      </c>
      <c r="Q970" s="287">
        <v>0</v>
      </c>
      <c r="R970" s="287">
        <v>0</v>
      </c>
      <c r="S970" s="310" t="s">
        <v>43</v>
      </c>
      <c r="T970" s="309">
        <v>152712640.09999999</v>
      </c>
      <c r="U970" s="309">
        <v>152712640.09999999</v>
      </c>
      <c r="V970" s="309">
        <v>93908296.900000006</v>
      </c>
      <c r="W970" s="288">
        <v>0.38077990474899998</v>
      </c>
      <c r="X970" s="309">
        <v>93908296.900000006</v>
      </c>
      <c r="Y970" s="285" t="s">
        <v>101</v>
      </c>
      <c r="Z970" s="285" t="s">
        <v>46</v>
      </c>
      <c r="AA970" s="285">
        <v>2306153</v>
      </c>
      <c r="AB970" s="285" t="s">
        <v>237</v>
      </c>
      <c r="AC970" s="285" t="s">
        <v>56</v>
      </c>
      <c r="AD970" s="285" t="s">
        <v>103</v>
      </c>
      <c r="AE970" s="285">
        <v>0</v>
      </c>
      <c r="AF970" s="285" t="s">
        <v>207</v>
      </c>
      <c r="AG970" s="285" t="s">
        <v>101</v>
      </c>
      <c r="AH970" s="285" t="s">
        <v>46</v>
      </c>
      <c r="AI970" s="285" t="s">
        <v>101</v>
      </c>
      <c r="AJ970" s="285" t="s">
        <v>46</v>
      </c>
      <c r="AK970" s="285" t="s">
        <v>54</v>
      </c>
      <c r="AL970" s="285" t="s">
        <v>48</v>
      </c>
      <c r="AM970" s="285" t="s">
        <v>49</v>
      </c>
      <c r="AP970" s="4"/>
    </row>
    <row r="971" spans="1:42" s="285" customFormat="1" x14ac:dyDescent="0.25">
      <c r="A971" s="306">
        <v>45901</v>
      </c>
      <c r="B971" s="285" t="s">
        <v>40</v>
      </c>
      <c r="C971" s="285" t="s">
        <v>41</v>
      </c>
      <c r="D971" s="307">
        <v>25708581</v>
      </c>
      <c r="E971" s="307">
        <v>25106808</v>
      </c>
      <c r="F971" s="307" t="s">
        <v>1170</v>
      </c>
      <c r="G971" s="308">
        <v>45924</v>
      </c>
      <c r="H971" s="285" t="s">
        <v>237</v>
      </c>
      <c r="I971" s="285" t="s">
        <v>431</v>
      </c>
      <c r="J971" s="285" t="s">
        <v>644</v>
      </c>
      <c r="K971" s="309">
        <v>60</v>
      </c>
      <c r="L971" s="310" t="s">
        <v>42</v>
      </c>
      <c r="M971" s="309">
        <v>60</v>
      </c>
      <c r="N971" s="309">
        <v>2466209.37</v>
      </c>
      <c r="O971" s="309">
        <v>147972562.19999999</v>
      </c>
      <c r="P971" s="309">
        <v>147972562.19999999</v>
      </c>
      <c r="Q971" s="287">
        <v>0</v>
      </c>
      <c r="R971" s="287">
        <v>0</v>
      </c>
      <c r="S971" s="310" t="s">
        <v>43</v>
      </c>
      <c r="T971" s="309">
        <v>91627584.060000002</v>
      </c>
      <c r="U971" s="309">
        <v>91627584.060000002</v>
      </c>
      <c r="V971" s="309">
        <v>56344978.140000001</v>
      </c>
      <c r="W971" s="288">
        <v>0.38077990474899998</v>
      </c>
      <c r="X971" s="309">
        <v>56344978.140000001</v>
      </c>
      <c r="Y971" s="285" t="s">
        <v>101</v>
      </c>
      <c r="Z971" s="285" t="s">
        <v>46</v>
      </c>
      <c r="AA971" s="285">
        <v>2306153</v>
      </c>
      <c r="AB971" s="285" t="s">
        <v>237</v>
      </c>
      <c r="AC971" s="285" t="s">
        <v>56</v>
      </c>
      <c r="AD971" s="285" t="s">
        <v>103</v>
      </c>
      <c r="AE971" s="285">
        <v>0</v>
      </c>
      <c r="AF971" s="285" t="s">
        <v>207</v>
      </c>
      <c r="AG971" s="285" t="s">
        <v>101</v>
      </c>
      <c r="AH971" s="285" t="s">
        <v>46</v>
      </c>
      <c r="AI971" s="285" t="s">
        <v>101</v>
      </c>
      <c r="AJ971" s="285" t="s">
        <v>46</v>
      </c>
      <c r="AK971" s="285" t="s">
        <v>54</v>
      </c>
      <c r="AL971" s="285" t="s">
        <v>48</v>
      </c>
      <c r="AM971" s="285" t="s">
        <v>49</v>
      </c>
      <c r="AP971" s="4"/>
    </row>
  </sheetData>
  <autoFilter ref="A6:AR570" xr:uid="{00BC87AA-2677-4754-A771-FD982C703ECC}">
    <filterColumn colId="0">
      <filters blank="1">
        <dateGroupItem year="2025" month="2" dateTimeGrouping="month"/>
      </filters>
    </filterColumn>
    <filterColumn colId="3">
      <filters>
        <filter val="25708016"/>
        <filter val="25708018"/>
      </filters>
    </filterColumn>
  </autoFilter>
  <pageMargins left="0.7" right="0.7" top="0.75" bottom="0.75" header="0.3" footer="0.3"/>
  <pageSetup paperSize="9" scale="91" orientation="portrait" horizontalDpi="300" verticalDpi="300" r:id="rId1"/>
  <headerFooter>
    <oddFooter>&amp;C&amp;1#&amp;"Calibri"&amp;10&amp;K000000Sensient Technologies: Level 4 External</oddFooter>
  </headerFooter>
  <colBreaks count="1" manualBreakCount="1">
    <brk id="35" min="5" max="1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72A2-4B38-4EAD-90A9-121157EF7121}">
  <dimension ref="A1:AP233"/>
  <sheetViews>
    <sheetView workbookViewId="0">
      <selection activeCell="A9" sqref="A9:XFD9"/>
    </sheetView>
  </sheetViews>
  <sheetFormatPr defaultRowHeight="15" x14ac:dyDescent="0.25"/>
  <cols>
    <col min="1" max="1" width="20" style="23" customWidth="1"/>
    <col min="4" max="5" width="10.140625" bestFit="1" customWidth="1"/>
    <col min="7" max="7" width="11.85546875" style="30" bestFit="1" customWidth="1"/>
    <col min="11" max="11" width="9.28515625" bestFit="1" customWidth="1"/>
    <col min="13" max="13" width="9.28515625" bestFit="1" customWidth="1"/>
    <col min="14" max="14" width="13.28515625" bestFit="1" customWidth="1"/>
    <col min="15" max="15" width="13.140625" bestFit="1" customWidth="1"/>
    <col min="16" max="16" width="33.140625" bestFit="1" customWidth="1"/>
    <col min="17" max="18" width="9.28515625" bestFit="1" customWidth="1"/>
    <col min="20" max="20" width="16.5703125" bestFit="1" customWidth="1"/>
    <col min="21" max="21" width="37.42578125" bestFit="1" customWidth="1"/>
    <col min="22" max="22" width="16.28515625" bestFit="1" customWidth="1"/>
    <col min="23" max="23" width="9.28515625" bestFit="1" customWidth="1"/>
    <col min="24" max="24" width="32.140625" bestFit="1" customWidth="1"/>
    <col min="27" max="27" width="9.28515625" bestFit="1" customWidth="1"/>
    <col min="42" max="42" width="92.28515625" hidden="1" customWidth="1"/>
  </cols>
  <sheetData>
    <row r="1" spans="1:42" s="74" customFormat="1" x14ac:dyDescent="0.25">
      <c r="A1" s="89"/>
      <c r="G1" s="90"/>
    </row>
    <row r="2" spans="1:42" s="74" customFormat="1" x14ac:dyDescent="0.25">
      <c r="A2" s="89"/>
      <c r="G2" s="90"/>
    </row>
    <row r="3" spans="1:42" s="74" customFormat="1" x14ac:dyDescent="0.25">
      <c r="A3" s="89"/>
      <c r="G3" s="90"/>
    </row>
    <row r="4" spans="1:42" s="74" customFormat="1" x14ac:dyDescent="0.25">
      <c r="A4" s="89"/>
      <c r="G4" s="90"/>
    </row>
    <row r="5" spans="1:42" s="74" customFormat="1" x14ac:dyDescent="0.25">
      <c r="A5" s="89" t="s">
        <v>230</v>
      </c>
      <c r="G5" s="90"/>
    </row>
    <row r="6" spans="1:42" s="48" customFormat="1" x14ac:dyDescent="0.25">
      <c r="A6" s="83" t="s">
        <v>0</v>
      </c>
      <c r="B6" s="84" t="s">
        <v>1</v>
      </c>
      <c r="C6" s="84" t="s">
        <v>2</v>
      </c>
      <c r="D6" s="84" t="s">
        <v>4</v>
      </c>
      <c r="E6" s="84" t="s">
        <v>3</v>
      </c>
      <c r="F6" s="84" t="s">
        <v>5</v>
      </c>
      <c r="G6" s="85" t="s">
        <v>6</v>
      </c>
      <c r="H6" s="84" t="s">
        <v>7</v>
      </c>
      <c r="I6" s="84" t="s">
        <v>8</v>
      </c>
      <c r="J6" s="84" t="s">
        <v>9</v>
      </c>
      <c r="K6" s="84" t="s">
        <v>10</v>
      </c>
      <c r="L6" s="84" t="s">
        <v>11</v>
      </c>
      <c r="M6" s="84" t="s">
        <v>12</v>
      </c>
      <c r="N6" s="86" t="s">
        <v>13</v>
      </c>
      <c r="O6" s="86" t="s">
        <v>14</v>
      </c>
      <c r="P6" s="86" t="s">
        <v>15</v>
      </c>
      <c r="Q6" s="84" t="s">
        <v>16</v>
      </c>
      <c r="R6" s="84" t="s">
        <v>17</v>
      </c>
      <c r="S6" s="84" t="s">
        <v>18</v>
      </c>
      <c r="T6" s="86" t="s">
        <v>19</v>
      </c>
      <c r="U6" s="86" t="s">
        <v>20</v>
      </c>
      <c r="V6" s="86" t="s">
        <v>21</v>
      </c>
      <c r="W6" s="86" t="s">
        <v>22</v>
      </c>
      <c r="X6" s="86" t="s">
        <v>23</v>
      </c>
      <c r="Y6" s="84" t="s">
        <v>24</v>
      </c>
      <c r="Z6" s="84" t="s">
        <v>25</v>
      </c>
      <c r="AA6" s="84" t="s">
        <v>26</v>
      </c>
      <c r="AB6" s="84" t="s">
        <v>27</v>
      </c>
      <c r="AC6" s="84" t="s">
        <v>28</v>
      </c>
      <c r="AD6" s="84" t="s">
        <v>29</v>
      </c>
      <c r="AE6" s="84" t="s">
        <v>30</v>
      </c>
      <c r="AF6" s="84" t="s">
        <v>31</v>
      </c>
      <c r="AG6" s="84" t="s">
        <v>32</v>
      </c>
      <c r="AH6" s="84" t="s">
        <v>33</v>
      </c>
      <c r="AI6" s="84" t="s">
        <v>34</v>
      </c>
      <c r="AJ6" s="84" t="s">
        <v>35</v>
      </c>
      <c r="AK6" s="84" t="s">
        <v>36</v>
      </c>
      <c r="AL6" s="84" t="s">
        <v>37</v>
      </c>
      <c r="AM6" s="84" t="s">
        <v>38</v>
      </c>
      <c r="AN6" s="1" t="s">
        <v>276</v>
      </c>
      <c r="AP6" s="88" t="s">
        <v>39</v>
      </c>
    </row>
    <row r="7" spans="1:42" s="133" customFormat="1" ht="14.25" x14ac:dyDescent="0.2">
      <c r="A7" s="132">
        <v>45658</v>
      </c>
      <c r="B7" s="133" t="s">
        <v>40</v>
      </c>
      <c r="C7" s="133" t="s">
        <v>41</v>
      </c>
      <c r="D7" s="134">
        <v>25707940</v>
      </c>
      <c r="E7" s="134">
        <v>24106480</v>
      </c>
      <c r="F7" s="133" t="s">
        <v>231</v>
      </c>
      <c r="G7" s="135">
        <v>45660</v>
      </c>
      <c r="H7" s="133" t="s">
        <v>232</v>
      </c>
      <c r="I7" s="133" t="s">
        <v>233</v>
      </c>
      <c r="J7" s="133" t="s">
        <v>234</v>
      </c>
      <c r="K7" s="136">
        <v>1</v>
      </c>
      <c r="L7" s="136" t="s">
        <v>42</v>
      </c>
      <c r="M7" s="136">
        <v>1</v>
      </c>
      <c r="N7" s="136">
        <v>64242861</v>
      </c>
      <c r="O7" s="136">
        <v>64242861</v>
      </c>
      <c r="P7" s="136">
        <v>64242861</v>
      </c>
      <c r="Q7" s="136">
        <v>0</v>
      </c>
      <c r="R7" s="136">
        <v>0</v>
      </c>
      <c r="S7" s="136" t="s">
        <v>43</v>
      </c>
      <c r="T7" s="136">
        <v>34741658.450000003</v>
      </c>
      <c r="U7" s="136">
        <v>34741658.450000003</v>
      </c>
      <c r="V7" s="136">
        <v>29501202.550000001</v>
      </c>
      <c r="W7" s="136">
        <v>0.45921371014200002</v>
      </c>
      <c r="X7" s="136">
        <v>29501202.550000001</v>
      </c>
      <c r="Y7" s="136" t="s">
        <v>235</v>
      </c>
      <c r="Z7" s="136" t="s">
        <v>44</v>
      </c>
      <c r="AA7" s="136">
        <v>15447</v>
      </c>
      <c r="AB7" s="133" t="s">
        <v>232</v>
      </c>
      <c r="AC7" s="133" t="s">
        <v>45</v>
      </c>
      <c r="AD7" s="133" t="s">
        <v>199</v>
      </c>
      <c r="AE7" s="133">
        <v>0</v>
      </c>
      <c r="AF7" s="133" t="s">
        <v>108</v>
      </c>
      <c r="AG7" s="133" t="s">
        <v>101</v>
      </c>
      <c r="AH7" s="133" t="s">
        <v>46</v>
      </c>
      <c r="AI7" s="133" t="s">
        <v>101</v>
      </c>
      <c r="AJ7" s="133" t="s">
        <v>46</v>
      </c>
      <c r="AK7" s="133" t="s">
        <v>54</v>
      </c>
      <c r="AL7" s="133" t="s">
        <v>48</v>
      </c>
      <c r="AM7" s="133" t="s">
        <v>64</v>
      </c>
      <c r="AN7" s="133" t="str">
        <f>VLOOKUP(I7,Sheet1!A:D,4,FALSE)</f>
        <v>A210600</v>
      </c>
      <c r="AP7" s="133" t="s">
        <v>236</v>
      </c>
    </row>
    <row r="8" spans="1:42" s="133" customFormat="1" ht="14.25" x14ac:dyDescent="0.2">
      <c r="A8" s="132">
        <v>45809</v>
      </c>
      <c r="B8" s="133" t="s">
        <v>40</v>
      </c>
      <c r="C8" s="133" t="s">
        <v>41</v>
      </c>
      <c r="D8" s="133">
        <v>25708263</v>
      </c>
      <c r="E8" s="133">
        <v>25106679</v>
      </c>
      <c r="F8" s="133" t="s">
        <v>1058</v>
      </c>
      <c r="G8" s="135">
        <v>45812</v>
      </c>
      <c r="H8" s="133" t="s">
        <v>1059</v>
      </c>
      <c r="I8" s="133" t="s">
        <v>233</v>
      </c>
      <c r="J8" s="133" t="s">
        <v>1060</v>
      </c>
      <c r="K8" s="133">
        <v>0.4</v>
      </c>
      <c r="L8" s="133" t="s">
        <v>42</v>
      </c>
      <c r="M8" s="133">
        <v>0.4</v>
      </c>
      <c r="N8" s="133">
        <v>91411199</v>
      </c>
      <c r="O8" s="133">
        <v>36564479.600000001</v>
      </c>
      <c r="P8" s="133">
        <v>36564479.600000001</v>
      </c>
      <c r="Q8" s="133">
        <v>0</v>
      </c>
      <c r="R8" s="133">
        <v>0</v>
      </c>
      <c r="S8" s="133" t="s">
        <v>43</v>
      </c>
      <c r="T8" s="133">
        <v>13932795.779999999</v>
      </c>
      <c r="U8" s="133">
        <v>13932795.779999999</v>
      </c>
      <c r="V8" s="133">
        <v>22631683.82</v>
      </c>
      <c r="W8" s="133">
        <v>0.61895271223799997</v>
      </c>
      <c r="X8" s="133">
        <v>22631683.82</v>
      </c>
      <c r="Y8" s="133" t="s">
        <v>66</v>
      </c>
      <c r="Z8" s="133" t="s">
        <v>44</v>
      </c>
      <c r="AA8" s="133">
        <v>15447</v>
      </c>
      <c r="AB8" s="133" t="s">
        <v>1059</v>
      </c>
      <c r="AC8" s="133" t="s">
        <v>56</v>
      </c>
      <c r="AD8" s="133" t="s">
        <v>77</v>
      </c>
      <c r="AE8" s="133">
        <v>0</v>
      </c>
      <c r="AF8" s="133" t="s">
        <v>78</v>
      </c>
      <c r="AG8" s="133" t="s">
        <v>69</v>
      </c>
      <c r="AH8" s="133" t="s">
        <v>46</v>
      </c>
      <c r="AI8" s="133" t="s">
        <v>69</v>
      </c>
      <c r="AJ8" s="133" t="s">
        <v>46</v>
      </c>
      <c r="AK8" s="133" t="s">
        <v>54</v>
      </c>
      <c r="AL8" s="133" t="s">
        <v>48</v>
      </c>
      <c r="AM8" s="133" t="s">
        <v>64</v>
      </c>
      <c r="AN8" s="133" t="str">
        <f>VLOOKUP(I8,Sheet1!A:D,4,FALSE)</f>
        <v>A210600</v>
      </c>
      <c r="AP8" s="133" t="s">
        <v>1069</v>
      </c>
    </row>
    <row r="9" spans="1:42" s="254" customFormat="1" x14ac:dyDescent="0.25">
      <c r="A9" s="253">
        <v>45901</v>
      </c>
      <c r="B9" s="254" t="s">
        <v>40</v>
      </c>
      <c r="C9" s="254" t="s">
        <v>41</v>
      </c>
      <c r="D9" s="254">
        <v>25708561</v>
      </c>
      <c r="E9" s="254">
        <v>25106874</v>
      </c>
      <c r="F9" s="254" t="s">
        <v>1355</v>
      </c>
      <c r="G9" s="255">
        <v>45923</v>
      </c>
      <c r="H9" s="254" t="s">
        <v>232</v>
      </c>
      <c r="I9" s="254" t="s">
        <v>309</v>
      </c>
      <c r="J9" s="254" t="s">
        <v>518</v>
      </c>
      <c r="K9" s="254">
        <v>1.8</v>
      </c>
      <c r="L9" s="254" t="s">
        <v>42</v>
      </c>
      <c r="M9" s="254">
        <v>1.8</v>
      </c>
      <c r="N9" s="254">
        <v>25408000</v>
      </c>
      <c r="O9" s="254">
        <v>45734400</v>
      </c>
      <c r="P9" s="254">
        <v>45734400</v>
      </c>
      <c r="Q9" s="254">
        <v>0</v>
      </c>
      <c r="R9" s="254">
        <v>0</v>
      </c>
      <c r="S9" s="254" t="s">
        <v>43</v>
      </c>
      <c r="T9" s="254">
        <v>22772652.530000001</v>
      </c>
      <c r="U9" s="254">
        <v>22772652.530000001</v>
      </c>
      <c r="V9" s="254">
        <v>22961747.469999999</v>
      </c>
      <c r="W9" s="254">
        <v>0.50206731628699997</v>
      </c>
      <c r="X9" s="254">
        <v>22961747.469999999</v>
      </c>
      <c r="Y9" s="254" t="s">
        <v>235</v>
      </c>
      <c r="Z9" s="254" t="s">
        <v>44</v>
      </c>
      <c r="AA9" s="254">
        <v>15447</v>
      </c>
      <c r="AB9" s="254" t="s">
        <v>232</v>
      </c>
      <c r="AC9" s="254" t="s">
        <v>56</v>
      </c>
      <c r="AD9" s="254" t="s">
        <v>103</v>
      </c>
      <c r="AE9" s="254">
        <v>0</v>
      </c>
      <c r="AF9" s="254" t="s">
        <v>1356</v>
      </c>
      <c r="AG9" s="254" t="s">
        <v>101</v>
      </c>
      <c r="AH9" s="254" t="s">
        <v>46</v>
      </c>
      <c r="AI9" s="254" t="s">
        <v>101</v>
      </c>
      <c r="AJ9" s="254" t="s">
        <v>46</v>
      </c>
      <c r="AK9" s="254" t="s">
        <v>54</v>
      </c>
      <c r="AL9" s="254" t="s">
        <v>48</v>
      </c>
      <c r="AM9" s="254" t="s">
        <v>64</v>
      </c>
      <c r="AN9" s="254" t="str">
        <f>VLOOKUP(I9,Sheet1!A:D,4,FALSE)</f>
        <v>A210600</v>
      </c>
      <c r="AP9" s="285" t="s">
        <v>1361</v>
      </c>
    </row>
    <row r="10" spans="1:42" s="36" customFormat="1" ht="14.25" x14ac:dyDescent="0.2">
      <c r="A10" s="57"/>
      <c r="G10" s="58"/>
      <c r="AN10" s="36" t="e">
        <f>VLOOKUP(I10,Sheet1!A:D,4,FALSE)</f>
        <v>#N/A</v>
      </c>
    </row>
    <row r="11" spans="1:42" s="36" customFormat="1" ht="14.25" x14ac:dyDescent="0.2">
      <c r="A11" s="57"/>
      <c r="G11" s="58"/>
      <c r="AN11" s="36" t="e">
        <f>VLOOKUP(I11,Sheet1!A:D,4,FALSE)</f>
        <v>#N/A</v>
      </c>
    </row>
    <row r="12" spans="1:42" s="36" customFormat="1" ht="14.25" x14ac:dyDescent="0.2">
      <c r="A12" s="57"/>
      <c r="G12" s="58"/>
      <c r="AN12" s="36" t="e">
        <f>VLOOKUP(I12,Sheet1!A:D,4,FALSE)</f>
        <v>#N/A</v>
      </c>
    </row>
    <row r="13" spans="1:42" s="36" customFormat="1" ht="14.25" x14ac:dyDescent="0.2">
      <c r="A13" s="57"/>
      <c r="G13" s="58"/>
      <c r="AN13" s="36" t="e">
        <f>VLOOKUP(I13,Sheet1!A:D,4,FALSE)</f>
        <v>#N/A</v>
      </c>
    </row>
    <row r="14" spans="1:42" s="36" customFormat="1" ht="14.25" x14ac:dyDescent="0.2">
      <c r="A14" s="57"/>
      <c r="G14" s="58"/>
      <c r="AN14" s="36" t="e">
        <f>VLOOKUP(I14,Sheet1!A:D,4,FALSE)</f>
        <v>#N/A</v>
      </c>
    </row>
    <row r="15" spans="1:42" s="36" customFormat="1" ht="14.25" x14ac:dyDescent="0.2">
      <c r="A15" s="57"/>
      <c r="G15" s="58"/>
      <c r="AN15" s="36" t="e">
        <f>VLOOKUP(I15,Sheet1!A:D,4,FALSE)</f>
        <v>#N/A</v>
      </c>
    </row>
    <row r="16" spans="1:42" s="36" customFormat="1" ht="14.25" x14ac:dyDescent="0.2">
      <c r="A16" s="57"/>
      <c r="G16" s="58"/>
      <c r="AN16" s="36" t="e">
        <f>VLOOKUP(I16,Sheet1!A:D,4,FALSE)</f>
        <v>#N/A</v>
      </c>
    </row>
    <row r="17" spans="1:40" s="36" customFormat="1" ht="14.25" x14ac:dyDescent="0.2">
      <c r="A17" s="57"/>
      <c r="G17" s="58"/>
      <c r="AN17" s="36" t="e">
        <f>VLOOKUP(I17,Sheet1!A:D,4,FALSE)</f>
        <v>#N/A</v>
      </c>
    </row>
    <row r="18" spans="1:40" s="36" customFormat="1" ht="14.25" x14ac:dyDescent="0.2">
      <c r="A18" s="57"/>
      <c r="G18" s="58"/>
      <c r="AN18" s="36" t="e">
        <f>VLOOKUP(I18,Sheet1!A:D,4,FALSE)</f>
        <v>#N/A</v>
      </c>
    </row>
    <row r="19" spans="1:40" s="36" customFormat="1" ht="14.25" x14ac:dyDescent="0.2">
      <c r="A19" s="57"/>
      <c r="G19" s="58"/>
      <c r="AN19" s="36" t="e">
        <f>VLOOKUP(I19,Sheet1!A:D,4,FALSE)</f>
        <v>#N/A</v>
      </c>
    </row>
    <row r="20" spans="1:40" s="36" customFormat="1" ht="14.25" x14ac:dyDescent="0.2">
      <c r="A20" s="57"/>
      <c r="G20" s="58"/>
      <c r="AN20" s="36" t="e">
        <f>VLOOKUP(I20,Sheet1!A:D,4,FALSE)</f>
        <v>#N/A</v>
      </c>
    </row>
    <row r="21" spans="1:40" s="36" customFormat="1" ht="14.25" x14ac:dyDescent="0.2">
      <c r="A21" s="57"/>
      <c r="G21" s="58"/>
      <c r="AN21" s="36" t="e">
        <f>VLOOKUP(I21,Sheet1!A:D,4,FALSE)</f>
        <v>#N/A</v>
      </c>
    </row>
    <row r="22" spans="1:40" s="36" customFormat="1" ht="14.25" x14ac:dyDescent="0.2">
      <c r="A22" s="57"/>
      <c r="G22" s="58"/>
      <c r="AN22" s="36" t="e">
        <f>VLOOKUP(I22,Sheet1!A:D,4,FALSE)</f>
        <v>#N/A</v>
      </c>
    </row>
    <row r="23" spans="1:40" s="36" customFormat="1" ht="14.25" x14ac:dyDescent="0.2">
      <c r="A23" s="57"/>
      <c r="G23" s="58"/>
      <c r="AN23" s="36" t="e">
        <f>VLOOKUP(I23,Sheet1!A:D,4,FALSE)</f>
        <v>#N/A</v>
      </c>
    </row>
    <row r="24" spans="1:40" s="36" customFormat="1" ht="14.25" x14ac:dyDescent="0.2">
      <c r="A24" s="57"/>
      <c r="G24" s="58"/>
      <c r="AN24" s="36" t="e">
        <f>VLOOKUP(I24,Sheet1!A:D,4,FALSE)</f>
        <v>#N/A</v>
      </c>
    </row>
    <row r="25" spans="1:40" s="36" customFormat="1" ht="14.25" x14ac:dyDescent="0.2">
      <c r="A25" s="57"/>
      <c r="G25" s="58"/>
      <c r="AN25" s="36" t="e">
        <f>VLOOKUP(I25,Sheet1!A:D,4,FALSE)</f>
        <v>#N/A</v>
      </c>
    </row>
    <row r="26" spans="1:40" s="36" customFormat="1" ht="14.25" x14ac:dyDescent="0.2">
      <c r="A26" s="57"/>
      <c r="G26" s="58"/>
      <c r="AN26" s="36" t="e">
        <f>VLOOKUP(I26,Sheet1!A:D,4,FALSE)</f>
        <v>#N/A</v>
      </c>
    </row>
    <row r="27" spans="1:40" s="36" customFormat="1" ht="14.25" x14ac:dyDescent="0.2">
      <c r="A27" s="57"/>
      <c r="G27" s="58"/>
      <c r="AN27" s="36" t="e">
        <f>VLOOKUP(I27,Sheet1!A:D,4,FALSE)</f>
        <v>#N/A</v>
      </c>
    </row>
    <row r="28" spans="1:40" s="36" customFormat="1" ht="14.25" x14ac:dyDescent="0.2">
      <c r="A28" s="57"/>
      <c r="G28" s="58"/>
      <c r="AN28" s="36" t="e">
        <f>VLOOKUP(I28,Sheet1!A:D,4,FALSE)</f>
        <v>#N/A</v>
      </c>
    </row>
    <row r="29" spans="1:40" s="36" customFormat="1" ht="14.25" x14ac:dyDescent="0.2">
      <c r="A29" s="57"/>
      <c r="G29" s="58"/>
      <c r="AN29" s="36" t="e">
        <f>VLOOKUP(I29,Sheet1!A:D,4,FALSE)</f>
        <v>#N/A</v>
      </c>
    </row>
    <row r="30" spans="1:40" s="36" customFormat="1" ht="14.25" x14ac:dyDescent="0.2">
      <c r="A30" s="57"/>
      <c r="G30" s="58"/>
      <c r="AN30" s="36" t="e">
        <f>VLOOKUP(I30,Sheet1!A:D,4,FALSE)</f>
        <v>#N/A</v>
      </c>
    </row>
    <row r="31" spans="1:40" s="36" customFormat="1" ht="14.25" x14ac:dyDescent="0.2">
      <c r="A31" s="57"/>
      <c r="G31" s="58"/>
      <c r="AN31" s="36" t="e">
        <f>VLOOKUP(I31,Sheet1!A:D,4,FALSE)</f>
        <v>#N/A</v>
      </c>
    </row>
    <row r="32" spans="1:40" s="36" customFormat="1" ht="14.25" x14ac:dyDescent="0.2">
      <c r="A32" s="57"/>
      <c r="G32" s="58"/>
      <c r="AN32" s="36" t="e">
        <f>VLOOKUP(I32,Sheet1!A:D,4,FALSE)</f>
        <v>#N/A</v>
      </c>
    </row>
    <row r="33" spans="1:40" s="36" customFormat="1" ht="14.25" x14ac:dyDescent="0.2">
      <c r="A33" s="57"/>
      <c r="G33" s="58"/>
      <c r="AN33" s="36" t="e">
        <f>VLOOKUP(I33,Sheet1!A:D,4,FALSE)</f>
        <v>#N/A</v>
      </c>
    </row>
    <row r="34" spans="1:40" s="36" customFormat="1" ht="14.25" x14ac:dyDescent="0.2">
      <c r="A34" s="57"/>
      <c r="G34" s="58"/>
      <c r="AN34" s="36" t="e">
        <f>VLOOKUP(I34,Sheet1!A:D,4,FALSE)</f>
        <v>#N/A</v>
      </c>
    </row>
    <row r="35" spans="1:40" s="36" customFormat="1" ht="14.25" x14ac:dyDescent="0.2">
      <c r="A35" s="57"/>
      <c r="G35" s="58"/>
      <c r="AN35" s="36" t="e">
        <f>VLOOKUP(I35,Sheet1!A:D,4,FALSE)</f>
        <v>#N/A</v>
      </c>
    </row>
    <row r="36" spans="1:40" s="36" customFormat="1" ht="14.25" x14ac:dyDescent="0.2">
      <c r="A36" s="57"/>
      <c r="G36" s="58"/>
      <c r="AN36" s="36" t="e">
        <f>VLOOKUP(I36,Sheet1!A:D,4,FALSE)</f>
        <v>#N/A</v>
      </c>
    </row>
    <row r="37" spans="1:40" s="36" customFormat="1" ht="14.25" x14ac:dyDescent="0.2">
      <c r="A37" s="57"/>
      <c r="G37" s="58"/>
      <c r="AN37" s="36" t="e">
        <f>VLOOKUP(I37,Sheet1!A:D,4,FALSE)</f>
        <v>#N/A</v>
      </c>
    </row>
    <row r="38" spans="1:40" s="36" customFormat="1" ht="14.25" x14ac:dyDescent="0.2">
      <c r="A38" s="57"/>
      <c r="G38" s="58"/>
      <c r="AN38" s="36" t="e">
        <f>VLOOKUP(I38,Sheet1!A:D,4,FALSE)</f>
        <v>#N/A</v>
      </c>
    </row>
    <row r="39" spans="1:40" s="36" customFormat="1" ht="14.25" x14ac:dyDescent="0.2">
      <c r="A39" s="57"/>
      <c r="G39" s="58"/>
      <c r="AN39" s="36" t="e">
        <f>VLOOKUP(I39,Sheet1!A:D,4,FALSE)</f>
        <v>#N/A</v>
      </c>
    </row>
    <row r="40" spans="1:40" s="36" customFormat="1" ht="14.25" x14ac:dyDescent="0.2">
      <c r="A40" s="57"/>
      <c r="G40" s="58"/>
      <c r="AN40" s="36" t="e">
        <f>VLOOKUP(I40,Sheet1!A:D,4,FALSE)</f>
        <v>#N/A</v>
      </c>
    </row>
    <row r="41" spans="1:40" s="36" customFormat="1" ht="14.25" x14ac:dyDescent="0.2">
      <c r="A41" s="57"/>
      <c r="G41" s="58"/>
      <c r="AN41" s="36" t="e">
        <f>VLOOKUP(I41,Sheet1!A:D,4,FALSE)</f>
        <v>#N/A</v>
      </c>
    </row>
    <row r="42" spans="1:40" s="36" customFormat="1" ht="14.25" x14ac:dyDescent="0.2">
      <c r="A42" s="57"/>
      <c r="G42" s="58"/>
      <c r="AN42" s="36" t="e">
        <f>VLOOKUP(I42,Sheet1!A:D,4,FALSE)</f>
        <v>#N/A</v>
      </c>
    </row>
    <row r="43" spans="1:40" s="36" customFormat="1" ht="14.25" x14ac:dyDescent="0.2">
      <c r="A43" s="57"/>
      <c r="G43" s="58"/>
      <c r="AN43" s="36" t="e">
        <f>VLOOKUP(I43,Sheet1!A:D,4,FALSE)</f>
        <v>#N/A</v>
      </c>
    </row>
    <row r="44" spans="1:40" s="36" customFormat="1" ht="14.25" x14ac:dyDescent="0.2">
      <c r="A44" s="57"/>
      <c r="G44" s="58"/>
      <c r="AN44" s="36" t="e">
        <f>VLOOKUP(I44,Sheet1!A:D,4,FALSE)</f>
        <v>#N/A</v>
      </c>
    </row>
    <row r="45" spans="1:40" s="36" customFormat="1" ht="14.25" x14ac:dyDescent="0.2">
      <c r="A45" s="57"/>
      <c r="G45" s="58"/>
      <c r="AN45" s="36" t="e">
        <f>VLOOKUP(I45,Sheet1!A:D,4,FALSE)</f>
        <v>#N/A</v>
      </c>
    </row>
    <row r="46" spans="1:40" s="36" customFormat="1" ht="14.25" x14ac:dyDescent="0.2">
      <c r="A46" s="57"/>
      <c r="G46" s="58"/>
      <c r="AN46" s="36" t="e">
        <f>VLOOKUP(I46,Sheet1!A:D,4,FALSE)</f>
        <v>#N/A</v>
      </c>
    </row>
    <row r="47" spans="1:40" s="36" customFormat="1" ht="14.25" x14ac:dyDescent="0.2">
      <c r="A47" s="57"/>
      <c r="G47" s="58"/>
      <c r="AN47" s="36" t="e">
        <f>VLOOKUP(I47,Sheet1!A:D,4,FALSE)</f>
        <v>#N/A</v>
      </c>
    </row>
    <row r="48" spans="1:40" s="36" customFormat="1" ht="14.25" x14ac:dyDescent="0.2">
      <c r="A48" s="57"/>
      <c r="G48" s="58"/>
      <c r="AN48" s="36" t="e">
        <f>VLOOKUP(I48,Sheet1!A:D,4,FALSE)</f>
        <v>#N/A</v>
      </c>
    </row>
    <row r="49" spans="1:40" s="36" customFormat="1" ht="14.25" x14ac:dyDescent="0.2">
      <c r="A49" s="57"/>
      <c r="G49" s="58"/>
      <c r="AN49" s="36" t="e">
        <f>VLOOKUP(I49,Sheet1!A:D,4,FALSE)</f>
        <v>#N/A</v>
      </c>
    </row>
    <row r="50" spans="1:40" s="36" customFormat="1" ht="14.25" x14ac:dyDescent="0.2">
      <c r="A50" s="57"/>
      <c r="G50" s="58"/>
      <c r="AN50" s="36" t="e">
        <f>VLOOKUP(I50,Sheet1!A:D,4,FALSE)</f>
        <v>#N/A</v>
      </c>
    </row>
    <row r="51" spans="1:40" s="36" customFormat="1" ht="14.25" x14ac:dyDescent="0.2">
      <c r="A51" s="57"/>
      <c r="G51" s="58"/>
      <c r="AN51" s="36" t="e">
        <f>VLOOKUP(I51,Sheet1!A:D,4,FALSE)</f>
        <v>#N/A</v>
      </c>
    </row>
    <row r="52" spans="1:40" s="36" customFormat="1" ht="14.25" x14ac:dyDescent="0.2">
      <c r="A52" s="57"/>
      <c r="G52" s="58"/>
      <c r="AN52" s="36" t="e">
        <f>VLOOKUP(I52,Sheet1!A:D,4,FALSE)</f>
        <v>#N/A</v>
      </c>
    </row>
    <row r="53" spans="1:40" s="36" customFormat="1" ht="14.25" x14ac:dyDescent="0.2">
      <c r="A53" s="57"/>
      <c r="G53" s="58"/>
      <c r="AN53" s="36" t="e">
        <f>VLOOKUP(I53,Sheet1!A:D,4,FALSE)</f>
        <v>#N/A</v>
      </c>
    </row>
    <row r="54" spans="1:40" s="36" customFormat="1" ht="14.25" x14ac:dyDescent="0.2">
      <c r="A54" s="57"/>
      <c r="G54" s="58"/>
      <c r="AN54" s="36" t="e">
        <f>VLOOKUP(I54,Sheet1!A:D,4,FALSE)</f>
        <v>#N/A</v>
      </c>
    </row>
    <row r="55" spans="1:40" s="36" customFormat="1" ht="14.25" x14ac:dyDescent="0.2">
      <c r="A55" s="57"/>
      <c r="G55" s="58"/>
      <c r="AN55" s="36" t="e">
        <f>VLOOKUP(I55,Sheet1!A:D,4,FALSE)</f>
        <v>#N/A</v>
      </c>
    </row>
    <row r="56" spans="1:40" s="36" customFormat="1" ht="14.25" x14ac:dyDescent="0.2">
      <c r="A56" s="57"/>
      <c r="G56" s="58"/>
      <c r="AN56" s="36" t="e">
        <f>VLOOKUP(I56,Sheet1!A:D,4,FALSE)</f>
        <v>#N/A</v>
      </c>
    </row>
    <row r="57" spans="1:40" s="36" customFormat="1" ht="14.25" x14ac:dyDescent="0.2">
      <c r="A57" s="57"/>
      <c r="G57" s="58"/>
      <c r="AN57" s="36" t="e">
        <f>VLOOKUP(I57,Sheet1!A:D,4,FALSE)</f>
        <v>#N/A</v>
      </c>
    </row>
    <row r="58" spans="1:40" s="36" customFormat="1" ht="14.25" x14ac:dyDescent="0.2">
      <c r="A58" s="57"/>
      <c r="G58" s="58"/>
      <c r="AN58" s="36" t="e">
        <f>VLOOKUP(I58,Sheet1!A:D,4,FALSE)</f>
        <v>#N/A</v>
      </c>
    </row>
    <row r="59" spans="1:40" s="36" customFormat="1" ht="14.25" x14ac:dyDescent="0.2">
      <c r="A59" s="57"/>
      <c r="G59" s="58"/>
      <c r="AN59" s="36" t="e">
        <f>VLOOKUP(I59,Sheet1!A:D,4,FALSE)</f>
        <v>#N/A</v>
      </c>
    </row>
    <row r="60" spans="1:40" s="36" customFormat="1" ht="14.25" x14ac:dyDescent="0.2">
      <c r="A60" s="57"/>
      <c r="G60" s="58"/>
      <c r="AN60" s="36" t="e">
        <f>VLOOKUP(I60,Sheet1!A:D,4,FALSE)</f>
        <v>#N/A</v>
      </c>
    </row>
    <row r="61" spans="1:40" s="36" customFormat="1" ht="14.25" x14ac:dyDescent="0.2">
      <c r="A61" s="57"/>
      <c r="G61" s="58"/>
      <c r="AN61" s="36" t="e">
        <f>VLOOKUP(I61,Sheet1!A:D,4,FALSE)</f>
        <v>#N/A</v>
      </c>
    </row>
    <row r="62" spans="1:40" s="36" customFormat="1" ht="14.25" x14ac:dyDescent="0.2">
      <c r="A62" s="57"/>
      <c r="G62" s="58"/>
      <c r="AN62" s="36" t="e">
        <f>VLOOKUP(I62,Sheet1!A:D,4,FALSE)</f>
        <v>#N/A</v>
      </c>
    </row>
    <row r="63" spans="1:40" s="36" customFormat="1" ht="14.25" x14ac:dyDescent="0.2">
      <c r="A63" s="57"/>
      <c r="G63" s="58"/>
      <c r="AN63" s="36" t="e">
        <f>VLOOKUP(I63,Sheet1!A:D,4,FALSE)</f>
        <v>#N/A</v>
      </c>
    </row>
    <row r="64" spans="1:40" s="36" customFormat="1" ht="14.25" x14ac:dyDescent="0.2">
      <c r="A64" s="57"/>
      <c r="G64" s="58"/>
      <c r="AN64" s="36" t="e">
        <f>VLOOKUP(I64,Sheet1!A:D,4,FALSE)</f>
        <v>#N/A</v>
      </c>
    </row>
    <row r="65" spans="1:40" s="36" customFormat="1" ht="14.25" x14ac:dyDescent="0.2">
      <c r="A65" s="57"/>
      <c r="G65" s="58"/>
      <c r="AN65" s="36" t="e">
        <f>VLOOKUP(I65,Sheet1!A:D,4,FALSE)</f>
        <v>#N/A</v>
      </c>
    </row>
    <row r="66" spans="1:40" s="36" customFormat="1" ht="14.25" x14ac:dyDescent="0.2">
      <c r="A66" s="57"/>
      <c r="G66" s="58"/>
      <c r="AN66" s="36" t="e">
        <f>VLOOKUP(I66,Sheet1!A:D,4,FALSE)</f>
        <v>#N/A</v>
      </c>
    </row>
    <row r="67" spans="1:40" s="36" customFormat="1" ht="14.25" x14ac:dyDescent="0.2">
      <c r="A67" s="57"/>
      <c r="G67" s="58"/>
      <c r="AN67" s="36" t="e">
        <f>VLOOKUP(I67,Sheet1!A:D,4,FALSE)</f>
        <v>#N/A</v>
      </c>
    </row>
    <row r="68" spans="1:40" s="36" customFormat="1" ht="14.25" x14ac:dyDescent="0.2">
      <c r="A68" s="57"/>
      <c r="G68" s="58"/>
      <c r="AN68" s="36" t="e">
        <f>VLOOKUP(I68,Sheet1!A:D,4,FALSE)</f>
        <v>#N/A</v>
      </c>
    </row>
    <row r="69" spans="1:40" s="36" customFormat="1" ht="14.25" x14ac:dyDescent="0.2">
      <c r="A69" s="57"/>
      <c r="G69" s="58"/>
      <c r="AN69" s="36" t="e">
        <f>VLOOKUP(I69,Sheet1!A:D,4,FALSE)</f>
        <v>#N/A</v>
      </c>
    </row>
    <row r="70" spans="1:40" s="36" customFormat="1" ht="14.25" x14ac:dyDescent="0.2">
      <c r="A70" s="57"/>
      <c r="G70" s="58"/>
      <c r="AN70" s="36" t="e">
        <f>VLOOKUP(I70,Sheet1!A:D,4,FALSE)</f>
        <v>#N/A</v>
      </c>
    </row>
    <row r="71" spans="1:40" s="36" customFormat="1" ht="14.25" x14ac:dyDescent="0.2">
      <c r="A71" s="57"/>
      <c r="G71" s="58"/>
      <c r="AN71" s="36" t="e">
        <f>VLOOKUP(I71,Sheet1!A:D,4,FALSE)</f>
        <v>#N/A</v>
      </c>
    </row>
    <row r="72" spans="1:40" s="36" customFormat="1" ht="14.25" x14ac:dyDescent="0.2">
      <c r="A72" s="57"/>
      <c r="G72" s="58"/>
      <c r="AN72" s="36" t="e">
        <f>VLOOKUP(I72,Sheet1!A:D,4,FALSE)</f>
        <v>#N/A</v>
      </c>
    </row>
    <row r="73" spans="1:40" s="36" customFormat="1" ht="14.25" x14ac:dyDescent="0.2">
      <c r="A73" s="57"/>
      <c r="G73" s="58"/>
      <c r="AN73" s="36" t="e">
        <f>VLOOKUP(I73,Sheet1!A:D,4,FALSE)</f>
        <v>#N/A</v>
      </c>
    </row>
    <row r="74" spans="1:40" s="36" customFormat="1" ht="14.25" x14ac:dyDescent="0.2">
      <c r="A74" s="57"/>
      <c r="G74" s="58"/>
      <c r="AN74" s="36" t="e">
        <f>VLOOKUP(I74,Sheet1!A:D,4,FALSE)</f>
        <v>#N/A</v>
      </c>
    </row>
    <row r="75" spans="1:40" s="36" customFormat="1" ht="14.25" x14ac:dyDescent="0.2">
      <c r="A75" s="57"/>
      <c r="G75" s="58"/>
      <c r="AN75" s="36" t="e">
        <f>VLOOKUP(I75,Sheet1!A:D,4,FALSE)</f>
        <v>#N/A</v>
      </c>
    </row>
    <row r="76" spans="1:40" s="36" customFormat="1" ht="14.25" x14ac:dyDescent="0.2">
      <c r="A76" s="57"/>
      <c r="G76" s="58"/>
      <c r="AN76" s="36" t="e">
        <f>VLOOKUP(I76,Sheet1!A:D,4,FALSE)</f>
        <v>#N/A</v>
      </c>
    </row>
    <row r="77" spans="1:40" s="36" customFormat="1" ht="14.25" x14ac:dyDescent="0.2">
      <c r="A77" s="57"/>
      <c r="G77" s="58"/>
      <c r="AN77" s="36" t="e">
        <f>VLOOKUP(I77,Sheet1!A:D,4,FALSE)</f>
        <v>#N/A</v>
      </c>
    </row>
    <row r="78" spans="1:40" s="36" customFormat="1" ht="14.25" x14ac:dyDescent="0.2">
      <c r="A78" s="57"/>
      <c r="G78" s="58"/>
      <c r="AN78" s="36" t="e">
        <f>VLOOKUP(I78,Sheet1!A:D,4,FALSE)</f>
        <v>#N/A</v>
      </c>
    </row>
    <row r="79" spans="1:40" s="36" customFormat="1" ht="14.25" x14ac:dyDescent="0.2">
      <c r="A79" s="57"/>
      <c r="G79" s="58"/>
      <c r="AN79" s="36" t="e">
        <f>VLOOKUP(I79,Sheet1!A:D,4,FALSE)</f>
        <v>#N/A</v>
      </c>
    </row>
    <row r="80" spans="1:40" s="36" customFormat="1" ht="14.25" x14ac:dyDescent="0.2">
      <c r="A80" s="57"/>
      <c r="G80" s="58"/>
      <c r="AN80" s="36" t="e">
        <f>VLOOKUP(I80,Sheet1!A:D,4,FALSE)</f>
        <v>#N/A</v>
      </c>
    </row>
    <row r="81" spans="1:40" s="36" customFormat="1" ht="14.25" x14ac:dyDescent="0.2">
      <c r="A81" s="57"/>
      <c r="G81" s="58"/>
      <c r="AN81" s="36" t="e">
        <f>VLOOKUP(I81,Sheet1!A:D,4,FALSE)</f>
        <v>#N/A</v>
      </c>
    </row>
    <row r="82" spans="1:40" s="36" customFormat="1" ht="14.25" x14ac:dyDescent="0.2">
      <c r="A82" s="57"/>
      <c r="G82" s="58"/>
      <c r="AN82" s="36" t="e">
        <f>VLOOKUP(I82,Sheet1!A:D,4,FALSE)</f>
        <v>#N/A</v>
      </c>
    </row>
    <row r="83" spans="1:40" s="36" customFormat="1" ht="14.25" x14ac:dyDescent="0.2">
      <c r="A83" s="57"/>
      <c r="G83" s="58"/>
      <c r="AN83" s="36" t="e">
        <f>VLOOKUP(I83,Sheet1!A:D,4,FALSE)</f>
        <v>#N/A</v>
      </c>
    </row>
    <row r="84" spans="1:40" s="36" customFormat="1" ht="14.25" x14ac:dyDescent="0.2">
      <c r="A84" s="57"/>
      <c r="G84" s="58"/>
      <c r="AN84" s="36" t="e">
        <f>VLOOKUP(I84,Sheet1!A:D,4,FALSE)</f>
        <v>#N/A</v>
      </c>
    </row>
    <row r="85" spans="1:40" s="36" customFormat="1" ht="14.25" x14ac:dyDescent="0.2">
      <c r="A85" s="57"/>
      <c r="G85" s="58"/>
      <c r="AN85" s="36" t="e">
        <f>VLOOKUP(I85,Sheet1!A:D,4,FALSE)</f>
        <v>#N/A</v>
      </c>
    </row>
    <row r="86" spans="1:40" s="36" customFormat="1" ht="14.25" x14ac:dyDescent="0.2">
      <c r="A86" s="57"/>
      <c r="G86" s="58"/>
      <c r="AN86" s="36" t="e">
        <f>VLOOKUP(I86,Sheet1!A:D,4,FALSE)</f>
        <v>#N/A</v>
      </c>
    </row>
    <row r="87" spans="1:40" s="36" customFormat="1" ht="14.25" x14ac:dyDescent="0.2">
      <c r="A87" s="57"/>
      <c r="G87" s="58"/>
      <c r="AN87" s="36" t="e">
        <f>VLOOKUP(I87,Sheet1!A:D,4,FALSE)</f>
        <v>#N/A</v>
      </c>
    </row>
    <row r="88" spans="1:40" s="36" customFormat="1" ht="14.25" x14ac:dyDescent="0.2">
      <c r="A88" s="57"/>
      <c r="G88" s="58"/>
      <c r="AN88" s="36" t="e">
        <f>VLOOKUP(I88,Sheet1!A:D,4,FALSE)</f>
        <v>#N/A</v>
      </c>
    </row>
    <row r="89" spans="1:40" s="36" customFormat="1" ht="14.25" x14ac:dyDescent="0.2">
      <c r="A89" s="57"/>
      <c r="G89" s="58"/>
      <c r="AN89" s="36" t="e">
        <f>VLOOKUP(I89,Sheet1!A:D,4,FALSE)</f>
        <v>#N/A</v>
      </c>
    </row>
    <row r="90" spans="1:40" s="36" customFormat="1" ht="14.25" x14ac:dyDescent="0.2">
      <c r="A90" s="57"/>
      <c r="G90" s="58"/>
      <c r="AN90" s="36" t="e">
        <f>VLOOKUP(I90,Sheet1!A:D,4,FALSE)</f>
        <v>#N/A</v>
      </c>
    </row>
    <row r="91" spans="1:40" s="36" customFormat="1" ht="14.25" x14ac:dyDescent="0.2">
      <c r="A91" s="57"/>
      <c r="G91" s="58"/>
      <c r="AN91" s="36" t="e">
        <f>VLOOKUP(I91,Sheet1!A:D,4,FALSE)</f>
        <v>#N/A</v>
      </c>
    </row>
    <row r="92" spans="1:40" s="36" customFormat="1" ht="14.25" x14ac:dyDescent="0.2">
      <c r="A92" s="57"/>
      <c r="G92" s="58"/>
      <c r="AN92" s="36" t="e">
        <f>VLOOKUP(I92,Sheet1!A:D,4,FALSE)</f>
        <v>#N/A</v>
      </c>
    </row>
    <row r="93" spans="1:40" s="36" customFormat="1" ht="14.25" x14ac:dyDescent="0.2">
      <c r="A93" s="57"/>
      <c r="G93" s="58"/>
      <c r="AN93" s="36" t="e">
        <f>VLOOKUP(I93,Sheet1!A:D,4,FALSE)</f>
        <v>#N/A</v>
      </c>
    </row>
    <row r="94" spans="1:40" s="36" customFormat="1" ht="14.25" x14ac:dyDescent="0.2">
      <c r="A94" s="57"/>
      <c r="G94" s="58"/>
      <c r="AN94" s="36" t="e">
        <f>VLOOKUP(I94,Sheet1!A:D,4,FALSE)</f>
        <v>#N/A</v>
      </c>
    </row>
    <row r="95" spans="1:40" s="36" customFormat="1" ht="14.25" x14ac:dyDescent="0.2">
      <c r="A95" s="57"/>
      <c r="G95" s="58"/>
      <c r="AN95" s="36" t="e">
        <f>VLOOKUP(I95,Sheet1!A:D,4,FALSE)</f>
        <v>#N/A</v>
      </c>
    </row>
    <row r="96" spans="1:40" s="36" customFormat="1" ht="14.25" x14ac:dyDescent="0.2">
      <c r="A96" s="57"/>
      <c r="G96" s="58"/>
      <c r="AN96" s="36" t="e">
        <f>VLOOKUP(I96,Sheet1!A:D,4,FALSE)</f>
        <v>#N/A</v>
      </c>
    </row>
    <row r="97" spans="1:40" s="36" customFormat="1" ht="14.25" x14ac:dyDescent="0.2">
      <c r="A97" s="57"/>
      <c r="G97" s="58"/>
      <c r="AN97" s="36" t="e">
        <f>VLOOKUP(I97,Sheet1!A:D,4,FALSE)</f>
        <v>#N/A</v>
      </c>
    </row>
    <row r="98" spans="1:40" s="36" customFormat="1" ht="14.25" x14ac:dyDescent="0.2">
      <c r="A98" s="57"/>
      <c r="G98" s="58"/>
      <c r="AN98" s="36" t="e">
        <f>VLOOKUP(I98,Sheet1!A:D,4,FALSE)</f>
        <v>#N/A</v>
      </c>
    </row>
    <row r="99" spans="1:40" s="36" customFormat="1" ht="14.25" x14ac:dyDescent="0.2">
      <c r="A99" s="57"/>
      <c r="G99" s="58"/>
      <c r="AN99" s="36" t="e">
        <f>VLOOKUP(I99,Sheet1!A:D,4,FALSE)</f>
        <v>#N/A</v>
      </c>
    </row>
    <row r="100" spans="1:40" s="36" customFormat="1" ht="14.25" x14ac:dyDescent="0.2">
      <c r="A100" s="57"/>
      <c r="G100" s="58"/>
      <c r="AN100" s="36" t="e">
        <f>VLOOKUP(I100,Sheet1!A:D,4,FALSE)</f>
        <v>#N/A</v>
      </c>
    </row>
    <row r="101" spans="1:40" s="36" customFormat="1" ht="14.25" x14ac:dyDescent="0.2">
      <c r="A101" s="57"/>
      <c r="G101" s="58"/>
      <c r="AN101" s="36" t="e">
        <f>VLOOKUP(I101,Sheet1!A:D,4,FALSE)</f>
        <v>#N/A</v>
      </c>
    </row>
    <row r="102" spans="1:40" s="36" customFormat="1" ht="14.25" x14ac:dyDescent="0.2">
      <c r="A102" s="57"/>
      <c r="G102" s="58"/>
      <c r="AN102" s="36" t="e">
        <f>VLOOKUP(I102,Sheet1!A:D,4,FALSE)</f>
        <v>#N/A</v>
      </c>
    </row>
    <row r="103" spans="1:40" s="36" customFormat="1" ht="14.25" x14ac:dyDescent="0.2">
      <c r="A103" s="57"/>
      <c r="G103" s="58"/>
      <c r="AN103" s="36" t="e">
        <f>VLOOKUP(I103,Sheet1!A:D,4,FALSE)</f>
        <v>#N/A</v>
      </c>
    </row>
    <row r="104" spans="1:40" s="36" customFormat="1" ht="14.25" x14ac:dyDescent="0.2">
      <c r="A104" s="57"/>
      <c r="G104" s="58"/>
      <c r="AN104" s="36" t="e">
        <f>VLOOKUP(I104,Sheet1!A:D,4,FALSE)</f>
        <v>#N/A</v>
      </c>
    </row>
    <row r="105" spans="1:40" s="36" customFormat="1" ht="14.25" x14ac:dyDescent="0.2">
      <c r="A105" s="57"/>
      <c r="G105" s="58"/>
      <c r="AN105" s="36" t="e">
        <f>VLOOKUP(I105,Sheet1!A:D,4,FALSE)</f>
        <v>#N/A</v>
      </c>
    </row>
    <row r="106" spans="1:40" s="36" customFormat="1" ht="14.25" x14ac:dyDescent="0.2">
      <c r="A106" s="57"/>
      <c r="G106" s="58"/>
      <c r="AN106" s="36" t="e">
        <f>VLOOKUP(I106,Sheet1!A:D,4,FALSE)</f>
        <v>#N/A</v>
      </c>
    </row>
    <row r="107" spans="1:40" s="36" customFormat="1" ht="14.25" x14ac:dyDescent="0.2">
      <c r="A107" s="57"/>
      <c r="G107" s="58"/>
      <c r="AN107" s="36" t="e">
        <f>VLOOKUP(I107,Sheet1!A:D,4,FALSE)</f>
        <v>#N/A</v>
      </c>
    </row>
    <row r="108" spans="1:40" s="36" customFormat="1" ht="14.25" x14ac:dyDescent="0.2">
      <c r="A108" s="57"/>
      <c r="G108" s="58"/>
      <c r="AN108" s="36" t="e">
        <f>VLOOKUP(I108,Sheet1!A:D,4,FALSE)</f>
        <v>#N/A</v>
      </c>
    </row>
    <row r="109" spans="1:40" s="36" customFormat="1" ht="14.25" x14ac:dyDescent="0.2">
      <c r="A109" s="57"/>
      <c r="G109" s="58"/>
      <c r="AN109" s="36" t="e">
        <f>VLOOKUP(I109,Sheet1!A:D,4,FALSE)</f>
        <v>#N/A</v>
      </c>
    </row>
    <row r="110" spans="1:40" s="36" customFormat="1" ht="14.25" x14ac:dyDescent="0.2">
      <c r="A110" s="57"/>
      <c r="G110" s="58"/>
      <c r="AN110" s="36" t="e">
        <f>VLOOKUP(I110,Sheet1!A:D,4,FALSE)</f>
        <v>#N/A</v>
      </c>
    </row>
    <row r="111" spans="1:40" s="36" customFormat="1" ht="14.25" x14ac:dyDescent="0.2">
      <c r="A111" s="57"/>
      <c r="G111" s="58"/>
      <c r="AN111" s="36" t="e">
        <f>VLOOKUP(I111,Sheet1!A:D,4,FALSE)</f>
        <v>#N/A</v>
      </c>
    </row>
    <row r="112" spans="1:40" s="36" customFormat="1" ht="14.25" x14ac:dyDescent="0.2">
      <c r="A112" s="57"/>
      <c r="G112" s="58"/>
      <c r="AN112" s="36" t="e">
        <f>VLOOKUP(I112,Sheet1!A:D,4,FALSE)</f>
        <v>#N/A</v>
      </c>
    </row>
    <row r="113" spans="1:40" s="36" customFormat="1" ht="14.25" x14ac:dyDescent="0.2">
      <c r="A113" s="57"/>
      <c r="G113" s="58"/>
      <c r="AN113" s="36" t="e">
        <f>VLOOKUP(I113,Sheet1!A:D,4,FALSE)</f>
        <v>#N/A</v>
      </c>
    </row>
    <row r="114" spans="1:40" s="36" customFormat="1" ht="14.25" x14ac:dyDescent="0.2">
      <c r="A114" s="57"/>
      <c r="G114" s="58"/>
      <c r="AN114" s="36" t="e">
        <f>VLOOKUP(I114,Sheet1!A:D,4,FALSE)</f>
        <v>#N/A</v>
      </c>
    </row>
    <row r="115" spans="1:40" s="36" customFormat="1" ht="14.25" x14ac:dyDescent="0.2">
      <c r="A115" s="57"/>
      <c r="G115" s="58"/>
      <c r="AN115" s="36" t="e">
        <f>VLOOKUP(I115,Sheet1!A:D,4,FALSE)</f>
        <v>#N/A</v>
      </c>
    </row>
    <row r="116" spans="1:40" s="36" customFormat="1" ht="14.25" x14ac:dyDescent="0.2">
      <c r="A116" s="57"/>
      <c r="G116" s="58"/>
      <c r="AN116" s="36" t="e">
        <f>VLOOKUP(I116,Sheet1!A:D,4,FALSE)</f>
        <v>#N/A</v>
      </c>
    </row>
    <row r="117" spans="1:40" s="36" customFormat="1" ht="14.25" x14ac:dyDescent="0.2">
      <c r="A117" s="57"/>
      <c r="G117" s="58"/>
      <c r="AN117" s="36" t="e">
        <f>VLOOKUP(I117,Sheet1!A:D,4,FALSE)</f>
        <v>#N/A</v>
      </c>
    </row>
    <row r="118" spans="1:40" s="36" customFormat="1" ht="14.25" x14ac:dyDescent="0.2">
      <c r="A118" s="57"/>
      <c r="G118" s="58"/>
      <c r="AN118" s="36" t="e">
        <f>VLOOKUP(I118,Sheet1!A:D,4,FALSE)</f>
        <v>#N/A</v>
      </c>
    </row>
    <row r="119" spans="1:40" s="36" customFormat="1" ht="14.25" x14ac:dyDescent="0.2">
      <c r="A119" s="57"/>
      <c r="G119" s="58"/>
      <c r="AN119" s="36" t="e">
        <f>VLOOKUP(I119,Sheet1!A:D,4,FALSE)</f>
        <v>#N/A</v>
      </c>
    </row>
    <row r="120" spans="1:40" s="36" customFormat="1" ht="14.25" x14ac:dyDescent="0.2">
      <c r="A120" s="57"/>
      <c r="G120" s="58"/>
      <c r="AN120" s="36" t="e">
        <f>VLOOKUP(I120,Sheet1!A:D,4,FALSE)</f>
        <v>#N/A</v>
      </c>
    </row>
    <row r="121" spans="1:40" s="36" customFormat="1" ht="14.25" x14ac:dyDescent="0.2">
      <c r="A121" s="57"/>
      <c r="G121" s="58"/>
      <c r="AN121" s="36" t="e">
        <f>VLOOKUP(I121,Sheet1!A:D,4,FALSE)</f>
        <v>#N/A</v>
      </c>
    </row>
    <row r="122" spans="1:40" s="4" customFormat="1" x14ac:dyDescent="0.25">
      <c r="A122" s="6"/>
      <c r="G122" s="31"/>
      <c r="AN122" s="4" t="e">
        <f>VLOOKUP(I122,Sheet1!A:D,4,FALSE)</f>
        <v>#N/A</v>
      </c>
    </row>
    <row r="123" spans="1:40" s="4" customFormat="1" x14ac:dyDescent="0.25">
      <c r="A123" s="6"/>
      <c r="G123" s="31"/>
      <c r="AN123" s="4" t="e">
        <f>VLOOKUP(I123,Sheet1!A:D,4,FALSE)</f>
        <v>#N/A</v>
      </c>
    </row>
    <row r="124" spans="1:40" s="4" customFormat="1" x14ac:dyDescent="0.25">
      <c r="A124" s="6"/>
      <c r="G124" s="31"/>
      <c r="AN124" s="4" t="e">
        <f>VLOOKUP(I124,Sheet1!A:D,4,FALSE)</f>
        <v>#N/A</v>
      </c>
    </row>
    <row r="125" spans="1:40" s="4" customFormat="1" x14ac:dyDescent="0.25">
      <c r="A125" s="6"/>
      <c r="G125" s="31"/>
      <c r="AN125" s="4" t="e">
        <f>VLOOKUP(I125,Sheet1!A:D,4,FALSE)</f>
        <v>#N/A</v>
      </c>
    </row>
    <row r="126" spans="1:40" s="4" customFormat="1" x14ac:dyDescent="0.25">
      <c r="A126" s="6"/>
      <c r="G126" s="31"/>
      <c r="AN126" s="4" t="e">
        <f>VLOOKUP(I126,Sheet1!A:D,4,FALSE)</f>
        <v>#N/A</v>
      </c>
    </row>
    <row r="127" spans="1:40" s="4" customFormat="1" x14ac:dyDescent="0.25">
      <c r="A127" s="6"/>
      <c r="G127" s="31"/>
      <c r="AN127" s="4" t="e">
        <f>VLOOKUP(I127,Sheet1!A:D,4,FALSE)</f>
        <v>#N/A</v>
      </c>
    </row>
    <row r="128" spans="1:40" s="4" customFormat="1" x14ac:dyDescent="0.25">
      <c r="A128" s="6"/>
      <c r="G128" s="31"/>
      <c r="AN128" s="4" t="e">
        <f>VLOOKUP(I128,Sheet1!A:D,4,FALSE)</f>
        <v>#N/A</v>
      </c>
    </row>
    <row r="129" spans="1:40" s="4" customFormat="1" x14ac:dyDescent="0.25">
      <c r="A129" s="6"/>
      <c r="G129" s="31"/>
      <c r="AN129" s="4" t="e">
        <f>VLOOKUP(I129,Sheet1!A:D,4,FALSE)</f>
        <v>#N/A</v>
      </c>
    </row>
    <row r="130" spans="1:40" s="4" customFormat="1" x14ac:dyDescent="0.25">
      <c r="A130" s="6"/>
      <c r="G130" s="31"/>
      <c r="AN130" s="4" t="e">
        <f>VLOOKUP(I130,Sheet1!A:D,4,FALSE)</f>
        <v>#N/A</v>
      </c>
    </row>
    <row r="131" spans="1:40" s="4" customFormat="1" x14ac:dyDescent="0.25">
      <c r="A131" s="6"/>
      <c r="G131" s="31"/>
      <c r="AN131" s="4" t="e">
        <f>VLOOKUP(I131,Sheet1!A:D,4,FALSE)</f>
        <v>#N/A</v>
      </c>
    </row>
    <row r="132" spans="1:40" s="4" customFormat="1" x14ac:dyDescent="0.25">
      <c r="A132" s="6"/>
      <c r="G132" s="31"/>
      <c r="AN132" s="4" t="e">
        <f>VLOOKUP(I132,Sheet1!A:D,4,FALSE)</f>
        <v>#N/A</v>
      </c>
    </row>
    <row r="133" spans="1:40" s="4" customFormat="1" x14ac:dyDescent="0.25">
      <c r="A133" s="6"/>
      <c r="G133" s="31"/>
      <c r="AN133" s="4" t="e">
        <f>VLOOKUP(I133,Sheet1!A:D,4,FALSE)</f>
        <v>#N/A</v>
      </c>
    </row>
    <row r="134" spans="1:40" s="4" customFormat="1" x14ac:dyDescent="0.25">
      <c r="A134" s="6"/>
      <c r="G134" s="31"/>
      <c r="AN134" s="4" t="e">
        <f>VLOOKUP(I134,Sheet1!A:D,4,FALSE)</f>
        <v>#N/A</v>
      </c>
    </row>
    <row r="135" spans="1:40" s="4" customFormat="1" x14ac:dyDescent="0.25">
      <c r="A135" s="6"/>
      <c r="G135" s="31"/>
      <c r="AN135" s="4" t="e">
        <f>VLOOKUP(I135,Sheet1!A:D,4,FALSE)</f>
        <v>#N/A</v>
      </c>
    </row>
    <row r="136" spans="1:40" s="4" customFormat="1" x14ac:dyDescent="0.25">
      <c r="A136" s="6"/>
      <c r="G136" s="31"/>
      <c r="AN136" s="4" t="e">
        <f>VLOOKUP(I136,Sheet1!A:D,4,FALSE)</f>
        <v>#N/A</v>
      </c>
    </row>
    <row r="137" spans="1:40" s="4" customFormat="1" x14ac:dyDescent="0.25">
      <c r="A137" s="6"/>
      <c r="G137" s="31"/>
      <c r="AN137" s="4" t="e">
        <f>VLOOKUP(I137,Sheet1!A:D,4,FALSE)</f>
        <v>#N/A</v>
      </c>
    </row>
    <row r="138" spans="1:40" s="4" customFormat="1" x14ac:dyDescent="0.25">
      <c r="A138" s="6"/>
      <c r="G138" s="31"/>
      <c r="AN138" s="4" t="e">
        <f>VLOOKUP(I138,Sheet1!A:D,4,FALSE)</f>
        <v>#N/A</v>
      </c>
    </row>
    <row r="139" spans="1:40" s="4" customFormat="1" x14ac:dyDescent="0.25">
      <c r="A139" s="6"/>
      <c r="G139" s="31"/>
      <c r="AN139" s="4" t="e">
        <f>VLOOKUP(I139,Sheet1!A:D,4,FALSE)</f>
        <v>#N/A</v>
      </c>
    </row>
    <row r="140" spans="1:40" s="4" customFormat="1" x14ac:dyDescent="0.25">
      <c r="A140" s="6"/>
      <c r="G140" s="31"/>
      <c r="AN140" s="4" t="e">
        <f>VLOOKUP(I140,Sheet1!A:D,4,FALSE)</f>
        <v>#N/A</v>
      </c>
    </row>
    <row r="141" spans="1:40" s="4" customFormat="1" x14ac:dyDescent="0.25">
      <c r="A141" s="6"/>
      <c r="G141" s="31"/>
      <c r="AN141" s="4" t="e">
        <f>VLOOKUP(I141,Sheet1!A:D,4,FALSE)</f>
        <v>#N/A</v>
      </c>
    </row>
    <row r="142" spans="1:40" s="4" customFormat="1" x14ac:dyDescent="0.25">
      <c r="A142" s="6"/>
      <c r="G142" s="31"/>
      <c r="AN142" s="4" t="e">
        <f>VLOOKUP(I142,Sheet1!A:D,4,FALSE)</f>
        <v>#N/A</v>
      </c>
    </row>
    <row r="143" spans="1:40" s="4" customFormat="1" x14ac:dyDescent="0.25">
      <c r="A143" s="6"/>
      <c r="G143" s="31"/>
      <c r="AN143" s="4" t="e">
        <f>VLOOKUP(I143,Sheet1!A:D,4,FALSE)</f>
        <v>#N/A</v>
      </c>
    </row>
    <row r="144" spans="1:40" s="4" customFormat="1" x14ac:dyDescent="0.25">
      <c r="A144" s="6"/>
      <c r="G144" s="31"/>
      <c r="AN144" s="4" t="e">
        <f>VLOOKUP(I144,Sheet1!A:D,4,FALSE)</f>
        <v>#N/A</v>
      </c>
    </row>
    <row r="145" spans="1:40" s="4" customFormat="1" x14ac:dyDescent="0.25">
      <c r="A145" s="6"/>
      <c r="G145" s="31"/>
      <c r="AN145" s="4" t="e">
        <f>VLOOKUP(I145,Sheet1!A:D,4,FALSE)</f>
        <v>#N/A</v>
      </c>
    </row>
    <row r="146" spans="1:40" s="4" customFormat="1" x14ac:dyDescent="0.25">
      <c r="A146" s="6"/>
      <c r="G146" s="31"/>
      <c r="AN146" s="4" t="e">
        <f>VLOOKUP(I146,Sheet1!A:D,4,FALSE)</f>
        <v>#N/A</v>
      </c>
    </row>
    <row r="147" spans="1:40" s="4" customFormat="1" x14ac:dyDescent="0.25">
      <c r="A147" s="6"/>
      <c r="G147" s="31"/>
      <c r="AN147" s="4" t="e">
        <f>VLOOKUP(I147,Sheet1!A:D,4,FALSE)</f>
        <v>#N/A</v>
      </c>
    </row>
    <row r="148" spans="1:40" s="4" customFormat="1" x14ac:dyDescent="0.25">
      <c r="A148" s="6"/>
      <c r="G148" s="31"/>
      <c r="AN148" s="4" t="e">
        <f>VLOOKUP(I148,Sheet1!A:D,4,FALSE)</f>
        <v>#N/A</v>
      </c>
    </row>
    <row r="149" spans="1:40" s="4" customFormat="1" x14ac:dyDescent="0.25">
      <c r="A149" s="6"/>
      <c r="G149" s="31"/>
      <c r="AN149" s="4" t="e">
        <f>VLOOKUP(I149,Sheet1!A:D,4,FALSE)</f>
        <v>#N/A</v>
      </c>
    </row>
    <row r="150" spans="1:40" s="4" customFormat="1" x14ac:dyDescent="0.25">
      <c r="A150" s="6"/>
      <c r="G150" s="31"/>
      <c r="AN150" s="4" t="e">
        <f>VLOOKUP(I150,Sheet1!A:D,4,FALSE)</f>
        <v>#N/A</v>
      </c>
    </row>
    <row r="151" spans="1:40" s="4" customFormat="1" x14ac:dyDescent="0.25">
      <c r="A151" s="6"/>
      <c r="G151" s="31"/>
      <c r="AN151" s="4" t="e">
        <f>VLOOKUP(I151,Sheet1!A:D,4,FALSE)</f>
        <v>#N/A</v>
      </c>
    </row>
    <row r="152" spans="1:40" s="4" customFormat="1" x14ac:dyDescent="0.25">
      <c r="A152" s="6"/>
      <c r="G152" s="31"/>
      <c r="AN152" s="4" t="e">
        <f>VLOOKUP(I152,Sheet1!A:D,4,FALSE)</f>
        <v>#N/A</v>
      </c>
    </row>
    <row r="153" spans="1:40" s="4" customFormat="1" x14ac:dyDescent="0.25">
      <c r="A153" s="6"/>
      <c r="G153" s="31"/>
      <c r="AN153" s="4" t="e">
        <f>VLOOKUP(I153,Sheet1!A:D,4,FALSE)</f>
        <v>#N/A</v>
      </c>
    </row>
    <row r="154" spans="1:40" s="4" customFormat="1" x14ac:dyDescent="0.25">
      <c r="A154" s="6"/>
      <c r="G154" s="31"/>
      <c r="AN154" s="4" t="e">
        <f>VLOOKUP(I154,Sheet1!A:D,4,FALSE)</f>
        <v>#N/A</v>
      </c>
    </row>
    <row r="155" spans="1:40" s="4" customFormat="1" x14ac:dyDescent="0.25">
      <c r="A155" s="6"/>
      <c r="G155" s="31"/>
      <c r="AN155" s="4" t="e">
        <f>VLOOKUP(I155,Sheet1!A:D,4,FALSE)</f>
        <v>#N/A</v>
      </c>
    </row>
    <row r="156" spans="1:40" s="4" customFormat="1" x14ac:dyDescent="0.25">
      <c r="A156" s="6"/>
      <c r="G156" s="31"/>
      <c r="AN156" s="4" t="e">
        <f>VLOOKUP(I156,Sheet1!A:D,4,FALSE)</f>
        <v>#N/A</v>
      </c>
    </row>
    <row r="157" spans="1:40" s="4" customFormat="1" x14ac:dyDescent="0.25">
      <c r="A157" s="6"/>
      <c r="G157" s="31"/>
      <c r="AN157" s="4" t="e">
        <f>VLOOKUP(I157,Sheet1!A:D,4,FALSE)</f>
        <v>#N/A</v>
      </c>
    </row>
    <row r="158" spans="1:40" s="4" customFormat="1" x14ac:dyDescent="0.25">
      <c r="A158" s="6"/>
      <c r="G158" s="31"/>
      <c r="AN158" s="4" t="e">
        <f>VLOOKUP(I158,Sheet1!A:D,4,FALSE)</f>
        <v>#N/A</v>
      </c>
    </row>
    <row r="159" spans="1:40" s="4" customFormat="1" x14ac:dyDescent="0.25">
      <c r="A159" s="6"/>
      <c r="G159" s="31"/>
      <c r="AN159" s="4" t="e">
        <f>VLOOKUP(I159,Sheet1!A:D,4,FALSE)</f>
        <v>#N/A</v>
      </c>
    </row>
    <row r="160" spans="1:40" x14ac:dyDescent="0.25">
      <c r="AN160" t="e">
        <f>VLOOKUP(I160,Sheet1!A:D,4,FALSE)</f>
        <v>#N/A</v>
      </c>
    </row>
    <row r="161" spans="40:40" x14ac:dyDescent="0.25">
      <c r="AN161" t="e">
        <f>VLOOKUP(I161,Sheet1!A:D,4,FALSE)</f>
        <v>#N/A</v>
      </c>
    </row>
    <row r="162" spans="40:40" x14ac:dyDescent="0.25">
      <c r="AN162" t="e">
        <f>VLOOKUP(I162,Sheet1!A:D,4,FALSE)</f>
        <v>#N/A</v>
      </c>
    </row>
    <row r="163" spans="40:40" x14ac:dyDescent="0.25">
      <c r="AN163" t="e">
        <f>VLOOKUP(I163,Sheet1!A:D,4,FALSE)</f>
        <v>#N/A</v>
      </c>
    </row>
    <row r="164" spans="40:40" x14ac:dyDescent="0.25">
      <c r="AN164" t="e">
        <f>VLOOKUP(I164,Sheet1!A:D,4,FALSE)</f>
        <v>#N/A</v>
      </c>
    </row>
    <row r="165" spans="40:40" x14ac:dyDescent="0.25">
      <c r="AN165" t="e">
        <f>VLOOKUP(I165,Sheet1!A:D,4,FALSE)</f>
        <v>#N/A</v>
      </c>
    </row>
    <row r="166" spans="40:40" x14ac:dyDescent="0.25">
      <c r="AN166" t="e">
        <f>VLOOKUP(I166,Sheet1!A:D,4,FALSE)</f>
        <v>#N/A</v>
      </c>
    </row>
    <row r="167" spans="40:40" x14ac:dyDescent="0.25">
      <c r="AN167" t="e">
        <f>VLOOKUP(I167,Sheet1!A:D,4,FALSE)</f>
        <v>#N/A</v>
      </c>
    </row>
    <row r="168" spans="40:40" x14ac:dyDescent="0.25">
      <c r="AN168" t="e">
        <f>VLOOKUP(I168,Sheet1!A:D,4,FALSE)</f>
        <v>#N/A</v>
      </c>
    </row>
    <row r="169" spans="40:40" x14ac:dyDescent="0.25">
      <c r="AN169" t="e">
        <f>VLOOKUP(I169,Sheet1!A:D,4,FALSE)</f>
        <v>#N/A</v>
      </c>
    </row>
    <row r="170" spans="40:40" x14ac:dyDescent="0.25">
      <c r="AN170" t="e">
        <f>VLOOKUP(I170,Sheet1!A:D,4,FALSE)</f>
        <v>#N/A</v>
      </c>
    </row>
    <row r="171" spans="40:40" x14ac:dyDescent="0.25">
      <c r="AN171" t="e">
        <f>VLOOKUP(I171,Sheet1!A:D,4,FALSE)</f>
        <v>#N/A</v>
      </c>
    </row>
    <row r="172" spans="40:40" x14ac:dyDescent="0.25">
      <c r="AN172" t="e">
        <f>VLOOKUP(I172,Sheet1!A:D,4,FALSE)</f>
        <v>#N/A</v>
      </c>
    </row>
    <row r="173" spans="40:40" x14ac:dyDescent="0.25">
      <c r="AN173" t="e">
        <f>VLOOKUP(I173,Sheet1!A:D,4,FALSE)</f>
        <v>#N/A</v>
      </c>
    </row>
    <row r="174" spans="40:40" x14ac:dyDescent="0.25">
      <c r="AN174" t="e">
        <f>VLOOKUP(I174,Sheet1!A:D,4,FALSE)</f>
        <v>#N/A</v>
      </c>
    </row>
    <row r="175" spans="40:40" x14ac:dyDescent="0.25">
      <c r="AN175" t="e">
        <f>VLOOKUP(I175,Sheet1!A:D,4,FALSE)</f>
        <v>#N/A</v>
      </c>
    </row>
    <row r="176" spans="40:40" x14ac:dyDescent="0.25">
      <c r="AN176" t="e">
        <f>VLOOKUP(I176,Sheet1!A:D,4,FALSE)</f>
        <v>#N/A</v>
      </c>
    </row>
    <row r="177" spans="40:40" x14ac:dyDescent="0.25">
      <c r="AN177" t="e">
        <f>VLOOKUP(I177,Sheet1!A:D,4,FALSE)</f>
        <v>#N/A</v>
      </c>
    </row>
    <row r="178" spans="40:40" x14ac:dyDescent="0.25">
      <c r="AN178" t="e">
        <f>VLOOKUP(I178,Sheet1!A:D,4,FALSE)</f>
        <v>#N/A</v>
      </c>
    </row>
    <row r="179" spans="40:40" x14ac:dyDescent="0.25">
      <c r="AN179" t="e">
        <f>VLOOKUP(I179,Sheet1!A:D,4,FALSE)</f>
        <v>#N/A</v>
      </c>
    </row>
    <row r="180" spans="40:40" x14ac:dyDescent="0.25">
      <c r="AN180" t="e">
        <f>VLOOKUP(I180,Sheet1!A:D,4,FALSE)</f>
        <v>#N/A</v>
      </c>
    </row>
    <row r="181" spans="40:40" x14ac:dyDescent="0.25">
      <c r="AN181" t="e">
        <f>VLOOKUP(I181,Sheet1!A:D,4,FALSE)</f>
        <v>#N/A</v>
      </c>
    </row>
    <row r="182" spans="40:40" x14ac:dyDescent="0.25">
      <c r="AN182" t="e">
        <f>VLOOKUP(I182,Sheet1!A:D,4,FALSE)</f>
        <v>#N/A</v>
      </c>
    </row>
    <row r="183" spans="40:40" x14ac:dyDescent="0.25">
      <c r="AN183" t="e">
        <f>VLOOKUP(I183,Sheet1!A:D,4,FALSE)</f>
        <v>#N/A</v>
      </c>
    </row>
    <row r="184" spans="40:40" x14ac:dyDescent="0.25">
      <c r="AN184" t="e">
        <f>VLOOKUP(I184,Sheet1!A:D,4,FALSE)</f>
        <v>#N/A</v>
      </c>
    </row>
    <row r="185" spans="40:40" x14ac:dyDescent="0.25">
      <c r="AN185" t="e">
        <f>VLOOKUP(I185,Sheet1!A:D,4,FALSE)</f>
        <v>#N/A</v>
      </c>
    </row>
    <row r="186" spans="40:40" x14ac:dyDescent="0.25">
      <c r="AN186" t="e">
        <f>VLOOKUP(I186,Sheet1!A:D,4,FALSE)</f>
        <v>#N/A</v>
      </c>
    </row>
    <row r="187" spans="40:40" x14ac:dyDescent="0.25">
      <c r="AN187" t="e">
        <f>VLOOKUP(I187,Sheet1!A:D,4,FALSE)</f>
        <v>#N/A</v>
      </c>
    </row>
    <row r="188" spans="40:40" x14ac:dyDescent="0.25">
      <c r="AN188" t="e">
        <f>VLOOKUP(I188,Sheet1!A:D,4,FALSE)</f>
        <v>#N/A</v>
      </c>
    </row>
    <row r="189" spans="40:40" x14ac:dyDescent="0.25">
      <c r="AN189" t="e">
        <f>VLOOKUP(I189,Sheet1!A:D,4,FALSE)</f>
        <v>#N/A</v>
      </c>
    </row>
    <row r="190" spans="40:40" x14ac:dyDescent="0.25">
      <c r="AN190" t="e">
        <f>VLOOKUP(I190,Sheet1!A:D,4,FALSE)</f>
        <v>#N/A</v>
      </c>
    </row>
    <row r="191" spans="40:40" x14ac:dyDescent="0.25">
      <c r="AN191" t="e">
        <f>VLOOKUP(I191,Sheet1!A:D,4,FALSE)</f>
        <v>#N/A</v>
      </c>
    </row>
    <row r="192" spans="40:40" x14ac:dyDescent="0.25">
      <c r="AN192" t="e">
        <f>VLOOKUP(I192,Sheet1!A:D,4,FALSE)</f>
        <v>#N/A</v>
      </c>
    </row>
    <row r="193" spans="40:40" x14ac:dyDescent="0.25">
      <c r="AN193" t="e">
        <f>VLOOKUP(I193,Sheet1!A:D,4,FALSE)</f>
        <v>#N/A</v>
      </c>
    </row>
    <row r="194" spans="40:40" x14ac:dyDescent="0.25">
      <c r="AN194" t="e">
        <f>VLOOKUP(I194,Sheet1!A:D,4,FALSE)</f>
        <v>#N/A</v>
      </c>
    </row>
    <row r="195" spans="40:40" x14ac:dyDescent="0.25">
      <c r="AN195" t="e">
        <f>VLOOKUP(I195,Sheet1!A:D,4,FALSE)</f>
        <v>#N/A</v>
      </c>
    </row>
    <row r="196" spans="40:40" x14ac:dyDescent="0.25">
      <c r="AN196" t="e">
        <f>VLOOKUP(I196,Sheet1!A:D,4,FALSE)</f>
        <v>#N/A</v>
      </c>
    </row>
    <row r="197" spans="40:40" x14ac:dyDescent="0.25">
      <c r="AN197" t="e">
        <f>VLOOKUP(I197,Sheet1!A:D,4,FALSE)</f>
        <v>#N/A</v>
      </c>
    </row>
    <row r="198" spans="40:40" x14ac:dyDescent="0.25">
      <c r="AN198" t="e">
        <f>VLOOKUP(I198,Sheet1!A:D,4,FALSE)</f>
        <v>#N/A</v>
      </c>
    </row>
    <row r="199" spans="40:40" x14ac:dyDescent="0.25">
      <c r="AN199" t="e">
        <f>VLOOKUP(I199,Sheet1!A:D,4,FALSE)</f>
        <v>#N/A</v>
      </c>
    </row>
    <row r="200" spans="40:40" x14ac:dyDescent="0.25">
      <c r="AN200" t="e">
        <f>VLOOKUP(I200,Sheet1!A:D,4,FALSE)</f>
        <v>#N/A</v>
      </c>
    </row>
    <row r="201" spans="40:40" x14ac:dyDescent="0.25">
      <c r="AN201" t="e">
        <f>VLOOKUP(I201,Sheet1!A:D,4,FALSE)</f>
        <v>#N/A</v>
      </c>
    </row>
    <row r="202" spans="40:40" x14ac:dyDescent="0.25">
      <c r="AN202" t="e">
        <f>VLOOKUP(I202,Sheet1!A:D,4,FALSE)</f>
        <v>#N/A</v>
      </c>
    </row>
    <row r="203" spans="40:40" x14ac:dyDescent="0.25">
      <c r="AN203" t="e">
        <f>VLOOKUP(I203,Sheet1!A:D,4,FALSE)</f>
        <v>#N/A</v>
      </c>
    </row>
    <row r="204" spans="40:40" x14ac:dyDescent="0.25">
      <c r="AN204" t="e">
        <f>VLOOKUP(I204,Sheet1!A:D,4,FALSE)</f>
        <v>#N/A</v>
      </c>
    </row>
    <row r="205" spans="40:40" x14ac:dyDescent="0.25">
      <c r="AN205" t="e">
        <f>VLOOKUP(I205,Sheet1!A:D,4,FALSE)</f>
        <v>#N/A</v>
      </c>
    </row>
    <row r="206" spans="40:40" x14ac:dyDescent="0.25">
      <c r="AN206" t="e">
        <f>VLOOKUP(I206,Sheet1!A:D,4,FALSE)</f>
        <v>#N/A</v>
      </c>
    </row>
    <row r="207" spans="40:40" x14ac:dyDescent="0.25">
      <c r="AN207" t="e">
        <f>VLOOKUP(I207,Sheet1!A:D,4,FALSE)</f>
        <v>#N/A</v>
      </c>
    </row>
    <row r="208" spans="40:40" x14ac:dyDescent="0.25">
      <c r="AN208" t="e">
        <f>VLOOKUP(I208,Sheet1!A:D,4,FALSE)</f>
        <v>#N/A</v>
      </c>
    </row>
    <row r="209" spans="40:40" x14ac:dyDescent="0.25">
      <c r="AN209" t="e">
        <f>VLOOKUP(I209,Sheet1!A:D,4,FALSE)</f>
        <v>#N/A</v>
      </c>
    </row>
    <row r="210" spans="40:40" x14ac:dyDescent="0.25">
      <c r="AN210" t="e">
        <f>VLOOKUP(I210,Sheet1!A:D,4,FALSE)</f>
        <v>#N/A</v>
      </c>
    </row>
    <row r="211" spans="40:40" x14ac:dyDescent="0.25">
      <c r="AN211" t="e">
        <f>VLOOKUP(I211,Sheet1!A:D,4,FALSE)</f>
        <v>#N/A</v>
      </c>
    </row>
    <row r="212" spans="40:40" x14ac:dyDescent="0.25">
      <c r="AN212" t="e">
        <f>VLOOKUP(I212,Sheet1!A:D,4,FALSE)</f>
        <v>#N/A</v>
      </c>
    </row>
    <row r="213" spans="40:40" x14ac:dyDescent="0.25">
      <c r="AN213" t="e">
        <f>VLOOKUP(I213,Sheet1!A:D,4,FALSE)</f>
        <v>#N/A</v>
      </c>
    </row>
    <row r="214" spans="40:40" x14ac:dyDescent="0.25">
      <c r="AN214" t="e">
        <f>VLOOKUP(I214,Sheet1!A:D,4,FALSE)</f>
        <v>#N/A</v>
      </c>
    </row>
    <row r="215" spans="40:40" x14ac:dyDescent="0.25">
      <c r="AN215" t="e">
        <f>VLOOKUP(I215,Sheet1!A:D,4,FALSE)</f>
        <v>#N/A</v>
      </c>
    </row>
    <row r="216" spans="40:40" x14ac:dyDescent="0.25">
      <c r="AN216" t="e">
        <f>VLOOKUP(I216,Sheet1!A:D,4,FALSE)</f>
        <v>#N/A</v>
      </c>
    </row>
    <row r="217" spans="40:40" x14ac:dyDescent="0.25">
      <c r="AN217" t="e">
        <f>VLOOKUP(I217,Sheet1!A:D,4,FALSE)</f>
        <v>#N/A</v>
      </c>
    </row>
    <row r="218" spans="40:40" x14ac:dyDescent="0.25">
      <c r="AN218" t="e">
        <f>VLOOKUP(I218,Sheet1!A:D,4,FALSE)</f>
        <v>#N/A</v>
      </c>
    </row>
    <row r="219" spans="40:40" x14ac:dyDescent="0.25">
      <c r="AN219" t="e">
        <f>VLOOKUP(I219,Sheet1!A:D,4,FALSE)</f>
        <v>#N/A</v>
      </c>
    </row>
    <row r="220" spans="40:40" x14ac:dyDescent="0.25">
      <c r="AN220" t="e">
        <f>VLOOKUP(I220,Sheet1!A:D,4,FALSE)</f>
        <v>#N/A</v>
      </c>
    </row>
    <row r="221" spans="40:40" x14ac:dyDescent="0.25">
      <c r="AN221" t="e">
        <f>VLOOKUP(I221,Sheet1!A:D,4,FALSE)</f>
        <v>#N/A</v>
      </c>
    </row>
    <row r="222" spans="40:40" x14ac:dyDescent="0.25">
      <c r="AN222" t="e">
        <f>VLOOKUP(I222,Sheet1!A:D,4,FALSE)</f>
        <v>#N/A</v>
      </c>
    </row>
    <row r="223" spans="40:40" x14ac:dyDescent="0.25">
      <c r="AN223" t="e">
        <f>VLOOKUP(I223,Sheet1!A:D,4,FALSE)</f>
        <v>#N/A</v>
      </c>
    </row>
    <row r="224" spans="40:40" x14ac:dyDescent="0.25">
      <c r="AN224" t="e">
        <f>VLOOKUP(I224,Sheet1!A:D,4,FALSE)</f>
        <v>#N/A</v>
      </c>
    </row>
    <row r="225" spans="40:40" x14ac:dyDescent="0.25">
      <c r="AN225" t="e">
        <f>VLOOKUP(I225,Sheet1!A:D,4,FALSE)</f>
        <v>#N/A</v>
      </c>
    </row>
    <row r="226" spans="40:40" x14ac:dyDescent="0.25">
      <c r="AN226" t="e">
        <f>VLOOKUP(I226,Sheet1!A:D,4,FALSE)</f>
        <v>#N/A</v>
      </c>
    </row>
    <row r="227" spans="40:40" x14ac:dyDescent="0.25">
      <c r="AN227" t="e">
        <f>VLOOKUP(I227,Sheet1!A:D,4,FALSE)</f>
        <v>#N/A</v>
      </c>
    </row>
    <row r="228" spans="40:40" x14ac:dyDescent="0.25">
      <c r="AN228" t="e">
        <f>VLOOKUP(I228,Sheet1!A:D,4,FALSE)</f>
        <v>#N/A</v>
      </c>
    </row>
    <row r="229" spans="40:40" x14ac:dyDescent="0.25">
      <c r="AN229" t="e">
        <f>VLOOKUP(I229,Sheet1!A:D,4,FALSE)</f>
        <v>#N/A</v>
      </c>
    </row>
    <row r="230" spans="40:40" x14ac:dyDescent="0.25">
      <c r="AN230" t="e">
        <f>VLOOKUP(I230,Sheet1!A:D,4,FALSE)</f>
        <v>#N/A</v>
      </c>
    </row>
    <row r="231" spans="40:40" x14ac:dyDescent="0.25">
      <c r="AN231" t="e">
        <f>VLOOKUP(I231,Sheet1!A:D,4,FALSE)</f>
        <v>#N/A</v>
      </c>
    </row>
    <row r="232" spans="40:40" x14ac:dyDescent="0.25">
      <c r="AN232" t="e">
        <f>VLOOKUP(I232,Sheet1!A:D,4,FALSE)</f>
        <v>#N/A</v>
      </c>
    </row>
    <row r="233" spans="40:40" x14ac:dyDescent="0.25">
      <c r="AN233" t="e">
        <f>VLOOKUP(I233,Sheet1!A:D,4,FALSE)</f>
        <v>#N/A</v>
      </c>
    </row>
  </sheetData>
  <autoFilter ref="A6:AR6" xr:uid="{354272A2-4B38-4EAD-90A9-121157EF7121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DFDE-66A4-4245-B824-3F7D77FD8D6E}">
  <sheetPr filterMode="1"/>
  <dimension ref="A1:AP319"/>
  <sheetViews>
    <sheetView tabSelected="1" workbookViewId="0">
      <pane ySplit="6" topLeftCell="A100" activePane="bottomLeft" state="frozen"/>
      <selection pane="bottomLeft" activeCell="A120" sqref="A120:AM120"/>
    </sheetView>
  </sheetViews>
  <sheetFormatPr defaultRowHeight="15" x14ac:dyDescent="0.25"/>
  <cols>
    <col min="1" max="1" width="34.42578125" style="18" bestFit="1" customWidth="1"/>
    <col min="2" max="2" width="13" style="4" bestFit="1" customWidth="1"/>
    <col min="3" max="3" width="13.140625" style="4" bestFit="1" customWidth="1"/>
    <col min="4" max="4" width="10.140625" style="22" bestFit="1" customWidth="1"/>
    <col min="5" max="5" width="17.5703125" style="22" bestFit="1" customWidth="1"/>
    <col min="6" max="6" width="22" style="22" bestFit="1" customWidth="1"/>
    <col min="7" max="7" width="11.85546875" style="43" bestFit="1" customWidth="1"/>
    <col min="8" max="8" width="46.5703125" style="4" bestFit="1" customWidth="1"/>
    <col min="9" max="9" width="15.140625" style="4" bestFit="1" customWidth="1"/>
    <col min="10" max="10" width="38.28515625" style="4" bestFit="1" customWidth="1"/>
    <col min="11" max="11" width="17.7109375" style="10" bestFit="1" customWidth="1"/>
    <col min="12" max="12" width="10.5703125" style="20" bestFit="1" customWidth="1"/>
    <col min="13" max="13" width="12" style="29" bestFit="1" customWidth="1"/>
    <col min="14" max="14" width="14.28515625" style="29" bestFit="1" customWidth="1"/>
    <col min="15" max="15" width="18.5703125" style="29" bestFit="1" customWidth="1"/>
    <col min="16" max="16" width="33.140625" style="10" bestFit="1" customWidth="1"/>
    <col min="17" max="17" width="19" style="8" bestFit="1" customWidth="1"/>
    <col min="18" max="18" width="19.140625" style="8" bestFit="1" customWidth="1"/>
    <col min="19" max="19" width="8.85546875" style="20" bestFit="1" customWidth="1"/>
    <col min="20" max="20" width="16.5703125" style="8" bestFit="1" customWidth="1"/>
    <col min="21" max="21" width="37.42578125" style="8" bestFit="1" customWidth="1"/>
    <col min="22" max="22" width="16.28515625" style="8" bestFit="1" customWidth="1"/>
    <col min="23" max="23" width="18.28515625" style="8" bestFit="1" customWidth="1"/>
    <col min="24" max="24" width="32.140625" style="8" bestFit="1" customWidth="1"/>
    <col min="25" max="25" width="12.42578125" style="4" bestFit="1" customWidth="1"/>
    <col min="26" max="26" width="23.28515625" style="4" bestFit="1" customWidth="1"/>
    <col min="27" max="27" width="9.7109375" style="4" bestFit="1" customWidth="1"/>
    <col min="28" max="28" width="48.5703125" style="4" bestFit="1" customWidth="1"/>
    <col min="29" max="29" width="19.85546875" style="4" bestFit="1" customWidth="1"/>
    <col min="30" max="30" width="14.42578125" style="4" bestFit="1" customWidth="1"/>
    <col min="31" max="31" width="15.42578125" style="4" bestFit="1" customWidth="1"/>
    <col min="32" max="32" width="13.7109375" style="4" bestFit="1" customWidth="1"/>
    <col min="33" max="33" width="7.140625" style="4" bestFit="1" customWidth="1"/>
    <col min="34" max="34" width="12.140625" style="4" bestFit="1" customWidth="1"/>
    <col min="35" max="35" width="7.140625" style="4" bestFit="1" customWidth="1"/>
    <col min="36" max="36" width="12.140625" style="4" bestFit="1" customWidth="1"/>
    <col min="37" max="37" width="11.28515625" style="4" bestFit="1" customWidth="1"/>
    <col min="38" max="38" width="14.85546875" style="4" bestFit="1" customWidth="1"/>
    <col min="39" max="39" width="16.28515625" style="4" bestFit="1" customWidth="1"/>
    <col min="40" max="40" width="9.140625" style="4"/>
    <col min="41" max="41" width="12" style="4" customWidth="1"/>
    <col min="42" max="42" width="142.85546875" style="4" hidden="1" customWidth="1"/>
    <col min="43" max="16384" width="9.140625" style="4"/>
  </cols>
  <sheetData>
    <row r="1" spans="1:42" s="74" customFormat="1" x14ac:dyDescent="0.25">
      <c r="A1" s="73"/>
      <c r="D1" s="75"/>
      <c r="E1" s="75"/>
      <c r="F1" s="75"/>
      <c r="G1" s="81"/>
      <c r="K1" s="77"/>
      <c r="L1" s="78"/>
      <c r="M1" s="82"/>
      <c r="N1" s="82"/>
      <c r="O1" s="82"/>
      <c r="P1" s="77"/>
      <c r="Q1" s="79"/>
      <c r="R1" s="79"/>
      <c r="S1" s="78"/>
      <c r="T1" s="79"/>
      <c r="U1" s="79"/>
      <c r="V1" s="79"/>
      <c r="W1" s="79"/>
      <c r="X1" s="79"/>
    </row>
    <row r="2" spans="1:42" s="74" customFormat="1" x14ac:dyDescent="0.25">
      <c r="A2" s="73"/>
      <c r="D2" s="75"/>
      <c r="E2" s="75"/>
      <c r="F2" s="75"/>
      <c r="G2" s="81"/>
      <c r="K2" s="77"/>
      <c r="L2" s="78"/>
      <c r="M2" s="82"/>
      <c r="N2" s="82"/>
      <c r="O2" s="82"/>
      <c r="P2" s="77"/>
      <c r="Q2" s="79"/>
      <c r="R2" s="79"/>
      <c r="S2" s="78"/>
      <c r="T2" s="79"/>
      <c r="U2" s="79"/>
      <c r="V2" s="79"/>
      <c r="W2" s="79"/>
      <c r="X2" s="79"/>
    </row>
    <row r="3" spans="1:42" s="74" customFormat="1" x14ac:dyDescent="0.25">
      <c r="A3" s="73"/>
      <c r="D3" s="75"/>
      <c r="E3" s="75"/>
      <c r="F3" s="75"/>
      <c r="G3" s="81"/>
      <c r="K3" s="77"/>
      <c r="L3" s="78"/>
      <c r="M3" s="82"/>
      <c r="N3" s="82"/>
      <c r="O3" s="82"/>
      <c r="P3" s="77"/>
      <c r="Q3" s="79"/>
      <c r="R3" s="79"/>
      <c r="S3" s="78"/>
      <c r="T3" s="79"/>
      <c r="U3" s="79"/>
      <c r="V3" s="79"/>
      <c r="W3" s="79"/>
      <c r="X3" s="79"/>
    </row>
    <row r="4" spans="1:42" s="74" customFormat="1" x14ac:dyDescent="0.25">
      <c r="A4" s="73"/>
      <c r="D4" s="75"/>
      <c r="E4" s="75"/>
      <c r="F4" s="75"/>
      <c r="G4" s="81"/>
      <c r="K4" s="77"/>
      <c r="L4" s="78"/>
      <c r="M4" s="82"/>
      <c r="N4" s="82"/>
      <c r="O4" s="82"/>
      <c r="P4" s="77"/>
      <c r="Q4" s="79"/>
      <c r="R4" s="79"/>
      <c r="S4" s="78"/>
      <c r="T4" s="79"/>
      <c r="U4" s="79"/>
      <c r="V4" s="79"/>
      <c r="W4" s="79"/>
      <c r="X4" s="79"/>
    </row>
    <row r="5" spans="1:42" s="74" customFormat="1" x14ac:dyDescent="0.25">
      <c r="A5" s="73" t="s">
        <v>230</v>
      </c>
      <c r="D5" s="75"/>
      <c r="E5" s="75"/>
      <c r="F5" s="75"/>
      <c r="G5" s="81"/>
      <c r="K5" s="77"/>
      <c r="L5" s="78"/>
      <c r="M5" s="82"/>
      <c r="N5" s="82"/>
      <c r="O5" s="82"/>
      <c r="P5" s="77"/>
      <c r="Q5" s="79"/>
      <c r="R5" s="79"/>
      <c r="S5" s="78"/>
      <c r="T5" s="79"/>
      <c r="U5" s="79"/>
      <c r="V5" s="79"/>
      <c r="W5" s="79"/>
      <c r="X5" s="79"/>
    </row>
    <row r="6" spans="1:42" x14ac:dyDescent="0.25">
      <c r="A6" s="13" t="s">
        <v>0</v>
      </c>
      <c r="B6" s="1" t="s">
        <v>1</v>
      </c>
      <c r="C6" s="1" t="s">
        <v>2</v>
      </c>
      <c r="D6" s="21" t="s">
        <v>4</v>
      </c>
      <c r="E6" s="1" t="s">
        <v>3</v>
      </c>
      <c r="F6" s="21" t="s">
        <v>5</v>
      </c>
      <c r="G6" s="34" t="s">
        <v>6</v>
      </c>
      <c r="H6" s="1" t="s">
        <v>7</v>
      </c>
      <c r="I6" s="1" t="s">
        <v>8</v>
      </c>
      <c r="J6" s="1" t="s">
        <v>9</v>
      </c>
      <c r="K6" s="9" t="s">
        <v>10</v>
      </c>
      <c r="L6" s="15" t="s">
        <v>11</v>
      </c>
      <c r="M6" s="27" t="s">
        <v>12</v>
      </c>
      <c r="N6" s="27" t="s">
        <v>13</v>
      </c>
      <c r="O6" s="27" t="s">
        <v>14</v>
      </c>
      <c r="P6" s="9" t="s">
        <v>15</v>
      </c>
      <c r="Q6" s="3" t="s">
        <v>16</v>
      </c>
      <c r="R6" s="3" t="s">
        <v>17</v>
      </c>
      <c r="S6" s="15" t="s">
        <v>18</v>
      </c>
      <c r="T6" s="3" t="s">
        <v>19</v>
      </c>
      <c r="U6" s="3" t="s">
        <v>20</v>
      </c>
      <c r="V6" s="3" t="s">
        <v>21</v>
      </c>
      <c r="W6" s="3" t="s">
        <v>22</v>
      </c>
      <c r="X6" s="3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  <c r="AN6" s="1" t="s">
        <v>276</v>
      </c>
      <c r="AO6" s="1"/>
      <c r="AP6" s="7" t="s">
        <v>39</v>
      </c>
    </row>
    <row r="7" spans="1:42" s="164" customFormat="1" ht="15.75" hidden="1" customHeight="1" x14ac:dyDescent="0.25">
      <c r="A7" s="137">
        <v>45658</v>
      </c>
      <c r="B7" s="138" t="s">
        <v>40</v>
      </c>
      <c r="C7" s="138" t="s">
        <v>41</v>
      </c>
      <c r="D7" s="138">
        <v>25707900</v>
      </c>
      <c r="E7" s="139">
        <v>24106537</v>
      </c>
      <c r="F7" s="139" t="s">
        <v>92</v>
      </c>
      <c r="G7" s="157">
        <v>45659</v>
      </c>
      <c r="H7" s="138" t="s">
        <v>73</v>
      </c>
      <c r="I7" s="138" t="s">
        <v>62</v>
      </c>
      <c r="J7" s="138" t="s">
        <v>83</v>
      </c>
      <c r="K7" s="158">
        <v>40</v>
      </c>
      <c r="L7" s="138" t="s">
        <v>42</v>
      </c>
      <c r="M7" s="159">
        <v>40</v>
      </c>
      <c r="N7" s="159">
        <v>226225</v>
      </c>
      <c r="O7" s="159">
        <v>9049000</v>
      </c>
      <c r="P7" s="158">
        <v>9049000</v>
      </c>
      <c r="Q7" s="160">
        <v>0</v>
      </c>
      <c r="R7" s="160">
        <v>0</v>
      </c>
      <c r="S7" s="138" t="s">
        <v>43</v>
      </c>
      <c r="T7" s="161">
        <v>5684526.8799999999</v>
      </c>
      <c r="U7" s="161">
        <v>5684526.8799999999</v>
      </c>
      <c r="V7" s="161">
        <v>3364473.12</v>
      </c>
      <c r="W7" s="162">
        <v>0.37180606917800002</v>
      </c>
      <c r="X7" s="161">
        <v>3364473.12</v>
      </c>
      <c r="Y7" s="138" t="s">
        <v>66</v>
      </c>
      <c r="Z7" s="138" t="s">
        <v>44</v>
      </c>
      <c r="AA7" s="139">
        <v>15161</v>
      </c>
      <c r="AB7" s="138" t="s">
        <v>75</v>
      </c>
      <c r="AC7" s="138" t="s">
        <v>45</v>
      </c>
      <c r="AD7" s="138" t="s">
        <v>67</v>
      </c>
      <c r="AE7" s="163">
        <v>0</v>
      </c>
      <c r="AF7" s="138" t="s">
        <v>76</v>
      </c>
      <c r="AG7" s="138" t="s">
        <v>69</v>
      </c>
      <c r="AH7" s="138" t="s">
        <v>46</v>
      </c>
      <c r="AI7" s="138" t="s">
        <v>69</v>
      </c>
      <c r="AJ7" s="138" t="s">
        <v>46</v>
      </c>
      <c r="AK7" s="138" t="s">
        <v>47</v>
      </c>
      <c r="AL7" s="138" t="s">
        <v>48</v>
      </c>
      <c r="AM7" s="138" t="s">
        <v>49</v>
      </c>
      <c r="AN7" s="164" t="str">
        <f>VLOOKUP(I7,Sheet1!A:D,4,FALSE)</f>
        <v>A210600</v>
      </c>
      <c r="AP7" s="164" t="s">
        <v>96</v>
      </c>
    </row>
    <row r="8" spans="1:42" s="164" customFormat="1" ht="14.25" hidden="1" x14ac:dyDescent="0.25">
      <c r="A8" s="137">
        <v>45658</v>
      </c>
      <c r="B8" s="138" t="s">
        <v>40</v>
      </c>
      <c r="C8" s="138" t="s">
        <v>41</v>
      </c>
      <c r="D8" s="138">
        <v>25707901</v>
      </c>
      <c r="E8" s="139">
        <v>24106294</v>
      </c>
      <c r="F8" s="139" t="s">
        <v>85</v>
      </c>
      <c r="G8" s="157">
        <v>45659</v>
      </c>
      <c r="H8" s="138" t="s">
        <v>73</v>
      </c>
      <c r="I8" s="138" t="s">
        <v>50</v>
      </c>
      <c r="J8" s="138" t="s">
        <v>74</v>
      </c>
      <c r="K8" s="158">
        <v>900</v>
      </c>
      <c r="L8" s="138" t="s">
        <v>42</v>
      </c>
      <c r="M8" s="159">
        <v>900</v>
      </c>
      <c r="N8" s="159">
        <v>310898.82</v>
      </c>
      <c r="O8" s="159">
        <v>279808938</v>
      </c>
      <c r="P8" s="158">
        <v>279808938</v>
      </c>
      <c r="Q8" s="160">
        <v>0</v>
      </c>
      <c r="R8" s="160">
        <v>0</v>
      </c>
      <c r="S8" s="138" t="s">
        <v>43</v>
      </c>
      <c r="T8" s="161">
        <v>144576090.22999999</v>
      </c>
      <c r="U8" s="161">
        <v>144576090.22999999</v>
      </c>
      <c r="V8" s="161">
        <v>135232847.77000001</v>
      </c>
      <c r="W8" s="162">
        <v>0.48330424587699999</v>
      </c>
      <c r="X8" s="161">
        <v>135232847.77000001</v>
      </c>
      <c r="Y8" s="138" t="s">
        <v>66</v>
      </c>
      <c r="Z8" s="138" t="s">
        <v>44</v>
      </c>
      <c r="AA8" s="139">
        <v>15161</v>
      </c>
      <c r="AB8" s="138" t="s">
        <v>75</v>
      </c>
      <c r="AC8" s="138" t="s">
        <v>45</v>
      </c>
      <c r="AD8" s="138" t="s">
        <v>67</v>
      </c>
      <c r="AE8" s="163">
        <v>0</v>
      </c>
      <c r="AF8" s="138" t="s">
        <v>76</v>
      </c>
      <c r="AG8" s="138" t="s">
        <v>69</v>
      </c>
      <c r="AH8" s="138" t="s">
        <v>46</v>
      </c>
      <c r="AI8" s="138" t="s">
        <v>69</v>
      </c>
      <c r="AJ8" s="138" t="s">
        <v>46</v>
      </c>
      <c r="AK8" s="138" t="s">
        <v>47</v>
      </c>
      <c r="AL8" s="138" t="s">
        <v>48</v>
      </c>
      <c r="AM8" s="138" t="s">
        <v>49</v>
      </c>
      <c r="AN8" s="164" t="str">
        <f>VLOOKUP(I8,Sheet1!A:D,4,FALSE)</f>
        <v>A210600</v>
      </c>
      <c r="AP8" s="164" t="s">
        <v>96</v>
      </c>
    </row>
    <row r="9" spans="1:42" s="164" customFormat="1" ht="14.25" hidden="1" x14ac:dyDescent="0.25">
      <c r="A9" s="137">
        <v>45658</v>
      </c>
      <c r="B9" s="138" t="s">
        <v>40</v>
      </c>
      <c r="C9" s="138" t="s">
        <v>41</v>
      </c>
      <c r="D9" s="138">
        <v>25707902</v>
      </c>
      <c r="E9" s="139">
        <v>24106469</v>
      </c>
      <c r="F9" s="139" t="s">
        <v>86</v>
      </c>
      <c r="G9" s="157">
        <v>45665</v>
      </c>
      <c r="H9" s="138" t="s">
        <v>73</v>
      </c>
      <c r="I9" s="138" t="s">
        <v>52</v>
      </c>
      <c r="J9" s="138" t="s">
        <v>80</v>
      </c>
      <c r="K9" s="158">
        <v>760</v>
      </c>
      <c r="L9" s="138" t="s">
        <v>42</v>
      </c>
      <c r="M9" s="159">
        <v>760</v>
      </c>
      <c r="N9" s="159">
        <v>309447</v>
      </c>
      <c r="O9" s="159">
        <v>235179720</v>
      </c>
      <c r="P9" s="158">
        <v>235179720</v>
      </c>
      <c r="Q9" s="160">
        <v>0</v>
      </c>
      <c r="R9" s="160">
        <v>0</v>
      </c>
      <c r="S9" s="138" t="s">
        <v>43</v>
      </c>
      <c r="T9" s="161">
        <v>112766952.86</v>
      </c>
      <c r="U9" s="161">
        <v>112766952.86</v>
      </c>
      <c r="V9" s="161">
        <v>122412767.14</v>
      </c>
      <c r="W9" s="162">
        <v>0.52050732580100001</v>
      </c>
      <c r="X9" s="161">
        <v>122412767.14</v>
      </c>
      <c r="Y9" s="138" t="s">
        <v>66</v>
      </c>
      <c r="Z9" s="138" t="s">
        <v>44</v>
      </c>
      <c r="AA9" s="139">
        <v>15161</v>
      </c>
      <c r="AB9" s="138" t="s">
        <v>75</v>
      </c>
      <c r="AC9" s="138" t="s">
        <v>45</v>
      </c>
      <c r="AD9" s="138" t="s">
        <v>67</v>
      </c>
      <c r="AE9" s="163">
        <v>0</v>
      </c>
      <c r="AF9" s="138" t="s">
        <v>76</v>
      </c>
      <c r="AG9" s="138" t="s">
        <v>69</v>
      </c>
      <c r="AH9" s="138" t="s">
        <v>46</v>
      </c>
      <c r="AI9" s="138" t="s">
        <v>69</v>
      </c>
      <c r="AJ9" s="138" t="s">
        <v>46</v>
      </c>
      <c r="AK9" s="138" t="s">
        <v>47</v>
      </c>
      <c r="AL9" s="138" t="s">
        <v>48</v>
      </c>
      <c r="AM9" s="138" t="s">
        <v>49</v>
      </c>
      <c r="AN9" s="164" t="str">
        <f>VLOOKUP(I9,Sheet1!A:D,4,FALSE)</f>
        <v>A210600</v>
      </c>
      <c r="AP9" s="164" t="s">
        <v>96</v>
      </c>
    </row>
    <row r="10" spans="1:42" s="164" customFormat="1" ht="14.25" hidden="1" x14ac:dyDescent="0.25">
      <c r="A10" s="137">
        <v>45658</v>
      </c>
      <c r="B10" s="138" t="s">
        <v>40</v>
      </c>
      <c r="C10" s="138" t="s">
        <v>41</v>
      </c>
      <c r="D10" s="138">
        <v>25707903</v>
      </c>
      <c r="E10" s="139">
        <v>24106487</v>
      </c>
      <c r="F10" s="139" t="s">
        <v>87</v>
      </c>
      <c r="G10" s="157">
        <v>45665</v>
      </c>
      <c r="H10" s="138" t="s">
        <v>73</v>
      </c>
      <c r="I10" s="138" t="s">
        <v>51</v>
      </c>
      <c r="J10" s="138" t="s">
        <v>79</v>
      </c>
      <c r="K10" s="158">
        <v>430</v>
      </c>
      <c r="L10" s="138" t="s">
        <v>42</v>
      </c>
      <c r="M10" s="159">
        <v>430</v>
      </c>
      <c r="N10" s="159">
        <v>255491.39</v>
      </c>
      <c r="O10" s="159">
        <v>109861297.7</v>
      </c>
      <c r="P10" s="158">
        <v>109861297.7</v>
      </c>
      <c r="Q10" s="160">
        <v>0</v>
      </c>
      <c r="R10" s="160">
        <v>0</v>
      </c>
      <c r="S10" s="138" t="s">
        <v>43</v>
      </c>
      <c r="T10" s="161">
        <v>58649689.259999998</v>
      </c>
      <c r="U10" s="161">
        <v>58649689.259999998</v>
      </c>
      <c r="V10" s="161">
        <v>51211608.439999998</v>
      </c>
      <c r="W10" s="162">
        <v>0.46614785654399998</v>
      </c>
      <c r="X10" s="161">
        <v>51211608.439999998</v>
      </c>
      <c r="Y10" s="138" t="s">
        <v>66</v>
      </c>
      <c r="Z10" s="138" t="s">
        <v>44</v>
      </c>
      <c r="AA10" s="139">
        <v>15161</v>
      </c>
      <c r="AB10" s="138" t="s">
        <v>75</v>
      </c>
      <c r="AC10" s="138" t="s">
        <v>45</v>
      </c>
      <c r="AD10" s="138" t="s">
        <v>67</v>
      </c>
      <c r="AE10" s="163">
        <v>0</v>
      </c>
      <c r="AF10" s="138" t="s">
        <v>76</v>
      </c>
      <c r="AG10" s="138" t="s">
        <v>69</v>
      </c>
      <c r="AH10" s="138" t="s">
        <v>46</v>
      </c>
      <c r="AI10" s="138" t="s">
        <v>69</v>
      </c>
      <c r="AJ10" s="138" t="s">
        <v>46</v>
      </c>
      <c r="AK10" s="138" t="s">
        <v>47</v>
      </c>
      <c r="AL10" s="138" t="s">
        <v>48</v>
      </c>
      <c r="AM10" s="138" t="s">
        <v>49</v>
      </c>
      <c r="AN10" s="164" t="str">
        <f>VLOOKUP(I10,Sheet1!A:D,4,FALSE)</f>
        <v>A210600</v>
      </c>
      <c r="AP10" s="164" t="s">
        <v>96</v>
      </c>
    </row>
    <row r="11" spans="1:42" s="150" customFormat="1" ht="14.25" hidden="1" x14ac:dyDescent="0.2">
      <c r="A11" s="149">
        <v>45658</v>
      </c>
      <c r="B11" s="150" t="s">
        <v>40</v>
      </c>
      <c r="C11" s="150" t="s">
        <v>41</v>
      </c>
      <c r="D11" s="150">
        <v>25707904</v>
      </c>
      <c r="E11" s="150">
        <v>24106491</v>
      </c>
      <c r="F11" s="165" t="s">
        <v>93</v>
      </c>
      <c r="G11" s="166">
        <v>45665</v>
      </c>
      <c r="H11" s="150" t="s">
        <v>73</v>
      </c>
      <c r="I11" s="150" t="s">
        <v>94</v>
      </c>
      <c r="J11" s="150" t="s">
        <v>95</v>
      </c>
      <c r="K11" s="167">
        <v>20</v>
      </c>
      <c r="L11" s="150" t="s">
        <v>42</v>
      </c>
      <c r="M11" s="168">
        <v>20</v>
      </c>
      <c r="N11" s="168">
        <v>913599.23</v>
      </c>
      <c r="O11" s="168">
        <v>18271984.600000001</v>
      </c>
      <c r="P11" s="167">
        <v>18271984.600000001</v>
      </c>
      <c r="Q11" s="169">
        <v>0</v>
      </c>
      <c r="R11" s="169">
        <v>0</v>
      </c>
      <c r="S11" s="150" t="s">
        <v>43</v>
      </c>
      <c r="T11" s="167">
        <v>11596532.800000001</v>
      </c>
      <c r="U11" s="167">
        <v>11596532.800000001</v>
      </c>
      <c r="V11" s="167">
        <v>6675451.7999999998</v>
      </c>
      <c r="W11" s="170">
        <v>0.36533808155600001</v>
      </c>
      <c r="X11" s="167">
        <v>6675451.7999999998</v>
      </c>
      <c r="Y11" s="150" t="s">
        <v>66</v>
      </c>
      <c r="Z11" s="150" t="s">
        <v>44</v>
      </c>
      <c r="AA11" s="150">
        <v>15161</v>
      </c>
      <c r="AB11" s="150" t="s">
        <v>75</v>
      </c>
      <c r="AC11" s="150" t="s">
        <v>45</v>
      </c>
      <c r="AD11" s="150" t="s">
        <v>67</v>
      </c>
      <c r="AE11" s="150">
        <v>0</v>
      </c>
      <c r="AF11" s="150" t="s">
        <v>78</v>
      </c>
      <c r="AG11" s="150" t="s">
        <v>69</v>
      </c>
      <c r="AH11" s="150" t="s">
        <v>46</v>
      </c>
      <c r="AI11" s="150" t="s">
        <v>69</v>
      </c>
      <c r="AJ11" s="150" t="s">
        <v>46</v>
      </c>
      <c r="AK11" s="150" t="s">
        <v>54</v>
      </c>
      <c r="AL11" s="150" t="s">
        <v>48</v>
      </c>
      <c r="AM11" s="150" t="s">
        <v>49</v>
      </c>
      <c r="AN11" s="150" t="str">
        <f>VLOOKUP(I11,Sheet1!A:D,4,FALSE)</f>
        <v>A210600</v>
      </c>
      <c r="AP11" s="164" t="s">
        <v>96</v>
      </c>
    </row>
    <row r="12" spans="1:42" s="133" customFormat="1" ht="14.25" hidden="1" x14ac:dyDescent="0.2">
      <c r="A12" s="149">
        <v>45658</v>
      </c>
      <c r="B12" s="133" t="s">
        <v>40</v>
      </c>
      <c r="C12" s="133" t="s">
        <v>41</v>
      </c>
      <c r="D12" s="150">
        <v>25707905</v>
      </c>
      <c r="E12" s="150">
        <v>24106490</v>
      </c>
      <c r="F12" s="150" t="s">
        <v>97</v>
      </c>
      <c r="G12" s="166">
        <v>45665</v>
      </c>
      <c r="H12" s="133" t="s">
        <v>98</v>
      </c>
      <c r="I12" s="133" t="s">
        <v>99</v>
      </c>
      <c r="J12" s="133" t="s">
        <v>100</v>
      </c>
      <c r="K12" s="152">
        <v>100</v>
      </c>
      <c r="L12" s="153" t="s">
        <v>42</v>
      </c>
      <c r="M12" s="156">
        <v>100</v>
      </c>
      <c r="N12" s="156">
        <v>490110</v>
      </c>
      <c r="O12" s="156">
        <v>49011000</v>
      </c>
      <c r="P12" s="152">
        <v>49011000</v>
      </c>
      <c r="Q12" s="136">
        <v>0</v>
      </c>
      <c r="R12" s="136">
        <v>0</v>
      </c>
      <c r="S12" s="153" t="s">
        <v>43</v>
      </c>
      <c r="T12" s="133">
        <v>32069577.170000002</v>
      </c>
      <c r="U12" s="133">
        <v>32069577.170000002</v>
      </c>
      <c r="V12" s="133">
        <v>16941422.829999998</v>
      </c>
      <c r="W12" s="133">
        <v>0.34566572463299999</v>
      </c>
      <c r="X12" s="133">
        <v>16941422.829999998</v>
      </c>
      <c r="Y12" s="133" t="s">
        <v>101</v>
      </c>
      <c r="Z12" s="133" t="s">
        <v>46</v>
      </c>
      <c r="AA12" s="133">
        <v>2306511</v>
      </c>
      <c r="AB12" s="133" t="s">
        <v>102</v>
      </c>
      <c r="AC12" s="133" t="s">
        <v>56</v>
      </c>
      <c r="AD12" s="133" t="s">
        <v>103</v>
      </c>
      <c r="AE12" s="133">
        <v>0</v>
      </c>
      <c r="AF12" s="133" t="s">
        <v>104</v>
      </c>
      <c r="AG12" s="133" t="s">
        <v>101</v>
      </c>
      <c r="AH12" s="133" t="s">
        <v>46</v>
      </c>
      <c r="AI12" s="133" t="s">
        <v>101</v>
      </c>
      <c r="AJ12" s="133" t="s">
        <v>46</v>
      </c>
      <c r="AK12" s="133" t="s">
        <v>54</v>
      </c>
      <c r="AL12" s="133" t="s">
        <v>48</v>
      </c>
      <c r="AM12" s="133" t="s">
        <v>49</v>
      </c>
      <c r="AN12" s="133" t="str">
        <f>VLOOKUP(I12,Sheet1!A:D,4,FALSE)</f>
        <v>A210600</v>
      </c>
      <c r="AO12" s="133" t="s">
        <v>112</v>
      </c>
      <c r="AP12" s="133" t="s">
        <v>113</v>
      </c>
    </row>
    <row r="13" spans="1:42" s="133" customFormat="1" ht="14.25" hidden="1" x14ac:dyDescent="0.2">
      <c r="A13" s="149">
        <v>45658</v>
      </c>
      <c r="B13" s="133" t="s">
        <v>40</v>
      </c>
      <c r="C13" s="133" t="s">
        <v>41</v>
      </c>
      <c r="D13" s="150">
        <v>25707906</v>
      </c>
      <c r="E13" s="150">
        <v>25106543</v>
      </c>
      <c r="F13" s="150" t="s">
        <v>105</v>
      </c>
      <c r="G13" s="166">
        <v>45665</v>
      </c>
      <c r="H13" s="133" t="s">
        <v>98</v>
      </c>
      <c r="I13" s="133" t="s">
        <v>106</v>
      </c>
      <c r="J13" s="133" t="s">
        <v>107</v>
      </c>
      <c r="K13" s="152">
        <v>25</v>
      </c>
      <c r="L13" s="153" t="s">
        <v>42</v>
      </c>
      <c r="M13" s="156">
        <v>25</v>
      </c>
      <c r="N13" s="156">
        <v>483097</v>
      </c>
      <c r="O13" s="156">
        <v>12077425</v>
      </c>
      <c r="P13" s="152">
        <v>12077425</v>
      </c>
      <c r="Q13" s="136">
        <v>0</v>
      </c>
      <c r="R13" s="136">
        <v>0</v>
      </c>
      <c r="S13" s="153" t="s">
        <v>43</v>
      </c>
      <c r="T13" s="133">
        <v>9715618.1699999999</v>
      </c>
      <c r="U13" s="133">
        <v>9715618.1699999999</v>
      </c>
      <c r="V13" s="133">
        <v>2361806.83</v>
      </c>
      <c r="W13" s="133">
        <v>0.19555549548000001</v>
      </c>
      <c r="X13" s="133">
        <v>2361806.83</v>
      </c>
      <c r="Y13" s="133" t="s">
        <v>101</v>
      </c>
      <c r="Z13" s="133" t="s">
        <v>46</v>
      </c>
      <c r="AA13" s="133">
        <v>2306511</v>
      </c>
      <c r="AB13" s="133" t="s">
        <v>102</v>
      </c>
      <c r="AC13" s="133" t="s">
        <v>56</v>
      </c>
      <c r="AD13" s="133" t="s">
        <v>103</v>
      </c>
      <c r="AE13" s="133">
        <v>0</v>
      </c>
      <c r="AF13" s="133" t="s">
        <v>108</v>
      </c>
      <c r="AG13" s="133" t="s">
        <v>101</v>
      </c>
      <c r="AH13" s="133" t="s">
        <v>46</v>
      </c>
      <c r="AI13" s="133" t="s">
        <v>101</v>
      </c>
      <c r="AJ13" s="133" t="s">
        <v>46</v>
      </c>
      <c r="AK13" s="133" t="s">
        <v>54</v>
      </c>
      <c r="AL13" s="133" t="s">
        <v>48</v>
      </c>
      <c r="AM13" s="133" t="s">
        <v>49</v>
      </c>
      <c r="AN13" s="133" t="str">
        <f>VLOOKUP(I13,Sheet1!A:D,4,FALSE)</f>
        <v>A210600</v>
      </c>
      <c r="AP13" s="133" t="s">
        <v>113</v>
      </c>
    </row>
    <row r="14" spans="1:42" s="133" customFormat="1" ht="14.25" hidden="1" x14ac:dyDescent="0.2">
      <c r="A14" s="149">
        <v>45658</v>
      </c>
      <c r="B14" s="133" t="s">
        <v>40</v>
      </c>
      <c r="C14" s="133" t="s">
        <v>41</v>
      </c>
      <c r="D14" s="150">
        <v>25707907</v>
      </c>
      <c r="E14" s="150">
        <v>24106494</v>
      </c>
      <c r="F14" s="150" t="s">
        <v>109</v>
      </c>
      <c r="G14" s="166">
        <v>45671</v>
      </c>
      <c r="H14" s="133" t="s">
        <v>98</v>
      </c>
      <c r="I14" s="133" t="s">
        <v>110</v>
      </c>
      <c r="J14" s="133" t="s">
        <v>111</v>
      </c>
      <c r="K14" s="152">
        <v>50</v>
      </c>
      <c r="L14" s="153" t="s">
        <v>42</v>
      </c>
      <c r="M14" s="156">
        <v>50</v>
      </c>
      <c r="N14" s="156">
        <v>842434.92</v>
      </c>
      <c r="O14" s="156">
        <v>42121746</v>
      </c>
      <c r="P14" s="152">
        <v>42121746</v>
      </c>
      <c r="Q14" s="136">
        <v>0</v>
      </c>
      <c r="R14" s="136">
        <v>0</v>
      </c>
      <c r="S14" s="153" t="s">
        <v>43</v>
      </c>
      <c r="T14" s="133">
        <v>24011383.68</v>
      </c>
      <c r="U14" s="133">
        <v>24011383.68</v>
      </c>
      <c r="V14" s="133">
        <v>18110362.32</v>
      </c>
      <c r="W14" s="133">
        <v>0.42995279255500002</v>
      </c>
      <c r="X14" s="133">
        <v>18110362.32</v>
      </c>
      <c r="Y14" s="133" t="s">
        <v>101</v>
      </c>
      <c r="Z14" s="133" t="s">
        <v>46</v>
      </c>
      <c r="AA14" s="133">
        <v>2306511</v>
      </c>
      <c r="AB14" s="133" t="s">
        <v>102</v>
      </c>
      <c r="AC14" s="133" t="s">
        <v>56</v>
      </c>
      <c r="AD14" s="133" t="s">
        <v>103</v>
      </c>
      <c r="AE14" s="133">
        <v>0</v>
      </c>
      <c r="AF14" s="133" t="s">
        <v>108</v>
      </c>
      <c r="AG14" s="133" t="s">
        <v>101</v>
      </c>
      <c r="AH14" s="133" t="s">
        <v>46</v>
      </c>
      <c r="AI14" s="133" t="s">
        <v>101</v>
      </c>
      <c r="AJ14" s="133" t="s">
        <v>46</v>
      </c>
      <c r="AK14" s="133" t="s">
        <v>54</v>
      </c>
      <c r="AL14" s="133" t="s">
        <v>48</v>
      </c>
      <c r="AM14" s="133" t="s">
        <v>49</v>
      </c>
      <c r="AN14" s="133" t="str">
        <f>VLOOKUP(I14,Sheet1!A:D,4,FALSE)</f>
        <v>A210600</v>
      </c>
      <c r="AP14" s="133" t="s">
        <v>113</v>
      </c>
    </row>
    <row r="15" spans="1:42" s="133" customFormat="1" ht="14.25" x14ac:dyDescent="0.2">
      <c r="A15" s="149">
        <v>45689</v>
      </c>
      <c r="B15" s="133" t="s">
        <v>40</v>
      </c>
      <c r="C15" s="133" t="s">
        <v>41</v>
      </c>
      <c r="D15" s="150">
        <v>25707979</v>
      </c>
      <c r="E15" s="150">
        <v>25106570</v>
      </c>
      <c r="F15" s="150" t="s">
        <v>723</v>
      </c>
      <c r="G15" s="166">
        <v>45691</v>
      </c>
      <c r="H15" s="133" t="s">
        <v>729</v>
      </c>
      <c r="I15" s="133" t="s">
        <v>283</v>
      </c>
      <c r="J15" s="133" t="s">
        <v>490</v>
      </c>
      <c r="K15" s="152">
        <v>300</v>
      </c>
      <c r="L15" s="153" t="s">
        <v>42</v>
      </c>
      <c r="M15" s="156">
        <v>300</v>
      </c>
      <c r="N15" s="156">
        <v>304251.28999999998</v>
      </c>
      <c r="O15" s="156">
        <v>91275387</v>
      </c>
      <c r="P15" s="152">
        <v>91275387</v>
      </c>
      <c r="Q15" s="136">
        <v>0</v>
      </c>
      <c r="R15" s="136">
        <v>0</v>
      </c>
      <c r="S15" s="153" t="s">
        <v>43</v>
      </c>
      <c r="T15" s="136">
        <v>48849982.789999999</v>
      </c>
      <c r="U15" s="136">
        <v>48849982.789999999</v>
      </c>
      <c r="V15" s="136">
        <v>42425404.210000001</v>
      </c>
      <c r="W15" s="136">
        <v>0.46480662097800002</v>
      </c>
      <c r="X15" s="136">
        <v>42425404.210000001</v>
      </c>
      <c r="Y15" s="133" t="s">
        <v>235</v>
      </c>
      <c r="Z15" s="133" t="s">
        <v>44</v>
      </c>
      <c r="AA15" s="133">
        <v>15161</v>
      </c>
      <c r="AB15" s="133" t="s">
        <v>730</v>
      </c>
      <c r="AC15" s="133" t="s">
        <v>45</v>
      </c>
      <c r="AD15" s="133" t="s">
        <v>199</v>
      </c>
      <c r="AE15" s="133">
        <v>0</v>
      </c>
      <c r="AF15" s="133" t="s">
        <v>731</v>
      </c>
      <c r="AG15" s="133" t="s">
        <v>101</v>
      </c>
      <c r="AH15" s="133" t="s">
        <v>46</v>
      </c>
      <c r="AI15" s="133" t="s">
        <v>101</v>
      </c>
      <c r="AJ15" s="133" t="s">
        <v>46</v>
      </c>
      <c r="AK15" s="133" t="s">
        <v>47</v>
      </c>
      <c r="AL15" s="133" t="s">
        <v>48</v>
      </c>
      <c r="AM15" s="133" t="s">
        <v>49</v>
      </c>
      <c r="AN15" s="133" t="str">
        <f>VLOOKUP(I15,Sheet1!A:D,4,FALSE)</f>
        <v>A210600</v>
      </c>
      <c r="AP15" s="187" t="s">
        <v>726</v>
      </c>
    </row>
    <row r="16" spans="1:42" s="133" customFormat="1" ht="14.25" x14ac:dyDescent="0.2">
      <c r="A16" s="149">
        <v>45689</v>
      </c>
      <c r="B16" s="133" t="s">
        <v>40</v>
      </c>
      <c r="C16" s="133" t="s">
        <v>41</v>
      </c>
      <c r="D16" s="150">
        <v>25707980</v>
      </c>
      <c r="E16" s="150">
        <v>24106464</v>
      </c>
      <c r="F16" s="150" t="s">
        <v>724</v>
      </c>
      <c r="G16" s="166">
        <v>45691</v>
      </c>
      <c r="H16" s="133" t="s">
        <v>729</v>
      </c>
      <c r="I16" s="133" t="s">
        <v>282</v>
      </c>
      <c r="J16" s="133" t="s">
        <v>489</v>
      </c>
      <c r="K16" s="152">
        <v>500</v>
      </c>
      <c r="L16" s="153" t="s">
        <v>42</v>
      </c>
      <c r="M16" s="156">
        <v>500</v>
      </c>
      <c r="N16" s="156">
        <v>288744.48</v>
      </c>
      <c r="O16" s="156">
        <v>144372240</v>
      </c>
      <c r="P16" s="152">
        <v>144372240</v>
      </c>
      <c r="Q16" s="136">
        <v>0</v>
      </c>
      <c r="R16" s="136">
        <v>0</v>
      </c>
      <c r="S16" s="153" t="s">
        <v>43</v>
      </c>
      <c r="T16" s="136">
        <v>115794437.92</v>
      </c>
      <c r="U16" s="136">
        <v>115794437.92</v>
      </c>
      <c r="V16" s="136">
        <v>28577802.079999998</v>
      </c>
      <c r="W16" s="136">
        <v>0.197945270364</v>
      </c>
      <c r="X16" s="136">
        <v>28577802.079999998</v>
      </c>
      <c r="Y16" s="133" t="s">
        <v>235</v>
      </c>
      <c r="Z16" s="133" t="s">
        <v>44</v>
      </c>
      <c r="AA16" s="133">
        <v>15161</v>
      </c>
      <c r="AB16" s="133" t="s">
        <v>730</v>
      </c>
      <c r="AC16" s="133" t="s">
        <v>45</v>
      </c>
      <c r="AD16" s="133" t="s">
        <v>199</v>
      </c>
      <c r="AE16" s="133">
        <v>0</v>
      </c>
      <c r="AF16" s="133" t="s">
        <v>732</v>
      </c>
      <c r="AG16" s="133" t="s">
        <v>101</v>
      </c>
      <c r="AH16" s="133" t="s">
        <v>46</v>
      </c>
      <c r="AI16" s="133" t="s">
        <v>101</v>
      </c>
      <c r="AJ16" s="133" t="s">
        <v>46</v>
      </c>
      <c r="AK16" s="133" t="s">
        <v>47</v>
      </c>
      <c r="AL16" s="133" t="s">
        <v>48</v>
      </c>
      <c r="AM16" s="133" t="s">
        <v>49</v>
      </c>
      <c r="AN16" s="133" t="str">
        <f>VLOOKUP(I16,Sheet1!A:D,4,FALSE)</f>
        <v>A210600</v>
      </c>
      <c r="AP16" s="187" t="s">
        <v>726</v>
      </c>
    </row>
    <row r="17" spans="1:42" s="133" customFormat="1" ht="14.25" x14ac:dyDescent="0.2">
      <c r="A17" s="149">
        <v>45689</v>
      </c>
      <c r="B17" s="133" t="s">
        <v>40</v>
      </c>
      <c r="C17" s="133" t="s">
        <v>41</v>
      </c>
      <c r="D17" s="150">
        <v>25707981</v>
      </c>
      <c r="E17" s="150">
        <v>24106487</v>
      </c>
      <c r="F17" s="150" t="s">
        <v>87</v>
      </c>
      <c r="G17" s="166">
        <v>45691</v>
      </c>
      <c r="H17" s="133" t="s">
        <v>729</v>
      </c>
      <c r="I17" s="133" t="s">
        <v>51</v>
      </c>
      <c r="J17" s="133" t="s">
        <v>483</v>
      </c>
      <c r="K17" s="152">
        <v>250</v>
      </c>
      <c r="L17" s="153" t="s">
        <v>42</v>
      </c>
      <c r="M17" s="156">
        <v>250</v>
      </c>
      <c r="N17" s="156">
        <v>255491.39</v>
      </c>
      <c r="O17" s="156">
        <v>63872847.5</v>
      </c>
      <c r="P17" s="152">
        <v>63872847.5</v>
      </c>
      <c r="Q17" s="136">
        <v>0</v>
      </c>
      <c r="R17" s="136">
        <v>0</v>
      </c>
      <c r="S17" s="153" t="s">
        <v>43</v>
      </c>
      <c r="T17" s="136">
        <v>34098656.549999997</v>
      </c>
      <c r="U17" s="136">
        <v>34098656.549999997</v>
      </c>
      <c r="V17" s="136">
        <v>29774190.949999999</v>
      </c>
      <c r="W17" s="136">
        <v>0.46614785648899998</v>
      </c>
      <c r="X17" s="136">
        <v>29774190.949999999</v>
      </c>
      <c r="Y17" s="133" t="s">
        <v>235</v>
      </c>
      <c r="Z17" s="133" t="s">
        <v>44</v>
      </c>
      <c r="AA17" s="133">
        <v>15161</v>
      </c>
      <c r="AB17" s="133" t="s">
        <v>730</v>
      </c>
      <c r="AC17" s="133" t="s">
        <v>45</v>
      </c>
      <c r="AD17" s="133" t="s">
        <v>199</v>
      </c>
      <c r="AE17" s="133">
        <v>0</v>
      </c>
      <c r="AF17" s="133" t="s">
        <v>731</v>
      </c>
      <c r="AG17" s="133" t="s">
        <v>101</v>
      </c>
      <c r="AH17" s="133" t="s">
        <v>46</v>
      </c>
      <c r="AI17" s="133" t="s">
        <v>101</v>
      </c>
      <c r="AJ17" s="133" t="s">
        <v>46</v>
      </c>
      <c r="AK17" s="133" t="s">
        <v>47</v>
      </c>
      <c r="AL17" s="133" t="s">
        <v>48</v>
      </c>
      <c r="AM17" s="133" t="s">
        <v>49</v>
      </c>
      <c r="AN17" s="133" t="str">
        <f>VLOOKUP(I17,Sheet1!A:D,4,FALSE)</f>
        <v>A210600</v>
      </c>
      <c r="AP17" s="187" t="s">
        <v>726</v>
      </c>
    </row>
    <row r="18" spans="1:42" s="133" customFormat="1" ht="14.25" x14ac:dyDescent="0.2">
      <c r="A18" s="149">
        <v>45689</v>
      </c>
      <c r="B18" s="133" t="s">
        <v>40</v>
      </c>
      <c r="C18" s="133" t="s">
        <v>41</v>
      </c>
      <c r="D18" s="150">
        <v>25707982</v>
      </c>
      <c r="E18" s="150">
        <v>24106537</v>
      </c>
      <c r="F18" s="150" t="s">
        <v>92</v>
      </c>
      <c r="G18" s="166">
        <v>45691</v>
      </c>
      <c r="H18" s="133" t="s">
        <v>729</v>
      </c>
      <c r="I18" s="133" t="s">
        <v>62</v>
      </c>
      <c r="J18" s="133" t="s">
        <v>486</v>
      </c>
      <c r="K18" s="152">
        <v>960</v>
      </c>
      <c r="L18" s="153" t="s">
        <v>42</v>
      </c>
      <c r="M18" s="156">
        <v>960</v>
      </c>
      <c r="N18" s="156">
        <v>226225</v>
      </c>
      <c r="O18" s="156">
        <v>217176000</v>
      </c>
      <c r="P18" s="152">
        <v>217176000</v>
      </c>
      <c r="Q18" s="136">
        <v>0</v>
      </c>
      <c r="R18" s="136">
        <v>0</v>
      </c>
      <c r="S18" s="153" t="s">
        <v>43</v>
      </c>
      <c r="T18" s="136">
        <v>136428645.15000001</v>
      </c>
      <c r="U18" s="136">
        <v>136428645.15000001</v>
      </c>
      <c r="V18" s="136">
        <v>80747354.849999994</v>
      </c>
      <c r="W18" s="136">
        <v>0.37180606904000002</v>
      </c>
      <c r="X18" s="136">
        <v>80747354.849999994</v>
      </c>
      <c r="Y18" s="133" t="s">
        <v>235</v>
      </c>
      <c r="Z18" s="133" t="s">
        <v>44</v>
      </c>
      <c r="AA18" s="133">
        <v>15161</v>
      </c>
      <c r="AB18" s="133" t="s">
        <v>730</v>
      </c>
      <c r="AC18" s="133" t="s">
        <v>45</v>
      </c>
      <c r="AD18" s="133" t="s">
        <v>199</v>
      </c>
      <c r="AE18" s="133">
        <v>0</v>
      </c>
      <c r="AF18" s="133" t="s">
        <v>731</v>
      </c>
      <c r="AG18" s="133" t="s">
        <v>101</v>
      </c>
      <c r="AH18" s="133" t="s">
        <v>46</v>
      </c>
      <c r="AI18" s="133" t="s">
        <v>101</v>
      </c>
      <c r="AJ18" s="133" t="s">
        <v>46</v>
      </c>
      <c r="AK18" s="133" t="s">
        <v>47</v>
      </c>
      <c r="AL18" s="133" t="s">
        <v>48</v>
      </c>
      <c r="AM18" s="133" t="s">
        <v>49</v>
      </c>
      <c r="AN18" s="133" t="str">
        <f>VLOOKUP(I18,Sheet1!A:D,4,FALSE)</f>
        <v>A210600</v>
      </c>
      <c r="AP18" s="187" t="s">
        <v>726</v>
      </c>
    </row>
    <row r="19" spans="1:42" s="133" customFormat="1" ht="14.25" x14ac:dyDescent="0.2">
      <c r="A19" s="149">
        <v>45689</v>
      </c>
      <c r="B19" s="133" t="s">
        <v>40</v>
      </c>
      <c r="C19" s="133" t="s">
        <v>41</v>
      </c>
      <c r="D19" s="150">
        <v>25707983</v>
      </c>
      <c r="E19" s="150">
        <v>25106572</v>
      </c>
      <c r="F19" s="150" t="s">
        <v>725</v>
      </c>
      <c r="G19" s="166">
        <v>45691</v>
      </c>
      <c r="H19" s="133" t="s">
        <v>729</v>
      </c>
      <c r="I19" s="133" t="s">
        <v>52</v>
      </c>
      <c r="J19" s="133" t="s">
        <v>519</v>
      </c>
      <c r="K19" s="152">
        <v>150</v>
      </c>
      <c r="L19" s="153" t="s">
        <v>42</v>
      </c>
      <c r="M19" s="156">
        <v>150</v>
      </c>
      <c r="N19" s="156">
        <v>322054.08</v>
      </c>
      <c r="O19" s="156">
        <v>48308112</v>
      </c>
      <c r="P19" s="152">
        <v>48308112</v>
      </c>
      <c r="Q19" s="136">
        <v>0</v>
      </c>
      <c r="R19" s="136">
        <v>0</v>
      </c>
      <c r="S19" s="153" t="s">
        <v>43</v>
      </c>
      <c r="T19" s="136">
        <v>22501329.949999999</v>
      </c>
      <c r="U19" s="136">
        <v>22501329.949999999</v>
      </c>
      <c r="V19" s="136">
        <v>25806782.050000001</v>
      </c>
      <c r="W19" s="136">
        <v>0.534212184694</v>
      </c>
      <c r="X19" s="136">
        <v>25806782.050000001</v>
      </c>
      <c r="Y19" s="133" t="s">
        <v>235</v>
      </c>
      <c r="Z19" s="133" t="s">
        <v>44</v>
      </c>
      <c r="AA19" s="133">
        <v>15161</v>
      </c>
      <c r="AB19" s="133" t="s">
        <v>730</v>
      </c>
      <c r="AC19" s="133" t="s">
        <v>45</v>
      </c>
      <c r="AD19" s="133" t="s">
        <v>199</v>
      </c>
      <c r="AE19" s="133">
        <v>0</v>
      </c>
      <c r="AF19" s="133" t="s">
        <v>731</v>
      </c>
      <c r="AG19" s="133" t="s">
        <v>101</v>
      </c>
      <c r="AH19" s="133" t="s">
        <v>46</v>
      </c>
      <c r="AI19" s="133" t="s">
        <v>101</v>
      </c>
      <c r="AJ19" s="133" t="s">
        <v>46</v>
      </c>
      <c r="AK19" s="133" t="s">
        <v>47</v>
      </c>
      <c r="AL19" s="133" t="s">
        <v>48</v>
      </c>
      <c r="AM19" s="133" t="s">
        <v>49</v>
      </c>
      <c r="AN19" s="133" t="str">
        <f>VLOOKUP(I19,Sheet1!A:D,4,FALSE)</f>
        <v>A210600</v>
      </c>
      <c r="AP19" s="187" t="s">
        <v>726</v>
      </c>
    </row>
    <row r="20" spans="1:42" s="133" customFormat="1" ht="14.25" x14ac:dyDescent="0.2">
      <c r="A20" s="149">
        <v>45689</v>
      </c>
      <c r="B20" s="133" t="s">
        <v>40</v>
      </c>
      <c r="C20" s="133" t="s">
        <v>41</v>
      </c>
      <c r="D20" s="150">
        <v>25707987</v>
      </c>
      <c r="E20" s="150">
        <v>25106569</v>
      </c>
      <c r="F20" s="150" t="s">
        <v>735</v>
      </c>
      <c r="G20" s="166">
        <v>45691</v>
      </c>
      <c r="H20" s="133" t="s">
        <v>98</v>
      </c>
      <c r="I20" s="133" t="s">
        <v>99</v>
      </c>
      <c r="J20" s="133" t="s">
        <v>100</v>
      </c>
      <c r="K20" s="152">
        <v>50</v>
      </c>
      <c r="L20" s="153" t="s">
        <v>42</v>
      </c>
      <c r="M20" s="156">
        <v>50</v>
      </c>
      <c r="N20" s="156">
        <v>505920</v>
      </c>
      <c r="O20" s="156">
        <v>25296000</v>
      </c>
      <c r="P20" s="152">
        <v>25296000</v>
      </c>
      <c r="Q20" s="136">
        <v>0</v>
      </c>
      <c r="R20" s="136">
        <v>0</v>
      </c>
      <c r="S20" s="153" t="s">
        <v>43</v>
      </c>
      <c r="T20" s="136">
        <v>16028610.880000001</v>
      </c>
      <c r="U20" s="136">
        <v>16028610.880000001</v>
      </c>
      <c r="V20" s="136">
        <v>9267389.1199999992</v>
      </c>
      <c r="W20" s="136">
        <v>0.36635788741300002</v>
      </c>
      <c r="X20" s="136">
        <v>9267389.1199999992</v>
      </c>
      <c r="Y20" s="133" t="s">
        <v>101</v>
      </c>
      <c r="Z20" s="133" t="s">
        <v>46</v>
      </c>
      <c r="AA20" s="133">
        <v>2306511</v>
      </c>
      <c r="AB20" s="133" t="s">
        <v>102</v>
      </c>
      <c r="AC20" s="133" t="s">
        <v>56</v>
      </c>
      <c r="AD20" s="133" t="s">
        <v>103</v>
      </c>
      <c r="AE20" s="133">
        <v>0</v>
      </c>
      <c r="AF20" s="133" t="s">
        <v>104</v>
      </c>
      <c r="AG20" s="133" t="s">
        <v>101</v>
      </c>
      <c r="AH20" s="133" t="s">
        <v>46</v>
      </c>
      <c r="AI20" s="133" t="s">
        <v>101</v>
      </c>
      <c r="AJ20" s="133" t="s">
        <v>46</v>
      </c>
      <c r="AK20" s="133" t="s">
        <v>54</v>
      </c>
      <c r="AL20" s="133" t="s">
        <v>48</v>
      </c>
      <c r="AM20" s="133" t="s">
        <v>49</v>
      </c>
      <c r="AN20" s="133" t="str">
        <f>VLOOKUP(I20,Sheet1!A:D,4,FALSE)</f>
        <v>A210600</v>
      </c>
      <c r="AP20" s="187" t="s">
        <v>726</v>
      </c>
    </row>
    <row r="21" spans="1:42" s="133" customFormat="1" x14ac:dyDescent="0.25">
      <c r="A21" s="149">
        <v>45689</v>
      </c>
      <c r="B21" s="133" t="s">
        <v>40</v>
      </c>
      <c r="C21" s="133" t="s">
        <v>41</v>
      </c>
      <c r="D21" s="150">
        <v>25707990</v>
      </c>
      <c r="E21" s="150">
        <v>24106534</v>
      </c>
      <c r="F21" s="150" t="s">
        <v>746</v>
      </c>
      <c r="G21" s="166">
        <v>45695</v>
      </c>
      <c r="H21" s="133" t="s">
        <v>747</v>
      </c>
      <c r="I21" s="133" t="s">
        <v>470</v>
      </c>
      <c r="J21" s="133" t="s">
        <v>680</v>
      </c>
      <c r="K21" s="152">
        <v>5</v>
      </c>
      <c r="L21" s="153" t="s">
        <v>42</v>
      </c>
      <c r="M21" s="156">
        <v>5</v>
      </c>
      <c r="N21" s="156">
        <v>1344896</v>
      </c>
      <c r="O21" s="156">
        <v>6724480</v>
      </c>
      <c r="P21" s="152">
        <v>6724480</v>
      </c>
      <c r="Q21" s="136">
        <v>0</v>
      </c>
      <c r="R21" s="136">
        <v>0</v>
      </c>
      <c r="S21" s="153" t="s">
        <v>43</v>
      </c>
      <c r="T21" s="136">
        <v>397383.6</v>
      </c>
      <c r="U21" s="136">
        <v>397383.6</v>
      </c>
      <c r="V21" s="136">
        <v>6327096.4000000004</v>
      </c>
      <c r="W21" s="136">
        <v>0.94090493242600004</v>
      </c>
      <c r="X21" s="136">
        <v>6327096.4000000004</v>
      </c>
      <c r="Y21" s="133" t="s">
        <v>101</v>
      </c>
      <c r="Z21" s="133" t="s">
        <v>46</v>
      </c>
      <c r="AA21" s="133">
        <v>2306510</v>
      </c>
      <c r="AB21" s="133" t="s">
        <v>748</v>
      </c>
      <c r="AC21" s="133" t="s">
        <v>154</v>
      </c>
      <c r="AD21" s="133" t="s">
        <v>155</v>
      </c>
      <c r="AE21" s="133">
        <v>0</v>
      </c>
      <c r="AF21" s="133" t="s">
        <v>108</v>
      </c>
      <c r="AG21" s="133" t="s">
        <v>101</v>
      </c>
      <c r="AH21" s="133" t="s">
        <v>46</v>
      </c>
      <c r="AI21" s="133" t="s">
        <v>101</v>
      </c>
      <c r="AJ21" s="133" t="s">
        <v>46</v>
      </c>
      <c r="AK21" s="133" t="s">
        <v>54</v>
      </c>
      <c r="AL21" s="133" t="s">
        <v>48</v>
      </c>
      <c r="AM21" s="133" t="s">
        <v>49</v>
      </c>
      <c r="AN21" s="133" t="str">
        <f>VLOOKUP(I21,Sheet1!A:D,4,FALSE)</f>
        <v>A210600</v>
      </c>
      <c r="AP21" s="197" t="s">
        <v>740</v>
      </c>
    </row>
    <row r="22" spans="1:42" s="133" customFormat="1" ht="14.25" x14ac:dyDescent="0.2">
      <c r="A22" s="149">
        <v>45689</v>
      </c>
      <c r="B22" s="133" t="s">
        <v>40</v>
      </c>
      <c r="C22" s="133" t="s">
        <v>41</v>
      </c>
      <c r="D22" s="150">
        <v>25708015</v>
      </c>
      <c r="E22" s="150">
        <v>25106545</v>
      </c>
      <c r="F22" s="150" t="s">
        <v>777</v>
      </c>
      <c r="G22" s="166">
        <v>45705</v>
      </c>
      <c r="H22" s="133" t="s">
        <v>98</v>
      </c>
      <c r="I22" s="133" t="s">
        <v>402</v>
      </c>
      <c r="J22" s="133" t="s">
        <v>614</v>
      </c>
      <c r="K22" s="152">
        <v>100</v>
      </c>
      <c r="L22" s="153" t="s">
        <v>42</v>
      </c>
      <c r="M22" s="156">
        <v>100</v>
      </c>
      <c r="N22" s="156">
        <v>384604.43</v>
      </c>
      <c r="O22" s="156">
        <v>38460443</v>
      </c>
      <c r="P22" s="152">
        <v>38460443</v>
      </c>
      <c r="Q22" s="136">
        <v>0</v>
      </c>
      <c r="R22" s="136">
        <v>0</v>
      </c>
      <c r="S22" s="153" t="s">
        <v>43</v>
      </c>
      <c r="T22" s="136">
        <v>31119506</v>
      </c>
      <c r="U22" s="136">
        <v>31119506</v>
      </c>
      <c r="V22" s="136">
        <v>7340937</v>
      </c>
      <c r="W22" s="136">
        <v>0.190869798353</v>
      </c>
      <c r="X22" s="136">
        <v>7340937</v>
      </c>
      <c r="Y22" s="133" t="s">
        <v>101</v>
      </c>
      <c r="Z22" s="133" t="s">
        <v>46</v>
      </c>
      <c r="AA22" s="133">
        <v>2306511</v>
      </c>
      <c r="AB22" s="133" t="s">
        <v>102</v>
      </c>
      <c r="AC22" s="133" t="s">
        <v>56</v>
      </c>
      <c r="AD22" s="133" t="s">
        <v>103</v>
      </c>
      <c r="AE22" s="133">
        <v>0</v>
      </c>
      <c r="AF22" s="133" t="s">
        <v>108</v>
      </c>
      <c r="AG22" s="133" t="s">
        <v>101</v>
      </c>
      <c r="AH22" s="133" t="s">
        <v>46</v>
      </c>
      <c r="AI22" s="133" t="s">
        <v>101</v>
      </c>
      <c r="AJ22" s="133" t="s">
        <v>46</v>
      </c>
      <c r="AK22" s="133" t="s">
        <v>54</v>
      </c>
      <c r="AL22" s="133" t="s">
        <v>48</v>
      </c>
      <c r="AM22" s="133" t="s">
        <v>49</v>
      </c>
      <c r="AN22" s="133" t="str">
        <f>VLOOKUP(I22,Sheet1!A:D,4,FALSE)</f>
        <v>A210600</v>
      </c>
      <c r="AP22" s="187" t="s">
        <v>790</v>
      </c>
    </row>
    <row r="23" spans="1:42" s="133" customFormat="1" x14ac:dyDescent="0.25">
      <c r="A23" s="149">
        <v>45689</v>
      </c>
      <c r="B23" s="133" t="s">
        <v>40</v>
      </c>
      <c r="C23" s="133" t="s">
        <v>41</v>
      </c>
      <c r="D23" s="150">
        <v>25708022</v>
      </c>
      <c r="E23" s="221">
        <v>25106616</v>
      </c>
      <c r="F23" s="150" t="s">
        <v>799</v>
      </c>
      <c r="G23" s="166">
        <v>45712</v>
      </c>
      <c r="H23" s="133" t="s">
        <v>800</v>
      </c>
      <c r="I23" s="133" t="s">
        <v>801</v>
      </c>
      <c r="J23" s="133" t="s">
        <v>802</v>
      </c>
      <c r="K23" s="152">
        <v>50</v>
      </c>
      <c r="L23" s="153" t="s">
        <v>42</v>
      </c>
      <c r="M23" s="156">
        <v>50</v>
      </c>
      <c r="N23" s="156">
        <v>901217.31</v>
      </c>
      <c r="O23" s="156">
        <v>45060865.5</v>
      </c>
      <c r="P23" s="152">
        <v>45060865.5</v>
      </c>
      <c r="Q23" s="136">
        <v>0</v>
      </c>
      <c r="R23" s="136">
        <v>0</v>
      </c>
      <c r="S23" s="153" t="s">
        <v>43</v>
      </c>
      <c r="T23" s="136">
        <v>31084931</v>
      </c>
      <c r="U23" s="136">
        <v>31084931</v>
      </c>
      <c r="V23" s="136">
        <v>13975934.5</v>
      </c>
      <c r="W23" s="136">
        <v>0.31015681445299997</v>
      </c>
      <c r="X23" s="136">
        <v>13975934.5</v>
      </c>
      <c r="Y23" s="133" t="s">
        <v>69</v>
      </c>
      <c r="Z23" s="133" t="s">
        <v>46</v>
      </c>
      <c r="AA23" s="133">
        <v>2306510</v>
      </c>
      <c r="AB23" s="133" t="s">
        <v>803</v>
      </c>
      <c r="AC23" s="133" t="s">
        <v>154</v>
      </c>
      <c r="AD23" s="133" t="s">
        <v>155</v>
      </c>
      <c r="AE23" s="133">
        <v>0</v>
      </c>
      <c r="AF23" s="133" t="s">
        <v>798</v>
      </c>
      <c r="AG23" s="133" t="s">
        <v>69</v>
      </c>
      <c r="AH23" s="133" t="s">
        <v>46</v>
      </c>
      <c r="AI23" s="133" t="s">
        <v>69</v>
      </c>
      <c r="AJ23" s="133" t="s">
        <v>46</v>
      </c>
      <c r="AK23" s="133" t="s">
        <v>54</v>
      </c>
      <c r="AL23" s="133" t="s">
        <v>48</v>
      </c>
      <c r="AM23" s="133" t="s">
        <v>49</v>
      </c>
      <c r="AN23" s="133" t="str">
        <f>VLOOKUP(I23,Sheet1!A:D,4,FALSE)</f>
        <v>A210600</v>
      </c>
      <c r="AP23" s="4" t="s">
        <v>814</v>
      </c>
    </row>
    <row r="24" spans="1:42" s="133" customFormat="1" x14ac:dyDescent="0.25">
      <c r="A24" s="149">
        <v>45689</v>
      </c>
      <c r="B24" s="133" t="s">
        <v>40</v>
      </c>
      <c r="C24" s="133" t="s">
        <v>41</v>
      </c>
      <c r="D24" s="150">
        <v>25708023</v>
      </c>
      <c r="E24" s="150">
        <v>25106578</v>
      </c>
      <c r="F24" s="150" t="s">
        <v>804</v>
      </c>
      <c r="G24" s="166">
        <v>45712</v>
      </c>
      <c r="H24" s="133" t="s">
        <v>73</v>
      </c>
      <c r="I24" s="133" t="s">
        <v>434</v>
      </c>
      <c r="J24" s="133" t="s">
        <v>805</v>
      </c>
      <c r="K24" s="152">
        <v>25</v>
      </c>
      <c r="L24" s="153" t="s">
        <v>42</v>
      </c>
      <c r="M24" s="156">
        <v>25</v>
      </c>
      <c r="N24" s="156">
        <v>518045.16</v>
      </c>
      <c r="O24" s="156">
        <v>12951129</v>
      </c>
      <c r="P24" s="152">
        <v>12951129</v>
      </c>
      <c r="Q24" s="136">
        <v>0</v>
      </c>
      <c r="R24" s="136">
        <v>0</v>
      </c>
      <c r="S24" s="153" t="s">
        <v>43</v>
      </c>
      <c r="T24" s="136">
        <v>11581712</v>
      </c>
      <c r="U24" s="136">
        <v>11581712</v>
      </c>
      <c r="V24" s="136">
        <v>1369417</v>
      </c>
      <c r="W24" s="136">
        <v>0.105737268156</v>
      </c>
      <c r="X24" s="136">
        <v>1369417</v>
      </c>
      <c r="Y24" s="133" t="s">
        <v>66</v>
      </c>
      <c r="Z24" s="133" t="s">
        <v>44</v>
      </c>
      <c r="AA24" s="133">
        <v>15161</v>
      </c>
      <c r="AB24" s="133" t="s">
        <v>75</v>
      </c>
      <c r="AC24" s="133" t="s">
        <v>56</v>
      </c>
      <c r="AD24" s="133" t="s">
        <v>77</v>
      </c>
      <c r="AE24" s="133">
        <v>0</v>
      </c>
      <c r="AF24" s="133" t="s">
        <v>806</v>
      </c>
      <c r="AG24" s="133" t="s">
        <v>69</v>
      </c>
      <c r="AH24" s="133" t="s">
        <v>46</v>
      </c>
      <c r="AI24" s="133" t="s">
        <v>69</v>
      </c>
      <c r="AJ24" s="133" t="s">
        <v>46</v>
      </c>
      <c r="AK24" s="133" t="s">
        <v>54</v>
      </c>
      <c r="AL24" s="133" t="s">
        <v>48</v>
      </c>
      <c r="AM24" s="133" t="s">
        <v>49</v>
      </c>
      <c r="AN24" s="133" t="str">
        <f>VLOOKUP(I24,Sheet1!A:D,4,FALSE)</f>
        <v>A210600</v>
      </c>
      <c r="AP24" s="4" t="s">
        <v>814</v>
      </c>
    </row>
    <row r="25" spans="1:42" s="133" customFormat="1" x14ac:dyDescent="0.25">
      <c r="A25" s="149">
        <v>45689</v>
      </c>
      <c r="B25" s="133" t="s">
        <v>40</v>
      </c>
      <c r="C25" s="133" t="s">
        <v>41</v>
      </c>
      <c r="D25" s="150">
        <v>25708027</v>
      </c>
      <c r="E25" s="150">
        <v>25106590</v>
      </c>
      <c r="F25" s="150" t="s">
        <v>807</v>
      </c>
      <c r="G25" s="166">
        <v>45712</v>
      </c>
      <c r="H25" s="133" t="s">
        <v>808</v>
      </c>
      <c r="I25" s="133" t="s">
        <v>99</v>
      </c>
      <c r="J25" s="133" t="s">
        <v>809</v>
      </c>
      <c r="K25" s="152">
        <v>50</v>
      </c>
      <c r="L25" s="153" t="s">
        <v>42</v>
      </c>
      <c r="M25" s="156">
        <v>50</v>
      </c>
      <c r="N25" s="156">
        <v>505920</v>
      </c>
      <c r="O25" s="156">
        <v>25296000</v>
      </c>
      <c r="P25" s="152">
        <v>25296000</v>
      </c>
      <c r="Q25" s="136">
        <v>0</v>
      </c>
      <c r="R25" s="136">
        <v>0</v>
      </c>
      <c r="S25" s="153" t="s">
        <v>43</v>
      </c>
      <c r="T25" s="136">
        <v>16028610.880000001</v>
      </c>
      <c r="U25" s="136">
        <v>16028610.880000001</v>
      </c>
      <c r="V25" s="136">
        <v>9267389.1199999992</v>
      </c>
      <c r="W25" s="136">
        <v>0.36635788741300002</v>
      </c>
      <c r="X25" s="136">
        <v>9267389.1199999992</v>
      </c>
      <c r="Y25" s="133" t="s">
        <v>69</v>
      </c>
      <c r="Z25" s="133" t="s">
        <v>46</v>
      </c>
      <c r="AA25" s="133">
        <v>2306511</v>
      </c>
      <c r="AB25" s="133" t="s">
        <v>810</v>
      </c>
      <c r="AC25" s="133" t="s">
        <v>56</v>
      </c>
      <c r="AD25" s="133" t="s">
        <v>77</v>
      </c>
      <c r="AE25" s="133">
        <v>0</v>
      </c>
      <c r="AF25" s="133" t="s">
        <v>806</v>
      </c>
      <c r="AG25" s="133" t="s">
        <v>69</v>
      </c>
      <c r="AH25" s="133" t="s">
        <v>46</v>
      </c>
      <c r="AI25" s="133" t="s">
        <v>69</v>
      </c>
      <c r="AJ25" s="133" t="s">
        <v>46</v>
      </c>
      <c r="AK25" s="133" t="s">
        <v>54</v>
      </c>
      <c r="AL25" s="133" t="s">
        <v>48</v>
      </c>
      <c r="AM25" s="133" t="s">
        <v>49</v>
      </c>
      <c r="AN25" s="133" t="str">
        <f>VLOOKUP(I25,Sheet1!A:D,4,FALSE)</f>
        <v>A210600</v>
      </c>
      <c r="AP25" s="4" t="s">
        <v>814</v>
      </c>
    </row>
    <row r="26" spans="1:42" s="133" customFormat="1" x14ac:dyDescent="0.25">
      <c r="A26" s="149">
        <v>45717</v>
      </c>
      <c r="B26" s="133" t="s">
        <v>40</v>
      </c>
      <c r="C26" s="133" t="s">
        <v>41</v>
      </c>
      <c r="D26" s="150">
        <v>25708037</v>
      </c>
      <c r="E26" s="150">
        <v>24106294</v>
      </c>
      <c r="F26" s="150" t="s">
        <v>85</v>
      </c>
      <c r="G26" s="166">
        <v>45719</v>
      </c>
      <c r="H26" s="133" t="s">
        <v>73</v>
      </c>
      <c r="I26" s="133" t="s">
        <v>50</v>
      </c>
      <c r="J26" s="133" t="s">
        <v>74</v>
      </c>
      <c r="K26" s="152">
        <v>1000</v>
      </c>
      <c r="L26" s="153" t="s">
        <v>42</v>
      </c>
      <c r="M26" s="156">
        <v>1000</v>
      </c>
      <c r="N26" s="156">
        <v>310898.82</v>
      </c>
      <c r="O26" s="156">
        <v>310898820</v>
      </c>
      <c r="P26" s="152">
        <v>310898820</v>
      </c>
      <c r="Q26" s="136">
        <v>0</v>
      </c>
      <c r="R26" s="136">
        <v>0</v>
      </c>
      <c r="S26" s="153" t="s">
        <v>43</v>
      </c>
      <c r="T26" s="136">
        <v>159527299.97999999</v>
      </c>
      <c r="U26" s="136">
        <v>159527299.97999999</v>
      </c>
      <c r="V26" s="136">
        <v>151371520.02000001</v>
      </c>
      <c r="W26" s="136">
        <v>0.48688354629300001</v>
      </c>
      <c r="X26" s="136">
        <v>151371520.02000001</v>
      </c>
      <c r="Y26" s="133" t="s">
        <v>66</v>
      </c>
      <c r="Z26" s="133" t="s">
        <v>44</v>
      </c>
      <c r="AA26" s="133">
        <v>15161</v>
      </c>
      <c r="AB26" s="133" t="s">
        <v>75</v>
      </c>
      <c r="AC26" s="133" t="s">
        <v>56</v>
      </c>
      <c r="AD26" s="133" t="s">
        <v>77</v>
      </c>
      <c r="AE26" s="133">
        <v>0</v>
      </c>
      <c r="AF26" s="133" t="s">
        <v>76</v>
      </c>
      <c r="AG26" s="133" t="s">
        <v>69</v>
      </c>
      <c r="AH26" s="133" t="s">
        <v>46</v>
      </c>
      <c r="AI26" s="133" t="s">
        <v>69</v>
      </c>
      <c r="AJ26" s="133" t="s">
        <v>46</v>
      </c>
      <c r="AK26" s="133" t="s">
        <v>47</v>
      </c>
      <c r="AL26" s="133" t="s">
        <v>48</v>
      </c>
      <c r="AM26" s="133" t="s">
        <v>49</v>
      </c>
      <c r="AN26" s="133" t="str">
        <f>VLOOKUP(I26,Sheet1!A:D,4,FALSE)</f>
        <v>A210600</v>
      </c>
      <c r="AP26" s="4" t="s">
        <v>845</v>
      </c>
    </row>
    <row r="27" spans="1:42" s="133" customFormat="1" x14ac:dyDescent="0.25">
      <c r="A27" s="149">
        <v>45717</v>
      </c>
      <c r="B27" s="133" t="s">
        <v>40</v>
      </c>
      <c r="C27" s="133" t="s">
        <v>41</v>
      </c>
      <c r="D27" s="150">
        <v>25708039</v>
      </c>
      <c r="E27" s="150">
        <v>25106579</v>
      </c>
      <c r="F27" s="150" t="s">
        <v>836</v>
      </c>
      <c r="G27" s="166">
        <v>45719</v>
      </c>
      <c r="H27" s="133" t="s">
        <v>73</v>
      </c>
      <c r="I27" s="133" t="s">
        <v>429</v>
      </c>
      <c r="J27" s="133" t="s">
        <v>837</v>
      </c>
      <c r="K27" s="152">
        <v>247.5</v>
      </c>
      <c r="L27" s="153" t="s">
        <v>42</v>
      </c>
      <c r="M27" s="156">
        <v>247.5</v>
      </c>
      <c r="N27" s="156">
        <v>318924.90000000002</v>
      </c>
      <c r="O27" s="156">
        <v>78933912.75</v>
      </c>
      <c r="P27" s="152">
        <v>78933912.75</v>
      </c>
      <c r="Q27" s="136">
        <v>0</v>
      </c>
      <c r="R27" s="136">
        <v>0</v>
      </c>
      <c r="S27" s="153" t="s">
        <v>43</v>
      </c>
      <c r="T27" s="136">
        <v>45294230.030000001</v>
      </c>
      <c r="U27" s="136">
        <v>45294230.030000001</v>
      </c>
      <c r="V27" s="136">
        <v>33639682.719999999</v>
      </c>
      <c r="W27" s="136">
        <v>0.42617528446199998</v>
      </c>
      <c r="X27" s="136">
        <v>33639682.719999999</v>
      </c>
      <c r="Y27" s="133" t="s">
        <v>66</v>
      </c>
      <c r="Z27" s="133" t="s">
        <v>44</v>
      </c>
      <c r="AA27" s="133">
        <v>15161</v>
      </c>
      <c r="AB27" s="133" t="s">
        <v>75</v>
      </c>
      <c r="AC27" s="133" t="s">
        <v>56</v>
      </c>
      <c r="AD27" s="133" t="s">
        <v>77</v>
      </c>
      <c r="AE27" s="133">
        <v>0</v>
      </c>
      <c r="AF27" s="133" t="s">
        <v>838</v>
      </c>
      <c r="AG27" s="133" t="s">
        <v>839</v>
      </c>
      <c r="AH27" s="133" t="s">
        <v>840</v>
      </c>
      <c r="AI27" s="133" t="s">
        <v>69</v>
      </c>
      <c r="AJ27" s="133" t="s">
        <v>46</v>
      </c>
      <c r="AK27" s="133" t="s">
        <v>54</v>
      </c>
      <c r="AL27" s="133" t="s">
        <v>48</v>
      </c>
      <c r="AM27" s="133" t="s">
        <v>49</v>
      </c>
      <c r="AN27" s="133" t="str">
        <f>VLOOKUP(I27,Sheet1!A:D,4,FALSE)</f>
        <v>A210600</v>
      </c>
      <c r="AP27" s="4" t="s">
        <v>845</v>
      </c>
    </row>
    <row r="28" spans="1:42" s="133" customFormat="1" x14ac:dyDescent="0.25">
      <c r="A28" s="149">
        <v>45717</v>
      </c>
      <c r="B28" s="133" t="s">
        <v>40</v>
      </c>
      <c r="C28" s="133" t="s">
        <v>41</v>
      </c>
      <c r="D28" s="150">
        <v>25708083</v>
      </c>
      <c r="E28" s="150">
        <v>25106571</v>
      </c>
      <c r="F28" s="150" t="s">
        <v>892</v>
      </c>
      <c r="G28" s="166">
        <v>45734</v>
      </c>
      <c r="H28" s="133" t="s">
        <v>73</v>
      </c>
      <c r="I28" s="133" t="s">
        <v>51</v>
      </c>
      <c r="J28" s="133" t="s">
        <v>79</v>
      </c>
      <c r="K28" s="152">
        <v>860</v>
      </c>
      <c r="L28" s="153" t="s">
        <v>42</v>
      </c>
      <c r="M28" s="156">
        <v>860</v>
      </c>
      <c r="N28" s="156">
        <v>264315.3</v>
      </c>
      <c r="O28" s="156">
        <v>227311158</v>
      </c>
      <c r="P28" s="152">
        <v>227311158</v>
      </c>
      <c r="Q28" s="136">
        <v>0</v>
      </c>
      <c r="R28" s="136">
        <v>0</v>
      </c>
      <c r="S28" s="153" t="s">
        <v>43</v>
      </c>
      <c r="T28" s="136">
        <v>118095025.22</v>
      </c>
      <c r="U28" s="136">
        <v>118095025.22</v>
      </c>
      <c r="V28" s="136">
        <v>109216132.78</v>
      </c>
      <c r="W28" s="136">
        <v>0.48046973910500002</v>
      </c>
      <c r="X28" s="136">
        <v>109216132.78</v>
      </c>
      <c r="Y28" s="133" t="s">
        <v>66</v>
      </c>
      <c r="Z28" s="133" t="s">
        <v>44</v>
      </c>
      <c r="AA28" s="133">
        <v>15161</v>
      </c>
      <c r="AB28" s="133" t="s">
        <v>75</v>
      </c>
      <c r="AC28" s="133" t="s">
        <v>56</v>
      </c>
      <c r="AD28" s="133" t="s">
        <v>77</v>
      </c>
      <c r="AE28" s="133">
        <v>0</v>
      </c>
      <c r="AF28" s="133" t="s">
        <v>76</v>
      </c>
      <c r="AG28" s="133" t="s">
        <v>69</v>
      </c>
      <c r="AH28" s="133" t="s">
        <v>46</v>
      </c>
      <c r="AI28" s="133" t="s">
        <v>69</v>
      </c>
      <c r="AJ28" s="133" t="s">
        <v>46</v>
      </c>
      <c r="AK28" s="133" t="s">
        <v>47</v>
      </c>
      <c r="AL28" s="133" t="s">
        <v>48</v>
      </c>
      <c r="AM28" s="133" t="s">
        <v>49</v>
      </c>
      <c r="AN28" s="133" t="str">
        <f>VLOOKUP(I28,Sheet1!A:D,4,FALSE)</f>
        <v>A210600</v>
      </c>
      <c r="AP28" s="4" t="s">
        <v>891</v>
      </c>
    </row>
    <row r="29" spans="1:42" s="133" customFormat="1" x14ac:dyDescent="0.25">
      <c r="A29" s="149">
        <v>45717</v>
      </c>
      <c r="B29" s="133" t="s">
        <v>40</v>
      </c>
      <c r="C29" s="133" t="s">
        <v>41</v>
      </c>
      <c r="D29" s="150">
        <v>25708084</v>
      </c>
      <c r="E29" s="150">
        <v>25106635</v>
      </c>
      <c r="F29" s="150" t="s">
        <v>893</v>
      </c>
      <c r="G29" s="166">
        <v>45734</v>
      </c>
      <c r="H29" s="133" t="s">
        <v>808</v>
      </c>
      <c r="I29" s="133" t="s">
        <v>99</v>
      </c>
      <c r="J29" s="133" t="s">
        <v>809</v>
      </c>
      <c r="K29" s="152">
        <v>50</v>
      </c>
      <c r="L29" s="153" t="s">
        <v>42</v>
      </c>
      <c r="M29" s="156">
        <v>50</v>
      </c>
      <c r="N29" s="156">
        <v>512244</v>
      </c>
      <c r="O29" s="156">
        <v>25612200</v>
      </c>
      <c r="P29" s="152">
        <v>25612200</v>
      </c>
      <c r="Q29" s="136">
        <v>0</v>
      </c>
      <c r="R29" s="136">
        <v>0</v>
      </c>
      <c r="S29" s="153" t="s">
        <v>43</v>
      </c>
      <c r="T29" s="136">
        <v>17666413.609999999</v>
      </c>
      <c r="U29" s="136">
        <v>17666413.609999999</v>
      </c>
      <c r="V29" s="136">
        <v>7945786.3899999997</v>
      </c>
      <c r="W29" s="136">
        <v>0.31023443476099999</v>
      </c>
      <c r="X29" s="136">
        <v>7945786.3899999997</v>
      </c>
      <c r="Y29" s="133" t="s">
        <v>69</v>
      </c>
      <c r="Z29" s="133" t="s">
        <v>46</v>
      </c>
      <c r="AA29" s="133">
        <v>2306511</v>
      </c>
      <c r="AB29" s="133" t="s">
        <v>810</v>
      </c>
      <c r="AC29" s="133" t="s">
        <v>56</v>
      </c>
      <c r="AD29" s="133" t="s">
        <v>77</v>
      </c>
      <c r="AE29" s="133">
        <v>0</v>
      </c>
      <c r="AF29" s="133" t="s">
        <v>806</v>
      </c>
      <c r="AG29" s="133" t="s">
        <v>69</v>
      </c>
      <c r="AH29" s="133" t="s">
        <v>46</v>
      </c>
      <c r="AI29" s="133" t="s">
        <v>69</v>
      </c>
      <c r="AJ29" s="133" t="s">
        <v>46</v>
      </c>
      <c r="AK29" s="133" t="s">
        <v>54</v>
      </c>
      <c r="AL29" s="133" t="s">
        <v>48</v>
      </c>
      <c r="AM29" s="133" t="s">
        <v>49</v>
      </c>
      <c r="AN29" s="133" t="str">
        <f>VLOOKUP(I29,Sheet1!A:D,4,FALSE)</f>
        <v>A210600</v>
      </c>
      <c r="AP29" s="4" t="s">
        <v>891</v>
      </c>
    </row>
    <row r="30" spans="1:42" s="133" customFormat="1" x14ac:dyDescent="0.25">
      <c r="A30" s="149">
        <v>45717</v>
      </c>
      <c r="B30" s="133" t="s">
        <v>40</v>
      </c>
      <c r="C30" s="133" t="s">
        <v>41</v>
      </c>
      <c r="D30" s="150">
        <v>25708086</v>
      </c>
      <c r="E30" s="150">
        <v>25106572</v>
      </c>
      <c r="F30" s="150" t="s">
        <v>725</v>
      </c>
      <c r="G30" s="166">
        <v>45736</v>
      </c>
      <c r="H30" s="133" t="s">
        <v>73</v>
      </c>
      <c r="I30" s="133" t="s">
        <v>52</v>
      </c>
      <c r="J30" s="133" t="s">
        <v>80</v>
      </c>
      <c r="K30" s="152">
        <v>850</v>
      </c>
      <c r="L30" s="153" t="s">
        <v>42</v>
      </c>
      <c r="M30" s="156">
        <v>850</v>
      </c>
      <c r="N30" s="156">
        <v>322054.08</v>
      </c>
      <c r="O30" s="156">
        <v>273745968</v>
      </c>
      <c r="P30" s="152">
        <v>273745968</v>
      </c>
      <c r="Q30" s="136">
        <v>0</v>
      </c>
      <c r="R30" s="136">
        <v>0</v>
      </c>
      <c r="S30" s="153" t="s">
        <v>43</v>
      </c>
      <c r="T30" s="136">
        <v>127349446.87</v>
      </c>
      <c r="U30" s="136">
        <v>127349446.87</v>
      </c>
      <c r="V30" s="136">
        <v>146396521.13</v>
      </c>
      <c r="W30" s="136">
        <v>0.53478968913900005</v>
      </c>
      <c r="X30" s="136">
        <v>146396521.13</v>
      </c>
      <c r="Y30" s="133" t="s">
        <v>66</v>
      </c>
      <c r="Z30" s="133" t="s">
        <v>44</v>
      </c>
      <c r="AA30" s="133">
        <v>15161</v>
      </c>
      <c r="AB30" s="133" t="s">
        <v>75</v>
      </c>
      <c r="AC30" s="133" t="s">
        <v>56</v>
      </c>
      <c r="AD30" s="133" t="s">
        <v>77</v>
      </c>
      <c r="AE30" s="133">
        <v>0</v>
      </c>
      <c r="AF30" s="133" t="s">
        <v>76</v>
      </c>
      <c r="AG30" s="133" t="s">
        <v>69</v>
      </c>
      <c r="AH30" s="133" t="s">
        <v>46</v>
      </c>
      <c r="AI30" s="133" t="s">
        <v>69</v>
      </c>
      <c r="AJ30" s="133" t="s">
        <v>46</v>
      </c>
      <c r="AK30" s="133" t="s">
        <v>47</v>
      </c>
      <c r="AL30" s="133" t="s">
        <v>48</v>
      </c>
      <c r="AM30" s="133" t="s">
        <v>49</v>
      </c>
      <c r="AN30" s="133" t="str">
        <f>VLOOKUP(I30,Sheet1!A:D,4,FALSE)</f>
        <v>A210600</v>
      </c>
      <c r="AP30" s="4" t="s">
        <v>906</v>
      </c>
    </row>
    <row r="31" spans="1:42" s="133" customFormat="1" x14ac:dyDescent="0.25">
      <c r="A31" s="149">
        <v>45717</v>
      </c>
      <c r="B31" s="133" t="s">
        <v>40</v>
      </c>
      <c r="C31" s="133" t="s">
        <v>41</v>
      </c>
      <c r="D31" s="150">
        <v>25708087</v>
      </c>
      <c r="E31" s="150">
        <v>25106636</v>
      </c>
      <c r="F31" s="150" t="s">
        <v>901</v>
      </c>
      <c r="G31" s="166">
        <v>45736</v>
      </c>
      <c r="H31" s="133" t="s">
        <v>800</v>
      </c>
      <c r="I31" s="133" t="s">
        <v>801</v>
      </c>
      <c r="J31" s="133" t="s">
        <v>802</v>
      </c>
      <c r="K31" s="152">
        <v>50</v>
      </c>
      <c r="L31" s="153" t="s">
        <v>42</v>
      </c>
      <c r="M31" s="156">
        <v>50</v>
      </c>
      <c r="N31" s="156">
        <v>901217.31</v>
      </c>
      <c r="O31" s="156">
        <v>45060865.5</v>
      </c>
      <c r="P31" s="152">
        <v>45060865.5</v>
      </c>
      <c r="Q31" s="136">
        <v>0</v>
      </c>
      <c r="R31" s="136">
        <v>0</v>
      </c>
      <c r="S31" s="153" t="s">
        <v>43</v>
      </c>
      <c r="T31" s="136">
        <v>31072585.030000001</v>
      </c>
      <c r="U31" s="136">
        <v>31072585.030000001</v>
      </c>
      <c r="V31" s="136">
        <v>13988280.470000001</v>
      </c>
      <c r="W31" s="136">
        <v>0.31043079876000002</v>
      </c>
      <c r="X31" s="136">
        <v>13988280.470000001</v>
      </c>
      <c r="Y31" s="133" t="s">
        <v>69</v>
      </c>
      <c r="Z31" s="133" t="s">
        <v>46</v>
      </c>
      <c r="AA31" s="133">
        <v>2306510</v>
      </c>
      <c r="AB31" s="133" t="s">
        <v>803</v>
      </c>
      <c r="AC31" s="133" t="s">
        <v>154</v>
      </c>
      <c r="AD31" s="133" t="s">
        <v>155</v>
      </c>
      <c r="AE31" s="133">
        <v>0</v>
      </c>
      <c r="AF31" s="133" t="s">
        <v>798</v>
      </c>
      <c r="AG31" s="133" t="s">
        <v>69</v>
      </c>
      <c r="AH31" s="133" t="s">
        <v>46</v>
      </c>
      <c r="AI31" s="133" t="s">
        <v>69</v>
      </c>
      <c r="AJ31" s="133" t="s">
        <v>46</v>
      </c>
      <c r="AK31" s="133" t="s">
        <v>54</v>
      </c>
      <c r="AL31" s="133" t="s">
        <v>48</v>
      </c>
      <c r="AM31" s="133" t="s">
        <v>49</v>
      </c>
      <c r="AN31" s="133" t="str">
        <f>VLOOKUP(I31,Sheet1!A:D,4,FALSE)</f>
        <v>A210600</v>
      </c>
      <c r="AP31" s="4" t="s">
        <v>906</v>
      </c>
    </row>
    <row r="32" spans="1:42" s="133" customFormat="1" x14ac:dyDescent="0.25">
      <c r="A32" s="149">
        <v>45717</v>
      </c>
      <c r="B32" s="133" t="s">
        <v>40</v>
      </c>
      <c r="C32" s="133" t="s">
        <v>41</v>
      </c>
      <c r="D32" s="150">
        <v>25708088</v>
      </c>
      <c r="E32" s="150">
        <v>25106649</v>
      </c>
      <c r="F32" s="150" t="s">
        <v>902</v>
      </c>
      <c r="G32" s="166">
        <v>45736</v>
      </c>
      <c r="H32" s="133" t="s">
        <v>800</v>
      </c>
      <c r="I32" s="133" t="s">
        <v>903</v>
      </c>
      <c r="J32" s="133" t="s">
        <v>904</v>
      </c>
      <c r="K32" s="152">
        <v>5</v>
      </c>
      <c r="L32" s="153" t="s">
        <v>42</v>
      </c>
      <c r="M32" s="156">
        <v>5</v>
      </c>
      <c r="N32" s="156">
        <v>860483.4</v>
      </c>
      <c r="O32" s="156">
        <v>4302417</v>
      </c>
      <c r="P32" s="152">
        <v>4302417</v>
      </c>
      <c r="Q32" s="136">
        <v>0</v>
      </c>
      <c r="R32" s="136">
        <v>0</v>
      </c>
      <c r="S32" s="153" t="s">
        <v>43</v>
      </c>
      <c r="T32" s="136">
        <v>3131134.3</v>
      </c>
      <c r="U32" s="136">
        <v>3131134.3</v>
      </c>
      <c r="V32" s="136">
        <v>1171282.7</v>
      </c>
      <c r="W32" s="136">
        <v>0.27223830233000001</v>
      </c>
      <c r="X32" s="136">
        <v>1171282.7</v>
      </c>
      <c r="Y32" s="133" t="s">
        <v>69</v>
      </c>
      <c r="Z32" s="133" t="s">
        <v>46</v>
      </c>
      <c r="AA32" s="133">
        <v>2306510</v>
      </c>
      <c r="AB32" s="133" t="s">
        <v>803</v>
      </c>
      <c r="AC32" s="133" t="s">
        <v>154</v>
      </c>
      <c r="AD32" s="133" t="s">
        <v>155</v>
      </c>
      <c r="AE32" s="133">
        <v>0</v>
      </c>
      <c r="AF32" s="133" t="s">
        <v>806</v>
      </c>
      <c r="AG32" s="133" t="s">
        <v>69</v>
      </c>
      <c r="AH32" s="133" t="s">
        <v>46</v>
      </c>
      <c r="AI32" s="133" t="s">
        <v>69</v>
      </c>
      <c r="AJ32" s="133" t="s">
        <v>46</v>
      </c>
      <c r="AK32" s="133" t="s">
        <v>54</v>
      </c>
      <c r="AL32" s="133" t="s">
        <v>48</v>
      </c>
      <c r="AM32" s="133" t="s">
        <v>49</v>
      </c>
      <c r="AN32" s="133" t="str">
        <f>VLOOKUP(I32,Sheet1!A:D,4,FALSE)</f>
        <v>A210600</v>
      </c>
      <c r="AP32" s="4" t="s">
        <v>906</v>
      </c>
    </row>
    <row r="33" spans="1:42" s="133" customFormat="1" x14ac:dyDescent="0.25">
      <c r="A33" s="149">
        <v>45717</v>
      </c>
      <c r="B33" s="133" t="s">
        <v>40</v>
      </c>
      <c r="C33" s="133" t="s">
        <v>41</v>
      </c>
      <c r="D33" s="150">
        <v>25708089</v>
      </c>
      <c r="E33" s="150">
        <v>25106650</v>
      </c>
      <c r="F33" s="150" t="s">
        <v>905</v>
      </c>
      <c r="G33" s="166">
        <v>45736</v>
      </c>
      <c r="H33" s="133" t="s">
        <v>800</v>
      </c>
      <c r="I33" s="133" t="s">
        <v>801</v>
      </c>
      <c r="J33" s="133" t="s">
        <v>802</v>
      </c>
      <c r="K33" s="152">
        <v>5</v>
      </c>
      <c r="L33" s="153" t="s">
        <v>42</v>
      </c>
      <c r="M33" s="156">
        <v>5</v>
      </c>
      <c r="N33" s="156">
        <v>901217.31</v>
      </c>
      <c r="O33" s="156">
        <v>4506086.55</v>
      </c>
      <c r="P33" s="152">
        <v>4506086.55</v>
      </c>
      <c r="Q33" s="136">
        <v>0</v>
      </c>
      <c r="R33" s="136">
        <v>0</v>
      </c>
      <c r="S33" s="153" t="s">
        <v>43</v>
      </c>
      <c r="T33" s="136">
        <v>3107258.5</v>
      </c>
      <c r="U33" s="136">
        <v>3107258.5</v>
      </c>
      <c r="V33" s="136">
        <v>1398828.05</v>
      </c>
      <c r="W33" s="136">
        <v>0.31043079942599999</v>
      </c>
      <c r="X33" s="136">
        <v>1398828.05</v>
      </c>
      <c r="Y33" s="133" t="s">
        <v>69</v>
      </c>
      <c r="Z33" s="133" t="s">
        <v>46</v>
      </c>
      <c r="AA33" s="133">
        <v>2306510</v>
      </c>
      <c r="AB33" s="133" t="s">
        <v>803</v>
      </c>
      <c r="AC33" s="133" t="s">
        <v>154</v>
      </c>
      <c r="AD33" s="133" t="s">
        <v>155</v>
      </c>
      <c r="AE33" s="133">
        <v>0</v>
      </c>
      <c r="AF33" s="133" t="s">
        <v>798</v>
      </c>
      <c r="AG33" s="133" t="s">
        <v>69</v>
      </c>
      <c r="AH33" s="133" t="s">
        <v>46</v>
      </c>
      <c r="AI33" s="133" t="s">
        <v>69</v>
      </c>
      <c r="AJ33" s="133" t="s">
        <v>46</v>
      </c>
      <c r="AK33" s="133" t="s">
        <v>54</v>
      </c>
      <c r="AL33" s="133" t="s">
        <v>48</v>
      </c>
      <c r="AM33" s="133" t="s">
        <v>49</v>
      </c>
      <c r="AN33" s="133" t="str">
        <f>VLOOKUP(I33,Sheet1!A:D,4,FALSE)</f>
        <v>A210600</v>
      </c>
      <c r="AP33" s="4" t="s">
        <v>906</v>
      </c>
    </row>
    <row r="34" spans="1:42" s="133" customFormat="1" ht="14.25" x14ac:dyDescent="0.2">
      <c r="A34" s="149">
        <v>45717</v>
      </c>
      <c r="B34" s="133" t="s">
        <v>40</v>
      </c>
      <c r="C34" s="133" t="s">
        <v>41</v>
      </c>
      <c r="D34" s="150">
        <v>25708090</v>
      </c>
      <c r="E34" s="150">
        <v>24106539</v>
      </c>
      <c r="F34" s="150" t="s">
        <v>907</v>
      </c>
      <c r="G34" s="166">
        <v>45740</v>
      </c>
      <c r="H34" s="133" t="s">
        <v>73</v>
      </c>
      <c r="I34" s="133" t="s">
        <v>277</v>
      </c>
      <c r="J34" s="133" t="s">
        <v>908</v>
      </c>
      <c r="K34" s="152">
        <v>1600</v>
      </c>
      <c r="L34" s="153" t="s">
        <v>42</v>
      </c>
      <c r="M34" s="156">
        <v>1600</v>
      </c>
      <c r="N34" s="156">
        <v>193951.97</v>
      </c>
      <c r="O34" s="156">
        <v>310323152</v>
      </c>
      <c r="P34" s="152">
        <v>310323152</v>
      </c>
      <c r="Q34" s="136">
        <v>0</v>
      </c>
      <c r="R34" s="136">
        <v>0</v>
      </c>
      <c r="S34" s="153" t="s">
        <v>43</v>
      </c>
      <c r="T34" s="136">
        <v>207083580.44</v>
      </c>
      <c r="U34" s="136">
        <v>207083580.44</v>
      </c>
      <c r="V34" s="136">
        <v>103239571.56</v>
      </c>
      <c r="W34" s="136">
        <v>0.33268407753200002</v>
      </c>
      <c r="X34" s="136">
        <v>103239571.56</v>
      </c>
      <c r="Y34" s="133" t="s">
        <v>66</v>
      </c>
      <c r="Z34" s="133" t="s">
        <v>44</v>
      </c>
      <c r="AA34" s="133">
        <v>15161</v>
      </c>
      <c r="AB34" s="133" t="s">
        <v>75</v>
      </c>
      <c r="AC34" s="133" t="s">
        <v>56</v>
      </c>
      <c r="AD34" s="133" t="s">
        <v>77</v>
      </c>
      <c r="AE34" s="133">
        <v>0</v>
      </c>
      <c r="AF34" s="133" t="s">
        <v>909</v>
      </c>
      <c r="AG34" s="133" t="s">
        <v>910</v>
      </c>
      <c r="AH34" s="133" t="s">
        <v>911</v>
      </c>
      <c r="AI34" s="133" t="s">
        <v>69</v>
      </c>
      <c r="AJ34" s="133" t="s">
        <v>46</v>
      </c>
      <c r="AK34" s="133" t="s">
        <v>54</v>
      </c>
      <c r="AL34" s="133" t="s">
        <v>48</v>
      </c>
      <c r="AM34" s="133" t="s">
        <v>49</v>
      </c>
      <c r="AN34" s="133" t="str">
        <f>VLOOKUP(I34,Sheet1!A:D,4,FALSE)</f>
        <v>A210600</v>
      </c>
      <c r="AP34" s="36" t="s">
        <v>919</v>
      </c>
    </row>
    <row r="35" spans="1:42" s="133" customFormat="1" ht="14.25" x14ac:dyDescent="0.2">
      <c r="A35" s="149">
        <v>45717</v>
      </c>
      <c r="B35" s="133" t="s">
        <v>40</v>
      </c>
      <c r="C35" s="133" t="s">
        <v>41</v>
      </c>
      <c r="D35" s="150">
        <v>25708091</v>
      </c>
      <c r="E35" s="150">
        <v>24106541</v>
      </c>
      <c r="F35" s="150" t="s">
        <v>912</v>
      </c>
      <c r="G35" s="166">
        <v>45740</v>
      </c>
      <c r="H35" s="133" t="s">
        <v>73</v>
      </c>
      <c r="I35" s="133" t="s">
        <v>436</v>
      </c>
      <c r="J35" s="133" t="s">
        <v>784</v>
      </c>
      <c r="K35" s="152">
        <v>7000</v>
      </c>
      <c r="L35" s="153" t="s">
        <v>42</v>
      </c>
      <c r="M35" s="156">
        <v>7000</v>
      </c>
      <c r="N35" s="156">
        <v>173227.91</v>
      </c>
      <c r="O35" s="156">
        <v>1212595370</v>
      </c>
      <c r="P35" s="152">
        <v>1212595370</v>
      </c>
      <c r="Q35" s="136">
        <v>0</v>
      </c>
      <c r="R35" s="136">
        <v>0</v>
      </c>
      <c r="S35" s="153" t="s">
        <v>43</v>
      </c>
      <c r="T35" s="136">
        <v>968037270.83000004</v>
      </c>
      <c r="U35" s="136">
        <v>968037270.83000004</v>
      </c>
      <c r="V35" s="136">
        <v>244558099.16999999</v>
      </c>
      <c r="W35" s="136">
        <v>0.20168153797999999</v>
      </c>
      <c r="X35" s="136">
        <v>244558099.16999999</v>
      </c>
      <c r="Y35" s="133" t="s">
        <v>66</v>
      </c>
      <c r="Z35" s="133" t="s">
        <v>44</v>
      </c>
      <c r="AA35" s="133">
        <v>15161</v>
      </c>
      <c r="AB35" s="133" t="s">
        <v>75</v>
      </c>
      <c r="AC35" s="133" t="s">
        <v>56</v>
      </c>
      <c r="AD35" s="133" t="s">
        <v>77</v>
      </c>
      <c r="AE35" s="133">
        <v>0</v>
      </c>
      <c r="AF35" s="133" t="s">
        <v>785</v>
      </c>
      <c r="AG35" s="133" t="s">
        <v>786</v>
      </c>
      <c r="AH35" s="133" t="s">
        <v>787</v>
      </c>
      <c r="AI35" s="133" t="s">
        <v>69</v>
      </c>
      <c r="AJ35" s="133" t="s">
        <v>46</v>
      </c>
      <c r="AK35" s="133" t="s">
        <v>54</v>
      </c>
      <c r="AL35" s="133" t="s">
        <v>48</v>
      </c>
      <c r="AM35" s="133" t="s">
        <v>49</v>
      </c>
      <c r="AN35" s="133" t="str">
        <f>VLOOKUP(I35,Sheet1!A:D,4,FALSE)</f>
        <v>A210600</v>
      </c>
      <c r="AP35" s="36" t="s">
        <v>919</v>
      </c>
    </row>
    <row r="36" spans="1:42" s="133" customFormat="1" ht="14.25" x14ac:dyDescent="0.2">
      <c r="A36" s="149">
        <v>45748</v>
      </c>
      <c r="B36" s="133" t="s">
        <v>40</v>
      </c>
      <c r="C36" s="133" t="s">
        <v>41</v>
      </c>
      <c r="D36" s="150">
        <v>25708125</v>
      </c>
      <c r="E36" s="150">
        <v>24106488</v>
      </c>
      <c r="F36" s="150" t="s">
        <v>948</v>
      </c>
      <c r="G36" s="166">
        <v>45762</v>
      </c>
      <c r="H36" s="133" t="s">
        <v>729</v>
      </c>
      <c r="I36" s="133" t="s">
        <v>445</v>
      </c>
      <c r="J36" s="133" t="s">
        <v>656</v>
      </c>
      <c r="K36" s="152">
        <v>680</v>
      </c>
      <c r="L36" s="153" t="s">
        <v>42</v>
      </c>
      <c r="M36" s="156">
        <v>680</v>
      </c>
      <c r="N36" s="156">
        <v>120073.04</v>
      </c>
      <c r="O36" s="156">
        <v>81649667.200000003</v>
      </c>
      <c r="P36" s="152">
        <v>81649667.200000003</v>
      </c>
      <c r="Q36" s="136">
        <v>0</v>
      </c>
      <c r="R36" s="136">
        <v>0</v>
      </c>
      <c r="S36" s="153" t="s">
        <v>43</v>
      </c>
      <c r="T36" s="136">
        <v>64729923.18</v>
      </c>
      <c r="U36" s="136">
        <v>64729923.18</v>
      </c>
      <c r="V36" s="136">
        <v>16919744.02</v>
      </c>
      <c r="W36" s="136">
        <v>0.20722367402299999</v>
      </c>
      <c r="X36" s="136">
        <v>16919744.02</v>
      </c>
      <c r="Y36" s="133" t="s">
        <v>235</v>
      </c>
      <c r="Z36" s="133" t="s">
        <v>44</v>
      </c>
      <c r="AA36" s="133">
        <v>15161</v>
      </c>
      <c r="AB36" s="133" t="s">
        <v>730</v>
      </c>
      <c r="AC36" s="133" t="s">
        <v>56</v>
      </c>
      <c r="AD36" s="133" t="s">
        <v>103</v>
      </c>
      <c r="AE36" s="133">
        <v>0</v>
      </c>
      <c r="AF36" s="133" t="s">
        <v>207</v>
      </c>
      <c r="AG36" s="133" t="s">
        <v>101</v>
      </c>
      <c r="AH36" s="133" t="s">
        <v>46</v>
      </c>
      <c r="AI36" s="133" t="s">
        <v>101</v>
      </c>
      <c r="AJ36" s="133" t="s">
        <v>46</v>
      </c>
      <c r="AK36" s="133" t="s">
        <v>54</v>
      </c>
      <c r="AL36" s="133" t="s">
        <v>48</v>
      </c>
      <c r="AM36" s="133" t="s">
        <v>49</v>
      </c>
      <c r="AN36" s="133" t="str">
        <f>VLOOKUP(I36,Sheet1!A:D,4,FALSE)</f>
        <v>A320400</v>
      </c>
      <c r="AP36" s="36" t="s">
        <v>960</v>
      </c>
    </row>
    <row r="37" spans="1:42" s="133" customFormat="1" ht="14.25" x14ac:dyDescent="0.2">
      <c r="A37" s="149">
        <v>45748</v>
      </c>
      <c r="B37" s="133" t="s">
        <v>40</v>
      </c>
      <c r="C37" s="133" t="s">
        <v>41</v>
      </c>
      <c r="D37" s="150">
        <v>25708133</v>
      </c>
      <c r="E37" s="150">
        <v>24106487</v>
      </c>
      <c r="F37" s="150" t="s">
        <v>87</v>
      </c>
      <c r="G37" s="151">
        <v>45762</v>
      </c>
      <c r="H37" s="133" t="s">
        <v>729</v>
      </c>
      <c r="I37" s="133" t="s">
        <v>51</v>
      </c>
      <c r="J37" s="133" t="s">
        <v>483</v>
      </c>
      <c r="K37" s="152">
        <v>250</v>
      </c>
      <c r="L37" s="153" t="s">
        <v>42</v>
      </c>
      <c r="M37" s="152">
        <v>250</v>
      </c>
      <c r="N37" s="152">
        <v>255491.39</v>
      </c>
      <c r="O37" s="152">
        <v>63872847.5</v>
      </c>
      <c r="P37" s="152">
        <v>63872847.5</v>
      </c>
      <c r="Q37" s="136">
        <v>0</v>
      </c>
      <c r="R37" s="136">
        <v>0</v>
      </c>
      <c r="S37" s="153" t="s">
        <v>43</v>
      </c>
      <c r="T37" s="136">
        <v>33365855.329999998</v>
      </c>
      <c r="U37" s="136">
        <v>33365855.329999998</v>
      </c>
      <c r="V37" s="136">
        <v>30506992.170000002</v>
      </c>
      <c r="W37" s="136">
        <v>0.47762066925199997</v>
      </c>
      <c r="X37" s="136">
        <v>30506992.170000002</v>
      </c>
      <c r="Y37" s="133" t="s">
        <v>235</v>
      </c>
      <c r="Z37" s="133" t="s">
        <v>44</v>
      </c>
      <c r="AA37" s="133">
        <v>15161</v>
      </c>
      <c r="AB37" s="133" t="s">
        <v>730</v>
      </c>
      <c r="AC37" s="133" t="s">
        <v>56</v>
      </c>
      <c r="AD37" s="133" t="s">
        <v>103</v>
      </c>
      <c r="AE37" s="133">
        <v>0</v>
      </c>
      <c r="AF37" s="133" t="s">
        <v>731</v>
      </c>
      <c r="AG37" s="133" t="s">
        <v>101</v>
      </c>
      <c r="AH37" s="133" t="s">
        <v>46</v>
      </c>
      <c r="AI37" s="133" t="s">
        <v>101</v>
      </c>
      <c r="AJ37" s="133" t="s">
        <v>46</v>
      </c>
      <c r="AK37" s="133" t="s">
        <v>47</v>
      </c>
      <c r="AL37" s="133" t="s">
        <v>48</v>
      </c>
      <c r="AM37" s="133" t="s">
        <v>49</v>
      </c>
      <c r="AN37" s="133" t="str">
        <f>VLOOKUP(I37,Sheet1!A:D,4,FALSE)</f>
        <v>A210600</v>
      </c>
      <c r="AP37" s="36" t="s">
        <v>960</v>
      </c>
    </row>
    <row r="38" spans="1:42" s="133" customFormat="1" ht="14.25" x14ac:dyDescent="0.2">
      <c r="A38" s="149">
        <v>45748</v>
      </c>
      <c r="B38" s="133" t="s">
        <v>40</v>
      </c>
      <c r="C38" s="133" t="s">
        <v>41</v>
      </c>
      <c r="D38" s="150">
        <v>25708134</v>
      </c>
      <c r="E38" s="150">
        <v>25106571</v>
      </c>
      <c r="F38" s="150" t="s">
        <v>892</v>
      </c>
      <c r="G38" s="166">
        <v>45762</v>
      </c>
      <c r="H38" s="133" t="s">
        <v>729</v>
      </c>
      <c r="I38" s="133" t="s">
        <v>51</v>
      </c>
      <c r="J38" s="133" t="s">
        <v>483</v>
      </c>
      <c r="K38" s="152">
        <v>140</v>
      </c>
      <c r="L38" s="153" t="s">
        <v>42</v>
      </c>
      <c r="M38" s="156">
        <v>140</v>
      </c>
      <c r="N38" s="156">
        <v>264315.3</v>
      </c>
      <c r="O38" s="156">
        <v>37004142</v>
      </c>
      <c r="P38" s="152">
        <v>37004142</v>
      </c>
      <c r="Q38" s="136">
        <v>0</v>
      </c>
      <c r="R38" s="136">
        <v>0</v>
      </c>
      <c r="S38" s="153" t="s">
        <v>43</v>
      </c>
      <c r="T38" s="136">
        <v>18684878.989999998</v>
      </c>
      <c r="U38" s="136">
        <v>18684878.989999998</v>
      </c>
      <c r="V38" s="136">
        <v>18319263.010000002</v>
      </c>
      <c r="W38" s="136">
        <v>0.49505979654900001</v>
      </c>
      <c r="X38" s="136">
        <v>18319263.010000002</v>
      </c>
      <c r="Y38" s="133" t="s">
        <v>235</v>
      </c>
      <c r="Z38" s="133" t="s">
        <v>44</v>
      </c>
      <c r="AA38" s="133">
        <v>15161</v>
      </c>
      <c r="AB38" s="133" t="s">
        <v>730</v>
      </c>
      <c r="AC38" s="133" t="s">
        <v>56</v>
      </c>
      <c r="AD38" s="133" t="s">
        <v>103</v>
      </c>
      <c r="AE38" s="133">
        <v>0</v>
      </c>
      <c r="AF38" s="133" t="s">
        <v>731</v>
      </c>
      <c r="AG38" s="133" t="s">
        <v>101</v>
      </c>
      <c r="AH38" s="133" t="s">
        <v>46</v>
      </c>
      <c r="AI38" s="133" t="s">
        <v>101</v>
      </c>
      <c r="AJ38" s="133" t="s">
        <v>46</v>
      </c>
      <c r="AK38" s="133" t="s">
        <v>47</v>
      </c>
      <c r="AL38" s="133" t="s">
        <v>48</v>
      </c>
      <c r="AM38" s="133" t="s">
        <v>49</v>
      </c>
      <c r="AN38" s="133" t="str">
        <f>VLOOKUP(I38,Sheet1!A:D,4,FALSE)</f>
        <v>A210600</v>
      </c>
      <c r="AP38" s="36" t="s">
        <v>960</v>
      </c>
    </row>
    <row r="39" spans="1:42" s="133" customFormat="1" ht="14.25" x14ac:dyDescent="0.2">
      <c r="A39" s="149">
        <v>45748</v>
      </c>
      <c r="B39" s="133" t="s">
        <v>40</v>
      </c>
      <c r="C39" s="133" t="s">
        <v>41</v>
      </c>
      <c r="D39" s="150">
        <v>25708138</v>
      </c>
      <c r="E39" s="150">
        <v>25106642</v>
      </c>
      <c r="F39" s="150" t="s">
        <v>961</v>
      </c>
      <c r="G39" s="166">
        <v>45762</v>
      </c>
      <c r="H39" s="133" t="s">
        <v>73</v>
      </c>
      <c r="I39" s="133" t="s">
        <v>51</v>
      </c>
      <c r="J39" s="133" t="s">
        <v>79</v>
      </c>
      <c r="K39" s="152">
        <v>110</v>
      </c>
      <c r="L39" s="153" t="s">
        <v>42</v>
      </c>
      <c r="M39" s="156">
        <v>110</v>
      </c>
      <c r="N39" s="156">
        <v>269465.3</v>
      </c>
      <c r="O39" s="156">
        <v>29641183</v>
      </c>
      <c r="P39" s="152">
        <v>29641183</v>
      </c>
      <c r="Q39" s="136">
        <v>0</v>
      </c>
      <c r="R39" s="136">
        <v>0</v>
      </c>
      <c r="S39" s="153" t="s">
        <v>43</v>
      </c>
      <c r="T39" s="136">
        <v>14680976.35</v>
      </c>
      <c r="U39" s="136">
        <v>14680976.35</v>
      </c>
      <c r="V39" s="136">
        <v>14960206.65</v>
      </c>
      <c r="W39" s="136">
        <v>0.50471017469099999</v>
      </c>
      <c r="X39" s="136">
        <v>14960206.65</v>
      </c>
      <c r="Y39" s="133" t="s">
        <v>66</v>
      </c>
      <c r="Z39" s="133" t="s">
        <v>44</v>
      </c>
      <c r="AA39" s="133">
        <v>15161</v>
      </c>
      <c r="AB39" s="133" t="s">
        <v>75</v>
      </c>
      <c r="AC39" s="133" t="s">
        <v>56</v>
      </c>
      <c r="AD39" s="133" t="s">
        <v>77</v>
      </c>
      <c r="AE39" s="133">
        <v>0</v>
      </c>
      <c r="AF39" s="133" t="s">
        <v>76</v>
      </c>
      <c r="AG39" s="133" t="s">
        <v>69</v>
      </c>
      <c r="AH39" s="133" t="s">
        <v>46</v>
      </c>
      <c r="AI39" s="133" t="s">
        <v>69</v>
      </c>
      <c r="AJ39" s="133" t="s">
        <v>46</v>
      </c>
      <c r="AK39" s="133" t="s">
        <v>47</v>
      </c>
      <c r="AL39" s="133" t="s">
        <v>48</v>
      </c>
      <c r="AM39" s="133" t="s">
        <v>49</v>
      </c>
      <c r="AN39" s="133" t="str">
        <f>VLOOKUP(I39,Sheet1!A:D,4,FALSE)</f>
        <v>A210600</v>
      </c>
      <c r="AP39" s="36" t="s">
        <v>967</v>
      </c>
    </row>
    <row r="40" spans="1:42" s="133" customFormat="1" ht="14.25" x14ac:dyDescent="0.2">
      <c r="A40" s="149">
        <v>45748</v>
      </c>
      <c r="B40" s="133" t="s">
        <v>40</v>
      </c>
      <c r="C40" s="133" t="s">
        <v>41</v>
      </c>
      <c r="D40" s="150">
        <v>25708139</v>
      </c>
      <c r="E40" s="150">
        <v>25106647</v>
      </c>
      <c r="F40" s="150" t="s">
        <v>962</v>
      </c>
      <c r="G40" s="166">
        <v>45762</v>
      </c>
      <c r="H40" s="133" t="s">
        <v>73</v>
      </c>
      <c r="I40" s="133" t="s">
        <v>62</v>
      </c>
      <c r="J40" s="133" t="s">
        <v>83</v>
      </c>
      <c r="K40" s="152">
        <v>500</v>
      </c>
      <c r="L40" s="153" t="s">
        <v>42</v>
      </c>
      <c r="M40" s="156">
        <v>500</v>
      </c>
      <c r="N40" s="156">
        <v>238562</v>
      </c>
      <c r="O40" s="156">
        <v>119281000</v>
      </c>
      <c r="P40" s="152">
        <v>119281000</v>
      </c>
      <c r="Q40" s="136">
        <v>0</v>
      </c>
      <c r="R40" s="136">
        <v>0</v>
      </c>
      <c r="S40" s="153" t="s">
        <v>43</v>
      </c>
      <c r="T40" s="136">
        <v>70092306.129999995</v>
      </c>
      <c r="U40" s="136">
        <v>70092306.129999995</v>
      </c>
      <c r="V40" s="136">
        <v>49188693.869999997</v>
      </c>
      <c r="W40" s="136">
        <v>0.41237660540999999</v>
      </c>
      <c r="X40" s="136">
        <v>49188693.869999997</v>
      </c>
      <c r="Y40" s="133" t="s">
        <v>66</v>
      </c>
      <c r="Z40" s="133" t="s">
        <v>44</v>
      </c>
      <c r="AA40" s="133">
        <v>15161</v>
      </c>
      <c r="AB40" s="133" t="s">
        <v>75</v>
      </c>
      <c r="AC40" s="133" t="s">
        <v>56</v>
      </c>
      <c r="AD40" s="133" t="s">
        <v>77</v>
      </c>
      <c r="AE40" s="133">
        <v>0</v>
      </c>
      <c r="AF40" s="133" t="s">
        <v>76</v>
      </c>
      <c r="AG40" s="133" t="s">
        <v>69</v>
      </c>
      <c r="AH40" s="133" t="s">
        <v>46</v>
      </c>
      <c r="AI40" s="133" t="s">
        <v>69</v>
      </c>
      <c r="AJ40" s="133" t="s">
        <v>46</v>
      </c>
      <c r="AK40" s="133" t="s">
        <v>47</v>
      </c>
      <c r="AL40" s="133" t="s">
        <v>48</v>
      </c>
      <c r="AM40" s="133" t="s">
        <v>49</v>
      </c>
      <c r="AN40" s="133" t="str">
        <f>VLOOKUP(I40,Sheet1!A:D,4,FALSE)</f>
        <v>A210600</v>
      </c>
      <c r="AP40" s="36" t="s">
        <v>967</v>
      </c>
    </row>
    <row r="41" spans="1:42" s="133" customFormat="1" ht="12.75" customHeight="1" x14ac:dyDescent="0.2">
      <c r="A41" s="149">
        <v>45748</v>
      </c>
      <c r="B41" s="133" t="s">
        <v>40</v>
      </c>
      <c r="C41" s="133" t="s">
        <v>41</v>
      </c>
      <c r="D41" s="150">
        <v>25708154</v>
      </c>
      <c r="E41" s="150">
        <v>25106646</v>
      </c>
      <c r="F41" s="150" t="s">
        <v>976</v>
      </c>
      <c r="G41" s="166">
        <v>45771</v>
      </c>
      <c r="H41" s="133" t="s">
        <v>98</v>
      </c>
      <c r="I41" s="133" t="s">
        <v>110</v>
      </c>
      <c r="J41" s="133" t="s">
        <v>111</v>
      </c>
      <c r="K41" s="152">
        <v>100</v>
      </c>
      <c r="L41" s="153" t="s">
        <v>42</v>
      </c>
      <c r="M41" s="156">
        <v>100</v>
      </c>
      <c r="N41" s="156">
        <v>717350</v>
      </c>
      <c r="O41" s="156">
        <v>71735000</v>
      </c>
      <c r="P41" s="152">
        <v>71735000</v>
      </c>
      <c r="Q41" s="136">
        <v>0</v>
      </c>
      <c r="R41" s="136">
        <v>0</v>
      </c>
      <c r="S41" s="153" t="s">
        <v>43</v>
      </c>
      <c r="T41" s="136">
        <v>49459183.359999999</v>
      </c>
      <c r="U41" s="136">
        <v>49459183.359999999</v>
      </c>
      <c r="V41" s="136">
        <v>22275816.640000001</v>
      </c>
      <c r="W41" s="136">
        <v>0.31052926242399997</v>
      </c>
      <c r="X41" s="136">
        <v>22275816.640000001</v>
      </c>
      <c r="Y41" s="133" t="s">
        <v>101</v>
      </c>
      <c r="Z41" s="133" t="s">
        <v>46</v>
      </c>
      <c r="AA41" s="133">
        <v>2306511</v>
      </c>
      <c r="AB41" s="133" t="s">
        <v>102</v>
      </c>
      <c r="AC41" s="133" t="s">
        <v>56</v>
      </c>
      <c r="AD41" s="133" t="s">
        <v>103</v>
      </c>
      <c r="AE41" s="133">
        <v>0</v>
      </c>
      <c r="AF41" s="133" t="s">
        <v>108</v>
      </c>
      <c r="AG41" s="133" t="s">
        <v>101</v>
      </c>
      <c r="AH41" s="133" t="s">
        <v>46</v>
      </c>
      <c r="AI41" s="133" t="s">
        <v>101</v>
      </c>
      <c r="AJ41" s="133" t="s">
        <v>46</v>
      </c>
      <c r="AK41" s="133" t="s">
        <v>54</v>
      </c>
      <c r="AL41" s="133" t="s">
        <v>48</v>
      </c>
      <c r="AM41" s="133" t="s">
        <v>49</v>
      </c>
      <c r="AN41" s="133" t="str">
        <f>VLOOKUP(I41,Sheet1!A:D,4,FALSE)</f>
        <v>A210600</v>
      </c>
      <c r="AP41" s="36" t="s">
        <v>982</v>
      </c>
    </row>
    <row r="42" spans="1:42" s="133" customFormat="1" ht="12.75" customHeight="1" x14ac:dyDescent="0.2">
      <c r="A42" s="149">
        <v>45778</v>
      </c>
      <c r="B42" s="133" t="s">
        <v>40</v>
      </c>
      <c r="C42" s="133" t="s">
        <v>41</v>
      </c>
      <c r="D42" s="150">
        <v>25708173</v>
      </c>
      <c r="E42" s="150">
        <v>25106630</v>
      </c>
      <c r="F42" s="150" t="s">
        <v>983</v>
      </c>
      <c r="G42" s="166">
        <v>45779</v>
      </c>
      <c r="H42" s="133" t="s">
        <v>73</v>
      </c>
      <c r="I42" s="133" t="s">
        <v>418</v>
      </c>
      <c r="J42" s="133" t="s">
        <v>984</v>
      </c>
      <c r="K42" s="152">
        <v>200</v>
      </c>
      <c r="L42" s="153" t="s">
        <v>42</v>
      </c>
      <c r="M42" s="156">
        <v>200</v>
      </c>
      <c r="N42" s="156">
        <v>857939.59</v>
      </c>
      <c r="O42" s="156">
        <v>171587918</v>
      </c>
      <c r="P42" s="152">
        <v>171587918</v>
      </c>
      <c r="Q42" s="136">
        <v>0</v>
      </c>
      <c r="R42" s="136">
        <v>0</v>
      </c>
      <c r="S42" s="153" t="s">
        <v>43</v>
      </c>
      <c r="T42" s="136">
        <v>98721472.799999997</v>
      </c>
      <c r="U42" s="136">
        <v>98721472.799999997</v>
      </c>
      <c r="V42" s="136">
        <v>72866445.200000003</v>
      </c>
      <c r="W42" s="136">
        <v>0.42465953342899998</v>
      </c>
      <c r="X42" s="136">
        <v>72866445.200000003</v>
      </c>
      <c r="Y42" s="133" t="s">
        <v>66</v>
      </c>
      <c r="Z42" s="133" t="s">
        <v>44</v>
      </c>
      <c r="AA42" s="133">
        <v>15161</v>
      </c>
      <c r="AB42" s="133" t="s">
        <v>75</v>
      </c>
      <c r="AC42" s="133" t="s">
        <v>56</v>
      </c>
      <c r="AD42" s="133" t="s">
        <v>77</v>
      </c>
      <c r="AE42" s="133">
        <v>0</v>
      </c>
      <c r="AF42" s="133" t="s">
        <v>942</v>
      </c>
      <c r="AG42" s="133" t="s">
        <v>69</v>
      </c>
      <c r="AH42" s="133" t="s">
        <v>46</v>
      </c>
      <c r="AI42" s="133" t="s">
        <v>69</v>
      </c>
      <c r="AJ42" s="133" t="s">
        <v>46</v>
      </c>
      <c r="AK42" s="133" t="s">
        <v>54</v>
      </c>
      <c r="AL42" s="133" t="s">
        <v>48</v>
      </c>
      <c r="AM42" s="133" t="s">
        <v>49</v>
      </c>
      <c r="AN42" s="133" t="str">
        <f>VLOOKUP(I42,Sheet1!A:D,4,FALSE)</f>
        <v>A210600</v>
      </c>
      <c r="AP42" s="36" t="s">
        <v>1004</v>
      </c>
    </row>
    <row r="43" spans="1:42" s="133" customFormat="1" ht="12.75" customHeight="1" x14ac:dyDescent="0.2">
      <c r="A43" s="149">
        <v>45778</v>
      </c>
      <c r="B43" s="133" t="s">
        <v>40</v>
      </c>
      <c r="C43" s="133" t="s">
        <v>41</v>
      </c>
      <c r="D43" s="150">
        <v>25708174</v>
      </c>
      <c r="E43" s="150">
        <v>25106680</v>
      </c>
      <c r="F43" s="150" t="s">
        <v>985</v>
      </c>
      <c r="G43" s="166">
        <v>45779</v>
      </c>
      <c r="H43" s="133" t="s">
        <v>800</v>
      </c>
      <c r="I43" s="133" t="s">
        <v>801</v>
      </c>
      <c r="J43" s="133" t="s">
        <v>802</v>
      </c>
      <c r="K43" s="152">
        <v>125</v>
      </c>
      <c r="L43" s="153" t="s">
        <v>42</v>
      </c>
      <c r="M43" s="156">
        <v>125</v>
      </c>
      <c r="N43" s="156">
        <v>901217.31</v>
      </c>
      <c r="O43" s="156">
        <v>112652163.75</v>
      </c>
      <c r="P43" s="152">
        <v>112652163.75</v>
      </c>
      <c r="Q43" s="136">
        <v>0</v>
      </c>
      <c r="R43" s="136">
        <v>0</v>
      </c>
      <c r="S43" s="153" t="s">
        <v>43</v>
      </c>
      <c r="T43" s="136">
        <v>46420940.649999999</v>
      </c>
      <c r="U43" s="136">
        <v>46420940.649999999</v>
      </c>
      <c r="V43" s="136">
        <v>66231223.100000001</v>
      </c>
      <c r="W43" s="136">
        <v>0.58792677295499995</v>
      </c>
      <c r="X43" s="136">
        <v>66231223.100000001</v>
      </c>
      <c r="Y43" s="133" t="s">
        <v>69</v>
      </c>
      <c r="Z43" s="133" t="s">
        <v>46</v>
      </c>
      <c r="AA43" s="133">
        <v>2306510</v>
      </c>
      <c r="AB43" s="133" t="s">
        <v>803</v>
      </c>
      <c r="AC43" s="133" t="s">
        <v>154</v>
      </c>
      <c r="AD43" s="133" t="s">
        <v>155</v>
      </c>
      <c r="AE43" s="133">
        <v>0</v>
      </c>
      <c r="AF43" s="133" t="s">
        <v>798</v>
      </c>
      <c r="AG43" s="133" t="s">
        <v>69</v>
      </c>
      <c r="AH43" s="133" t="s">
        <v>46</v>
      </c>
      <c r="AI43" s="133" t="s">
        <v>69</v>
      </c>
      <c r="AJ43" s="133" t="s">
        <v>46</v>
      </c>
      <c r="AK43" s="133" t="s">
        <v>54</v>
      </c>
      <c r="AL43" s="133" t="s">
        <v>48</v>
      </c>
      <c r="AM43" s="133" t="s">
        <v>49</v>
      </c>
      <c r="AN43" s="133" t="str">
        <f>VLOOKUP(I43,Sheet1!A:D,4,FALSE)</f>
        <v>A210600</v>
      </c>
      <c r="AP43" s="36" t="s">
        <v>1004</v>
      </c>
    </row>
    <row r="44" spans="1:42" s="133" customFormat="1" ht="12.75" customHeight="1" x14ac:dyDescent="0.2">
      <c r="A44" s="149">
        <v>45778</v>
      </c>
      <c r="B44" s="133" t="s">
        <v>40</v>
      </c>
      <c r="C44" s="133" t="s">
        <v>41</v>
      </c>
      <c r="D44" s="150">
        <v>25708175</v>
      </c>
      <c r="E44" s="150">
        <v>25106682</v>
      </c>
      <c r="F44" s="150" t="s">
        <v>986</v>
      </c>
      <c r="G44" s="166">
        <v>45779</v>
      </c>
      <c r="H44" s="133" t="s">
        <v>800</v>
      </c>
      <c r="I44" s="133" t="s">
        <v>903</v>
      </c>
      <c r="J44" s="133" t="s">
        <v>904</v>
      </c>
      <c r="K44" s="152">
        <v>50</v>
      </c>
      <c r="L44" s="153" t="s">
        <v>42</v>
      </c>
      <c r="M44" s="156">
        <v>50</v>
      </c>
      <c r="N44" s="156">
        <v>861206</v>
      </c>
      <c r="O44" s="156">
        <v>43060300</v>
      </c>
      <c r="P44" s="152">
        <v>43060300</v>
      </c>
      <c r="Q44" s="136">
        <v>0</v>
      </c>
      <c r="R44" s="136">
        <v>0</v>
      </c>
      <c r="S44" s="153" t="s">
        <v>43</v>
      </c>
      <c r="T44" s="136">
        <v>31395490.27</v>
      </c>
      <c r="U44" s="136">
        <v>31395490.27</v>
      </c>
      <c r="V44" s="136">
        <v>11664809.73</v>
      </c>
      <c r="W44" s="136">
        <v>0.27089476222800002</v>
      </c>
      <c r="X44" s="136">
        <v>11664809.73</v>
      </c>
      <c r="Y44" s="133" t="s">
        <v>69</v>
      </c>
      <c r="Z44" s="133" t="s">
        <v>46</v>
      </c>
      <c r="AA44" s="133">
        <v>2306510</v>
      </c>
      <c r="AB44" s="133" t="s">
        <v>803</v>
      </c>
      <c r="AC44" s="133" t="s">
        <v>154</v>
      </c>
      <c r="AD44" s="133" t="s">
        <v>155</v>
      </c>
      <c r="AE44" s="133">
        <v>0</v>
      </c>
      <c r="AF44" s="133" t="s">
        <v>806</v>
      </c>
      <c r="AG44" s="133" t="s">
        <v>69</v>
      </c>
      <c r="AH44" s="133" t="s">
        <v>46</v>
      </c>
      <c r="AI44" s="133" t="s">
        <v>69</v>
      </c>
      <c r="AJ44" s="133" t="s">
        <v>46</v>
      </c>
      <c r="AK44" s="133" t="s">
        <v>54</v>
      </c>
      <c r="AL44" s="133" t="s">
        <v>48</v>
      </c>
      <c r="AM44" s="133" t="s">
        <v>49</v>
      </c>
      <c r="AN44" s="133" t="str">
        <f>VLOOKUP(I44,Sheet1!A:D,4,FALSE)</f>
        <v>A210600</v>
      </c>
      <c r="AP44" s="36" t="s">
        <v>1004</v>
      </c>
    </row>
    <row r="45" spans="1:42" s="133" customFormat="1" ht="14.25" x14ac:dyDescent="0.2">
      <c r="A45" s="149">
        <v>45778</v>
      </c>
      <c r="B45" s="133" t="s">
        <v>40</v>
      </c>
      <c r="C45" s="133" t="s">
        <v>41</v>
      </c>
      <c r="D45" s="150">
        <v>25708176</v>
      </c>
      <c r="E45" s="150">
        <v>24106341</v>
      </c>
      <c r="F45" s="150" t="s">
        <v>783</v>
      </c>
      <c r="G45" s="166">
        <v>45779</v>
      </c>
      <c r="H45" s="133" t="s">
        <v>73</v>
      </c>
      <c r="I45" s="133" t="s">
        <v>436</v>
      </c>
      <c r="J45" s="133" t="s">
        <v>784</v>
      </c>
      <c r="K45" s="152">
        <v>20</v>
      </c>
      <c r="L45" s="153" t="s">
        <v>42</v>
      </c>
      <c r="M45" s="156">
        <v>20</v>
      </c>
      <c r="N45" s="156">
        <v>178014.15</v>
      </c>
      <c r="O45" s="156">
        <v>3560283</v>
      </c>
      <c r="P45" s="152">
        <v>3560283</v>
      </c>
      <c r="Q45" s="136">
        <v>0</v>
      </c>
      <c r="R45" s="136">
        <v>0</v>
      </c>
      <c r="S45" s="153" t="s">
        <v>43</v>
      </c>
      <c r="T45" s="136">
        <v>2935059.89</v>
      </c>
      <c r="U45" s="136">
        <v>2935059.89</v>
      </c>
      <c r="V45" s="136">
        <v>625223.11</v>
      </c>
      <c r="W45" s="136">
        <v>0.17561050905200001</v>
      </c>
      <c r="X45" s="136">
        <v>625223.11</v>
      </c>
      <c r="Y45" s="133" t="s">
        <v>66</v>
      </c>
      <c r="Z45" s="133" t="s">
        <v>44</v>
      </c>
      <c r="AA45" s="133">
        <v>15161</v>
      </c>
      <c r="AB45" s="133" t="s">
        <v>75</v>
      </c>
      <c r="AC45" s="133" t="s">
        <v>56</v>
      </c>
      <c r="AD45" s="133" t="s">
        <v>77</v>
      </c>
      <c r="AE45" s="133">
        <v>0</v>
      </c>
      <c r="AF45" s="133" t="s">
        <v>785</v>
      </c>
      <c r="AG45" s="133" t="s">
        <v>786</v>
      </c>
      <c r="AH45" s="133" t="s">
        <v>787</v>
      </c>
      <c r="AI45" s="133" t="s">
        <v>69</v>
      </c>
      <c r="AJ45" s="133" t="s">
        <v>46</v>
      </c>
      <c r="AK45" s="133" t="s">
        <v>54</v>
      </c>
      <c r="AL45" s="133" t="s">
        <v>48</v>
      </c>
      <c r="AM45" s="133" t="s">
        <v>49</v>
      </c>
      <c r="AN45" s="133" t="str">
        <f>VLOOKUP(I45,Sheet1!A:D,4,FALSE)</f>
        <v>A210600</v>
      </c>
      <c r="AP45" s="36" t="s">
        <v>1004</v>
      </c>
    </row>
    <row r="46" spans="1:42" s="133" customFormat="1" ht="14.25" x14ac:dyDescent="0.2">
      <c r="A46" s="149">
        <v>45778</v>
      </c>
      <c r="B46" s="133" t="s">
        <v>40</v>
      </c>
      <c r="C46" s="133" t="s">
        <v>41</v>
      </c>
      <c r="D46" s="150">
        <v>25708177</v>
      </c>
      <c r="E46" s="150">
        <v>25106573</v>
      </c>
      <c r="F46" s="150" t="s">
        <v>987</v>
      </c>
      <c r="G46" s="166">
        <v>45779</v>
      </c>
      <c r="H46" s="133" t="s">
        <v>73</v>
      </c>
      <c r="I46" s="133" t="s">
        <v>436</v>
      </c>
      <c r="J46" s="133" t="s">
        <v>784</v>
      </c>
      <c r="K46" s="152">
        <v>4000</v>
      </c>
      <c r="L46" s="153" t="s">
        <v>42</v>
      </c>
      <c r="M46" s="156">
        <v>4000</v>
      </c>
      <c r="N46" s="156">
        <v>175622.12</v>
      </c>
      <c r="O46" s="156">
        <v>702488480</v>
      </c>
      <c r="P46" s="152">
        <v>702488480</v>
      </c>
      <c r="Q46" s="136">
        <v>0</v>
      </c>
      <c r="R46" s="136">
        <v>0</v>
      </c>
      <c r="S46" s="153" t="s">
        <v>43</v>
      </c>
      <c r="T46" s="136">
        <v>587011978</v>
      </c>
      <c r="U46" s="136">
        <v>587011978</v>
      </c>
      <c r="V46" s="136">
        <v>115476502</v>
      </c>
      <c r="W46" s="136">
        <v>0.16438205790900001</v>
      </c>
      <c r="X46" s="136">
        <v>115476502</v>
      </c>
      <c r="Y46" s="133" t="s">
        <v>66</v>
      </c>
      <c r="Z46" s="133" t="s">
        <v>44</v>
      </c>
      <c r="AA46" s="133">
        <v>15161</v>
      </c>
      <c r="AB46" s="133" t="s">
        <v>75</v>
      </c>
      <c r="AC46" s="133" t="s">
        <v>56</v>
      </c>
      <c r="AD46" s="133" t="s">
        <v>77</v>
      </c>
      <c r="AE46" s="133">
        <v>0</v>
      </c>
      <c r="AF46" s="133" t="s">
        <v>785</v>
      </c>
      <c r="AG46" s="133" t="s">
        <v>786</v>
      </c>
      <c r="AH46" s="133" t="s">
        <v>787</v>
      </c>
      <c r="AI46" s="133" t="s">
        <v>69</v>
      </c>
      <c r="AJ46" s="133" t="s">
        <v>46</v>
      </c>
      <c r="AK46" s="133" t="s">
        <v>54</v>
      </c>
      <c r="AL46" s="133" t="s">
        <v>48</v>
      </c>
      <c r="AM46" s="133" t="s">
        <v>49</v>
      </c>
      <c r="AN46" s="133" t="str">
        <f>VLOOKUP(I46,Sheet1!A:D,4,FALSE)</f>
        <v>A210600</v>
      </c>
      <c r="AP46" s="36" t="s">
        <v>1004</v>
      </c>
    </row>
    <row r="47" spans="1:42" s="133" customFormat="1" ht="14.25" x14ac:dyDescent="0.2">
      <c r="A47" s="149">
        <v>45778</v>
      </c>
      <c r="B47" s="133" t="s">
        <v>40</v>
      </c>
      <c r="C47" s="133" t="s">
        <v>41</v>
      </c>
      <c r="D47" s="150">
        <v>25708178</v>
      </c>
      <c r="E47" s="150">
        <v>25106642</v>
      </c>
      <c r="F47" s="150" t="s">
        <v>961</v>
      </c>
      <c r="G47" s="166">
        <v>45779</v>
      </c>
      <c r="H47" s="133" t="s">
        <v>73</v>
      </c>
      <c r="I47" s="133" t="s">
        <v>51</v>
      </c>
      <c r="J47" s="133" t="s">
        <v>79</v>
      </c>
      <c r="K47" s="152">
        <v>620</v>
      </c>
      <c r="L47" s="153" t="s">
        <v>42</v>
      </c>
      <c r="M47" s="156">
        <v>620</v>
      </c>
      <c r="N47" s="156">
        <v>269465.3</v>
      </c>
      <c r="O47" s="156">
        <v>167068486</v>
      </c>
      <c r="P47" s="152">
        <v>167068486</v>
      </c>
      <c r="Q47" s="136">
        <v>0</v>
      </c>
      <c r="R47" s="136">
        <v>0</v>
      </c>
      <c r="S47" s="153" t="s">
        <v>43</v>
      </c>
      <c r="T47" s="136">
        <v>82747321.219999999</v>
      </c>
      <c r="U47" s="136">
        <v>82747321.219999999</v>
      </c>
      <c r="V47" s="136">
        <v>84321164.780000001</v>
      </c>
      <c r="W47" s="136">
        <v>0.50471017484400005</v>
      </c>
      <c r="X47" s="136">
        <v>84321164.780000001</v>
      </c>
      <c r="Y47" s="133" t="s">
        <v>66</v>
      </c>
      <c r="Z47" s="133" t="s">
        <v>44</v>
      </c>
      <c r="AA47" s="133">
        <v>15161</v>
      </c>
      <c r="AB47" s="133" t="s">
        <v>75</v>
      </c>
      <c r="AC47" s="133" t="s">
        <v>56</v>
      </c>
      <c r="AD47" s="133" t="s">
        <v>77</v>
      </c>
      <c r="AE47" s="133">
        <v>0</v>
      </c>
      <c r="AF47" s="133" t="s">
        <v>76</v>
      </c>
      <c r="AG47" s="133" t="s">
        <v>69</v>
      </c>
      <c r="AH47" s="133" t="s">
        <v>46</v>
      </c>
      <c r="AI47" s="133" t="s">
        <v>69</v>
      </c>
      <c r="AJ47" s="133" t="s">
        <v>46</v>
      </c>
      <c r="AK47" s="133" t="s">
        <v>47</v>
      </c>
      <c r="AL47" s="133" t="s">
        <v>48</v>
      </c>
      <c r="AM47" s="133" t="s">
        <v>49</v>
      </c>
      <c r="AN47" s="133" t="str">
        <f>VLOOKUP(I47,Sheet1!A:D,4,FALSE)</f>
        <v>A210600</v>
      </c>
      <c r="AP47" s="36" t="s">
        <v>1004</v>
      </c>
    </row>
    <row r="48" spans="1:42" s="133" customFormat="1" ht="14.25" x14ac:dyDescent="0.2">
      <c r="A48" s="149">
        <v>45778</v>
      </c>
      <c r="B48" s="133" t="s">
        <v>40</v>
      </c>
      <c r="C48" s="133" t="s">
        <v>41</v>
      </c>
      <c r="D48" s="150">
        <v>25708179</v>
      </c>
      <c r="E48" s="150">
        <v>25106681</v>
      </c>
      <c r="F48" s="150" t="s">
        <v>988</v>
      </c>
      <c r="G48" s="166">
        <v>45779</v>
      </c>
      <c r="H48" s="133" t="s">
        <v>808</v>
      </c>
      <c r="I48" s="133" t="s">
        <v>99</v>
      </c>
      <c r="J48" s="133" t="s">
        <v>809</v>
      </c>
      <c r="K48" s="152">
        <v>50</v>
      </c>
      <c r="L48" s="153" t="s">
        <v>42</v>
      </c>
      <c r="M48" s="156">
        <v>50</v>
      </c>
      <c r="N48" s="156">
        <v>518568</v>
      </c>
      <c r="O48" s="156">
        <v>25928400</v>
      </c>
      <c r="P48" s="152">
        <v>25928400</v>
      </c>
      <c r="Q48" s="136">
        <v>0</v>
      </c>
      <c r="R48" s="136">
        <v>0</v>
      </c>
      <c r="S48" s="153" t="s">
        <v>43</v>
      </c>
      <c r="T48" s="136">
        <v>17986463.73</v>
      </c>
      <c r="U48" s="136">
        <v>17986463.73</v>
      </c>
      <c r="V48" s="136">
        <v>7941936.2699999996</v>
      </c>
      <c r="W48" s="136">
        <v>0.30630259753700001</v>
      </c>
      <c r="X48" s="136">
        <v>7941936.2699999996</v>
      </c>
      <c r="Y48" s="133" t="s">
        <v>69</v>
      </c>
      <c r="Z48" s="133" t="s">
        <v>46</v>
      </c>
      <c r="AA48" s="133">
        <v>2306511</v>
      </c>
      <c r="AB48" s="133" t="s">
        <v>810</v>
      </c>
      <c r="AC48" s="133" t="s">
        <v>56</v>
      </c>
      <c r="AD48" s="133" t="s">
        <v>77</v>
      </c>
      <c r="AE48" s="133">
        <v>0</v>
      </c>
      <c r="AF48" s="133" t="s">
        <v>806</v>
      </c>
      <c r="AG48" s="133" t="s">
        <v>69</v>
      </c>
      <c r="AH48" s="133" t="s">
        <v>46</v>
      </c>
      <c r="AI48" s="133" t="s">
        <v>69</v>
      </c>
      <c r="AJ48" s="133" t="s">
        <v>46</v>
      </c>
      <c r="AK48" s="133" t="s">
        <v>54</v>
      </c>
      <c r="AL48" s="133" t="s">
        <v>48</v>
      </c>
      <c r="AM48" s="133" t="s">
        <v>49</v>
      </c>
      <c r="AN48" s="133" t="str">
        <f>VLOOKUP(I48,Sheet1!A:D,4,FALSE)</f>
        <v>A210600</v>
      </c>
      <c r="AP48" s="36" t="s">
        <v>1004</v>
      </c>
    </row>
    <row r="49" spans="1:42" s="133" customFormat="1" ht="14.25" x14ac:dyDescent="0.2">
      <c r="A49" s="149">
        <v>45778</v>
      </c>
      <c r="B49" s="133" t="s">
        <v>40</v>
      </c>
      <c r="C49" s="133" t="s">
        <v>41</v>
      </c>
      <c r="D49" s="150">
        <v>25708207</v>
      </c>
      <c r="E49" s="150">
        <v>25106640</v>
      </c>
      <c r="F49" s="150" t="s">
        <v>1017</v>
      </c>
      <c r="G49" s="166">
        <v>45791</v>
      </c>
      <c r="H49" s="133" t="s">
        <v>800</v>
      </c>
      <c r="I49" s="133" t="s">
        <v>470</v>
      </c>
      <c r="J49" s="133" t="s">
        <v>1018</v>
      </c>
      <c r="K49" s="152">
        <v>25</v>
      </c>
      <c r="L49" s="153" t="s">
        <v>42</v>
      </c>
      <c r="M49" s="156">
        <v>25</v>
      </c>
      <c r="N49" s="156">
        <v>1875118</v>
      </c>
      <c r="O49" s="156">
        <v>46877950</v>
      </c>
      <c r="P49" s="152">
        <v>46877950</v>
      </c>
      <c r="Q49" s="136">
        <v>0</v>
      </c>
      <c r="R49" s="136">
        <v>0</v>
      </c>
      <c r="S49" s="153" t="s">
        <v>43</v>
      </c>
      <c r="T49" s="136">
        <v>12826407</v>
      </c>
      <c r="U49" s="136">
        <v>12826407</v>
      </c>
      <c r="V49" s="136">
        <v>34051543</v>
      </c>
      <c r="W49" s="136">
        <v>0.72638720336499996</v>
      </c>
      <c r="X49" s="136">
        <v>34051543</v>
      </c>
      <c r="Y49" s="133" t="s">
        <v>69</v>
      </c>
      <c r="Z49" s="133" t="s">
        <v>46</v>
      </c>
      <c r="AA49" s="133">
        <v>2306510</v>
      </c>
      <c r="AB49" s="133" t="s">
        <v>803</v>
      </c>
      <c r="AC49" s="133" t="s">
        <v>154</v>
      </c>
      <c r="AD49" s="133" t="s">
        <v>155</v>
      </c>
      <c r="AE49" s="133">
        <v>0</v>
      </c>
      <c r="AF49" s="133" t="s">
        <v>78</v>
      </c>
      <c r="AG49" s="133" t="s">
        <v>69</v>
      </c>
      <c r="AH49" s="133" t="s">
        <v>46</v>
      </c>
      <c r="AI49" s="133" t="s">
        <v>69</v>
      </c>
      <c r="AJ49" s="133" t="s">
        <v>46</v>
      </c>
      <c r="AK49" s="133" t="s">
        <v>54</v>
      </c>
      <c r="AL49" s="133" t="s">
        <v>48</v>
      </c>
      <c r="AM49" s="133" t="s">
        <v>49</v>
      </c>
      <c r="AN49" s="133" t="str">
        <f>VLOOKUP(I49,Sheet1!A:D,4,FALSE)</f>
        <v>A210600</v>
      </c>
      <c r="AP49" s="36" t="s">
        <v>1020</v>
      </c>
    </row>
    <row r="50" spans="1:42" s="133" customFormat="1" ht="14.25" x14ac:dyDescent="0.2">
      <c r="A50" s="149">
        <v>45778</v>
      </c>
      <c r="B50" s="133" t="s">
        <v>40</v>
      </c>
      <c r="C50" s="133" t="s">
        <v>41</v>
      </c>
      <c r="D50" s="150">
        <v>25708222</v>
      </c>
      <c r="E50" s="150">
        <v>25106713</v>
      </c>
      <c r="F50" s="150" t="s">
        <v>1031</v>
      </c>
      <c r="G50" s="166">
        <v>45794</v>
      </c>
      <c r="H50" s="133" t="s">
        <v>800</v>
      </c>
      <c r="I50" s="133" t="s">
        <v>801</v>
      </c>
      <c r="J50" s="133" t="s">
        <v>802</v>
      </c>
      <c r="K50" s="152">
        <v>200</v>
      </c>
      <c r="L50" s="153" t="s">
        <v>42</v>
      </c>
      <c r="M50" s="156">
        <v>200</v>
      </c>
      <c r="N50" s="156">
        <v>926548</v>
      </c>
      <c r="O50" s="156">
        <v>185309600</v>
      </c>
      <c r="P50" s="152">
        <v>185309600</v>
      </c>
      <c r="Q50" s="136">
        <v>0</v>
      </c>
      <c r="R50" s="136">
        <v>0</v>
      </c>
      <c r="S50" s="153" t="s">
        <v>43</v>
      </c>
      <c r="T50" s="136">
        <v>74273505.040000007</v>
      </c>
      <c r="U50" s="136">
        <v>74273505.040000007</v>
      </c>
      <c r="V50" s="136">
        <v>111036094.95999999</v>
      </c>
      <c r="W50" s="136">
        <v>0.59919235139399996</v>
      </c>
      <c r="X50" s="136">
        <v>111036094.95999999</v>
      </c>
      <c r="Y50" s="133" t="s">
        <v>69</v>
      </c>
      <c r="Z50" s="133" t="s">
        <v>46</v>
      </c>
      <c r="AA50" s="133">
        <v>2306510</v>
      </c>
      <c r="AB50" s="133" t="s">
        <v>803</v>
      </c>
      <c r="AC50" s="133" t="s">
        <v>154</v>
      </c>
      <c r="AD50" s="133" t="s">
        <v>155</v>
      </c>
      <c r="AE50" s="133">
        <v>0</v>
      </c>
      <c r="AF50" s="133" t="s">
        <v>798</v>
      </c>
      <c r="AG50" s="133" t="s">
        <v>69</v>
      </c>
      <c r="AH50" s="133" t="s">
        <v>46</v>
      </c>
      <c r="AI50" s="133" t="s">
        <v>69</v>
      </c>
      <c r="AJ50" s="133" t="s">
        <v>46</v>
      </c>
      <c r="AK50" s="133" t="s">
        <v>54</v>
      </c>
      <c r="AL50" s="133" t="s">
        <v>48</v>
      </c>
      <c r="AM50" s="133" t="s">
        <v>49</v>
      </c>
      <c r="AN50" s="133" t="str">
        <f>VLOOKUP(I50,Sheet1!A:D,4,FALSE)</f>
        <v>A210600</v>
      </c>
      <c r="AP50" s="36" t="s">
        <v>1036</v>
      </c>
    </row>
    <row r="51" spans="1:42" s="133" customFormat="1" ht="12.75" customHeight="1" x14ac:dyDescent="0.2">
      <c r="A51" s="149">
        <v>45778</v>
      </c>
      <c r="B51" s="133" t="s">
        <v>40</v>
      </c>
      <c r="C51" s="133" t="s">
        <v>41</v>
      </c>
      <c r="D51" s="150">
        <v>25708223</v>
      </c>
      <c r="E51" s="150">
        <v>25106673</v>
      </c>
      <c r="F51" s="150" t="s">
        <v>1032</v>
      </c>
      <c r="G51" s="166">
        <v>45794</v>
      </c>
      <c r="H51" s="133" t="s">
        <v>800</v>
      </c>
      <c r="I51" s="133" t="s">
        <v>1033</v>
      </c>
      <c r="J51" s="133" t="s">
        <v>1034</v>
      </c>
      <c r="K51" s="152">
        <v>300</v>
      </c>
      <c r="L51" s="153" t="s">
        <v>42</v>
      </c>
      <c r="M51" s="156">
        <v>300</v>
      </c>
      <c r="N51" s="156">
        <v>680431.05</v>
      </c>
      <c r="O51" s="156">
        <v>204129315</v>
      </c>
      <c r="P51" s="152">
        <v>204129315</v>
      </c>
      <c r="Q51" s="136">
        <v>0</v>
      </c>
      <c r="R51" s="136">
        <v>0</v>
      </c>
      <c r="S51" s="153" t="s">
        <v>43</v>
      </c>
      <c r="T51" s="136">
        <v>152352057</v>
      </c>
      <c r="U51" s="136">
        <v>152352057</v>
      </c>
      <c r="V51" s="136">
        <v>51777258</v>
      </c>
      <c r="W51" s="136">
        <v>0.25364930068899999</v>
      </c>
      <c r="X51" s="136">
        <v>51777258</v>
      </c>
      <c r="Y51" s="133" t="s">
        <v>69</v>
      </c>
      <c r="Z51" s="133" t="s">
        <v>46</v>
      </c>
      <c r="AA51" s="133">
        <v>2306510</v>
      </c>
      <c r="AB51" s="133" t="s">
        <v>803</v>
      </c>
      <c r="AC51" s="133" t="s">
        <v>154</v>
      </c>
      <c r="AD51" s="133" t="s">
        <v>155</v>
      </c>
      <c r="AE51" s="133">
        <v>0</v>
      </c>
      <c r="AF51" s="133" t="s">
        <v>1035</v>
      </c>
      <c r="AG51" s="133" t="s">
        <v>69</v>
      </c>
      <c r="AH51" s="133" t="s">
        <v>46</v>
      </c>
      <c r="AI51" s="133" t="s">
        <v>69</v>
      </c>
      <c r="AJ51" s="133" t="s">
        <v>46</v>
      </c>
      <c r="AK51" s="133" t="s">
        <v>54</v>
      </c>
      <c r="AL51" s="133" t="s">
        <v>48</v>
      </c>
      <c r="AM51" s="133" t="s">
        <v>49</v>
      </c>
      <c r="AN51" s="133" t="e">
        <f>VLOOKUP(I51,Sheet1!A:D,4,FALSE)</f>
        <v>#N/A</v>
      </c>
      <c r="AP51" s="36" t="s">
        <v>1036</v>
      </c>
    </row>
    <row r="52" spans="1:42" s="133" customFormat="1" ht="12.75" customHeight="1" x14ac:dyDescent="0.2">
      <c r="A52" s="149">
        <v>45778</v>
      </c>
      <c r="B52" s="133" t="s">
        <v>40</v>
      </c>
      <c r="C52" s="133" t="s">
        <v>41</v>
      </c>
      <c r="D52" s="150">
        <v>25708224</v>
      </c>
      <c r="E52" s="150">
        <v>25106680</v>
      </c>
      <c r="F52" s="150" t="s">
        <v>985</v>
      </c>
      <c r="G52" s="166">
        <v>45794</v>
      </c>
      <c r="H52" s="133" t="s">
        <v>800</v>
      </c>
      <c r="I52" s="133" t="s">
        <v>801</v>
      </c>
      <c r="J52" s="133" t="s">
        <v>802</v>
      </c>
      <c r="K52" s="152">
        <v>100</v>
      </c>
      <c r="L52" s="153" t="s">
        <v>42</v>
      </c>
      <c r="M52" s="156">
        <v>100</v>
      </c>
      <c r="N52" s="156">
        <v>901217.31</v>
      </c>
      <c r="O52" s="156">
        <v>90121731</v>
      </c>
      <c r="P52" s="152">
        <v>90121731</v>
      </c>
      <c r="Q52" s="136">
        <v>0</v>
      </c>
      <c r="R52" s="136">
        <v>0</v>
      </c>
      <c r="S52" s="153" t="s">
        <v>43</v>
      </c>
      <c r="T52" s="136">
        <v>37136752.520000003</v>
      </c>
      <c r="U52" s="136">
        <v>37136752.520000003</v>
      </c>
      <c r="V52" s="136">
        <v>52984978.479999997</v>
      </c>
      <c r="W52" s="136">
        <v>0.58792677295499995</v>
      </c>
      <c r="X52" s="136">
        <v>52984978.479999997</v>
      </c>
      <c r="Y52" s="133" t="s">
        <v>69</v>
      </c>
      <c r="Z52" s="133" t="s">
        <v>46</v>
      </c>
      <c r="AA52" s="133">
        <v>2306510</v>
      </c>
      <c r="AB52" s="133" t="s">
        <v>803</v>
      </c>
      <c r="AC52" s="133" t="s">
        <v>154</v>
      </c>
      <c r="AD52" s="133" t="s">
        <v>155</v>
      </c>
      <c r="AE52" s="133">
        <v>0</v>
      </c>
      <c r="AF52" s="133" t="s">
        <v>798</v>
      </c>
      <c r="AG52" s="133" t="s">
        <v>69</v>
      </c>
      <c r="AH52" s="133" t="s">
        <v>46</v>
      </c>
      <c r="AI52" s="133" t="s">
        <v>69</v>
      </c>
      <c r="AJ52" s="133" t="s">
        <v>46</v>
      </c>
      <c r="AK52" s="133" t="s">
        <v>54</v>
      </c>
      <c r="AL52" s="133" t="s">
        <v>48</v>
      </c>
      <c r="AM52" s="133" t="s">
        <v>49</v>
      </c>
      <c r="AN52" s="133" t="str">
        <f>VLOOKUP(I52,Sheet1!A:D,4,FALSE)</f>
        <v>A210600</v>
      </c>
      <c r="AP52" s="36" t="s">
        <v>1036</v>
      </c>
    </row>
    <row r="53" spans="1:42" s="133" customFormat="1" ht="12.75" customHeight="1" x14ac:dyDescent="0.2">
      <c r="A53" s="149">
        <v>45778</v>
      </c>
      <c r="B53" s="133" t="s">
        <v>40</v>
      </c>
      <c r="C53" s="133" t="s">
        <v>41</v>
      </c>
      <c r="D53" s="150">
        <v>25708225</v>
      </c>
      <c r="E53" s="150">
        <v>25106682</v>
      </c>
      <c r="F53" s="150" t="s">
        <v>986</v>
      </c>
      <c r="G53" s="166">
        <v>45794</v>
      </c>
      <c r="H53" s="133" t="s">
        <v>800</v>
      </c>
      <c r="I53" s="133" t="s">
        <v>903</v>
      </c>
      <c r="J53" s="133" t="s">
        <v>904</v>
      </c>
      <c r="K53" s="152">
        <v>50</v>
      </c>
      <c r="L53" s="153" t="s">
        <v>42</v>
      </c>
      <c r="M53" s="156">
        <v>50</v>
      </c>
      <c r="N53" s="156">
        <v>861206</v>
      </c>
      <c r="O53" s="156">
        <v>43060300</v>
      </c>
      <c r="P53" s="152">
        <v>43060300</v>
      </c>
      <c r="Q53" s="136">
        <v>0</v>
      </c>
      <c r="R53" s="136">
        <v>0</v>
      </c>
      <c r="S53" s="153" t="s">
        <v>43</v>
      </c>
      <c r="T53" s="136">
        <v>31395490.27</v>
      </c>
      <c r="U53" s="136">
        <v>31395490.27</v>
      </c>
      <c r="V53" s="136">
        <v>11664809.73</v>
      </c>
      <c r="W53" s="136">
        <v>0.27089476222800002</v>
      </c>
      <c r="X53" s="136">
        <v>11664809.73</v>
      </c>
      <c r="Y53" s="133" t="s">
        <v>69</v>
      </c>
      <c r="Z53" s="133" t="s">
        <v>46</v>
      </c>
      <c r="AA53" s="133">
        <v>2306510</v>
      </c>
      <c r="AB53" s="133" t="s">
        <v>803</v>
      </c>
      <c r="AC53" s="133" t="s">
        <v>154</v>
      </c>
      <c r="AD53" s="133" t="s">
        <v>155</v>
      </c>
      <c r="AE53" s="133">
        <v>0</v>
      </c>
      <c r="AF53" s="133" t="s">
        <v>806</v>
      </c>
      <c r="AG53" s="133" t="s">
        <v>69</v>
      </c>
      <c r="AH53" s="133" t="s">
        <v>46</v>
      </c>
      <c r="AI53" s="133" t="s">
        <v>69</v>
      </c>
      <c r="AJ53" s="133" t="s">
        <v>46</v>
      </c>
      <c r="AK53" s="133" t="s">
        <v>54</v>
      </c>
      <c r="AL53" s="133" t="s">
        <v>48</v>
      </c>
      <c r="AM53" s="133" t="s">
        <v>49</v>
      </c>
      <c r="AN53" s="133" t="str">
        <f>VLOOKUP(I53,Sheet1!A:D,4,FALSE)</f>
        <v>A210600</v>
      </c>
      <c r="AP53" s="36" t="s">
        <v>1036</v>
      </c>
    </row>
    <row r="54" spans="1:42" s="133" customFormat="1" ht="12.75" customHeight="1" x14ac:dyDescent="0.2">
      <c r="A54" s="149">
        <v>45809</v>
      </c>
      <c r="B54" s="133" t="s">
        <v>40</v>
      </c>
      <c r="C54" s="133" t="s">
        <v>41</v>
      </c>
      <c r="D54" s="150">
        <v>25708283</v>
      </c>
      <c r="E54" s="150">
        <v>25106642</v>
      </c>
      <c r="F54" s="150" t="s">
        <v>961</v>
      </c>
      <c r="G54" s="166">
        <v>45819</v>
      </c>
      <c r="H54" s="133" t="s">
        <v>73</v>
      </c>
      <c r="I54" s="133" t="s">
        <v>51</v>
      </c>
      <c r="J54" s="133" t="s">
        <v>79</v>
      </c>
      <c r="K54" s="152">
        <v>270</v>
      </c>
      <c r="L54" s="153" t="s">
        <v>42</v>
      </c>
      <c r="M54" s="156">
        <v>270</v>
      </c>
      <c r="N54" s="156">
        <v>269465.3</v>
      </c>
      <c r="O54" s="156">
        <v>72755631</v>
      </c>
      <c r="P54" s="152">
        <v>72755631</v>
      </c>
      <c r="Q54" s="136">
        <v>0</v>
      </c>
      <c r="R54" s="136">
        <v>0</v>
      </c>
      <c r="S54" s="153" t="s">
        <v>43</v>
      </c>
      <c r="T54" s="136">
        <v>36665682.759999998</v>
      </c>
      <c r="U54" s="136">
        <v>36665682.759999998</v>
      </c>
      <c r="V54" s="136">
        <v>36089948.240000002</v>
      </c>
      <c r="W54" s="136">
        <v>0.496043367969</v>
      </c>
      <c r="X54" s="136">
        <v>36089948.240000002</v>
      </c>
      <c r="Y54" s="133" t="s">
        <v>66</v>
      </c>
      <c r="Z54" s="133" t="s">
        <v>44</v>
      </c>
      <c r="AA54" s="133">
        <v>15161</v>
      </c>
      <c r="AB54" s="133" t="s">
        <v>75</v>
      </c>
      <c r="AC54" s="133" t="s">
        <v>56</v>
      </c>
      <c r="AD54" s="133" t="s">
        <v>77</v>
      </c>
      <c r="AE54" s="133">
        <v>0</v>
      </c>
      <c r="AF54" s="133" t="s">
        <v>76</v>
      </c>
      <c r="AG54" s="133" t="s">
        <v>69</v>
      </c>
      <c r="AH54" s="133" t="s">
        <v>46</v>
      </c>
      <c r="AI54" s="133" t="s">
        <v>69</v>
      </c>
      <c r="AJ54" s="133" t="s">
        <v>46</v>
      </c>
      <c r="AK54" s="133" t="s">
        <v>47</v>
      </c>
      <c r="AL54" s="133" t="s">
        <v>48</v>
      </c>
      <c r="AM54" s="133" t="s">
        <v>49</v>
      </c>
      <c r="AN54" s="133" t="str">
        <f>VLOOKUP(I54,Sheet1!A:D,4,FALSE)</f>
        <v>A210600</v>
      </c>
      <c r="AP54" s="36" t="s">
        <v>1080</v>
      </c>
    </row>
    <row r="55" spans="1:42" s="133" customFormat="1" ht="12.75" customHeight="1" x14ac:dyDescent="0.2">
      <c r="A55" s="149">
        <v>45809</v>
      </c>
      <c r="B55" s="133" t="s">
        <v>40</v>
      </c>
      <c r="C55" s="133" t="s">
        <v>41</v>
      </c>
      <c r="D55" s="150">
        <v>25708284</v>
      </c>
      <c r="E55" s="150">
        <v>25106718</v>
      </c>
      <c r="F55" s="150" t="s">
        <v>1078</v>
      </c>
      <c r="G55" s="166">
        <v>45819</v>
      </c>
      <c r="H55" s="133" t="s">
        <v>808</v>
      </c>
      <c r="I55" s="133" t="s">
        <v>456</v>
      </c>
      <c r="J55" s="133" t="s">
        <v>794</v>
      </c>
      <c r="K55" s="152">
        <v>150</v>
      </c>
      <c r="L55" s="153" t="s">
        <v>42</v>
      </c>
      <c r="M55" s="156">
        <v>150</v>
      </c>
      <c r="N55" s="156">
        <v>510327</v>
      </c>
      <c r="O55" s="156">
        <v>76549050</v>
      </c>
      <c r="P55" s="152">
        <v>76549050</v>
      </c>
      <c r="Q55" s="136">
        <v>0</v>
      </c>
      <c r="R55" s="136">
        <v>0</v>
      </c>
      <c r="S55" s="153" t="s">
        <v>43</v>
      </c>
      <c r="T55" s="136">
        <v>28967101.859999999</v>
      </c>
      <c r="U55" s="136">
        <v>28967101.859999999</v>
      </c>
      <c r="V55" s="136">
        <v>47581948.140000001</v>
      </c>
      <c r="W55" s="136">
        <v>0.62158770278599995</v>
      </c>
      <c r="X55" s="136">
        <v>47581948.140000001</v>
      </c>
      <c r="Y55" s="133" t="s">
        <v>69</v>
      </c>
      <c r="Z55" s="133" t="s">
        <v>46</v>
      </c>
      <c r="AA55" s="133">
        <v>2306511</v>
      </c>
      <c r="AB55" s="133" t="s">
        <v>810</v>
      </c>
      <c r="AC55" s="133" t="s">
        <v>56</v>
      </c>
      <c r="AD55" s="133" t="s">
        <v>77</v>
      </c>
      <c r="AE55" s="133">
        <v>0</v>
      </c>
      <c r="AF55" s="133" t="s">
        <v>78</v>
      </c>
      <c r="AG55" s="133" t="s">
        <v>69</v>
      </c>
      <c r="AH55" s="133" t="s">
        <v>46</v>
      </c>
      <c r="AI55" s="133" t="s">
        <v>69</v>
      </c>
      <c r="AJ55" s="133" t="s">
        <v>46</v>
      </c>
      <c r="AK55" s="133" t="s">
        <v>54</v>
      </c>
      <c r="AL55" s="133" t="s">
        <v>48</v>
      </c>
      <c r="AM55" s="133" t="s">
        <v>49</v>
      </c>
      <c r="AN55" s="133" t="str">
        <f>VLOOKUP(I55,Sheet1!A:D,4,FALSE)</f>
        <v>A210600</v>
      </c>
      <c r="AP55" s="36" t="s">
        <v>1080</v>
      </c>
    </row>
    <row r="56" spans="1:42" s="133" customFormat="1" ht="12.75" customHeight="1" x14ac:dyDescent="0.2">
      <c r="A56" s="149">
        <v>45809</v>
      </c>
      <c r="B56" s="133" t="s">
        <v>40</v>
      </c>
      <c r="C56" s="133" t="s">
        <v>41</v>
      </c>
      <c r="D56" s="150">
        <v>25708285</v>
      </c>
      <c r="E56" s="150">
        <v>25106647</v>
      </c>
      <c r="F56" s="150" t="s">
        <v>962</v>
      </c>
      <c r="G56" s="166">
        <v>45819</v>
      </c>
      <c r="H56" s="133" t="s">
        <v>73</v>
      </c>
      <c r="I56" s="133" t="s">
        <v>62</v>
      </c>
      <c r="J56" s="133" t="s">
        <v>83</v>
      </c>
      <c r="K56" s="152">
        <v>500</v>
      </c>
      <c r="L56" s="153" t="s">
        <v>42</v>
      </c>
      <c r="M56" s="156">
        <v>500</v>
      </c>
      <c r="N56" s="156">
        <v>238562</v>
      </c>
      <c r="O56" s="156">
        <v>119281000</v>
      </c>
      <c r="P56" s="152">
        <v>119281000</v>
      </c>
      <c r="Q56" s="136">
        <v>0</v>
      </c>
      <c r="R56" s="136">
        <v>0</v>
      </c>
      <c r="S56" s="153" t="s">
        <v>43</v>
      </c>
      <c r="T56" s="136">
        <v>70201451.879999995</v>
      </c>
      <c r="U56" s="136">
        <v>70201451.879999995</v>
      </c>
      <c r="V56" s="136">
        <v>49079548.119999997</v>
      </c>
      <c r="W56" s="136">
        <v>0.411461574936</v>
      </c>
      <c r="X56" s="136">
        <v>49079548.119999997</v>
      </c>
      <c r="Y56" s="133" t="s">
        <v>66</v>
      </c>
      <c r="Z56" s="133" t="s">
        <v>44</v>
      </c>
      <c r="AA56" s="133">
        <v>15161</v>
      </c>
      <c r="AB56" s="133" t="s">
        <v>75</v>
      </c>
      <c r="AC56" s="133" t="s">
        <v>56</v>
      </c>
      <c r="AD56" s="133" t="s">
        <v>77</v>
      </c>
      <c r="AE56" s="133">
        <v>0</v>
      </c>
      <c r="AF56" s="133" t="s">
        <v>76</v>
      </c>
      <c r="AG56" s="133" t="s">
        <v>69</v>
      </c>
      <c r="AH56" s="133" t="s">
        <v>46</v>
      </c>
      <c r="AI56" s="133" t="s">
        <v>69</v>
      </c>
      <c r="AJ56" s="133" t="s">
        <v>46</v>
      </c>
      <c r="AK56" s="133" t="s">
        <v>47</v>
      </c>
      <c r="AL56" s="133" t="s">
        <v>48</v>
      </c>
      <c r="AM56" s="133" t="s">
        <v>49</v>
      </c>
      <c r="AN56" s="133" t="str">
        <f>VLOOKUP(I56,Sheet1!A:D,4,FALSE)</f>
        <v>A210600</v>
      </c>
      <c r="AP56" s="36" t="s">
        <v>1080</v>
      </c>
    </row>
    <row r="57" spans="1:42" s="133" customFormat="1" ht="14.25" x14ac:dyDescent="0.2">
      <c r="A57" s="149">
        <v>45809</v>
      </c>
      <c r="B57" s="133" t="s">
        <v>40</v>
      </c>
      <c r="C57" s="133" t="s">
        <v>41</v>
      </c>
      <c r="D57" s="150">
        <v>25708286</v>
      </c>
      <c r="E57" s="150">
        <v>25106764</v>
      </c>
      <c r="F57" s="150" t="s">
        <v>1079</v>
      </c>
      <c r="G57" s="166">
        <v>45819</v>
      </c>
      <c r="H57" s="133" t="s">
        <v>73</v>
      </c>
      <c r="I57" s="133" t="s">
        <v>52</v>
      </c>
      <c r="J57" s="133" t="s">
        <v>80</v>
      </c>
      <c r="K57" s="152">
        <v>500</v>
      </c>
      <c r="L57" s="153" t="s">
        <v>42</v>
      </c>
      <c r="M57" s="156">
        <v>500</v>
      </c>
      <c r="N57" s="156">
        <v>337887.36</v>
      </c>
      <c r="O57" s="156">
        <v>168943680</v>
      </c>
      <c r="P57" s="152">
        <v>168943680</v>
      </c>
      <c r="Q57" s="136">
        <v>0</v>
      </c>
      <c r="R57" s="136">
        <v>0</v>
      </c>
      <c r="S57" s="153" t="s">
        <v>43</v>
      </c>
      <c r="T57" s="136">
        <v>74204253.129999995</v>
      </c>
      <c r="U57" s="136">
        <v>74204253.129999995</v>
      </c>
      <c r="V57" s="136">
        <v>94739426.870000005</v>
      </c>
      <c r="W57" s="136">
        <v>0.56077520550000004</v>
      </c>
      <c r="X57" s="136">
        <v>94739426.870000005</v>
      </c>
      <c r="Y57" s="133" t="s">
        <v>66</v>
      </c>
      <c r="Z57" s="133" t="s">
        <v>44</v>
      </c>
      <c r="AA57" s="133">
        <v>15161</v>
      </c>
      <c r="AB57" s="133" t="s">
        <v>75</v>
      </c>
      <c r="AC57" s="133" t="s">
        <v>56</v>
      </c>
      <c r="AD57" s="133" t="s">
        <v>77</v>
      </c>
      <c r="AE57" s="133">
        <v>0</v>
      </c>
      <c r="AF57" s="133" t="s">
        <v>76</v>
      </c>
      <c r="AG57" s="133" t="s">
        <v>69</v>
      </c>
      <c r="AH57" s="133" t="s">
        <v>46</v>
      </c>
      <c r="AI57" s="133" t="s">
        <v>69</v>
      </c>
      <c r="AJ57" s="133" t="s">
        <v>46</v>
      </c>
      <c r="AK57" s="133" t="s">
        <v>47</v>
      </c>
      <c r="AL57" s="133" t="s">
        <v>48</v>
      </c>
      <c r="AM57" s="133" t="s">
        <v>49</v>
      </c>
      <c r="AN57" s="133" t="str">
        <f>VLOOKUP(I57,Sheet1!A:D,4,FALSE)</f>
        <v>A210600</v>
      </c>
      <c r="AP57" s="36" t="s">
        <v>1080</v>
      </c>
    </row>
    <row r="58" spans="1:42" s="133" customFormat="1" x14ac:dyDescent="0.25">
      <c r="A58" s="149">
        <v>45809</v>
      </c>
      <c r="B58" s="133" t="s">
        <v>40</v>
      </c>
      <c r="C58" s="133" t="s">
        <v>41</v>
      </c>
      <c r="D58" s="150">
        <v>25708289</v>
      </c>
      <c r="E58" s="150">
        <v>25106719</v>
      </c>
      <c r="F58" s="150" t="s">
        <v>1086</v>
      </c>
      <c r="G58" s="166">
        <v>45820</v>
      </c>
      <c r="H58" s="133" t="s">
        <v>808</v>
      </c>
      <c r="I58" s="133" t="s">
        <v>456</v>
      </c>
      <c r="J58" s="133" t="s">
        <v>794</v>
      </c>
      <c r="K58" s="152">
        <v>750</v>
      </c>
      <c r="L58" s="153" t="s">
        <v>42</v>
      </c>
      <c r="M58" s="156">
        <v>750</v>
      </c>
      <c r="N58" s="156">
        <v>349980</v>
      </c>
      <c r="O58" s="156">
        <v>262485000</v>
      </c>
      <c r="P58" s="152">
        <v>262485000</v>
      </c>
      <c r="Q58" s="136">
        <v>0</v>
      </c>
      <c r="R58" s="136">
        <v>0</v>
      </c>
      <c r="S58" s="153" t="s">
        <v>43</v>
      </c>
      <c r="T58" s="136">
        <v>144835509.30000001</v>
      </c>
      <c r="U58" s="136">
        <v>144835509.30000001</v>
      </c>
      <c r="V58" s="136">
        <v>117649490.7</v>
      </c>
      <c r="W58" s="136">
        <v>0.44821414823700001</v>
      </c>
      <c r="X58" s="136">
        <v>117649490.7</v>
      </c>
      <c r="Y58" s="133" t="s">
        <v>69</v>
      </c>
      <c r="Z58" s="133" t="s">
        <v>46</v>
      </c>
      <c r="AA58" s="133">
        <v>2306511</v>
      </c>
      <c r="AB58" s="133" t="s">
        <v>810</v>
      </c>
      <c r="AC58" s="133" t="s">
        <v>56</v>
      </c>
      <c r="AD58" s="133" t="s">
        <v>77</v>
      </c>
      <c r="AE58" s="133">
        <v>0</v>
      </c>
      <c r="AF58" s="133" t="s">
        <v>78</v>
      </c>
      <c r="AG58" s="133" t="s">
        <v>69</v>
      </c>
      <c r="AH58" s="133" t="s">
        <v>46</v>
      </c>
      <c r="AI58" s="133" t="s">
        <v>69</v>
      </c>
      <c r="AJ58" s="133" t="s">
        <v>46</v>
      </c>
      <c r="AK58" s="133" t="s">
        <v>54</v>
      </c>
      <c r="AL58" s="133" t="s">
        <v>48</v>
      </c>
      <c r="AM58" s="133" t="s">
        <v>49</v>
      </c>
      <c r="AN58" s="133" t="str">
        <f>VLOOKUP(I58,Sheet1!A:D,4,FALSE)</f>
        <v>A210600</v>
      </c>
      <c r="AP58" s="4" t="s">
        <v>1099</v>
      </c>
    </row>
    <row r="59" spans="1:42" s="133" customFormat="1" x14ac:dyDescent="0.25">
      <c r="A59" s="149">
        <v>45809</v>
      </c>
      <c r="B59" s="133" t="s">
        <v>40</v>
      </c>
      <c r="C59" s="133" t="s">
        <v>41</v>
      </c>
      <c r="D59" s="150">
        <v>25708295</v>
      </c>
      <c r="E59" s="150">
        <v>25106713</v>
      </c>
      <c r="F59" s="150" t="s">
        <v>1031</v>
      </c>
      <c r="G59" s="166">
        <v>45824</v>
      </c>
      <c r="H59" s="133" t="s">
        <v>800</v>
      </c>
      <c r="I59" s="133" t="s">
        <v>801</v>
      </c>
      <c r="J59" s="133" t="s">
        <v>802</v>
      </c>
      <c r="K59" s="152">
        <v>50</v>
      </c>
      <c r="L59" s="153" t="s">
        <v>42</v>
      </c>
      <c r="M59" s="156">
        <v>50</v>
      </c>
      <c r="N59" s="156">
        <v>926548</v>
      </c>
      <c r="O59" s="156">
        <v>46327400</v>
      </c>
      <c r="P59" s="152">
        <v>46327400</v>
      </c>
      <c r="Q59" s="136">
        <v>0</v>
      </c>
      <c r="R59" s="136">
        <v>0</v>
      </c>
      <c r="S59" s="153" t="s">
        <v>43</v>
      </c>
      <c r="T59" s="136">
        <v>19106248.43</v>
      </c>
      <c r="U59" s="136">
        <v>19106248.43</v>
      </c>
      <c r="V59" s="136">
        <v>27221151.57</v>
      </c>
      <c r="W59" s="136">
        <v>0.58758211274500005</v>
      </c>
      <c r="X59" s="136">
        <v>27221151.57</v>
      </c>
      <c r="Y59" s="133" t="s">
        <v>69</v>
      </c>
      <c r="Z59" s="133" t="s">
        <v>46</v>
      </c>
      <c r="AA59" s="133">
        <v>2306510</v>
      </c>
      <c r="AB59" s="133" t="s">
        <v>803</v>
      </c>
      <c r="AC59" s="133" t="s">
        <v>154</v>
      </c>
      <c r="AD59" s="133" t="s">
        <v>155</v>
      </c>
      <c r="AE59" s="133">
        <v>0</v>
      </c>
      <c r="AF59" s="133" t="s">
        <v>798</v>
      </c>
      <c r="AG59" s="133" t="s">
        <v>69</v>
      </c>
      <c r="AH59" s="133" t="s">
        <v>46</v>
      </c>
      <c r="AI59" s="133" t="s">
        <v>69</v>
      </c>
      <c r="AJ59" s="133" t="s">
        <v>46</v>
      </c>
      <c r="AK59" s="133" t="s">
        <v>54</v>
      </c>
      <c r="AL59" s="133" t="s">
        <v>48</v>
      </c>
      <c r="AM59" s="133" t="s">
        <v>49</v>
      </c>
      <c r="AN59" s="133" t="str">
        <f>VLOOKUP(I59,Sheet1!A:D,4,FALSE)</f>
        <v>A210600</v>
      </c>
      <c r="AP59" s="4" t="s">
        <v>1099</v>
      </c>
    </row>
    <row r="60" spans="1:42" s="133" customFormat="1" x14ac:dyDescent="0.25">
      <c r="A60" s="149">
        <v>45809</v>
      </c>
      <c r="B60" s="133" t="s">
        <v>40</v>
      </c>
      <c r="C60" s="133" t="s">
        <v>41</v>
      </c>
      <c r="D60" s="150">
        <v>25708296</v>
      </c>
      <c r="E60" s="150">
        <v>25106736</v>
      </c>
      <c r="F60" s="150" t="s">
        <v>1092</v>
      </c>
      <c r="G60" s="166">
        <v>45824</v>
      </c>
      <c r="H60" s="133" t="s">
        <v>808</v>
      </c>
      <c r="I60" s="133" t="s">
        <v>99</v>
      </c>
      <c r="J60" s="133" t="s">
        <v>809</v>
      </c>
      <c r="K60" s="152">
        <v>50</v>
      </c>
      <c r="L60" s="153" t="s">
        <v>42</v>
      </c>
      <c r="M60" s="156">
        <v>50</v>
      </c>
      <c r="N60" s="156">
        <v>518568</v>
      </c>
      <c r="O60" s="156">
        <v>25928400</v>
      </c>
      <c r="P60" s="152">
        <v>25928400</v>
      </c>
      <c r="Q60" s="136">
        <v>0</v>
      </c>
      <c r="R60" s="136">
        <v>0</v>
      </c>
      <c r="S60" s="153" t="s">
        <v>43</v>
      </c>
      <c r="T60" s="136">
        <v>17986463.73</v>
      </c>
      <c r="U60" s="136">
        <v>17986463.73</v>
      </c>
      <c r="V60" s="136">
        <v>7941936.2699999996</v>
      </c>
      <c r="W60" s="136">
        <v>0.30630259753700001</v>
      </c>
      <c r="X60" s="136">
        <v>7941936.2699999996</v>
      </c>
      <c r="Y60" s="133" t="s">
        <v>69</v>
      </c>
      <c r="Z60" s="133" t="s">
        <v>46</v>
      </c>
      <c r="AA60" s="133">
        <v>2306511</v>
      </c>
      <c r="AB60" s="133" t="s">
        <v>810</v>
      </c>
      <c r="AC60" s="133" t="s">
        <v>56</v>
      </c>
      <c r="AD60" s="133" t="s">
        <v>77</v>
      </c>
      <c r="AE60" s="133">
        <v>0</v>
      </c>
      <c r="AF60" s="133" t="s">
        <v>806</v>
      </c>
      <c r="AG60" s="133" t="s">
        <v>69</v>
      </c>
      <c r="AH60" s="133" t="s">
        <v>46</v>
      </c>
      <c r="AI60" s="133" t="s">
        <v>69</v>
      </c>
      <c r="AJ60" s="133" t="s">
        <v>46</v>
      </c>
      <c r="AK60" s="133" t="s">
        <v>54</v>
      </c>
      <c r="AL60" s="133" t="s">
        <v>48</v>
      </c>
      <c r="AM60" s="133" t="s">
        <v>49</v>
      </c>
      <c r="AN60" s="133" t="str">
        <f>VLOOKUP(I60,Sheet1!A:D,4,FALSE)</f>
        <v>A210600</v>
      </c>
      <c r="AP60" s="4" t="s">
        <v>1099</v>
      </c>
    </row>
    <row r="61" spans="1:42" s="133" customFormat="1" x14ac:dyDescent="0.25">
      <c r="A61" s="149">
        <v>45809</v>
      </c>
      <c r="B61" s="133" t="s">
        <v>40</v>
      </c>
      <c r="C61" s="133" t="s">
        <v>41</v>
      </c>
      <c r="D61" s="150">
        <v>25708297</v>
      </c>
      <c r="E61" s="150">
        <v>25106788</v>
      </c>
      <c r="F61" s="150" t="s">
        <v>1093</v>
      </c>
      <c r="G61" s="166">
        <v>45824</v>
      </c>
      <c r="H61" s="133" t="s">
        <v>73</v>
      </c>
      <c r="I61" s="133" t="s">
        <v>282</v>
      </c>
      <c r="J61" s="133" t="s">
        <v>1094</v>
      </c>
      <c r="K61" s="152">
        <v>520</v>
      </c>
      <c r="L61" s="153" t="s">
        <v>42</v>
      </c>
      <c r="M61" s="156">
        <v>520</v>
      </c>
      <c r="N61" s="156">
        <v>304561.5</v>
      </c>
      <c r="O61" s="156">
        <v>158371980</v>
      </c>
      <c r="P61" s="152">
        <v>158371980</v>
      </c>
      <c r="Q61" s="136">
        <v>0</v>
      </c>
      <c r="R61" s="136">
        <v>0</v>
      </c>
      <c r="S61" s="153" t="s">
        <v>43</v>
      </c>
      <c r="T61" s="136">
        <v>120427478.11</v>
      </c>
      <c r="U61" s="136">
        <v>120427478.11</v>
      </c>
      <c r="V61" s="136">
        <v>37944501.890000001</v>
      </c>
      <c r="W61" s="136">
        <v>0.23959100523900001</v>
      </c>
      <c r="X61" s="136">
        <v>37944501.890000001</v>
      </c>
      <c r="Y61" s="133" t="s">
        <v>66</v>
      </c>
      <c r="Z61" s="133" t="s">
        <v>44</v>
      </c>
      <c r="AA61" s="133">
        <v>15161</v>
      </c>
      <c r="AB61" s="133" t="s">
        <v>75</v>
      </c>
      <c r="AC61" s="133" t="s">
        <v>56</v>
      </c>
      <c r="AD61" s="133" t="s">
        <v>77</v>
      </c>
      <c r="AE61" s="133">
        <v>0</v>
      </c>
      <c r="AF61" s="133" t="s">
        <v>798</v>
      </c>
      <c r="AG61" s="133" t="s">
        <v>69</v>
      </c>
      <c r="AH61" s="133" t="s">
        <v>46</v>
      </c>
      <c r="AI61" s="133" t="s">
        <v>69</v>
      </c>
      <c r="AJ61" s="133" t="s">
        <v>46</v>
      </c>
      <c r="AK61" s="133" t="s">
        <v>47</v>
      </c>
      <c r="AL61" s="133" t="s">
        <v>48</v>
      </c>
      <c r="AM61" s="133" t="s">
        <v>49</v>
      </c>
      <c r="AN61" s="133" t="str">
        <f>VLOOKUP(I61,Sheet1!A:D,4,FALSE)</f>
        <v>A210600</v>
      </c>
      <c r="AP61" s="4" t="s">
        <v>1099</v>
      </c>
    </row>
    <row r="62" spans="1:42" s="133" customFormat="1" x14ac:dyDescent="0.25">
      <c r="A62" s="149">
        <v>45809</v>
      </c>
      <c r="B62" s="133" t="s">
        <v>40</v>
      </c>
      <c r="C62" s="133" t="s">
        <v>41</v>
      </c>
      <c r="D62" s="150">
        <v>25708299</v>
      </c>
      <c r="E62" s="150">
        <v>25106750</v>
      </c>
      <c r="F62" s="150" t="s">
        <v>1097</v>
      </c>
      <c r="G62" s="166">
        <v>45824</v>
      </c>
      <c r="H62" s="133" t="s">
        <v>73</v>
      </c>
      <c r="I62" s="133" t="s">
        <v>310</v>
      </c>
      <c r="J62" s="133" t="s">
        <v>1098</v>
      </c>
      <c r="K62" s="152">
        <v>60</v>
      </c>
      <c r="L62" s="153" t="s">
        <v>42</v>
      </c>
      <c r="M62" s="156">
        <v>60</v>
      </c>
      <c r="N62" s="156">
        <v>759652</v>
      </c>
      <c r="O62" s="156">
        <v>45579120</v>
      </c>
      <c r="P62" s="152">
        <v>45579120</v>
      </c>
      <c r="Q62" s="136">
        <v>0</v>
      </c>
      <c r="R62" s="136">
        <v>0</v>
      </c>
      <c r="S62" s="153" t="s">
        <v>43</v>
      </c>
      <c r="T62" s="136">
        <v>21599141.280000001</v>
      </c>
      <c r="U62" s="136">
        <v>21599141.280000001</v>
      </c>
      <c r="V62" s="136">
        <v>23979978.719999999</v>
      </c>
      <c r="W62" s="136">
        <v>0.52611763281000001</v>
      </c>
      <c r="X62" s="136">
        <v>23979978.719999999</v>
      </c>
      <c r="Y62" s="133" t="s">
        <v>66</v>
      </c>
      <c r="Z62" s="133" t="s">
        <v>44</v>
      </c>
      <c r="AA62" s="133">
        <v>15161</v>
      </c>
      <c r="AB62" s="133" t="s">
        <v>75</v>
      </c>
      <c r="AC62" s="133" t="s">
        <v>56</v>
      </c>
      <c r="AD62" s="133" t="s">
        <v>77</v>
      </c>
      <c r="AE62" s="133">
        <v>0</v>
      </c>
      <c r="AF62" s="133" t="s">
        <v>78</v>
      </c>
      <c r="AG62" s="133" t="s">
        <v>69</v>
      </c>
      <c r="AH62" s="133" t="s">
        <v>46</v>
      </c>
      <c r="AI62" s="133" t="s">
        <v>69</v>
      </c>
      <c r="AJ62" s="133" t="s">
        <v>46</v>
      </c>
      <c r="AK62" s="133" t="s">
        <v>54</v>
      </c>
      <c r="AL62" s="133" t="s">
        <v>48</v>
      </c>
      <c r="AM62" s="133" t="s">
        <v>49</v>
      </c>
      <c r="AN62" s="133" t="str">
        <f>VLOOKUP(I62,Sheet1!A:D,4,FALSE)</f>
        <v>A210600</v>
      </c>
      <c r="AP62" s="4" t="s">
        <v>1099</v>
      </c>
    </row>
    <row r="63" spans="1:42" s="133" customFormat="1" x14ac:dyDescent="0.25">
      <c r="A63" s="149">
        <v>45839</v>
      </c>
      <c r="B63" s="133" t="s">
        <v>40</v>
      </c>
      <c r="C63" s="133" t="s">
        <v>41</v>
      </c>
      <c r="D63" s="150">
        <v>25708340</v>
      </c>
      <c r="E63" s="150">
        <v>25106764</v>
      </c>
      <c r="F63" s="150" t="s">
        <v>1079</v>
      </c>
      <c r="G63" s="166">
        <v>45840</v>
      </c>
      <c r="H63" s="133" t="s">
        <v>73</v>
      </c>
      <c r="I63" s="133" t="s">
        <v>52</v>
      </c>
      <c r="J63" s="133" t="s">
        <v>80</v>
      </c>
      <c r="K63" s="152">
        <v>390</v>
      </c>
      <c r="L63" s="153" t="s">
        <v>42</v>
      </c>
      <c r="M63" s="156">
        <v>390</v>
      </c>
      <c r="N63" s="156">
        <v>337887.36</v>
      </c>
      <c r="O63" s="156">
        <v>131776070.40000001</v>
      </c>
      <c r="P63" s="152">
        <v>131776070.40000001</v>
      </c>
      <c r="Q63" s="136">
        <v>0</v>
      </c>
      <c r="R63" s="136">
        <v>0</v>
      </c>
      <c r="S63" s="153" t="s">
        <v>43</v>
      </c>
      <c r="T63" s="136">
        <v>57880787.07</v>
      </c>
      <c r="U63" s="136">
        <v>57880787.07</v>
      </c>
      <c r="V63" s="136">
        <v>73895283.329999998</v>
      </c>
      <c r="W63" s="136">
        <v>0.56076405302999999</v>
      </c>
      <c r="X63" s="136">
        <v>73895283.329999998</v>
      </c>
      <c r="Y63" s="133" t="s">
        <v>66</v>
      </c>
      <c r="Z63" s="133" t="s">
        <v>44</v>
      </c>
      <c r="AA63" s="133">
        <v>15161</v>
      </c>
      <c r="AB63" s="133" t="s">
        <v>75</v>
      </c>
      <c r="AC63" s="133" t="s">
        <v>56</v>
      </c>
      <c r="AD63" s="133" t="s">
        <v>77</v>
      </c>
      <c r="AE63" s="133">
        <v>0</v>
      </c>
      <c r="AF63" s="133" t="s">
        <v>76</v>
      </c>
      <c r="AG63" s="133" t="s">
        <v>69</v>
      </c>
      <c r="AH63" s="133" t="s">
        <v>46</v>
      </c>
      <c r="AI63" s="133" t="s">
        <v>69</v>
      </c>
      <c r="AJ63" s="133" t="s">
        <v>46</v>
      </c>
      <c r="AK63" s="133" t="s">
        <v>47</v>
      </c>
      <c r="AL63" s="133" t="s">
        <v>48</v>
      </c>
      <c r="AM63" s="133" t="s">
        <v>49</v>
      </c>
      <c r="AN63" s="133" t="str">
        <f>VLOOKUP(I63,Sheet1!A:D,4,FALSE)</f>
        <v>A210600</v>
      </c>
      <c r="AP63" s="4" t="s">
        <v>1130</v>
      </c>
    </row>
    <row r="64" spans="1:42" s="133" customFormat="1" x14ac:dyDescent="0.25">
      <c r="A64" s="149">
        <v>45839</v>
      </c>
      <c r="B64" s="133" t="s">
        <v>40</v>
      </c>
      <c r="C64" s="133" t="s">
        <v>41</v>
      </c>
      <c r="D64" s="150">
        <v>25708341</v>
      </c>
      <c r="E64" s="150">
        <v>25106772</v>
      </c>
      <c r="F64" s="150" t="s">
        <v>1127</v>
      </c>
      <c r="G64" s="166">
        <v>45840</v>
      </c>
      <c r="H64" s="133" t="s">
        <v>800</v>
      </c>
      <c r="I64" s="133" t="s">
        <v>470</v>
      </c>
      <c r="J64" s="133" t="s">
        <v>1018</v>
      </c>
      <c r="K64" s="152">
        <v>50</v>
      </c>
      <c r="L64" s="153" t="s">
        <v>42</v>
      </c>
      <c r="M64" s="156">
        <v>50</v>
      </c>
      <c r="N64" s="156">
        <v>1299697</v>
      </c>
      <c r="O64" s="156">
        <v>64984850</v>
      </c>
      <c r="P64" s="152">
        <v>64984850</v>
      </c>
      <c r="Q64" s="136">
        <v>0</v>
      </c>
      <c r="R64" s="136">
        <v>0</v>
      </c>
      <c r="S64" s="153" t="s">
        <v>43</v>
      </c>
      <c r="T64" s="136">
        <v>68471644</v>
      </c>
      <c r="U64" s="136">
        <v>68471644</v>
      </c>
      <c r="V64" s="136">
        <v>-3486794</v>
      </c>
      <c r="W64" s="136">
        <v>-5.3655490472000002E-2</v>
      </c>
      <c r="X64" s="136">
        <v>-3486794</v>
      </c>
      <c r="Y64" s="133" t="s">
        <v>69</v>
      </c>
      <c r="Z64" s="133" t="s">
        <v>46</v>
      </c>
      <c r="AA64" s="133">
        <v>2306510</v>
      </c>
      <c r="AB64" s="133" t="s">
        <v>803</v>
      </c>
      <c r="AC64" s="133" t="s">
        <v>154</v>
      </c>
      <c r="AD64" s="133" t="s">
        <v>155</v>
      </c>
      <c r="AE64" s="133">
        <v>0</v>
      </c>
      <c r="AF64" s="133" t="s">
        <v>78</v>
      </c>
      <c r="AG64" s="133" t="s">
        <v>69</v>
      </c>
      <c r="AH64" s="133" t="s">
        <v>46</v>
      </c>
      <c r="AI64" s="133" t="s">
        <v>69</v>
      </c>
      <c r="AJ64" s="133" t="s">
        <v>46</v>
      </c>
      <c r="AK64" s="133" t="s">
        <v>54</v>
      </c>
      <c r="AL64" s="133" t="s">
        <v>48</v>
      </c>
      <c r="AM64" s="133" t="s">
        <v>49</v>
      </c>
      <c r="AN64" s="133" t="str">
        <f>VLOOKUP(I64,Sheet1!A:D,4,FALSE)</f>
        <v>A210600</v>
      </c>
      <c r="AP64" s="4" t="s">
        <v>1130</v>
      </c>
    </row>
    <row r="65" spans="1:42" s="133" customFormat="1" x14ac:dyDescent="0.25">
      <c r="A65" s="149">
        <v>45839</v>
      </c>
      <c r="B65" s="133" t="s">
        <v>40</v>
      </c>
      <c r="C65" s="133" t="s">
        <v>41</v>
      </c>
      <c r="D65" s="150">
        <v>25708342</v>
      </c>
      <c r="E65" s="150">
        <v>25106786</v>
      </c>
      <c r="F65" s="150" t="s">
        <v>1128</v>
      </c>
      <c r="G65" s="166">
        <v>45840</v>
      </c>
      <c r="H65" s="133" t="s">
        <v>73</v>
      </c>
      <c r="I65" s="133" t="s">
        <v>51</v>
      </c>
      <c r="J65" s="133" t="s">
        <v>79</v>
      </c>
      <c r="K65" s="152">
        <v>500</v>
      </c>
      <c r="L65" s="153" t="s">
        <v>42</v>
      </c>
      <c r="M65" s="156">
        <v>500</v>
      </c>
      <c r="N65" s="156">
        <v>270575.40000000002</v>
      </c>
      <c r="O65" s="156">
        <v>135287700</v>
      </c>
      <c r="P65" s="152">
        <v>135287700</v>
      </c>
      <c r="Q65" s="136">
        <v>0</v>
      </c>
      <c r="R65" s="136">
        <v>0</v>
      </c>
      <c r="S65" s="153" t="s">
        <v>43</v>
      </c>
      <c r="T65" s="136">
        <v>67901422.269999996</v>
      </c>
      <c r="U65" s="136">
        <v>67901422.269999996</v>
      </c>
      <c r="V65" s="136">
        <v>67386277.730000004</v>
      </c>
      <c r="W65" s="136">
        <v>0.49809611464999998</v>
      </c>
      <c r="X65" s="136">
        <v>67386277.730000004</v>
      </c>
      <c r="Y65" s="133" t="s">
        <v>66</v>
      </c>
      <c r="Z65" s="133" t="s">
        <v>44</v>
      </c>
      <c r="AA65" s="133">
        <v>15161</v>
      </c>
      <c r="AB65" s="133" t="s">
        <v>75</v>
      </c>
      <c r="AC65" s="133" t="s">
        <v>56</v>
      </c>
      <c r="AD65" s="133" t="s">
        <v>77</v>
      </c>
      <c r="AE65" s="133">
        <v>0</v>
      </c>
      <c r="AF65" s="133" t="s">
        <v>76</v>
      </c>
      <c r="AG65" s="133" t="s">
        <v>69</v>
      </c>
      <c r="AH65" s="133" t="s">
        <v>46</v>
      </c>
      <c r="AI65" s="133" t="s">
        <v>69</v>
      </c>
      <c r="AJ65" s="133" t="s">
        <v>46</v>
      </c>
      <c r="AK65" s="133" t="s">
        <v>47</v>
      </c>
      <c r="AL65" s="133" t="s">
        <v>48</v>
      </c>
      <c r="AM65" s="133" t="s">
        <v>49</v>
      </c>
      <c r="AN65" s="133" t="str">
        <f>VLOOKUP(I65,Sheet1!A:D,4,FALSE)</f>
        <v>A210600</v>
      </c>
      <c r="AP65" s="4" t="s">
        <v>1130</v>
      </c>
    </row>
    <row r="66" spans="1:42" s="133" customFormat="1" x14ac:dyDescent="0.25">
      <c r="A66" s="149">
        <v>45839</v>
      </c>
      <c r="B66" s="133" t="s">
        <v>40</v>
      </c>
      <c r="C66" s="133" t="s">
        <v>41</v>
      </c>
      <c r="D66" s="150">
        <v>25708343</v>
      </c>
      <c r="E66" s="150">
        <v>25106800</v>
      </c>
      <c r="F66" s="150" t="s">
        <v>1129</v>
      </c>
      <c r="G66" s="166">
        <v>45840</v>
      </c>
      <c r="H66" s="133" t="s">
        <v>808</v>
      </c>
      <c r="I66" s="133" t="s">
        <v>99</v>
      </c>
      <c r="J66" s="133" t="s">
        <v>809</v>
      </c>
      <c r="K66" s="152">
        <v>50</v>
      </c>
      <c r="L66" s="153" t="s">
        <v>42</v>
      </c>
      <c r="M66" s="156">
        <v>50</v>
      </c>
      <c r="N66" s="156">
        <v>515406</v>
      </c>
      <c r="O66" s="156">
        <v>25770300</v>
      </c>
      <c r="P66" s="152">
        <v>25770300</v>
      </c>
      <c r="Q66" s="136">
        <v>0</v>
      </c>
      <c r="R66" s="136">
        <v>0</v>
      </c>
      <c r="S66" s="153" t="s">
        <v>43</v>
      </c>
      <c r="T66" s="136">
        <v>18509395</v>
      </c>
      <c r="U66" s="136">
        <v>18509395</v>
      </c>
      <c r="V66" s="136">
        <v>7260905</v>
      </c>
      <c r="W66" s="136">
        <v>0.28175477196600002</v>
      </c>
      <c r="X66" s="136">
        <v>7260905</v>
      </c>
      <c r="Y66" s="133" t="s">
        <v>69</v>
      </c>
      <c r="Z66" s="133" t="s">
        <v>46</v>
      </c>
      <c r="AA66" s="133">
        <v>2306511</v>
      </c>
      <c r="AB66" s="133" t="s">
        <v>810</v>
      </c>
      <c r="AC66" s="133" t="s">
        <v>56</v>
      </c>
      <c r="AD66" s="133" t="s">
        <v>77</v>
      </c>
      <c r="AE66" s="133">
        <v>0</v>
      </c>
      <c r="AF66" s="133" t="s">
        <v>806</v>
      </c>
      <c r="AG66" s="133" t="s">
        <v>69</v>
      </c>
      <c r="AH66" s="133" t="s">
        <v>46</v>
      </c>
      <c r="AI66" s="133" t="s">
        <v>69</v>
      </c>
      <c r="AJ66" s="133" t="s">
        <v>46</v>
      </c>
      <c r="AK66" s="133" t="s">
        <v>54</v>
      </c>
      <c r="AL66" s="133" t="s">
        <v>48</v>
      </c>
      <c r="AM66" s="133" t="s">
        <v>49</v>
      </c>
      <c r="AN66" s="133" t="str">
        <f>VLOOKUP(I66,Sheet1!A:D,4,FALSE)</f>
        <v>A210600</v>
      </c>
      <c r="AP66" s="4" t="s">
        <v>1130</v>
      </c>
    </row>
    <row r="67" spans="1:42" s="133" customFormat="1" x14ac:dyDescent="0.25">
      <c r="A67" s="149">
        <v>45839</v>
      </c>
      <c r="B67" s="133" t="s">
        <v>40</v>
      </c>
      <c r="C67" s="133" t="s">
        <v>41</v>
      </c>
      <c r="D67" s="150">
        <v>25708346</v>
      </c>
      <c r="E67" s="150">
        <v>25106789</v>
      </c>
      <c r="F67" s="150" t="s">
        <v>1132</v>
      </c>
      <c r="G67" s="166">
        <v>45846</v>
      </c>
      <c r="H67" s="133" t="s">
        <v>73</v>
      </c>
      <c r="I67" s="133" t="s">
        <v>429</v>
      </c>
      <c r="J67" s="133" t="s">
        <v>837</v>
      </c>
      <c r="K67" s="152">
        <v>247.5</v>
      </c>
      <c r="L67" s="153" t="s">
        <v>42</v>
      </c>
      <c r="M67" s="156">
        <v>247.5</v>
      </c>
      <c r="N67" s="156">
        <v>318924.90000000002</v>
      </c>
      <c r="O67" s="156">
        <v>78933912.75</v>
      </c>
      <c r="P67" s="152">
        <v>78933912.75</v>
      </c>
      <c r="Q67" s="136">
        <v>0</v>
      </c>
      <c r="R67" s="136">
        <v>0</v>
      </c>
      <c r="S67" s="153" t="s">
        <v>43</v>
      </c>
      <c r="T67" s="136">
        <v>45585200.93</v>
      </c>
      <c r="U67" s="136">
        <v>45585200.93</v>
      </c>
      <c r="V67" s="136">
        <v>33348711.82</v>
      </c>
      <c r="W67" s="136">
        <v>0.42248902478200001</v>
      </c>
      <c r="X67" s="136">
        <v>33348711.82</v>
      </c>
      <c r="Y67" s="133" t="s">
        <v>66</v>
      </c>
      <c r="Z67" s="133" t="s">
        <v>44</v>
      </c>
      <c r="AA67" s="133">
        <v>15161</v>
      </c>
      <c r="AB67" s="133" t="s">
        <v>75</v>
      </c>
      <c r="AC67" s="133" t="s">
        <v>56</v>
      </c>
      <c r="AD67" s="133" t="s">
        <v>77</v>
      </c>
      <c r="AE67" s="133">
        <v>0</v>
      </c>
      <c r="AF67" s="133" t="s">
        <v>838</v>
      </c>
      <c r="AG67" s="133" t="s">
        <v>839</v>
      </c>
      <c r="AH67" s="133" t="s">
        <v>840</v>
      </c>
      <c r="AI67" s="133" t="s">
        <v>69</v>
      </c>
      <c r="AJ67" s="133" t="s">
        <v>46</v>
      </c>
      <c r="AK67" s="133" t="s">
        <v>54</v>
      </c>
      <c r="AL67" s="133" t="s">
        <v>48</v>
      </c>
      <c r="AM67" s="133" t="s">
        <v>49</v>
      </c>
      <c r="AN67" s="133" t="str">
        <f>VLOOKUP(I67,Sheet1!A:D,4,FALSE)</f>
        <v>A210600</v>
      </c>
      <c r="AP67" s="4" t="s">
        <v>1142</v>
      </c>
    </row>
    <row r="68" spans="1:42" s="133" customFormat="1" x14ac:dyDescent="0.25">
      <c r="A68" s="149">
        <v>45839</v>
      </c>
      <c r="B68" s="133" t="s">
        <v>40</v>
      </c>
      <c r="C68" s="133" t="s">
        <v>41</v>
      </c>
      <c r="D68" s="150">
        <v>25708348</v>
      </c>
      <c r="E68" s="150">
        <v>25106794</v>
      </c>
      <c r="F68" s="150" t="s">
        <v>1135</v>
      </c>
      <c r="G68" s="166">
        <v>45845</v>
      </c>
      <c r="H68" s="133" t="s">
        <v>808</v>
      </c>
      <c r="I68" s="133" t="s">
        <v>106</v>
      </c>
      <c r="J68" s="133" t="s">
        <v>1136</v>
      </c>
      <c r="K68" s="152">
        <v>50</v>
      </c>
      <c r="L68" s="153" t="s">
        <v>42</v>
      </c>
      <c r="M68" s="156">
        <v>50</v>
      </c>
      <c r="N68" s="156">
        <v>582534</v>
      </c>
      <c r="O68" s="156">
        <v>29126700</v>
      </c>
      <c r="P68" s="152">
        <v>29126700</v>
      </c>
      <c r="Q68" s="136">
        <v>0</v>
      </c>
      <c r="R68" s="136">
        <v>0</v>
      </c>
      <c r="S68" s="153" t="s">
        <v>43</v>
      </c>
      <c r="T68" s="136">
        <v>19691859.300000001</v>
      </c>
      <c r="U68" s="136">
        <v>19691859.300000001</v>
      </c>
      <c r="V68" s="136">
        <v>9434840.6999999993</v>
      </c>
      <c r="W68" s="136">
        <v>0.32392412116699998</v>
      </c>
      <c r="X68" s="136">
        <v>9434840.6999999993</v>
      </c>
      <c r="Y68" s="133" t="s">
        <v>69</v>
      </c>
      <c r="Z68" s="133" t="s">
        <v>46</v>
      </c>
      <c r="AA68" s="133">
        <v>2306511</v>
      </c>
      <c r="AB68" s="133" t="s">
        <v>810</v>
      </c>
      <c r="AC68" s="133" t="s">
        <v>56</v>
      </c>
      <c r="AD68" s="133" t="s">
        <v>77</v>
      </c>
      <c r="AE68" s="133">
        <v>0</v>
      </c>
      <c r="AF68" s="133" t="s">
        <v>78</v>
      </c>
      <c r="AG68" s="133" t="s">
        <v>69</v>
      </c>
      <c r="AH68" s="133" t="s">
        <v>46</v>
      </c>
      <c r="AI68" s="133" t="s">
        <v>69</v>
      </c>
      <c r="AJ68" s="133" t="s">
        <v>46</v>
      </c>
      <c r="AK68" s="133" t="s">
        <v>54</v>
      </c>
      <c r="AL68" s="133" t="s">
        <v>48</v>
      </c>
      <c r="AM68" s="133" t="s">
        <v>49</v>
      </c>
      <c r="AN68" s="133" t="str">
        <f>VLOOKUP(I68,Sheet1!A:D,4,FALSE)</f>
        <v>A210600</v>
      </c>
      <c r="AP68" s="4" t="s">
        <v>1142</v>
      </c>
    </row>
    <row r="69" spans="1:42" s="133" customFormat="1" x14ac:dyDescent="0.25">
      <c r="A69" s="149">
        <v>45839</v>
      </c>
      <c r="B69" s="133" t="s">
        <v>40</v>
      </c>
      <c r="C69" s="133" t="s">
        <v>41</v>
      </c>
      <c r="D69" s="150">
        <v>25708349</v>
      </c>
      <c r="E69" s="150">
        <v>25106797</v>
      </c>
      <c r="F69" s="150" t="s">
        <v>1137</v>
      </c>
      <c r="G69" s="166">
        <v>45845</v>
      </c>
      <c r="H69" s="133" t="s">
        <v>800</v>
      </c>
      <c r="I69" s="133" t="s">
        <v>903</v>
      </c>
      <c r="J69" s="133" t="s">
        <v>904</v>
      </c>
      <c r="K69" s="152">
        <v>50</v>
      </c>
      <c r="L69" s="153" t="s">
        <v>42</v>
      </c>
      <c r="M69" s="156">
        <v>50</v>
      </c>
      <c r="N69" s="156">
        <v>855426</v>
      </c>
      <c r="O69" s="156">
        <v>42771300</v>
      </c>
      <c r="P69" s="152">
        <v>42771300</v>
      </c>
      <c r="Q69" s="136">
        <v>0</v>
      </c>
      <c r="R69" s="136">
        <v>0</v>
      </c>
      <c r="S69" s="153" t="s">
        <v>43</v>
      </c>
      <c r="T69" s="136">
        <v>19683888.98</v>
      </c>
      <c r="U69" s="136">
        <v>19683888.98</v>
      </c>
      <c r="V69" s="136">
        <v>23087411.02</v>
      </c>
      <c r="W69" s="136">
        <v>0.539787451398</v>
      </c>
      <c r="X69" s="136">
        <v>23087411.02</v>
      </c>
      <c r="Y69" s="133" t="s">
        <v>69</v>
      </c>
      <c r="Z69" s="133" t="s">
        <v>46</v>
      </c>
      <c r="AA69" s="133">
        <v>2306510</v>
      </c>
      <c r="AB69" s="133" t="s">
        <v>803</v>
      </c>
      <c r="AC69" s="133" t="s">
        <v>154</v>
      </c>
      <c r="AD69" s="133" t="s">
        <v>155</v>
      </c>
      <c r="AE69" s="133">
        <v>0</v>
      </c>
      <c r="AF69" s="133" t="s">
        <v>806</v>
      </c>
      <c r="AG69" s="133" t="s">
        <v>69</v>
      </c>
      <c r="AH69" s="133" t="s">
        <v>46</v>
      </c>
      <c r="AI69" s="133" t="s">
        <v>69</v>
      </c>
      <c r="AJ69" s="133" t="s">
        <v>46</v>
      </c>
      <c r="AK69" s="133" t="s">
        <v>54</v>
      </c>
      <c r="AL69" s="133" t="s">
        <v>48</v>
      </c>
      <c r="AM69" s="133" t="s">
        <v>49</v>
      </c>
      <c r="AN69" s="133" t="str">
        <f>VLOOKUP(I69,Sheet1!A:D,4,FALSE)</f>
        <v>A210600</v>
      </c>
      <c r="AP69" s="4" t="s">
        <v>1142</v>
      </c>
    </row>
    <row r="70" spans="1:42" s="133" customFormat="1" x14ac:dyDescent="0.25">
      <c r="A70" s="149">
        <v>45839</v>
      </c>
      <c r="B70" s="133" t="s">
        <v>40</v>
      </c>
      <c r="C70" s="133" t="s">
        <v>41</v>
      </c>
      <c r="D70" s="150">
        <v>25708350</v>
      </c>
      <c r="E70" s="150">
        <v>25106811</v>
      </c>
      <c r="F70" s="150" t="s">
        <v>1138</v>
      </c>
      <c r="G70" s="166">
        <v>45845</v>
      </c>
      <c r="H70" s="133" t="s">
        <v>73</v>
      </c>
      <c r="I70" s="133" t="s">
        <v>409</v>
      </c>
      <c r="J70" s="133" t="s">
        <v>1139</v>
      </c>
      <c r="K70" s="152">
        <v>20</v>
      </c>
      <c r="L70" s="153" t="s">
        <v>42</v>
      </c>
      <c r="M70" s="156">
        <v>20</v>
      </c>
      <c r="N70" s="156">
        <v>1089525.69</v>
      </c>
      <c r="O70" s="156">
        <v>21790513.800000001</v>
      </c>
      <c r="P70" s="152">
        <v>21790513.800000001</v>
      </c>
      <c r="Q70" s="136">
        <v>0</v>
      </c>
      <c r="R70" s="136">
        <v>0</v>
      </c>
      <c r="S70" s="153" t="s">
        <v>43</v>
      </c>
      <c r="T70" s="136">
        <v>11094329.67</v>
      </c>
      <c r="U70" s="136">
        <v>11094329.67</v>
      </c>
      <c r="V70" s="136">
        <v>10696184.130000001</v>
      </c>
      <c r="W70" s="136">
        <v>0.49086424616500002</v>
      </c>
      <c r="X70" s="136">
        <v>10696184.130000001</v>
      </c>
      <c r="Y70" s="133" t="s">
        <v>66</v>
      </c>
      <c r="Z70" s="133" t="s">
        <v>44</v>
      </c>
      <c r="AA70" s="133">
        <v>15161</v>
      </c>
      <c r="AB70" s="133" t="s">
        <v>75</v>
      </c>
      <c r="AC70" s="133" t="s">
        <v>56</v>
      </c>
      <c r="AD70" s="133" t="s">
        <v>77</v>
      </c>
      <c r="AE70" s="133">
        <v>0</v>
      </c>
      <c r="AF70" s="133" t="s">
        <v>1035</v>
      </c>
      <c r="AG70" s="133" t="s">
        <v>69</v>
      </c>
      <c r="AH70" s="133" t="s">
        <v>46</v>
      </c>
      <c r="AI70" s="133" t="s">
        <v>69</v>
      </c>
      <c r="AJ70" s="133" t="s">
        <v>46</v>
      </c>
      <c r="AK70" s="133" t="s">
        <v>54</v>
      </c>
      <c r="AL70" s="133" t="s">
        <v>48</v>
      </c>
      <c r="AM70" s="133" t="s">
        <v>49</v>
      </c>
      <c r="AN70" s="133" t="str">
        <f>VLOOKUP(I70,Sheet1!A:D,4,FALSE)</f>
        <v>A210600</v>
      </c>
      <c r="AP70" s="4" t="s">
        <v>1142</v>
      </c>
    </row>
    <row r="71" spans="1:42" s="133" customFormat="1" x14ac:dyDescent="0.25">
      <c r="A71" s="149">
        <v>45839</v>
      </c>
      <c r="B71" s="133" t="s">
        <v>40</v>
      </c>
      <c r="C71" s="133" t="s">
        <v>41</v>
      </c>
      <c r="D71" s="150">
        <v>25708351</v>
      </c>
      <c r="E71" s="150">
        <v>25106832</v>
      </c>
      <c r="F71" s="150" t="s">
        <v>1140</v>
      </c>
      <c r="G71" s="166">
        <v>45845</v>
      </c>
      <c r="H71" s="133" t="s">
        <v>808</v>
      </c>
      <c r="I71" s="133" t="s">
        <v>469</v>
      </c>
      <c r="J71" s="133" t="s">
        <v>1141</v>
      </c>
      <c r="K71" s="152">
        <v>40</v>
      </c>
      <c r="L71" s="153" t="s">
        <v>42</v>
      </c>
      <c r="M71" s="156">
        <v>40</v>
      </c>
      <c r="N71" s="156">
        <v>502274</v>
      </c>
      <c r="O71" s="156">
        <v>20090960</v>
      </c>
      <c r="P71" s="152">
        <v>20090960</v>
      </c>
      <c r="Q71" s="136">
        <v>0</v>
      </c>
      <c r="R71" s="136">
        <v>0</v>
      </c>
      <c r="S71" s="153" t="s">
        <v>43</v>
      </c>
      <c r="T71" s="136">
        <v>15904728.4</v>
      </c>
      <c r="U71" s="136">
        <v>15904728.4</v>
      </c>
      <c r="V71" s="136">
        <v>4186231.6</v>
      </c>
      <c r="W71" s="136">
        <v>0.20836394079699999</v>
      </c>
      <c r="X71" s="136">
        <v>4186231.6</v>
      </c>
      <c r="Y71" s="133" t="s">
        <v>69</v>
      </c>
      <c r="Z71" s="133" t="s">
        <v>46</v>
      </c>
      <c r="AA71" s="133">
        <v>2306511</v>
      </c>
      <c r="AB71" s="133" t="s">
        <v>810</v>
      </c>
      <c r="AC71" s="133" t="s">
        <v>56</v>
      </c>
      <c r="AD71" s="133" t="s">
        <v>77</v>
      </c>
      <c r="AE71" s="133">
        <v>0</v>
      </c>
      <c r="AF71" s="133" t="s">
        <v>78</v>
      </c>
      <c r="AG71" s="133" t="s">
        <v>69</v>
      </c>
      <c r="AH71" s="133" t="s">
        <v>46</v>
      </c>
      <c r="AI71" s="133" t="s">
        <v>69</v>
      </c>
      <c r="AJ71" s="133" t="s">
        <v>46</v>
      </c>
      <c r="AK71" s="133" t="s">
        <v>54</v>
      </c>
      <c r="AL71" s="133" t="s">
        <v>48</v>
      </c>
      <c r="AM71" s="133" t="s">
        <v>49</v>
      </c>
      <c r="AN71" s="133" t="str">
        <f>VLOOKUP(I71,Sheet1!A:D,4,FALSE)</f>
        <v>A210600</v>
      </c>
      <c r="AP71" s="4" t="s">
        <v>1142</v>
      </c>
    </row>
    <row r="72" spans="1:42" s="133" customFormat="1" ht="12.75" customHeight="1" x14ac:dyDescent="0.25">
      <c r="A72" s="149">
        <v>45839</v>
      </c>
      <c r="B72" s="133" t="s">
        <v>40</v>
      </c>
      <c r="C72" s="133" t="s">
        <v>41</v>
      </c>
      <c r="D72" s="150">
        <v>25708352</v>
      </c>
      <c r="E72" s="150">
        <v>25106787</v>
      </c>
      <c r="F72" s="150" t="s">
        <v>1143</v>
      </c>
      <c r="G72" s="166">
        <v>45840</v>
      </c>
      <c r="H72" s="133" t="s">
        <v>73</v>
      </c>
      <c r="I72" s="133" t="s">
        <v>50</v>
      </c>
      <c r="J72" s="133" t="s">
        <v>74</v>
      </c>
      <c r="K72" s="152">
        <v>160</v>
      </c>
      <c r="L72" s="153" t="s">
        <v>42</v>
      </c>
      <c r="M72" s="156">
        <v>160</v>
      </c>
      <c r="N72" s="156">
        <v>315561.84000000003</v>
      </c>
      <c r="O72" s="156">
        <v>50489894.399999999</v>
      </c>
      <c r="P72" s="152">
        <v>50489894.399999999</v>
      </c>
      <c r="Q72" s="136">
        <v>0</v>
      </c>
      <c r="R72" s="136">
        <v>0</v>
      </c>
      <c r="S72" s="153" t="s">
        <v>43</v>
      </c>
      <c r="T72" s="136">
        <v>25144938.98</v>
      </c>
      <c r="U72" s="136">
        <v>25144938.98</v>
      </c>
      <c r="V72" s="136">
        <v>25344955.420000002</v>
      </c>
      <c r="W72" s="136">
        <v>0.50198075716299995</v>
      </c>
      <c r="X72" s="136">
        <v>25344955.420000002</v>
      </c>
      <c r="Y72" s="133" t="s">
        <v>66</v>
      </c>
      <c r="Z72" s="133" t="s">
        <v>44</v>
      </c>
      <c r="AA72" s="133">
        <v>15161</v>
      </c>
      <c r="AB72" s="133" t="s">
        <v>75</v>
      </c>
      <c r="AC72" s="133" t="s">
        <v>56</v>
      </c>
      <c r="AD72" s="133" t="s">
        <v>77</v>
      </c>
      <c r="AE72" s="133">
        <v>0</v>
      </c>
      <c r="AF72" s="133" t="s">
        <v>76</v>
      </c>
      <c r="AG72" s="133" t="s">
        <v>69</v>
      </c>
      <c r="AH72" s="133" t="s">
        <v>46</v>
      </c>
      <c r="AI72" s="133" t="s">
        <v>69</v>
      </c>
      <c r="AJ72" s="133" t="s">
        <v>46</v>
      </c>
      <c r="AK72" s="133" t="s">
        <v>47</v>
      </c>
      <c r="AL72" s="133" t="s">
        <v>48</v>
      </c>
      <c r="AM72" s="133" t="s">
        <v>49</v>
      </c>
      <c r="AN72" s="133" t="str">
        <f>VLOOKUP(I72,Sheet1!A:D,4,FALSE)</f>
        <v>A210600</v>
      </c>
      <c r="AP72" s="4" t="s">
        <v>1145</v>
      </c>
    </row>
    <row r="73" spans="1:42" s="133" customFormat="1" ht="12.75" customHeight="1" x14ac:dyDescent="0.25">
      <c r="A73" s="149">
        <v>45839</v>
      </c>
      <c r="B73" s="133" t="s">
        <v>40</v>
      </c>
      <c r="C73" s="133" t="s">
        <v>41</v>
      </c>
      <c r="D73" s="150">
        <v>25708353</v>
      </c>
      <c r="E73" s="150">
        <v>25106796</v>
      </c>
      <c r="F73" s="150" t="s">
        <v>1144</v>
      </c>
      <c r="G73" s="166">
        <v>45845</v>
      </c>
      <c r="H73" s="133" t="s">
        <v>800</v>
      </c>
      <c r="I73" s="133" t="s">
        <v>801</v>
      </c>
      <c r="J73" s="133" t="s">
        <v>802</v>
      </c>
      <c r="K73" s="152">
        <v>50</v>
      </c>
      <c r="L73" s="153" t="s">
        <v>42</v>
      </c>
      <c r="M73" s="156">
        <v>50</v>
      </c>
      <c r="N73" s="156">
        <v>896903</v>
      </c>
      <c r="O73" s="156">
        <v>44845150</v>
      </c>
      <c r="P73" s="152">
        <v>44845150</v>
      </c>
      <c r="Q73" s="136">
        <v>0</v>
      </c>
      <c r="R73" s="136">
        <v>0</v>
      </c>
      <c r="S73" s="153" t="s">
        <v>43</v>
      </c>
      <c r="T73" s="136">
        <v>19106248.43</v>
      </c>
      <c r="U73" s="136">
        <v>19106248.43</v>
      </c>
      <c r="V73" s="136">
        <v>25738901.57</v>
      </c>
      <c r="W73" s="136">
        <v>0.57395061829399996</v>
      </c>
      <c r="X73" s="136">
        <v>25738901.57</v>
      </c>
      <c r="Y73" s="133" t="s">
        <v>69</v>
      </c>
      <c r="Z73" s="133" t="s">
        <v>46</v>
      </c>
      <c r="AA73" s="133">
        <v>2306510</v>
      </c>
      <c r="AB73" s="133" t="s">
        <v>803</v>
      </c>
      <c r="AC73" s="133" t="s">
        <v>154</v>
      </c>
      <c r="AD73" s="133" t="s">
        <v>155</v>
      </c>
      <c r="AE73" s="133">
        <v>0</v>
      </c>
      <c r="AF73" s="133" t="s">
        <v>798</v>
      </c>
      <c r="AG73" s="133" t="s">
        <v>69</v>
      </c>
      <c r="AH73" s="133" t="s">
        <v>46</v>
      </c>
      <c r="AI73" s="133" t="s">
        <v>69</v>
      </c>
      <c r="AJ73" s="133" t="s">
        <v>46</v>
      </c>
      <c r="AK73" s="133" t="s">
        <v>54</v>
      </c>
      <c r="AL73" s="133" t="s">
        <v>48</v>
      </c>
      <c r="AM73" s="133" t="s">
        <v>49</v>
      </c>
      <c r="AN73" s="133" t="str">
        <f>VLOOKUP(I73,Sheet1!A:D,4,FALSE)</f>
        <v>A210600</v>
      </c>
      <c r="AP73" s="4" t="s">
        <v>1145</v>
      </c>
    </row>
    <row r="74" spans="1:42" s="133" customFormat="1" ht="12.75" customHeight="1" x14ac:dyDescent="0.25">
      <c r="A74" s="149">
        <v>45839</v>
      </c>
      <c r="B74" s="133" t="s">
        <v>40</v>
      </c>
      <c r="C74" s="133" t="s">
        <v>41</v>
      </c>
      <c r="D74" s="150">
        <v>25708354</v>
      </c>
      <c r="E74" s="150">
        <v>25106798</v>
      </c>
      <c r="F74" s="150" t="s">
        <v>1146</v>
      </c>
      <c r="G74" s="166">
        <v>45849</v>
      </c>
      <c r="H74" s="133" t="s">
        <v>73</v>
      </c>
      <c r="I74" s="133" t="s">
        <v>436</v>
      </c>
      <c r="J74" s="133" t="s">
        <v>784</v>
      </c>
      <c r="K74" s="152">
        <v>5000</v>
      </c>
      <c r="L74" s="153" t="s">
        <v>42</v>
      </c>
      <c r="M74" s="156">
        <v>5000</v>
      </c>
      <c r="N74" s="156">
        <v>179781.59</v>
      </c>
      <c r="O74" s="156">
        <v>898907950</v>
      </c>
      <c r="P74" s="152">
        <v>898907950</v>
      </c>
      <c r="Q74" s="136">
        <v>0</v>
      </c>
      <c r="R74" s="136">
        <v>0</v>
      </c>
      <c r="S74" s="153" t="s">
        <v>43</v>
      </c>
      <c r="T74" s="136">
        <v>733764972.5</v>
      </c>
      <c r="U74" s="136">
        <v>733764972.5</v>
      </c>
      <c r="V74" s="136">
        <v>165142977.5</v>
      </c>
      <c r="W74" s="136">
        <v>0.183715115101</v>
      </c>
      <c r="X74" s="136">
        <v>165142977.5</v>
      </c>
      <c r="Y74" s="133" t="s">
        <v>66</v>
      </c>
      <c r="Z74" s="133" t="s">
        <v>44</v>
      </c>
      <c r="AA74" s="133">
        <v>15161</v>
      </c>
      <c r="AB74" s="133" t="s">
        <v>75</v>
      </c>
      <c r="AC74" s="133" t="s">
        <v>56</v>
      </c>
      <c r="AD74" s="133" t="s">
        <v>77</v>
      </c>
      <c r="AE74" s="133">
        <v>0</v>
      </c>
      <c r="AF74" s="133" t="s">
        <v>785</v>
      </c>
      <c r="AG74" s="133" t="s">
        <v>786</v>
      </c>
      <c r="AH74" s="133" t="s">
        <v>787</v>
      </c>
      <c r="AI74" s="133" t="s">
        <v>69</v>
      </c>
      <c r="AJ74" s="133" t="s">
        <v>46</v>
      </c>
      <c r="AK74" s="133" t="s">
        <v>54</v>
      </c>
      <c r="AL74" s="133" t="s">
        <v>48</v>
      </c>
      <c r="AM74" s="133" t="s">
        <v>49</v>
      </c>
      <c r="AN74" s="133" t="str">
        <f>VLOOKUP(I74,Sheet1!A:D,4,FALSE)</f>
        <v>A210600</v>
      </c>
      <c r="AP74" s="4" t="s">
        <v>1148</v>
      </c>
    </row>
    <row r="75" spans="1:42" s="133" customFormat="1" x14ac:dyDescent="0.25">
      <c r="A75" s="149">
        <v>45839</v>
      </c>
      <c r="B75" s="133" t="s">
        <v>40</v>
      </c>
      <c r="C75" s="133" t="s">
        <v>41</v>
      </c>
      <c r="D75" s="150">
        <v>25708355</v>
      </c>
      <c r="E75" s="150">
        <v>25106799</v>
      </c>
      <c r="F75" s="150" t="s">
        <v>1147</v>
      </c>
      <c r="G75" s="166">
        <v>45849</v>
      </c>
      <c r="H75" s="133" t="s">
        <v>73</v>
      </c>
      <c r="I75" s="133" t="s">
        <v>436</v>
      </c>
      <c r="J75" s="133" t="s">
        <v>784</v>
      </c>
      <c r="K75" s="152">
        <v>5340</v>
      </c>
      <c r="L75" s="153" t="s">
        <v>42</v>
      </c>
      <c r="M75" s="156">
        <v>5340</v>
      </c>
      <c r="N75" s="156">
        <v>179781.59</v>
      </c>
      <c r="O75" s="156">
        <v>960033690.60000002</v>
      </c>
      <c r="P75" s="152">
        <v>960033690.60000002</v>
      </c>
      <c r="Q75" s="136">
        <v>0</v>
      </c>
      <c r="R75" s="136">
        <v>0</v>
      </c>
      <c r="S75" s="153" t="s">
        <v>43</v>
      </c>
      <c r="T75" s="136">
        <v>783660990.62</v>
      </c>
      <c r="U75" s="136">
        <v>783660990.62</v>
      </c>
      <c r="V75" s="136">
        <v>176372699.97999999</v>
      </c>
      <c r="W75" s="136">
        <v>0.183715115112</v>
      </c>
      <c r="X75" s="136">
        <v>176372699.97999999</v>
      </c>
      <c r="Y75" s="133" t="s">
        <v>66</v>
      </c>
      <c r="Z75" s="133" t="s">
        <v>44</v>
      </c>
      <c r="AA75" s="133">
        <v>15161</v>
      </c>
      <c r="AB75" s="133" t="s">
        <v>75</v>
      </c>
      <c r="AC75" s="133" t="s">
        <v>56</v>
      </c>
      <c r="AD75" s="133" t="s">
        <v>77</v>
      </c>
      <c r="AE75" s="133">
        <v>0</v>
      </c>
      <c r="AF75" s="133" t="s">
        <v>785</v>
      </c>
      <c r="AG75" s="133" t="s">
        <v>786</v>
      </c>
      <c r="AH75" s="133" t="s">
        <v>787</v>
      </c>
      <c r="AI75" s="133" t="s">
        <v>69</v>
      </c>
      <c r="AJ75" s="133" t="s">
        <v>46</v>
      </c>
      <c r="AK75" s="133" t="s">
        <v>54</v>
      </c>
      <c r="AL75" s="133" t="s">
        <v>48</v>
      </c>
      <c r="AM75" s="133" t="s">
        <v>49</v>
      </c>
      <c r="AN75" s="133" t="str">
        <f>VLOOKUP(I75,Sheet1!A:D,4,FALSE)</f>
        <v>A210600</v>
      </c>
      <c r="AP75" s="4" t="s">
        <v>1148</v>
      </c>
    </row>
    <row r="76" spans="1:42" s="133" customFormat="1" x14ac:dyDescent="0.25">
      <c r="A76" s="149">
        <v>45839</v>
      </c>
      <c r="B76" s="133" t="s">
        <v>40</v>
      </c>
      <c r="C76" s="133" t="s">
        <v>41</v>
      </c>
      <c r="D76" s="150">
        <v>25708359</v>
      </c>
      <c r="E76" s="150">
        <v>25106851</v>
      </c>
      <c r="F76" s="150" t="s">
        <v>1127</v>
      </c>
      <c r="G76" s="166">
        <v>45840</v>
      </c>
      <c r="H76" s="133" t="s">
        <v>800</v>
      </c>
      <c r="I76" s="133" t="s">
        <v>470</v>
      </c>
      <c r="J76" s="133" t="s">
        <v>1018</v>
      </c>
      <c r="K76" s="152">
        <v>50</v>
      </c>
      <c r="L76" s="153" t="s">
        <v>42</v>
      </c>
      <c r="M76" s="156">
        <v>50</v>
      </c>
      <c r="N76" s="156">
        <v>1299697</v>
      </c>
      <c r="O76" s="156">
        <v>64984850</v>
      </c>
      <c r="P76" s="152">
        <v>64984850</v>
      </c>
      <c r="Q76" s="136">
        <v>0</v>
      </c>
      <c r="R76" s="136">
        <v>0</v>
      </c>
      <c r="S76" s="153" t="s">
        <v>43</v>
      </c>
      <c r="T76" s="136">
        <v>51438765</v>
      </c>
      <c r="U76" s="136">
        <v>51438765</v>
      </c>
      <c r="V76" s="136">
        <v>13546085</v>
      </c>
      <c r="W76" s="136">
        <v>0.20844989255099999</v>
      </c>
      <c r="X76" s="136">
        <v>13546085</v>
      </c>
      <c r="Y76" s="133" t="s">
        <v>69</v>
      </c>
      <c r="Z76" s="133" t="s">
        <v>46</v>
      </c>
      <c r="AA76" s="133">
        <v>2306510</v>
      </c>
      <c r="AB76" s="133" t="s">
        <v>803</v>
      </c>
      <c r="AC76" s="133" t="s">
        <v>154</v>
      </c>
      <c r="AD76" s="133" t="s">
        <v>155</v>
      </c>
      <c r="AE76" s="133">
        <v>0</v>
      </c>
      <c r="AF76" s="133" t="s">
        <v>78</v>
      </c>
      <c r="AG76" s="133" t="s">
        <v>69</v>
      </c>
      <c r="AH76" s="133" t="s">
        <v>46</v>
      </c>
      <c r="AI76" s="133" t="s">
        <v>69</v>
      </c>
      <c r="AJ76" s="133" t="s">
        <v>46</v>
      </c>
      <c r="AK76" s="133" t="s">
        <v>54</v>
      </c>
      <c r="AL76" s="133" t="s">
        <v>48</v>
      </c>
      <c r="AM76" s="133" t="s">
        <v>49</v>
      </c>
      <c r="AN76" s="133" t="str">
        <f>VLOOKUP(I76,Sheet1!A:D,4,FALSE)</f>
        <v>A210600</v>
      </c>
      <c r="AP76" s="4" t="s">
        <v>1154</v>
      </c>
    </row>
    <row r="77" spans="1:42" s="133" customFormat="1" x14ac:dyDescent="0.25">
      <c r="A77" s="149">
        <v>45839</v>
      </c>
      <c r="B77" s="133" t="s">
        <v>40</v>
      </c>
      <c r="C77" s="133" t="s">
        <v>41</v>
      </c>
      <c r="D77" s="150">
        <v>25708360</v>
      </c>
      <c r="E77" s="150">
        <v>25106760</v>
      </c>
      <c r="F77" s="150" t="s">
        <v>1152</v>
      </c>
      <c r="G77" s="166">
        <v>45855</v>
      </c>
      <c r="H77" s="133" t="s">
        <v>808</v>
      </c>
      <c r="I77" s="133" t="s">
        <v>456</v>
      </c>
      <c r="J77" s="133" t="s">
        <v>794</v>
      </c>
      <c r="K77" s="152">
        <v>300</v>
      </c>
      <c r="L77" s="153" t="s">
        <v>42</v>
      </c>
      <c r="M77" s="156">
        <v>300</v>
      </c>
      <c r="N77" s="156">
        <v>344224</v>
      </c>
      <c r="O77" s="156">
        <v>103267200</v>
      </c>
      <c r="P77" s="152">
        <v>103267200</v>
      </c>
      <c r="Q77" s="136">
        <v>0</v>
      </c>
      <c r="R77" s="136">
        <v>0</v>
      </c>
      <c r="S77" s="153" t="s">
        <v>43</v>
      </c>
      <c r="T77" s="136">
        <v>58639896.789999999</v>
      </c>
      <c r="U77" s="136">
        <v>58639896.789999999</v>
      </c>
      <c r="V77" s="136">
        <v>44627303.210000001</v>
      </c>
      <c r="W77" s="136">
        <v>0.43215370620999999</v>
      </c>
      <c r="X77" s="136">
        <v>44627303.210000001</v>
      </c>
      <c r="Y77" s="133" t="s">
        <v>69</v>
      </c>
      <c r="Z77" s="133" t="s">
        <v>46</v>
      </c>
      <c r="AA77" s="133">
        <v>2306511</v>
      </c>
      <c r="AB77" s="133" t="s">
        <v>810</v>
      </c>
      <c r="AC77" s="133" t="s">
        <v>56</v>
      </c>
      <c r="AD77" s="133" t="s">
        <v>77</v>
      </c>
      <c r="AE77" s="133">
        <v>0</v>
      </c>
      <c r="AF77" s="133" t="s">
        <v>78</v>
      </c>
      <c r="AG77" s="133" t="s">
        <v>69</v>
      </c>
      <c r="AH77" s="133" t="s">
        <v>46</v>
      </c>
      <c r="AI77" s="133" t="s">
        <v>69</v>
      </c>
      <c r="AJ77" s="133" t="s">
        <v>46</v>
      </c>
      <c r="AK77" s="133" t="s">
        <v>54</v>
      </c>
      <c r="AL77" s="133" t="s">
        <v>48</v>
      </c>
      <c r="AM77" s="133" t="s">
        <v>49</v>
      </c>
      <c r="AN77" s="133" t="str">
        <f>VLOOKUP(I77,Sheet1!A:D,4,FALSE)</f>
        <v>A210600</v>
      </c>
      <c r="AP77" s="4" t="s">
        <v>1154</v>
      </c>
    </row>
    <row r="78" spans="1:42" s="133" customFormat="1" ht="14.25" x14ac:dyDescent="0.2">
      <c r="A78" s="149">
        <v>45839</v>
      </c>
      <c r="B78" s="133" t="s">
        <v>40</v>
      </c>
      <c r="C78" s="133" t="s">
        <v>41</v>
      </c>
      <c r="D78" s="150">
        <v>25708372</v>
      </c>
      <c r="E78" s="150">
        <v>25106818</v>
      </c>
      <c r="F78" s="150" t="s">
        <v>1166</v>
      </c>
      <c r="G78" s="166">
        <v>45860</v>
      </c>
      <c r="H78" s="133" t="s">
        <v>808</v>
      </c>
      <c r="I78" s="133" t="s">
        <v>99</v>
      </c>
      <c r="J78" s="133" t="s">
        <v>809</v>
      </c>
      <c r="K78" s="152">
        <v>50</v>
      </c>
      <c r="L78" s="153" t="s">
        <v>42</v>
      </c>
      <c r="M78" s="156">
        <v>50</v>
      </c>
      <c r="N78" s="156">
        <v>515406</v>
      </c>
      <c r="O78" s="156">
        <v>25770300</v>
      </c>
      <c r="P78" s="152">
        <v>25770300</v>
      </c>
      <c r="Q78" s="136">
        <v>0</v>
      </c>
      <c r="R78" s="136">
        <v>0</v>
      </c>
      <c r="S78" s="153" t="s">
        <v>43</v>
      </c>
      <c r="T78" s="136">
        <v>18509395</v>
      </c>
      <c r="U78" s="136">
        <v>18509395</v>
      </c>
      <c r="V78" s="136">
        <v>7260905</v>
      </c>
      <c r="W78" s="136">
        <v>0.28175477196600002</v>
      </c>
      <c r="X78" s="136">
        <v>7260905</v>
      </c>
      <c r="Y78" s="133" t="s">
        <v>69</v>
      </c>
      <c r="Z78" s="133" t="s">
        <v>46</v>
      </c>
      <c r="AA78" s="133">
        <v>2306511</v>
      </c>
      <c r="AB78" s="133" t="s">
        <v>810</v>
      </c>
      <c r="AC78" s="133" t="s">
        <v>56</v>
      </c>
      <c r="AD78" s="133" t="s">
        <v>77</v>
      </c>
      <c r="AE78" s="133">
        <v>0</v>
      </c>
      <c r="AF78" s="133" t="s">
        <v>806</v>
      </c>
      <c r="AG78" s="133" t="s">
        <v>69</v>
      </c>
      <c r="AH78" s="133" t="s">
        <v>46</v>
      </c>
      <c r="AI78" s="133" t="s">
        <v>69</v>
      </c>
      <c r="AJ78" s="133" t="s">
        <v>46</v>
      </c>
      <c r="AK78" s="133" t="s">
        <v>54</v>
      </c>
      <c r="AL78" s="133" t="s">
        <v>48</v>
      </c>
      <c r="AM78" s="133" t="s">
        <v>49</v>
      </c>
      <c r="AN78" s="133" t="str">
        <f>VLOOKUP(I78,Sheet1!A:D,4,FALSE)</f>
        <v>A210600</v>
      </c>
      <c r="AP78" s="36" t="s">
        <v>1177</v>
      </c>
    </row>
    <row r="79" spans="1:42" s="133" customFormat="1" ht="14.25" x14ac:dyDescent="0.2">
      <c r="A79" s="149">
        <v>45839</v>
      </c>
      <c r="B79" s="133" t="s">
        <v>40</v>
      </c>
      <c r="C79" s="133" t="s">
        <v>41</v>
      </c>
      <c r="D79" s="150">
        <v>25708373</v>
      </c>
      <c r="E79" s="150">
        <v>25106837</v>
      </c>
      <c r="F79" s="150" t="s">
        <v>1167</v>
      </c>
      <c r="G79" s="166">
        <v>45860</v>
      </c>
      <c r="H79" s="133" t="s">
        <v>808</v>
      </c>
      <c r="I79" s="133" t="s">
        <v>99</v>
      </c>
      <c r="J79" s="133" t="s">
        <v>809</v>
      </c>
      <c r="K79" s="152">
        <v>50</v>
      </c>
      <c r="L79" s="153" t="s">
        <v>42</v>
      </c>
      <c r="M79" s="156">
        <v>50</v>
      </c>
      <c r="N79" s="156">
        <v>512244</v>
      </c>
      <c r="O79" s="156">
        <v>25612200</v>
      </c>
      <c r="P79" s="152">
        <v>25612200</v>
      </c>
      <c r="Q79" s="136">
        <v>0</v>
      </c>
      <c r="R79" s="136">
        <v>0</v>
      </c>
      <c r="S79" s="153" t="s">
        <v>43</v>
      </c>
      <c r="T79" s="136">
        <v>18509395</v>
      </c>
      <c r="U79" s="136">
        <v>18509395</v>
      </c>
      <c r="V79" s="136">
        <v>7102805</v>
      </c>
      <c r="W79" s="136">
        <v>0.27732115944699998</v>
      </c>
      <c r="X79" s="136">
        <v>7102805</v>
      </c>
      <c r="Y79" s="133" t="s">
        <v>69</v>
      </c>
      <c r="Z79" s="133" t="s">
        <v>46</v>
      </c>
      <c r="AA79" s="133">
        <v>2306511</v>
      </c>
      <c r="AB79" s="133" t="s">
        <v>810</v>
      </c>
      <c r="AC79" s="133" t="s">
        <v>56</v>
      </c>
      <c r="AD79" s="133" t="s">
        <v>77</v>
      </c>
      <c r="AE79" s="133">
        <v>0</v>
      </c>
      <c r="AF79" s="133" t="s">
        <v>806</v>
      </c>
      <c r="AG79" s="133" t="s">
        <v>69</v>
      </c>
      <c r="AH79" s="133" t="s">
        <v>46</v>
      </c>
      <c r="AI79" s="133" t="s">
        <v>69</v>
      </c>
      <c r="AJ79" s="133" t="s">
        <v>46</v>
      </c>
      <c r="AK79" s="133" t="s">
        <v>54</v>
      </c>
      <c r="AL79" s="133" t="s">
        <v>48</v>
      </c>
      <c r="AM79" s="133" t="s">
        <v>49</v>
      </c>
      <c r="AN79" s="133" t="str">
        <f>VLOOKUP(I79,Sheet1!A:D,4,FALSE)</f>
        <v>A210600</v>
      </c>
      <c r="AP79" s="36" t="s">
        <v>1177</v>
      </c>
    </row>
    <row r="80" spans="1:42" s="133" customFormat="1" ht="14.25" x14ac:dyDescent="0.2">
      <c r="A80" s="149">
        <v>45839</v>
      </c>
      <c r="B80" s="133" t="s">
        <v>40</v>
      </c>
      <c r="C80" s="133" t="s">
        <v>41</v>
      </c>
      <c r="D80" s="150">
        <v>25708388</v>
      </c>
      <c r="E80" s="150">
        <v>25106787</v>
      </c>
      <c r="F80" s="150" t="s">
        <v>1143</v>
      </c>
      <c r="G80" s="166">
        <v>45863</v>
      </c>
      <c r="H80" s="133" t="s">
        <v>73</v>
      </c>
      <c r="I80" s="133" t="s">
        <v>50</v>
      </c>
      <c r="J80" s="133" t="s">
        <v>74</v>
      </c>
      <c r="K80" s="152">
        <v>840</v>
      </c>
      <c r="L80" s="153" t="s">
        <v>42</v>
      </c>
      <c r="M80" s="156">
        <v>840</v>
      </c>
      <c r="N80" s="156">
        <v>315561.84000000003</v>
      </c>
      <c r="O80" s="156">
        <v>265071945.59999999</v>
      </c>
      <c r="P80" s="152">
        <v>265071945.59999999</v>
      </c>
      <c r="Q80" s="136">
        <v>0</v>
      </c>
      <c r="R80" s="136">
        <v>0</v>
      </c>
      <c r="S80" s="153" t="s">
        <v>43</v>
      </c>
      <c r="T80" s="136">
        <v>132010929.65000001</v>
      </c>
      <c r="U80" s="136">
        <v>132010929.65000001</v>
      </c>
      <c r="V80" s="136">
        <v>133061015.95</v>
      </c>
      <c r="W80" s="136">
        <v>0.50198075714400003</v>
      </c>
      <c r="X80" s="136">
        <v>133061015.95</v>
      </c>
      <c r="Y80" s="133" t="s">
        <v>66</v>
      </c>
      <c r="Z80" s="133" t="s">
        <v>44</v>
      </c>
      <c r="AA80" s="133">
        <v>15161</v>
      </c>
      <c r="AB80" s="133" t="s">
        <v>75</v>
      </c>
      <c r="AC80" s="133" t="s">
        <v>56</v>
      </c>
      <c r="AD80" s="133" t="s">
        <v>77</v>
      </c>
      <c r="AE80" s="133">
        <v>0</v>
      </c>
      <c r="AF80" s="133" t="s">
        <v>76</v>
      </c>
      <c r="AG80" s="133" t="s">
        <v>69</v>
      </c>
      <c r="AH80" s="133" t="s">
        <v>46</v>
      </c>
      <c r="AI80" s="133" t="s">
        <v>69</v>
      </c>
      <c r="AJ80" s="133" t="s">
        <v>46</v>
      </c>
      <c r="AK80" s="133" t="s">
        <v>47</v>
      </c>
      <c r="AL80" s="133" t="s">
        <v>48</v>
      </c>
      <c r="AM80" s="133" t="s">
        <v>49</v>
      </c>
      <c r="AN80" s="133" t="str">
        <f>VLOOKUP(I80,Sheet1!A:D,4,FALSE)</f>
        <v>A210600</v>
      </c>
      <c r="AP80" s="36" t="s">
        <v>1177</v>
      </c>
    </row>
    <row r="81" spans="1:42" s="133" customFormat="1" ht="14.25" x14ac:dyDescent="0.2">
      <c r="A81" s="149">
        <v>45839</v>
      </c>
      <c r="B81" s="133" t="s">
        <v>40</v>
      </c>
      <c r="C81" s="133" t="s">
        <v>41</v>
      </c>
      <c r="D81" s="150">
        <v>25708389</v>
      </c>
      <c r="E81" s="150">
        <v>25106764</v>
      </c>
      <c r="F81" s="150" t="s">
        <v>1079</v>
      </c>
      <c r="G81" s="166">
        <v>45863</v>
      </c>
      <c r="H81" s="133" t="s">
        <v>73</v>
      </c>
      <c r="I81" s="133" t="s">
        <v>52</v>
      </c>
      <c r="J81" s="133" t="s">
        <v>80</v>
      </c>
      <c r="K81" s="152">
        <v>110</v>
      </c>
      <c r="L81" s="153" t="s">
        <v>42</v>
      </c>
      <c r="M81" s="156">
        <v>110</v>
      </c>
      <c r="N81" s="156">
        <v>337887.36</v>
      </c>
      <c r="O81" s="156">
        <v>37167609.600000001</v>
      </c>
      <c r="P81" s="152">
        <v>37167609.600000001</v>
      </c>
      <c r="Q81" s="136">
        <v>0</v>
      </c>
      <c r="R81" s="136">
        <v>0</v>
      </c>
      <c r="S81" s="153" t="s">
        <v>43</v>
      </c>
      <c r="T81" s="136">
        <v>16325350.199999999</v>
      </c>
      <c r="U81" s="136">
        <v>16325350.199999999</v>
      </c>
      <c r="V81" s="136">
        <v>20842259.399999999</v>
      </c>
      <c r="W81" s="136">
        <v>0.56076405300999999</v>
      </c>
      <c r="X81" s="136">
        <v>20842259.399999999</v>
      </c>
      <c r="Y81" s="133" t="s">
        <v>66</v>
      </c>
      <c r="Z81" s="133" t="s">
        <v>44</v>
      </c>
      <c r="AA81" s="133">
        <v>15161</v>
      </c>
      <c r="AB81" s="133" t="s">
        <v>75</v>
      </c>
      <c r="AC81" s="133" t="s">
        <v>56</v>
      </c>
      <c r="AD81" s="133" t="s">
        <v>77</v>
      </c>
      <c r="AE81" s="133">
        <v>0</v>
      </c>
      <c r="AF81" s="133" t="s">
        <v>76</v>
      </c>
      <c r="AG81" s="133" t="s">
        <v>69</v>
      </c>
      <c r="AH81" s="133" t="s">
        <v>46</v>
      </c>
      <c r="AI81" s="133" t="s">
        <v>69</v>
      </c>
      <c r="AJ81" s="133" t="s">
        <v>46</v>
      </c>
      <c r="AK81" s="133" t="s">
        <v>47</v>
      </c>
      <c r="AL81" s="133" t="s">
        <v>48</v>
      </c>
      <c r="AM81" s="133" t="s">
        <v>49</v>
      </c>
      <c r="AN81" s="133" t="str">
        <f>VLOOKUP(I81,Sheet1!A:D,4,FALSE)</f>
        <v>A210600</v>
      </c>
      <c r="AP81" s="36" t="s">
        <v>1177</v>
      </c>
    </row>
    <row r="82" spans="1:42" s="133" customFormat="1" x14ac:dyDescent="0.25">
      <c r="A82" s="149">
        <v>45839</v>
      </c>
      <c r="B82" s="133" t="s">
        <v>40</v>
      </c>
      <c r="C82" s="133" t="s">
        <v>41</v>
      </c>
      <c r="D82" s="150">
        <v>25708391</v>
      </c>
      <c r="E82" s="150">
        <v>25106787</v>
      </c>
      <c r="F82" s="150" t="s">
        <v>1143</v>
      </c>
      <c r="G82" s="166">
        <v>45868</v>
      </c>
      <c r="H82" s="133" t="s">
        <v>73</v>
      </c>
      <c r="I82" s="133" t="s">
        <v>50</v>
      </c>
      <c r="J82" s="133" t="s">
        <v>74</v>
      </c>
      <c r="K82" s="152">
        <v>300</v>
      </c>
      <c r="L82" s="153" t="s">
        <v>42</v>
      </c>
      <c r="M82" s="156">
        <v>300</v>
      </c>
      <c r="N82" s="156">
        <v>315561.84000000003</v>
      </c>
      <c r="O82" s="156">
        <v>94668552</v>
      </c>
      <c r="P82" s="152">
        <v>94668552</v>
      </c>
      <c r="Q82" s="136">
        <v>0</v>
      </c>
      <c r="R82" s="136">
        <v>0</v>
      </c>
      <c r="S82" s="153" t="s">
        <v>43</v>
      </c>
      <c r="T82" s="136">
        <v>47146760.590000004</v>
      </c>
      <c r="U82" s="136">
        <v>47146760.590000004</v>
      </c>
      <c r="V82" s="136">
        <v>47521791.409999996</v>
      </c>
      <c r="W82" s="136">
        <v>0.50198075713599999</v>
      </c>
      <c r="X82" s="136">
        <v>47521791.409999996</v>
      </c>
      <c r="Y82" s="133" t="s">
        <v>66</v>
      </c>
      <c r="Z82" s="133" t="s">
        <v>44</v>
      </c>
      <c r="AA82" s="133">
        <v>15161</v>
      </c>
      <c r="AB82" s="133" t="s">
        <v>75</v>
      </c>
      <c r="AC82" s="133" t="s">
        <v>56</v>
      </c>
      <c r="AD82" s="133" t="s">
        <v>77</v>
      </c>
      <c r="AE82" s="133">
        <v>0</v>
      </c>
      <c r="AF82" s="133" t="s">
        <v>76</v>
      </c>
      <c r="AG82" s="133" t="s">
        <v>69</v>
      </c>
      <c r="AH82" s="133" t="s">
        <v>46</v>
      </c>
      <c r="AI82" s="133" t="s">
        <v>69</v>
      </c>
      <c r="AJ82" s="133" t="s">
        <v>46</v>
      </c>
      <c r="AK82" s="133" t="s">
        <v>47</v>
      </c>
      <c r="AL82" s="133" t="s">
        <v>48</v>
      </c>
      <c r="AM82" s="133" t="s">
        <v>49</v>
      </c>
      <c r="AN82" s="133" t="str">
        <f>VLOOKUP(I82,Sheet1!A:D,4,FALSE)</f>
        <v>A210600</v>
      </c>
      <c r="AP82" s="4" t="s">
        <v>1184</v>
      </c>
    </row>
    <row r="83" spans="1:42" s="133" customFormat="1" x14ac:dyDescent="0.25">
      <c r="A83" s="149">
        <v>45839</v>
      </c>
      <c r="B83" s="133" t="s">
        <v>40</v>
      </c>
      <c r="C83" s="133" t="s">
        <v>41</v>
      </c>
      <c r="D83" s="150">
        <v>25708392</v>
      </c>
      <c r="E83" s="150">
        <v>25106788</v>
      </c>
      <c r="F83" s="150" t="s">
        <v>1093</v>
      </c>
      <c r="G83" s="166">
        <v>45868</v>
      </c>
      <c r="H83" s="133" t="s">
        <v>73</v>
      </c>
      <c r="I83" s="133" t="s">
        <v>282</v>
      </c>
      <c r="J83" s="133" t="s">
        <v>1094</v>
      </c>
      <c r="K83" s="152">
        <v>280</v>
      </c>
      <c r="L83" s="153" t="s">
        <v>42</v>
      </c>
      <c r="M83" s="156">
        <v>280</v>
      </c>
      <c r="N83" s="156">
        <v>304561.5</v>
      </c>
      <c r="O83" s="156">
        <v>85277220</v>
      </c>
      <c r="P83" s="152">
        <v>85277220</v>
      </c>
      <c r="Q83" s="136">
        <v>0</v>
      </c>
      <c r="R83" s="136">
        <v>0</v>
      </c>
      <c r="S83" s="153" t="s">
        <v>43</v>
      </c>
      <c r="T83" s="136">
        <v>64845565.140000001</v>
      </c>
      <c r="U83" s="136">
        <v>64845565.140000001</v>
      </c>
      <c r="V83" s="136">
        <v>20431654.859999999</v>
      </c>
      <c r="W83" s="136">
        <v>0.23959100519400001</v>
      </c>
      <c r="X83" s="136">
        <v>20431654.859999999</v>
      </c>
      <c r="Y83" s="133" t="s">
        <v>66</v>
      </c>
      <c r="Z83" s="133" t="s">
        <v>44</v>
      </c>
      <c r="AA83" s="133">
        <v>15161</v>
      </c>
      <c r="AB83" s="133" t="s">
        <v>75</v>
      </c>
      <c r="AC83" s="133" t="s">
        <v>56</v>
      </c>
      <c r="AD83" s="133" t="s">
        <v>77</v>
      </c>
      <c r="AE83" s="133">
        <v>0</v>
      </c>
      <c r="AF83" s="133" t="s">
        <v>798</v>
      </c>
      <c r="AG83" s="133" t="s">
        <v>69</v>
      </c>
      <c r="AH83" s="133" t="s">
        <v>46</v>
      </c>
      <c r="AI83" s="133" t="s">
        <v>69</v>
      </c>
      <c r="AJ83" s="133" t="s">
        <v>46</v>
      </c>
      <c r="AK83" s="133" t="s">
        <v>47</v>
      </c>
      <c r="AL83" s="133" t="s">
        <v>48</v>
      </c>
      <c r="AM83" s="133" t="s">
        <v>49</v>
      </c>
      <c r="AN83" s="133" t="str">
        <f>VLOOKUP(I83,Sheet1!A:D,4,FALSE)</f>
        <v>A210600</v>
      </c>
      <c r="AP83" s="4" t="s">
        <v>1184</v>
      </c>
    </row>
    <row r="84" spans="1:42" s="133" customFormat="1" x14ac:dyDescent="0.25">
      <c r="A84" s="149">
        <v>45870</v>
      </c>
      <c r="B84" s="133" t="s">
        <v>40</v>
      </c>
      <c r="C84" s="133" t="s">
        <v>41</v>
      </c>
      <c r="D84" s="150">
        <v>25708423</v>
      </c>
      <c r="E84" s="150">
        <v>25106819</v>
      </c>
      <c r="F84" s="150" t="s">
        <v>1214</v>
      </c>
      <c r="G84" s="166">
        <v>45870</v>
      </c>
      <c r="H84" s="133" t="s">
        <v>98</v>
      </c>
      <c r="I84" s="133" t="s">
        <v>292</v>
      </c>
      <c r="J84" s="133" t="s">
        <v>499</v>
      </c>
      <c r="K84" s="152">
        <v>525</v>
      </c>
      <c r="L84" s="153" t="s">
        <v>42</v>
      </c>
      <c r="M84" s="156">
        <v>525</v>
      </c>
      <c r="N84" s="156">
        <v>349547.95</v>
      </c>
      <c r="O84" s="156">
        <v>183512673.75</v>
      </c>
      <c r="P84" s="152">
        <v>183512673.75</v>
      </c>
      <c r="Q84" s="136">
        <v>0</v>
      </c>
      <c r="R84" s="136">
        <v>0</v>
      </c>
      <c r="S84" s="153" t="s">
        <v>43</v>
      </c>
      <c r="T84" s="136">
        <v>145905674.97</v>
      </c>
      <c r="U84" s="136">
        <v>145905674.97</v>
      </c>
      <c r="V84" s="136">
        <v>37606998.780000001</v>
      </c>
      <c r="W84" s="136">
        <v>0.20492861888700001</v>
      </c>
      <c r="X84" s="136">
        <v>37606998.780000001</v>
      </c>
      <c r="Y84" s="133" t="s">
        <v>101</v>
      </c>
      <c r="Z84" s="133" t="s">
        <v>46</v>
      </c>
      <c r="AA84" s="133">
        <v>2306511</v>
      </c>
      <c r="AB84" s="133" t="s">
        <v>102</v>
      </c>
      <c r="AC84" s="133" t="s">
        <v>56</v>
      </c>
      <c r="AD84" s="133" t="s">
        <v>103</v>
      </c>
      <c r="AE84" s="133">
        <v>0</v>
      </c>
      <c r="AF84" s="133" t="s">
        <v>1215</v>
      </c>
      <c r="AG84" s="133" t="s">
        <v>101</v>
      </c>
      <c r="AH84" s="133" t="s">
        <v>46</v>
      </c>
      <c r="AI84" s="133" t="s">
        <v>101</v>
      </c>
      <c r="AJ84" s="133" t="s">
        <v>46</v>
      </c>
      <c r="AK84" s="133" t="s">
        <v>54</v>
      </c>
      <c r="AL84" s="133" t="s">
        <v>48</v>
      </c>
      <c r="AM84" s="133" t="s">
        <v>49</v>
      </c>
      <c r="AN84" s="133" t="str">
        <f>VLOOKUP(I84,Sheet1!A:D,4,FALSE)</f>
        <v>A210600</v>
      </c>
      <c r="AP84" s="4" t="s">
        <v>1213</v>
      </c>
    </row>
    <row r="85" spans="1:42" s="133" customFormat="1" ht="14.25" x14ac:dyDescent="0.2">
      <c r="A85" s="149">
        <v>45870</v>
      </c>
      <c r="B85" s="133" t="s">
        <v>40</v>
      </c>
      <c r="C85" s="133" t="s">
        <v>41</v>
      </c>
      <c r="D85" s="150">
        <v>25708433</v>
      </c>
      <c r="E85" s="150">
        <v>25106786</v>
      </c>
      <c r="F85" s="150" t="s">
        <v>1128</v>
      </c>
      <c r="G85" s="166">
        <v>45883</v>
      </c>
      <c r="H85" s="133" t="s">
        <v>73</v>
      </c>
      <c r="I85" s="133" t="s">
        <v>51</v>
      </c>
      <c r="J85" s="133" t="s">
        <v>79</v>
      </c>
      <c r="K85" s="152">
        <v>500</v>
      </c>
      <c r="L85" s="153" t="s">
        <v>42</v>
      </c>
      <c r="M85" s="156">
        <v>500</v>
      </c>
      <c r="N85" s="156">
        <v>270575.40000000002</v>
      </c>
      <c r="O85" s="156">
        <v>135287700</v>
      </c>
      <c r="P85" s="152">
        <v>135287700</v>
      </c>
      <c r="Q85" s="136">
        <v>0</v>
      </c>
      <c r="R85" s="136">
        <v>0</v>
      </c>
      <c r="S85" s="153" t="s">
        <v>43</v>
      </c>
      <c r="T85" s="136">
        <v>67892800.5</v>
      </c>
      <c r="U85" s="136">
        <v>67892800.5</v>
      </c>
      <c r="V85" s="136">
        <v>67394899.5</v>
      </c>
      <c r="W85" s="136">
        <v>0.49815984379900002</v>
      </c>
      <c r="X85" s="136">
        <v>67394899.5</v>
      </c>
      <c r="Y85" s="133" t="s">
        <v>66</v>
      </c>
      <c r="Z85" s="133" t="s">
        <v>44</v>
      </c>
      <c r="AA85" s="133">
        <v>15161</v>
      </c>
      <c r="AB85" s="133" t="s">
        <v>75</v>
      </c>
      <c r="AC85" s="133" t="s">
        <v>56</v>
      </c>
      <c r="AD85" s="133" t="s">
        <v>77</v>
      </c>
      <c r="AE85" s="133">
        <v>0</v>
      </c>
      <c r="AF85" s="133" t="s">
        <v>76</v>
      </c>
      <c r="AG85" s="133" t="s">
        <v>69</v>
      </c>
      <c r="AH85" s="133" t="s">
        <v>46</v>
      </c>
      <c r="AI85" s="133" t="s">
        <v>69</v>
      </c>
      <c r="AJ85" s="133" t="s">
        <v>46</v>
      </c>
      <c r="AK85" s="133" t="s">
        <v>47</v>
      </c>
      <c r="AL85" s="133" t="s">
        <v>48</v>
      </c>
      <c r="AM85" s="133" t="s">
        <v>49</v>
      </c>
      <c r="AN85" s="133" t="str">
        <f>VLOOKUP(I85,Sheet1!A:D,4,FALSE)</f>
        <v>A210600</v>
      </c>
      <c r="AP85" s="187" t="s">
        <v>1224</v>
      </c>
    </row>
    <row r="86" spans="1:42" s="133" customFormat="1" ht="14.25" x14ac:dyDescent="0.2">
      <c r="A86" s="149">
        <v>45870</v>
      </c>
      <c r="B86" s="133" t="s">
        <v>40</v>
      </c>
      <c r="C86" s="133" t="s">
        <v>41</v>
      </c>
      <c r="D86" s="150">
        <v>25708434</v>
      </c>
      <c r="E86" s="150">
        <v>25106787</v>
      </c>
      <c r="F86" s="150" t="s">
        <v>1143</v>
      </c>
      <c r="G86" s="166">
        <v>45883</v>
      </c>
      <c r="H86" s="133" t="s">
        <v>73</v>
      </c>
      <c r="I86" s="133" t="s">
        <v>50</v>
      </c>
      <c r="J86" s="133" t="s">
        <v>74</v>
      </c>
      <c r="K86" s="152">
        <v>700</v>
      </c>
      <c r="L86" s="153" t="s">
        <v>42</v>
      </c>
      <c r="M86" s="156">
        <v>700</v>
      </c>
      <c r="N86" s="156">
        <v>315561.84000000003</v>
      </c>
      <c r="O86" s="156">
        <v>220893288</v>
      </c>
      <c r="P86" s="152">
        <v>220893288</v>
      </c>
      <c r="Q86" s="136">
        <v>0</v>
      </c>
      <c r="R86" s="136">
        <v>0</v>
      </c>
      <c r="S86" s="153" t="s">
        <v>43</v>
      </c>
      <c r="T86" s="136">
        <v>109997037.56</v>
      </c>
      <c r="U86" s="136">
        <v>109997037.56</v>
      </c>
      <c r="V86" s="136">
        <v>110896250.44</v>
      </c>
      <c r="W86" s="136">
        <v>0.50203540109300004</v>
      </c>
      <c r="X86" s="136">
        <v>110896250.44</v>
      </c>
      <c r="Y86" s="133" t="s">
        <v>66</v>
      </c>
      <c r="Z86" s="133" t="s">
        <v>44</v>
      </c>
      <c r="AA86" s="133">
        <v>15161</v>
      </c>
      <c r="AB86" s="133" t="s">
        <v>75</v>
      </c>
      <c r="AC86" s="133" t="s">
        <v>56</v>
      </c>
      <c r="AD86" s="133" t="s">
        <v>77</v>
      </c>
      <c r="AE86" s="133">
        <v>0</v>
      </c>
      <c r="AF86" s="133" t="s">
        <v>76</v>
      </c>
      <c r="AG86" s="133" t="s">
        <v>69</v>
      </c>
      <c r="AH86" s="133" t="s">
        <v>46</v>
      </c>
      <c r="AI86" s="133" t="s">
        <v>69</v>
      </c>
      <c r="AJ86" s="133" t="s">
        <v>46</v>
      </c>
      <c r="AK86" s="133" t="s">
        <v>47</v>
      </c>
      <c r="AL86" s="133" t="s">
        <v>48</v>
      </c>
      <c r="AM86" s="133" t="s">
        <v>49</v>
      </c>
      <c r="AN86" s="133" t="str">
        <f>VLOOKUP(I86,Sheet1!A:D,4,FALSE)</f>
        <v>A210600</v>
      </c>
      <c r="AP86" s="187" t="s">
        <v>1224</v>
      </c>
    </row>
    <row r="87" spans="1:42" s="133" customFormat="1" ht="14.25" x14ac:dyDescent="0.2">
      <c r="A87" s="149">
        <v>45870</v>
      </c>
      <c r="B87" s="133" t="s">
        <v>40</v>
      </c>
      <c r="C87" s="133" t="s">
        <v>41</v>
      </c>
      <c r="D87" s="150">
        <v>25708435</v>
      </c>
      <c r="E87" s="150">
        <v>25106790</v>
      </c>
      <c r="F87" s="150" t="s">
        <v>1220</v>
      </c>
      <c r="G87" s="166">
        <v>45883</v>
      </c>
      <c r="H87" s="133" t="s">
        <v>73</v>
      </c>
      <c r="I87" s="133" t="s">
        <v>62</v>
      </c>
      <c r="J87" s="133" t="s">
        <v>83</v>
      </c>
      <c r="K87" s="152">
        <v>500</v>
      </c>
      <c r="L87" s="153" t="s">
        <v>42</v>
      </c>
      <c r="M87" s="156">
        <v>500</v>
      </c>
      <c r="N87" s="156">
        <v>239544.6</v>
      </c>
      <c r="O87" s="156">
        <v>119772300</v>
      </c>
      <c r="P87" s="152">
        <v>119772300</v>
      </c>
      <c r="Q87" s="136">
        <v>0</v>
      </c>
      <c r="R87" s="136">
        <v>0</v>
      </c>
      <c r="S87" s="153" t="s">
        <v>43</v>
      </c>
      <c r="T87" s="136">
        <v>70194714.25</v>
      </c>
      <c r="U87" s="136">
        <v>70194714.25</v>
      </c>
      <c r="V87" s="136">
        <v>49577585.75</v>
      </c>
      <c r="W87" s="136">
        <v>0.413931983856</v>
      </c>
      <c r="X87" s="136">
        <v>49577585.75</v>
      </c>
      <c r="Y87" s="133" t="s">
        <v>66</v>
      </c>
      <c r="Z87" s="133" t="s">
        <v>44</v>
      </c>
      <c r="AA87" s="133">
        <v>15161</v>
      </c>
      <c r="AB87" s="133" t="s">
        <v>75</v>
      </c>
      <c r="AC87" s="133" t="s">
        <v>56</v>
      </c>
      <c r="AD87" s="133" t="s">
        <v>77</v>
      </c>
      <c r="AE87" s="133">
        <v>0</v>
      </c>
      <c r="AF87" s="133" t="s">
        <v>76</v>
      </c>
      <c r="AG87" s="133" t="s">
        <v>69</v>
      </c>
      <c r="AH87" s="133" t="s">
        <v>46</v>
      </c>
      <c r="AI87" s="133" t="s">
        <v>69</v>
      </c>
      <c r="AJ87" s="133" t="s">
        <v>46</v>
      </c>
      <c r="AK87" s="133" t="s">
        <v>47</v>
      </c>
      <c r="AL87" s="133" t="s">
        <v>48</v>
      </c>
      <c r="AM87" s="133" t="s">
        <v>49</v>
      </c>
      <c r="AN87" s="133" t="str">
        <f>VLOOKUP(I87,Sheet1!A:D,4,FALSE)</f>
        <v>A210600</v>
      </c>
      <c r="AP87" s="187" t="s">
        <v>1224</v>
      </c>
    </row>
    <row r="88" spans="1:42" s="133" customFormat="1" ht="14.25" x14ac:dyDescent="0.2">
      <c r="A88" s="149">
        <v>45870</v>
      </c>
      <c r="B88" s="133" t="s">
        <v>40</v>
      </c>
      <c r="C88" s="133" t="s">
        <v>41</v>
      </c>
      <c r="D88" s="150">
        <v>25708436</v>
      </c>
      <c r="E88" s="150">
        <v>25106871</v>
      </c>
      <c r="F88" s="150" t="s">
        <v>1221</v>
      </c>
      <c r="G88" s="166">
        <v>45883</v>
      </c>
      <c r="H88" s="133" t="s">
        <v>73</v>
      </c>
      <c r="I88" s="133" t="s">
        <v>283</v>
      </c>
      <c r="J88" s="133" t="s">
        <v>1222</v>
      </c>
      <c r="K88" s="152">
        <v>150</v>
      </c>
      <c r="L88" s="153" t="s">
        <v>42</v>
      </c>
      <c r="M88" s="156">
        <v>150</v>
      </c>
      <c r="N88" s="156">
        <v>308952</v>
      </c>
      <c r="O88" s="156">
        <v>46342800</v>
      </c>
      <c r="P88" s="152">
        <v>46342800</v>
      </c>
      <c r="Q88" s="136">
        <v>0</v>
      </c>
      <c r="R88" s="136">
        <v>0</v>
      </c>
      <c r="S88" s="153" t="s">
        <v>43</v>
      </c>
      <c r="T88" s="136">
        <v>24424927.969999999</v>
      </c>
      <c r="U88" s="136">
        <v>24424927.969999999</v>
      </c>
      <c r="V88" s="136">
        <v>21917872.030000001</v>
      </c>
      <c r="W88" s="136">
        <v>0.47295096606100001</v>
      </c>
      <c r="X88" s="136">
        <v>21917872.030000001</v>
      </c>
      <c r="Y88" s="133" t="s">
        <v>66</v>
      </c>
      <c r="Z88" s="133" t="s">
        <v>44</v>
      </c>
      <c r="AA88" s="133">
        <v>15161</v>
      </c>
      <c r="AB88" s="133" t="s">
        <v>75</v>
      </c>
      <c r="AC88" s="133" t="s">
        <v>56</v>
      </c>
      <c r="AD88" s="133" t="s">
        <v>77</v>
      </c>
      <c r="AE88" s="133">
        <v>0</v>
      </c>
      <c r="AF88" s="133" t="s">
        <v>76</v>
      </c>
      <c r="AG88" s="133" t="s">
        <v>69</v>
      </c>
      <c r="AH88" s="133" t="s">
        <v>46</v>
      </c>
      <c r="AI88" s="133" t="s">
        <v>69</v>
      </c>
      <c r="AJ88" s="133" t="s">
        <v>46</v>
      </c>
      <c r="AK88" s="133" t="s">
        <v>47</v>
      </c>
      <c r="AL88" s="133" t="s">
        <v>48</v>
      </c>
      <c r="AM88" s="133" t="s">
        <v>49</v>
      </c>
      <c r="AN88" s="133" t="str">
        <f>VLOOKUP(I88,Sheet1!A:D,4,FALSE)</f>
        <v>A210600</v>
      </c>
      <c r="AP88" s="187" t="s">
        <v>1224</v>
      </c>
    </row>
    <row r="89" spans="1:42" s="133" customFormat="1" ht="14.25" x14ac:dyDescent="0.2">
      <c r="A89" s="149">
        <v>45870</v>
      </c>
      <c r="B89" s="133" t="s">
        <v>40</v>
      </c>
      <c r="C89" s="133" t="s">
        <v>41</v>
      </c>
      <c r="D89" s="150">
        <v>25708437</v>
      </c>
      <c r="E89" s="150">
        <v>25106872</v>
      </c>
      <c r="F89" s="150" t="s">
        <v>1223</v>
      </c>
      <c r="G89" s="166">
        <v>45883</v>
      </c>
      <c r="H89" s="133" t="s">
        <v>73</v>
      </c>
      <c r="I89" s="133" t="s">
        <v>52</v>
      </c>
      <c r="J89" s="133" t="s">
        <v>80</v>
      </c>
      <c r="K89" s="152">
        <v>500</v>
      </c>
      <c r="L89" s="153" t="s">
        <v>42</v>
      </c>
      <c r="M89" s="156">
        <v>500</v>
      </c>
      <c r="N89" s="156">
        <v>327030</v>
      </c>
      <c r="O89" s="156">
        <v>163515000</v>
      </c>
      <c r="P89" s="152">
        <v>163515000</v>
      </c>
      <c r="Q89" s="136">
        <v>0</v>
      </c>
      <c r="R89" s="136">
        <v>0</v>
      </c>
      <c r="S89" s="153" t="s">
        <v>43</v>
      </c>
      <c r="T89" s="136">
        <v>74197515.489999995</v>
      </c>
      <c r="U89" s="136">
        <v>74197515.489999995</v>
      </c>
      <c r="V89" s="136">
        <v>89317484.510000005</v>
      </c>
      <c r="W89" s="136">
        <v>0.54623419569999998</v>
      </c>
      <c r="X89" s="136">
        <v>89317484.510000005</v>
      </c>
      <c r="Y89" s="133" t="s">
        <v>66</v>
      </c>
      <c r="Z89" s="133" t="s">
        <v>44</v>
      </c>
      <c r="AA89" s="133">
        <v>15161</v>
      </c>
      <c r="AB89" s="133" t="s">
        <v>75</v>
      </c>
      <c r="AC89" s="133" t="s">
        <v>56</v>
      </c>
      <c r="AD89" s="133" t="s">
        <v>77</v>
      </c>
      <c r="AE89" s="133">
        <v>0</v>
      </c>
      <c r="AF89" s="133" t="s">
        <v>76</v>
      </c>
      <c r="AG89" s="133" t="s">
        <v>69</v>
      </c>
      <c r="AH89" s="133" t="s">
        <v>46</v>
      </c>
      <c r="AI89" s="133" t="s">
        <v>69</v>
      </c>
      <c r="AJ89" s="133" t="s">
        <v>46</v>
      </c>
      <c r="AK89" s="133" t="s">
        <v>47</v>
      </c>
      <c r="AL89" s="133" t="s">
        <v>48</v>
      </c>
      <c r="AM89" s="133" t="s">
        <v>49</v>
      </c>
      <c r="AN89" s="133" t="str">
        <f>VLOOKUP(I89,Sheet1!A:D,4,FALSE)</f>
        <v>A210600</v>
      </c>
      <c r="AP89" s="187" t="s">
        <v>1224</v>
      </c>
    </row>
    <row r="90" spans="1:42" s="133" customFormat="1" ht="14.25" x14ac:dyDescent="0.2">
      <c r="A90" s="149">
        <v>45870</v>
      </c>
      <c r="B90" s="133" t="s">
        <v>40</v>
      </c>
      <c r="C90" s="133" t="s">
        <v>41</v>
      </c>
      <c r="D90" s="150">
        <v>25708456</v>
      </c>
      <c r="E90" s="150">
        <v>25106852</v>
      </c>
      <c r="F90" s="150" t="s">
        <v>1238</v>
      </c>
      <c r="G90" s="166">
        <v>45889</v>
      </c>
      <c r="H90" s="133" t="s">
        <v>98</v>
      </c>
      <c r="I90" s="133" t="s">
        <v>99</v>
      </c>
      <c r="J90" s="133" t="s">
        <v>100</v>
      </c>
      <c r="K90" s="152">
        <v>50</v>
      </c>
      <c r="L90" s="153" t="s">
        <v>42</v>
      </c>
      <c r="M90" s="156">
        <v>50</v>
      </c>
      <c r="N90" s="156">
        <v>512244</v>
      </c>
      <c r="O90" s="156">
        <v>25612200</v>
      </c>
      <c r="P90" s="152">
        <v>25612200</v>
      </c>
      <c r="Q90" s="136">
        <v>0</v>
      </c>
      <c r="R90" s="136">
        <v>0</v>
      </c>
      <c r="S90" s="153" t="s">
        <v>43</v>
      </c>
      <c r="T90" s="136">
        <v>18550958.780000001</v>
      </c>
      <c r="U90" s="136">
        <v>18550958.780000001</v>
      </c>
      <c r="V90" s="136">
        <v>7061241.2199999997</v>
      </c>
      <c r="W90" s="136">
        <v>0.27569834766200002</v>
      </c>
      <c r="X90" s="136">
        <v>7061241.2199999997</v>
      </c>
      <c r="Y90" s="133" t="s">
        <v>101</v>
      </c>
      <c r="Z90" s="133" t="s">
        <v>46</v>
      </c>
      <c r="AA90" s="133">
        <v>2306511</v>
      </c>
      <c r="AB90" s="133" t="s">
        <v>102</v>
      </c>
      <c r="AC90" s="133" t="s">
        <v>56</v>
      </c>
      <c r="AD90" s="133" t="s">
        <v>103</v>
      </c>
      <c r="AE90" s="133">
        <v>0</v>
      </c>
      <c r="AF90" s="133" t="s">
        <v>104</v>
      </c>
      <c r="AG90" s="133" t="s">
        <v>101</v>
      </c>
      <c r="AH90" s="133" t="s">
        <v>46</v>
      </c>
      <c r="AI90" s="133" t="s">
        <v>101</v>
      </c>
      <c r="AJ90" s="133" t="s">
        <v>46</v>
      </c>
      <c r="AK90" s="133" t="s">
        <v>54</v>
      </c>
      <c r="AL90" s="133" t="s">
        <v>48</v>
      </c>
      <c r="AM90" s="133" t="s">
        <v>49</v>
      </c>
      <c r="AN90" s="133" t="str">
        <f>VLOOKUP(I90,Sheet1!A:D,4,FALSE)</f>
        <v>A210600</v>
      </c>
      <c r="AP90" s="36" t="s">
        <v>1247</v>
      </c>
    </row>
    <row r="91" spans="1:42" s="133" customFormat="1" ht="14.25" x14ac:dyDescent="0.2">
      <c r="A91" s="149">
        <v>45870</v>
      </c>
      <c r="B91" s="133" t="s">
        <v>40</v>
      </c>
      <c r="C91" s="133" t="s">
        <v>41</v>
      </c>
      <c r="D91" s="150">
        <v>25708457</v>
      </c>
      <c r="E91" s="150">
        <v>25106865</v>
      </c>
      <c r="F91" s="150" t="s">
        <v>1239</v>
      </c>
      <c r="G91" s="166">
        <v>45889</v>
      </c>
      <c r="H91" s="133" t="s">
        <v>98</v>
      </c>
      <c r="I91" s="133" t="s">
        <v>99</v>
      </c>
      <c r="J91" s="133" t="s">
        <v>100</v>
      </c>
      <c r="K91" s="152">
        <v>100</v>
      </c>
      <c r="L91" s="153" t="s">
        <v>42</v>
      </c>
      <c r="M91" s="156">
        <v>100</v>
      </c>
      <c r="N91" s="156">
        <v>512244</v>
      </c>
      <c r="O91" s="156">
        <v>51224400</v>
      </c>
      <c r="P91" s="152">
        <v>51224400</v>
      </c>
      <c r="Q91" s="136">
        <v>0</v>
      </c>
      <c r="R91" s="136">
        <v>0</v>
      </c>
      <c r="S91" s="153" t="s">
        <v>43</v>
      </c>
      <c r="T91" s="136">
        <v>37101917.549999997</v>
      </c>
      <c r="U91" s="136">
        <v>37101917.549999997</v>
      </c>
      <c r="V91" s="136">
        <v>14122482.449999999</v>
      </c>
      <c r="W91" s="136">
        <v>0.27569834785699998</v>
      </c>
      <c r="X91" s="136">
        <v>14122482.449999999</v>
      </c>
      <c r="Y91" s="133" t="s">
        <v>101</v>
      </c>
      <c r="Z91" s="133" t="s">
        <v>46</v>
      </c>
      <c r="AA91" s="133">
        <v>2306511</v>
      </c>
      <c r="AB91" s="133" t="s">
        <v>102</v>
      </c>
      <c r="AC91" s="133" t="s">
        <v>56</v>
      </c>
      <c r="AD91" s="133" t="s">
        <v>103</v>
      </c>
      <c r="AE91" s="133">
        <v>0</v>
      </c>
      <c r="AF91" s="133" t="s">
        <v>104</v>
      </c>
      <c r="AG91" s="133" t="s">
        <v>101</v>
      </c>
      <c r="AH91" s="133" t="s">
        <v>46</v>
      </c>
      <c r="AI91" s="133" t="s">
        <v>101</v>
      </c>
      <c r="AJ91" s="133" t="s">
        <v>46</v>
      </c>
      <c r="AK91" s="133" t="s">
        <v>54</v>
      </c>
      <c r="AL91" s="133" t="s">
        <v>48</v>
      </c>
      <c r="AM91" s="133" t="s">
        <v>49</v>
      </c>
      <c r="AN91" s="133" t="str">
        <f>VLOOKUP(I91,Sheet1!A:D,4,FALSE)</f>
        <v>A210600</v>
      </c>
      <c r="AP91" s="36" t="s">
        <v>1247</v>
      </c>
    </row>
    <row r="92" spans="1:42" s="133" customFormat="1" ht="14.25" x14ac:dyDescent="0.2">
      <c r="A92" s="149">
        <v>45870</v>
      </c>
      <c r="B92" s="133" t="s">
        <v>40</v>
      </c>
      <c r="C92" s="133" t="s">
        <v>41</v>
      </c>
      <c r="D92" s="150">
        <v>25708458</v>
      </c>
      <c r="E92" s="150">
        <v>25106889</v>
      </c>
      <c r="F92" s="150" t="s">
        <v>1240</v>
      </c>
      <c r="G92" s="166">
        <v>45889</v>
      </c>
      <c r="H92" s="133" t="s">
        <v>98</v>
      </c>
      <c r="I92" s="133" t="s">
        <v>99</v>
      </c>
      <c r="J92" s="133" t="s">
        <v>100</v>
      </c>
      <c r="K92" s="152">
        <v>50</v>
      </c>
      <c r="L92" s="153" t="s">
        <v>42</v>
      </c>
      <c r="M92" s="156">
        <v>50</v>
      </c>
      <c r="N92" s="156">
        <v>510663</v>
      </c>
      <c r="O92" s="156">
        <v>25533150</v>
      </c>
      <c r="P92" s="152">
        <v>25533150</v>
      </c>
      <c r="Q92" s="136">
        <v>0</v>
      </c>
      <c r="R92" s="136">
        <v>0</v>
      </c>
      <c r="S92" s="153" t="s">
        <v>43</v>
      </c>
      <c r="T92" s="136">
        <v>18550958.780000001</v>
      </c>
      <c r="U92" s="136">
        <v>18550958.780000001</v>
      </c>
      <c r="V92" s="136">
        <v>6982191.2199999997</v>
      </c>
      <c r="W92" s="136">
        <v>0.27345592768600002</v>
      </c>
      <c r="X92" s="136">
        <v>6982191.2199999997</v>
      </c>
      <c r="Y92" s="133" t="s">
        <v>101</v>
      </c>
      <c r="Z92" s="133" t="s">
        <v>46</v>
      </c>
      <c r="AA92" s="133">
        <v>2306511</v>
      </c>
      <c r="AB92" s="133" t="s">
        <v>102</v>
      </c>
      <c r="AC92" s="133" t="s">
        <v>56</v>
      </c>
      <c r="AD92" s="133" t="s">
        <v>103</v>
      </c>
      <c r="AE92" s="133">
        <v>0</v>
      </c>
      <c r="AF92" s="133" t="s">
        <v>104</v>
      </c>
      <c r="AG92" s="133" t="s">
        <v>101</v>
      </c>
      <c r="AH92" s="133" t="s">
        <v>46</v>
      </c>
      <c r="AI92" s="133" t="s">
        <v>101</v>
      </c>
      <c r="AJ92" s="133" t="s">
        <v>46</v>
      </c>
      <c r="AK92" s="133" t="s">
        <v>54</v>
      </c>
      <c r="AL92" s="133" t="s">
        <v>48</v>
      </c>
      <c r="AM92" s="133" t="s">
        <v>49</v>
      </c>
      <c r="AN92" s="133" t="str">
        <f>VLOOKUP(I92,Sheet1!A:D,4,FALSE)</f>
        <v>A210600</v>
      </c>
      <c r="AP92" s="36" t="s">
        <v>1247</v>
      </c>
    </row>
    <row r="93" spans="1:42" s="133" customFormat="1" ht="14.25" x14ac:dyDescent="0.2">
      <c r="A93" s="149">
        <v>45870</v>
      </c>
      <c r="B93" s="133" t="s">
        <v>40</v>
      </c>
      <c r="C93" s="133" t="s">
        <v>41</v>
      </c>
      <c r="D93" s="150">
        <v>25708459</v>
      </c>
      <c r="E93" s="150">
        <v>25106715</v>
      </c>
      <c r="F93" s="150" t="s">
        <v>1241</v>
      </c>
      <c r="G93" s="166">
        <v>45889</v>
      </c>
      <c r="H93" s="133" t="s">
        <v>98</v>
      </c>
      <c r="I93" s="133" t="s">
        <v>454</v>
      </c>
      <c r="J93" s="133" t="s">
        <v>665</v>
      </c>
      <c r="K93" s="152">
        <v>360</v>
      </c>
      <c r="L93" s="153" t="s">
        <v>42</v>
      </c>
      <c r="M93" s="156">
        <v>360</v>
      </c>
      <c r="N93" s="156">
        <v>586500</v>
      </c>
      <c r="O93" s="156">
        <v>211140000</v>
      </c>
      <c r="P93" s="152">
        <v>211140000</v>
      </c>
      <c r="Q93" s="136">
        <v>0</v>
      </c>
      <c r="R93" s="136">
        <v>0</v>
      </c>
      <c r="S93" s="153" t="s">
        <v>43</v>
      </c>
      <c r="T93" s="136">
        <v>138267895.90000001</v>
      </c>
      <c r="U93" s="136">
        <v>138267895.90000001</v>
      </c>
      <c r="V93" s="136">
        <v>72872104.099999994</v>
      </c>
      <c r="W93" s="136">
        <v>0.34513642180499998</v>
      </c>
      <c r="X93" s="136">
        <v>72872104.099999994</v>
      </c>
      <c r="Y93" s="133" t="s">
        <v>101</v>
      </c>
      <c r="Z93" s="133" t="s">
        <v>46</v>
      </c>
      <c r="AA93" s="133">
        <v>2306511</v>
      </c>
      <c r="AB93" s="133" t="s">
        <v>102</v>
      </c>
      <c r="AC93" s="133" t="s">
        <v>56</v>
      </c>
      <c r="AD93" s="133" t="s">
        <v>103</v>
      </c>
      <c r="AE93" s="133">
        <v>0</v>
      </c>
      <c r="AF93" s="133" t="s">
        <v>108</v>
      </c>
      <c r="AG93" s="133" t="s">
        <v>101</v>
      </c>
      <c r="AH93" s="133" t="s">
        <v>46</v>
      </c>
      <c r="AI93" s="133" t="s">
        <v>101</v>
      </c>
      <c r="AJ93" s="133" t="s">
        <v>46</v>
      </c>
      <c r="AK93" s="133" t="s">
        <v>54</v>
      </c>
      <c r="AL93" s="133" t="s">
        <v>48</v>
      </c>
      <c r="AM93" s="133" t="s">
        <v>49</v>
      </c>
      <c r="AN93" s="133" t="str">
        <f>VLOOKUP(I93,Sheet1!A:D,4,FALSE)</f>
        <v>A210600</v>
      </c>
      <c r="AP93" s="36" t="s">
        <v>1247</v>
      </c>
    </row>
    <row r="94" spans="1:42" s="133" customFormat="1" ht="14.25" x14ac:dyDescent="0.2">
      <c r="A94" s="149">
        <v>45870</v>
      </c>
      <c r="B94" s="133" t="s">
        <v>40</v>
      </c>
      <c r="C94" s="133" t="s">
        <v>41</v>
      </c>
      <c r="D94" s="150">
        <v>25708460</v>
      </c>
      <c r="E94" s="150">
        <v>25106717</v>
      </c>
      <c r="F94" s="150" t="s">
        <v>1242</v>
      </c>
      <c r="G94" s="166">
        <v>45889</v>
      </c>
      <c r="H94" s="133" t="s">
        <v>98</v>
      </c>
      <c r="I94" s="133" t="s">
        <v>453</v>
      </c>
      <c r="J94" s="133" t="s">
        <v>664</v>
      </c>
      <c r="K94" s="152">
        <v>350</v>
      </c>
      <c r="L94" s="153" t="s">
        <v>42</v>
      </c>
      <c r="M94" s="156">
        <v>350</v>
      </c>
      <c r="N94" s="156">
        <v>575299</v>
      </c>
      <c r="O94" s="156">
        <v>201354650</v>
      </c>
      <c r="P94" s="152">
        <v>201354650</v>
      </c>
      <c r="Q94" s="136">
        <v>0</v>
      </c>
      <c r="R94" s="136">
        <v>0</v>
      </c>
      <c r="S94" s="153" t="s">
        <v>43</v>
      </c>
      <c r="T94" s="136">
        <v>122759721.7</v>
      </c>
      <c r="U94" s="136">
        <v>122759721.7</v>
      </c>
      <c r="V94" s="136">
        <v>78594928.299999997</v>
      </c>
      <c r="W94" s="136">
        <v>0.39033083318400003</v>
      </c>
      <c r="X94" s="136">
        <v>78594928.299999997</v>
      </c>
      <c r="Y94" s="133" t="s">
        <v>101</v>
      </c>
      <c r="Z94" s="133" t="s">
        <v>46</v>
      </c>
      <c r="AA94" s="133">
        <v>2306511</v>
      </c>
      <c r="AB94" s="133" t="s">
        <v>102</v>
      </c>
      <c r="AC94" s="133" t="s">
        <v>56</v>
      </c>
      <c r="AD94" s="133" t="s">
        <v>103</v>
      </c>
      <c r="AE94" s="133">
        <v>0</v>
      </c>
      <c r="AF94" s="133" t="s">
        <v>108</v>
      </c>
      <c r="AG94" s="133" t="s">
        <v>101</v>
      </c>
      <c r="AH94" s="133" t="s">
        <v>46</v>
      </c>
      <c r="AI94" s="133" t="s">
        <v>101</v>
      </c>
      <c r="AJ94" s="133" t="s">
        <v>46</v>
      </c>
      <c r="AK94" s="133" t="s">
        <v>54</v>
      </c>
      <c r="AL94" s="133" t="s">
        <v>48</v>
      </c>
      <c r="AM94" s="133" t="s">
        <v>49</v>
      </c>
      <c r="AN94" s="133" t="str">
        <f>VLOOKUP(I94,Sheet1!A:D,4,FALSE)</f>
        <v>A210600</v>
      </c>
      <c r="AP94" s="36" t="s">
        <v>1247</v>
      </c>
    </row>
    <row r="95" spans="1:42" s="133" customFormat="1" ht="14.25" x14ac:dyDescent="0.2">
      <c r="A95" s="149">
        <v>45870</v>
      </c>
      <c r="B95" s="133" t="s">
        <v>40</v>
      </c>
      <c r="C95" s="133" t="s">
        <v>41</v>
      </c>
      <c r="D95" s="150">
        <v>25708461</v>
      </c>
      <c r="E95" s="150">
        <v>25106721</v>
      </c>
      <c r="F95" s="150" t="s">
        <v>1243</v>
      </c>
      <c r="G95" s="166">
        <v>45889</v>
      </c>
      <c r="H95" s="133" t="s">
        <v>98</v>
      </c>
      <c r="I95" s="133" t="s">
        <v>455</v>
      </c>
      <c r="J95" s="133" t="s">
        <v>666</v>
      </c>
      <c r="K95" s="152">
        <v>220</v>
      </c>
      <c r="L95" s="153" t="s">
        <v>42</v>
      </c>
      <c r="M95" s="156">
        <v>220</v>
      </c>
      <c r="N95" s="156">
        <v>857107</v>
      </c>
      <c r="O95" s="156">
        <v>188563540</v>
      </c>
      <c r="P95" s="152">
        <v>188563540</v>
      </c>
      <c r="Q95" s="136">
        <v>0</v>
      </c>
      <c r="R95" s="136">
        <v>0</v>
      </c>
      <c r="S95" s="153" t="s">
        <v>43</v>
      </c>
      <c r="T95" s="136">
        <v>128248906.61</v>
      </c>
      <c r="U95" s="136">
        <v>128248906.61</v>
      </c>
      <c r="V95" s="136">
        <v>60314633.390000001</v>
      </c>
      <c r="W95" s="136">
        <v>0.31986370954799997</v>
      </c>
      <c r="X95" s="136">
        <v>60314633.390000001</v>
      </c>
      <c r="Y95" s="133" t="s">
        <v>101</v>
      </c>
      <c r="Z95" s="133" t="s">
        <v>46</v>
      </c>
      <c r="AA95" s="133">
        <v>2306511</v>
      </c>
      <c r="AB95" s="133" t="s">
        <v>102</v>
      </c>
      <c r="AC95" s="133" t="s">
        <v>56</v>
      </c>
      <c r="AD95" s="133" t="s">
        <v>103</v>
      </c>
      <c r="AE95" s="133">
        <v>0</v>
      </c>
      <c r="AF95" s="133" t="s">
        <v>732</v>
      </c>
      <c r="AG95" s="133" t="s">
        <v>101</v>
      </c>
      <c r="AH95" s="133" t="s">
        <v>46</v>
      </c>
      <c r="AI95" s="133" t="s">
        <v>101</v>
      </c>
      <c r="AJ95" s="133" t="s">
        <v>46</v>
      </c>
      <c r="AK95" s="133" t="s">
        <v>54</v>
      </c>
      <c r="AL95" s="133" t="s">
        <v>48</v>
      </c>
      <c r="AM95" s="133" t="s">
        <v>49</v>
      </c>
      <c r="AN95" s="133" t="str">
        <f>VLOOKUP(I95,Sheet1!A:D,4,FALSE)</f>
        <v>A210600</v>
      </c>
      <c r="AP95" s="36" t="s">
        <v>1247</v>
      </c>
    </row>
    <row r="96" spans="1:42" s="133" customFormat="1" ht="14.25" x14ac:dyDescent="0.2">
      <c r="A96" s="149">
        <v>45870</v>
      </c>
      <c r="B96" s="133" t="s">
        <v>40</v>
      </c>
      <c r="C96" s="133" t="s">
        <v>41</v>
      </c>
      <c r="D96" s="150">
        <v>25708462</v>
      </c>
      <c r="E96" s="150">
        <v>25106758</v>
      </c>
      <c r="F96" s="150" t="s">
        <v>1244</v>
      </c>
      <c r="G96" s="166">
        <v>45889</v>
      </c>
      <c r="H96" s="133" t="s">
        <v>98</v>
      </c>
      <c r="I96" s="133" t="s">
        <v>455</v>
      </c>
      <c r="J96" s="133" t="s">
        <v>666</v>
      </c>
      <c r="K96" s="152">
        <v>80</v>
      </c>
      <c r="L96" s="153" t="s">
        <v>42</v>
      </c>
      <c r="M96" s="156">
        <v>80</v>
      </c>
      <c r="N96" s="156">
        <v>843012</v>
      </c>
      <c r="O96" s="156">
        <v>67440960</v>
      </c>
      <c r="P96" s="152">
        <v>67440960</v>
      </c>
      <c r="Q96" s="136">
        <v>0</v>
      </c>
      <c r="R96" s="136">
        <v>0</v>
      </c>
      <c r="S96" s="153" t="s">
        <v>43</v>
      </c>
      <c r="T96" s="136">
        <v>46635966.039999999</v>
      </c>
      <c r="U96" s="136">
        <v>46635966.039999999</v>
      </c>
      <c r="V96" s="136">
        <v>20804993.960000001</v>
      </c>
      <c r="W96" s="136">
        <v>0.30849196037499999</v>
      </c>
      <c r="X96" s="136">
        <v>20804993.960000001</v>
      </c>
      <c r="Y96" s="133" t="s">
        <v>101</v>
      </c>
      <c r="Z96" s="133" t="s">
        <v>46</v>
      </c>
      <c r="AA96" s="133">
        <v>2306511</v>
      </c>
      <c r="AB96" s="133" t="s">
        <v>102</v>
      </c>
      <c r="AC96" s="133" t="s">
        <v>56</v>
      </c>
      <c r="AD96" s="133" t="s">
        <v>103</v>
      </c>
      <c r="AE96" s="133">
        <v>0</v>
      </c>
      <c r="AF96" s="133" t="s">
        <v>732</v>
      </c>
      <c r="AG96" s="133" t="s">
        <v>101</v>
      </c>
      <c r="AH96" s="133" t="s">
        <v>46</v>
      </c>
      <c r="AI96" s="133" t="s">
        <v>101</v>
      </c>
      <c r="AJ96" s="133" t="s">
        <v>46</v>
      </c>
      <c r="AK96" s="133" t="s">
        <v>54</v>
      </c>
      <c r="AL96" s="133" t="s">
        <v>48</v>
      </c>
      <c r="AM96" s="133" t="s">
        <v>49</v>
      </c>
      <c r="AN96" s="133" t="str">
        <f>VLOOKUP(I96,Sheet1!A:D,4,FALSE)</f>
        <v>A210600</v>
      </c>
      <c r="AP96" s="36" t="s">
        <v>1247</v>
      </c>
    </row>
    <row r="97" spans="1:42" s="133" customFormat="1" ht="14.25" x14ac:dyDescent="0.2">
      <c r="A97" s="149">
        <v>45870</v>
      </c>
      <c r="B97" s="133" t="s">
        <v>40</v>
      </c>
      <c r="C97" s="133" t="s">
        <v>41</v>
      </c>
      <c r="D97" s="150">
        <v>25708463</v>
      </c>
      <c r="E97" s="150">
        <v>25106759</v>
      </c>
      <c r="F97" s="150" t="s">
        <v>1245</v>
      </c>
      <c r="G97" s="166">
        <v>45889</v>
      </c>
      <c r="H97" s="133" t="s">
        <v>98</v>
      </c>
      <c r="I97" s="133" t="s">
        <v>453</v>
      </c>
      <c r="J97" s="133" t="s">
        <v>664</v>
      </c>
      <c r="K97" s="152">
        <v>130</v>
      </c>
      <c r="L97" s="153" t="s">
        <v>42</v>
      </c>
      <c r="M97" s="156">
        <v>130</v>
      </c>
      <c r="N97" s="156">
        <v>565839</v>
      </c>
      <c r="O97" s="156">
        <v>73559070</v>
      </c>
      <c r="P97" s="152">
        <v>73559070</v>
      </c>
      <c r="Q97" s="136">
        <v>0</v>
      </c>
      <c r="R97" s="136">
        <v>0</v>
      </c>
      <c r="S97" s="153" t="s">
        <v>43</v>
      </c>
      <c r="T97" s="136">
        <v>45596468.060000002</v>
      </c>
      <c r="U97" s="136">
        <v>45596468.060000002</v>
      </c>
      <c r="V97" s="136">
        <v>27962601.940000001</v>
      </c>
      <c r="W97" s="136">
        <v>0.38013805693800001</v>
      </c>
      <c r="X97" s="136">
        <v>27962601.940000001</v>
      </c>
      <c r="Y97" s="133" t="s">
        <v>101</v>
      </c>
      <c r="Z97" s="133" t="s">
        <v>46</v>
      </c>
      <c r="AA97" s="133">
        <v>2306511</v>
      </c>
      <c r="AB97" s="133" t="s">
        <v>102</v>
      </c>
      <c r="AC97" s="133" t="s">
        <v>56</v>
      </c>
      <c r="AD97" s="133" t="s">
        <v>103</v>
      </c>
      <c r="AE97" s="133">
        <v>0</v>
      </c>
      <c r="AF97" s="133" t="s">
        <v>108</v>
      </c>
      <c r="AG97" s="133" t="s">
        <v>101</v>
      </c>
      <c r="AH97" s="133" t="s">
        <v>46</v>
      </c>
      <c r="AI97" s="133" t="s">
        <v>101</v>
      </c>
      <c r="AJ97" s="133" t="s">
        <v>46</v>
      </c>
      <c r="AK97" s="133" t="s">
        <v>54</v>
      </c>
      <c r="AL97" s="133" t="s">
        <v>48</v>
      </c>
      <c r="AM97" s="133" t="s">
        <v>49</v>
      </c>
      <c r="AN97" s="133" t="str">
        <f>VLOOKUP(I97,Sheet1!A:D,4,FALSE)</f>
        <v>A210600</v>
      </c>
      <c r="AP97" s="36" t="s">
        <v>1247</v>
      </c>
    </row>
    <row r="98" spans="1:42" s="133" customFormat="1" ht="14.25" x14ac:dyDescent="0.2">
      <c r="A98" s="149">
        <v>45870</v>
      </c>
      <c r="B98" s="133" t="s">
        <v>40</v>
      </c>
      <c r="C98" s="133" t="s">
        <v>41</v>
      </c>
      <c r="D98" s="150">
        <v>25708464</v>
      </c>
      <c r="E98" s="150">
        <v>25106761</v>
      </c>
      <c r="F98" s="150" t="s">
        <v>1246</v>
      </c>
      <c r="G98" s="166">
        <v>45889</v>
      </c>
      <c r="H98" s="133" t="s">
        <v>98</v>
      </c>
      <c r="I98" s="133" t="s">
        <v>454</v>
      </c>
      <c r="J98" s="133" t="s">
        <v>665</v>
      </c>
      <c r="K98" s="152">
        <v>130</v>
      </c>
      <c r="L98" s="153" t="s">
        <v>42</v>
      </c>
      <c r="M98" s="156">
        <v>130</v>
      </c>
      <c r="N98" s="156">
        <v>576856</v>
      </c>
      <c r="O98" s="156">
        <v>74991280</v>
      </c>
      <c r="P98" s="152">
        <v>74991280</v>
      </c>
      <c r="Q98" s="136">
        <v>0</v>
      </c>
      <c r="R98" s="136">
        <v>0</v>
      </c>
      <c r="S98" s="153" t="s">
        <v>43</v>
      </c>
      <c r="T98" s="136">
        <v>49930073.520000003</v>
      </c>
      <c r="U98" s="136">
        <v>49930073.520000003</v>
      </c>
      <c r="V98" s="136">
        <v>25061206.48</v>
      </c>
      <c r="W98" s="136">
        <v>0.33418827469000001</v>
      </c>
      <c r="X98" s="136">
        <v>25061206.48</v>
      </c>
      <c r="Y98" s="133" t="s">
        <v>101</v>
      </c>
      <c r="Z98" s="133" t="s">
        <v>46</v>
      </c>
      <c r="AA98" s="133">
        <v>2306511</v>
      </c>
      <c r="AB98" s="133" t="s">
        <v>102</v>
      </c>
      <c r="AC98" s="133" t="s">
        <v>56</v>
      </c>
      <c r="AD98" s="133" t="s">
        <v>103</v>
      </c>
      <c r="AE98" s="133">
        <v>0</v>
      </c>
      <c r="AF98" s="133" t="s">
        <v>108</v>
      </c>
      <c r="AG98" s="133" t="s">
        <v>101</v>
      </c>
      <c r="AH98" s="133" t="s">
        <v>46</v>
      </c>
      <c r="AI98" s="133" t="s">
        <v>101</v>
      </c>
      <c r="AJ98" s="133" t="s">
        <v>46</v>
      </c>
      <c r="AK98" s="133" t="s">
        <v>54</v>
      </c>
      <c r="AL98" s="133" t="s">
        <v>48</v>
      </c>
      <c r="AM98" s="133" t="s">
        <v>49</v>
      </c>
      <c r="AN98" s="133" t="str">
        <f>VLOOKUP(I98,Sheet1!A:D,4,FALSE)</f>
        <v>A210600</v>
      </c>
      <c r="AP98" s="36" t="s">
        <v>1247</v>
      </c>
    </row>
    <row r="99" spans="1:42" s="133" customFormat="1" ht="14.25" x14ac:dyDescent="0.2">
      <c r="A99" s="149">
        <v>45870</v>
      </c>
      <c r="B99" s="133" t="s">
        <v>40</v>
      </c>
      <c r="C99" s="133" t="s">
        <v>41</v>
      </c>
      <c r="D99" s="150">
        <v>25708465</v>
      </c>
      <c r="E99" s="150">
        <v>25106787</v>
      </c>
      <c r="F99" s="150" t="s">
        <v>1143</v>
      </c>
      <c r="G99" s="166">
        <v>45891</v>
      </c>
      <c r="H99" s="133" t="s">
        <v>729</v>
      </c>
      <c r="I99" s="133" t="s">
        <v>50</v>
      </c>
      <c r="J99" s="133" t="s">
        <v>488</v>
      </c>
      <c r="K99" s="152">
        <v>570</v>
      </c>
      <c r="L99" s="153" t="s">
        <v>42</v>
      </c>
      <c r="M99" s="156">
        <v>570</v>
      </c>
      <c r="N99" s="156">
        <v>315561.84000000003</v>
      </c>
      <c r="O99" s="156">
        <v>179870248.80000001</v>
      </c>
      <c r="P99" s="152">
        <v>179870248.80000001</v>
      </c>
      <c r="Q99" s="136">
        <v>0</v>
      </c>
      <c r="R99" s="136">
        <v>0</v>
      </c>
      <c r="S99" s="153" t="s">
        <v>43</v>
      </c>
      <c r="T99" s="136">
        <v>89569016.299999997</v>
      </c>
      <c r="U99" s="136">
        <v>89569016.299999997</v>
      </c>
      <c r="V99" s="136">
        <v>90301232.5</v>
      </c>
      <c r="W99" s="136">
        <v>0.50203540108699996</v>
      </c>
      <c r="X99" s="136">
        <v>90301232.5</v>
      </c>
      <c r="Y99" s="133" t="s">
        <v>235</v>
      </c>
      <c r="Z99" s="133" t="s">
        <v>44</v>
      </c>
      <c r="AA99" s="133">
        <v>15161</v>
      </c>
      <c r="AB99" s="133" t="s">
        <v>730</v>
      </c>
      <c r="AC99" s="133" t="s">
        <v>56</v>
      </c>
      <c r="AD99" s="133" t="s">
        <v>103</v>
      </c>
      <c r="AE99" s="133">
        <v>0</v>
      </c>
      <c r="AF99" s="133" t="s">
        <v>731</v>
      </c>
      <c r="AG99" s="133" t="s">
        <v>101</v>
      </c>
      <c r="AH99" s="133" t="s">
        <v>46</v>
      </c>
      <c r="AI99" s="133" t="s">
        <v>101</v>
      </c>
      <c r="AJ99" s="133" t="s">
        <v>46</v>
      </c>
      <c r="AK99" s="133" t="s">
        <v>47</v>
      </c>
      <c r="AL99" s="133" t="s">
        <v>48</v>
      </c>
      <c r="AM99" s="133" t="s">
        <v>49</v>
      </c>
      <c r="AN99" s="133" t="str">
        <f>VLOOKUP(I99,Sheet1!A:D,4,FALSE)</f>
        <v>A210600</v>
      </c>
      <c r="AP99" s="36" t="s">
        <v>1247</v>
      </c>
    </row>
    <row r="100" spans="1:42" s="133" customFormat="1" ht="14.25" x14ac:dyDescent="0.2">
      <c r="A100" s="149">
        <v>45870</v>
      </c>
      <c r="B100" s="133" t="s">
        <v>40</v>
      </c>
      <c r="C100" s="133" t="s">
        <v>41</v>
      </c>
      <c r="D100" s="150">
        <v>25708466</v>
      </c>
      <c r="E100" s="150">
        <v>25106790</v>
      </c>
      <c r="F100" s="150" t="s">
        <v>1220</v>
      </c>
      <c r="G100" s="166">
        <v>45891</v>
      </c>
      <c r="H100" s="133" t="s">
        <v>729</v>
      </c>
      <c r="I100" s="133" t="s">
        <v>62</v>
      </c>
      <c r="J100" s="133" t="s">
        <v>486</v>
      </c>
      <c r="K100" s="152">
        <v>240</v>
      </c>
      <c r="L100" s="153" t="s">
        <v>42</v>
      </c>
      <c r="M100" s="156">
        <v>240</v>
      </c>
      <c r="N100" s="156">
        <v>239544.6</v>
      </c>
      <c r="O100" s="156">
        <v>57490704</v>
      </c>
      <c r="P100" s="152">
        <v>57490704</v>
      </c>
      <c r="Q100" s="136">
        <v>0</v>
      </c>
      <c r="R100" s="136">
        <v>0</v>
      </c>
      <c r="S100" s="153" t="s">
        <v>43</v>
      </c>
      <c r="T100" s="136">
        <v>33693462.840000004</v>
      </c>
      <c r="U100" s="136">
        <v>33693462.840000004</v>
      </c>
      <c r="V100" s="136">
        <v>23797241.16</v>
      </c>
      <c r="W100" s="136">
        <v>0.413931983856</v>
      </c>
      <c r="X100" s="136">
        <v>23797241.16</v>
      </c>
      <c r="Y100" s="133" t="s">
        <v>235</v>
      </c>
      <c r="Z100" s="133" t="s">
        <v>44</v>
      </c>
      <c r="AA100" s="133">
        <v>15161</v>
      </c>
      <c r="AB100" s="133" t="s">
        <v>730</v>
      </c>
      <c r="AC100" s="133" t="s">
        <v>56</v>
      </c>
      <c r="AD100" s="133" t="s">
        <v>103</v>
      </c>
      <c r="AE100" s="133">
        <v>0</v>
      </c>
      <c r="AF100" s="133" t="s">
        <v>731</v>
      </c>
      <c r="AG100" s="133" t="s">
        <v>101</v>
      </c>
      <c r="AH100" s="133" t="s">
        <v>46</v>
      </c>
      <c r="AI100" s="133" t="s">
        <v>101</v>
      </c>
      <c r="AJ100" s="133" t="s">
        <v>46</v>
      </c>
      <c r="AK100" s="133" t="s">
        <v>47</v>
      </c>
      <c r="AL100" s="133" t="s">
        <v>48</v>
      </c>
      <c r="AM100" s="133" t="s">
        <v>49</v>
      </c>
      <c r="AN100" s="133" t="str">
        <f>VLOOKUP(I100,Sheet1!A:D,4,FALSE)</f>
        <v>A210600</v>
      </c>
      <c r="AP100" s="36" t="s">
        <v>1247</v>
      </c>
    </row>
    <row r="101" spans="1:42" s="133" customFormat="1" ht="14.25" x14ac:dyDescent="0.2">
      <c r="A101" s="149">
        <v>45870</v>
      </c>
      <c r="B101" s="133" t="s">
        <v>40</v>
      </c>
      <c r="C101" s="133" t="s">
        <v>41</v>
      </c>
      <c r="D101" s="150">
        <v>25708467</v>
      </c>
      <c r="E101" s="150">
        <v>25106872</v>
      </c>
      <c r="F101" s="150" t="s">
        <v>1223</v>
      </c>
      <c r="G101" s="166">
        <v>45891</v>
      </c>
      <c r="H101" s="133" t="s">
        <v>729</v>
      </c>
      <c r="I101" s="133" t="s">
        <v>52</v>
      </c>
      <c r="J101" s="133" t="s">
        <v>519</v>
      </c>
      <c r="K101" s="152">
        <v>270</v>
      </c>
      <c r="L101" s="153" t="s">
        <v>42</v>
      </c>
      <c r="M101" s="156">
        <v>270</v>
      </c>
      <c r="N101" s="156">
        <v>327030</v>
      </c>
      <c r="O101" s="156">
        <v>88298100</v>
      </c>
      <c r="P101" s="152">
        <v>88298100</v>
      </c>
      <c r="Q101" s="136">
        <v>0</v>
      </c>
      <c r="R101" s="136">
        <v>0</v>
      </c>
      <c r="S101" s="153" t="s">
        <v>43</v>
      </c>
      <c r="T101" s="136">
        <v>40066658.359999999</v>
      </c>
      <c r="U101" s="136">
        <v>40066658.359999999</v>
      </c>
      <c r="V101" s="136">
        <v>48231441.640000001</v>
      </c>
      <c r="W101" s="136">
        <v>0.54623419575200005</v>
      </c>
      <c r="X101" s="136">
        <v>48231441.640000001</v>
      </c>
      <c r="Y101" s="133" t="s">
        <v>235</v>
      </c>
      <c r="Z101" s="133" t="s">
        <v>44</v>
      </c>
      <c r="AA101" s="133">
        <v>15161</v>
      </c>
      <c r="AB101" s="133" t="s">
        <v>730</v>
      </c>
      <c r="AC101" s="133" t="s">
        <v>56</v>
      </c>
      <c r="AD101" s="133" t="s">
        <v>103</v>
      </c>
      <c r="AE101" s="133">
        <v>0</v>
      </c>
      <c r="AF101" s="133" t="s">
        <v>731</v>
      </c>
      <c r="AG101" s="133" t="s">
        <v>101</v>
      </c>
      <c r="AH101" s="133" t="s">
        <v>46</v>
      </c>
      <c r="AI101" s="133" t="s">
        <v>101</v>
      </c>
      <c r="AJ101" s="133" t="s">
        <v>46</v>
      </c>
      <c r="AK101" s="133" t="s">
        <v>47</v>
      </c>
      <c r="AL101" s="133" t="s">
        <v>48</v>
      </c>
      <c r="AM101" s="133" t="s">
        <v>49</v>
      </c>
      <c r="AN101" s="133" t="str">
        <f>VLOOKUP(I101,Sheet1!A:D,4,FALSE)</f>
        <v>A210600</v>
      </c>
      <c r="AP101" s="36" t="s">
        <v>1247</v>
      </c>
    </row>
    <row r="102" spans="1:42" s="133" customFormat="1" ht="14.25" x14ac:dyDescent="0.2">
      <c r="A102" s="149">
        <v>45870</v>
      </c>
      <c r="B102" s="133" t="s">
        <v>40</v>
      </c>
      <c r="C102" s="133" t="s">
        <v>41</v>
      </c>
      <c r="D102" s="150">
        <v>25708478</v>
      </c>
      <c r="E102" s="150">
        <v>25106787</v>
      </c>
      <c r="F102" s="150" t="s">
        <v>1143</v>
      </c>
      <c r="G102" s="166">
        <v>45896</v>
      </c>
      <c r="H102" s="133" t="s">
        <v>73</v>
      </c>
      <c r="I102" s="133" t="s">
        <v>50</v>
      </c>
      <c r="J102" s="133" t="s">
        <v>74</v>
      </c>
      <c r="K102" s="152">
        <v>430</v>
      </c>
      <c r="L102" s="153" t="s">
        <v>42</v>
      </c>
      <c r="M102" s="156">
        <v>430</v>
      </c>
      <c r="N102" s="156">
        <v>315561.84000000003</v>
      </c>
      <c r="O102" s="156">
        <v>135691591.19999999</v>
      </c>
      <c r="P102" s="152">
        <v>135691591.19999999</v>
      </c>
      <c r="Q102" s="136">
        <v>0</v>
      </c>
      <c r="R102" s="136">
        <v>0</v>
      </c>
      <c r="S102" s="153" t="s">
        <v>43</v>
      </c>
      <c r="T102" s="136">
        <v>67569608.780000001</v>
      </c>
      <c r="U102" s="136">
        <v>67569608.780000001</v>
      </c>
      <c r="V102" s="136">
        <v>68121982.420000002</v>
      </c>
      <c r="W102" s="136">
        <v>0.50203540114400003</v>
      </c>
      <c r="X102" s="136">
        <v>68121982.420000002</v>
      </c>
      <c r="Y102" s="133" t="s">
        <v>66</v>
      </c>
      <c r="Z102" s="133" t="s">
        <v>44</v>
      </c>
      <c r="AA102" s="133">
        <v>15161</v>
      </c>
      <c r="AB102" s="133" t="s">
        <v>75</v>
      </c>
      <c r="AC102" s="133" t="s">
        <v>56</v>
      </c>
      <c r="AD102" s="133" t="s">
        <v>77</v>
      </c>
      <c r="AE102" s="133">
        <v>0</v>
      </c>
      <c r="AF102" s="133" t="s">
        <v>76</v>
      </c>
      <c r="AG102" s="133" t="s">
        <v>69</v>
      </c>
      <c r="AH102" s="133" t="s">
        <v>46</v>
      </c>
      <c r="AI102" s="133" t="s">
        <v>69</v>
      </c>
      <c r="AJ102" s="133" t="s">
        <v>46</v>
      </c>
      <c r="AK102" s="133" t="s">
        <v>47</v>
      </c>
      <c r="AL102" s="133" t="s">
        <v>48</v>
      </c>
      <c r="AM102" s="133" t="s">
        <v>49</v>
      </c>
      <c r="AN102" s="133" t="str">
        <f>VLOOKUP(I102,Sheet1!A:D,4,FALSE)</f>
        <v>A210600</v>
      </c>
      <c r="AP102" s="36" t="s">
        <v>1266</v>
      </c>
    </row>
    <row r="103" spans="1:42" s="133" customFormat="1" ht="14.25" x14ac:dyDescent="0.2">
      <c r="A103" s="149">
        <v>45870</v>
      </c>
      <c r="B103" s="133" t="s">
        <v>40</v>
      </c>
      <c r="C103" s="133" t="s">
        <v>41</v>
      </c>
      <c r="D103" s="150">
        <v>25708479</v>
      </c>
      <c r="E103" s="150">
        <v>25106790</v>
      </c>
      <c r="F103" s="150" t="s">
        <v>1220</v>
      </c>
      <c r="G103" s="166">
        <v>45896</v>
      </c>
      <c r="H103" s="133" t="s">
        <v>73</v>
      </c>
      <c r="I103" s="133" t="s">
        <v>62</v>
      </c>
      <c r="J103" s="133" t="s">
        <v>83</v>
      </c>
      <c r="K103" s="152">
        <v>260</v>
      </c>
      <c r="L103" s="153" t="s">
        <v>42</v>
      </c>
      <c r="M103" s="156">
        <v>260</v>
      </c>
      <c r="N103" s="156">
        <v>239544.6</v>
      </c>
      <c r="O103" s="156">
        <v>62281596</v>
      </c>
      <c r="P103" s="152">
        <v>62281596</v>
      </c>
      <c r="Q103" s="136">
        <v>0</v>
      </c>
      <c r="R103" s="136">
        <v>0</v>
      </c>
      <c r="S103" s="153" t="s">
        <v>43</v>
      </c>
      <c r="T103" s="136">
        <v>36501251.409999996</v>
      </c>
      <c r="U103" s="136">
        <v>36501251.409999996</v>
      </c>
      <c r="V103" s="136">
        <v>25780344.59</v>
      </c>
      <c r="W103" s="136">
        <v>0.413931983856</v>
      </c>
      <c r="X103" s="136">
        <v>25780344.59</v>
      </c>
      <c r="Y103" s="133" t="s">
        <v>66</v>
      </c>
      <c r="Z103" s="133" t="s">
        <v>44</v>
      </c>
      <c r="AA103" s="133">
        <v>15161</v>
      </c>
      <c r="AB103" s="133" t="s">
        <v>75</v>
      </c>
      <c r="AC103" s="133" t="s">
        <v>56</v>
      </c>
      <c r="AD103" s="133" t="s">
        <v>77</v>
      </c>
      <c r="AE103" s="133">
        <v>0</v>
      </c>
      <c r="AF103" s="133" t="s">
        <v>76</v>
      </c>
      <c r="AG103" s="133" t="s">
        <v>69</v>
      </c>
      <c r="AH103" s="133" t="s">
        <v>46</v>
      </c>
      <c r="AI103" s="133" t="s">
        <v>69</v>
      </c>
      <c r="AJ103" s="133" t="s">
        <v>46</v>
      </c>
      <c r="AK103" s="133" t="s">
        <v>47</v>
      </c>
      <c r="AL103" s="133" t="s">
        <v>48</v>
      </c>
      <c r="AM103" s="133" t="s">
        <v>49</v>
      </c>
      <c r="AN103" s="133" t="str">
        <f>VLOOKUP(I103,Sheet1!A:D,4,FALSE)</f>
        <v>A210600</v>
      </c>
      <c r="AP103" s="36" t="s">
        <v>1266</v>
      </c>
    </row>
    <row r="104" spans="1:42" s="133" customFormat="1" ht="14.25" x14ac:dyDescent="0.2">
      <c r="A104" s="149">
        <v>45870</v>
      </c>
      <c r="B104" s="133" t="s">
        <v>40</v>
      </c>
      <c r="C104" s="133" t="s">
        <v>41</v>
      </c>
      <c r="D104" s="150">
        <v>25708480</v>
      </c>
      <c r="E104" s="150">
        <v>25106871</v>
      </c>
      <c r="F104" s="150" t="s">
        <v>1221</v>
      </c>
      <c r="G104" s="166">
        <v>45896</v>
      </c>
      <c r="H104" s="133" t="s">
        <v>73</v>
      </c>
      <c r="I104" s="133" t="s">
        <v>283</v>
      </c>
      <c r="J104" s="133" t="s">
        <v>1222</v>
      </c>
      <c r="K104" s="152">
        <v>150</v>
      </c>
      <c r="L104" s="153" t="s">
        <v>42</v>
      </c>
      <c r="M104" s="156">
        <v>150</v>
      </c>
      <c r="N104" s="156">
        <v>308952</v>
      </c>
      <c r="O104" s="156">
        <v>46342800</v>
      </c>
      <c r="P104" s="152">
        <v>46342800</v>
      </c>
      <c r="Q104" s="136">
        <v>0</v>
      </c>
      <c r="R104" s="136">
        <v>0</v>
      </c>
      <c r="S104" s="153" t="s">
        <v>43</v>
      </c>
      <c r="T104" s="136">
        <v>24424927.969999999</v>
      </c>
      <c r="U104" s="136">
        <v>24424927.969999999</v>
      </c>
      <c r="V104" s="136">
        <v>21917872.030000001</v>
      </c>
      <c r="W104" s="136">
        <v>0.47295096606100001</v>
      </c>
      <c r="X104" s="136">
        <v>21917872.030000001</v>
      </c>
      <c r="Y104" s="133" t="s">
        <v>66</v>
      </c>
      <c r="Z104" s="133" t="s">
        <v>44</v>
      </c>
      <c r="AA104" s="133">
        <v>15161</v>
      </c>
      <c r="AB104" s="133" t="s">
        <v>75</v>
      </c>
      <c r="AC104" s="133" t="s">
        <v>56</v>
      </c>
      <c r="AD104" s="133" t="s">
        <v>77</v>
      </c>
      <c r="AE104" s="133">
        <v>0</v>
      </c>
      <c r="AF104" s="133" t="s">
        <v>76</v>
      </c>
      <c r="AG104" s="133" t="s">
        <v>69</v>
      </c>
      <c r="AH104" s="133" t="s">
        <v>46</v>
      </c>
      <c r="AI104" s="133" t="s">
        <v>69</v>
      </c>
      <c r="AJ104" s="133" t="s">
        <v>46</v>
      </c>
      <c r="AK104" s="133" t="s">
        <v>47</v>
      </c>
      <c r="AL104" s="133" t="s">
        <v>48</v>
      </c>
      <c r="AM104" s="133" t="s">
        <v>49</v>
      </c>
      <c r="AN104" s="133" t="str">
        <f>VLOOKUP(I104,Sheet1!A:D,4,FALSE)</f>
        <v>A210600</v>
      </c>
      <c r="AP104" s="36" t="s">
        <v>1266</v>
      </c>
    </row>
    <row r="105" spans="1:42" s="133" customFormat="1" ht="14.25" x14ac:dyDescent="0.2">
      <c r="A105" s="149">
        <v>45870</v>
      </c>
      <c r="B105" s="133" t="s">
        <v>40</v>
      </c>
      <c r="C105" s="133" t="s">
        <v>41</v>
      </c>
      <c r="D105" s="150">
        <v>25708481</v>
      </c>
      <c r="E105" s="150">
        <v>25106872</v>
      </c>
      <c r="F105" s="150" t="s">
        <v>1223</v>
      </c>
      <c r="G105" s="166">
        <v>45896</v>
      </c>
      <c r="H105" s="133" t="s">
        <v>73</v>
      </c>
      <c r="I105" s="133" t="s">
        <v>52</v>
      </c>
      <c r="J105" s="133" t="s">
        <v>80</v>
      </c>
      <c r="K105" s="152">
        <v>230</v>
      </c>
      <c r="L105" s="153" t="s">
        <v>42</v>
      </c>
      <c r="M105" s="156">
        <v>230</v>
      </c>
      <c r="N105" s="156">
        <v>327030</v>
      </c>
      <c r="O105" s="156">
        <v>75216900</v>
      </c>
      <c r="P105" s="152">
        <v>75216900</v>
      </c>
      <c r="Q105" s="136">
        <v>0</v>
      </c>
      <c r="R105" s="136">
        <v>0</v>
      </c>
      <c r="S105" s="153" t="s">
        <v>43</v>
      </c>
      <c r="T105" s="136">
        <v>34130857.130000003</v>
      </c>
      <c r="U105" s="136">
        <v>34130857.130000003</v>
      </c>
      <c r="V105" s="136">
        <v>41086042.869999997</v>
      </c>
      <c r="W105" s="136">
        <v>0.546234195639</v>
      </c>
      <c r="X105" s="136">
        <v>41086042.869999997</v>
      </c>
      <c r="Y105" s="133" t="s">
        <v>66</v>
      </c>
      <c r="Z105" s="133" t="s">
        <v>44</v>
      </c>
      <c r="AA105" s="133">
        <v>15161</v>
      </c>
      <c r="AB105" s="133" t="s">
        <v>75</v>
      </c>
      <c r="AC105" s="133" t="s">
        <v>56</v>
      </c>
      <c r="AD105" s="133" t="s">
        <v>77</v>
      </c>
      <c r="AE105" s="133">
        <v>0</v>
      </c>
      <c r="AF105" s="133" t="s">
        <v>76</v>
      </c>
      <c r="AG105" s="133" t="s">
        <v>69</v>
      </c>
      <c r="AH105" s="133" t="s">
        <v>46</v>
      </c>
      <c r="AI105" s="133" t="s">
        <v>69</v>
      </c>
      <c r="AJ105" s="133" t="s">
        <v>46</v>
      </c>
      <c r="AK105" s="133" t="s">
        <v>47</v>
      </c>
      <c r="AL105" s="133" t="s">
        <v>48</v>
      </c>
      <c r="AM105" s="133" t="s">
        <v>49</v>
      </c>
      <c r="AN105" s="133" t="str">
        <f>VLOOKUP(I105,Sheet1!A:D,4,FALSE)</f>
        <v>A210600</v>
      </c>
      <c r="AP105" s="36" t="s">
        <v>1266</v>
      </c>
    </row>
    <row r="106" spans="1:42" s="133" customFormat="1" ht="14.25" x14ac:dyDescent="0.2">
      <c r="A106" s="149">
        <v>45870</v>
      </c>
      <c r="B106" s="133" t="s">
        <v>40</v>
      </c>
      <c r="C106" s="133" t="s">
        <v>41</v>
      </c>
      <c r="D106" s="150">
        <v>25708485</v>
      </c>
      <c r="E106" s="150">
        <v>25106873</v>
      </c>
      <c r="F106" s="150" t="s">
        <v>1265</v>
      </c>
      <c r="G106" s="166">
        <v>45896</v>
      </c>
      <c r="H106" s="133" t="s">
        <v>73</v>
      </c>
      <c r="I106" s="133" t="s">
        <v>50</v>
      </c>
      <c r="J106" s="133" t="s">
        <v>74</v>
      </c>
      <c r="K106" s="152">
        <v>100</v>
      </c>
      <c r="L106" s="153" t="s">
        <v>42</v>
      </c>
      <c r="M106" s="156">
        <v>100</v>
      </c>
      <c r="N106" s="156">
        <v>313023.65000000002</v>
      </c>
      <c r="O106" s="156">
        <v>31302365</v>
      </c>
      <c r="P106" s="152">
        <v>31302365</v>
      </c>
      <c r="Q106" s="136">
        <v>0</v>
      </c>
      <c r="R106" s="136">
        <v>0</v>
      </c>
      <c r="S106" s="153" t="s">
        <v>43</v>
      </c>
      <c r="T106" s="136">
        <v>15713862.51</v>
      </c>
      <c r="U106" s="136">
        <v>15713862.51</v>
      </c>
      <c r="V106" s="136">
        <v>15588502.49</v>
      </c>
      <c r="W106" s="136">
        <v>0.49799759506899999</v>
      </c>
      <c r="X106" s="136">
        <v>15588502.49</v>
      </c>
      <c r="Y106" s="133" t="s">
        <v>66</v>
      </c>
      <c r="Z106" s="133" t="s">
        <v>44</v>
      </c>
      <c r="AA106" s="133">
        <v>15161</v>
      </c>
      <c r="AB106" s="133" t="s">
        <v>75</v>
      </c>
      <c r="AC106" s="133" t="s">
        <v>56</v>
      </c>
      <c r="AD106" s="133" t="s">
        <v>77</v>
      </c>
      <c r="AE106" s="133">
        <v>0</v>
      </c>
      <c r="AF106" s="133" t="s">
        <v>76</v>
      </c>
      <c r="AG106" s="133" t="s">
        <v>69</v>
      </c>
      <c r="AH106" s="133" t="s">
        <v>46</v>
      </c>
      <c r="AI106" s="133" t="s">
        <v>69</v>
      </c>
      <c r="AJ106" s="133" t="s">
        <v>46</v>
      </c>
      <c r="AK106" s="133" t="s">
        <v>47</v>
      </c>
      <c r="AL106" s="133" t="s">
        <v>48</v>
      </c>
      <c r="AM106" s="133" t="s">
        <v>49</v>
      </c>
      <c r="AN106" s="133" t="str">
        <f>VLOOKUP(I106,Sheet1!A:D,4,FALSE)</f>
        <v>A210600</v>
      </c>
      <c r="AP106" s="36" t="s">
        <v>1266</v>
      </c>
    </row>
    <row r="107" spans="1:42" s="133" customFormat="1" x14ac:dyDescent="0.25">
      <c r="A107" s="149">
        <v>45901</v>
      </c>
      <c r="B107" s="133" t="s">
        <v>40</v>
      </c>
      <c r="C107" s="133" t="s">
        <v>41</v>
      </c>
      <c r="D107" s="150">
        <v>25708489</v>
      </c>
      <c r="E107" s="150">
        <v>25106754</v>
      </c>
      <c r="F107" s="150" t="s">
        <v>1272</v>
      </c>
      <c r="G107" s="166">
        <v>45904</v>
      </c>
      <c r="H107" s="133" t="s">
        <v>729</v>
      </c>
      <c r="I107" s="133" t="s">
        <v>1273</v>
      </c>
      <c r="J107" s="133" t="s">
        <v>1274</v>
      </c>
      <c r="K107" s="152">
        <v>60</v>
      </c>
      <c r="L107" s="153" t="s">
        <v>42</v>
      </c>
      <c r="M107" s="156">
        <v>60</v>
      </c>
      <c r="N107" s="156">
        <v>190314.05</v>
      </c>
      <c r="O107" s="156">
        <v>11418843</v>
      </c>
      <c r="P107" s="152">
        <v>11418843</v>
      </c>
      <c r="Q107" s="136">
        <v>0</v>
      </c>
      <c r="R107" s="136">
        <v>0</v>
      </c>
      <c r="S107" s="153" t="s">
        <v>43</v>
      </c>
      <c r="T107" s="136">
        <v>22089409.800000001</v>
      </c>
      <c r="U107" s="136">
        <v>22089409.800000001</v>
      </c>
      <c r="V107" s="136">
        <v>-10670566.800000001</v>
      </c>
      <c r="W107" s="136">
        <v>-0.93447005094900004</v>
      </c>
      <c r="X107" s="136">
        <v>-10670566.800000001</v>
      </c>
      <c r="Y107" s="133" t="s">
        <v>235</v>
      </c>
      <c r="Z107" s="133" t="s">
        <v>44</v>
      </c>
      <c r="AA107" s="133">
        <v>15161</v>
      </c>
      <c r="AB107" s="133" t="s">
        <v>730</v>
      </c>
      <c r="AC107" s="133" t="s">
        <v>56</v>
      </c>
      <c r="AD107" s="133" t="s">
        <v>103</v>
      </c>
      <c r="AE107" s="133">
        <v>0</v>
      </c>
      <c r="AF107" s="133" t="s">
        <v>108</v>
      </c>
      <c r="AG107" s="133" t="s">
        <v>101</v>
      </c>
      <c r="AH107" s="133" t="s">
        <v>46</v>
      </c>
      <c r="AI107" s="133" t="s">
        <v>101</v>
      </c>
      <c r="AJ107" s="133" t="s">
        <v>46</v>
      </c>
      <c r="AK107" s="133" t="s">
        <v>54</v>
      </c>
      <c r="AL107" s="133" t="s">
        <v>48</v>
      </c>
      <c r="AM107" s="133" t="s">
        <v>49</v>
      </c>
      <c r="AN107" s="133" t="str">
        <f>VLOOKUP(I107,Sheet1!A:D,4,FALSE)</f>
        <v>A210600</v>
      </c>
      <c r="AP107" s="4" t="s">
        <v>1275</v>
      </c>
    </row>
    <row r="108" spans="1:42" s="133" customFormat="1" x14ac:dyDescent="0.25">
      <c r="A108" s="149">
        <v>45901</v>
      </c>
      <c r="B108" s="133" t="s">
        <v>40</v>
      </c>
      <c r="C108" s="133" t="s">
        <v>41</v>
      </c>
      <c r="D108" s="150">
        <v>25708516</v>
      </c>
      <c r="E108" s="150">
        <v>25106754</v>
      </c>
      <c r="F108" s="150" t="s">
        <v>1272</v>
      </c>
      <c r="G108" s="166">
        <v>45912</v>
      </c>
      <c r="H108" s="133" t="s">
        <v>729</v>
      </c>
      <c r="I108" s="133" t="s">
        <v>1273</v>
      </c>
      <c r="J108" s="133" t="s">
        <v>1274</v>
      </c>
      <c r="K108" s="152">
        <v>140</v>
      </c>
      <c r="L108" s="153" t="s">
        <v>42</v>
      </c>
      <c r="M108" s="156">
        <v>140</v>
      </c>
      <c r="N108" s="156">
        <v>190314.05</v>
      </c>
      <c r="O108" s="156">
        <v>26643967</v>
      </c>
      <c r="P108" s="152">
        <v>26643967</v>
      </c>
      <c r="Q108" s="136">
        <v>0</v>
      </c>
      <c r="R108" s="136">
        <v>0</v>
      </c>
      <c r="S108" s="153" t="s">
        <v>43</v>
      </c>
      <c r="T108" s="136">
        <v>51541956.200000003</v>
      </c>
      <c r="U108" s="136">
        <v>51541956.200000003</v>
      </c>
      <c r="V108" s="136">
        <v>-24897989.199999999</v>
      </c>
      <c r="W108" s="136">
        <v>-0.93447005094900004</v>
      </c>
      <c r="X108" s="136">
        <v>-24897989.199999999</v>
      </c>
      <c r="Y108" s="133" t="s">
        <v>235</v>
      </c>
      <c r="Z108" s="133" t="s">
        <v>44</v>
      </c>
      <c r="AA108" s="133">
        <v>15161</v>
      </c>
      <c r="AB108" s="133" t="s">
        <v>730</v>
      </c>
      <c r="AC108" s="133" t="s">
        <v>56</v>
      </c>
      <c r="AD108" s="133" t="s">
        <v>103</v>
      </c>
      <c r="AE108" s="133">
        <v>0</v>
      </c>
      <c r="AF108" s="133" t="s">
        <v>108</v>
      </c>
      <c r="AG108" s="133" t="s">
        <v>101</v>
      </c>
      <c r="AH108" s="133" t="s">
        <v>46</v>
      </c>
      <c r="AI108" s="133" t="s">
        <v>101</v>
      </c>
      <c r="AJ108" s="133" t="s">
        <v>46</v>
      </c>
      <c r="AK108" s="133" t="s">
        <v>54</v>
      </c>
      <c r="AL108" s="133" t="s">
        <v>48</v>
      </c>
      <c r="AM108" s="133" t="s">
        <v>49</v>
      </c>
      <c r="AN108" s="133" t="str">
        <f>VLOOKUP(I108,Sheet1!A:D,4,FALSE)</f>
        <v>A210600</v>
      </c>
      <c r="AP108" s="4" t="s">
        <v>1324</v>
      </c>
    </row>
    <row r="109" spans="1:42" s="133" customFormat="1" x14ac:dyDescent="0.25">
      <c r="A109" s="149">
        <v>45901</v>
      </c>
      <c r="B109" s="133" t="s">
        <v>40</v>
      </c>
      <c r="C109" s="133" t="s">
        <v>41</v>
      </c>
      <c r="D109" s="150">
        <v>25708517</v>
      </c>
      <c r="E109" s="150">
        <v>25106946</v>
      </c>
      <c r="F109" s="150" t="s">
        <v>1318</v>
      </c>
      <c r="G109" s="166">
        <v>45912</v>
      </c>
      <c r="H109" s="133" t="s">
        <v>729</v>
      </c>
      <c r="I109" s="133" t="s">
        <v>1273</v>
      </c>
      <c r="J109" s="133" t="s">
        <v>1274</v>
      </c>
      <c r="K109" s="152">
        <v>20</v>
      </c>
      <c r="L109" s="153" t="s">
        <v>42</v>
      </c>
      <c r="M109" s="156">
        <v>20</v>
      </c>
      <c r="N109" s="156">
        <v>427456.27</v>
      </c>
      <c r="O109" s="156">
        <v>8549125.4000000004</v>
      </c>
      <c r="P109" s="152">
        <v>8549125.4000000004</v>
      </c>
      <c r="Q109" s="136">
        <v>0</v>
      </c>
      <c r="R109" s="136">
        <v>0</v>
      </c>
      <c r="S109" s="153" t="s">
        <v>43</v>
      </c>
      <c r="T109" s="136">
        <v>7363136.5999999996</v>
      </c>
      <c r="U109" s="136">
        <v>7363136.5999999996</v>
      </c>
      <c r="V109" s="136">
        <v>1185988.8</v>
      </c>
      <c r="W109" s="136">
        <v>0.138726330999</v>
      </c>
      <c r="X109" s="136">
        <v>1185988.8</v>
      </c>
      <c r="Y109" s="133" t="s">
        <v>235</v>
      </c>
      <c r="Z109" s="133" t="s">
        <v>44</v>
      </c>
      <c r="AA109" s="133">
        <v>15161</v>
      </c>
      <c r="AB109" s="133" t="s">
        <v>730</v>
      </c>
      <c r="AC109" s="133" t="s">
        <v>56</v>
      </c>
      <c r="AD109" s="133" t="s">
        <v>103</v>
      </c>
      <c r="AE109" s="133">
        <v>0</v>
      </c>
      <c r="AF109" s="133" t="s">
        <v>108</v>
      </c>
      <c r="AG109" s="133" t="s">
        <v>101</v>
      </c>
      <c r="AH109" s="133" t="s">
        <v>46</v>
      </c>
      <c r="AI109" s="133" t="s">
        <v>101</v>
      </c>
      <c r="AJ109" s="133" t="s">
        <v>46</v>
      </c>
      <c r="AK109" s="133" t="s">
        <v>54</v>
      </c>
      <c r="AL109" s="133" t="s">
        <v>48</v>
      </c>
      <c r="AM109" s="133" t="s">
        <v>49</v>
      </c>
      <c r="AN109" s="133" t="str">
        <f>VLOOKUP(I109,Sheet1!A:D,4,FALSE)</f>
        <v>A210600</v>
      </c>
      <c r="AP109" s="4" t="s">
        <v>1324</v>
      </c>
    </row>
    <row r="110" spans="1:42" s="133" customFormat="1" x14ac:dyDescent="0.25">
      <c r="A110" s="149">
        <v>45901</v>
      </c>
      <c r="B110" s="133" t="s">
        <v>40</v>
      </c>
      <c r="C110" s="133" t="s">
        <v>41</v>
      </c>
      <c r="D110" s="150">
        <v>25708529</v>
      </c>
      <c r="E110" s="150">
        <v>25106880</v>
      </c>
      <c r="F110" s="150" t="s">
        <v>1319</v>
      </c>
      <c r="G110" s="166">
        <v>45915</v>
      </c>
      <c r="H110" s="133" t="s">
        <v>98</v>
      </c>
      <c r="I110" s="133" t="s">
        <v>106</v>
      </c>
      <c r="J110" s="133" t="s">
        <v>107</v>
      </c>
      <c r="K110" s="152">
        <v>50</v>
      </c>
      <c r="L110" s="153" t="s">
        <v>42</v>
      </c>
      <c r="M110" s="156">
        <v>50</v>
      </c>
      <c r="N110" s="156">
        <v>578167</v>
      </c>
      <c r="O110" s="156">
        <v>28908350</v>
      </c>
      <c r="P110" s="152">
        <v>28908350</v>
      </c>
      <c r="Q110" s="136">
        <v>0</v>
      </c>
      <c r="R110" s="136">
        <v>0</v>
      </c>
      <c r="S110" s="153" t="s">
        <v>43</v>
      </c>
      <c r="T110" s="136">
        <v>19806020.420000002</v>
      </c>
      <c r="U110" s="136">
        <v>19806020.420000002</v>
      </c>
      <c r="V110" s="136">
        <v>9102329.5800000001</v>
      </c>
      <c r="W110" s="136">
        <v>0.31486852691299999</v>
      </c>
      <c r="X110" s="136">
        <v>9102329.5800000001</v>
      </c>
      <c r="Y110" s="133" t="s">
        <v>101</v>
      </c>
      <c r="Z110" s="133" t="s">
        <v>46</v>
      </c>
      <c r="AA110" s="133">
        <v>2306511</v>
      </c>
      <c r="AB110" s="133" t="s">
        <v>102</v>
      </c>
      <c r="AC110" s="133" t="s">
        <v>56</v>
      </c>
      <c r="AD110" s="133" t="s">
        <v>103</v>
      </c>
      <c r="AE110" s="133">
        <v>0</v>
      </c>
      <c r="AF110" s="133" t="s">
        <v>108</v>
      </c>
      <c r="AG110" s="133" t="s">
        <v>101</v>
      </c>
      <c r="AH110" s="133" t="s">
        <v>46</v>
      </c>
      <c r="AI110" s="133" t="s">
        <v>101</v>
      </c>
      <c r="AJ110" s="133" t="s">
        <v>46</v>
      </c>
      <c r="AK110" s="133" t="s">
        <v>54</v>
      </c>
      <c r="AL110" s="133" t="s">
        <v>48</v>
      </c>
      <c r="AM110" s="133" t="s">
        <v>49</v>
      </c>
      <c r="AN110" s="133" t="str">
        <f>VLOOKUP(I110,Sheet1!A:D,4,FALSE)</f>
        <v>A210600</v>
      </c>
      <c r="AP110" s="4" t="s">
        <v>1324</v>
      </c>
    </row>
    <row r="111" spans="1:42" s="133" customFormat="1" x14ac:dyDescent="0.25">
      <c r="A111" s="149">
        <v>45901</v>
      </c>
      <c r="B111" s="133" t="s">
        <v>40</v>
      </c>
      <c r="C111" s="133" t="s">
        <v>41</v>
      </c>
      <c r="D111" s="150">
        <v>25708530</v>
      </c>
      <c r="E111" s="150">
        <v>25106884</v>
      </c>
      <c r="F111" s="150" t="s">
        <v>1320</v>
      </c>
      <c r="G111" s="166">
        <v>45915</v>
      </c>
      <c r="H111" s="133" t="s">
        <v>98</v>
      </c>
      <c r="I111" s="133" t="s">
        <v>460</v>
      </c>
      <c r="J111" s="133" t="s">
        <v>671</v>
      </c>
      <c r="K111" s="152">
        <v>20</v>
      </c>
      <c r="L111" s="153" t="s">
        <v>42</v>
      </c>
      <c r="M111" s="156">
        <v>20</v>
      </c>
      <c r="N111" s="156">
        <v>999819.03</v>
      </c>
      <c r="O111" s="156">
        <v>19996380.600000001</v>
      </c>
      <c r="P111" s="152">
        <v>19996380.600000001</v>
      </c>
      <c r="Q111" s="136">
        <v>0</v>
      </c>
      <c r="R111" s="136">
        <v>0</v>
      </c>
      <c r="S111" s="153" t="s">
        <v>43</v>
      </c>
      <c r="T111" s="136">
        <v>8105530.0300000003</v>
      </c>
      <c r="U111" s="136">
        <v>8105530.0300000003</v>
      </c>
      <c r="V111" s="136">
        <v>11890850.57</v>
      </c>
      <c r="W111" s="136">
        <v>0.594650142336</v>
      </c>
      <c r="X111" s="136">
        <v>11890850.57</v>
      </c>
      <c r="Y111" s="133" t="s">
        <v>101</v>
      </c>
      <c r="Z111" s="133" t="s">
        <v>46</v>
      </c>
      <c r="AA111" s="133">
        <v>2306511</v>
      </c>
      <c r="AB111" s="133" t="s">
        <v>102</v>
      </c>
      <c r="AC111" s="133" t="s">
        <v>56</v>
      </c>
      <c r="AD111" s="133" t="s">
        <v>103</v>
      </c>
      <c r="AE111" s="133">
        <v>0</v>
      </c>
      <c r="AF111" s="133" t="s">
        <v>108</v>
      </c>
      <c r="AG111" s="133" t="s">
        <v>101</v>
      </c>
      <c r="AH111" s="133" t="s">
        <v>46</v>
      </c>
      <c r="AI111" s="133" t="s">
        <v>101</v>
      </c>
      <c r="AJ111" s="133" t="s">
        <v>46</v>
      </c>
      <c r="AK111" s="133" t="s">
        <v>54</v>
      </c>
      <c r="AL111" s="133" t="s">
        <v>48</v>
      </c>
      <c r="AM111" s="133" t="s">
        <v>49</v>
      </c>
      <c r="AN111" s="133" t="str">
        <f>VLOOKUP(I111,Sheet1!A:D,4,FALSE)</f>
        <v>A210600</v>
      </c>
      <c r="AP111" s="4" t="s">
        <v>1324</v>
      </c>
    </row>
    <row r="112" spans="1:42" s="133" customFormat="1" x14ac:dyDescent="0.25">
      <c r="A112" s="149">
        <v>45901</v>
      </c>
      <c r="B112" s="133" t="s">
        <v>40</v>
      </c>
      <c r="C112" s="133" t="s">
        <v>41</v>
      </c>
      <c r="D112" s="150">
        <v>25708531</v>
      </c>
      <c r="E112" s="150">
        <v>25106898</v>
      </c>
      <c r="F112" s="150" t="s">
        <v>1321</v>
      </c>
      <c r="G112" s="166">
        <v>45915</v>
      </c>
      <c r="H112" s="133" t="s">
        <v>98</v>
      </c>
      <c r="I112" s="133" t="s">
        <v>434</v>
      </c>
      <c r="J112" s="133" t="s">
        <v>647</v>
      </c>
      <c r="K112" s="152">
        <v>25</v>
      </c>
      <c r="L112" s="153" t="s">
        <v>42</v>
      </c>
      <c r="M112" s="156">
        <v>25</v>
      </c>
      <c r="N112" s="156">
        <v>526049</v>
      </c>
      <c r="O112" s="156">
        <v>13151225</v>
      </c>
      <c r="P112" s="152">
        <v>13151225</v>
      </c>
      <c r="Q112" s="136">
        <v>0</v>
      </c>
      <c r="R112" s="136">
        <v>0</v>
      </c>
      <c r="S112" s="153" t="s">
        <v>43</v>
      </c>
      <c r="T112" s="136">
        <v>9131348.6699999999</v>
      </c>
      <c r="U112" s="136">
        <v>9131348.6699999999</v>
      </c>
      <c r="V112" s="136">
        <v>4019876.33</v>
      </c>
      <c r="W112" s="136">
        <v>0.30566554294300002</v>
      </c>
      <c r="X112" s="136">
        <v>4019876.33</v>
      </c>
      <c r="Y112" s="133" t="s">
        <v>101</v>
      </c>
      <c r="Z112" s="133" t="s">
        <v>46</v>
      </c>
      <c r="AA112" s="133">
        <v>2306511</v>
      </c>
      <c r="AB112" s="133" t="s">
        <v>102</v>
      </c>
      <c r="AC112" s="133" t="s">
        <v>56</v>
      </c>
      <c r="AD112" s="133" t="s">
        <v>103</v>
      </c>
      <c r="AE112" s="133">
        <v>0</v>
      </c>
      <c r="AF112" s="133" t="s">
        <v>104</v>
      </c>
      <c r="AG112" s="133" t="s">
        <v>101</v>
      </c>
      <c r="AH112" s="133" t="s">
        <v>46</v>
      </c>
      <c r="AI112" s="133" t="s">
        <v>101</v>
      </c>
      <c r="AJ112" s="133" t="s">
        <v>46</v>
      </c>
      <c r="AK112" s="133" t="s">
        <v>54</v>
      </c>
      <c r="AL112" s="133" t="s">
        <v>48</v>
      </c>
      <c r="AM112" s="133" t="s">
        <v>49</v>
      </c>
      <c r="AN112" s="133" t="str">
        <f>VLOOKUP(I112,Sheet1!A:D,4,FALSE)</f>
        <v>A210600</v>
      </c>
      <c r="AP112" s="4" t="s">
        <v>1324</v>
      </c>
    </row>
    <row r="113" spans="1:42" s="133" customFormat="1" x14ac:dyDescent="0.25">
      <c r="A113" s="149">
        <v>45901</v>
      </c>
      <c r="B113" s="133" t="s">
        <v>40</v>
      </c>
      <c r="C113" s="133" t="s">
        <v>41</v>
      </c>
      <c r="D113" s="150">
        <v>25708532</v>
      </c>
      <c r="E113" s="150">
        <v>25106952</v>
      </c>
      <c r="F113" s="150" t="s">
        <v>1322</v>
      </c>
      <c r="G113" s="166">
        <v>45915</v>
      </c>
      <c r="H113" s="133" t="s">
        <v>729</v>
      </c>
      <c r="I113" s="133" t="s">
        <v>62</v>
      </c>
      <c r="J113" s="133" t="s">
        <v>486</v>
      </c>
      <c r="K113" s="152">
        <v>600</v>
      </c>
      <c r="L113" s="153" t="s">
        <v>42</v>
      </c>
      <c r="M113" s="156">
        <v>600</v>
      </c>
      <c r="N113" s="156">
        <v>237947</v>
      </c>
      <c r="O113" s="156">
        <v>142768200</v>
      </c>
      <c r="P113" s="152">
        <v>142768200</v>
      </c>
      <c r="Q113" s="136">
        <v>0</v>
      </c>
      <c r="R113" s="136">
        <v>0</v>
      </c>
      <c r="S113" s="153" t="s">
        <v>43</v>
      </c>
      <c r="T113" s="136">
        <v>84233657.090000004</v>
      </c>
      <c r="U113" s="136">
        <v>84233657.090000004</v>
      </c>
      <c r="V113" s="136">
        <v>58534542.909999996</v>
      </c>
      <c r="W113" s="136">
        <v>0.40999706454200002</v>
      </c>
      <c r="X113" s="136">
        <v>58534542.909999996</v>
      </c>
      <c r="Y113" s="133" t="s">
        <v>235</v>
      </c>
      <c r="Z113" s="133" t="s">
        <v>44</v>
      </c>
      <c r="AA113" s="133">
        <v>15161</v>
      </c>
      <c r="AB113" s="133" t="s">
        <v>730</v>
      </c>
      <c r="AC113" s="133" t="s">
        <v>56</v>
      </c>
      <c r="AD113" s="133" t="s">
        <v>103</v>
      </c>
      <c r="AE113" s="133">
        <v>0</v>
      </c>
      <c r="AF113" s="133" t="s">
        <v>731</v>
      </c>
      <c r="AG113" s="133" t="s">
        <v>101</v>
      </c>
      <c r="AH113" s="133" t="s">
        <v>46</v>
      </c>
      <c r="AI113" s="133" t="s">
        <v>101</v>
      </c>
      <c r="AJ113" s="133" t="s">
        <v>46</v>
      </c>
      <c r="AK113" s="133" t="s">
        <v>47</v>
      </c>
      <c r="AL113" s="133" t="s">
        <v>48</v>
      </c>
      <c r="AM113" s="133" t="s">
        <v>49</v>
      </c>
      <c r="AN113" s="133" t="str">
        <f>VLOOKUP(I113,Sheet1!A:D,4,FALSE)</f>
        <v>A210600</v>
      </c>
      <c r="AP113" s="4" t="s">
        <v>1324</v>
      </c>
    </row>
    <row r="114" spans="1:42" s="254" customFormat="1" x14ac:dyDescent="0.25">
      <c r="A114" s="289">
        <v>45901</v>
      </c>
      <c r="B114" s="254" t="s">
        <v>40</v>
      </c>
      <c r="C114" s="254" t="s">
        <v>41</v>
      </c>
      <c r="D114" s="290">
        <v>25708540</v>
      </c>
      <c r="E114" s="290">
        <v>25106899</v>
      </c>
      <c r="F114" s="290" t="s">
        <v>1333</v>
      </c>
      <c r="G114" s="291">
        <v>45918</v>
      </c>
      <c r="H114" s="254" t="s">
        <v>98</v>
      </c>
      <c r="I114" s="254" t="s">
        <v>1334</v>
      </c>
      <c r="J114" s="254" t="s">
        <v>1335</v>
      </c>
      <c r="K114" s="292">
        <v>40</v>
      </c>
      <c r="L114" s="293" t="s">
        <v>42</v>
      </c>
      <c r="M114" s="294">
        <v>40</v>
      </c>
      <c r="N114" s="294">
        <v>940536.71</v>
      </c>
      <c r="O114" s="294">
        <v>37621468.399999999</v>
      </c>
      <c r="P114" s="292">
        <v>37621468.399999999</v>
      </c>
      <c r="Q114" s="256">
        <v>0</v>
      </c>
      <c r="R114" s="256">
        <v>0</v>
      </c>
      <c r="S114" s="293" t="s">
        <v>43</v>
      </c>
      <c r="T114" s="256">
        <v>23984424.399999999</v>
      </c>
      <c r="U114" s="256">
        <v>23984424.399999999</v>
      </c>
      <c r="V114" s="256">
        <v>13637044</v>
      </c>
      <c r="W114" s="256">
        <v>0.36248037569899999</v>
      </c>
      <c r="X114" s="256">
        <v>13637044</v>
      </c>
      <c r="Y114" s="254" t="s">
        <v>101</v>
      </c>
      <c r="Z114" s="254" t="s">
        <v>46</v>
      </c>
      <c r="AA114" s="254">
        <v>2306511</v>
      </c>
      <c r="AB114" s="254" t="s">
        <v>102</v>
      </c>
      <c r="AC114" s="254" t="s">
        <v>56</v>
      </c>
      <c r="AD114" s="254" t="s">
        <v>103</v>
      </c>
      <c r="AE114" s="254">
        <v>0</v>
      </c>
      <c r="AF114" s="254" t="s">
        <v>108</v>
      </c>
      <c r="AG114" s="254" t="s">
        <v>101</v>
      </c>
      <c r="AH114" s="254" t="s">
        <v>46</v>
      </c>
      <c r="AI114" s="254" t="s">
        <v>101</v>
      </c>
      <c r="AJ114" s="254" t="s">
        <v>46</v>
      </c>
      <c r="AK114" s="254" t="s">
        <v>54</v>
      </c>
      <c r="AL114" s="254" t="s">
        <v>48</v>
      </c>
      <c r="AM114" s="254" t="s">
        <v>49</v>
      </c>
      <c r="AN114" s="254" t="str">
        <f>VLOOKUP(I114,Sheet1!A:D,4,FALSE)</f>
        <v>A210600</v>
      </c>
      <c r="AP114" s="4" t="s">
        <v>1351</v>
      </c>
    </row>
    <row r="115" spans="1:42" s="254" customFormat="1" x14ac:dyDescent="0.25">
      <c r="A115" s="289">
        <v>45901</v>
      </c>
      <c r="B115" s="254" t="s">
        <v>40</v>
      </c>
      <c r="C115" s="254" t="s">
        <v>41</v>
      </c>
      <c r="D115" s="290">
        <v>25708554</v>
      </c>
      <c r="E115" s="290">
        <v>25106960</v>
      </c>
      <c r="F115" s="290" t="s">
        <v>1344</v>
      </c>
      <c r="G115" s="291">
        <v>45917</v>
      </c>
      <c r="H115" s="254" t="s">
        <v>747</v>
      </c>
      <c r="I115" s="254" t="s">
        <v>1345</v>
      </c>
      <c r="J115" s="254" t="s">
        <v>1346</v>
      </c>
      <c r="K115" s="292">
        <v>1</v>
      </c>
      <c r="L115" s="293" t="s">
        <v>42</v>
      </c>
      <c r="M115" s="294">
        <v>1</v>
      </c>
      <c r="N115" s="294">
        <v>1395000</v>
      </c>
      <c r="O115" s="294">
        <v>1395000</v>
      </c>
      <c r="P115" s="292">
        <v>1395000</v>
      </c>
      <c r="Q115" s="256">
        <v>0</v>
      </c>
      <c r="R115" s="256">
        <v>0</v>
      </c>
      <c r="S115" s="293" t="s">
        <v>43</v>
      </c>
      <c r="T115" s="256">
        <v>0</v>
      </c>
      <c r="U115" s="256">
        <v>0</v>
      </c>
      <c r="V115" s="256">
        <v>1395000</v>
      </c>
      <c r="W115" s="256">
        <v>1</v>
      </c>
      <c r="X115" s="256">
        <v>1395000</v>
      </c>
      <c r="Y115" s="254" t="s">
        <v>101</v>
      </c>
      <c r="Z115" s="254" t="s">
        <v>46</v>
      </c>
      <c r="AA115" s="254">
        <v>2306510</v>
      </c>
      <c r="AB115" s="254" t="s">
        <v>748</v>
      </c>
      <c r="AC115" s="254" t="s">
        <v>154</v>
      </c>
      <c r="AD115" s="254" t="s">
        <v>155</v>
      </c>
      <c r="AE115" s="254">
        <v>0</v>
      </c>
      <c r="AF115" s="254" t="s">
        <v>1347</v>
      </c>
      <c r="AG115" s="254" t="s">
        <v>101</v>
      </c>
      <c r="AH115" s="254" t="s">
        <v>46</v>
      </c>
      <c r="AI115" s="254" t="s">
        <v>101</v>
      </c>
      <c r="AJ115" s="254" t="s">
        <v>46</v>
      </c>
      <c r="AK115" s="254" t="s">
        <v>54</v>
      </c>
      <c r="AL115" s="254" t="s">
        <v>48</v>
      </c>
      <c r="AM115" s="254" t="s">
        <v>49</v>
      </c>
      <c r="AN115" s="254" t="str">
        <f>VLOOKUP(I115,Sheet1!A:D,4,FALSE)</f>
        <v>A210600</v>
      </c>
      <c r="AP115" s="4" t="s">
        <v>1351</v>
      </c>
    </row>
    <row r="116" spans="1:42" s="254" customFormat="1" x14ac:dyDescent="0.25">
      <c r="A116" s="289">
        <v>45901</v>
      </c>
      <c r="B116" s="254" t="s">
        <v>40</v>
      </c>
      <c r="C116" s="254" t="s">
        <v>41</v>
      </c>
      <c r="D116" s="290">
        <v>25708562</v>
      </c>
      <c r="E116" s="290">
        <v>25106914</v>
      </c>
      <c r="F116" s="290" t="s">
        <v>1357</v>
      </c>
      <c r="G116" s="291">
        <v>45924</v>
      </c>
      <c r="H116" s="254" t="s">
        <v>98</v>
      </c>
      <c r="I116" s="254" t="s">
        <v>99</v>
      </c>
      <c r="J116" s="254" t="s">
        <v>100</v>
      </c>
      <c r="K116" s="292">
        <v>100</v>
      </c>
      <c r="L116" s="293" t="s">
        <v>42</v>
      </c>
      <c r="M116" s="294">
        <v>100</v>
      </c>
      <c r="N116" s="294">
        <v>510663</v>
      </c>
      <c r="O116" s="294">
        <v>51066300</v>
      </c>
      <c r="P116" s="292">
        <v>51066300</v>
      </c>
      <c r="Q116" s="256">
        <v>0</v>
      </c>
      <c r="R116" s="256">
        <v>0</v>
      </c>
      <c r="S116" s="293" t="s">
        <v>43</v>
      </c>
      <c r="T116" s="256">
        <v>36719292.82</v>
      </c>
      <c r="U116" s="256">
        <v>36719292.82</v>
      </c>
      <c r="V116" s="256">
        <v>14347007.18</v>
      </c>
      <c r="W116" s="256">
        <v>0.28094863305099999</v>
      </c>
      <c r="X116" s="256">
        <v>14347007.18</v>
      </c>
      <c r="Y116" s="254" t="s">
        <v>101</v>
      </c>
      <c r="Z116" s="254" t="s">
        <v>46</v>
      </c>
      <c r="AA116" s="254">
        <v>2306511</v>
      </c>
      <c r="AB116" s="254" t="s">
        <v>102</v>
      </c>
      <c r="AC116" s="254" t="s">
        <v>56</v>
      </c>
      <c r="AD116" s="254" t="s">
        <v>103</v>
      </c>
      <c r="AE116" s="254">
        <v>0</v>
      </c>
      <c r="AF116" s="254" t="s">
        <v>104</v>
      </c>
      <c r="AG116" s="254" t="s">
        <v>101</v>
      </c>
      <c r="AH116" s="254" t="s">
        <v>46</v>
      </c>
      <c r="AI116" s="254" t="s">
        <v>101</v>
      </c>
      <c r="AJ116" s="254" t="s">
        <v>46</v>
      </c>
      <c r="AK116" s="254" t="s">
        <v>54</v>
      </c>
      <c r="AL116" s="254" t="s">
        <v>48</v>
      </c>
      <c r="AM116" s="254" t="s">
        <v>49</v>
      </c>
      <c r="AN116" s="254" t="str">
        <f>VLOOKUP(I116,Sheet1!A:D,4,FALSE)</f>
        <v>A210600</v>
      </c>
      <c r="AP116" s="4" t="s">
        <v>1361</v>
      </c>
    </row>
    <row r="117" spans="1:42" s="254" customFormat="1" ht="14.25" x14ac:dyDescent="0.2">
      <c r="A117" s="289">
        <v>45901</v>
      </c>
      <c r="B117" s="254" t="s">
        <v>40</v>
      </c>
      <c r="C117" s="254" t="s">
        <v>41</v>
      </c>
      <c r="D117" s="290">
        <v>25708563</v>
      </c>
      <c r="E117" s="290">
        <v>25106873</v>
      </c>
      <c r="F117" s="290" t="s">
        <v>1265</v>
      </c>
      <c r="G117" s="291">
        <v>45924</v>
      </c>
      <c r="H117" s="254" t="s">
        <v>729</v>
      </c>
      <c r="I117" s="254" t="s">
        <v>50</v>
      </c>
      <c r="J117" s="254" t="s">
        <v>488</v>
      </c>
      <c r="K117" s="292">
        <v>750</v>
      </c>
      <c r="L117" s="293" t="s">
        <v>42</v>
      </c>
      <c r="M117" s="294">
        <v>750</v>
      </c>
      <c r="N117" s="294">
        <v>313023.65000000002</v>
      </c>
      <c r="O117" s="294">
        <v>234767737.5</v>
      </c>
      <c r="P117" s="292">
        <v>234767737.5</v>
      </c>
      <c r="Q117" s="256">
        <v>0</v>
      </c>
      <c r="R117" s="256">
        <v>0</v>
      </c>
      <c r="S117" s="293" t="s">
        <v>43</v>
      </c>
      <c r="T117" s="256">
        <v>117853968.81</v>
      </c>
      <c r="U117" s="256">
        <v>117853968.81</v>
      </c>
      <c r="V117" s="256">
        <v>116913768.69</v>
      </c>
      <c r="W117" s="256">
        <v>0.49799759513300002</v>
      </c>
      <c r="X117" s="256">
        <v>116913768.69</v>
      </c>
      <c r="Y117" s="254" t="s">
        <v>235</v>
      </c>
      <c r="Z117" s="254" t="s">
        <v>44</v>
      </c>
      <c r="AA117" s="254">
        <v>15161</v>
      </c>
      <c r="AB117" s="254" t="s">
        <v>730</v>
      </c>
      <c r="AC117" s="254" t="s">
        <v>56</v>
      </c>
      <c r="AD117" s="254" t="s">
        <v>103</v>
      </c>
      <c r="AE117" s="254">
        <v>0</v>
      </c>
      <c r="AF117" s="254" t="s">
        <v>731</v>
      </c>
      <c r="AG117" s="254" t="s">
        <v>101</v>
      </c>
      <c r="AH117" s="254" t="s">
        <v>46</v>
      </c>
      <c r="AI117" s="254" t="s">
        <v>101</v>
      </c>
      <c r="AJ117" s="254" t="s">
        <v>46</v>
      </c>
      <c r="AK117" s="254" t="s">
        <v>47</v>
      </c>
      <c r="AL117" s="254" t="s">
        <v>48</v>
      </c>
      <c r="AM117" s="254" t="s">
        <v>49</v>
      </c>
      <c r="AN117" s="254" t="str">
        <f>VLOOKUP(I117,Sheet1!A:D,4,FALSE)</f>
        <v>A210600</v>
      </c>
      <c r="AP117" s="36" t="s">
        <v>1361</v>
      </c>
    </row>
    <row r="118" spans="1:42" s="254" customFormat="1" ht="14.25" x14ac:dyDescent="0.2">
      <c r="A118" s="289">
        <v>45901</v>
      </c>
      <c r="B118" s="254" t="s">
        <v>40</v>
      </c>
      <c r="C118" s="254" t="s">
        <v>41</v>
      </c>
      <c r="D118" s="290">
        <v>25708564</v>
      </c>
      <c r="E118" s="290">
        <v>25106912</v>
      </c>
      <c r="F118" s="290" t="s">
        <v>1358</v>
      </c>
      <c r="G118" s="291">
        <v>45924</v>
      </c>
      <c r="H118" s="254" t="s">
        <v>747</v>
      </c>
      <c r="I118" s="254" t="s">
        <v>903</v>
      </c>
      <c r="J118" s="254" t="s">
        <v>1359</v>
      </c>
      <c r="K118" s="292">
        <v>75</v>
      </c>
      <c r="L118" s="293" t="s">
        <v>42</v>
      </c>
      <c r="M118" s="294">
        <v>75</v>
      </c>
      <c r="N118" s="294">
        <v>855603</v>
      </c>
      <c r="O118" s="294">
        <v>64170225</v>
      </c>
      <c r="P118" s="292">
        <v>64170225</v>
      </c>
      <c r="Q118" s="256">
        <v>0</v>
      </c>
      <c r="R118" s="256">
        <v>0</v>
      </c>
      <c r="S118" s="293" t="s">
        <v>43</v>
      </c>
      <c r="T118" s="256">
        <v>29360472.329999998</v>
      </c>
      <c r="U118" s="256">
        <v>29360472.329999998</v>
      </c>
      <c r="V118" s="256">
        <v>34809752.670000002</v>
      </c>
      <c r="W118" s="256">
        <v>0.54245957015099999</v>
      </c>
      <c r="X118" s="256">
        <v>34809752.670000002</v>
      </c>
      <c r="Y118" s="254" t="s">
        <v>101</v>
      </c>
      <c r="Z118" s="254" t="s">
        <v>46</v>
      </c>
      <c r="AA118" s="254">
        <v>2306510</v>
      </c>
      <c r="AB118" s="254" t="s">
        <v>748</v>
      </c>
      <c r="AC118" s="254" t="s">
        <v>154</v>
      </c>
      <c r="AD118" s="254" t="s">
        <v>155</v>
      </c>
      <c r="AE118" s="254">
        <v>0</v>
      </c>
      <c r="AF118" s="254" t="s">
        <v>104</v>
      </c>
      <c r="AG118" s="254" t="s">
        <v>101</v>
      </c>
      <c r="AH118" s="254" t="s">
        <v>46</v>
      </c>
      <c r="AI118" s="254" t="s">
        <v>101</v>
      </c>
      <c r="AJ118" s="254" t="s">
        <v>46</v>
      </c>
      <c r="AK118" s="254" t="s">
        <v>54</v>
      </c>
      <c r="AL118" s="254" t="s">
        <v>48</v>
      </c>
      <c r="AM118" s="254" t="s">
        <v>49</v>
      </c>
      <c r="AN118" s="254" t="str">
        <f>VLOOKUP(I118,Sheet1!A:D,4,FALSE)</f>
        <v>A210600</v>
      </c>
      <c r="AP118" s="36" t="s">
        <v>1361</v>
      </c>
    </row>
    <row r="119" spans="1:42" s="254" customFormat="1" ht="14.25" x14ac:dyDescent="0.2">
      <c r="A119" s="289">
        <v>45901</v>
      </c>
      <c r="B119" s="254" t="s">
        <v>40</v>
      </c>
      <c r="C119" s="254" t="s">
        <v>41</v>
      </c>
      <c r="D119" s="290">
        <v>25708565</v>
      </c>
      <c r="E119" s="290">
        <v>25106969</v>
      </c>
      <c r="F119" s="290" t="s">
        <v>1360</v>
      </c>
      <c r="G119" s="291">
        <v>45924</v>
      </c>
      <c r="H119" s="254" t="s">
        <v>98</v>
      </c>
      <c r="I119" s="254" t="s">
        <v>99</v>
      </c>
      <c r="J119" s="254" t="s">
        <v>100</v>
      </c>
      <c r="K119" s="292">
        <v>100</v>
      </c>
      <c r="L119" s="293" t="s">
        <v>42</v>
      </c>
      <c r="M119" s="294">
        <v>100</v>
      </c>
      <c r="N119" s="294">
        <v>510663</v>
      </c>
      <c r="O119" s="294">
        <v>51066300</v>
      </c>
      <c r="P119" s="292">
        <v>51066300</v>
      </c>
      <c r="Q119" s="256">
        <v>0</v>
      </c>
      <c r="R119" s="256">
        <v>0</v>
      </c>
      <c r="S119" s="293" t="s">
        <v>43</v>
      </c>
      <c r="T119" s="256">
        <v>36719292.82</v>
      </c>
      <c r="U119" s="256">
        <v>36719292.82</v>
      </c>
      <c r="V119" s="256">
        <v>14347007.18</v>
      </c>
      <c r="W119" s="256">
        <v>0.28094863305099999</v>
      </c>
      <c r="X119" s="256">
        <v>14347007.18</v>
      </c>
      <c r="Y119" s="254" t="s">
        <v>101</v>
      </c>
      <c r="Z119" s="254" t="s">
        <v>46</v>
      </c>
      <c r="AA119" s="254">
        <v>2306511</v>
      </c>
      <c r="AB119" s="254" t="s">
        <v>102</v>
      </c>
      <c r="AC119" s="254" t="s">
        <v>56</v>
      </c>
      <c r="AD119" s="254" t="s">
        <v>103</v>
      </c>
      <c r="AE119" s="254">
        <v>0</v>
      </c>
      <c r="AF119" s="254" t="s">
        <v>104</v>
      </c>
      <c r="AG119" s="254" t="s">
        <v>101</v>
      </c>
      <c r="AH119" s="254" t="s">
        <v>46</v>
      </c>
      <c r="AI119" s="254" t="s">
        <v>101</v>
      </c>
      <c r="AJ119" s="254" t="s">
        <v>46</v>
      </c>
      <c r="AK119" s="254" t="s">
        <v>54</v>
      </c>
      <c r="AL119" s="254" t="s">
        <v>48</v>
      </c>
      <c r="AM119" s="254" t="s">
        <v>49</v>
      </c>
      <c r="AN119" s="254" t="str">
        <f>VLOOKUP(I119,Sheet1!A:D,4,FALSE)</f>
        <v>A210600</v>
      </c>
      <c r="AP119" s="36" t="s">
        <v>1361</v>
      </c>
    </row>
    <row r="120" spans="1:42" s="36" customFormat="1" ht="14.25" x14ac:dyDescent="0.2">
      <c r="A120" s="186">
        <v>45901</v>
      </c>
      <c r="B120" s="187" t="s">
        <v>40</v>
      </c>
      <c r="C120" s="187" t="s">
        <v>41</v>
      </c>
      <c r="D120" s="188">
        <v>25708583</v>
      </c>
      <c r="E120" s="188">
        <v>25106987</v>
      </c>
      <c r="F120" s="188" t="s">
        <v>1344</v>
      </c>
      <c r="G120" s="277">
        <v>45917</v>
      </c>
      <c r="H120" s="187" t="s">
        <v>747</v>
      </c>
      <c r="I120" s="187" t="s">
        <v>1345</v>
      </c>
      <c r="J120" s="187" t="s">
        <v>1346</v>
      </c>
      <c r="K120" s="189">
        <v>1</v>
      </c>
      <c r="L120" s="190" t="s">
        <v>42</v>
      </c>
      <c r="M120" s="278">
        <v>1</v>
      </c>
      <c r="N120" s="278">
        <v>1395000</v>
      </c>
      <c r="O120" s="278">
        <v>1395000</v>
      </c>
      <c r="P120" s="189">
        <v>1395000</v>
      </c>
      <c r="Q120" s="191">
        <v>0</v>
      </c>
      <c r="R120" s="191">
        <v>0</v>
      </c>
      <c r="S120" s="190" t="s">
        <v>43</v>
      </c>
      <c r="T120" s="191">
        <v>256531</v>
      </c>
      <c r="U120" s="191">
        <v>256531</v>
      </c>
      <c r="V120" s="191">
        <v>1138469</v>
      </c>
      <c r="W120" s="191">
        <v>0.81610681003499996</v>
      </c>
      <c r="X120" s="191">
        <v>1138469</v>
      </c>
      <c r="Y120" s="187" t="s">
        <v>101</v>
      </c>
      <c r="Z120" s="187" t="s">
        <v>46</v>
      </c>
      <c r="AA120" s="187">
        <v>2306510</v>
      </c>
      <c r="AB120" s="187" t="s">
        <v>748</v>
      </c>
      <c r="AC120" s="187" t="s">
        <v>154</v>
      </c>
      <c r="AD120" s="187" t="s">
        <v>155</v>
      </c>
      <c r="AE120" s="187">
        <v>0</v>
      </c>
      <c r="AF120" s="187" t="s">
        <v>1347</v>
      </c>
      <c r="AG120" s="187" t="s">
        <v>101</v>
      </c>
      <c r="AH120" s="187" t="s">
        <v>46</v>
      </c>
      <c r="AI120" s="187" t="s">
        <v>101</v>
      </c>
      <c r="AJ120" s="187" t="s">
        <v>46</v>
      </c>
      <c r="AK120" s="187" t="s">
        <v>54</v>
      </c>
      <c r="AL120" s="187" t="s">
        <v>48</v>
      </c>
      <c r="AM120" s="187" t="s">
        <v>49</v>
      </c>
      <c r="AN120" s="133" t="str">
        <f>VLOOKUP(I120,Sheet1!A:D,4,FALSE)</f>
        <v>A210600</v>
      </c>
      <c r="AP120" s="49"/>
    </row>
    <row r="121" spans="1:42" s="36" customFormat="1" x14ac:dyDescent="0.25">
      <c r="A121" s="35"/>
      <c r="D121" s="37"/>
      <c r="E121" s="37"/>
      <c r="F121" s="37"/>
      <c r="G121" s="38"/>
      <c r="K121" s="50"/>
      <c r="L121" s="40"/>
      <c r="M121" s="51"/>
      <c r="N121" s="51"/>
      <c r="O121" s="51"/>
      <c r="P121" s="50"/>
      <c r="Q121" s="52"/>
      <c r="R121" s="52"/>
      <c r="S121" s="40"/>
      <c r="T121" s="52"/>
      <c r="U121" s="52"/>
      <c r="V121" s="52"/>
      <c r="W121" s="52"/>
      <c r="X121" s="52"/>
      <c r="AN121" s="133" t="e">
        <f>VLOOKUP(I121,Sheet1!A:D,4,FALSE)</f>
        <v>#N/A</v>
      </c>
      <c r="AP121" s="4"/>
    </row>
    <row r="122" spans="1:42" s="36" customFormat="1" x14ac:dyDescent="0.25">
      <c r="A122" s="35"/>
      <c r="D122" s="37"/>
      <c r="E122" s="37"/>
      <c r="F122" s="37"/>
      <c r="G122" s="38"/>
      <c r="K122" s="50"/>
      <c r="L122" s="40"/>
      <c r="M122" s="51"/>
      <c r="N122" s="51"/>
      <c r="O122" s="51"/>
      <c r="P122" s="50"/>
      <c r="Q122" s="52"/>
      <c r="R122" s="52"/>
      <c r="S122" s="40"/>
      <c r="T122" s="52"/>
      <c r="U122" s="52"/>
      <c r="V122" s="52"/>
      <c r="W122" s="52"/>
      <c r="X122" s="52"/>
      <c r="AN122" s="133" t="e">
        <f>VLOOKUP(I122,Sheet1!A:D,4,FALSE)</f>
        <v>#N/A</v>
      </c>
      <c r="AP122" s="4"/>
    </row>
    <row r="123" spans="1:42" s="36" customFormat="1" x14ac:dyDescent="0.25">
      <c r="A123" s="35"/>
      <c r="D123" s="37"/>
      <c r="E123" s="37"/>
      <c r="F123" s="37"/>
      <c r="G123" s="38"/>
      <c r="K123" s="50"/>
      <c r="L123" s="40"/>
      <c r="M123" s="51"/>
      <c r="N123" s="51"/>
      <c r="O123" s="51"/>
      <c r="P123" s="50"/>
      <c r="Q123" s="52"/>
      <c r="R123" s="52"/>
      <c r="S123" s="40"/>
      <c r="T123" s="52"/>
      <c r="U123" s="52"/>
      <c r="V123" s="52"/>
      <c r="W123" s="52"/>
      <c r="X123" s="52"/>
      <c r="AN123" s="133" t="e">
        <f>VLOOKUP(I123,Sheet1!A:D,4,FALSE)</f>
        <v>#N/A</v>
      </c>
      <c r="AP123" s="4"/>
    </row>
    <row r="124" spans="1:42" s="36" customFormat="1" x14ac:dyDescent="0.25">
      <c r="A124" s="35"/>
      <c r="D124" s="37"/>
      <c r="E124" s="37"/>
      <c r="F124" s="37"/>
      <c r="G124" s="38"/>
      <c r="K124" s="50"/>
      <c r="L124" s="40"/>
      <c r="M124" s="51"/>
      <c r="N124" s="51"/>
      <c r="O124" s="51"/>
      <c r="P124" s="50"/>
      <c r="Q124" s="52"/>
      <c r="R124" s="52"/>
      <c r="S124" s="40"/>
      <c r="T124" s="52"/>
      <c r="U124" s="52"/>
      <c r="V124" s="52"/>
      <c r="W124" s="52"/>
      <c r="X124" s="52"/>
      <c r="AN124" s="133" t="e">
        <f>VLOOKUP(I124,Sheet1!A:D,4,FALSE)</f>
        <v>#N/A</v>
      </c>
      <c r="AP124" s="4"/>
    </row>
    <row r="125" spans="1:42" s="36" customFormat="1" x14ac:dyDescent="0.25">
      <c r="A125" s="35"/>
      <c r="D125" s="37"/>
      <c r="E125" s="37"/>
      <c r="F125" s="37"/>
      <c r="G125" s="38"/>
      <c r="K125" s="50"/>
      <c r="L125" s="40"/>
      <c r="M125" s="51"/>
      <c r="N125" s="51"/>
      <c r="O125" s="51"/>
      <c r="P125" s="50"/>
      <c r="Q125" s="52"/>
      <c r="R125" s="52"/>
      <c r="S125" s="40"/>
      <c r="T125" s="52"/>
      <c r="U125" s="52"/>
      <c r="V125" s="52"/>
      <c r="W125" s="52"/>
      <c r="X125" s="52"/>
      <c r="AN125" s="133" t="e">
        <f>VLOOKUP(I125,Sheet1!A:D,4,FALSE)</f>
        <v>#N/A</v>
      </c>
      <c r="AP125" s="4"/>
    </row>
    <row r="126" spans="1:42" s="36" customFormat="1" x14ac:dyDescent="0.25">
      <c r="A126" s="35"/>
      <c r="D126" s="37"/>
      <c r="E126" s="37"/>
      <c r="F126" s="37"/>
      <c r="G126" s="38"/>
      <c r="K126" s="50"/>
      <c r="L126" s="40"/>
      <c r="M126" s="51"/>
      <c r="N126" s="51"/>
      <c r="O126" s="51"/>
      <c r="P126" s="50"/>
      <c r="Q126" s="52"/>
      <c r="R126" s="52"/>
      <c r="S126" s="40"/>
      <c r="T126" s="52"/>
      <c r="U126" s="52"/>
      <c r="V126" s="52"/>
      <c r="W126" s="52"/>
      <c r="X126" s="52"/>
      <c r="AN126" s="133" t="e">
        <f>VLOOKUP(I126,Sheet1!A:D,4,FALSE)</f>
        <v>#N/A</v>
      </c>
      <c r="AP126" s="4"/>
    </row>
    <row r="127" spans="1:42" s="36" customFormat="1" x14ac:dyDescent="0.25">
      <c r="A127" s="35"/>
      <c r="D127" s="37"/>
      <c r="E127" s="37"/>
      <c r="F127" s="37"/>
      <c r="G127" s="38"/>
      <c r="K127" s="50"/>
      <c r="L127" s="40"/>
      <c r="M127" s="51"/>
      <c r="N127" s="51"/>
      <c r="O127" s="51"/>
      <c r="P127" s="50"/>
      <c r="Q127" s="52"/>
      <c r="R127" s="52"/>
      <c r="S127" s="40"/>
      <c r="T127" s="52"/>
      <c r="U127" s="52"/>
      <c r="V127" s="52"/>
      <c r="W127" s="52"/>
      <c r="X127" s="52"/>
      <c r="AN127" s="133" t="e">
        <f>VLOOKUP(I127,Sheet1!A:D,4,FALSE)</f>
        <v>#N/A</v>
      </c>
      <c r="AP127" s="4"/>
    </row>
    <row r="128" spans="1:42" s="36" customFormat="1" x14ac:dyDescent="0.25">
      <c r="A128" s="35"/>
      <c r="D128" s="37"/>
      <c r="E128" s="37"/>
      <c r="F128" s="37"/>
      <c r="G128" s="38"/>
      <c r="K128" s="50"/>
      <c r="L128" s="40"/>
      <c r="M128" s="51"/>
      <c r="N128" s="51"/>
      <c r="O128" s="51"/>
      <c r="P128" s="50"/>
      <c r="Q128" s="52"/>
      <c r="R128" s="52"/>
      <c r="S128" s="40"/>
      <c r="T128" s="52"/>
      <c r="U128" s="52"/>
      <c r="V128" s="52"/>
      <c r="W128" s="52"/>
      <c r="X128" s="52"/>
      <c r="AN128" s="133" t="e">
        <f>VLOOKUP(I128,Sheet1!A:D,4,FALSE)</f>
        <v>#N/A</v>
      </c>
      <c r="AP128" s="4"/>
    </row>
    <row r="129" spans="1:42" s="36" customFormat="1" x14ac:dyDescent="0.25">
      <c r="A129" s="35"/>
      <c r="D129" s="37"/>
      <c r="E129" s="37"/>
      <c r="F129" s="37"/>
      <c r="G129" s="38"/>
      <c r="K129" s="50"/>
      <c r="L129" s="40"/>
      <c r="M129" s="51"/>
      <c r="N129" s="51"/>
      <c r="O129" s="51"/>
      <c r="P129" s="50"/>
      <c r="Q129" s="52"/>
      <c r="R129" s="52"/>
      <c r="S129" s="40"/>
      <c r="T129" s="52"/>
      <c r="U129" s="52"/>
      <c r="V129" s="52"/>
      <c r="W129" s="52"/>
      <c r="X129" s="52"/>
      <c r="AN129" s="133" t="e">
        <f>VLOOKUP(I129,Sheet1!A:D,4,FALSE)</f>
        <v>#N/A</v>
      </c>
      <c r="AP129" s="4"/>
    </row>
    <row r="130" spans="1:42" s="36" customFormat="1" x14ac:dyDescent="0.25">
      <c r="A130" s="35"/>
      <c r="D130" s="37"/>
      <c r="E130" s="37"/>
      <c r="F130" s="37"/>
      <c r="G130" s="38"/>
      <c r="K130" s="50"/>
      <c r="L130" s="40"/>
      <c r="M130" s="51"/>
      <c r="N130" s="51"/>
      <c r="O130" s="51"/>
      <c r="P130" s="50"/>
      <c r="Q130" s="52"/>
      <c r="R130" s="52"/>
      <c r="S130" s="40"/>
      <c r="T130" s="52"/>
      <c r="U130" s="52"/>
      <c r="V130" s="52"/>
      <c r="W130" s="52"/>
      <c r="X130" s="52"/>
      <c r="AN130" s="133" t="e">
        <f>VLOOKUP(I130,Sheet1!A:D,4,FALSE)</f>
        <v>#N/A</v>
      </c>
      <c r="AP130" s="4"/>
    </row>
    <row r="131" spans="1:42" s="36" customFormat="1" x14ac:dyDescent="0.25">
      <c r="A131" s="35"/>
      <c r="D131" s="37"/>
      <c r="E131" s="37"/>
      <c r="F131" s="37"/>
      <c r="G131" s="38"/>
      <c r="K131" s="50"/>
      <c r="L131" s="40"/>
      <c r="M131" s="51"/>
      <c r="N131" s="51"/>
      <c r="O131" s="51"/>
      <c r="P131" s="50"/>
      <c r="Q131" s="52"/>
      <c r="R131" s="52"/>
      <c r="S131" s="40"/>
      <c r="T131" s="52"/>
      <c r="U131" s="52"/>
      <c r="V131" s="52"/>
      <c r="W131" s="52"/>
      <c r="X131" s="52"/>
      <c r="AN131" s="133" t="e">
        <f>VLOOKUP(I131,Sheet1!A:D,4,FALSE)</f>
        <v>#N/A</v>
      </c>
      <c r="AP131" s="4"/>
    </row>
    <row r="132" spans="1:42" s="36" customFormat="1" x14ac:dyDescent="0.25">
      <c r="A132" s="35"/>
      <c r="D132" s="37"/>
      <c r="E132" s="37"/>
      <c r="F132" s="37"/>
      <c r="G132" s="38"/>
      <c r="K132" s="50"/>
      <c r="L132" s="40"/>
      <c r="M132" s="51"/>
      <c r="N132" s="51"/>
      <c r="O132" s="51"/>
      <c r="P132" s="50"/>
      <c r="Q132" s="52"/>
      <c r="R132" s="52"/>
      <c r="S132" s="40"/>
      <c r="T132" s="52"/>
      <c r="U132" s="52"/>
      <c r="V132" s="52"/>
      <c r="W132" s="52"/>
      <c r="X132" s="52"/>
      <c r="AN132" s="133" t="e">
        <f>VLOOKUP(I132,Sheet1!A:D,4,FALSE)</f>
        <v>#N/A</v>
      </c>
      <c r="AP132" s="4"/>
    </row>
    <row r="133" spans="1:42" s="36" customFormat="1" x14ac:dyDescent="0.25">
      <c r="A133" s="35"/>
      <c r="D133" s="37"/>
      <c r="E133" s="37"/>
      <c r="F133" s="37"/>
      <c r="G133" s="38"/>
      <c r="K133" s="50"/>
      <c r="L133" s="40"/>
      <c r="M133" s="51"/>
      <c r="N133" s="51"/>
      <c r="O133" s="51"/>
      <c r="P133" s="50"/>
      <c r="Q133" s="52"/>
      <c r="R133" s="52"/>
      <c r="S133" s="40"/>
      <c r="T133" s="52"/>
      <c r="U133" s="52"/>
      <c r="V133" s="52"/>
      <c r="W133" s="52"/>
      <c r="X133" s="52"/>
      <c r="AN133" s="133" t="e">
        <f>VLOOKUP(I133,Sheet1!A:D,4,FALSE)</f>
        <v>#N/A</v>
      </c>
      <c r="AP133" s="4"/>
    </row>
    <row r="134" spans="1:42" s="36" customFormat="1" ht="14.25" x14ac:dyDescent="0.2">
      <c r="A134" s="35"/>
      <c r="D134" s="37"/>
      <c r="E134" s="37"/>
      <c r="F134" s="37"/>
      <c r="G134" s="38"/>
      <c r="K134" s="50"/>
      <c r="L134" s="40"/>
      <c r="M134" s="51"/>
      <c r="N134" s="51"/>
      <c r="O134" s="51"/>
      <c r="P134" s="50"/>
      <c r="Q134" s="52"/>
      <c r="R134" s="52"/>
      <c r="S134" s="40"/>
      <c r="T134" s="52"/>
      <c r="U134" s="52"/>
      <c r="V134" s="52"/>
      <c r="W134" s="52"/>
      <c r="X134" s="52"/>
      <c r="AN134" s="133" t="e">
        <f>VLOOKUP(I134,Sheet1!A:D,4,FALSE)</f>
        <v>#N/A</v>
      </c>
    </row>
    <row r="135" spans="1:42" s="36" customFormat="1" ht="14.25" x14ac:dyDescent="0.2">
      <c r="A135" s="35"/>
      <c r="D135" s="37"/>
      <c r="E135" s="37"/>
      <c r="F135" s="37"/>
      <c r="G135" s="38"/>
      <c r="K135" s="50"/>
      <c r="L135" s="40"/>
      <c r="M135" s="51"/>
      <c r="N135" s="51"/>
      <c r="O135" s="51"/>
      <c r="P135" s="50"/>
      <c r="Q135" s="52"/>
      <c r="R135" s="52"/>
      <c r="S135" s="40"/>
      <c r="T135" s="52"/>
      <c r="U135" s="52"/>
      <c r="V135" s="52"/>
      <c r="W135" s="52"/>
      <c r="X135" s="52"/>
      <c r="AN135" s="133" t="e">
        <f>VLOOKUP(I135,Sheet1!A:D,4,FALSE)</f>
        <v>#N/A</v>
      </c>
    </row>
    <row r="136" spans="1:42" s="36" customFormat="1" ht="14.25" x14ac:dyDescent="0.2">
      <c r="A136" s="35"/>
      <c r="D136" s="37"/>
      <c r="E136" s="37"/>
      <c r="F136" s="37"/>
      <c r="G136" s="38"/>
      <c r="K136" s="50"/>
      <c r="L136" s="40"/>
      <c r="M136" s="51"/>
      <c r="N136" s="51"/>
      <c r="O136" s="51"/>
      <c r="P136" s="50"/>
      <c r="Q136" s="52"/>
      <c r="R136" s="52"/>
      <c r="S136" s="40"/>
      <c r="T136" s="52"/>
      <c r="U136" s="52"/>
      <c r="V136" s="52"/>
      <c r="W136" s="52"/>
      <c r="X136" s="52"/>
      <c r="AN136" s="133" t="e">
        <f>VLOOKUP(I136,Sheet1!A:D,4,FALSE)</f>
        <v>#N/A</v>
      </c>
    </row>
    <row r="137" spans="1:42" s="36" customFormat="1" ht="14.25" x14ac:dyDescent="0.2">
      <c r="A137" s="35"/>
      <c r="D137" s="37"/>
      <c r="E137" s="37"/>
      <c r="F137" s="37"/>
      <c r="G137" s="38"/>
      <c r="K137" s="50"/>
      <c r="L137" s="40"/>
      <c r="M137" s="51"/>
      <c r="N137" s="51"/>
      <c r="O137" s="51"/>
      <c r="P137" s="50"/>
      <c r="Q137" s="52"/>
      <c r="R137" s="52"/>
      <c r="S137" s="40"/>
      <c r="T137" s="52"/>
      <c r="U137" s="52"/>
      <c r="V137" s="52"/>
      <c r="W137" s="52"/>
      <c r="X137" s="52"/>
      <c r="AN137" s="133" t="e">
        <f>VLOOKUP(I137,Sheet1!A:D,4,FALSE)</f>
        <v>#N/A</v>
      </c>
    </row>
    <row r="138" spans="1:42" s="36" customFormat="1" x14ac:dyDescent="0.25">
      <c r="A138" s="35"/>
      <c r="D138" s="37"/>
      <c r="E138" s="37"/>
      <c r="F138" s="37"/>
      <c r="G138" s="38"/>
      <c r="K138" s="50"/>
      <c r="L138" s="40"/>
      <c r="M138" s="51"/>
      <c r="N138" s="51"/>
      <c r="O138" s="51"/>
      <c r="P138" s="50"/>
      <c r="Q138" s="52"/>
      <c r="R138" s="52"/>
      <c r="S138" s="40"/>
      <c r="T138" s="52"/>
      <c r="U138" s="52"/>
      <c r="V138" s="52"/>
      <c r="W138" s="52"/>
      <c r="X138" s="52"/>
      <c r="AN138" s="133" t="e">
        <f>VLOOKUP(I138,Sheet1!A:D,4,FALSE)</f>
        <v>#N/A</v>
      </c>
      <c r="AP138" s="4"/>
    </row>
    <row r="139" spans="1:42" s="36" customFormat="1" x14ac:dyDescent="0.25">
      <c r="A139" s="35"/>
      <c r="D139" s="37"/>
      <c r="E139" s="37"/>
      <c r="F139" s="37"/>
      <c r="G139" s="38"/>
      <c r="K139" s="50"/>
      <c r="L139" s="40"/>
      <c r="M139" s="51"/>
      <c r="N139" s="51"/>
      <c r="O139" s="51"/>
      <c r="P139" s="50"/>
      <c r="Q139" s="52"/>
      <c r="R139" s="52"/>
      <c r="S139" s="40"/>
      <c r="T139" s="52"/>
      <c r="U139" s="52"/>
      <c r="V139" s="52"/>
      <c r="W139" s="52"/>
      <c r="X139" s="52"/>
      <c r="AN139" s="133" t="e">
        <f>VLOOKUP(I139,Sheet1!A:D,4,FALSE)</f>
        <v>#N/A</v>
      </c>
      <c r="AP139" s="4"/>
    </row>
    <row r="140" spans="1:42" s="36" customFormat="1" x14ac:dyDescent="0.25">
      <c r="A140" s="35"/>
      <c r="D140" s="37"/>
      <c r="E140" s="37"/>
      <c r="F140" s="37"/>
      <c r="G140" s="38"/>
      <c r="K140" s="50"/>
      <c r="L140" s="40"/>
      <c r="M140" s="51"/>
      <c r="N140" s="51"/>
      <c r="O140" s="51"/>
      <c r="P140" s="50"/>
      <c r="Q140" s="52"/>
      <c r="R140" s="52"/>
      <c r="S140" s="40"/>
      <c r="T140" s="52"/>
      <c r="U140" s="52"/>
      <c r="V140" s="52"/>
      <c r="W140" s="52"/>
      <c r="X140" s="52"/>
      <c r="AN140" s="133" t="e">
        <f>VLOOKUP(I140,Sheet1!A:D,4,FALSE)</f>
        <v>#N/A</v>
      </c>
      <c r="AP140" s="4"/>
    </row>
    <row r="141" spans="1:42" s="36" customFormat="1" x14ac:dyDescent="0.25">
      <c r="A141" s="35"/>
      <c r="D141" s="37"/>
      <c r="E141" s="37"/>
      <c r="F141" s="37"/>
      <c r="G141" s="38"/>
      <c r="K141" s="50"/>
      <c r="L141" s="40"/>
      <c r="M141" s="51"/>
      <c r="N141" s="51"/>
      <c r="O141" s="51"/>
      <c r="P141" s="50"/>
      <c r="Q141" s="52"/>
      <c r="R141" s="52"/>
      <c r="S141" s="40"/>
      <c r="T141" s="52"/>
      <c r="U141" s="52"/>
      <c r="V141" s="52"/>
      <c r="W141" s="52"/>
      <c r="X141" s="52"/>
      <c r="AN141" s="133" t="e">
        <f>VLOOKUP(I141,Sheet1!A:D,4,FALSE)</f>
        <v>#N/A</v>
      </c>
      <c r="AP141" s="4"/>
    </row>
    <row r="142" spans="1:42" s="36" customFormat="1" x14ac:dyDescent="0.25">
      <c r="A142" s="35"/>
      <c r="D142" s="37"/>
      <c r="E142" s="37"/>
      <c r="F142" s="37"/>
      <c r="G142" s="38"/>
      <c r="K142" s="50"/>
      <c r="L142" s="40"/>
      <c r="M142" s="51"/>
      <c r="N142" s="51"/>
      <c r="O142" s="51"/>
      <c r="P142" s="50"/>
      <c r="Q142" s="52"/>
      <c r="R142" s="52"/>
      <c r="S142" s="40"/>
      <c r="T142" s="52"/>
      <c r="U142" s="52"/>
      <c r="V142" s="52"/>
      <c r="W142" s="52"/>
      <c r="X142" s="52"/>
      <c r="AN142" s="133" t="e">
        <f>VLOOKUP(I142,Sheet1!A:D,4,FALSE)</f>
        <v>#N/A</v>
      </c>
      <c r="AP142" s="4"/>
    </row>
    <row r="143" spans="1:42" s="36" customFormat="1" x14ac:dyDescent="0.25">
      <c r="A143" s="35"/>
      <c r="D143" s="37"/>
      <c r="E143" s="37"/>
      <c r="F143" s="37"/>
      <c r="G143" s="38"/>
      <c r="K143" s="50"/>
      <c r="L143" s="40"/>
      <c r="M143" s="51"/>
      <c r="N143" s="51"/>
      <c r="O143" s="51"/>
      <c r="P143" s="50"/>
      <c r="Q143" s="52"/>
      <c r="R143" s="52"/>
      <c r="S143" s="40"/>
      <c r="T143" s="52"/>
      <c r="U143" s="52"/>
      <c r="V143" s="52"/>
      <c r="W143" s="52"/>
      <c r="X143" s="52"/>
      <c r="AN143" s="133" t="e">
        <f>VLOOKUP(I143,Sheet1!A:D,4,FALSE)</f>
        <v>#N/A</v>
      </c>
      <c r="AP143" s="4"/>
    </row>
    <row r="144" spans="1:42" s="36" customFormat="1" x14ac:dyDescent="0.25">
      <c r="A144" s="35"/>
      <c r="D144" s="37"/>
      <c r="E144" s="37"/>
      <c r="F144" s="37"/>
      <c r="G144" s="38"/>
      <c r="K144" s="50"/>
      <c r="L144" s="40"/>
      <c r="M144" s="51"/>
      <c r="N144" s="51"/>
      <c r="O144" s="51"/>
      <c r="P144" s="50"/>
      <c r="Q144" s="52"/>
      <c r="R144" s="52"/>
      <c r="S144" s="40"/>
      <c r="T144" s="52"/>
      <c r="U144" s="52"/>
      <c r="V144" s="52"/>
      <c r="W144" s="52"/>
      <c r="X144" s="52"/>
      <c r="AN144" s="133" t="e">
        <f>VLOOKUP(I144,Sheet1!A:D,4,FALSE)</f>
        <v>#N/A</v>
      </c>
      <c r="AP144" s="4"/>
    </row>
    <row r="145" spans="1:42" s="36" customFormat="1" x14ac:dyDescent="0.25">
      <c r="A145" s="35"/>
      <c r="D145" s="37"/>
      <c r="E145" s="37"/>
      <c r="F145" s="37"/>
      <c r="G145" s="38"/>
      <c r="K145" s="50"/>
      <c r="L145" s="40"/>
      <c r="M145" s="51"/>
      <c r="N145" s="51"/>
      <c r="O145" s="51"/>
      <c r="P145" s="50"/>
      <c r="Q145" s="52"/>
      <c r="R145" s="52"/>
      <c r="S145" s="40"/>
      <c r="T145" s="52"/>
      <c r="U145" s="52"/>
      <c r="V145" s="52"/>
      <c r="W145" s="52"/>
      <c r="X145" s="52"/>
      <c r="AN145" s="133" t="e">
        <f>VLOOKUP(I145,Sheet1!A:D,4,FALSE)</f>
        <v>#N/A</v>
      </c>
      <c r="AP145" s="4"/>
    </row>
    <row r="146" spans="1:42" s="36" customFormat="1" x14ac:dyDescent="0.25">
      <c r="A146" s="35"/>
      <c r="D146" s="37"/>
      <c r="E146" s="37"/>
      <c r="F146" s="37"/>
      <c r="G146" s="38"/>
      <c r="K146" s="50"/>
      <c r="L146" s="40"/>
      <c r="M146" s="51"/>
      <c r="N146" s="51"/>
      <c r="O146" s="51"/>
      <c r="P146" s="50"/>
      <c r="Q146" s="52"/>
      <c r="R146" s="52"/>
      <c r="S146" s="40"/>
      <c r="T146" s="52"/>
      <c r="U146" s="52"/>
      <c r="V146" s="52"/>
      <c r="W146" s="52"/>
      <c r="X146" s="52"/>
      <c r="AN146" s="133" t="e">
        <f>VLOOKUP(I146,Sheet1!A:D,4,FALSE)</f>
        <v>#N/A</v>
      </c>
      <c r="AP146" s="4"/>
    </row>
    <row r="147" spans="1:42" s="36" customFormat="1" x14ac:dyDescent="0.25">
      <c r="A147" s="35"/>
      <c r="D147" s="37"/>
      <c r="E147" s="37"/>
      <c r="F147" s="37"/>
      <c r="G147" s="38"/>
      <c r="K147" s="50"/>
      <c r="L147" s="40"/>
      <c r="M147" s="51"/>
      <c r="N147" s="51"/>
      <c r="O147" s="51"/>
      <c r="P147" s="50"/>
      <c r="Q147" s="52"/>
      <c r="R147" s="52"/>
      <c r="S147" s="40"/>
      <c r="T147" s="52"/>
      <c r="U147" s="52"/>
      <c r="V147" s="52"/>
      <c r="W147" s="52"/>
      <c r="X147" s="52"/>
      <c r="AN147" s="133" t="e">
        <f>VLOOKUP(I147,Sheet1!A:D,4,FALSE)</f>
        <v>#N/A</v>
      </c>
      <c r="AP147" s="4"/>
    </row>
    <row r="148" spans="1:42" s="36" customFormat="1" ht="14.25" x14ac:dyDescent="0.2">
      <c r="A148" s="35"/>
      <c r="D148" s="37"/>
      <c r="E148" s="37"/>
      <c r="F148" s="37"/>
      <c r="G148" s="38"/>
      <c r="K148" s="50"/>
      <c r="L148" s="40"/>
      <c r="M148" s="51"/>
      <c r="N148" s="51"/>
      <c r="O148" s="51"/>
      <c r="P148" s="50"/>
      <c r="Q148" s="52"/>
      <c r="R148" s="52"/>
      <c r="S148" s="40"/>
      <c r="T148" s="52"/>
      <c r="U148" s="52"/>
      <c r="V148" s="52"/>
      <c r="W148" s="52"/>
      <c r="X148" s="52"/>
      <c r="AN148" s="133" t="e">
        <f>VLOOKUP(I148,Sheet1!A:D,4,FALSE)</f>
        <v>#N/A</v>
      </c>
    </row>
    <row r="149" spans="1:42" s="36" customFormat="1" ht="14.25" x14ac:dyDescent="0.2">
      <c r="A149" s="35"/>
      <c r="D149" s="37"/>
      <c r="E149" s="37"/>
      <c r="F149" s="37"/>
      <c r="G149" s="38"/>
      <c r="K149" s="50"/>
      <c r="L149" s="40"/>
      <c r="M149" s="51"/>
      <c r="N149" s="51"/>
      <c r="O149" s="51"/>
      <c r="P149" s="50"/>
      <c r="Q149" s="52"/>
      <c r="R149" s="52"/>
      <c r="S149" s="40"/>
      <c r="T149" s="52"/>
      <c r="U149" s="52"/>
      <c r="V149" s="52"/>
      <c r="W149" s="52"/>
      <c r="X149" s="52"/>
      <c r="AN149" s="133" t="e">
        <f>VLOOKUP(I149,Sheet1!A:D,4,FALSE)</f>
        <v>#N/A</v>
      </c>
    </row>
    <row r="150" spans="1:42" s="36" customFormat="1" ht="14.25" x14ac:dyDescent="0.2">
      <c r="A150" s="35"/>
      <c r="D150" s="37"/>
      <c r="E150" s="37"/>
      <c r="F150" s="37"/>
      <c r="G150" s="38"/>
      <c r="K150" s="50"/>
      <c r="L150" s="40"/>
      <c r="M150" s="51"/>
      <c r="N150" s="51"/>
      <c r="O150" s="51"/>
      <c r="P150" s="50"/>
      <c r="Q150" s="52"/>
      <c r="R150" s="52"/>
      <c r="S150" s="40"/>
      <c r="T150" s="52"/>
      <c r="U150" s="52"/>
      <c r="V150" s="52"/>
      <c r="W150" s="52"/>
      <c r="X150" s="52"/>
      <c r="AN150" s="133" t="e">
        <f>VLOOKUP(I150,Sheet1!A:D,4,FALSE)</f>
        <v>#N/A</v>
      </c>
    </row>
    <row r="151" spans="1:42" s="36" customFormat="1" ht="14.25" x14ac:dyDescent="0.2">
      <c r="A151" s="35"/>
      <c r="D151" s="37"/>
      <c r="E151" s="37"/>
      <c r="F151" s="37"/>
      <c r="G151" s="38"/>
      <c r="K151" s="50"/>
      <c r="L151" s="40"/>
      <c r="M151" s="51"/>
      <c r="N151" s="51"/>
      <c r="O151" s="51"/>
      <c r="P151" s="50"/>
      <c r="Q151" s="52"/>
      <c r="R151" s="52"/>
      <c r="S151" s="40"/>
      <c r="T151" s="52"/>
      <c r="U151" s="52"/>
      <c r="V151" s="52"/>
      <c r="W151" s="52"/>
      <c r="X151" s="52"/>
      <c r="AN151" s="133" t="e">
        <f>VLOOKUP(I151,Sheet1!A:D,4,FALSE)</f>
        <v>#N/A</v>
      </c>
    </row>
    <row r="152" spans="1:42" s="36" customFormat="1" ht="14.25" x14ac:dyDescent="0.2">
      <c r="A152" s="35"/>
      <c r="D152" s="37"/>
      <c r="E152" s="37"/>
      <c r="F152" s="37"/>
      <c r="G152" s="38"/>
      <c r="K152" s="50"/>
      <c r="L152" s="40"/>
      <c r="M152" s="51"/>
      <c r="N152" s="51"/>
      <c r="O152" s="51"/>
      <c r="P152" s="50"/>
      <c r="Q152" s="52"/>
      <c r="R152" s="52"/>
      <c r="S152" s="40"/>
      <c r="T152" s="52"/>
      <c r="U152" s="52"/>
      <c r="V152" s="52"/>
      <c r="W152" s="52"/>
      <c r="X152" s="52"/>
      <c r="AN152" s="133" t="e">
        <f>VLOOKUP(I152,Sheet1!A:D,4,FALSE)</f>
        <v>#N/A</v>
      </c>
    </row>
    <row r="153" spans="1:42" s="36" customFormat="1" ht="14.25" x14ac:dyDescent="0.2">
      <c r="A153" s="35"/>
      <c r="D153" s="37"/>
      <c r="E153" s="37"/>
      <c r="F153" s="37"/>
      <c r="G153" s="38"/>
      <c r="K153" s="50"/>
      <c r="L153" s="40"/>
      <c r="M153" s="51"/>
      <c r="N153" s="51"/>
      <c r="O153" s="51"/>
      <c r="P153" s="50"/>
      <c r="Q153" s="52"/>
      <c r="R153" s="52"/>
      <c r="S153" s="40"/>
      <c r="T153" s="52"/>
      <c r="U153" s="52"/>
      <c r="V153" s="52"/>
      <c r="W153" s="52"/>
      <c r="X153" s="52"/>
      <c r="AN153" s="133" t="e">
        <f>VLOOKUP(I153,Sheet1!A:D,4,FALSE)</f>
        <v>#N/A</v>
      </c>
    </row>
    <row r="154" spans="1:42" s="36" customFormat="1" ht="14.25" x14ac:dyDescent="0.2">
      <c r="A154" s="35"/>
      <c r="D154" s="37"/>
      <c r="E154" s="37"/>
      <c r="F154" s="37"/>
      <c r="G154" s="38"/>
      <c r="K154" s="50"/>
      <c r="L154" s="40"/>
      <c r="M154" s="51"/>
      <c r="N154" s="51"/>
      <c r="O154" s="51"/>
      <c r="P154" s="50"/>
      <c r="Q154" s="52"/>
      <c r="R154" s="52"/>
      <c r="S154" s="40"/>
      <c r="T154" s="52"/>
      <c r="U154" s="52"/>
      <c r="V154" s="52"/>
      <c r="W154" s="52"/>
      <c r="X154" s="52"/>
      <c r="AN154" s="133" t="e">
        <f>VLOOKUP(I154,Sheet1!A:D,4,FALSE)</f>
        <v>#N/A</v>
      </c>
    </row>
    <row r="155" spans="1:42" s="36" customFormat="1" ht="14.25" x14ac:dyDescent="0.2">
      <c r="A155" s="35"/>
      <c r="D155" s="37"/>
      <c r="E155" s="37"/>
      <c r="F155" s="37"/>
      <c r="G155" s="38"/>
      <c r="K155" s="50"/>
      <c r="L155" s="40"/>
      <c r="M155" s="51"/>
      <c r="N155" s="51"/>
      <c r="O155" s="51"/>
      <c r="P155" s="50"/>
      <c r="Q155" s="52"/>
      <c r="R155" s="52"/>
      <c r="S155" s="40"/>
      <c r="T155" s="52"/>
      <c r="U155" s="52"/>
      <c r="V155" s="52"/>
      <c r="W155" s="52"/>
      <c r="X155" s="52"/>
      <c r="AN155" s="133" t="e">
        <f>VLOOKUP(I155,Sheet1!A:D,4,FALSE)</f>
        <v>#N/A</v>
      </c>
    </row>
    <row r="156" spans="1:42" s="36" customFormat="1" ht="14.25" x14ac:dyDescent="0.2">
      <c r="A156" s="35"/>
      <c r="D156" s="37"/>
      <c r="E156" s="37"/>
      <c r="F156" s="37"/>
      <c r="G156" s="38"/>
      <c r="K156" s="50"/>
      <c r="L156" s="40"/>
      <c r="M156" s="51"/>
      <c r="N156" s="51"/>
      <c r="O156" s="51"/>
      <c r="P156" s="50"/>
      <c r="Q156" s="52"/>
      <c r="R156" s="52"/>
      <c r="S156" s="40"/>
      <c r="T156" s="52"/>
      <c r="U156" s="52"/>
      <c r="V156" s="52"/>
      <c r="W156" s="52"/>
      <c r="X156" s="52"/>
      <c r="AN156" s="133" t="e">
        <f>VLOOKUP(I156,Sheet1!A:D,4,FALSE)</f>
        <v>#N/A</v>
      </c>
    </row>
    <row r="157" spans="1:42" s="36" customFormat="1" ht="14.25" x14ac:dyDescent="0.2">
      <c r="A157" s="35"/>
      <c r="D157" s="37"/>
      <c r="E157" s="37"/>
      <c r="F157" s="37"/>
      <c r="G157" s="38"/>
      <c r="K157" s="50"/>
      <c r="L157" s="40"/>
      <c r="M157" s="51"/>
      <c r="N157" s="51"/>
      <c r="O157" s="51"/>
      <c r="P157" s="50"/>
      <c r="Q157" s="52"/>
      <c r="R157" s="52"/>
      <c r="S157" s="40"/>
      <c r="T157" s="52"/>
      <c r="U157" s="52"/>
      <c r="V157" s="52"/>
      <c r="W157" s="52"/>
      <c r="X157" s="52"/>
      <c r="AN157" s="133" t="e">
        <f>VLOOKUP(I157,Sheet1!A:D,4,FALSE)</f>
        <v>#N/A</v>
      </c>
    </row>
    <row r="158" spans="1:42" s="36" customFormat="1" ht="14.25" x14ac:dyDescent="0.2">
      <c r="A158" s="35"/>
      <c r="D158" s="37"/>
      <c r="E158" s="37"/>
      <c r="F158" s="37"/>
      <c r="G158" s="38"/>
      <c r="K158" s="50"/>
      <c r="L158" s="40"/>
      <c r="M158" s="51"/>
      <c r="N158" s="51"/>
      <c r="O158" s="51"/>
      <c r="P158" s="50"/>
      <c r="Q158" s="52"/>
      <c r="R158" s="52"/>
      <c r="S158" s="40"/>
      <c r="T158" s="52"/>
      <c r="U158" s="52"/>
      <c r="V158" s="52"/>
      <c r="W158" s="52"/>
      <c r="X158" s="52"/>
      <c r="AN158" s="133" t="e">
        <f>VLOOKUP(I158,Sheet1!A:D,4,FALSE)</f>
        <v>#N/A</v>
      </c>
    </row>
    <row r="159" spans="1:42" s="36" customFormat="1" ht="14.25" x14ac:dyDescent="0.2">
      <c r="A159" s="35"/>
      <c r="D159" s="37"/>
      <c r="E159" s="37"/>
      <c r="F159" s="37"/>
      <c r="G159" s="38"/>
      <c r="K159" s="50"/>
      <c r="L159" s="40"/>
      <c r="M159" s="51"/>
      <c r="N159" s="51"/>
      <c r="O159" s="51"/>
      <c r="P159" s="50"/>
      <c r="Q159" s="52"/>
      <c r="R159" s="52"/>
      <c r="S159" s="40"/>
      <c r="T159" s="52"/>
      <c r="U159" s="52"/>
      <c r="V159" s="52"/>
      <c r="W159" s="52"/>
      <c r="X159" s="52"/>
      <c r="AN159" s="133" t="e">
        <f>VLOOKUP(I159,Sheet1!A:D,4,FALSE)</f>
        <v>#N/A</v>
      </c>
    </row>
    <row r="160" spans="1:42" s="36" customFormat="1" ht="14.25" x14ac:dyDescent="0.2">
      <c r="A160" s="35"/>
      <c r="D160" s="37"/>
      <c r="E160" s="37"/>
      <c r="F160" s="37"/>
      <c r="G160" s="38"/>
      <c r="K160" s="50"/>
      <c r="L160" s="40"/>
      <c r="M160" s="51"/>
      <c r="N160" s="51"/>
      <c r="O160" s="51"/>
      <c r="P160" s="50"/>
      <c r="Q160" s="52"/>
      <c r="R160" s="52"/>
      <c r="S160" s="40"/>
      <c r="T160" s="52"/>
      <c r="U160" s="52"/>
      <c r="V160" s="52"/>
      <c r="W160" s="52"/>
      <c r="X160" s="52"/>
      <c r="AN160" s="133" t="e">
        <f>VLOOKUP(I160,Sheet1!A:D,4,FALSE)</f>
        <v>#N/A</v>
      </c>
    </row>
    <row r="161" spans="1:40" s="36" customFormat="1" ht="14.25" x14ac:dyDescent="0.2">
      <c r="A161" s="35"/>
      <c r="D161" s="37"/>
      <c r="E161" s="37"/>
      <c r="F161" s="37"/>
      <c r="G161" s="38"/>
      <c r="K161" s="50"/>
      <c r="L161" s="40"/>
      <c r="M161" s="51"/>
      <c r="N161" s="51"/>
      <c r="O161" s="51"/>
      <c r="P161" s="50"/>
      <c r="Q161" s="52"/>
      <c r="R161" s="52"/>
      <c r="S161" s="40"/>
      <c r="T161" s="52"/>
      <c r="U161" s="52"/>
      <c r="V161" s="52"/>
      <c r="W161" s="52"/>
      <c r="X161" s="52"/>
      <c r="AN161" s="133" t="e">
        <f>VLOOKUP(I161,Sheet1!A:D,4,FALSE)</f>
        <v>#N/A</v>
      </c>
    </row>
    <row r="162" spans="1:40" s="36" customFormat="1" ht="14.25" x14ac:dyDescent="0.2">
      <c r="A162" s="35"/>
      <c r="D162" s="37"/>
      <c r="E162" s="37"/>
      <c r="F162" s="37"/>
      <c r="G162" s="38"/>
      <c r="K162" s="50"/>
      <c r="L162" s="40"/>
      <c r="M162" s="51"/>
      <c r="N162" s="51"/>
      <c r="O162" s="51"/>
      <c r="P162" s="50"/>
      <c r="Q162" s="52"/>
      <c r="R162" s="52"/>
      <c r="S162" s="40"/>
      <c r="T162" s="52"/>
      <c r="U162" s="52"/>
      <c r="V162" s="52"/>
      <c r="W162" s="52"/>
      <c r="X162" s="52"/>
      <c r="AN162" s="133" t="e">
        <f>VLOOKUP(I162,Sheet1!A:D,4,FALSE)</f>
        <v>#N/A</v>
      </c>
    </row>
    <row r="163" spans="1:40" s="36" customFormat="1" ht="14.25" x14ac:dyDescent="0.2">
      <c r="A163" s="35"/>
      <c r="D163" s="37"/>
      <c r="E163" s="37"/>
      <c r="F163" s="37"/>
      <c r="G163" s="38"/>
      <c r="K163" s="50"/>
      <c r="L163" s="40"/>
      <c r="M163" s="51"/>
      <c r="N163" s="51"/>
      <c r="O163" s="51"/>
      <c r="P163" s="50"/>
      <c r="Q163" s="52"/>
      <c r="R163" s="52"/>
      <c r="S163" s="40"/>
      <c r="T163" s="52"/>
      <c r="U163" s="52"/>
      <c r="V163" s="52"/>
      <c r="W163" s="52"/>
      <c r="X163" s="52"/>
      <c r="AN163" s="133" t="e">
        <f>VLOOKUP(I163,Sheet1!A:D,4,FALSE)</f>
        <v>#N/A</v>
      </c>
    </row>
    <row r="164" spans="1:40" s="36" customFormat="1" ht="14.25" x14ac:dyDescent="0.2">
      <c r="A164" s="35"/>
      <c r="D164" s="37"/>
      <c r="E164" s="37"/>
      <c r="F164" s="37"/>
      <c r="G164" s="38"/>
      <c r="K164" s="50"/>
      <c r="L164" s="40"/>
      <c r="M164" s="51"/>
      <c r="N164" s="51"/>
      <c r="O164" s="51"/>
      <c r="P164" s="50"/>
      <c r="Q164" s="52"/>
      <c r="R164" s="52"/>
      <c r="S164" s="40"/>
      <c r="T164" s="52"/>
      <c r="U164" s="52"/>
      <c r="V164" s="52"/>
      <c r="W164" s="52"/>
      <c r="X164" s="52"/>
      <c r="AN164" s="133" t="e">
        <f>VLOOKUP(I164,Sheet1!A:D,4,FALSE)</f>
        <v>#N/A</v>
      </c>
    </row>
    <row r="165" spans="1:40" s="36" customFormat="1" ht="14.25" x14ac:dyDescent="0.2">
      <c r="A165" s="35"/>
      <c r="D165" s="37"/>
      <c r="E165" s="37"/>
      <c r="F165" s="37"/>
      <c r="G165" s="38"/>
      <c r="K165" s="50"/>
      <c r="L165" s="40"/>
      <c r="M165" s="51"/>
      <c r="N165" s="51"/>
      <c r="O165" s="51"/>
      <c r="P165" s="50"/>
      <c r="Q165" s="52"/>
      <c r="R165" s="52"/>
      <c r="S165" s="40"/>
      <c r="T165" s="52"/>
      <c r="U165" s="52"/>
      <c r="V165" s="52"/>
      <c r="W165" s="52"/>
      <c r="X165" s="52"/>
      <c r="AN165" s="133" t="e">
        <f>VLOOKUP(I165,Sheet1!A:D,4,FALSE)</f>
        <v>#N/A</v>
      </c>
    </row>
    <row r="166" spans="1:40" s="36" customFormat="1" ht="14.25" x14ac:dyDescent="0.2">
      <c r="A166" s="35"/>
      <c r="D166" s="37"/>
      <c r="E166" s="37"/>
      <c r="F166" s="37"/>
      <c r="G166" s="38"/>
      <c r="K166" s="50"/>
      <c r="L166" s="40"/>
      <c r="M166" s="51"/>
      <c r="N166" s="51"/>
      <c r="O166" s="51"/>
      <c r="P166" s="50"/>
      <c r="Q166" s="52"/>
      <c r="R166" s="52"/>
      <c r="S166" s="40"/>
      <c r="T166" s="52"/>
      <c r="U166" s="52"/>
      <c r="V166" s="52"/>
      <c r="W166" s="52"/>
      <c r="X166" s="52"/>
      <c r="AN166" s="133" t="e">
        <f>VLOOKUP(I166,Sheet1!A:D,4,FALSE)</f>
        <v>#N/A</v>
      </c>
    </row>
    <row r="167" spans="1:40" s="36" customFormat="1" ht="14.25" x14ac:dyDescent="0.2">
      <c r="A167" s="35"/>
      <c r="D167" s="37"/>
      <c r="E167" s="37"/>
      <c r="F167" s="37"/>
      <c r="G167" s="38"/>
      <c r="K167" s="50"/>
      <c r="L167" s="40"/>
      <c r="M167" s="51"/>
      <c r="N167" s="51"/>
      <c r="O167" s="51"/>
      <c r="P167" s="50"/>
      <c r="Q167" s="52"/>
      <c r="R167" s="52"/>
      <c r="S167" s="40"/>
      <c r="T167" s="52"/>
      <c r="U167" s="52"/>
      <c r="V167" s="52"/>
      <c r="W167" s="52"/>
      <c r="X167" s="52"/>
      <c r="AN167" s="133" t="e">
        <f>VLOOKUP(I167,Sheet1!A:D,4,FALSE)</f>
        <v>#N/A</v>
      </c>
    </row>
    <row r="168" spans="1:40" s="36" customFormat="1" ht="14.25" x14ac:dyDescent="0.2">
      <c r="A168" s="35"/>
      <c r="D168" s="37"/>
      <c r="E168" s="37"/>
      <c r="F168" s="37"/>
      <c r="G168" s="38"/>
      <c r="K168" s="50"/>
      <c r="L168" s="40"/>
      <c r="M168" s="51"/>
      <c r="N168" s="51"/>
      <c r="O168" s="51"/>
      <c r="P168" s="50"/>
      <c r="Q168" s="52"/>
      <c r="R168" s="52"/>
      <c r="S168" s="40"/>
      <c r="T168" s="52"/>
      <c r="U168" s="52"/>
      <c r="V168" s="52"/>
      <c r="W168" s="52"/>
      <c r="X168" s="52"/>
      <c r="AN168" s="133" t="e">
        <f>VLOOKUP(I168,Sheet1!A:D,4,FALSE)</f>
        <v>#N/A</v>
      </c>
    </row>
    <row r="169" spans="1:40" s="36" customFormat="1" ht="14.25" x14ac:dyDescent="0.2">
      <c r="A169" s="35"/>
      <c r="D169" s="37"/>
      <c r="E169" s="37"/>
      <c r="F169" s="37"/>
      <c r="G169" s="38"/>
      <c r="K169" s="50"/>
      <c r="L169" s="40"/>
      <c r="M169" s="51"/>
      <c r="N169" s="51"/>
      <c r="O169" s="51"/>
      <c r="P169" s="50"/>
      <c r="Q169" s="52"/>
      <c r="R169" s="52"/>
      <c r="S169" s="40"/>
      <c r="T169" s="52"/>
      <c r="U169" s="52"/>
      <c r="V169" s="52"/>
      <c r="W169" s="52"/>
      <c r="X169" s="52"/>
      <c r="AN169" s="133" t="e">
        <f>VLOOKUP(I169,Sheet1!A:D,4,FALSE)</f>
        <v>#N/A</v>
      </c>
    </row>
    <row r="170" spans="1:40" s="36" customFormat="1" ht="14.25" x14ac:dyDescent="0.2">
      <c r="A170" s="35"/>
      <c r="D170" s="37"/>
      <c r="E170" s="37"/>
      <c r="F170" s="37"/>
      <c r="G170" s="38"/>
      <c r="K170" s="50"/>
      <c r="L170" s="40"/>
      <c r="M170" s="51"/>
      <c r="N170" s="51"/>
      <c r="O170" s="51"/>
      <c r="P170" s="50"/>
      <c r="Q170" s="52"/>
      <c r="R170" s="52"/>
      <c r="S170" s="40"/>
      <c r="T170" s="52"/>
      <c r="U170" s="52"/>
      <c r="V170" s="52"/>
      <c r="W170" s="52"/>
      <c r="X170" s="52"/>
      <c r="AN170" s="133" t="e">
        <f>VLOOKUP(I170,Sheet1!A:D,4,FALSE)</f>
        <v>#N/A</v>
      </c>
    </row>
    <row r="171" spans="1:40" s="36" customFormat="1" ht="14.25" x14ac:dyDescent="0.2">
      <c r="A171" s="35"/>
      <c r="D171" s="37"/>
      <c r="E171" s="37"/>
      <c r="F171" s="37"/>
      <c r="G171" s="38"/>
      <c r="K171" s="50"/>
      <c r="L171" s="40"/>
      <c r="M171" s="51"/>
      <c r="N171" s="51"/>
      <c r="O171" s="51"/>
      <c r="P171" s="50"/>
      <c r="Q171" s="52"/>
      <c r="R171" s="52"/>
      <c r="S171" s="40"/>
      <c r="T171" s="52"/>
      <c r="U171" s="52"/>
      <c r="V171" s="52"/>
      <c r="W171" s="52"/>
      <c r="X171" s="52"/>
      <c r="AN171" s="133" t="e">
        <f>VLOOKUP(I171,Sheet1!A:D,4,FALSE)</f>
        <v>#N/A</v>
      </c>
    </row>
    <row r="172" spans="1:40" s="36" customFormat="1" ht="14.25" x14ac:dyDescent="0.2">
      <c r="A172" s="35"/>
      <c r="D172" s="37"/>
      <c r="E172" s="37"/>
      <c r="F172" s="37"/>
      <c r="G172" s="38"/>
      <c r="K172" s="50"/>
      <c r="L172" s="40"/>
      <c r="M172" s="51"/>
      <c r="N172" s="51"/>
      <c r="O172" s="51"/>
      <c r="P172" s="50"/>
      <c r="Q172" s="52"/>
      <c r="R172" s="52"/>
      <c r="S172" s="40"/>
      <c r="T172" s="52"/>
      <c r="U172" s="52"/>
      <c r="V172" s="52"/>
      <c r="W172" s="52"/>
      <c r="X172" s="52"/>
      <c r="AN172" s="133" t="e">
        <f>VLOOKUP(I172,Sheet1!A:D,4,FALSE)</f>
        <v>#N/A</v>
      </c>
    </row>
    <row r="173" spans="1:40" s="36" customFormat="1" ht="14.25" x14ac:dyDescent="0.2">
      <c r="A173" s="35"/>
      <c r="D173" s="37"/>
      <c r="E173" s="37"/>
      <c r="F173" s="37"/>
      <c r="G173" s="38"/>
      <c r="K173" s="50"/>
      <c r="L173" s="40"/>
      <c r="M173" s="51"/>
      <c r="N173" s="51"/>
      <c r="O173" s="51"/>
      <c r="P173" s="50"/>
      <c r="Q173" s="52"/>
      <c r="R173" s="52"/>
      <c r="S173" s="40"/>
      <c r="T173" s="52"/>
      <c r="U173" s="52"/>
      <c r="V173" s="52"/>
      <c r="W173" s="52"/>
      <c r="X173" s="52"/>
      <c r="AN173" s="133" t="e">
        <f>VLOOKUP(I173,Sheet1!A:D,4,FALSE)</f>
        <v>#N/A</v>
      </c>
    </row>
    <row r="174" spans="1:40" s="36" customFormat="1" ht="14.25" x14ac:dyDescent="0.2">
      <c r="A174" s="35"/>
      <c r="D174" s="37"/>
      <c r="E174" s="37"/>
      <c r="F174" s="37"/>
      <c r="G174" s="38"/>
      <c r="K174" s="50"/>
      <c r="L174" s="40"/>
      <c r="M174" s="51"/>
      <c r="N174" s="51"/>
      <c r="O174" s="51"/>
      <c r="P174" s="50"/>
      <c r="Q174" s="52"/>
      <c r="R174" s="52"/>
      <c r="S174" s="40"/>
      <c r="T174" s="52"/>
      <c r="U174" s="52"/>
      <c r="V174" s="52"/>
      <c r="W174" s="52"/>
      <c r="X174" s="52"/>
      <c r="AN174" s="133" t="e">
        <f>VLOOKUP(I174,Sheet1!A:D,4,FALSE)</f>
        <v>#N/A</v>
      </c>
    </row>
    <row r="175" spans="1:40" s="36" customFormat="1" ht="14.25" x14ac:dyDescent="0.2">
      <c r="A175" s="35"/>
      <c r="D175" s="37"/>
      <c r="E175" s="37"/>
      <c r="F175" s="37"/>
      <c r="G175" s="38"/>
      <c r="K175" s="50"/>
      <c r="L175" s="40"/>
      <c r="M175" s="51"/>
      <c r="N175" s="51"/>
      <c r="O175" s="51"/>
      <c r="P175" s="50"/>
      <c r="Q175" s="52"/>
      <c r="R175" s="52"/>
      <c r="S175" s="40"/>
      <c r="T175" s="52"/>
      <c r="U175" s="52"/>
      <c r="V175" s="52"/>
      <c r="W175" s="52"/>
      <c r="X175" s="52"/>
      <c r="AN175" s="133" t="e">
        <f>VLOOKUP(I175,Sheet1!A:D,4,FALSE)</f>
        <v>#N/A</v>
      </c>
    </row>
    <row r="176" spans="1:40" s="36" customFormat="1" ht="14.25" x14ac:dyDescent="0.2">
      <c r="A176" s="35"/>
      <c r="D176" s="37"/>
      <c r="E176" s="37"/>
      <c r="F176" s="37"/>
      <c r="G176" s="38"/>
      <c r="K176" s="50"/>
      <c r="L176" s="40"/>
      <c r="M176" s="51"/>
      <c r="N176" s="51"/>
      <c r="O176" s="51"/>
      <c r="P176" s="50"/>
      <c r="Q176" s="52"/>
      <c r="R176" s="52"/>
      <c r="S176" s="40"/>
      <c r="T176" s="52"/>
      <c r="U176" s="52"/>
      <c r="V176" s="52"/>
      <c r="W176" s="52"/>
      <c r="X176" s="52"/>
      <c r="AN176" s="133" t="e">
        <f>VLOOKUP(I176,Sheet1!A:D,4,FALSE)</f>
        <v>#N/A</v>
      </c>
    </row>
    <row r="177" spans="1:40" s="36" customFormat="1" ht="14.25" x14ac:dyDescent="0.2">
      <c r="A177" s="35"/>
      <c r="D177" s="37"/>
      <c r="E177" s="37"/>
      <c r="F177" s="37"/>
      <c r="G177" s="38"/>
      <c r="K177" s="50"/>
      <c r="L177" s="40"/>
      <c r="M177" s="51"/>
      <c r="N177" s="51"/>
      <c r="O177" s="51"/>
      <c r="P177" s="50"/>
      <c r="Q177" s="52"/>
      <c r="R177" s="52"/>
      <c r="S177" s="40"/>
      <c r="T177" s="52"/>
      <c r="U177" s="52"/>
      <c r="V177" s="52"/>
      <c r="W177" s="52"/>
      <c r="X177" s="52"/>
      <c r="AN177" s="133" t="e">
        <f>VLOOKUP(I177,Sheet1!A:D,4,FALSE)</f>
        <v>#N/A</v>
      </c>
    </row>
    <row r="178" spans="1:40" s="36" customFormat="1" ht="14.25" x14ac:dyDescent="0.2">
      <c r="A178" s="35"/>
      <c r="D178" s="37"/>
      <c r="E178" s="37"/>
      <c r="F178" s="37"/>
      <c r="G178" s="38"/>
      <c r="K178" s="50"/>
      <c r="L178" s="40"/>
      <c r="M178" s="51"/>
      <c r="N178" s="51"/>
      <c r="O178" s="51"/>
      <c r="P178" s="50"/>
      <c r="Q178" s="52"/>
      <c r="R178" s="52"/>
      <c r="S178" s="40"/>
      <c r="T178" s="52"/>
      <c r="U178" s="52"/>
      <c r="V178" s="52"/>
      <c r="W178" s="52"/>
      <c r="X178" s="52"/>
      <c r="AN178" s="133" t="e">
        <f>VLOOKUP(I178,Sheet1!A:D,4,FALSE)</f>
        <v>#N/A</v>
      </c>
    </row>
    <row r="179" spans="1:40" s="36" customFormat="1" ht="14.25" x14ac:dyDescent="0.2">
      <c r="A179" s="35"/>
      <c r="D179" s="37"/>
      <c r="E179" s="37"/>
      <c r="F179" s="37"/>
      <c r="G179" s="38"/>
      <c r="K179" s="50"/>
      <c r="L179" s="40"/>
      <c r="M179" s="51"/>
      <c r="N179" s="51"/>
      <c r="O179" s="51"/>
      <c r="P179" s="50"/>
      <c r="Q179" s="52"/>
      <c r="R179" s="52"/>
      <c r="S179" s="40"/>
      <c r="T179" s="52"/>
      <c r="U179" s="52"/>
      <c r="V179" s="52"/>
      <c r="W179" s="52"/>
      <c r="X179" s="52"/>
      <c r="AN179" s="133" t="e">
        <f>VLOOKUP(I179,Sheet1!A:D,4,FALSE)</f>
        <v>#N/A</v>
      </c>
    </row>
    <row r="180" spans="1:40" s="36" customFormat="1" ht="14.25" x14ac:dyDescent="0.2">
      <c r="A180" s="35"/>
      <c r="D180" s="37"/>
      <c r="E180" s="37"/>
      <c r="F180" s="37"/>
      <c r="G180" s="38"/>
      <c r="K180" s="50"/>
      <c r="L180" s="40"/>
      <c r="M180" s="51"/>
      <c r="N180" s="51"/>
      <c r="O180" s="51"/>
      <c r="P180" s="50"/>
      <c r="Q180" s="52"/>
      <c r="R180" s="52"/>
      <c r="S180" s="40"/>
      <c r="T180" s="52"/>
      <c r="U180" s="52"/>
      <c r="V180" s="52"/>
      <c r="W180" s="52"/>
      <c r="X180" s="52"/>
      <c r="AN180" s="133" t="e">
        <f>VLOOKUP(I180,Sheet1!A:D,4,FALSE)</f>
        <v>#N/A</v>
      </c>
    </row>
    <row r="181" spans="1:40" s="36" customFormat="1" ht="14.25" x14ac:dyDescent="0.2">
      <c r="A181" s="35"/>
      <c r="D181" s="37"/>
      <c r="E181" s="37"/>
      <c r="F181" s="37"/>
      <c r="G181" s="38"/>
      <c r="K181" s="50"/>
      <c r="L181" s="40"/>
      <c r="M181" s="51"/>
      <c r="N181" s="51"/>
      <c r="O181" s="51"/>
      <c r="P181" s="50"/>
      <c r="Q181" s="52"/>
      <c r="R181" s="52"/>
      <c r="S181" s="40"/>
      <c r="T181" s="52"/>
      <c r="U181" s="52"/>
      <c r="V181" s="52"/>
      <c r="W181" s="52"/>
      <c r="X181" s="52"/>
      <c r="AN181" s="133" t="e">
        <f>VLOOKUP(I181,Sheet1!A:D,4,FALSE)</f>
        <v>#N/A</v>
      </c>
    </row>
    <row r="182" spans="1:40" s="36" customFormat="1" ht="14.25" x14ac:dyDescent="0.2">
      <c r="A182" s="35"/>
      <c r="D182" s="37"/>
      <c r="E182" s="37"/>
      <c r="F182" s="37"/>
      <c r="G182" s="38"/>
      <c r="K182" s="50"/>
      <c r="L182" s="40"/>
      <c r="M182" s="51"/>
      <c r="N182" s="51"/>
      <c r="O182" s="51"/>
      <c r="P182" s="50"/>
      <c r="Q182" s="52"/>
      <c r="R182" s="52"/>
      <c r="S182" s="40"/>
      <c r="T182" s="52"/>
      <c r="U182" s="52"/>
      <c r="V182" s="52"/>
      <c r="W182" s="52"/>
      <c r="X182" s="52"/>
      <c r="AN182" s="133" t="e">
        <f>VLOOKUP(I182,Sheet1!A:D,4,FALSE)</f>
        <v>#N/A</v>
      </c>
    </row>
    <row r="183" spans="1:40" s="36" customFormat="1" ht="14.25" x14ac:dyDescent="0.2">
      <c r="A183" s="35"/>
      <c r="D183" s="37"/>
      <c r="E183" s="37"/>
      <c r="F183" s="37"/>
      <c r="G183" s="38"/>
      <c r="K183" s="50"/>
      <c r="L183" s="40"/>
      <c r="M183" s="51"/>
      <c r="N183" s="51"/>
      <c r="O183" s="51"/>
      <c r="P183" s="50"/>
      <c r="Q183" s="52"/>
      <c r="R183" s="52"/>
      <c r="S183" s="40"/>
      <c r="T183" s="52"/>
      <c r="U183" s="52"/>
      <c r="V183" s="52"/>
      <c r="W183" s="52"/>
      <c r="X183" s="52"/>
      <c r="AN183" s="133" t="e">
        <f>VLOOKUP(I183,Sheet1!A:D,4,FALSE)</f>
        <v>#N/A</v>
      </c>
    </row>
    <row r="184" spans="1:40" s="36" customFormat="1" ht="14.25" x14ac:dyDescent="0.2">
      <c r="A184" s="35"/>
      <c r="D184" s="37"/>
      <c r="E184" s="37"/>
      <c r="F184" s="37"/>
      <c r="G184" s="38"/>
      <c r="K184" s="50"/>
      <c r="L184" s="40"/>
      <c r="M184" s="51"/>
      <c r="N184" s="51"/>
      <c r="O184" s="51"/>
      <c r="P184" s="50"/>
      <c r="Q184" s="52"/>
      <c r="R184" s="52"/>
      <c r="S184" s="40"/>
      <c r="T184" s="52"/>
      <c r="U184" s="52"/>
      <c r="V184" s="52"/>
      <c r="W184" s="52"/>
      <c r="X184" s="52"/>
      <c r="AN184" s="133" t="e">
        <f>VLOOKUP(I184,Sheet1!A:D,4,FALSE)</f>
        <v>#N/A</v>
      </c>
    </row>
    <row r="185" spans="1:40" s="36" customFormat="1" ht="14.25" x14ac:dyDescent="0.2">
      <c r="A185" s="35"/>
      <c r="D185" s="37"/>
      <c r="E185" s="37"/>
      <c r="F185" s="37"/>
      <c r="G185" s="38"/>
      <c r="K185" s="50"/>
      <c r="L185" s="40"/>
      <c r="M185" s="51"/>
      <c r="N185" s="51"/>
      <c r="O185" s="51"/>
      <c r="P185" s="50"/>
      <c r="Q185" s="52"/>
      <c r="R185" s="52"/>
      <c r="S185" s="40"/>
      <c r="T185" s="52"/>
      <c r="U185" s="52"/>
      <c r="V185" s="52"/>
      <c r="W185" s="52"/>
      <c r="X185" s="52"/>
      <c r="AN185" s="133" t="e">
        <f>VLOOKUP(I185,Sheet1!A:D,4,FALSE)</f>
        <v>#N/A</v>
      </c>
    </row>
    <row r="186" spans="1:40" s="36" customFormat="1" ht="14.25" x14ac:dyDescent="0.2">
      <c r="A186" s="35"/>
      <c r="D186" s="37"/>
      <c r="E186" s="37"/>
      <c r="F186" s="37"/>
      <c r="G186" s="38"/>
      <c r="K186" s="50"/>
      <c r="L186" s="40"/>
      <c r="M186" s="51"/>
      <c r="N186" s="51"/>
      <c r="O186" s="51"/>
      <c r="P186" s="50"/>
      <c r="Q186" s="52"/>
      <c r="R186" s="52"/>
      <c r="S186" s="40"/>
      <c r="T186" s="52"/>
      <c r="U186" s="52"/>
      <c r="V186" s="52"/>
      <c r="W186" s="52"/>
      <c r="X186" s="52"/>
      <c r="AN186" s="133" t="e">
        <f>VLOOKUP(I186,Sheet1!A:D,4,FALSE)</f>
        <v>#N/A</v>
      </c>
    </row>
    <row r="187" spans="1:40" s="36" customFormat="1" ht="14.25" x14ac:dyDescent="0.2">
      <c r="A187" s="35"/>
      <c r="D187" s="37"/>
      <c r="E187" s="37"/>
      <c r="F187" s="37"/>
      <c r="G187" s="38"/>
      <c r="K187" s="50"/>
      <c r="L187" s="40"/>
      <c r="M187" s="51"/>
      <c r="N187" s="51"/>
      <c r="O187" s="51"/>
      <c r="P187" s="50"/>
      <c r="Q187" s="52"/>
      <c r="R187" s="52"/>
      <c r="S187" s="40"/>
      <c r="T187" s="52"/>
      <c r="U187" s="52"/>
      <c r="V187" s="52"/>
      <c r="W187" s="52"/>
      <c r="X187" s="52"/>
      <c r="AN187" s="133" t="e">
        <f>VLOOKUP(I187,Sheet1!A:D,4,FALSE)</f>
        <v>#N/A</v>
      </c>
    </row>
    <row r="188" spans="1:40" s="36" customFormat="1" ht="14.25" x14ac:dyDescent="0.2">
      <c r="A188" s="35"/>
      <c r="D188" s="37"/>
      <c r="E188" s="37"/>
      <c r="F188" s="37"/>
      <c r="G188" s="38"/>
      <c r="K188" s="50"/>
      <c r="L188" s="40"/>
      <c r="M188" s="51"/>
      <c r="N188" s="51"/>
      <c r="O188" s="51"/>
      <c r="P188" s="50"/>
      <c r="Q188" s="52"/>
      <c r="R188" s="52"/>
      <c r="S188" s="40"/>
      <c r="T188" s="52"/>
      <c r="U188" s="52"/>
      <c r="V188" s="52"/>
      <c r="W188" s="52"/>
      <c r="X188" s="52"/>
      <c r="AN188" s="133" t="e">
        <f>VLOOKUP(I188,Sheet1!A:D,4,FALSE)</f>
        <v>#N/A</v>
      </c>
    </row>
    <row r="189" spans="1:40" s="36" customFormat="1" ht="14.25" x14ac:dyDescent="0.2">
      <c r="A189" s="35"/>
      <c r="D189" s="37"/>
      <c r="E189" s="37"/>
      <c r="F189" s="37"/>
      <c r="G189" s="38"/>
      <c r="K189" s="50"/>
      <c r="L189" s="40"/>
      <c r="M189" s="51"/>
      <c r="N189" s="51"/>
      <c r="O189" s="51"/>
      <c r="P189" s="50"/>
      <c r="Q189" s="52"/>
      <c r="R189" s="52"/>
      <c r="S189" s="40"/>
      <c r="T189" s="52"/>
      <c r="U189" s="52"/>
      <c r="V189" s="52"/>
      <c r="W189" s="52"/>
      <c r="X189" s="52"/>
      <c r="AN189" s="133" t="e">
        <f>VLOOKUP(I189,Sheet1!A:D,4,FALSE)</f>
        <v>#N/A</v>
      </c>
    </row>
    <row r="190" spans="1:40" s="36" customFormat="1" ht="14.25" x14ac:dyDescent="0.2">
      <c r="A190" s="35"/>
      <c r="D190" s="37"/>
      <c r="E190" s="37"/>
      <c r="F190" s="37"/>
      <c r="G190" s="38"/>
      <c r="K190" s="50"/>
      <c r="L190" s="40"/>
      <c r="M190" s="51"/>
      <c r="N190" s="51"/>
      <c r="O190" s="51"/>
      <c r="P190" s="50"/>
      <c r="Q190" s="52"/>
      <c r="R190" s="52"/>
      <c r="S190" s="40"/>
      <c r="T190" s="52"/>
      <c r="U190" s="52"/>
      <c r="V190" s="52"/>
      <c r="W190" s="52"/>
      <c r="X190" s="52"/>
      <c r="AN190" s="133" t="e">
        <f>VLOOKUP(I190,Sheet1!A:D,4,FALSE)</f>
        <v>#N/A</v>
      </c>
    </row>
    <row r="191" spans="1:40" s="36" customFormat="1" ht="14.25" x14ac:dyDescent="0.2">
      <c r="A191" s="35"/>
      <c r="D191" s="37"/>
      <c r="E191" s="37"/>
      <c r="F191" s="37"/>
      <c r="G191" s="38"/>
      <c r="K191" s="50"/>
      <c r="L191" s="40"/>
      <c r="M191" s="51"/>
      <c r="N191" s="51"/>
      <c r="O191" s="51"/>
      <c r="P191" s="50"/>
      <c r="Q191" s="52"/>
      <c r="R191" s="52"/>
      <c r="S191" s="40"/>
      <c r="T191" s="52"/>
      <c r="U191" s="52"/>
      <c r="V191" s="52"/>
      <c r="W191" s="52"/>
      <c r="X191" s="52"/>
      <c r="AN191" s="133" t="e">
        <f>VLOOKUP(I191,Sheet1!A:D,4,FALSE)</f>
        <v>#N/A</v>
      </c>
    </row>
    <row r="192" spans="1:40" s="36" customFormat="1" ht="14.25" x14ac:dyDescent="0.2">
      <c r="A192" s="35"/>
      <c r="D192" s="37"/>
      <c r="E192" s="37"/>
      <c r="F192" s="37"/>
      <c r="G192" s="38"/>
      <c r="K192" s="50"/>
      <c r="L192" s="40"/>
      <c r="M192" s="51"/>
      <c r="N192" s="51"/>
      <c r="O192" s="51"/>
      <c r="P192" s="50"/>
      <c r="Q192" s="52"/>
      <c r="R192" s="52"/>
      <c r="S192" s="40"/>
      <c r="T192" s="52"/>
      <c r="U192" s="52"/>
      <c r="V192" s="52"/>
      <c r="W192" s="52"/>
      <c r="X192" s="52"/>
      <c r="AN192" s="133" t="e">
        <f>VLOOKUP(I192,Sheet1!A:D,4,FALSE)</f>
        <v>#N/A</v>
      </c>
    </row>
    <row r="193" spans="1:40" s="36" customFormat="1" ht="14.25" x14ac:dyDescent="0.2">
      <c r="A193" s="35"/>
      <c r="D193" s="37"/>
      <c r="E193" s="37"/>
      <c r="F193" s="37"/>
      <c r="G193" s="38"/>
      <c r="K193" s="50"/>
      <c r="L193" s="40"/>
      <c r="M193" s="51"/>
      <c r="N193" s="51"/>
      <c r="O193" s="51"/>
      <c r="P193" s="50"/>
      <c r="Q193" s="52"/>
      <c r="R193" s="52"/>
      <c r="S193" s="40"/>
      <c r="T193" s="52"/>
      <c r="U193" s="52"/>
      <c r="V193" s="52"/>
      <c r="W193" s="52"/>
      <c r="X193" s="52"/>
      <c r="AN193" s="133" t="e">
        <f>VLOOKUP(I193,Sheet1!A:D,4,FALSE)</f>
        <v>#N/A</v>
      </c>
    </row>
    <row r="194" spans="1:40" s="36" customFormat="1" ht="14.25" x14ac:dyDescent="0.2">
      <c r="A194" s="35"/>
      <c r="D194" s="37"/>
      <c r="E194" s="37"/>
      <c r="F194" s="37"/>
      <c r="G194" s="38"/>
      <c r="K194" s="50"/>
      <c r="L194" s="40"/>
      <c r="M194" s="51"/>
      <c r="N194" s="51"/>
      <c r="O194" s="51"/>
      <c r="P194" s="50"/>
      <c r="Q194" s="52"/>
      <c r="R194" s="52"/>
      <c r="S194" s="40"/>
      <c r="T194" s="52"/>
      <c r="U194" s="52"/>
      <c r="V194" s="52"/>
      <c r="W194" s="52"/>
      <c r="X194" s="52"/>
      <c r="AN194" s="133" t="e">
        <f>VLOOKUP(I194,Sheet1!A:D,4,FALSE)</f>
        <v>#N/A</v>
      </c>
    </row>
    <row r="195" spans="1:40" s="36" customFormat="1" ht="14.25" x14ac:dyDescent="0.2">
      <c r="A195" s="35"/>
      <c r="D195" s="37"/>
      <c r="E195" s="37"/>
      <c r="F195" s="37"/>
      <c r="G195" s="38"/>
      <c r="K195" s="50"/>
      <c r="L195" s="40"/>
      <c r="M195" s="51"/>
      <c r="N195" s="51"/>
      <c r="O195" s="51"/>
      <c r="P195" s="50"/>
      <c r="Q195" s="52"/>
      <c r="R195" s="52"/>
      <c r="S195" s="40"/>
      <c r="T195" s="52"/>
      <c r="U195" s="52"/>
      <c r="V195" s="52"/>
      <c r="W195" s="52"/>
      <c r="X195" s="52"/>
      <c r="AN195" s="133" t="e">
        <f>VLOOKUP(I195,Sheet1!A:D,4,FALSE)</f>
        <v>#N/A</v>
      </c>
    </row>
    <row r="196" spans="1:40" s="36" customFormat="1" ht="14.25" x14ac:dyDescent="0.2">
      <c r="A196" s="35"/>
      <c r="D196" s="37"/>
      <c r="E196" s="37"/>
      <c r="F196" s="37"/>
      <c r="G196" s="38"/>
      <c r="K196" s="50"/>
      <c r="L196" s="40"/>
      <c r="M196" s="51"/>
      <c r="N196" s="51"/>
      <c r="O196" s="51"/>
      <c r="P196" s="50"/>
      <c r="Q196" s="52"/>
      <c r="R196" s="52"/>
      <c r="S196" s="40"/>
      <c r="T196" s="52"/>
      <c r="U196" s="52"/>
      <c r="V196" s="52"/>
      <c r="W196" s="52"/>
      <c r="X196" s="52"/>
      <c r="AN196" s="133" t="e">
        <f>VLOOKUP(I196,Sheet1!A:D,4,FALSE)</f>
        <v>#N/A</v>
      </c>
    </row>
    <row r="197" spans="1:40" s="36" customFormat="1" ht="14.25" x14ac:dyDescent="0.2">
      <c r="A197" s="35"/>
      <c r="D197" s="37"/>
      <c r="E197" s="37"/>
      <c r="F197" s="37"/>
      <c r="G197" s="38"/>
      <c r="K197" s="50"/>
      <c r="L197" s="40"/>
      <c r="M197" s="51"/>
      <c r="N197" s="51"/>
      <c r="O197" s="51"/>
      <c r="P197" s="50"/>
      <c r="Q197" s="52"/>
      <c r="R197" s="52"/>
      <c r="S197" s="40"/>
      <c r="T197" s="52"/>
      <c r="U197" s="52"/>
      <c r="V197" s="52"/>
      <c r="W197" s="52"/>
      <c r="X197" s="52"/>
      <c r="AN197" s="133" t="e">
        <f>VLOOKUP(I197,Sheet1!A:D,4,FALSE)</f>
        <v>#N/A</v>
      </c>
    </row>
    <row r="198" spans="1:40" s="36" customFormat="1" ht="14.25" x14ac:dyDescent="0.2">
      <c r="A198" s="35"/>
      <c r="D198" s="37"/>
      <c r="E198" s="37"/>
      <c r="F198" s="37"/>
      <c r="G198" s="38"/>
      <c r="K198" s="50"/>
      <c r="L198" s="40"/>
      <c r="M198" s="51"/>
      <c r="N198" s="51"/>
      <c r="O198" s="51"/>
      <c r="P198" s="50"/>
      <c r="Q198" s="52"/>
      <c r="R198" s="52"/>
      <c r="S198" s="40"/>
      <c r="T198" s="52"/>
      <c r="U198" s="52"/>
      <c r="V198" s="52"/>
      <c r="W198" s="52"/>
      <c r="X198" s="52"/>
      <c r="AN198" s="133" t="e">
        <f>VLOOKUP(I198,Sheet1!A:D,4,FALSE)</f>
        <v>#N/A</v>
      </c>
    </row>
    <row r="199" spans="1:40" s="36" customFormat="1" ht="14.25" x14ac:dyDescent="0.2">
      <c r="A199" s="35"/>
      <c r="D199" s="37"/>
      <c r="E199" s="37"/>
      <c r="F199" s="37"/>
      <c r="G199" s="38"/>
      <c r="K199" s="50"/>
      <c r="L199" s="40"/>
      <c r="M199" s="51"/>
      <c r="N199" s="51"/>
      <c r="O199" s="51"/>
      <c r="P199" s="50"/>
      <c r="Q199" s="52"/>
      <c r="R199" s="52"/>
      <c r="S199" s="40"/>
      <c r="T199" s="52"/>
      <c r="U199" s="52"/>
      <c r="V199" s="52"/>
      <c r="W199" s="52"/>
      <c r="X199" s="52"/>
      <c r="AN199" s="133" t="e">
        <f>VLOOKUP(I199,Sheet1!A:D,4,FALSE)</f>
        <v>#N/A</v>
      </c>
    </row>
    <row r="200" spans="1:40" s="36" customFormat="1" ht="14.25" x14ac:dyDescent="0.2">
      <c r="A200" s="35"/>
      <c r="D200" s="37"/>
      <c r="E200" s="37"/>
      <c r="F200" s="37"/>
      <c r="G200" s="38"/>
      <c r="K200" s="50"/>
      <c r="L200" s="40"/>
      <c r="M200" s="51"/>
      <c r="N200" s="51"/>
      <c r="O200" s="51"/>
      <c r="P200" s="50"/>
      <c r="Q200" s="52"/>
      <c r="R200" s="52"/>
      <c r="S200" s="40"/>
      <c r="T200" s="52"/>
      <c r="U200" s="52"/>
      <c r="V200" s="52"/>
      <c r="W200" s="52"/>
      <c r="X200" s="52"/>
      <c r="AN200" s="133" t="e">
        <f>VLOOKUP(I200,Sheet1!A:D,4,FALSE)</f>
        <v>#N/A</v>
      </c>
    </row>
    <row r="201" spans="1:40" s="36" customFormat="1" ht="14.25" x14ac:dyDescent="0.2">
      <c r="A201" s="35"/>
      <c r="D201" s="37"/>
      <c r="E201" s="37"/>
      <c r="F201" s="37"/>
      <c r="G201" s="38"/>
      <c r="K201" s="50"/>
      <c r="L201" s="40"/>
      <c r="M201" s="51"/>
      <c r="N201" s="51"/>
      <c r="O201" s="51"/>
      <c r="P201" s="50"/>
      <c r="Q201" s="52"/>
      <c r="R201" s="52"/>
      <c r="S201" s="40"/>
      <c r="T201" s="52"/>
      <c r="U201" s="52"/>
      <c r="V201" s="52"/>
      <c r="W201" s="52"/>
      <c r="X201" s="52"/>
      <c r="AN201" s="133" t="e">
        <f>VLOOKUP(I201,Sheet1!A:D,4,FALSE)</f>
        <v>#N/A</v>
      </c>
    </row>
    <row r="202" spans="1:40" s="36" customFormat="1" ht="14.25" x14ac:dyDescent="0.2">
      <c r="A202" s="35"/>
      <c r="D202" s="37"/>
      <c r="E202" s="37"/>
      <c r="F202" s="37"/>
      <c r="G202" s="38"/>
      <c r="K202" s="50"/>
      <c r="L202" s="40"/>
      <c r="M202" s="51"/>
      <c r="N202" s="51"/>
      <c r="O202" s="51"/>
      <c r="P202" s="50"/>
      <c r="Q202" s="52"/>
      <c r="R202" s="52"/>
      <c r="S202" s="40"/>
      <c r="T202" s="52"/>
      <c r="U202" s="52"/>
      <c r="V202" s="52"/>
      <c r="W202" s="52"/>
      <c r="X202" s="52"/>
      <c r="AN202" s="133" t="e">
        <f>VLOOKUP(I202,Sheet1!A:D,4,FALSE)</f>
        <v>#N/A</v>
      </c>
    </row>
    <row r="203" spans="1:40" s="36" customFormat="1" ht="14.25" x14ac:dyDescent="0.2">
      <c r="A203" s="35"/>
      <c r="D203" s="37"/>
      <c r="E203" s="37"/>
      <c r="F203" s="37"/>
      <c r="G203" s="38"/>
      <c r="K203" s="50"/>
      <c r="L203" s="40"/>
      <c r="M203" s="51"/>
      <c r="N203" s="51"/>
      <c r="O203" s="51"/>
      <c r="P203" s="50"/>
      <c r="Q203" s="52"/>
      <c r="R203" s="52"/>
      <c r="S203" s="40"/>
      <c r="T203" s="52"/>
      <c r="U203" s="52"/>
      <c r="V203" s="52"/>
      <c r="W203" s="52"/>
      <c r="X203" s="52"/>
      <c r="AN203" s="133" t="e">
        <f>VLOOKUP(I203,Sheet1!A:D,4,FALSE)</f>
        <v>#N/A</v>
      </c>
    </row>
    <row r="204" spans="1:40" s="36" customFormat="1" ht="14.25" x14ac:dyDescent="0.2">
      <c r="A204" s="35"/>
      <c r="D204" s="37"/>
      <c r="E204" s="37"/>
      <c r="F204" s="37"/>
      <c r="G204" s="38"/>
      <c r="K204" s="39"/>
      <c r="L204" s="40"/>
      <c r="M204" s="41"/>
      <c r="N204" s="41"/>
      <c r="O204" s="41"/>
      <c r="P204" s="39"/>
      <c r="Q204" s="42"/>
      <c r="R204" s="42"/>
      <c r="S204" s="40"/>
      <c r="T204" s="42"/>
      <c r="U204" s="42"/>
      <c r="V204" s="42"/>
      <c r="W204" s="42"/>
      <c r="X204" s="42"/>
      <c r="AN204" s="133" t="e">
        <f>VLOOKUP(I204,Sheet1!A:D,4,FALSE)</f>
        <v>#N/A</v>
      </c>
    </row>
    <row r="205" spans="1:40" s="36" customFormat="1" ht="14.25" x14ac:dyDescent="0.2">
      <c r="A205" s="35"/>
      <c r="D205" s="37"/>
      <c r="E205" s="37"/>
      <c r="F205" s="37"/>
      <c r="G205" s="38"/>
      <c r="K205" s="39"/>
      <c r="L205" s="40"/>
      <c r="M205" s="41"/>
      <c r="N205" s="41"/>
      <c r="O205" s="41"/>
      <c r="P205" s="39"/>
      <c r="Q205" s="42"/>
      <c r="R205" s="42"/>
      <c r="S205" s="40"/>
      <c r="T205" s="42"/>
      <c r="U205" s="42"/>
      <c r="V205" s="42"/>
      <c r="W205" s="42"/>
      <c r="X205" s="42"/>
      <c r="AN205" s="133" t="e">
        <f>VLOOKUP(I205,Sheet1!A:D,4,FALSE)</f>
        <v>#N/A</v>
      </c>
    </row>
    <row r="206" spans="1:40" s="36" customFormat="1" ht="14.25" x14ac:dyDescent="0.2">
      <c r="A206" s="35"/>
      <c r="D206" s="37"/>
      <c r="E206" s="37"/>
      <c r="F206" s="37"/>
      <c r="G206" s="38"/>
      <c r="K206" s="39"/>
      <c r="L206" s="40"/>
      <c r="M206" s="41"/>
      <c r="N206" s="41"/>
      <c r="O206" s="41"/>
      <c r="P206" s="39"/>
      <c r="Q206" s="42"/>
      <c r="R206" s="42"/>
      <c r="S206" s="40"/>
      <c r="T206" s="42"/>
      <c r="U206" s="42"/>
      <c r="V206" s="42"/>
      <c r="W206" s="42"/>
      <c r="X206" s="42"/>
      <c r="AN206" s="133" t="e">
        <f>VLOOKUP(I206,Sheet1!A:D,4,FALSE)</f>
        <v>#N/A</v>
      </c>
    </row>
    <row r="207" spans="1:40" s="36" customFormat="1" ht="14.25" x14ac:dyDescent="0.2">
      <c r="A207" s="35"/>
      <c r="D207" s="37"/>
      <c r="E207" s="37"/>
      <c r="F207" s="37"/>
      <c r="G207" s="38"/>
      <c r="K207" s="39"/>
      <c r="L207" s="40"/>
      <c r="M207" s="41"/>
      <c r="N207" s="41"/>
      <c r="O207" s="41"/>
      <c r="P207" s="39"/>
      <c r="Q207" s="42"/>
      <c r="R207" s="42"/>
      <c r="S207" s="40"/>
      <c r="T207" s="42"/>
      <c r="U207" s="42"/>
      <c r="V207" s="42"/>
      <c r="W207" s="42"/>
      <c r="X207" s="42"/>
      <c r="AN207" s="133" t="e">
        <f>VLOOKUP(I207,Sheet1!A:D,4,FALSE)</f>
        <v>#N/A</v>
      </c>
    </row>
    <row r="208" spans="1:40" s="36" customFormat="1" ht="14.25" x14ac:dyDescent="0.2">
      <c r="A208" s="35"/>
      <c r="D208" s="37"/>
      <c r="E208" s="37"/>
      <c r="F208" s="37"/>
      <c r="G208" s="38"/>
      <c r="K208" s="39"/>
      <c r="L208" s="40"/>
      <c r="M208" s="41"/>
      <c r="N208" s="41"/>
      <c r="O208" s="41"/>
      <c r="P208" s="39"/>
      <c r="Q208" s="42"/>
      <c r="R208" s="42"/>
      <c r="S208" s="40"/>
      <c r="T208" s="42"/>
      <c r="U208" s="42"/>
      <c r="V208" s="42"/>
      <c r="W208" s="42"/>
      <c r="X208" s="42"/>
      <c r="AN208" s="133" t="e">
        <f>VLOOKUP(I208,Sheet1!A:D,4,FALSE)</f>
        <v>#N/A</v>
      </c>
    </row>
    <row r="209" spans="1:40" s="36" customFormat="1" ht="14.25" x14ac:dyDescent="0.2">
      <c r="A209" s="35"/>
      <c r="D209" s="37"/>
      <c r="E209" s="37"/>
      <c r="F209" s="37"/>
      <c r="G209" s="38"/>
      <c r="K209" s="39"/>
      <c r="L209" s="40"/>
      <c r="M209" s="41"/>
      <c r="N209" s="41"/>
      <c r="O209" s="41"/>
      <c r="P209" s="39"/>
      <c r="Q209" s="42"/>
      <c r="R209" s="42"/>
      <c r="S209" s="40"/>
      <c r="T209" s="42"/>
      <c r="U209" s="42"/>
      <c r="V209" s="42"/>
      <c r="W209" s="42"/>
      <c r="X209" s="42"/>
      <c r="AN209" s="133" t="e">
        <f>VLOOKUP(I209,Sheet1!A:D,4,FALSE)</f>
        <v>#N/A</v>
      </c>
    </row>
    <row r="210" spans="1:40" s="36" customFormat="1" ht="14.25" x14ac:dyDescent="0.2">
      <c r="A210" s="35"/>
      <c r="D210" s="37"/>
      <c r="E210" s="37"/>
      <c r="F210" s="37"/>
      <c r="G210" s="38"/>
      <c r="K210" s="39"/>
      <c r="L210" s="40"/>
      <c r="M210" s="41"/>
      <c r="N210" s="41"/>
      <c r="O210" s="41"/>
      <c r="P210" s="39"/>
      <c r="Q210" s="42"/>
      <c r="R210" s="42"/>
      <c r="S210" s="40"/>
      <c r="T210" s="42"/>
      <c r="U210" s="42"/>
      <c r="V210" s="42"/>
      <c r="W210" s="42"/>
      <c r="X210" s="42"/>
      <c r="AN210" s="133" t="e">
        <f>VLOOKUP(I210,Sheet1!A:D,4,FALSE)</f>
        <v>#N/A</v>
      </c>
    </row>
    <row r="211" spans="1:40" s="36" customFormat="1" ht="14.25" x14ac:dyDescent="0.2">
      <c r="A211" s="35"/>
      <c r="D211" s="37"/>
      <c r="E211" s="37"/>
      <c r="F211" s="37"/>
      <c r="G211" s="38"/>
      <c r="K211" s="39"/>
      <c r="L211" s="40"/>
      <c r="M211" s="41"/>
      <c r="N211" s="41"/>
      <c r="O211" s="41"/>
      <c r="P211" s="39"/>
      <c r="Q211" s="42"/>
      <c r="R211" s="42"/>
      <c r="S211" s="40"/>
      <c r="T211" s="42"/>
      <c r="U211" s="42"/>
      <c r="V211" s="42"/>
      <c r="W211" s="42"/>
      <c r="X211" s="42"/>
      <c r="AN211" s="133" t="e">
        <f>VLOOKUP(I211,Sheet1!A:D,4,FALSE)</f>
        <v>#N/A</v>
      </c>
    </row>
    <row r="212" spans="1:40" s="36" customFormat="1" ht="14.25" x14ac:dyDescent="0.2">
      <c r="A212" s="35"/>
      <c r="D212" s="37"/>
      <c r="E212" s="37"/>
      <c r="F212" s="37"/>
      <c r="G212" s="38"/>
      <c r="K212" s="39"/>
      <c r="L212" s="40"/>
      <c r="M212" s="41"/>
      <c r="N212" s="41"/>
      <c r="O212" s="41"/>
      <c r="P212" s="39"/>
      <c r="Q212" s="42"/>
      <c r="R212" s="42"/>
      <c r="S212" s="40"/>
      <c r="T212" s="42"/>
      <c r="U212" s="42"/>
      <c r="V212" s="42"/>
      <c r="W212" s="42"/>
      <c r="X212" s="42"/>
      <c r="AN212" s="133" t="e">
        <f>VLOOKUP(I212,Sheet1!A:D,4,FALSE)</f>
        <v>#N/A</v>
      </c>
    </row>
    <row r="213" spans="1:40" s="36" customFormat="1" ht="14.25" x14ac:dyDescent="0.2">
      <c r="A213" s="35"/>
      <c r="D213" s="37"/>
      <c r="E213" s="37"/>
      <c r="F213" s="37"/>
      <c r="G213" s="38"/>
      <c r="K213" s="39"/>
      <c r="L213" s="40"/>
      <c r="M213" s="41"/>
      <c r="N213" s="41"/>
      <c r="O213" s="41"/>
      <c r="P213" s="39"/>
      <c r="Q213" s="42"/>
      <c r="R213" s="42"/>
      <c r="S213" s="40"/>
      <c r="T213" s="42"/>
      <c r="U213" s="42"/>
      <c r="V213" s="42"/>
      <c r="W213" s="42"/>
      <c r="X213" s="42"/>
      <c r="AN213" s="133" t="e">
        <f>VLOOKUP(I213,Sheet1!A:D,4,FALSE)</f>
        <v>#N/A</v>
      </c>
    </row>
    <row r="214" spans="1:40" s="36" customFormat="1" ht="14.25" x14ac:dyDescent="0.2">
      <c r="A214" s="35"/>
      <c r="D214" s="37"/>
      <c r="E214" s="37"/>
      <c r="F214" s="37"/>
      <c r="G214" s="38"/>
      <c r="K214" s="39"/>
      <c r="L214" s="40"/>
      <c r="M214" s="41"/>
      <c r="N214" s="41"/>
      <c r="O214" s="41"/>
      <c r="P214" s="39"/>
      <c r="Q214" s="42"/>
      <c r="R214" s="42"/>
      <c r="S214" s="40"/>
      <c r="T214" s="42"/>
      <c r="U214" s="42"/>
      <c r="V214" s="42"/>
      <c r="W214" s="42"/>
      <c r="X214" s="42"/>
      <c r="AN214" s="133" t="e">
        <f>VLOOKUP(I214,Sheet1!A:D,4,FALSE)</f>
        <v>#N/A</v>
      </c>
    </row>
    <row r="215" spans="1:40" s="36" customFormat="1" ht="14.25" x14ac:dyDescent="0.2">
      <c r="A215" s="35"/>
      <c r="D215" s="37"/>
      <c r="E215" s="37"/>
      <c r="F215" s="37"/>
      <c r="G215" s="38"/>
      <c r="K215" s="39"/>
      <c r="L215" s="40"/>
      <c r="M215" s="41"/>
      <c r="N215" s="41"/>
      <c r="O215" s="41"/>
      <c r="P215" s="39"/>
      <c r="Q215" s="42"/>
      <c r="R215" s="42"/>
      <c r="S215" s="40"/>
      <c r="T215" s="42"/>
      <c r="U215" s="42"/>
      <c r="V215" s="42"/>
      <c r="W215" s="42"/>
      <c r="X215" s="42"/>
      <c r="AN215" s="133" t="e">
        <f>VLOOKUP(I215,Sheet1!A:D,4,FALSE)</f>
        <v>#N/A</v>
      </c>
    </row>
    <row r="216" spans="1:40" s="36" customFormat="1" ht="14.25" x14ac:dyDescent="0.2">
      <c r="A216" s="35"/>
      <c r="D216" s="37"/>
      <c r="E216" s="37"/>
      <c r="F216" s="37"/>
      <c r="G216" s="38"/>
      <c r="K216" s="39"/>
      <c r="L216" s="40"/>
      <c r="M216" s="41"/>
      <c r="N216" s="41"/>
      <c r="O216" s="41"/>
      <c r="P216" s="39"/>
      <c r="Q216" s="42"/>
      <c r="R216" s="42"/>
      <c r="S216" s="40"/>
      <c r="T216" s="42"/>
      <c r="U216" s="42"/>
      <c r="V216" s="42"/>
      <c r="W216" s="42"/>
      <c r="X216" s="42"/>
      <c r="AN216" s="133" t="e">
        <f>VLOOKUP(I216,Sheet1!A:D,4,FALSE)</f>
        <v>#N/A</v>
      </c>
    </row>
    <row r="217" spans="1:40" s="36" customFormat="1" ht="14.25" x14ac:dyDescent="0.2">
      <c r="A217" s="35"/>
      <c r="D217" s="37"/>
      <c r="E217" s="37"/>
      <c r="F217" s="37"/>
      <c r="G217" s="38"/>
      <c r="K217" s="39"/>
      <c r="L217" s="40"/>
      <c r="M217" s="41"/>
      <c r="N217" s="41"/>
      <c r="O217" s="41"/>
      <c r="P217" s="39"/>
      <c r="Q217" s="42"/>
      <c r="R217" s="42"/>
      <c r="S217" s="40"/>
      <c r="T217" s="42"/>
      <c r="U217" s="42"/>
      <c r="V217" s="42"/>
      <c r="W217" s="42"/>
      <c r="X217" s="42"/>
      <c r="AN217" s="133" t="e">
        <f>VLOOKUP(I217,Sheet1!A:D,4,FALSE)</f>
        <v>#N/A</v>
      </c>
    </row>
    <row r="218" spans="1:40" s="36" customFormat="1" ht="14.25" x14ac:dyDescent="0.2">
      <c r="A218" s="35"/>
      <c r="D218" s="37"/>
      <c r="E218" s="37"/>
      <c r="F218" s="37"/>
      <c r="G218" s="38"/>
      <c r="K218" s="39"/>
      <c r="L218" s="40"/>
      <c r="M218" s="41"/>
      <c r="N218" s="41"/>
      <c r="O218" s="41"/>
      <c r="P218" s="39"/>
      <c r="Q218" s="42"/>
      <c r="R218" s="42"/>
      <c r="S218" s="40"/>
      <c r="T218" s="42"/>
      <c r="U218" s="42"/>
      <c r="V218" s="42"/>
      <c r="W218" s="42"/>
      <c r="X218" s="42"/>
      <c r="AN218" s="133" t="e">
        <f>VLOOKUP(I218,Sheet1!A:D,4,FALSE)</f>
        <v>#N/A</v>
      </c>
    </row>
    <row r="219" spans="1:40" s="36" customFormat="1" ht="14.25" x14ac:dyDescent="0.2">
      <c r="A219" s="35"/>
      <c r="D219" s="37"/>
      <c r="E219" s="37"/>
      <c r="F219" s="37"/>
      <c r="G219" s="38"/>
      <c r="K219" s="39"/>
      <c r="L219" s="40"/>
      <c r="M219" s="41"/>
      <c r="N219" s="41"/>
      <c r="O219" s="41"/>
      <c r="P219" s="39"/>
      <c r="Q219" s="42"/>
      <c r="R219" s="42"/>
      <c r="S219" s="40"/>
      <c r="T219" s="42"/>
      <c r="U219" s="42"/>
      <c r="V219" s="42"/>
      <c r="W219" s="42"/>
      <c r="X219" s="42"/>
      <c r="AN219" s="133" t="e">
        <f>VLOOKUP(I219,Sheet1!A:D,4,FALSE)</f>
        <v>#N/A</v>
      </c>
    </row>
    <row r="220" spans="1:40" s="36" customFormat="1" ht="14.25" x14ac:dyDescent="0.2">
      <c r="A220" s="35"/>
      <c r="D220" s="37"/>
      <c r="E220" s="37"/>
      <c r="F220" s="37"/>
      <c r="G220" s="38"/>
      <c r="K220" s="39"/>
      <c r="L220" s="40"/>
      <c r="M220" s="41"/>
      <c r="N220" s="41"/>
      <c r="O220" s="41"/>
      <c r="P220" s="39"/>
      <c r="Q220" s="42"/>
      <c r="R220" s="42"/>
      <c r="S220" s="40"/>
      <c r="T220" s="42"/>
      <c r="U220" s="42"/>
      <c r="V220" s="42"/>
      <c r="W220" s="42"/>
      <c r="X220" s="42"/>
      <c r="AN220" s="133" t="e">
        <f>VLOOKUP(I220,Sheet1!A:D,4,FALSE)</f>
        <v>#N/A</v>
      </c>
    </row>
    <row r="221" spans="1:40" s="36" customFormat="1" ht="14.25" x14ac:dyDescent="0.2">
      <c r="A221" s="35"/>
      <c r="D221" s="37"/>
      <c r="E221" s="37"/>
      <c r="F221" s="37"/>
      <c r="G221" s="38"/>
      <c r="K221" s="39"/>
      <c r="L221" s="40"/>
      <c r="M221" s="41"/>
      <c r="N221" s="41"/>
      <c r="O221" s="41"/>
      <c r="P221" s="39"/>
      <c r="Q221" s="42"/>
      <c r="R221" s="42"/>
      <c r="S221" s="40"/>
      <c r="T221" s="42"/>
      <c r="U221" s="42"/>
      <c r="V221" s="42"/>
      <c r="W221" s="42"/>
      <c r="X221" s="42"/>
      <c r="AN221" s="133" t="e">
        <f>VLOOKUP(I221,Sheet1!A:D,4,FALSE)</f>
        <v>#N/A</v>
      </c>
    </row>
    <row r="222" spans="1:40" s="36" customFormat="1" ht="14.25" x14ac:dyDescent="0.2">
      <c r="A222" s="35"/>
      <c r="D222" s="37"/>
      <c r="E222" s="37"/>
      <c r="F222" s="37"/>
      <c r="G222" s="38"/>
      <c r="K222" s="39"/>
      <c r="L222" s="40"/>
      <c r="M222" s="41"/>
      <c r="N222" s="41"/>
      <c r="O222" s="41"/>
      <c r="P222" s="39"/>
      <c r="Q222" s="42"/>
      <c r="R222" s="42"/>
      <c r="S222" s="40"/>
      <c r="T222" s="42"/>
      <c r="U222" s="42"/>
      <c r="V222" s="42"/>
      <c r="W222" s="42"/>
      <c r="X222" s="42"/>
      <c r="AN222" s="133" t="e">
        <f>VLOOKUP(I222,Sheet1!A:D,4,FALSE)</f>
        <v>#N/A</v>
      </c>
    </row>
    <row r="223" spans="1:40" s="36" customFormat="1" ht="14.25" x14ac:dyDescent="0.2">
      <c r="A223" s="35"/>
      <c r="D223" s="37"/>
      <c r="E223" s="37"/>
      <c r="F223" s="37"/>
      <c r="G223" s="38"/>
      <c r="K223" s="39"/>
      <c r="L223" s="40"/>
      <c r="M223" s="41"/>
      <c r="N223" s="41"/>
      <c r="O223" s="41"/>
      <c r="P223" s="39"/>
      <c r="Q223" s="42"/>
      <c r="R223" s="42"/>
      <c r="S223" s="40"/>
      <c r="T223" s="42"/>
      <c r="U223" s="42"/>
      <c r="V223" s="42"/>
      <c r="W223" s="42"/>
      <c r="X223" s="42"/>
      <c r="AN223" s="133" t="e">
        <f>VLOOKUP(I223,Sheet1!A:D,4,FALSE)</f>
        <v>#N/A</v>
      </c>
    </row>
    <row r="224" spans="1:40" s="36" customFormat="1" ht="14.25" x14ac:dyDescent="0.2">
      <c r="A224" s="35"/>
      <c r="D224" s="37"/>
      <c r="E224" s="37"/>
      <c r="F224" s="37"/>
      <c r="G224" s="38"/>
      <c r="K224" s="39"/>
      <c r="L224" s="40"/>
      <c r="M224" s="41"/>
      <c r="N224" s="41"/>
      <c r="O224" s="41"/>
      <c r="P224" s="39"/>
      <c r="Q224" s="42"/>
      <c r="R224" s="42"/>
      <c r="S224" s="40"/>
      <c r="T224" s="42"/>
      <c r="U224" s="42"/>
      <c r="V224" s="42"/>
      <c r="W224" s="42"/>
      <c r="X224" s="42"/>
      <c r="AN224" s="133" t="e">
        <f>VLOOKUP(I224,Sheet1!A:D,4,FALSE)</f>
        <v>#N/A</v>
      </c>
    </row>
    <row r="225" spans="1:40" s="36" customFormat="1" ht="14.25" x14ac:dyDescent="0.2">
      <c r="A225" s="35"/>
      <c r="D225" s="37"/>
      <c r="E225" s="37"/>
      <c r="F225" s="37"/>
      <c r="G225" s="38"/>
      <c r="K225" s="39"/>
      <c r="L225" s="40"/>
      <c r="M225" s="41"/>
      <c r="N225" s="41"/>
      <c r="O225" s="41"/>
      <c r="P225" s="39"/>
      <c r="Q225" s="42"/>
      <c r="R225" s="42"/>
      <c r="S225" s="40"/>
      <c r="T225" s="42"/>
      <c r="U225" s="42"/>
      <c r="V225" s="42"/>
      <c r="W225" s="42"/>
      <c r="X225" s="42"/>
      <c r="AN225" s="133" t="e">
        <f>VLOOKUP(I225,Sheet1!A:D,4,FALSE)</f>
        <v>#N/A</v>
      </c>
    </row>
    <row r="226" spans="1:40" s="36" customFormat="1" ht="14.25" x14ac:dyDescent="0.2">
      <c r="A226" s="35"/>
      <c r="D226" s="37"/>
      <c r="E226" s="37"/>
      <c r="F226" s="37"/>
      <c r="G226" s="38"/>
      <c r="K226" s="39"/>
      <c r="L226" s="40"/>
      <c r="M226" s="41"/>
      <c r="N226" s="41"/>
      <c r="O226" s="41"/>
      <c r="P226" s="39"/>
      <c r="Q226" s="42"/>
      <c r="R226" s="42"/>
      <c r="S226" s="40"/>
      <c r="T226" s="42"/>
      <c r="U226" s="42"/>
      <c r="V226" s="42"/>
      <c r="W226" s="42"/>
      <c r="X226" s="42"/>
      <c r="AN226" s="133" t="e">
        <f>VLOOKUP(I226,Sheet1!A:D,4,FALSE)</f>
        <v>#N/A</v>
      </c>
    </row>
    <row r="227" spans="1:40" s="36" customFormat="1" ht="14.25" x14ac:dyDescent="0.2">
      <c r="A227" s="35"/>
      <c r="D227" s="37"/>
      <c r="E227" s="37"/>
      <c r="F227" s="37"/>
      <c r="G227" s="38"/>
      <c r="K227" s="39"/>
      <c r="L227" s="40"/>
      <c r="M227" s="41"/>
      <c r="N227" s="41"/>
      <c r="O227" s="41"/>
      <c r="P227" s="39"/>
      <c r="Q227" s="42"/>
      <c r="R227" s="42"/>
      <c r="S227" s="40"/>
      <c r="T227" s="42"/>
      <c r="U227" s="42"/>
      <c r="V227" s="42"/>
      <c r="W227" s="42"/>
      <c r="X227" s="42"/>
      <c r="AN227" s="133" t="e">
        <f>VLOOKUP(I227,Sheet1!A:D,4,FALSE)</f>
        <v>#N/A</v>
      </c>
    </row>
    <row r="228" spans="1:40" s="36" customFormat="1" ht="14.25" x14ac:dyDescent="0.2">
      <c r="A228" s="35"/>
      <c r="D228" s="37"/>
      <c r="E228" s="37"/>
      <c r="F228" s="37"/>
      <c r="G228" s="38"/>
      <c r="K228" s="39"/>
      <c r="L228" s="40"/>
      <c r="M228" s="41"/>
      <c r="N228" s="41"/>
      <c r="O228" s="41"/>
      <c r="P228" s="39"/>
      <c r="Q228" s="42"/>
      <c r="R228" s="42"/>
      <c r="S228" s="40"/>
      <c r="T228" s="42"/>
      <c r="U228" s="42"/>
      <c r="V228" s="42"/>
      <c r="W228" s="42"/>
      <c r="X228" s="42"/>
      <c r="AN228" s="133" t="e">
        <f>VLOOKUP(I228,Sheet1!A:D,4,FALSE)</f>
        <v>#N/A</v>
      </c>
    </row>
    <row r="229" spans="1:40" s="36" customFormat="1" ht="14.25" x14ac:dyDescent="0.2">
      <c r="A229" s="35"/>
      <c r="D229" s="37"/>
      <c r="E229" s="37"/>
      <c r="F229" s="37"/>
      <c r="G229" s="38"/>
      <c r="K229" s="39"/>
      <c r="L229" s="40"/>
      <c r="M229" s="41"/>
      <c r="N229" s="41"/>
      <c r="O229" s="41"/>
      <c r="P229" s="39"/>
      <c r="Q229" s="42"/>
      <c r="R229" s="42"/>
      <c r="S229" s="40"/>
      <c r="T229" s="42"/>
      <c r="U229" s="42"/>
      <c r="V229" s="42"/>
      <c r="W229" s="42"/>
      <c r="X229" s="42"/>
      <c r="AN229" s="133" t="e">
        <f>VLOOKUP(I229,Sheet1!A:D,4,FALSE)</f>
        <v>#N/A</v>
      </c>
    </row>
    <row r="230" spans="1:40" s="36" customFormat="1" ht="14.25" x14ac:dyDescent="0.2">
      <c r="A230" s="35"/>
      <c r="D230" s="37"/>
      <c r="E230" s="37"/>
      <c r="F230" s="37"/>
      <c r="G230" s="38"/>
      <c r="K230" s="39"/>
      <c r="L230" s="40"/>
      <c r="M230" s="41"/>
      <c r="N230" s="41"/>
      <c r="O230" s="41"/>
      <c r="P230" s="39"/>
      <c r="Q230" s="42"/>
      <c r="R230" s="42"/>
      <c r="S230" s="40"/>
      <c r="T230" s="42"/>
      <c r="U230" s="42"/>
      <c r="V230" s="42"/>
      <c r="W230" s="42"/>
      <c r="X230" s="42"/>
      <c r="AN230" s="133" t="e">
        <f>VLOOKUP(I230,Sheet1!A:D,4,FALSE)</f>
        <v>#N/A</v>
      </c>
    </row>
    <row r="231" spans="1:40" s="36" customFormat="1" ht="14.25" x14ac:dyDescent="0.2">
      <c r="A231" s="35"/>
      <c r="D231" s="37"/>
      <c r="E231" s="37"/>
      <c r="F231" s="37"/>
      <c r="G231" s="38"/>
      <c r="K231" s="39"/>
      <c r="L231" s="40"/>
      <c r="M231" s="41"/>
      <c r="N231" s="41"/>
      <c r="O231" s="41"/>
      <c r="P231" s="39"/>
      <c r="Q231" s="42"/>
      <c r="R231" s="42"/>
      <c r="S231" s="40"/>
      <c r="T231" s="42"/>
      <c r="U231" s="42"/>
      <c r="V231" s="42"/>
      <c r="W231" s="42"/>
      <c r="X231" s="42"/>
      <c r="AN231" s="133" t="e">
        <f>VLOOKUP(I231,Sheet1!A:D,4,FALSE)</f>
        <v>#N/A</v>
      </c>
    </row>
    <row r="232" spans="1:40" s="36" customFormat="1" ht="14.25" x14ac:dyDescent="0.2">
      <c r="A232" s="35"/>
      <c r="D232" s="37"/>
      <c r="E232" s="37"/>
      <c r="F232" s="37"/>
      <c r="G232" s="38"/>
      <c r="K232" s="39"/>
      <c r="L232" s="40"/>
      <c r="M232" s="41"/>
      <c r="N232" s="41"/>
      <c r="O232" s="41"/>
      <c r="P232" s="39"/>
      <c r="Q232" s="42"/>
      <c r="R232" s="42"/>
      <c r="S232" s="40"/>
      <c r="T232" s="42"/>
      <c r="U232" s="42"/>
      <c r="V232" s="42"/>
      <c r="W232" s="42"/>
      <c r="X232" s="42"/>
      <c r="AN232" s="133" t="e">
        <f>VLOOKUP(I232,Sheet1!A:D,4,FALSE)</f>
        <v>#N/A</v>
      </c>
    </row>
    <row r="233" spans="1:40" s="36" customFormat="1" ht="14.25" x14ac:dyDescent="0.2">
      <c r="A233" s="35"/>
      <c r="D233" s="37"/>
      <c r="E233" s="37"/>
      <c r="F233" s="37"/>
      <c r="G233" s="38"/>
      <c r="K233" s="39"/>
      <c r="L233" s="40"/>
      <c r="M233" s="41"/>
      <c r="N233" s="41"/>
      <c r="O233" s="41"/>
      <c r="P233" s="39"/>
      <c r="Q233" s="42"/>
      <c r="R233" s="42"/>
      <c r="S233" s="40"/>
      <c r="T233" s="42"/>
      <c r="U233" s="42"/>
      <c r="V233" s="42"/>
      <c r="W233" s="42"/>
      <c r="X233" s="42"/>
      <c r="AN233" s="133" t="e">
        <f>VLOOKUP(I233,Sheet1!A:D,4,FALSE)</f>
        <v>#N/A</v>
      </c>
    </row>
    <row r="234" spans="1:40" s="36" customFormat="1" ht="14.25" x14ac:dyDescent="0.2">
      <c r="A234" s="35"/>
      <c r="D234" s="37"/>
      <c r="E234" s="37"/>
      <c r="F234" s="37"/>
      <c r="G234" s="38"/>
      <c r="K234" s="39"/>
      <c r="L234" s="40"/>
      <c r="M234" s="41"/>
      <c r="N234" s="41"/>
      <c r="O234" s="41"/>
      <c r="P234" s="39"/>
      <c r="Q234" s="42"/>
      <c r="R234" s="42"/>
      <c r="S234" s="40"/>
      <c r="T234" s="42"/>
      <c r="U234" s="42"/>
      <c r="V234" s="42"/>
      <c r="W234" s="42"/>
      <c r="X234" s="42"/>
      <c r="AN234" s="133" t="e">
        <f>VLOOKUP(I234,Sheet1!A:D,4,FALSE)</f>
        <v>#N/A</v>
      </c>
    </row>
    <row r="235" spans="1:40" s="36" customFormat="1" ht="14.25" x14ac:dyDescent="0.2">
      <c r="A235" s="35"/>
      <c r="D235" s="37"/>
      <c r="E235" s="37"/>
      <c r="F235" s="37"/>
      <c r="G235" s="38"/>
      <c r="K235" s="39"/>
      <c r="L235" s="40"/>
      <c r="M235" s="41"/>
      <c r="N235" s="41"/>
      <c r="O235" s="41"/>
      <c r="P235" s="39"/>
      <c r="Q235" s="42"/>
      <c r="R235" s="42"/>
      <c r="S235" s="40"/>
      <c r="T235" s="42"/>
      <c r="U235" s="42"/>
      <c r="V235" s="42"/>
      <c r="W235" s="42"/>
      <c r="X235" s="42"/>
      <c r="AN235" s="133" t="e">
        <f>VLOOKUP(I235,Sheet1!A:D,4,FALSE)</f>
        <v>#N/A</v>
      </c>
    </row>
    <row r="236" spans="1:40" s="36" customFormat="1" ht="14.25" x14ac:dyDescent="0.2">
      <c r="A236" s="35"/>
      <c r="D236" s="37"/>
      <c r="E236" s="37"/>
      <c r="F236" s="37"/>
      <c r="G236" s="38"/>
      <c r="K236" s="39"/>
      <c r="L236" s="40"/>
      <c r="M236" s="41"/>
      <c r="N236" s="41"/>
      <c r="O236" s="41"/>
      <c r="P236" s="39"/>
      <c r="Q236" s="42"/>
      <c r="R236" s="42"/>
      <c r="S236" s="40"/>
      <c r="T236" s="42"/>
      <c r="U236" s="42"/>
      <c r="V236" s="42"/>
      <c r="W236" s="42"/>
      <c r="X236" s="42"/>
      <c r="AN236" s="133" t="e">
        <f>VLOOKUP(I236,Sheet1!A:D,4,FALSE)</f>
        <v>#N/A</v>
      </c>
    </row>
    <row r="237" spans="1:40" s="36" customFormat="1" ht="14.25" x14ac:dyDescent="0.2">
      <c r="A237" s="35"/>
      <c r="D237" s="37"/>
      <c r="E237" s="37"/>
      <c r="F237" s="37"/>
      <c r="G237" s="38"/>
      <c r="K237" s="39"/>
      <c r="L237" s="40"/>
      <c r="M237" s="41"/>
      <c r="N237" s="41"/>
      <c r="O237" s="41"/>
      <c r="P237" s="39"/>
      <c r="Q237" s="42"/>
      <c r="R237" s="42"/>
      <c r="S237" s="40"/>
      <c r="T237" s="42"/>
      <c r="U237" s="42"/>
      <c r="V237" s="42"/>
      <c r="W237" s="42"/>
      <c r="X237" s="42"/>
      <c r="AN237" s="133" t="e">
        <f>VLOOKUP(I237,Sheet1!A:D,4,FALSE)</f>
        <v>#N/A</v>
      </c>
    </row>
    <row r="238" spans="1:40" s="36" customFormat="1" ht="14.25" x14ac:dyDescent="0.2">
      <c r="A238" s="35"/>
      <c r="D238" s="37"/>
      <c r="E238" s="37"/>
      <c r="F238" s="37"/>
      <c r="G238" s="38"/>
      <c r="K238" s="39"/>
      <c r="L238" s="40"/>
      <c r="M238" s="41"/>
      <c r="N238" s="41"/>
      <c r="O238" s="41"/>
      <c r="P238" s="39"/>
      <c r="Q238" s="42"/>
      <c r="R238" s="42"/>
      <c r="S238" s="40"/>
      <c r="T238" s="42"/>
      <c r="U238" s="42"/>
      <c r="V238" s="42"/>
      <c r="W238" s="42"/>
      <c r="X238" s="42"/>
      <c r="AN238" s="133" t="e">
        <f>VLOOKUP(I238,Sheet1!A:D,4,FALSE)</f>
        <v>#N/A</v>
      </c>
    </row>
    <row r="239" spans="1:40" s="36" customFormat="1" ht="14.25" x14ac:dyDescent="0.2">
      <c r="A239" s="35"/>
      <c r="D239" s="37"/>
      <c r="E239" s="37"/>
      <c r="F239" s="37"/>
      <c r="G239" s="38"/>
      <c r="K239" s="39"/>
      <c r="L239" s="40"/>
      <c r="M239" s="41"/>
      <c r="N239" s="41"/>
      <c r="O239" s="41"/>
      <c r="P239" s="39"/>
      <c r="Q239" s="42"/>
      <c r="R239" s="42"/>
      <c r="S239" s="40"/>
      <c r="T239" s="42"/>
      <c r="U239" s="42"/>
      <c r="V239" s="42"/>
      <c r="W239" s="42"/>
      <c r="X239" s="42"/>
      <c r="AN239" s="133" t="e">
        <f>VLOOKUP(I239,Sheet1!A:D,4,FALSE)</f>
        <v>#N/A</v>
      </c>
    </row>
    <row r="240" spans="1:40" s="36" customFormat="1" ht="14.25" x14ac:dyDescent="0.2">
      <c r="A240" s="35"/>
      <c r="D240" s="37"/>
      <c r="E240" s="37"/>
      <c r="F240" s="37"/>
      <c r="G240" s="38"/>
      <c r="K240" s="39"/>
      <c r="L240" s="40"/>
      <c r="M240" s="41"/>
      <c r="N240" s="41"/>
      <c r="O240" s="41"/>
      <c r="P240" s="39"/>
      <c r="Q240" s="42"/>
      <c r="R240" s="42"/>
      <c r="S240" s="40"/>
      <c r="T240" s="42"/>
      <c r="U240" s="42"/>
      <c r="V240" s="42"/>
      <c r="W240" s="42"/>
      <c r="X240" s="42"/>
      <c r="AN240" s="133" t="e">
        <f>VLOOKUP(I240,Sheet1!A:D,4,FALSE)</f>
        <v>#N/A</v>
      </c>
    </row>
    <row r="241" spans="1:40" s="36" customFormat="1" ht="14.25" x14ac:dyDescent="0.2">
      <c r="A241" s="35"/>
      <c r="D241" s="37"/>
      <c r="E241" s="37"/>
      <c r="F241" s="37"/>
      <c r="G241" s="38"/>
      <c r="K241" s="39"/>
      <c r="L241" s="40"/>
      <c r="M241" s="41"/>
      <c r="N241" s="41"/>
      <c r="O241" s="41"/>
      <c r="P241" s="39"/>
      <c r="Q241" s="42"/>
      <c r="R241" s="42"/>
      <c r="S241" s="40"/>
      <c r="T241" s="42"/>
      <c r="U241" s="42"/>
      <c r="V241" s="42"/>
      <c r="W241" s="42"/>
      <c r="X241" s="42"/>
      <c r="AN241" s="133" t="e">
        <f>VLOOKUP(I241,Sheet1!A:D,4,FALSE)</f>
        <v>#N/A</v>
      </c>
    </row>
    <row r="242" spans="1:40" s="36" customFormat="1" ht="14.25" x14ac:dyDescent="0.2">
      <c r="A242" s="35"/>
      <c r="D242" s="37"/>
      <c r="E242" s="37"/>
      <c r="F242" s="37"/>
      <c r="G242" s="38"/>
      <c r="K242" s="39"/>
      <c r="L242" s="40"/>
      <c r="M242" s="41"/>
      <c r="N242" s="41"/>
      <c r="O242" s="41"/>
      <c r="P242" s="39"/>
      <c r="Q242" s="42"/>
      <c r="R242" s="42"/>
      <c r="S242" s="40"/>
      <c r="T242" s="42"/>
      <c r="U242" s="42"/>
      <c r="V242" s="42"/>
      <c r="W242" s="42"/>
      <c r="X242" s="42"/>
      <c r="AN242" s="133" t="e">
        <f>VLOOKUP(I242,Sheet1!A:D,4,FALSE)</f>
        <v>#N/A</v>
      </c>
    </row>
    <row r="243" spans="1:40" s="36" customFormat="1" ht="14.25" x14ac:dyDescent="0.2">
      <c r="A243" s="35"/>
      <c r="D243" s="37"/>
      <c r="E243" s="37"/>
      <c r="F243" s="37"/>
      <c r="G243" s="38"/>
      <c r="K243" s="39"/>
      <c r="L243" s="40"/>
      <c r="M243" s="41"/>
      <c r="N243" s="41"/>
      <c r="O243" s="41"/>
      <c r="P243" s="39"/>
      <c r="Q243" s="42"/>
      <c r="R243" s="42"/>
      <c r="S243" s="40"/>
      <c r="T243" s="42"/>
      <c r="U243" s="42"/>
      <c r="V243" s="42"/>
      <c r="W243" s="42"/>
      <c r="X243" s="42"/>
      <c r="AN243" s="133" t="e">
        <f>VLOOKUP(I243,Sheet1!A:D,4,FALSE)</f>
        <v>#N/A</v>
      </c>
    </row>
    <row r="244" spans="1:40" s="36" customFormat="1" ht="14.25" x14ac:dyDescent="0.2">
      <c r="A244" s="35"/>
      <c r="D244" s="37"/>
      <c r="E244" s="37"/>
      <c r="F244" s="37"/>
      <c r="G244" s="38"/>
      <c r="K244" s="39"/>
      <c r="L244" s="40"/>
      <c r="M244" s="41"/>
      <c r="N244" s="41"/>
      <c r="O244" s="41"/>
      <c r="P244" s="39"/>
      <c r="Q244" s="42"/>
      <c r="R244" s="42"/>
      <c r="S244" s="40"/>
      <c r="T244" s="42"/>
      <c r="U244" s="42"/>
      <c r="V244" s="42"/>
      <c r="W244" s="42"/>
      <c r="X244" s="42"/>
      <c r="AN244" s="133" t="e">
        <f>VLOOKUP(I244,Sheet1!A:D,4,FALSE)</f>
        <v>#N/A</v>
      </c>
    </row>
    <row r="245" spans="1:40" s="36" customFormat="1" ht="14.25" x14ac:dyDescent="0.2">
      <c r="A245" s="35"/>
      <c r="D245" s="37"/>
      <c r="E245" s="37"/>
      <c r="F245" s="37"/>
      <c r="G245" s="38"/>
      <c r="K245" s="39"/>
      <c r="L245" s="40"/>
      <c r="M245" s="41"/>
      <c r="N245" s="41"/>
      <c r="O245" s="41"/>
      <c r="P245" s="39"/>
      <c r="Q245" s="42"/>
      <c r="R245" s="42"/>
      <c r="S245" s="40"/>
      <c r="T245" s="42"/>
      <c r="U245" s="42"/>
      <c r="V245" s="42"/>
      <c r="W245" s="42"/>
      <c r="X245" s="42"/>
      <c r="AN245" s="133" t="e">
        <f>VLOOKUP(I245,Sheet1!A:D,4,FALSE)</f>
        <v>#N/A</v>
      </c>
    </row>
    <row r="246" spans="1:40" s="36" customFormat="1" ht="14.25" x14ac:dyDescent="0.2">
      <c r="A246" s="35"/>
      <c r="D246" s="37"/>
      <c r="E246" s="37"/>
      <c r="F246" s="37"/>
      <c r="G246" s="38"/>
      <c r="K246" s="39"/>
      <c r="L246" s="40"/>
      <c r="M246" s="41"/>
      <c r="N246" s="41"/>
      <c r="O246" s="41"/>
      <c r="P246" s="39"/>
      <c r="Q246" s="42"/>
      <c r="R246" s="42"/>
      <c r="S246" s="40"/>
      <c r="T246" s="42"/>
      <c r="U246" s="42"/>
      <c r="V246" s="42"/>
      <c r="W246" s="42"/>
      <c r="X246" s="42"/>
      <c r="AN246" s="133" t="e">
        <f>VLOOKUP(I246,Sheet1!A:D,4,FALSE)</f>
        <v>#N/A</v>
      </c>
    </row>
    <row r="247" spans="1:40" s="36" customFormat="1" ht="14.25" x14ac:dyDescent="0.2">
      <c r="A247" s="35"/>
      <c r="D247" s="37"/>
      <c r="E247" s="37"/>
      <c r="F247" s="37"/>
      <c r="G247" s="38"/>
      <c r="K247" s="39"/>
      <c r="L247" s="40"/>
      <c r="M247" s="41"/>
      <c r="N247" s="41"/>
      <c r="O247" s="41"/>
      <c r="P247" s="39"/>
      <c r="Q247" s="42"/>
      <c r="R247" s="42"/>
      <c r="S247" s="40"/>
      <c r="T247" s="42"/>
      <c r="U247" s="42"/>
      <c r="V247" s="42"/>
      <c r="W247" s="42"/>
      <c r="X247" s="42"/>
      <c r="AN247" s="133" t="e">
        <f>VLOOKUP(I247,Sheet1!A:D,4,FALSE)</f>
        <v>#N/A</v>
      </c>
    </row>
    <row r="248" spans="1:40" s="36" customFormat="1" ht="14.25" x14ac:dyDescent="0.2">
      <c r="A248" s="35"/>
      <c r="D248" s="37"/>
      <c r="E248" s="37"/>
      <c r="F248" s="37"/>
      <c r="G248" s="38"/>
      <c r="K248" s="39"/>
      <c r="L248" s="40"/>
      <c r="M248" s="41"/>
      <c r="N248" s="41"/>
      <c r="O248" s="41"/>
      <c r="P248" s="39"/>
      <c r="Q248" s="42"/>
      <c r="R248" s="42"/>
      <c r="S248" s="40"/>
      <c r="T248" s="42"/>
      <c r="U248" s="42"/>
      <c r="V248" s="42"/>
      <c r="W248" s="42"/>
      <c r="X248" s="42"/>
      <c r="AN248" s="133" t="e">
        <f>VLOOKUP(I248,Sheet1!A:D,4,FALSE)</f>
        <v>#N/A</v>
      </c>
    </row>
    <row r="249" spans="1:40" s="36" customFormat="1" ht="14.25" x14ac:dyDescent="0.2">
      <c r="A249" s="35"/>
      <c r="D249" s="37"/>
      <c r="E249" s="37"/>
      <c r="F249" s="37"/>
      <c r="G249" s="38"/>
      <c r="K249" s="39"/>
      <c r="L249" s="40"/>
      <c r="M249" s="41"/>
      <c r="N249" s="41"/>
      <c r="O249" s="41"/>
      <c r="P249" s="39"/>
      <c r="Q249" s="42"/>
      <c r="R249" s="42"/>
      <c r="S249" s="40"/>
      <c r="T249" s="42"/>
      <c r="U249" s="42"/>
      <c r="V249" s="42"/>
      <c r="W249" s="42"/>
      <c r="X249" s="42"/>
      <c r="AN249" s="133" t="e">
        <f>VLOOKUP(I249,Sheet1!A:D,4,FALSE)</f>
        <v>#N/A</v>
      </c>
    </row>
    <row r="250" spans="1:40" s="36" customFormat="1" ht="14.25" x14ac:dyDescent="0.2">
      <c r="A250" s="35"/>
      <c r="D250" s="37"/>
      <c r="E250" s="37"/>
      <c r="F250" s="37"/>
      <c r="G250" s="38"/>
      <c r="K250" s="39"/>
      <c r="L250" s="40"/>
      <c r="M250" s="41"/>
      <c r="N250" s="41"/>
      <c r="O250" s="41"/>
      <c r="P250" s="39"/>
      <c r="Q250" s="42"/>
      <c r="R250" s="42"/>
      <c r="S250" s="40"/>
      <c r="T250" s="42"/>
      <c r="U250" s="42"/>
      <c r="V250" s="42"/>
      <c r="W250" s="42"/>
      <c r="X250" s="42"/>
      <c r="AN250" s="133" t="e">
        <f>VLOOKUP(I250,Sheet1!A:D,4,FALSE)</f>
        <v>#N/A</v>
      </c>
    </row>
    <row r="251" spans="1:40" s="36" customFormat="1" ht="14.25" x14ac:dyDescent="0.2">
      <c r="A251" s="35"/>
      <c r="D251" s="37"/>
      <c r="E251" s="37"/>
      <c r="F251" s="37"/>
      <c r="G251" s="38"/>
      <c r="K251" s="39"/>
      <c r="L251" s="40"/>
      <c r="M251" s="41"/>
      <c r="N251" s="41"/>
      <c r="O251" s="41"/>
      <c r="P251" s="39"/>
      <c r="Q251" s="42"/>
      <c r="R251" s="42"/>
      <c r="S251" s="40"/>
      <c r="T251" s="42"/>
      <c r="U251" s="42"/>
      <c r="V251" s="42"/>
      <c r="W251" s="42"/>
      <c r="X251" s="42"/>
      <c r="AN251" s="133" t="e">
        <f>VLOOKUP(I251,Sheet1!A:D,4,FALSE)</f>
        <v>#N/A</v>
      </c>
    </row>
    <row r="252" spans="1:40" s="36" customFormat="1" ht="14.25" x14ac:dyDescent="0.2">
      <c r="A252" s="35"/>
      <c r="D252" s="37"/>
      <c r="E252" s="37"/>
      <c r="F252" s="37"/>
      <c r="G252" s="38"/>
      <c r="K252" s="39"/>
      <c r="L252" s="40"/>
      <c r="M252" s="41"/>
      <c r="N252" s="41"/>
      <c r="O252" s="41"/>
      <c r="P252" s="39"/>
      <c r="Q252" s="42"/>
      <c r="R252" s="42"/>
      <c r="S252" s="40"/>
      <c r="T252" s="42"/>
      <c r="U252" s="42"/>
      <c r="V252" s="42"/>
      <c r="W252" s="42"/>
      <c r="X252" s="42"/>
      <c r="AN252" s="133" t="e">
        <f>VLOOKUP(I252,Sheet1!A:D,4,FALSE)</f>
        <v>#N/A</v>
      </c>
    </row>
    <row r="253" spans="1:40" s="36" customFormat="1" ht="14.25" x14ac:dyDescent="0.2">
      <c r="A253" s="35"/>
      <c r="D253" s="37"/>
      <c r="E253" s="37"/>
      <c r="F253" s="37"/>
      <c r="G253" s="38"/>
      <c r="K253" s="39"/>
      <c r="L253" s="40"/>
      <c r="M253" s="41"/>
      <c r="N253" s="41"/>
      <c r="O253" s="41"/>
      <c r="P253" s="39"/>
      <c r="Q253" s="42"/>
      <c r="R253" s="42"/>
      <c r="S253" s="40"/>
      <c r="T253" s="42"/>
      <c r="U253" s="42"/>
      <c r="V253" s="42"/>
      <c r="W253" s="42"/>
      <c r="X253" s="42"/>
      <c r="AN253" s="133" t="e">
        <f>VLOOKUP(I253,Sheet1!A:D,4,FALSE)</f>
        <v>#N/A</v>
      </c>
    </row>
    <row r="254" spans="1:40" s="36" customFormat="1" ht="14.25" x14ac:dyDescent="0.2">
      <c r="A254" s="35"/>
      <c r="D254" s="37"/>
      <c r="E254" s="37"/>
      <c r="F254" s="37"/>
      <c r="G254" s="38"/>
      <c r="K254" s="39"/>
      <c r="L254" s="40"/>
      <c r="M254" s="41"/>
      <c r="N254" s="41"/>
      <c r="O254" s="41"/>
      <c r="P254" s="39"/>
      <c r="Q254" s="42"/>
      <c r="R254" s="42"/>
      <c r="S254" s="40"/>
      <c r="T254" s="42"/>
      <c r="U254" s="42"/>
      <c r="V254" s="42"/>
      <c r="W254" s="42"/>
      <c r="X254" s="42"/>
      <c r="AN254" s="133" t="e">
        <f>VLOOKUP(I254,Sheet1!A:D,4,FALSE)</f>
        <v>#N/A</v>
      </c>
    </row>
    <row r="255" spans="1:40" s="36" customFormat="1" ht="14.25" x14ac:dyDescent="0.2">
      <c r="A255" s="35"/>
      <c r="D255" s="37"/>
      <c r="E255" s="37"/>
      <c r="F255" s="37"/>
      <c r="G255" s="38"/>
      <c r="K255" s="39"/>
      <c r="L255" s="40"/>
      <c r="M255" s="41"/>
      <c r="N255" s="41"/>
      <c r="O255" s="41"/>
      <c r="P255" s="39"/>
      <c r="Q255" s="42"/>
      <c r="R255" s="42"/>
      <c r="S255" s="40"/>
      <c r="T255" s="42"/>
      <c r="U255" s="42"/>
      <c r="V255" s="42"/>
      <c r="W255" s="42"/>
      <c r="X255" s="42"/>
      <c r="AN255" s="133" t="e">
        <f>VLOOKUP(I255,Sheet1!A:D,4,FALSE)</f>
        <v>#N/A</v>
      </c>
    </row>
    <row r="256" spans="1:40" s="36" customFormat="1" ht="14.25" x14ac:dyDescent="0.2">
      <c r="A256" s="35"/>
      <c r="D256" s="37"/>
      <c r="E256" s="37"/>
      <c r="F256" s="37"/>
      <c r="G256" s="38"/>
      <c r="K256" s="39"/>
      <c r="L256" s="40"/>
      <c r="M256" s="41"/>
      <c r="N256" s="41"/>
      <c r="O256" s="41"/>
      <c r="P256" s="39"/>
      <c r="Q256" s="42"/>
      <c r="R256" s="42"/>
      <c r="S256" s="40"/>
      <c r="T256" s="42"/>
      <c r="U256" s="42"/>
      <c r="V256" s="42"/>
      <c r="W256" s="42"/>
      <c r="X256" s="42"/>
      <c r="AN256" s="133" t="e">
        <f>VLOOKUP(I256,Sheet1!A:D,4,FALSE)</f>
        <v>#N/A</v>
      </c>
    </row>
    <row r="257" spans="1:40" s="36" customFormat="1" ht="14.25" x14ac:dyDescent="0.2">
      <c r="A257" s="35"/>
      <c r="D257" s="37"/>
      <c r="E257" s="37"/>
      <c r="F257" s="37"/>
      <c r="G257" s="38"/>
      <c r="K257" s="39"/>
      <c r="L257" s="40"/>
      <c r="M257" s="41"/>
      <c r="N257" s="41"/>
      <c r="O257" s="41"/>
      <c r="P257" s="39"/>
      <c r="Q257" s="42"/>
      <c r="R257" s="42"/>
      <c r="S257" s="40"/>
      <c r="T257" s="42"/>
      <c r="U257" s="42"/>
      <c r="V257" s="42"/>
      <c r="W257" s="42"/>
      <c r="X257" s="42"/>
      <c r="AN257" s="133" t="e">
        <f>VLOOKUP(I257,Sheet1!A:D,4,FALSE)</f>
        <v>#N/A</v>
      </c>
    </row>
    <row r="258" spans="1:40" s="36" customFormat="1" ht="14.25" x14ac:dyDescent="0.2">
      <c r="A258" s="35"/>
      <c r="D258" s="37"/>
      <c r="E258" s="37"/>
      <c r="F258" s="37"/>
      <c r="G258" s="38"/>
      <c r="K258" s="39"/>
      <c r="L258" s="40"/>
      <c r="M258" s="41"/>
      <c r="N258" s="41"/>
      <c r="O258" s="41"/>
      <c r="P258" s="39"/>
      <c r="Q258" s="42"/>
      <c r="R258" s="42"/>
      <c r="S258" s="40"/>
      <c r="T258" s="42"/>
      <c r="U258" s="42"/>
      <c r="V258" s="42"/>
      <c r="W258" s="42"/>
      <c r="X258" s="42"/>
      <c r="AN258" s="133" t="e">
        <f>VLOOKUP(I258,Sheet1!A:D,4,FALSE)</f>
        <v>#N/A</v>
      </c>
    </row>
    <row r="259" spans="1:40" s="36" customFormat="1" ht="14.25" x14ac:dyDescent="0.2">
      <c r="A259" s="35"/>
      <c r="D259" s="37"/>
      <c r="E259" s="37"/>
      <c r="F259" s="37"/>
      <c r="G259" s="38"/>
      <c r="K259" s="39"/>
      <c r="L259" s="40"/>
      <c r="M259" s="41"/>
      <c r="N259" s="41"/>
      <c r="O259" s="41"/>
      <c r="P259" s="39"/>
      <c r="Q259" s="42"/>
      <c r="R259" s="42"/>
      <c r="S259" s="40"/>
      <c r="T259" s="42"/>
      <c r="U259" s="42"/>
      <c r="V259" s="42"/>
      <c r="W259" s="42"/>
      <c r="X259" s="42"/>
      <c r="AN259" s="133" t="e">
        <f>VLOOKUP(I259,Sheet1!A:D,4,FALSE)</f>
        <v>#N/A</v>
      </c>
    </row>
    <row r="260" spans="1:40" s="36" customFormat="1" ht="14.25" x14ac:dyDescent="0.2">
      <c r="A260" s="35"/>
      <c r="D260" s="37"/>
      <c r="E260" s="37"/>
      <c r="F260" s="37"/>
      <c r="G260" s="38"/>
      <c r="K260" s="39"/>
      <c r="L260" s="40"/>
      <c r="M260" s="41"/>
      <c r="N260" s="41"/>
      <c r="O260" s="41"/>
      <c r="P260" s="39"/>
      <c r="Q260" s="42"/>
      <c r="R260" s="42"/>
      <c r="S260" s="40"/>
      <c r="T260" s="42"/>
      <c r="U260" s="42"/>
      <c r="V260" s="42"/>
      <c r="W260" s="42"/>
      <c r="X260" s="42"/>
      <c r="AN260" s="133" t="e">
        <f>VLOOKUP(I260,Sheet1!A:D,4,FALSE)</f>
        <v>#N/A</v>
      </c>
    </row>
    <row r="261" spans="1:40" s="36" customFormat="1" ht="14.25" x14ac:dyDescent="0.2">
      <c r="A261" s="35"/>
      <c r="D261" s="37"/>
      <c r="E261" s="37"/>
      <c r="F261" s="37"/>
      <c r="G261" s="38"/>
      <c r="K261" s="39"/>
      <c r="L261" s="40"/>
      <c r="M261" s="41"/>
      <c r="N261" s="41"/>
      <c r="O261" s="41"/>
      <c r="P261" s="39"/>
      <c r="Q261" s="42"/>
      <c r="R261" s="42"/>
      <c r="S261" s="40"/>
      <c r="T261" s="42"/>
      <c r="U261" s="42"/>
      <c r="V261" s="42"/>
      <c r="W261" s="42"/>
      <c r="X261" s="42"/>
      <c r="AN261" s="133" t="e">
        <f>VLOOKUP(I261,Sheet1!A:D,4,FALSE)</f>
        <v>#N/A</v>
      </c>
    </row>
    <row r="262" spans="1:40" s="36" customFormat="1" ht="14.25" x14ac:dyDescent="0.2">
      <c r="A262" s="35"/>
      <c r="D262" s="37"/>
      <c r="E262" s="37"/>
      <c r="F262" s="37"/>
      <c r="G262" s="38"/>
      <c r="K262" s="39"/>
      <c r="L262" s="40"/>
      <c r="M262" s="41"/>
      <c r="N262" s="41"/>
      <c r="O262" s="41"/>
      <c r="P262" s="39"/>
      <c r="Q262" s="42"/>
      <c r="R262" s="42"/>
      <c r="S262" s="40"/>
      <c r="T262" s="42"/>
      <c r="U262" s="42"/>
      <c r="V262" s="42"/>
      <c r="W262" s="42"/>
      <c r="X262" s="42"/>
      <c r="AN262" s="133" t="e">
        <f>VLOOKUP(I262,Sheet1!A:D,4,FALSE)</f>
        <v>#N/A</v>
      </c>
    </row>
    <row r="263" spans="1:40" s="36" customFormat="1" ht="14.25" x14ac:dyDescent="0.2">
      <c r="A263" s="35"/>
      <c r="D263" s="37"/>
      <c r="E263" s="37"/>
      <c r="F263" s="37"/>
      <c r="G263" s="38"/>
      <c r="K263" s="39"/>
      <c r="L263" s="40"/>
      <c r="M263" s="41"/>
      <c r="N263" s="41"/>
      <c r="O263" s="41"/>
      <c r="P263" s="39"/>
      <c r="Q263" s="42"/>
      <c r="R263" s="42"/>
      <c r="S263" s="40"/>
      <c r="T263" s="42"/>
      <c r="U263" s="42"/>
      <c r="V263" s="42"/>
      <c r="W263" s="42"/>
      <c r="X263" s="42"/>
      <c r="AN263" s="133" t="e">
        <f>VLOOKUP(I263,Sheet1!A:D,4,FALSE)</f>
        <v>#N/A</v>
      </c>
    </row>
    <row r="264" spans="1:40" s="36" customFormat="1" ht="14.25" x14ac:dyDescent="0.2">
      <c r="A264" s="35"/>
      <c r="D264" s="37"/>
      <c r="E264" s="37"/>
      <c r="F264" s="37"/>
      <c r="G264" s="38"/>
      <c r="K264" s="39"/>
      <c r="L264" s="40"/>
      <c r="M264" s="41"/>
      <c r="N264" s="41"/>
      <c r="O264" s="41"/>
      <c r="P264" s="39"/>
      <c r="Q264" s="42"/>
      <c r="R264" s="42"/>
      <c r="S264" s="40"/>
      <c r="T264" s="42"/>
      <c r="U264" s="42"/>
      <c r="V264" s="42"/>
      <c r="W264" s="42"/>
      <c r="X264" s="42"/>
      <c r="AN264" s="133" t="e">
        <f>VLOOKUP(I264,Sheet1!A:D,4,FALSE)</f>
        <v>#N/A</v>
      </c>
    </row>
    <row r="265" spans="1:40" s="36" customFormat="1" ht="14.25" x14ac:dyDescent="0.2">
      <c r="A265" s="35"/>
      <c r="D265" s="37"/>
      <c r="E265" s="37"/>
      <c r="F265" s="37"/>
      <c r="G265" s="38"/>
      <c r="K265" s="39"/>
      <c r="L265" s="40"/>
      <c r="M265" s="41"/>
      <c r="N265" s="41"/>
      <c r="O265" s="41"/>
      <c r="P265" s="39"/>
      <c r="Q265" s="42"/>
      <c r="R265" s="42"/>
      <c r="S265" s="40"/>
      <c r="T265" s="42"/>
      <c r="U265" s="42"/>
      <c r="V265" s="42"/>
      <c r="W265" s="42"/>
      <c r="X265" s="42"/>
      <c r="AN265" s="133" t="e">
        <f>VLOOKUP(I265,Sheet1!A:D,4,FALSE)</f>
        <v>#N/A</v>
      </c>
    </row>
    <row r="266" spans="1:40" s="36" customFormat="1" ht="14.25" x14ac:dyDescent="0.2">
      <c r="A266" s="35"/>
      <c r="D266" s="37"/>
      <c r="E266" s="37"/>
      <c r="F266" s="37"/>
      <c r="G266" s="38"/>
      <c r="K266" s="39"/>
      <c r="L266" s="40"/>
      <c r="M266" s="41"/>
      <c r="N266" s="41"/>
      <c r="O266" s="41"/>
      <c r="P266" s="39"/>
      <c r="Q266" s="42"/>
      <c r="R266" s="42"/>
      <c r="S266" s="40"/>
      <c r="T266" s="42"/>
      <c r="U266" s="42"/>
      <c r="V266" s="42"/>
      <c r="W266" s="42"/>
      <c r="X266" s="42"/>
      <c r="AN266" s="133" t="e">
        <f>VLOOKUP(I266,Sheet1!A:D,4,FALSE)</f>
        <v>#N/A</v>
      </c>
    </row>
    <row r="267" spans="1:40" s="36" customFormat="1" ht="14.25" x14ac:dyDescent="0.2">
      <c r="A267" s="35"/>
      <c r="D267" s="37"/>
      <c r="E267" s="37"/>
      <c r="F267" s="37"/>
      <c r="G267" s="38"/>
      <c r="K267" s="39"/>
      <c r="L267" s="40"/>
      <c r="M267" s="41"/>
      <c r="N267" s="41"/>
      <c r="O267" s="41"/>
      <c r="P267" s="39"/>
      <c r="Q267" s="42"/>
      <c r="R267" s="42"/>
      <c r="S267" s="40"/>
      <c r="T267" s="42"/>
      <c r="U267" s="42"/>
      <c r="V267" s="42"/>
      <c r="W267" s="42"/>
      <c r="X267" s="42"/>
      <c r="AN267" s="133" t="e">
        <f>VLOOKUP(I267,Sheet1!A:D,4,FALSE)</f>
        <v>#N/A</v>
      </c>
    </row>
    <row r="268" spans="1:40" s="36" customFormat="1" ht="14.25" x14ac:dyDescent="0.2">
      <c r="A268" s="35"/>
      <c r="D268" s="37"/>
      <c r="E268" s="37"/>
      <c r="F268" s="37"/>
      <c r="G268" s="38"/>
      <c r="K268" s="39"/>
      <c r="L268" s="40"/>
      <c r="M268" s="41"/>
      <c r="N268" s="41"/>
      <c r="O268" s="41"/>
      <c r="P268" s="39"/>
      <c r="Q268" s="42"/>
      <c r="R268" s="42"/>
      <c r="S268" s="40"/>
      <c r="T268" s="42"/>
      <c r="U268" s="42"/>
      <c r="V268" s="42"/>
      <c r="W268" s="42"/>
      <c r="X268" s="42"/>
      <c r="AN268" s="133" t="e">
        <f>VLOOKUP(I268,Sheet1!A:D,4,FALSE)</f>
        <v>#N/A</v>
      </c>
    </row>
    <row r="269" spans="1:40" s="36" customFormat="1" ht="14.25" x14ac:dyDescent="0.2">
      <c r="A269" s="35"/>
      <c r="D269" s="37"/>
      <c r="E269" s="37"/>
      <c r="F269" s="37"/>
      <c r="G269" s="38"/>
      <c r="K269" s="39"/>
      <c r="L269" s="40"/>
      <c r="M269" s="41"/>
      <c r="N269" s="41"/>
      <c r="O269" s="41"/>
      <c r="P269" s="39"/>
      <c r="Q269" s="42"/>
      <c r="R269" s="42"/>
      <c r="S269" s="40"/>
      <c r="T269" s="42"/>
      <c r="U269" s="42"/>
      <c r="V269" s="42"/>
      <c r="W269" s="42"/>
      <c r="X269" s="42"/>
      <c r="AN269" s="133" t="e">
        <f>VLOOKUP(I269,Sheet1!A:D,4,FALSE)</f>
        <v>#N/A</v>
      </c>
    </row>
    <row r="270" spans="1:40" s="36" customFormat="1" ht="14.25" x14ac:dyDescent="0.2">
      <c r="A270" s="35"/>
      <c r="D270" s="37"/>
      <c r="E270" s="37"/>
      <c r="F270" s="37"/>
      <c r="G270" s="38"/>
      <c r="K270" s="39"/>
      <c r="L270" s="40"/>
      <c r="M270" s="41"/>
      <c r="N270" s="41"/>
      <c r="O270" s="41"/>
      <c r="P270" s="39"/>
      <c r="Q270" s="42"/>
      <c r="R270" s="42"/>
      <c r="S270" s="40"/>
      <c r="T270" s="42"/>
      <c r="U270" s="42"/>
      <c r="V270" s="42"/>
      <c r="W270" s="42"/>
      <c r="X270" s="42"/>
      <c r="AN270" s="133" t="e">
        <f>VLOOKUP(I270,Sheet1!A:D,4,FALSE)</f>
        <v>#N/A</v>
      </c>
    </row>
    <row r="271" spans="1:40" s="36" customFormat="1" ht="14.25" x14ac:dyDescent="0.2">
      <c r="A271" s="35"/>
      <c r="D271" s="37"/>
      <c r="E271" s="37"/>
      <c r="F271" s="37"/>
      <c r="G271" s="38"/>
      <c r="K271" s="39"/>
      <c r="L271" s="40"/>
      <c r="M271" s="41"/>
      <c r="N271" s="41"/>
      <c r="O271" s="41"/>
      <c r="P271" s="39"/>
      <c r="Q271" s="42"/>
      <c r="R271" s="42"/>
      <c r="S271" s="40"/>
      <c r="T271" s="42"/>
      <c r="U271" s="42"/>
      <c r="V271" s="42"/>
      <c r="W271" s="42"/>
      <c r="X271" s="42"/>
      <c r="AN271" s="133" t="e">
        <f>VLOOKUP(I271,Sheet1!A:D,4,FALSE)</f>
        <v>#N/A</v>
      </c>
    </row>
    <row r="272" spans="1:40" s="36" customFormat="1" ht="14.25" x14ac:dyDescent="0.2">
      <c r="A272" s="35"/>
      <c r="D272" s="37"/>
      <c r="E272" s="37"/>
      <c r="F272" s="37"/>
      <c r="G272" s="38"/>
      <c r="K272" s="39"/>
      <c r="L272" s="40"/>
      <c r="M272" s="41"/>
      <c r="N272" s="41"/>
      <c r="O272" s="41"/>
      <c r="P272" s="39"/>
      <c r="Q272" s="42"/>
      <c r="R272" s="42"/>
      <c r="S272" s="40"/>
      <c r="T272" s="42"/>
      <c r="U272" s="42"/>
      <c r="V272" s="42"/>
      <c r="W272" s="42"/>
      <c r="X272" s="42"/>
      <c r="AN272" s="133" t="e">
        <f>VLOOKUP(I272,Sheet1!A:D,4,FALSE)</f>
        <v>#N/A</v>
      </c>
    </row>
    <row r="273" spans="1:40" s="36" customFormat="1" ht="14.25" x14ac:dyDescent="0.2">
      <c r="A273" s="35"/>
      <c r="D273" s="37"/>
      <c r="E273" s="37"/>
      <c r="F273" s="37"/>
      <c r="G273" s="38"/>
      <c r="K273" s="39"/>
      <c r="L273" s="40"/>
      <c r="M273" s="41"/>
      <c r="N273" s="41"/>
      <c r="O273" s="41"/>
      <c r="P273" s="39"/>
      <c r="Q273" s="42"/>
      <c r="R273" s="42"/>
      <c r="S273" s="40"/>
      <c r="T273" s="42"/>
      <c r="U273" s="42"/>
      <c r="V273" s="42"/>
      <c r="W273" s="42"/>
      <c r="X273" s="42"/>
      <c r="AN273" s="133" t="e">
        <f>VLOOKUP(I273,Sheet1!A:D,4,FALSE)</f>
        <v>#N/A</v>
      </c>
    </row>
    <row r="274" spans="1:40" s="36" customFormat="1" ht="14.25" x14ac:dyDescent="0.2">
      <c r="A274" s="35"/>
      <c r="D274" s="37"/>
      <c r="E274" s="37"/>
      <c r="F274" s="37"/>
      <c r="G274" s="38"/>
      <c r="K274" s="39"/>
      <c r="L274" s="40"/>
      <c r="M274" s="41"/>
      <c r="N274" s="41"/>
      <c r="O274" s="41"/>
      <c r="P274" s="39"/>
      <c r="Q274" s="42"/>
      <c r="R274" s="42"/>
      <c r="S274" s="40"/>
      <c r="T274" s="42"/>
      <c r="U274" s="42"/>
      <c r="V274" s="42"/>
      <c r="W274" s="42"/>
      <c r="X274" s="42"/>
      <c r="AN274" s="133" t="e">
        <f>VLOOKUP(I274,Sheet1!A:D,4,FALSE)</f>
        <v>#N/A</v>
      </c>
    </row>
    <row r="275" spans="1:40" s="36" customFormat="1" ht="14.25" x14ac:dyDescent="0.2">
      <c r="A275" s="35"/>
      <c r="D275" s="37"/>
      <c r="E275" s="37"/>
      <c r="F275" s="37"/>
      <c r="G275" s="38"/>
      <c r="K275" s="39"/>
      <c r="L275" s="40"/>
      <c r="M275" s="41"/>
      <c r="N275" s="41"/>
      <c r="O275" s="41"/>
      <c r="P275" s="39"/>
      <c r="Q275" s="42"/>
      <c r="R275" s="42"/>
      <c r="S275" s="40"/>
      <c r="T275" s="42"/>
      <c r="U275" s="42"/>
      <c r="V275" s="42"/>
      <c r="W275" s="42"/>
      <c r="X275" s="42"/>
      <c r="AN275" s="133" t="e">
        <f>VLOOKUP(I275,Sheet1!A:D,4,FALSE)</f>
        <v>#N/A</v>
      </c>
    </row>
    <row r="276" spans="1:40" s="36" customFormat="1" ht="14.25" x14ac:dyDescent="0.2">
      <c r="A276" s="35"/>
      <c r="D276" s="37"/>
      <c r="E276" s="37"/>
      <c r="F276" s="37"/>
      <c r="G276" s="38"/>
      <c r="K276" s="39"/>
      <c r="L276" s="40"/>
      <c r="M276" s="41"/>
      <c r="N276" s="41"/>
      <c r="O276" s="41"/>
      <c r="P276" s="39"/>
      <c r="Q276" s="42"/>
      <c r="R276" s="42"/>
      <c r="S276" s="40"/>
      <c r="T276" s="42"/>
      <c r="U276" s="42"/>
      <c r="V276" s="42"/>
      <c r="W276" s="42"/>
      <c r="X276" s="42"/>
      <c r="AN276" s="133" t="e">
        <f>VLOOKUP(I276,Sheet1!A:D,4,FALSE)</f>
        <v>#N/A</v>
      </c>
    </row>
    <row r="277" spans="1:40" s="36" customFormat="1" ht="14.25" x14ac:dyDescent="0.2">
      <c r="A277" s="35"/>
      <c r="D277" s="37"/>
      <c r="E277" s="37"/>
      <c r="F277" s="37"/>
      <c r="G277" s="38"/>
      <c r="K277" s="39"/>
      <c r="L277" s="40"/>
      <c r="M277" s="41"/>
      <c r="N277" s="41"/>
      <c r="O277" s="41"/>
      <c r="P277" s="39"/>
      <c r="Q277" s="42"/>
      <c r="R277" s="42"/>
      <c r="S277" s="40"/>
      <c r="T277" s="42"/>
      <c r="U277" s="42"/>
      <c r="V277" s="42"/>
      <c r="W277" s="42"/>
      <c r="X277" s="42"/>
      <c r="AN277" s="133" t="e">
        <f>VLOOKUP(I277,Sheet1!A:D,4,FALSE)</f>
        <v>#N/A</v>
      </c>
    </row>
    <row r="278" spans="1:40" s="36" customFormat="1" ht="14.25" x14ac:dyDescent="0.2">
      <c r="A278" s="35"/>
      <c r="D278" s="37"/>
      <c r="E278" s="37"/>
      <c r="F278" s="37"/>
      <c r="G278" s="38"/>
      <c r="K278" s="39"/>
      <c r="L278" s="40"/>
      <c r="M278" s="41"/>
      <c r="N278" s="41"/>
      <c r="O278" s="41"/>
      <c r="P278" s="39"/>
      <c r="Q278" s="42"/>
      <c r="R278" s="42"/>
      <c r="S278" s="40"/>
      <c r="T278" s="42"/>
      <c r="U278" s="42"/>
      <c r="V278" s="42"/>
      <c r="W278" s="42"/>
      <c r="X278" s="42"/>
      <c r="AN278" s="133" t="e">
        <f>VLOOKUP(I278,Sheet1!A:D,4,FALSE)</f>
        <v>#N/A</v>
      </c>
    </row>
    <row r="279" spans="1:40" s="36" customFormat="1" ht="14.25" x14ac:dyDescent="0.2">
      <c r="A279" s="35"/>
      <c r="D279" s="37"/>
      <c r="E279" s="37"/>
      <c r="F279" s="37"/>
      <c r="G279" s="38"/>
      <c r="K279" s="39"/>
      <c r="L279" s="40"/>
      <c r="M279" s="41"/>
      <c r="N279" s="41"/>
      <c r="O279" s="41"/>
      <c r="P279" s="39"/>
      <c r="Q279" s="42"/>
      <c r="R279" s="42"/>
      <c r="S279" s="40"/>
      <c r="T279" s="42"/>
      <c r="U279" s="42"/>
      <c r="V279" s="42"/>
      <c r="W279" s="42"/>
      <c r="X279" s="42"/>
      <c r="AN279" s="133" t="e">
        <f>VLOOKUP(I279,Sheet1!A:D,4,FALSE)</f>
        <v>#N/A</v>
      </c>
    </row>
    <row r="280" spans="1:40" s="36" customFormat="1" ht="14.25" x14ac:dyDescent="0.2">
      <c r="A280" s="35"/>
      <c r="D280" s="37"/>
      <c r="E280" s="37"/>
      <c r="F280" s="37"/>
      <c r="G280" s="38"/>
      <c r="K280" s="39"/>
      <c r="L280" s="40"/>
      <c r="M280" s="41"/>
      <c r="N280" s="41"/>
      <c r="O280" s="41"/>
      <c r="P280" s="39"/>
      <c r="Q280" s="42"/>
      <c r="R280" s="42"/>
      <c r="S280" s="40"/>
      <c r="T280" s="42"/>
      <c r="U280" s="42"/>
      <c r="V280" s="42"/>
      <c r="W280" s="42"/>
      <c r="X280" s="42"/>
      <c r="AN280" s="133" t="e">
        <f>VLOOKUP(I280,Sheet1!A:D,4,FALSE)</f>
        <v>#N/A</v>
      </c>
    </row>
    <row r="281" spans="1:40" s="36" customFormat="1" ht="14.25" x14ac:dyDescent="0.2">
      <c r="A281" s="35"/>
      <c r="D281" s="37"/>
      <c r="E281" s="37"/>
      <c r="F281" s="37"/>
      <c r="G281" s="38"/>
      <c r="K281" s="39"/>
      <c r="L281" s="40"/>
      <c r="M281" s="41"/>
      <c r="N281" s="41"/>
      <c r="O281" s="41"/>
      <c r="P281" s="39"/>
      <c r="Q281" s="42"/>
      <c r="R281" s="42"/>
      <c r="S281" s="40"/>
      <c r="T281" s="42"/>
      <c r="U281" s="42"/>
      <c r="V281" s="42"/>
      <c r="W281" s="42"/>
      <c r="X281" s="42"/>
      <c r="AN281" s="133" t="e">
        <f>VLOOKUP(I281,Sheet1!A:D,4,FALSE)</f>
        <v>#N/A</v>
      </c>
    </row>
    <row r="282" spans="1:40" s="36" customFormat="1" ht="14.25" x14ac:dyDescent="0.2">
      <c r="A282" s="35"/>
      <c r="D282" s="37"/>
      <c r="E282" s="37"/>
      <c r="F282" s="37"/>
      <c r="G282" s="38"/>
      <c r="K282" s="39"/>
      <c r="L282" s="40"/>
      <c r="M282" s="41"/>
      <c r="N282" s="41"/>
      <c r="O282" s="41"/>
      <c r="P282" s="39"/>
      <c r="Q282" s="42"/>
      <c r="R282" s="42"/>
      <c r="S282" s="40"/>
      <c r="T282" s="42"/>
      <c r="U282" s="42"/>
      <c r="V282" s="42"/>
      <c r="W282" s="42"/>
      <c r="X282" s="42"/>
      <c r="AN282" s="133" t="e">
        <f>VLOOKUP(I282,Sheet1!A:D,4,FALSE)</f>
        <v>#N/A</v>
      </c>
    </row>
    <row r="283" spans="1:40" s="36" customFormat="1" ht="14.25" x14ac:dyDescent="0.2">
      <c r="A283" s="35"/>
      <c r="D283" s="37"/>
      <c r="E283" s="37"/>
      <c r="F283" s="37"/>
      <c r="G283" s="38"/>
      <c r="K283" s="39"/>
      <c r="L283" s="40"/>
      <c r="M283" s="41"/>
      <c r="N283" s="41"/>
      <c r="O283" s="41"/>
      <c r="P283" s="39"/>
      <c r="Q283" s="42"/>
      <c r="R283" s="42"/>
      <c r="S283" s="40"/>
      <c r="T283" s="42"/>
      <c r="U283" s="42"/>
      <c r="V283" s="42"/>
      <c r="W283" s="42"/>
      <c r="X283" s="42"/>
      <c r="AN283" s="133" t="e">
        <f>VLOOKUP(I283,Sheet1!A:D,4,FALSE)</f>
        <v>#N/A</v>
      </c>
    </row>
    <row r="284" spans="1:40" s="36" customFormat="1" ht="14.25" x14ac:dyDescent="0.2">
      <c r="A284" s="35"/>
      <c r="D284" s="37"/>
      <c r="E284" s="37"/>
      <c r="F284" s="37"/>
      <c r="G284" s="38"/>
      <c r="K284" s="39"/>
      <c r="L284" s="40"/>
      <c r="M284" s="41"/>
      <c r="N284" s="41"/>
      <c r="O284" s="41"/>
      <c r="P284" s="39"/>
      <c r="Q284" s="42"/>
      <c r="R284" s="42"/>
      <c r="S284" s="40"/>
      <c r="T284" s="42"/>
      <c r="U284" s="42"/>
      <c r="V284" s="42"/>
      <c r="W284" s="42"/>
      <c r="X284" s="42"/>
      <c r="AN284" s="133" t="e">
        <f>VLOOKUP(I284,Sheet1!A:D,4,FALSE)</f>
        <v>#N/A</v>
      </c>
    </row>
    <row r="285" spans="1:40" s="36" customFormat="1" ht="14.25" x14ac:dyDescent="0.2">
      <c r="A285" s="35"/>
      <c r="D285" s="37"/>
      <c r="E285" s="37"/>
      <c r="F285" s="37"/>
      <c r="G285" s="38"/>
      <c r="K285" s="39"/>
      <c r="L285" s="40"/>
      <c r="M285" s="41"/>
      <c r="N285" s="41"/>
      <c r="O285" s="41"/>
      <c r="P285" s="39"/>
      <c r="Q285" s="42"/>
      <c r="R285" s="42"/>
      <c r="S285" s="40"/>
      <c r="T285" s="42"/>
      <c r="U285" s="42"/>
      <c r="V285" s="42"/>
      <c r="W285" s="42"/>
      <c r="X285" s="42"/>
      <c r="AN285" s="133" t="e">
        <f>VLOOKUP(I285,Sheet1!A:D,4,FALSE)</f>
        <v>#N/A</v>
      </c>
    </row>
    <row r="286" spans="1:40" s="36" customFormat="1" ht="14.25" x14ac:dyDescent="0.2">
      <c r="A286" s="35"/>
      <c r="D286" s="37"/>
      <c r="E286" s="37"/>
      <c r="F286" s="37"/>
      <c r="G286" s="38"/>
      <c r="K286" s="39"/>
      <c r="L286" s="40"/>
      <c r="M286" s="41"/>
      <c r="N286" s="41"/>
      <c r="O286" s="41"/>
      <c r="P286" s="39"/>
      <c r="Q286" s="42"/>
      <c r="R286" s="42"/>
      <c r="S286" s="40"/>
      <c r="T286" s="42"/>
      <c r="U286" s="42"/>
      <c r="V286" s="42"/>
      <c r="W286" s="42"/>
      <c r="X286" s="42"/>
      <c r="AN286" s="133" t="e">
        <f>VLOOKUP(I286,Sheet1!A:D,4,FALSE)</f>
        <v>#N/A</v>
      </c>
    </row>
    <row r="287" spans="1:40" s="36" customFormat="1" ht="14.25" x14ac:dyDescent="0.2">
      <c r="A287" s="35"/>
      <c r="D287" s="37"/>
      <c r="E287" s="37"/>
      <c r="F287" s="37"/>
      <c r="G287" s="38"/>
      <c r="K287" s="39"/>
      <c r="L287" s="40"/>
      <c r="M287" s="41"/>
      <c r="N287" s="41"/>
      <c r="O287" s="41"/>
      <c r="P287" s="39"/>
      <c r="Q287" s="42"/>
      <c r="R287" s="42"/>
      <c r="S287" s="40"/>
      <c r="T287" s="42"/>
      <c r="U287" s="42"/>
      <c r="V287" s="42"/>
      <c r="W287" s="42"/>
      <c r="X287" s="42"/>
      <c r="AN287" s="133" t="e">
        <f>VLOOKUP(I287,Sheet1!A:D,4,FALSE)</f>
        <v>#N/A</v>
      </c>
    </row>
    <row r="288" spans="1:40" s="36" customFormat="1" ht="14.25" x14ac:dyDescent="0.2">
      <c r="A288" s="35"/>
      <c r="D288" s="37"/>
      <c r="E288" s="37"/>
      <c r="F288" s="37"/>
      <c r="G288" s="38"/>
      <c r="K288" s="39"/>
      <c r="L288" s="40"/>
      <c r="M288" s="41"/>
      <c r="N288" s="41"/>
      <c r="O288" s="41"/>
      <c r="P288" s="39"/>
      <c r="Q288" s="42"/>
      <c r="R288" s="42"/>
      <c r="S288" s="40"/>
      <c r="T288" s="42"/>
      <c r="U288" s="42"/>
      <c r="V288" s="42"/>
      <c r="W288" s="42"/>
      <c r="X288" s="42"/>
      <c r="AN288" s="133" t="e">
        <f>VLOOKUP(I288,Sheet1!A:D,4,FALSE)</f>
        <v>#N/A</v>
      </c>
    </row>
    <row r="289" spans="1:40" s="36" customFormat="1" ht="14.25" x14ac:dyDescent="0.2">
      <c r="A289" s="35"/>
      <c r="D289" s="37"/>
      <c r="E289" s="37"/>
      <c r="F289" s="37"/>
      <c r="G289" s="38"/>
      <c r="K289" s="39"/>
      <c r="L289" s="40"/>
      <c r="M289" s="41"/>
      <c r="N289" s="41"/>
      <c r="O289" s="41"/>
      <c r="P289" s="39"/>
      <c r="Q289" s="42"/>
      <c r="R289" s="42"/>
      <c r="S289" s="40"/>
      <c r="T289" s="42"/>
      <c r="U289" s="42"/>
      <c r="V289" s="42"/>
      <c r="W289" s="42"/>
      <c r="X289" s="42"/>
      <c r="AN289" s="133" t="e">
        <f>VLOOKUP(I289,Sheet1!A:D,4,FALSE)</f>
        <v>#N/A</v>
      </c>
    </row>
    <row r="290" spans="1:40" s="36" customFormat="1" ht="14.25" x14ac:dyDescent="0.2">
      <c r="A290" s="35"/>
      <c r="D290" s="37"/>
      <c r="E290" s="37"/>
      <c r="F290" s="37"/>
      <c r="G290" s="38"/>
      <c r="K290" s="39"/>
      <c r="L290" s="40"/>
      <c r="M290" s="41"/>
      <c r="N290" s="41"/>
      <c r="O290" s="41"/>
      <c r="P290" s="39"/>
      <c r="Q290" s="42"/>
      <c r="R290" s="42"/>
      <c r="S290" s="40"/>
      <c r="T290" s="42"/>
      <c r="U290" s="42"/>
      <c r="V290" s="42"/>
      <c r="W290" s="42"/>
      <c r="X290" s="42"/>
      <c r="AN290" s="133" t="e">
        <f>VLOOKUP(I290,Sheet1!A:D,4,FALSE)</f>
        <v>#N/A</v>
      </c>
    </row>
    <row r="291" spans="1:40" s="36" customFormat="1" ht="14.25" x14ac:dyDescent="0.2">
      <c r="A291" s="35"/>
      <c r="D291" s="37"/>
      <c r="E291" s="37"/>
      <c r="F291" s="37"/>
      <c r="G291" s="38"/>
      <c r="K291" s="39"/>
      <c r="L291" s="40"/>
      <c r="M291" s="41"/>
      <c r="N291" s="41"/>
      <c r="O291" s="41"/>
      <c r="P291" s="39"/>
      <c r="Q291" s="42"/>
      <c r="R291" s="42"/>
      <c r="S291" s="40"/>
      <c r="T291" s="42"/>
      <c r="U291" s="42"/>
      <c r="V291" s="42"/>
      <c r="W291" s="42"/>
      <c r="X291" s="42"/>
      <c r="AN291" s="133" t="e">
        <f>VLOOKUP(I291,Sheet1!A:D,4,FALSE)</f>
        <v>#N/A</v>
      </c>
    </row>
    <row r="292" spans="1:40" s="36" customFormat="1" ht="14.25" x14ac:dyDescent="0.2">
      <c r="A292" s="35"/>
      <c r="D292" s="37"/>
      <c r="E292" s="37"/>
      <c r="F292" s="37"/>
      <c r="G292" s="38"/>
      <c r="K292" s="39"/>
      <c r="L292" s="40"/>
      <c r="M292" s="41"/>
      <c r="N292" s="41"/>
      <c r="O292" s="41"/>
      <c r="P292" s="39"/>
      <c r="Q292" s="42"/>
      <c r="R292" s="42"/>
      <c r="S292" s="40"/>
      <c r="T292" s="42"/>
      <c r="U292" s="42"/>
      <c r="V292" s="42"/>
      <c r="W292" s="42"/>
      <c r="X292" s="42"/>
      <c r="AN292" s="133" t="e">
        <f>VLOOKUP(I292,Sheet1!A:D,4,FALSE)</f>
        <v>#N/A</v>
      </c>
    </row>
    <row r="293" spans="1:40" s="36" customFormat="1" ht="14.25" x14ac:dyDescent="0.2">
      <c r="A293" s="35"/>
      <c r="D293" s="37"/>
      <c r="E293" s="37"/>
      <c r="F293" s="37"/>
      <c r="G293" s="38"/>
      <c r="K293" s="39"/>
      <c r="L293" s="40"/>
      <c r="M293" s="41"/>
      <c r="N293" s="41"/>
      <c r="O293" s="41"/>
      <c r="P293" s="39"/>
      <c r="Q293" s="42"/>
      <c r="R293" s="42"/>
      <c r="S293" s="40"/>
      <c r="T293" s="42"/>
      <c r="U293" s="42"/>
      <c r="V293" s="42"/>
      <c r="W293" s="42"/>
      <c r="X293" s="42"/>
      <c r="AN293" s="133" t="e">
        <f>VLOOKUP(I293,Sheet1!A:D,4,FALSE)</f>
        <v>#N/A</v>
      </c>
    </row>
    <row r="294" spans="1:40" s="36" customFormat="1" ht="14.25" x14ac:dyDescent="0.2">
      <c r="A294" s="35"/>
      <c r="D294" s="37"/>
      <c r="E294" s="37"/>
      <c r="F294" s="37"/>
      <c r="G294" s="38"/>
      <c r="K294" s="39"/>
      <c r="L294" s="40"/>
      <c r="M294" s="41"/>
      <c r="N294" s="41"/>
      <c r="O294" s="41"/>
      <c r="P294" s="39"/>
      <c r="Q294" s="42"/>
      <c r="R294" s="42"/>
      <c r="S294" s="40"/>
      <c r="T294" s="42"/>
      <c r="U294" s="42"/>
      <c r="V294" s="42"/>
      <c r="W294" s="42"/>
      <c r="X294" s="42"/>
      <c r="AN294" s="133" t="e">
        <f>VLOOKUP(I294,Sheet1!A:D,4,FALSE)</f>
        <v>#N/A</v>
      </c>
    </row>
    <row r="295" spans="1:40" s="36" customFormat="1" ht="14.25" x14ac:dyDescent="0.2">
      <c r="A295" s="35"/>
      <c r="D295" s="37"/>
      <c r="E295" s="37"/>
      <c r="F295" s="37"/>
      <c r="G295" s="38"/>
      <c r="K295" s="39"/>
      <c r="L295" s="40"/>
      <c r="M295" s="41"/>
      <c r="N295" s="41"/>
      <c r="O295" s="41"/>
      <c r="P295" s="39"/>
      <c r="Q295" s="42"/>
      <c r="R295" s="42"/>
      <c r="S295" s="40"/>
      <c r="T295" s="42"/>
      <c r="U295" s="42"/>
      <c r="V295" s="42"/>
      <c r="W295" s="42"/>
      <c r="X295" s="42"/>
      <c r="AN295" s="133" t="e">
        <f>VLOOKUP(I295,Sheet1!A:D,4,FALSE)</f>
        <v>#N/A</v>
      </c>
    </row>
    <row r="296" spans="1:40" x14ac:dyDescent="0.25">
      <c r="AN296" s="133" t="e">
        <f>VLOOKUP(I296,Sheet1!A:D,4,FALSE)</f>
        <v>#N/A</v>
      </c>
    </row>
    <row r="297" spans="1:40" x14ac:dyDescent="0.25">
      <c r="AN297" s="133" t="e">
        <f>VLOOKUP(I297,Sheet1!A:D,4,FALSE)</f>
        <v>#N/A</v>
      </c>
    </row>
    <row r="298" spans="1:40" x14ac:dyDescent="0.25">
      <c r="AN298" s="133" t="e">
        <f>VLOOKUP(I298,Sheet1!A:D,4,FALSE)</f>
        <v>#N/A</v>
      </c>
    </row>
    <row r="299" spans="1:40" x14ac:dyDescent="0.25">
      <c r="AN299" s="133" t="e">
        <f>VLOOKUP(I299,Sheet1!A:D,4,FALSE)</f>
        <v>#N/A</v>
      </c>
    </row>
    <row r="300" spans="1:40" x14ac:dyDescent="0.25">
      <c r="AN300" s="133" t="e">
        <f>VLOOKUP(I300,Sheet1!A:D,4,FALSE)</f>
        <v>#N/A</v>
      </c>
    </row>
    <row r="301" spans="1:40" x14ac:dyDescent="0.25">
      <c r="AN301" s="133" t="e">
        <f>VLOOKUP(I301,Sheet1!A:D,4,FALSE)</f>
        <v>#N/A</v>
      </c>
    </row>
    <row r="302" spans="1:40" x14ac:dyDescent="0.25">
      <c r="AN302" s="133" t="e">
        <f>VLOOKUP(I302,Sheet1!A:D,4,FALSE)</f>
        <v>#N/A</v>
      </c>
    </row>
    <row r="303" spans="1:40" x14ac:dyDescent="0.25">
      <c r="AN303" s="133" t="e">
        <f>VLOOKUP(I303,Sheet1!A:D,4,FALSE)</f>
        <v>#N/A</v>
      </c>
    </row>
    <row r="304" spans="1:40" x14ac:dyDescent="0.25">
      <c r="AN304" s="133" t="e">
        <f>VLOOKUP(I304,Sheet1!A:D,4,FALSE)</f>
        <v>#N/A</v>
      </c>
    </row>
    <row r="305" spans="40:40" x14ac:dyDescent="0.25">
      <c r="AN305" s="133" t="e">
        <f>VLOOKUP(I305,Sheet1!A:D,4,FALSE)</f>
        <v>#N/A</v>
      </c>
    </row>
    <row r="306" spans="40:40" x14ac:dyDescent="0.25">
      <c r="AN306" s="133" t="e">
        <f>VLOOKUP(I306,Sheet1!A:D,4,FALSE)</f>
        <v>#N/A</v>
      </c>
    </row>
    <row r="307" spans="40:40" x14ac:dyDescent="0.25">
      <c r="AN307" s="133" t="e">
        <f>VLOOKUP(I307,Sheet1!A:D,4,FALSE)</f>
        <v>#N/A</v>
      </c>
    </row>
    <row r="308" spans="40:40" x14ac:dyDescent="0.25">
      <c r="AN308" s="133" t="e">
        <f>VLOOKUP(I308,Sheet1!A:D,4,FALSE)</f>
        <v>#N/A</v>
      </c>
    </row>
    <row r="309" spans="40:40" x14ac:dyDescent="0.25">
      <c r="AN309" s="133" t="e">
        <f>VLOOKUP(I309,Sheet1!A:D,4,FALSE)</f>
        <v>#N/A</v>
      </c>
    </row>
    <row r="310" spans="40:40" x14ac:dyDescent="0.25">
      <c r="AN310" s="133" t="e">
        <f>VLOOKUP(I310,Sheet1!A:D,4,FALSE)</f>
        <v>#N/A</v>
      </c>
    </row>
    <row r="311" spans="40:40" x14ac:dyDescent="0.25">
      <c r="AN311" s="133" t="e">
        <f>VLOOKUP(I311,Sheet1!A:D,4,FALSE)</f>
        <v>#N/A</v>
      </c>
    </row>
    <row r="312" spans="40:40" x14ac:dyDescent="0.25">
      <c r="AN312" s="133" t="e">
        <f>VLOOKUP(I312,Sheet1!A:D,4,FALSE)</f>
        <v>#N/A</v>
      </c>
    </row>
    <row r="313" spans="40:40" x14ac:dyDescent="0.25">
      <c r="AN313" s="133" t="e">
        <f>VLOOKUP(I313,Sheet1!A:D,4,FALSE)</f>
        <v>#N/A</v>
      </c>
    </row>
    <row r="314" spans="40:40" x14ac:dyDescent="0.25">
      <c r="AN314" s="133" t="e">
        <f>VLOOKUP(I314,Sheet1!A:D,4,FALSE)</f>
        <v>#N/A</v>
      </c>
    </row>
    <row r="315" spans="40:40" x14ac:dyDescent="0.25">
      <c r="AN315" s="133" t="e">
        <f>VLOOKUP(I315,Sheet1!A:D,4,FALSE)</f>
        <v>#N/A</v>
      </c>
    </row>
    <row r="316" spans="40:40" x14ac:dyDescent="0.25">
      <c r="AN316" s="133" t="e">
        <f>VLOOKUP(I316,Sheet1!A:D,4,FALSE)</f>
        <v>#N/A</v>
      </c>
    </row>
    <row r="317" spans="40:40" x14ac:dyDescent="0.25">
      <c r="AN317" s="133" t="e">
        <f>VLOOKUP(I317,Sheet1!A:D,4,FALSE)</f>
        <v>#N/A</v>
      </c>
    </row>
    <row r="318" spans="40:40" x14ac:dyDescent="0.25">
      <c r="AN318" s="133" t="e">
        <f>VLOOKUP(I318,Sheet1!A:D,4,FALSE)</f>
        <v>#N/A</v>
      </c>
    </row>
    <row r="319" spans="40:40" x14ac:dyDescent="0.25">
      <c r="AN319" s="133" t="e">
        <f>VLOOKUP(I319,Sheet1!A:D,4,FALSE)</f>
        <v>#N/A</v>
      </c>
    </row>
  </sheetData>
  <autoFilter ref="A6:AR319" xr:uid="{CAFDDFDE-66A4-4245-B824-3F7D77FD8D6E}">
    <filterColumn colId="0">
      <filters blank="1">
        <dateGroupItem year="2025" month="2" dateTimeGrouping="month"/>
      </filters>
    </filterColumn>
  </autoFilter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0F5B-2FF3-4C1D-B17D-90051908AA05}">
  <dimension ref="A1:AP235"/>
  <sheetViews>
    <sheetView topLeftCell="A7" workbookViewId="0">
      <selection activeCell="A13" sqref="A13:AM13"/>
    </sheetView>
  </sheetViews>
  <sheetFormatPr defaultRowHeight="15" x14ac:dyDescent="0.25"/>
  <cols>
    <col min="1" max="1" width="18.7109375" style="23" customWidth="1"/>
    <col min="4" max="5" width="10.140625" style="185" bestFit="1" customWidth="1"/>
    <col min="6" max="6" width="9.140625" style="185"/>
    <col min="7" max="7" width="11.85546875" style="30" bestFit="1" customWidth="1"/>
    <col min="13" max="13" width="9.28515625" style="25" bestFit="1" customWidth="1"/>
    <col min="14" max="14" width="10" style="25" bestFit="1" customWidth="1"/>
    <col min="15" max="15" width="14.28515625" style="25" bestFit="1" customWidth="1"/>
    <col min="16" max="16" width="33.140625" style="25" bestFit="1" customWidth="1"/>
    <col min="17" max="18" width="9.28515625" style="25" bestFit="1" customWidth="1"/>
    <col min="19" max="19" width="9.140625" style="25"/>
    <col min="20" max="22" width="14.28515625" style="25" bestFit="1" customWidth="1"/>
    <col min="23" max="23" width="9.28515625" style="25" bestFit="1" customWidth="1"/>
    <col min="24" max="24" width="14.28515625" style="25" bestFit="1" customWidth="1"/>
    <col min="38" max="38" width="14.85546875" bestFit="1" customWidth="1"/>
    <col min="41" max="41" width="9.140625" customWidth="1"/>
    <col min="42" max="42" width="113.85546875" hidden="1" customWidth="1"/>
    <col min="43" max="43" width="9.140625" customWidth="1"/>
  </cols>
  <sheetData>
    <row r="1" spans="1:42" s="74" customFormat="1" x14ac:dyDescent="0.25">
      <c r="A1" s="89"/>
      <c r="D1" s="181"/>
      <c r="E1" s="181"/>
      <c r="F1" s="181"/>
      <c r="G1" s="90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</row>
    <row r="2" spans="1:42" s="74" customFormat="1" x14ac:dyDescent="0.25">
      <c r="A2" s="89"/>
      <c r="D2" s="181"/>
      <c r="E2" s="181"/>
      <c r="F2" s="181"/>
      <c r="G2" s="90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1:42" s="74" customFormat="1" x14ac:dyDescent="0.25">
      <c r="A3" s="89"/>
      <c r="D3" s="181"/>
      <c r="E3" s="181"/>
      <c r="F3" s="181"/>
      <c r="G3" s="90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</row>
    <row r="4" spans="1:42" s="74" customFormat="1" x14ac:dyDescent="0.25">
      <c r="A4" s="89"/>
      <c r="D4" s="181"/>
      <c r="E4" s="181"/>
      <c r="F4" s="181"/>
      <c r="G4" s="90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</row>
    <row r="5" spans="1:42" s="74" customFormat="1" x14ac:dyDescent="0.25">
      <c r="A5" s="89" t="s">
        <v>230</v>
      </c>
      <c r="D5" s="181"/>
      <c r="E5" s="181"/>
      <c r="F5" s="181"/>
      <c r="G5" s="90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</row>
    <row r="6" spans="1:42" s="48" customFormat="1" x14ac:dyDescent="0.25">
      <c r="A6" s="83" t="s">
        <v>0</v>
      </c>
      <c r="B6" s="84" t="s">
        <v>1</v>
      </c>
      <c r="C6" s="84" t="s">
        <v>2</v>
      </c>
      <c r="D6" s="182" t="s">
        <v>4</v>
      </c>
      <c r="E6" s="182" t="s">
        <v>3</v>
      </c>
      <c r="F6" s="182" t="s">
        <v>5</v>
      </c>
      <c r="G6" s="85" t="s">
        <v>6</v>
      </c>
      <c r="H6" s="84" t="s">
        <v>7</v>
      </c>
      <c r="I6" s="84" t="s">
        <v>8</v>
      </c>
      <c r="J6" s="84" t="s">
        <v>9</v>
      </c>
      <c r="K6" s="84" t="s">
        <v>10</v>
      </c>
      <c r="L6" s="84" t="s">
        <v>11</v>
      </c>
      <c r="M6" s="86" t="s">
        <v>12</v>
      </c>
      <c r="N6" s="86" t="s">
        <v>13</v>
      </c>
      <c r="O6" s="86" t="s">
        <v>14</v>
      </c>
      <c r="P6" s="86" t="s">
        <v>15</v>
      </c>
      <c r="Q6" s="86" t="s">
        <v>16</v>
      </c>
      <c r="R6" s="86" t="s">
        <v>17</v>
      </c>
      <c r="S6" s="86" t="s">
        <v>18</v>
      </c>
      <c r="T6" s="86" t="s">
        <v>19</v>
      </c>
      <c r="U6" s="86" t="s">
        <v>20</v>
      </c>
      <c r="V6" s="86" t="s">
        <v>21</v>
      </c>
      <c r="W6" s="86" t="s">
        <v>22</v>
      </c>
      <c r="X6" s="86" t="s">
        <v>23</v>
      </c>
      <c r="Y6" s="84" t="s">
        <v>24</v>
      </c>
      <c r="Z6" s="84" t="s">
        <v>25</v>
      </c>
      <c r="AA6" s="84" t="s">
        <v>26</v>
      </c>
      <c r="AB6" s="84" t="s">
        <v>27</v>
      </c>
      <c r="AC6" s="84" t="s">
        <v>28</v>
      </c>
      <c r="AD6" s="84" t="s">
        <v>29</v>
      </c>
      <c r="AE6" s="84" t="s">
        <v>30</v>
      </c>
      <c r="AF6" s="84" t="s">
        <v>31</v>
      </c>
      <c r="AG6" s="84" t="s">
        <v>32</v>
      </c>
      <c r="AH6" s="84" t="s">
        <v>33</v>
      </c>
      <c r="AI6" s="84" t="s">
        <v>34</v>
      </c>
      <c r="AJ6" s="84" t="s">
        <v>35</v>
      </c>
      <c r="AK6" s="84" t="s">
        <v>36</v>
      </c>
      <c r="AL6" s="84" t="s">
        <v>37</v>
      </c>
      <c r="AM6" s="84" t="s">
        <v>38</v>
      </c>
      <c r="AN6" s="1" t="s">
        <v>276</v>
      </c>
      <c r="AP6" s="88" t="s">
        <v>39</v>
      </c>
    </row>
    <row r="7" spans="1:42" s="133" customFormat="1" ht="14.25" x14ac:dyDescent="0.2">
      <c r="A7" s="132">
        <v>45689</v>
      </c>
      <c r="B7" s="133" t="s">
        <v>40</v>
      </c>
      <c r="C7" s="133" t="s">
        <v>41</v>
      </c>
      <c r="D7" s="134">
        <v>25707963</v>
      </c>
      <c r="E7" s="134">
        <v>24106349</v>
      </c>
      <c r="F7" s="134" t="s">
        <v>700</v>
      </c>
      <c r="G7" s="135">
        <v>45689</v>
      </c>
      <c r="H7" s="133" t="s">
        <v>701</v>
      </c>
      <c r="I7" s="133" t="s">
        <v>432</v>
      </c>
      <c r="J7" s="133" t="s">
        <v>702</v>
      </c>
      <c r="K7" s="133">
        <v>1840</v>
      </c>
      <c r="L7" s="133" t="s">
        <v>42</v>
      </c>
      <c r="M7" s="136">
        <v>1840</v>
      </c>
      <c r="N7" s="136">
        <v>453556</v>
      </c>
      <c r="O7" s="136">
        <v>834543040</v>
      </c>
      <c r="P7" s="136">
        <v>834543040</v>
      </c>
      <c r="Q7" s="136">
        <v>0</v>
      </c>
      <c r="R7" s="136">
        <v>0</v>
      </c>
      <c r="S7" s="136" t="s">
        <v>43</v>
      </c>
      <c r="T7" s="136">
        <v>641666721.21000004</v>
      </c>
      <c r="U7" s="136">
        <v>641666721.21000004</v>
      </c>
      <c r="V7" s="136">
        <v>192876318.78999999</v>
      </c>
      <c r="W7" s="136">
        <v>0.23111608334700001</v>
      </c>
      <c r="X7" s="136">
        <v>192876318.78999999</v>
      </c>
      <c r="Y7" s="133" t="s">
        <v>69</v>
      </c>
      <c r="Z7" s="133" t="s">
        <v>46</v>
      </c>
      <c r="AA7" s="133">
        <v>15454</v>
      </c>
      <c r="AB7" s="133" t="s">
        <v>703</v>
      </c>
      <c r="AC7" s="133" t="s">
        <v>45</v>
      </c>
      <c r="AD7" s="133" t="s">
        <v>67</v>
      </c>
      <c r="AE7" s="133">
        <v>0</v>
      </c>
      <c r="AF7" s="133" t="s">
        <v>68</v>
      </c>
      <c r="AG7" s="133" t="s">
        <v>69</v>
      </c>
      <c r="AH7" s="133" t="s">
        <v>46</v>
      </c>
      <c r="AI7" s="133" t="s">
        <v>69</v>
      </c>
      <c r="AJ7" s="133" t="s">
        <v>46</v>
      </c>
      <c r="AK7" s="133" t="s">
        <v>54</v>
      </c>
      <c r="AL7" s="133" t="s">
        <v>48</v>
      </c>
      <c r="AM7" s="133" t="s">
        <v>201</v>
      </c>
      <c r="AN7" s="133" t="str">
        <f>VLOOKUP(I7,Sheet1!A:D,4,FALSE)</f>
        <v>A320400</v>
      </c>
      <c r="AP7" s="174" t="s">
        <v>722</v>
      </c>
    </row>
    <row r="8" spans="1:42" s="133" customFormat="1" ht="14.25" x14ac:dyDescent="0.2">
      <c r="A8" s="132">
        <v>45689</v>
      </c>
      <c r="B8" s="133" t="s">
        <v>40</v>
      </c>
      <c r="C8" s="133" t="s">
        <v>41</v>
      </c>
      <c r="D8" s="134">
        <v>25707964</v>
      </c>
      <c r="E8" s="134">
        <v>24106349</v>
      </c>
      <c r="F8" s="134" t="s">
        <v>700</v>
      </c>
      <c r="G8" s="135">
        <v>45691</v>
      </c>
      <c r="H8" s="133" t="s">
        <v>701</v>
      </c>
      <c r="I8" s="133" t="s">
        <v>432</v>
      </c>
      <c r="J8" s="133" t="s">
        <v>702</v>
      </c>
      <c r="K8" s="133">
        <v>100</v>
      </c>
      <c r="L8" s="133" t="s">
        <v>42</v>
      </c>
      <c r="M8" s="136">
        <v>100</v>
      </c>
      <c r="N8" s="136">
        <v>453556</v>
      </c>
      <c r="O8" s="136">
        <v>45355600</v>
      </c>
      <c r="P8" s="136">
        <v>45355600</v>
      </c>
      <c r="Q8" s="136">
        <v>0</v>
      </c>
      <c r="R8" s="136">
        <v>0</v>
      </c>
      <c r="S8" s="136" t="s">
        <v>43</v>
      </c>
      <c r="T8" s="136">
        <v>34873191.369999997</v>
      </c>
      <c r="U8" s="136">
        <v>34873191.369999997</v>
      </c>
      <c r="V8" s="136">
        <v>10482408.630000001</v>
      </c>
      <c r="W8" s="136">
        <v>0.23111608335</v>
      </c>
      <c r="X8" s="136">
        <v>10482408.630000001</v>
      </c>
      <c r="Y8" s="133" t="s">
        <v>69</v>
      </c>
      <c r="Z8" s="133" t="s">
        <v>46</v>
      </c>
      <c r="AA8" s="133">
        <v>15454</v>
      </c>
      <c r="AB8" s="133" t="s">
        <v>703</v>
      </c>
      <c r="AC8" s="133" t="s">
        <v>45</v>
      </c>
      <c r="AD8" s="133" t="s">
        <v>67</v>
      </c>
      <c r="AE8" s="133">
        <v>0</v>
      </c>
      <c r="AF8" s="133" t="s">
        <v>68</v>
      </c>
      <c r="AG8" s="133" t="s">
        <v>69</v>
      </c>
      <c r="AH8" s="133" t="s">
        <v>46</v>
      </c>
      <c r="AI8" s="133" t="s">
        <v>69</v>
      </c>
      <c r="AJ8" s="133" t="s">
        <v>46</v>
      </c>
      <c r="AK8" s="133" t="s">
        <v>54</v>
      </c>
      <c r="AL8" s="133" t="s">
        <v>48</v>
      </c>
      <c r="AM8" s="133" t="s">
        <v>201</v>
      </c>
      <c r="AN8" s="133" t="str">
        <f>VLOOKUP(I8,Sheet1!A:D,4,FALSE)</f>
        <v>A320400</v>
      </c>
      <c r="AP8" s="174" t="s">
        <v>722</v>
      </c>
    </row>
    <row r="9" spans="1:42" s="133" customFormat="1" ht="14.25" x14ac:dyDescent="0.2">
      <c r="A9" s="132">
        <v>45689</v>
      </c>
      <c r="B9" s="133" t="s">
        <v>40</v>
      </c>
      <c r="C9" s="133" t="s">
        <v>41</v>
      </c>
      <c r="D9" s="134">
        <v>25707965</v>
      </c>
      <c r="E9" s="134">
        <v>24106348</v>
      </c>
      <c r="F9" s="134" t="s">
        <v>704</v>
      </c>
      <c r="G9" s="135">
        <v>45691</v>
      </c>
      <c r="H9" s="133" t="s">
        <v>701</v>
      </c>
      <c r="I9" s="133" t="s">
        <v>432</v>
      </c>
      <c r="J9" s="133" t="s">
        <v>702</v>
      </c>
      <c r="K9" s="133">
        <v>1700</v>
      </c>
      <c r="L9" s="133" t="s">
        <v>42</v>
      </c>
      <c r="M9" s="136">
        <v>1700</v>
      </c>
      <c r="N9" s="136">
        <v>442865</v>
      </c>
      <c r="O9" s="136">
        <v>752870500</v>
      </c>
      <c r="P9" s="136">
        <v>752870500</v>
      </c>
      <c r="Q9" s="136">
        <v>0</v>
      </c>
      <c r="R9" s="136">
        <v>0</v>
      </c>
      <c r="S9" s="136" t="s">
        <v>43</v>
      </c>
      <c r="T9" s="136">
        <v>592844253.28999996</v>
      </c>
      <c r="U9" s="136">
        <v>592844253.28999996</v>
      </c>
      <c r="V9" s="136">
        <v>160026246.71000001</v>
      </c>
      <c r="W9" s="136">
        <v>0.21255481083399999</v>
      </c>
      <c r="X9" s="136">
        <v>160026246.71000001</v>
      </c>
      <c r="Y9" s="133" t="s">
        <v>69</v>
      </c>
      <c r="Z9" s="133" t="s">
        <v>46</v>
      </c>
      <c r="AA9" s="133">
        <v>15454</v>
      </c>
      <c r="AB9" s="133" t="s">
        <v>703</v>
      </c>
      <c r="AC9" s="133" t="s">
        <v>45</v>
      </c>
      <c r="AD9" s="133" t="s">
        <v>67</v>
      </c>
      <c r="AE9" s="133">
        <v>0</v>
      </c>
      <c r="AF9" s="133" t="s">
        <v>68</v>
      </c>
      <c r="AG9" s="133" t="s">
        <v>69</v>
      </c>
      <c r="AH9" s="133" t="s">
        <v>46</v>
      </c>
      <c r="AI9" s="133" t="s">
        <v>69</v>
      </c>
      <c r="AJ9" s="133" t="s">
        <v>46</v>
      </c>
      <c r="AK9" s="133" t="s">
        <v>54</v>
      </c>
      <c r="AL9" s="133" t="s">
        <v>48</v>
      </c>
      <c r="AM9" s="133" t="s">
        <v>201</v>
      </c>
      <c r="AN9" s="133" t="str">
        <f>VLOOKUP(I9,Sheet1!A:D,4,FALSE)</f>
        <v>A320400</v>
      </c>
      <c r="AP9" s="174" t="s">
        <v>722</v>
      </c>
    </row>
    <row r="10" spans="1:42" s="133" customFormat="1" ht="14.25" x14ac:dyDescent="0.2">
      <c r="A10" s="132">
        <v>45717</v>
      </c>
      <c r="B10" s="133" t="s">
        <v>40</v>
      </c>
      <c r="C10" s="133" t="s">
        <v>41</v>
      </c>
      <c r="D10" s="134">
        <v>25708038</v>
      </c>
      <c r="E10" s="134">
        <v>24106350</v>
      </c>
      <c r="F10" s="134" t="s">
        <v>841</v>
      </c>
      <c r="G10" s="135">
        <v>45719</v>
      </c>
      <c r="H10" s="133" t="s">
        <v>701</v>
      </c>
      <c r="I10" s="133" t="s">
        <v>432</v>
      </c>
      <c r="J10" s="133" t="s">
        <v>702</v>
      </c>
      <c r="K10" s="133">
        <v>1460</v>
      </c>
      <c r="L10" s="133" t="s">
        <v>42</v>
      </c>
      <c r="M10" s="136">
        <v>1460</v>
      </c>
      <c r="N10" s="136">
        <v>453556</v>
      </c>
      <c r="O10" s="136">
        <v>662191760</v>
      </c>
      <c r="P10" s="136">
        <v>662191760</v>
      </c>
      <c r="Q10" s="136">
        <v>0</v>
      </c>
      <c r="R10" s="136">
        <v>0</v>
      </c>
      <c r="S10" s="136" t="s">
        <v>43</v>
      </c>
      <c r="T10" s="136">
        <v>509148594</v>
      </c>
      <c r="U10" s="136">
        <v>509148594</v>
      </c>
      <c r="V10" s="136">
        <v>153043166</v>
      </c>
      <c r="W10" s="136">
        <v>0.23111608335299999</v>
      </c>
      <c r="X10" s="136">
        <v>153043166</v>
      </c>
      <c r="Y10" s="133" t="s">
        <v>69</v>
      </c>
      <c r="Z10" s="133" t="s">
        <v>46</v>
      </c>
      <c r="AA10" s="133">
        <v>15454</v>
      </c>
      <c r="AB10" s="133" t="s">
        <v>703</v>
      </c>
      <c r="AC10" s="133" t="s">
        <v>56</v>
      </c>
      <c r="AD10" s="133" t="s">
        <v>77</v>
      </c>
      <c r="AE10" s="133">
        <v>0</v>
      </c>
      <c r="AF10" s="133" t="s">
        <v>68</v>
      </c>
      <c r="AG10" s="133" t="s">
        <v>69</v>
      </c>
      <c r="AH10" s="133" t="s">
        <v>46</v>
      </c>
      <c r="AI10" s="133" t="s">
        <v>69</v>
      </c>
      <c r="AJ10" s="133" t="s">
        <v>46</v>
      </c>
      <c r="AK10" s="133" t="s">
        <v>54</v>
      </c>
      <c r="AL10" s="133" t="s">
        <v>48</v>
      </c>
      <c r="AM10" s="133" t="s">
        <v>201</v>
      </c>
      <c r="AN10" s="133" t="str">
        <f>VLOOKUP(I10,Sheet1!A:D,4,FALSE)</f>
        <v>A320400</v>
      </c>
      <c r="AP10" s="133" t="s">
        <v>845</v>
      </c>
    </row>
    <row r="11" spans="1:42" s="133" customFormat="1" ht="14.25" x14ac:dyDescent="0.2">
      <c r="A11" s="132">
        <v>45748</v>
      </c>
      <c r="B11" s="133" t="s">
        <v>40</v>
      </c>
      <c r="C11" s="133" t="s">
        <v>41</v>
      </c>
      <c r="D11" s="134">
        <v>25708137</v>
      </c>
      <c r="E11" s="134">
        <v>25106574</v>
      </c>
      <c r="F11" s="134" t="s">
        <v>957</v>
      </c>
      <c r="G11" s="135">
        <v>45763</v>
      </c>
      <c r="H11" s="133" t="s">
        <v>958</v>
      </c>
      <c r="I11" s="133" t="s">
        <v>432</v>
      </c>
      <c r="J11" s="133" t="s">
        <v>646</v>
      </c>
      <c r="K11" s="133">
        <v>1360</v>
      </c>
      <c r="L11" s="133" t="s">
        <v>42</v>
      </c>
      <c r="M11" s="136">
        <v>1360</v>
      </c>
      <c r="N11" s="136">
        <v>472700</v>
      </c>
      <c r="O11" s="136">
        <v>642872000</v>
      </c>
      <c r="P11" s="136">
        <v>642872000</v>
      </c>
      <c r="Q11" s="136">
        <v>0</v>
      </c>
      <c r="R11" s="136">
        <v>0</v>
      </c>
      <c r="S11" s="136" t="s">
        <v>43</v>
      </c>
      <c r="T11" s="136">
        <v>474275397.60000002</v>
      </c>
      <c r="U11" s="136">
        <v>474275397.60000002</v>
      </c>
      <c r="V11" s="136">
        <v>168596602.40000001</v>
      </c>
      <c r="W11" s="136">
        <v>0.26225532049900002</v>
      </c>
      <c r="X11" s="136">
        <v>168596602.40000001</v>
      </c>
      <c r="Y11" s="133" t="s">
        <v>101</v>
      </c>
      <c r="Z11" s="133" t="s">
        <v>46</v>
      </c>
      <c r="AA11" s="133">
        <v>15454</v>
      </c>
      <c r="AB11" s="133" t="s">
        <v>959</v>
      </c>
      <c r="AC11" s="133" t="s">
        <v>56</v>
      </c>
      <c r="AD11" s="133" t="s">
        <v>103</v>
      </c>
      <c r="AE11" s="133">
        <v>0</v>
      </c>
      <c r="AF11" s="133" t="s">
        <v>191</v>
      </c>
      <c r="AG11" s="133" t="s">
        <v>101</v>
      </c>
      <c r="AH11" s="133" t="s">
        <v>46</v>
      </c>
      <c r="AI11" s="133" t="s">
        <v>101</v>
      </c>
      <c r="AJ11" s="133" t="s">
        <v>46</v>
      </c>
      <c r="AK11" s="133" t="s">
        <v>54</v>
      </c>
      <c r="AL11" s="133" t="s">
        <v>48</v>
      </c>
      <c r="AM11" s="133" t="s">
        <v>201</v>
      </c>
      <c r="AN11" s="133" t="str">
        <f>VLOOKUP(I11,Sheet1!A:D,4,FALSE)</f>
        <v>A320400</v>
      </c>
      <c r="AP11" s="133" t="s">
        <v>960</v>
      </c>
    </row>
    <row r="12" spans="1:42" s="133" customFormat="1" ht="14.25" x14ac:dyDescent="0.2">
      <c r="A12" s="132">
        <v>45870</v>
      </c>
      <c r="B12" s="133" t="s">
        <v>40</v>
      </c>
      <c r="C12" s="133" t="s">
        <v>41</v>
      </c>
      <c r="D12" s="134">
        <v>25708428</v>
      </c>
      <c r="E12" s="134">
        <v>25106707</v>
      </c>
      <c r="F12" s="134" t="s">
        <v>1216</v>
      </c>
      <c r="G12" s="135">
        <v>45883</v>
      </c>
      <c r="H12" s="133" t="s">
        <v>701</v>
      </c>
      <c r="I12" s="133" t="s">
        <v>432</v>
      </c>
      <c r="J12" s="133" t="s">
        <v>702</v>
      </c>
      <c r="K12" s="133">
        <v>760</v>
      </c>
      <c r="L12" s="133" t="s">
        <v>42</v>
      </c>
      <c r="M12" s="136">
        <v>760</v>
      </c>
      <c r="N12" s="136">
        <v>487925</v>
      </c>
      <c r="O12" s="136">
        <v>370823000</v>
      </c>
      <c r="P12" s="136">
        <v>370823000</v>
      </c>
      <c r="Q12" s="136">
        <v>0</v>
      </c>
      <c r="R12" s="136">
        <v>0</v>
      </c>
      <c r="S12" s="136" t="s">
        <v>43</v>
      </c>
      <c r="T12" s="136">
        <v>279224410.62</v>
      </c>
      <c r="U12" s="136">
        <v>279224410.62</v>
      </c>
      <c r="V12" s="136">
        <v>91598589.379999995</v>
      </c>
      <c r="W12" s="136">
        <v>0.247014315131</v>
      </c>
      <c r="X12" s="136">
        <v>91598589.379999995</v>
      </c>
      <c r="Y12" s="133" t="s">
        <v>69</v>
      </c>
      <c r="Z12" s="133" t="s">
        <v>46</v>
      </c>
      <c r="AA12" s="133">
        <v>15454</v>
      </c>
      <c r="AB12" s="133" t="s">
        <v>703</v>
      </c>
      <c r="AC12" s="133" t="s">
        <v>56</v>
      </c>
      <c r="AD12" s="133" t="s">
        <v>77</v>
      </c>
      <c r="AE12" s="133">
        <v>0</v>
      </c>
      <c r="AF12" s="133" t="s">
        <v>68</v>
      </c>
      <c r="AG12" s="133" t="s">
        <v>69</v>
      </c>
      <c r="AH12" s="133" t="s">
        <v>46</v>
      </c>
      <c r="AI12" s="133" t="s">
        <v>69</v>
      </c>
      <c r="AJ12" s="133" t="s">
        <v>46</v>
      </c>
      <c r="AK12" s="133" t="s">
        <v>54</v>
      </c>
      <c r="AL12" s="133" t="s">
        <v>48</v>
      </c>
      <c r="AM12" s="133" t="s">
        <v>201</v>
      </c>
      <c r="AN12" s="133" t="str">
        <f>VLOOKUP(I12,Sheet1!A:D,4,FALSE)</f>
        <v>A320400</v>
      </c>
      <c r="AP12" s="133" t="s">
        <v>1224</v>
      </c>
    </row>
    <row r="13" spans="1:42" s="36" customFormat="1" ht="14.25" x14ac:dyDescent="0.2">
      <c r="A13" s="195">
        <v>45901</v>
      </c>
      <c r="B13" s="187" t="s">
        <v>40</v>
      </c>
      <c r="C13" s="187" t="s">
        <v>41</v>
      </c>
      <c r="D13" s="315">
        <v>25708584</v>
      </c>
      <c r="E13" s="315">
        <v>25106770</v>
      </c>
      <c r="F13" s="315" t="s">
        <v>1366</v>
      </c>
      <c r="G13" s="196">
        <v>45926</v>
      </c>
      <c r="H13" s="187" t="s">
        <v>958</v>
      </c>
      <c r="I13" s="187" t="s">
        <v>432</v>
      </c>
      <c r="J13" s="187" t="s">
        <v>646</v>
      </c>
      <c r="K13" s="187">
        <v>1600</v>
      </c>
      <c r="L13" s="187" t="s">
        <v>42</v>
      </c>
      <c r="M13" s="191">
        <v>1600</v>
      </c>
      <c r="N13" s="191">
        <v>473715</v>
      </c>
      <c r="O13" s="191">
        <v>757944000</v>
      </c>
      <c r="P13" s="191">
        <v>757944000</v>
      </c>
      <c r="Q13" s="191">
        <v>0</v>
      </c>
      <c r="R13" s="191">
        <v>0</v>
      </c>
      <c r="S13" s="191" t="s">
        <v>43</v>
      </c>
      <c r="T13" s="191">
        <v>587840864.48000002</v>
      </c>
      <c r="U13" s="191">
        <v>587840864.48000002</v>
      </c>
      <c r="V13" s="191">
        <v>170103135.52000001</v>
      </c>
      <c r="W13" s="191">
        <v>0.224427049386</v>
      </c>
      <c r="X13" s="191">
        <v>170103135.52000001</v>
      </c>
      <c r="Y13" s="187" t="s">
        <v>101</v>
      </c>
      <c r="Z13" s="187" t="s">
        <v>46</v>
      </c>
      <c r="AA13" s="187">
        <v>15454</v>
      </c>
      <c r="AB13" s="187" t="s">
        <v>959</v>
      </c>
      <c r="AC13" s="187" t="s">
        <v>56</v>
      </c>
      <c r="AD13" s="187" t="s">
        <v>103</v>
      </c>
      <c r="AE13" s="187">
        <v>0</v>
      </c>
      <c r="AF13" s="187" t="s">
        <v>191</v>
      </c>
      <c r="AG13" s="187" t="s">
        <v>101</v>
      </c>
      <c r="AH13" s="187" t="s">
        <v>46</v>
      </c>
      <c r="AI13" s="187" t="s">
        <v>101</v>
      </c>
      <c r="AJ13" s="187" t="s">
        <v>46</v>
      </c>
      <c r="AK13" s="187" t="s">
        <v>54</v>
      </c>
      <c r="AL13" s="187" t="s">
        <v>48</v>
      </c>
      <c r="AM13" s="187" t="s">
        <v>201</v>
      </c>
      <c r="AN13" s="36" t="str">
        <f>VLOOKUP(I13,Sheet1!A:D,4,FALSE)</f>
        <v>A320400</v>
      </c>
    </row>
    <row r="14" spans="1:42" s="36" customFormat="1" ht="14.25" x14ac:dyDescent="0.2">
      <c r="A14" s="57"/>
      <c r="D14" s="183"/>
      <c r="E14" s="183"/>
      <c r="F14" s="183"/>
      <c r="G14" s="58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AN14" s="36" t="e">
        <f>VLOOKUP(I14,Sheet1!A:D,4,FALSE)</f>
        <v>#N/A</v>
      </c>
    </row>
    <row r="15" spans="1:42" s="36" customFormat="1" ht="14.25" x14ac:dyDescent="0.2">
      <c r="A15" s="57"/>
      <c r="D15" s="183"/>
      <c r="E15" s="183"/>
      <c r="F15" s="183"/>
      <c r="G15" s="58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AN15" s="36" t="e">
        <f>VLOOKUP(I15,Sheet1!A:D,4,FALSE)</f>
        <v>#N/A</v>
      </c>
    </row>
    <row r="16" spans="1:42" s="36" customFormat="1" ht="14.25" x14ac:dyDescent="0.2">
      <c r="A16" s="57"/>
      <c r="D16" s="183"/>
      <c r="E16" s="183"/>
      <c r="F16" s="183"/>
      <c r="G16" s="58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AN16" s="36" t="e">
        <f>VLOOKUP(I16,Sheet1!A:D,4,FALSE)</f>
        <v>#N/A</v>
      </c>
    </row>
    <row r="17" spans="1:40" s="36" customFormat="1" ht="14.25" x14ac:dyDescent="0.2">
      <c r="A17" s="57"/>
      <c r="D17" s="183"/>
      <c r="E17" s="183"/>
      <c r="F17" s="183"/>
      <c r="G17" s="58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AN17" s="36" t="e">
        <f>VLOOKUP(I17,Sheet1!A:D,4,FALSE)</f>
        <v>#N/A</v>
      </c>
    </row>
    <row r="18" spans="1:40" s="36" customFormat="1" ht="14.25" x14ac:dyDescent="0.2">
      <c r="A18" s="57"/>
      <c r="D18" s="183"/>
      <c r="E18" s="183"/>
      <c r="F18" s="183"/>
      <c r="G18" s="58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AN18" s="36" t="e">
        <f>VLOOKUP(I18,Sheet1!A:D,4,FALSE)</f>
        <v>#N/A</v>
      </c>
    </row>
    <row r="19" spans="1:40" s="36" customFormat="1" ht="14.25" x14ac:dyDescent="0.2">
      <c r="A19" s="57"/>
      <c r="D19" s="183"/>
      <c r="E19" s="183"/>
      <c r="F19" s="183"/>
      <c r="G19" s="58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AN19" s="36" t="e">
        <f>VLOOKUP(I19,Sheet1!A:D,4,FALSE)</f>
        <v>#N/A</v>
      </c>
    </row>
    <row r="20" spans="1:40" s="36" customFormat="1" ht="14.25" x14ac:dyDescent="0.2">
      <c r="A20" s="57"/>
      <c r="D20" s="183"/>
      <c r="E20" s="183"/>
      <c r="F20" s="183"/>
      <c r="G20" s="58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AN20" s="36" t="e">
        <f>VLOOKUP(I20,Sheet1!A:D,4,FALSE)</f>
        <v>#N/A</v>
      </c>
    </row>
    <row r="21" spans="1:40" s="36" customFormat="1" ht="14.25" x14ac:dyDescent="0.2">
      <c r="A21" s="57"/>
      <c r="D21" s="183"/>
      <c r="E21" s="183"/>
      <c r="F21" s="183"/>
      <c r="G21" s="58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AN21" s="36" t="e">
        <f>VLOOKUP(I21,Sheet1!A:D,4,FALSE)</f>
        <v>#N/A</v>
      </c>
    </row>
    <row r="22" spans="1:40" s="36" customFormat="1" ht="14.25" x14ac:dyDescent="0.2">
      <c r="A22" s="57"/>
      <c r="D22" s="183"/>
      <c r="E22" s="183"/>
      <c r="F22" s="183"/>
      <c r="G22" s="58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AN22" s="36" t="e">
        <f>VLOOKUP(I22,Sheet1!A:D,4,FALSE)</f>
        <v>#N/A</v>
      </c>
    </row>
    <row r="23" spans="1:40" s="36" customFormat="1" ht="14.25" x14ac:dyDescent="0.2">
      <c r="A23" s="57"/>
      <c r="D23" s="183"/>
      <c r="E23" s="183"/>
      <c r="F23" s="183"/>
      <c r="G23" s="58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AN23" s="36" t="e">
        <f>VLOOKUP(I23,Sheet1!A:D,4,FALSE)</f>
        <v>#N/A</v>
      </c>
    </row>
    <row r="24" spans="1:40" s="36" customFormat="1" ht="14.25" x14ac:dyDescent="0.2">
      <c r="A24" s="57"/>
      <c r="D24" s="183"/>
      <c r="E24" s="183"/>
      <c r="F24" s="183"/>
      <c r="G24" s="58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AN24" s="36" t="e">
        <f>VLOOKUP(I24,Sheet1!A:D,4,FALSE)</f>
        <v>#N/A</v>
      </c>
    </row>
    <row r="25" spans="1:40" s="36" customFormat="1" ht="14.25" x14ac:dyDescent="0.2">
      <c r="A25" s="57"/>
      <c r="D25" s="183"/>
      <c r="E25" s="183"/>
      <c r="F25" s="183"/>
      <c r="G25" s="58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AN25" s="36" t="e">
        <f>VLOOKUP(I25,Sheet1!A:D,4,FALSE)</f>
        <v>#N/A</v>
      </c>
    </row>
    <row r="26" spans="1:40" s="36" customFormat="1" ht="14.25" x14ac:dyDescent="0.2">
      <c r="A26" s="57"/>
      <c r="D26" s="183"/>
      <c r="E26" s="183"/>
      <c r="F26" s="183"/>
      <c r="G26" s="58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AN26" s="36" t="e">
        <f>VLOOKUP(I26,Sheet1!A:D,4,FALSE)</f>
        <v>#N/A</v>
      </c>
    </row>
    <row r="27" spans="1:40" s="36" customFormat="1" ht="14.25" x14ac:dyDescent="0.2">
      <c r="A27" s="57"/>
      <c r="D27" s="183"/>
      <c r="E27" s="183"/>
      <c r="F27" s="183"/>
      <c r="G27" s="58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AN27" s="36" t="e">
        <f>VLOOKUP(I27,Sheet1!A:D,4,FALSE)</f>
        <v>#N/A</v>
      </c>
    </row>
    <row r="28" spans="1:40" s="36" customFormat="1" ht="14.25" x14ac:dyDescent="0.2">
      <c r="A28" s="57"/>
      <c r="D28" s="183"/>
      <c r="E28" s="183"/>
      <c r="F28" s="183"/>
      <c r="G28" s="58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AN28" s="36" t="e">
        <f>VLOOKUP(I28,Sheet1!A:D,4,FALSE)</f>
        <v>#N/A</v>
      </c>
    </row>
    <row r="29" spans="1:40" s="36" customFormat="1" ht="14.25" x14ac:dyDescent="0.2">
      <c r="A29" s="57"/>
      <c r="D29" s="183"/>
      <c r="E29" s="183"/>
      <c r="F29" s="183"/>
      <c r="G29" s="58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AN29" s="36" t="e">
        <f>VLOOKUP(I29,Sheet1!A:D,4,FALSE)</f>
        <v>#N/A</v>
      </c>
    </row>
    <row r="30" spans="1:40" s="36" customFormat="1" ht="14.25" x14ac:dyDescent="0.2">
      <c r="A30" s="57"/>
      <c r="D30" s="183"/>
      <c r="E30" s="183"/>
      <c r="F30" s="183"/>
      <c r="G30" s="58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AN30" s="36" t="e">
        <f>VLOOKUP(I30,Sheet1!A:D,4,FALSE)</f>
        <v>#N/A</v>
      </c>
    </row>
    <row r="31" spans="1:40" s="36" customFormat="1" ht="14.25" x14ac:dyDescent="0.2">
      <c r="A31" s="57"/>
      <c r="D31" s="183"/>
      <c r="E31" s="183"/>
      <c r="F31" s="183"/>
      <c r="G31" s="58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AN31" s="36" t="e">
        <f>VLOOKUP(I31,Sheet1!A:D,4,FALSE)</f>
        <v>#N/A</v>
      </c>
    </row>
    <row r="32" spans="1:40" s="36" customFormat="1" ht="14.25" x14ac:dyDescent="0.2">
      <c r="A32" s="57"/>
      <c r="D32" s="183"/>
      <c r="E32" s="183"/>
      <c r="F32" s="183"/>
      <c r="G32" s="58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AN32" s="36" t="e">
        <f>VLOOKUP(I32,Sheet1!A:D,4,FALSE)</f>
        <v>#N/A</v>
      </c>
    </row>
    <row r="33" spans="1:40" s="36" customFormat="1" ht="14.25" x14ac:dyDescent="0.2">
      <c r="A33" s="57"/>
      <c r="D33" s="183"/>
      <c r="E33" s="183"/>
      <c r="F33" s="183"/>
      <c r="G33" s="58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AN33" s="36" t="e">
        <f>VLOOKUP(I33,Sheet1!A:D,4,FALSE)</f>
        <v>#N/A</v>
      </c>
    </row>
    <row r="34" spans="1:40" s="36" customFormat="1" ht="14.25" x14ac:dyDescent="0.2">
      <c r="A34" s="57"/>
      <c r="D34" s="183"/>
      <c r="E34" s="183"/>
      <c r="F34" s="183"/>
      <c r="G34" s="58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AN34" s="36" t="e">
        <f>VLOOKUP(I34,Sheet1!A:D,4,FALSE)</f>
        <v>#N/A</v>
      </c>
    </row>
    <row r="35" spans="1:40" s="36" customFormat="1" ht="14.25" x14ac:dyDescent="0.2">
      <c r="A35" s="57"/>
      <c r="D35" s="183"/>
      <c r="E35" s="183"/>
      <c r="F35" s="183"/>
      <c r="G35" s="58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AN35" s="36" t="e">
        <f>VLOOKUP(I35,Sheet1!A:D,4,FALSE)</f>
        <v>#N/A</v>
      </c>
    </row>
    <row r="36" spans="1:40" s="36" customFormat="1" ht="14.25" x14ac:dyDescent="0.2">
      <c r="A36" s="57"/>
      <c r="D36" s="183"/>
      <c r="E36" s="183"/>
      <c r="F36" s="183"/>
      <c r="G36" s="58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AN36" s="36" t="e">
        <f>VLOOKUP(I36,Sheet1!A:D,4,FALSE)</f>
        <v>#N/A</v>
      </c>
    </row>
    <row r="37" spans="1:40" s="36" customFormat="1" ht="14.25" x14ac:dyDescent="0.2">
      <c r="A37" s="57"/>
      <c r="D37" s="183"/>
      <c r="E37" s="183"/>
      <c r="F37" s="183"/>
      <c r="G37" s="58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AN37" s="36" t="e">
        <f>VLOOKUP(I37,Sheet1!A:D,4,FALSE)</f>
        <v>#N/A</v>
      </c>
    </row>
    <row r="38" spans="1:40" s="36" customFormat="1" ht="14.25" x14ac:dyDescent="0.2">
      <c r="A38" s="57"/>
      <c r="D38" s="183"/>
      <c r="E38" s="183"/>
      <c r="F38" s="183"/>
      <c r="G38" s="58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AN38" s="36" t="e">
        <f>VLOOKUP(I38,Sheet1!A:D,4,FALSE)</f>
        <v>#N/A</v>
      </c>
    </row>
    <row r="39" spans="1:40" s="36" customFormat="1" ht="14.25" x14ac:dyDescent="0.2">
      <c r="A39" s="57"/>
      <c r="D39" s="183"/>
      <c r="E39" s="183"/>
      <c r="F39" s="183"/>
      <c r="G39" s="58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AN39" s="36" t="e">
        <f>VLOOKUP(I39,Sheet1!A:D,4,FALSE)</f>
        <v>#N/A</v>
      </c>
    </row>
    <row r="40" spans="1:40" s="36" customFormat="1" ht="14.25" x14ac:dyDescent="0.2">
      <c r="A40" s="57"/>
      <c r="D40" s="183"/>
      <c r="E40" s="183"/>
      <c r="F40" s="183"/>
      <c r="G40" s="58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AN40" s="36" t="e">
        <f>VLOOKUP(I40,Sheet1!A:D,4,FALSE)</f>
        <v>#N/A</v>
      </c>
    </row>
    <row r="41" spans="1:40" s="36" customFormat="1" ht="14.25" x14ac:dyDescent="0.2">
      <c r="A41" s="57"/>
      <c r="D41" s="183"/>
      <c r="E41" s="183"/>
      <c r="F41" s="183"/>
      <c r="G41" s="58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AN41" s="36" t="e">
        <f>VLOOKUP(I41,Sheet1!A:D,4,FALSE)</f>
        <v>#N/A</v>
      </c>
    </row>
    <row r="42" spans="1:40" s="36" customFormat="1" ht="14.25" x14ac:dyDescent="0.2">
      <c r="A42" s="57"/>
      <c r="D42" s="183"/>
      <c r="E42" s="183"/>
      <c r="F42" s="183"/>
      <c r="G42" s="58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AN42" s="36" t="e">
        <f>VLOOKUP(I42,Sheet1!A:D,4,FALSE)</f>
        <v>#N/A</v>
      </c>
    </row>
    <row r="43" spans="1:40" s="36" customFormat="1" ht="14.25" x14ac:dyDescent="0.2">
      <c r="A43" s="57"/>
      <c r="D43" s="183"/>
      <c r="E43" s="183"/>
      <c r="F43" s="183"/>
      <c r="G43" s="58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AN43" s="36" t="e">
        <f>VLOOKUP(I43,Sheet1!A:D,4,FALSE)</f>
        <v>#N/A</v>
      </c>
    </row>
    <row r="44" spans="1:40" s="36" customFormat="1" ht="14.25" x14ac:dyDescent="0.2">
      <c r="A44" s="57"/>
      <c r="D44" s="183"/>
      <c r="E44" s="183"/>
      <c r="F44" s="183"/>
      <c r="G44" s="58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AN44" s="36" t="e">
        <f>VLOOKUP(I44,Sheet1!A:D,4,FALSE)</f>
        <v>#N/A</v>
      </c>
    </row>
    <row r="45" spans="1:40" s="36" customFormat="1" ht="14.25" x14ac:dyDescent="0.2">
      <c r="A45" s="57"/>
      <c r="D45" s="183"/>
      <c r="E45" s="183"/>
      <c r="F45" s="183"/>
      <c r="G45" s="58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AN45" s="36" t="e">
        <f>VLOOKUP(I45,Sheet1!A:D,4,FALSE)</f>
        <v>#N/A</v>
      </c>
    </row>
    <row r="46" spans="1:40" s="36" customFormat="1" ht="14.25" x14ac:dyDescent="0.2">
      <c r="A46" s="57"/>
      <c r="D46" s="183"/>
      <c r="E46" s="183"/>
      <c r="F46" s="183"/>
      <c r="G46" s="58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AN46" s="36" t="e">
        <f>VLOOKUP(I46,Sheet1!A:D,4,FALSE)</f>
        <v>#N/A</v>
      </c>
    </row>
    <row r="47" spans="1:40" s="36" customFormat="1" ht="14.25" x14ac:dyDescent="0.2">
      <c r="A47" s="57"/>
      <c r="D47" s="183"/>
      <c r="E47" s="183"/>
      <c r="F47" s="183"/>
      <c r="G47" s="58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AN47" s="36" t="e">
        <f>VLOOKUP(I47,Sheet1!A:D,4,FALSE)</f>
        <v>#N/A</v>
      </c>
    </row>
    <row r="48" spans="1:40" s="36" customFormat="1" ht="14.25" x14ac:dyDescent="0.2">
      <c r="A48" s="57"/>
      <c r="D48" s="183"/>
      <c r="E48" s="183"/>
      <c r="F48" s="183"/>
      <c r="G48" s="58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AN48" s="36" t="e">
        <f>VLOOKUP(I48,Sheet1!A:D,4,FALSE)</f>
        <v>#N/A</v>
      </c>
    </row>
    <row r="49" spans="1:40" s="36" customFormat="1" ht="14.25" x14ac:dyDescent="0.2">
      <c r="A49" s="57"/>
      <c r="D49" s="183"/>
      <c r="E49" s="183"/>
      <c r="F49" s="183"/>
      <c r="G49" s="58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AN49" s="36" t="e">
        <f>VLOOKUP(I49,Sheet1!A:D,4,FALSE)</f>
        <v>#N/A</v>
      </c>
    </row>
    <row r="50" spans="1:40" s="36" customFormat="1" ht="14.25" x14ac:dyDescent="0.2">
      <c r="A50" s="57"/>
      <c r="D50" s="183"/>
      <c r="E50" s="183"/>
      <c r="F50" s="183"/>
      <c r="G50" s="58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AN50" s="36" t="e">
        <f>VLOOKUP(I50,Sheet1!A:D,4,FALSE)</f>
        <v>#N/A</v>
      </c>
    </row>
    <row r="51" spans="1:40" s="36" customFormat="1" ht="14.25" x14ac:dyDescent="0.2">
      <c r="A51" s="57"/>
      <c r="D51" s="183"/>
      <c r="E51" s="183"/>
      <c r="F51" s="183"/>
      <c r="G51" s="58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AN51" s="36" t="e">
        <f>VLOOKUP(I51,Sheet1!A:D,4,FALSE)</f>
        <v>#N/A</v>
      </c>
    </row>
    <row r="52" spans="1:40" s="36" customFormat="1" ht="14.25" x14ac:dyDescent="0.2">
      <c r="A52" s="57"/>
      <c r="D52" s="183"/>
      <c r="E52" s="183"/>
      <c r="F52" s="183"/>
      <c r="G52" s="58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AN52" s="36" t="e">
        <f>VLOOKUP(I52,Sheet1!A:D,4,FALSE)</f>
        <v>#N/A</v>
      </c>
    </row>
    <row r="53" spans="1:40" s="36" customFormat="1" ht="14.25" x14ac:dyDescent="0.2">
      <c r="A53" s="57"/>
      <c r="D53" s="183"/>
      <c r="E53" s="183"/>
      <c r="F53" s="183"/>
      <c r="G53" s="58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AN53" s="36" t="e">
        <f>VLOOKUP(I53,Sheet1!A:D,4,FALSE)</f>
        <v>#N/A</v>
      </c>
    </row>
    <row r="54" spans="1:40" s="36" customFormat="1" ht="14.25" x14ac:dyDescent="0.2">
      <c r="A54" s="57"/>
      <c r="D54" s="183"/>
      <c r="E54" s="183"/>
      <c r="F54" s="183"/>
      <c r="G54" s="58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AN54" s="36" t="e">
        <f>VLOOKUP(I54,Sheet1!A:D,4,FALSE)</f>
        <v>#N/A</v>
      </c>
    </row>
    <row r="55" spans="1:40" s="36" customFormat="1" ht="14.25" x14ac:dyDescent="0.2">
      <c r="A55" s="57"/>
      <c r="D55" s="183"/>
      <c r="E55" s="183"/>
      <c r="F55" s="183"/>
      <c r="G55" s="58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AN55" s="36" t="e">
        <f>VLOOKUP(I55,Sheet1!A:D,4,FALSE)</f>
        <v>#N/A</v>
      </c>
    </row>
    <row r="56" spans="1:40" s="36" customFormat="1" ht="14.25" x14ac:dyDescent="0.2">
      <c r="A56" s="57"/>
      <c r="D56" s="183"/>
      <c r="E56" s="183"/>
      <c r="F56" s="183"/>
      <c r="G56" s="58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AN56" s="36" t="e">
        <f>VLOOKUP(I56,Sheet1!A:D,4,FALSE)</f>
        <v>#N/A</v>
      </c>
    </row>
    <row r="57" spans="1:40" s="36" customFormat="1" ht="14.25" x14ac:dyDescent="0.2">
      <c r="A57" s="57"/>
      <c r="D57" s="183"/>
      <c r="E57" s="183"/>
      <c r="F57" s="183"/>
      <c r="G57" s="58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AN57" s="36" t="e">
        <f>VLOOKUP(I57,Sheet1!A:D,4,FALSE)</f>
        <v>#N/A</v>
      </c>
    </row>
    <row r="58" spans="1:40" s="36" customFormat="1" ht="14.25" x14ac:dyDescent="0.2">
      <c r="A58" s="57"/>
      <c r="D58" s="183"/>
      <c r="E58" s="183"/>
      <c r="F58" s="183"/>
      <c r="G58" s="58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AN58" s="36" t="e">
        <f>VLOOKUP(I58,Sheet1!A:D,4,FALSE)</f>
        <v>#N/A</v>
      </c>
    </row>
    <row r="59" spans="1:40" s="36" customFormat="1" ht="14.25" x14ac:dyDescent="0.2">
      <c r="A59" s="57"/>
      <c r="D59" s="183"/>
      <c r="E59" s="183"/>
      <c r="F59" s="183"/>
      <c r="G59" s="58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AN59" s="36" t="e">
        <f>VLOOKUP(I59,Sheet1!A:D,4,FALSE)</f>
        <v>#N/A</v>
      </c>
    </row>
    <row r="60" spans="1:40" s="36" customFormat="1" ht="14.25" x14ac:dyDescent="0.2">
      <c r="A60" s="57"/>
      <c r="D60" s="183"/>
      <c r="E60" s="183"/>
      <c r="F60" s="183"/>
      <c r="G60" s="58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AN60" s="36" t="e">
        <f>VLOOKUP(I60,Sheet1!A:D,4,FALSE)</f>
        <v>#N/A</v>
      </c>
    </row>
    <row r="61" spans="1:40" s="36" customFormat="1" ht="14.25" x14ac:dyDescent="0.2">
      <c r="A61" s="57"/>
      <c r="D61" s="183"/>
      <c r="E61" s="183"/>
      <c r="F61" s="183"/>
      <c r="G61" s="58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AN61" s="36" t="e">
        <f>VLOOKUP(I61,Sheet1!A:D,4,FALSE)</f>
        <v>#N/A</v>
      </c>
    </row>
    <row r="62" spans="1:40" s="36" customFormat="1" ht="14.25" x14ac:dyDescent="0.2">
      <c r="A62" s="57"/>
      <c r="D62" s="183"/>
      <c r="E62" s="183"/>
      <c r="F62" s="183"/>
      <c r="G62" s="58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AN62" s="36" t="e">
        <f>VLOOKUP(I62,Sheet1!A:D,4,FALSE)</f>
        <v>#N/A</v>
      </c>
    </row>
    <row r="63" spans="1:40" s="36" customFormat="1" ht="14.25" x14ac:dyDescent="0.2">
      <c r="A63" s="57"/>
      <c r="D63" s="183"/>
      <c r="E63" s="183"/>
      <c r="F63" s="183"/>
      <c r="G63" s="58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AN63" s="36" t="e">
        <f>VLOOKUP(I63,Sheet1!A:D,4,FALSE)</f>
        <v>#N/A</v>
      </c>
    </row>
    <row r="64" spans="1:40" s="36" customFormat="1" ht="14.25" x14ac:dyDescent="0.2">
      <c r="A64" s="57"/>
      <c r="D64" s="183"/>
      <c r="E64" s="183"/>
      <c r="F64" s="183"/>
      <c r="G64" s="58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AN64" s="36" t="e">
        <f>VLOOKUP(I64,Sheet1!A:D,4,FALSE)</f>
        <v>#N/A</v>
      </c>
    </row>
    <row r="65" spans="1:40" s="36" customFormat="1" ht="14.25" x14ac:dyDescent="0.2">
      <c r="A65" s="57"/>
      <c r="D65" s="183"/>
      <c r="E65" s="183"/>
      <c r="F65" s="183"/>
      <c r="G65" s="58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AN65" s="36" t="e">
        <f>VLOOKUP(I65,Sheet1!A:D,4,FALSE)</f>
        <v>#N/A</v>
      </c>
    </row>
    <row r="66" spans="1:40" s="36" customFormat="1" ht="14.25" x14ac:dyDescent="0.2">
      <c r="A66" s="57"/>
      <c r="D66" s="183"/>
      <c r="E66" s="183"/>
      <c r="F66" s="183"/>
      <c r="G66" s="58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AN66" s="36" t="e">
        <f>VLOOKUP(I66,Sheet1!A:D,4,FALSE)</f>
        <v>#N/A</v>
      </c>
    </row>
    <row r="67" spans="1:40" s="36" customFormat="1" ht="14.25" x14ac:dyDescent="0.2">
      <c r="A67" s="57"/>
      <c r="D67" s="183"/>
      <c r="E67" s="183"/>
      <c r="F67" s="183"/>
      <c r="G67" s="58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AN67" s="36" t="e">
        <f>VLOOKUP(I67,Sheet1!A:D,4,FALSE)</f>
        <v>#N/A</v>
      </c>
    </row>
    <row r="68" spans="1:40" s="36" customFormat="1" ht="14.25" x14ac:dyDescent="0.2">
      <c r="A68" s="57"/>
      <c r="D68" s="183"/>
      <c r="E68" s="183"/>
      <c r="F68" s="183"/>
      <c r="G68" s="58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AN68" s="36" t="e">
        <f>VLOOKUP(I68,Sheet1!A:D,4,FALSE)</f>
        <v>#N/A</v>
      </c>
    </row>
    <row r="69" spans="1:40" s="36" customFormat="1" ht="14.25" x14ac:dyDescent="0.2">
      <c r="A69" s="57"/>
      <c r="D69" s="183"/>
      <c r="E69" s="183"/>
      <c r="F69" s="183"/>
      <c r="G69" s="58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AN69" s="36" t="e">
        <f>VLOOKUP(I69,Sheet1!A:D,4,FALSE)</f>
        <v>#N/A</v>
      </c>
    </row>
    <row r="70" spans="1:40" s="36" customFormat="1" ht="14.25" x14ac:dyDescent="0.2">
      <c r="A70" s="57"/>
      <c r="D70" s="183"/>
      <c r="E70" s="183"/>
      <c r="F70" s="183"/>
      <c r="G70" s="58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AN70" s="36" t="e">
        <f>VLOOKUP(I70,Sheet1!A:D,4,FALSE)</f>
        <v>#N/A</v>
      </c>
    </row>
    <row r="71" spans="1:40" s="36" customFormat="1" ht="14.25" x14ac:dyDescent="0.2">
      <c r="A71" s="57"/>
      <c r="D71" s="183"/>
      <c r="E71" s="183"/>
      <c r="F71" s="183"/>
      <c r="G71" s="58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AN71" s="36" t="e">
        <f>VLOOKUP(I71,Sheet1!A:D,4,FALSE)</f>
        <v>#N/A</v>
      </c>
    </row>
    <row r="72" spans="1:40" s="36" customFormat="1" ht="14.25" x14ac:dyDescent="0.2">
      <c r="A72" s="57"/>
      <c r="D72" s="183"/>
      <c r="E72" s="183"/>
      <c r="F72" s="183"/>
      <c r="G72" s="58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AN72" s="36" t="e">
        <f>VLOOKUP(I72,Sheet1!A:D,4,FALSE)</f>
        <v>#N/A</v>
      </c>
    </row>
    <row r="73" spans="1:40" s="36" customFormat="1" ht="14.25" x14ac:dyDescent="0.2">
      <c r="A73" s="57"/>
      <c r="D73" s="183"/>
      <c r="E73" s="183"/>
      <c r="F73" s="183"/>
      <c r="G73" s="58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AN73" s="36" t="e">
        <f>VLOOKUP(I73,Sheet1!A:D,4,FALSE)</f>
        <v>#N/A</v>
      </c>
    </row>
    <row r="74" spans="1:40" s="36" customFormat="1" ht="14.25" x14ac:dyDescent="0.2">
      <c r="A74" s="57"/>
      <c r="D74" s="183"/>
      <c r="E74" s="183"/>
      <c r="F74" s="183"/>
      <c r="G74" s="58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AN74" s="36" t="e">
        <f>VLOOKUP(I74,Sheet1!A:D,4,FALSE)</f>
        <v>#N/A</v>
      </c>
    </row>
    <row r="75" spans="1:40" s="36" customFormat="1" ht="14.25" x14ac:dyDescent="0.2">
      <c r="A75" s="57"/>
      <c r="D75" s="183"/>
      <c r="E75" s="183"/>
      <c r="F75" s="183"/>
      <c r="G75" s="58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AN75" s="36" t="e">
        <f>VLOOKUP(I75,Sheet1!A:D,4,FALSE)</f>
        <v>#N/A</v>
      </c>
    </row>
    <row r="76" spans="1:40" s="36" customFormat="1" ht="14.25" x14ac:dyDescent="0.2">
      <c r="A76" s="57"/>
      <c r="D76" s="183"/>
      <c r="E76" s="183"/>
      <c r="F76" s="183"/>
      <c r="G76" s="58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AN76" s="36" t="e">
        <f>VLOOKUP(I76,Sheet1!A:D,4,FALSE)</f>
        <v>#N/A</v>
      </c>
    </row>
    <row r="77" spans="1:40" s="36" customFormat="1" ht="14.25" x14ac:dyDescent="0.2">
      <c r="A77" s="57"/>
      <c r="D77" s="183"/>
      <c r="E77" s="183"/>
      <c r="F77" s="183"/>
      <c r="G77" s="58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AN77" s="36" t="e">
        <f>VLOOKUP(I77,Sheet1!A:D,4,FALSE)</f>
        <v>#N/A</v>
      </c>
    </row>
    <row r="78" spans="1:40" s="36" customFormat="1" ht="14.25" x14ac:dyDescent="0.2">
      <c r="A78" s="57"/>
      <c r="D78" s="183"/>
      <c r="E78" s="183"/>
      <c r="F78" s="183"/>
      <c r="G78" s="58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AN78" s="36" t="e">
        <f>VLOOKUP(I78,Sheet1!A:D,4,FALSE)</f>
        <v>#N/A</v>
      </c>
    </row>
    <row r="79" spans="1:40" s="36" customFormat="1" ht="14.25" x14ac:dyDescent="0.2">
      <c r="A79" s="57"/>
      <c r="D79" s="183"/>
      <c r="E79" s="183"/>
      <c r="F79" s="183"/>
      <c r="G79" s="58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AN79" s="36" t="e">
        <f>VLOOKUP(I79,Sheet1!A:D,4,FALSE)</f>
        <v>#N/A</v>
      </c>
    </row>
    <row r="80" spans="1:40" s="36" customFormat="1" ht="14.25" x14ac:dyDescent="0.2">
      <c r="A80" s="57"/>
      <c r="D80" s="183"/>
      <c r="E80" s="183"/>
      <c r="F80" s="183"/>
      <c r="G80" s="58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AN80" s="36" t="e">
        <f>VLOOKUP(I80,Sheet1!A:D,4,FALSE)</f>
        <v>#N/A</v>
      </c>
    </row>
    <row r="81" spans="1:40" s="36" customFormat="1" ht="14.25" x14ac:dyDescent="0.2">
      <c r="A81" s="57"/>
      <c r="D81" s="183"/>
      <c r="E81" s="183"/>
      <c r="F81" s="183"/>
      <c r="G81" s="58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AN81" s="36" t="e">
        <f>VLOOKUP(I81,Sheet1!A:D,4,FALSE)</f>
        <v>#N/A</v>
      </c>
    </row>
    <row r="82" spans="1:40" s="36" customFormat="1" ht="14.25" x14ac:dyDescent="0.2">
      <c r="A82" s="57"/>
      <c r="D82" s="183"/>
      <c r="E82" s="183"/>
      <c r="F82" s="183"/>
      <c r="G82" s="58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AN82" s="36" t="e">
        <f>VLOOKUP(I82,Sheet1!A:D,4,FALSE)</f>
        <v>#N/A</v>
      </c>
    </row>
    <row r="83" spans="1:40" s="36" customFormat="1" ht="14.25" x14ac:dyDescent="0.2">
      <c r="A83" s="57"/>
      <c r="D83" s="183"/>
      <c r="E83" s="183"/>
      <c r="F83" s="183"/>
      <c r="G83" s="58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AN83" s="36" t="e">
        <f>VLOOKUP(I83,Sheet1!A:D,4,FALSE)</f>
        <v>#N/A</v>
      </c>
    </row>
    <row r="84" spans="1:40" s="36" customFormat="1" ht="14.25" x14ac:dyDescent="0.2">
      <c r="A84" s="57"/>
      <c r="D84" s="183"/>
      <c r="E84" s="183"/>
      <c r="F84" s="183"/>
      <c r="G84" s="58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AN84" s="36" t="e">
        <f>VLOOKUP(I84,Sheet1!A:D,4,FALSE)</f>
        <v>#N/A</v>
      </c>
    </row>
    <row r="85" spans="1:40" s="36" customFormat="1" ht="14.25" x14ac:dyDescent="0.2">
      <c r="A85" s="57"/>
      <c r="D85" s="183"/>
      <c r="E85" s="183"/>
      <c r="F85" s="183"/>
      <c r="G85" s="58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AN85" s="36" t="e">
        <f>VLOOKUP(I85,Sheet1!A:D,4,FALSE)</f>
        <v>#N/A</v>
      </c>
    </row>
    <row r="86" spans="1:40" s="36" customFormat="1" ht="14.25" x14ac:dyDescent="0.2">
      <c r="A86" s="57"/>
      <c r="D86" s="183"/>
      <c r="E86" s="183"/>
      <c r="F86" s="183"/>
      <c r="G86" s="58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AN86" s="36" t="e">
        <f>VLOOKUP(I86,Sheet1!A:D,4,FALSE)</f>
        <v>#N/A</v>
      </c>
    </row>
    <row r="87" spans="1:40" s="36" customFormat="1" ht="14.25" x14ac:dyDescent="0.2">
      <c r="A87" s="57"/>
      <c r="D87" s="183"/>
      <c r="E87" s="183"/>
      <c r="F87" s="183"/>
      <c r="G87" s="58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AN87" s="36" t="e">
        <f>VLOOKUP(I87,Sheet1!A:D,4,FALSE)</f>
        <v>#N/A</v>
      </c>
    </row>
    <row r="88" spans="1:40" s="36" customFormat="1" ht="14.25" x14ac:dyDescent="0.2">
      <c r="A88" s="57"/>
      <c r="D88" s="183"/>
      <c r="E88" s="183"/>
      <c r="F88" s="183"/>
      <c r="G88" s="58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AN88" s="36" t="e">
        <f>VLOOKUP(I88,Sheet1!A:D,4,FALSE)</f>
        <v>#N/A</v>
      </c>
    </row>
    <row r="89" spans="1:40" s="36" customFormat="1" ht="14.25" x14ac:dyDescent="0.2">
      <c r="A89" s="57"/>
      <c r="D89" s="183"/>
      <c r="E89" s="183"/>
      <c r="F89" s="183"/>
      <c r="G89" s="58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AN89" s="36" t="e">
        <f>VLOOKUP(I89,Sheet1!A:D,4,FALSE)</f>
        <v>#N/A</v>
      </c>
    </row>
    <row r="90" spans="1:40" s="36" customFormat="1" ht="14.25" x14ac:dyDescent="0.2">
      <c r="A90" s="57"/>
      <c r="D90" s="183"/>
      <c r="E90" s="183"/>
      <c r="F90" s="183"/>
      <c r="G90" s="58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AN90" s="36" t="e">
        <f>VLOOKUP(I90,Sheet1!A:D,4,FALSE)</f>
        <v>#N/A</v>
      </c>
    </row>
    <row r="91" spans="1:40" s="36" customFormat="1" ht="14.25" x14ac:dyDescent="0.2">
      <c r="A91" s="57"/>
      <c r="D91" s="183"/>
      <c r="E91" s="183"/>
      <c r="F91" s="183"/>
      <c r="G91" s="58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AN91" s="36" t="e">
        <f>VLOOKUP(I91,Sheet1!A:D,4,FALSE)</f>
        <v>#N/A</v>
      </c>
    </row>
    <row r="92" spans="1:40" s="36" customFormat="1" ht="14.25" x14ac:dyDescent="0.2">
      <c r="A92" s="57"/>
      <c r="D92" s="183"/>
      <c r="E92" s="183"/>
      <c r="F92" s="183"/>
      <c r="G92" s="58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AN92" s="36" t="e">
        <f>VLOOKUP(I92,Sheet1!A:D,4,FALSE)</f>
        <v>#N/A</v>
      </c>
    </row>
    <row r="93" spans="1:40" s="36" customFormat="1" ht="14.25" x14ac:dyDescent="0.2">
      <c r="A93" s="57"/>
      <c r="D93" s="183"/>
      <c r="E93" s="183"/>
      <c r="F93" s="183"/>
      <c r="G93" s="58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AN93" s="36" t="e">
        <f>VLOOKUP(I93,Sheet1!A:D,4,FALSE)</f>
        <v>#N/A</v>
      </c>
    </row>
    <row r="94" spans="1:40" s="36" customFormat="1" ht="14.25" x14ac:dyDescent="0.2">
      <c r="A94" s="57"/>
      <c r="D94" s="183"/>
      <c r="E94" s="183"/>
      <c r="F94" s="183"/>
      <c r="G94" s="58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AN94" s="36" t="e">
        <f>VLOOKUP(I94,Sheet1!A:D,4,FALSE)</f>
        <v>#N/A</v>
      </c>
    </row>
    <row r="95" spans="1:40" s="36" customFormat="1" ht="14.25" x14ac:dyDescent="0.2">
      <c r="A95" s="57"/>
      <c r="D95" s="183"/>
      <c r="E95" s="183"/>
      <c r="F95" s="183"/>
      <c r="G95" s="58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AN95" s="36" t="e">
        <f>VLOOKUP(I95,Sheet1!A:D,4,FALSE)</f>
        <v>#N/A</v>
      </c>
    </row>
    <row r="96" spans="1:40" s="36" customFormat="1" ht="14.25" x14ac:dyDescent="0.2">
      <c r="A96" s="57"/>
      <c r="D96" s="183"/>
      <c r="E96" s="183"/>
      <c r="F96" s="183"/>
      <c r="G96" s="58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AN96" s="36" t="e">
        <f>VLOOKUP(I96,Sheet1!A:D,4,FALSE)</f>
        <v>#N/A</v>
      </c>
    </row>
    <row r="97" spans="1:40" s="36" customFormat="1" ht="14.25" x14ac:dyDescent="0.2">
      <c r="A97" s="57"/>
      <c r="D97" s="183"/>
      <c r="E97" s="183"/>
      <c r="F97" s="183"/>
      <c r="G97" s="58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AN97" s="36" t="e">
        <f>VLOOKUP(I97,Sheet1!A:D,4,FALSE)</f>
        <v>#N/A</v>
      </c>
    </row>
    <row r="98" spans="1:40" s="36" customFormat="1" ht="14.25" x14ac:dyDescent="0.2">
      <c r="A98" s="57"/>
      <c r="D98" s="183"/>
      <c r="E98" s="183"/>
      <c r="F98" s="183"/>
      <c r="G98" s="58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AN98" s="36" t="e">
        <f>VLOOKUP(I98,Sheet1!A:D,4,FALSE)</f>
        <v>#N/A</v>
      </c>
    </row>
    <row r="99" spans="1:40" s="36" customFormat="1" ht="14.25" x14ac:dyDescent="0.2">
      <c r="A99" s="57"/>
      <c r="D99" s="183"/>
      <c r="E99" s="183"/>
      <c r="F99" s="183"/>
      <c r="G99" s="58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AN99" s="36" t="e">
        <f>VLOOKUP(I99,Sheet1!A:D,4,FALSE)</f>
        <v>#N/A</v>
      </c>
    </row>
    <row r="100" spans="1:40" s="36" customFormat="1" ht="14.25" x14ac:dyDescent="0.2">
      <c r="A100" s="57"/>
      <c r="D100" s="183"/>
      <c r="E100" s="183"/>
      <c r="F100" s="183"/>
      <c r="G100" s="58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AN100" s="36" t="e">
        <f>VLOOKUP(I100,Sheet1!A:D,4,FALSE)</f>
        <v>#N/A</v>
      </c>
    </row>
    <row r="101" spans="1:40" s="36" customFormat="1" ht="14.25" x14ac:dyDescent="0.2">
      <c r="A101" s="57"/>
      <c r="D101" s="183"/>
      <c r="E101" s="183"/>
      <c r="F101" s="183"/>
      <c r="G101" s="58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AN101" s="36" t="e">
        <f>VLOOKUP(I101,Sheet1!A:D,4,FALSE)</f>
        <v>#N/A</v>
      </c>
    </row>
    <row r="102" spans="1:40" s="36" customFormat="1" ht="14.25" x14ac:dyDescent="0.2">
      <c r="A102" s="57"/>
      <c r="D102" s="183"/>
      <c r="E102" s="183"/>
      <c r="F102" s="183"/>
      <c r="G102" s="58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AN102" s="36" t="e">
        <f>VLOOKUP(I102,Sheet1!A:D,4,FALSE)</f>
        <v>#N/A</v>
      </c>
    </row>
    <row r="103" spans="1:40" s="36" customFormat="1" ht="14.25" x14ac:dyDescent="0.2">
      <c r="A103" s="57"/>
      <c r="D103" s="183"/>
      <c r="E103" s="183"/>
      <c r="F103" s="183"/>
      <c r="G103" s="58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AN103" s="36" t="e">
        <f>VLOOKUP(I103,Sheet1!A:D,4,FALSE)</f>
        <v>#N/A</v>
      </c>
    </row>
    <row r="104" spans="1:40" s="36" customFormat="1" ht="14.25" x14ac:dyDescent="0.2">
      <c r="A104" s="57"/>
      <c r="D104" s="183"/>
      <c r="E104" s="183"/>
      <c r="F104" s="183"/>
      <c r="G104" s="58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AN104" s="36" t="e">
        <f>VLOOKUP(I104,Sheet1!A:D,4,FALSE)</f>
        <v>#N/A</v>
      </c>
    </row>
    <row r="105" spans="1:40" s="36" customFormat="1" ht="14.25" x14ac:dyDescent="0.2">
      <c r="A105" s="57"/>
      <c r="D105" s="183"/>
      <c r="E105" s="183"/>
      <c r="F105" s="183"/>
      <c r="G105" s="58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AN105" s="36" t="e">
        <f>VLOOKUP(I105,Sheet1!A:D,4,FALSE)</f>
        <v>#N/A</v>
      </c>
    </row>
    <row r="106" spans="1:40" s="36" customFormat="1" ht="14.25" x14ac:dyDescent="0.2">
      <c r="A106" s="57"/>
      <c r="D106" s="183"/>
      <c r="E106" s="183"/>
      <c r="F106" s="183"/>
      <c r="G106" s="58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AN106" s="36" t="e">
        <f>VLOOKUP(I106,Sheet1!A:D,4,FALSE)</f>
        <v>#N/A</v>
      </c>
    </row>
    <row r="107" spans="1:40" s="36" customFormat="1" ht="14.25" x14ac:dyDescent="0.2">
      <c r="A107" s="57"/>
      <c r="D107" s="183"/>
      <c r="E107" s="183"/>
      <c r="F107" s="183"/>
      <c r="G107" s="58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AN107" s="36" t="e">
        <f>VLOOKUP(I107,Sheet1!A:D,4,FALSE)</f>
        <v>#N/A</v>
      </c>
    </row>
    <row r="108" spans="1:40" s="36" customFormat="1" ht="14.25" x14ac:dyDescent="0.2">
      <c r="A108" s="57"/>
      <c r="D108" s="183"/>
      <c r="E108" s="183"/>
      <c r="F108" s="183"/>
      <c r="G108" s="58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AN108" s="36" t="e">
        <f>VLOOKUP(I108,Sheet1!A:D,4,FALSE)</f>
        <v>#N/A</v>
      </c>
    </row>
    <row r="109" spans="1:40" s="36" customFormat="1" ht="14.25" x14ac:dyDescent="0.2">
      <c r="A109" s="57"/>
      <c r="D109" s="183"/>
      <c r="E109" s="183"/>
      <c r="F109" s="183"/>
      <c r="G109" s="58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AN109" s="36" t="e">
        <f>VLOOKUP(I109,Sheet1!A:D,4,FALSE)</f>
        <v>#N/A</v>
      </c>
    </row>
    <row r="110" spans="1:40" s="36" customFormat="1" ht="14.25" x14ac:dyDescent="0.2">
      <c r="A110" s="57"/>
      <c r="D110" s="183"/>
      <c r="E110" s="183"/>
      <c r="F110" s="183"/>
      <c r="G110" s="58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AN110" s="36" t="e">
        <f>VLOOKUP(I110,Sheet1!A:D,4,FALSE)</f>
        <v>#N/A</v>
      </c>
    </row>
    <row r="111" spans="1:40" s="36" customFormat="1" ht="14.25" x14ac:dyDescent="0.2">
      <c r="A111" s="57"/>
      <c r="D111" s="183"/>
      <c r="E111" s="183"/>
      <c r="F111" s="183"/>
      <c r="G111" s="58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AN111" s="36" t="e">
        <f>VLOOKUP(I111,Sheet1!A:D,4,FALSE)</f>
        <v>#N/A</v>
      </c>
    </row>
    <row r="112" spans="1:40" s="36" customFormat="1" ht="14.25" x14ac:dyDescent="0.2">
      <c r="A112" s="57"/>
      <c r="D112" s="183"/>
      <c r="E112" s="183"/>
      <c r="F112" s="183"/>
      <c r="G112" s="58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AN112" s="36" t="e">
        <f>VLOOKUP(I112,Sheet1!A:D,4,FALSE)</f>
        <v>#N/A</v>
      </c>
    </row>
    <row r="113" spans="1:40" s="36" customFormat="1" ht="14.25" x14ac:dyDescent="0.2">
      <c r="A113" s="57"/>
      <c r="D113" s="183"/>
      <c r="E113" s="183"/>
      <c r="F113" s="183"/>
      <c r="G113" s="58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AN113" s="36" t="e">
        <f>VLOOKUP(I113,Sheet1!A:D,4,FALSE)</f>
        <v>#N/A</v>
      </c>
    </row>
    <row r="114" spans="1:40" s="36" customFormat="1" ht="14.25" x14ac:dyDescent="0.2">
      <c r="A114" s="57"/>
      <c r="D114" s="183"/>
      <c r="E114" s="183"/>
      <c r="F114" s="183"/>
      <c r="G114" s="58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AN114" s="36" t="e">
        <f>VLOOKUP(I114,Sheet1!A:D,4,FALSE)</f>
        <v>#N/A</v>
      </c>
    </row>
    <row r="115" spans="1:40" s="36" customFormat="1" ht="14.25" x14ac:dyDescent="0.2">
      <c r="A115" s="57"/>
      <c r="D115" s="183"/>
      <c r="E115" s="183"/>
      <c r="F115" s="183"/>
      <c r="G115" s="58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AN115" s="36" t="e">
        <f>VLOOKUP(I115,Sheet1!A:D,4,FALSE)</f>
        <v>#N/A</v>
      </c>
    </row>
    <row r="116" spans="1:40" s="36" customFormat="1" ht="14.25" x14ac:dyDescent="0.2">
      <c r="A116" s="57"/>
      <c r="D116" s="183"/>
      <c r="E116" s="183"/>
      <c r="F116" s="183"/>
      <c r="G116" s="58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AN116" s="36" t="e">
        <f>VLOOKUP(I116,Sheet1!A:D,4,FALSE)</f>
        <v>#N/A</v>
      </c>
    </row>
    <row r="117" spans="1:40" s="36" customFormat="1" ht="14.25" x14ac:dyDescent="0.2">
      <c r="A117" s="57"/>
      <c r="D117" s="183"/>
      <c r="E117" s="183"/>
      <c r="F117" s="183"/>
      <c r="G117" s="58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AN117" s="36" t="e">
        <f>VLOOKUP(I117,Sheet1!A:D,4,FALSE)</f>
        <v>#N/A</v>
      </c>
    </row>
    <row r="118" spans="1:40" s="36" customFormat="1" ht="14.25" x14ac:dyDescent="0.2">
      <c r="A118" s="57"/>
      <c r="D118" s="183"/>
      <c r="E118" s="183"/>
      <c r="F118" s="183"/>
      <c r="G118" s="58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AN118" s="36" t="e">
        <f>VLOOKUP(I118,Sheet1!A:D,4,FALSE)</f>
        <v>#N/A</v>
      </c>
    </row>
    <row r="119" spans="1:40" s="36" customFormat="1" ht="14.25" x14ac:dyDescent="0.2">
      <c r="A119" s="57"/>
      <c r="D119" s="183"/>
      <c r="E119" s="183"/>
      <c r="F119" s="183"/>
      <c r="G119" s="58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AN119" s="36" t="e">
        <f>VLOOKUP(I119,Sheet1!A:D,4,FALSE)</f>
        <v>#N/A</v>
      </c>
    </row>
    <row r="120" spans="1:40" s="36" customFormat="1" ht="14.25" x14ac:dyDescent="0.2">
      <c r="A120" s="57"/>
      <c r="D120" s="183"/>
      <c r="E120" s="183"/>
      <c r="F120" s="183"/>
      <c r="G120" s="58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AN120" s="36" t="e">
        <f>VLOOKUP(I120,Sheet1!A:D,4,FALSE)</f>
        <v>#N/A</v>
      </c>
    </row>
    <row r="121" spans="1:40" s="36" customFormat="1" ht="14.25" x14ac:dyDescent="0.2">
      <c r="A121" s="57"/>
      <c r="D121" s="183"/>
      <c r="E121" s="183"/>
      <c r="F121" s="183"/>
      <c r="G121" s="58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AN121" s="36" t="e">
        <f>VLOOKUP(I121,Sheet1!A:D,4,FALSE)</f>
        <v>#N/A</v>
      </c>
    </row>
    <row r="122" spans="1:40" s="36" customFormat="1" ht="14.25" x14ac:dyDescent="0.2">
      <c r="A122" s="57"/>
      <c r="D122" s="183"/>
      <c r="E122" s="183"/>
      <c r="F122" s="183"/>
      <c r="G122" s="58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AN122" s="36" t="e">
        <f>VLOOKUP(I122,Sheet1!A:D,4,FALSE)</f>
        <v>#N/A</v>
      </c>
    </row>
    <row r="123" spans="1:40" s="36" customFormat="1" ht="14.25" x14ac:dyDescent="0.2">
      <c r="A123" s="57"/>
      <c r="D123" s="183"/>
      <c r="E123" s="183"/>
      <c r="F123" s="183"/>
      <c r="G123" s="58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AN123" s="36" t="e">
        <f>VLOOKUP(I123,Sheet1!A:D,4,FALSE)</f>
        <v>#N/A</v>
      </c>
    </row>
    <row r="124" spans="1:40" s="36" customFormat="1" ht="14.25" x14ac:dyDescent="0.2">
      <c r="A124" s="57"/>
      <c r="D124" s="183"/>
      <c r="E124" s="183"/>
      <c r="F124" s="183"/>
      <c r="G124" s="58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AN124" s="36" t="e">
        <f>VLOOKUP(I124,Sheet1!A:D,4,FALSE)</f>
        <v>#N/A</v>
      </c>
    </row>
    <row r="125" spans="1:40" s="36" customFormat="1" ht="14.25" x14ac:dyDescent="0.2">
      <c r="A125" s="57"/>
      <c r="D125" s="183"/>
      <c r="E125" s="183"/>
      <c r="F125" s="183"/>
      <c r="G125" s="58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AN125" s="36" t="e">
        <f>VLOOKUP(I125,Sheet1!A:D,4,FALSE)</f>
        <v>#N/A</v>
      </c>
    </row>
    <row r="126" spans="1:40" s="36" customFormat="1" ht="14.25" x14ac:dyDescent="0.2">
      <c r="A126" s="57"/>
      <c r="D126" s="183"/>
      <c r="E126" s="183"/>
      <c r="F126" s="183"/>
      <c r="G126" s="58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AN126" s="36" t="e">
        <f>VLOOKUP(I126,Sheet1!A:D,4,FALSE)</f>
        <v>#N/A</v>
      </c>
    </row>
    <row r="127" spans="1:40" s="36" customFormat="1" ht="14.25" x14ac:dyDescent="0.2">
      <c r="A127" s="57"/>
      <c r="D127" s="183"/>
      <c r="E127" s="183"/>
      <c r="F127" s="183"/>
      <c r="G127" s="58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AN127" s="36" t="e">
        <f>VLOOKUP(I127,Sheet1!A:D,4,FALSE)</f>
        <v>#N/A</v>
      </c>
    </row>
    <row r="128" spans="1:40" s="36" customFormat="1" ht="14.25" x14ac:dyDescent="0.2">
      <c r="A128" s="57"/>
      <c r="D128" s="183"/>
      <c r="E128" s="183"/>
      <c r="F128" s="183"/>
      <c r="G128" s="58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AN128" s="36" t="e">
        <f>VLOOKUP(I128,Sheet1!A:D,4,FALSE)</f>
        <v>#N/A</v>
      </c>
    </row>
    <row r="129" spans="1:40" s="36" customFormat="1" ht="14.25" x14ac:dyDescent="0.2">
      <c r="A129" s="57"/>
      <c r="D129" s="183"/>
      <c r="E129" s="183"/>
      <c r="F129" s="183"/>
      <c r="G129" s="58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AN129" s="36" t="e">
        <f>VLOOKUP(I129,Sheet1!A:D,4,FALSE)</f>
        <v>#N/A</v>
      </c>
    </row>
    <row r="130" spans="1:40" s="36" customFormat="1" ht="14.25" x14ac:dyDescent="0.2">
      <c r="A130" s="57"/>
      <c r="D130" s="183"/>
      <c r="E130" s="183"/>
      <c r="F130" s="183"/>
      <c r="G130" s="58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AN130" s="36" t="e">
        <f>VLOOKUP(I130,Sheet1!A:D,4,FALSE)</f>
        <v>#N/A</v>
      </c>
    </row>
    <row r="131" spans="1:40" s="36" customFormat="1" ht="14.25" x14ac:dyDescent="0.2">
      <c r="A131" s="57"/>
      <c r="D131" s="183"/>
      <c r="E131" s="183"/>
      <c r="F131" s="183"/>
      <c r="G131" s="58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AN131" s="36" t="e">
        <f>VLOOKUP(I131,Sheet1!A:D,4,FALSE)</f>
        <v>#N/A</v>
      </c>
    </row>
    <row r="132" spans="1:40" s="36" customFormat="1" ht="14.25" x14ac:dyDescent="0.2">
      <c r="A132" s="57"/>
      <c r="D132" s="183"/>
      <c r="E132" s="183"/>
      <c r="F132" s="183"/>
      <c r="G132" s="58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AN132" s="36" t="e">
        <f>VLOOKUP(I132,Sheet1!A:D,4,FALSE)</f>
        <v>#N/A</v>
      </c>
    </row>
    <row r="133" spans="1:40" s="36" customFormat="1" ht="14.25" x14ac:dyDescent="0.2">
      <c r="A133" s="57"/>
      <c r="D133" s="183"/>
      <c r="E133" s="183"/>
      <c r="F133" s="183"/>
      <c r="G133" s="58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AN133" s="36" t="e">
        <f>VLOOKUP(I133,Sheet1!A:D,4,FALSE)</f>
        <v>#N/A</v>
      </c>
    </row>
    <row r="134" spans="1:40" s="62" customFormat="1" ht="14.25" x14ac:dyDescent="0.2">
      <c r="A134" s="61"/>
      <c r="D134" s="184"/>
      <c r="E134" s="184"/>
      <c r="F134" s="184"/>
      <c r="G134" s="63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AN134" s="62" t="e">
        <f>VLOOKUP(I134,Sheet1!A:D,4,FALSE)</f>
        <v>#N/A</v>
      </c>
    </row>
    <row r="135" spans="1:40" s="62" customFormat="1" ht="14.25" x14ac:dyDescent="0.2">
      <c r="A135" s="61"/>
      <c r="D135" s="184"/>
      <c r="E135" s="184"/>
      <c r="F135" s="184"/>
      <c r="G135" s="63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AN135" s="62" t="e">
        <f>VLOOKUP(I135,Sheet1!A:D,4,FALSE)</f>
        <v>#N/A</v>
      </c>
    </row>
    <row r="136" spans="1:40" s="62" customFormat="1" ht="14.25" x14ac:dyDescent="0.2">
      <c r="A136" s="61"/>
      <c r="D136" s="184"/>
      <c r="E136" s="184"/>
      <c r="F136" s="184"/>
      <c r="G136" s="63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AN136" s="62" t="e">
        <f>VLOOKUP(I136,Sheet1!A:D,4,FALSE)</f>
        <v>#N/A</v>
      </c>
    </row>
    <row r="137" spans="1:40" s="62" customFormat="1" ht="14.25" x14ac:dyDescent="0.2">
      <c r="A137" s="61"/>
      <c r="D137" s="184"/>
      <c r="E137" s="184"/>
      <c r="F137" s="184"/>
      <c r="G137" s="63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AN137" s="62" t="e">
        <f>VLOOKUP(I137,Sheet1!A:D,4,FALSE)</f>
        <v>#N/A</v>
      </c>
    </row>
    <row r="138" spans="1:40" s="62" customFormat="1" ht="14.25" x14ac:dyDescent="0.2">
      <c r="A138" s="61"/>
      <c r="D138" s="184"/>
      <c r="E138" s="184"/>
      <c r="F138" s="184"/>
      <c r="G138" s="63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AN138" s="62" t="e">
        <f>VLOOKUP(I138,Sheet1!A:D,4,FALSE)</f>
        <v>#N/A</v>
      </c>
    </row>
    <row r="139" spans="1:40" s="62" customFormat="1" ht="14.25" x14ac:dyDescent="0.2">
      <c r="A139" s="61"/>
      <c r="D139" s="184"/>
      <c r="E139" s="184"/>
      <c r="F139" s="184"/>
      <c r="G139" s="63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AN139" s="62" t="e">
        <f>VLOOKUP(I139,Sheet1!A:D,4,FALSE)</f>
        <v>#N/A</v>
      </c>
    </row>
    <row r="140" spans="1:40" s="62" customFormat="1" ht="14.25" x14ac:dyDescent="0.2">
      <c r="A140" s="61"/>
      <c r="D140" s="184"/>
      <c r="E140" s="184"/>
      <c r="F140" s="184"/>
      <c r="G140" s="63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AN140" s="62" t="e">
        <f>VLOOKUP(I140,Sheet1!A:D,4,FALSE)</f>
        <v>#N/A</v>
      </c>
    </row>
    <row r="141" spans="1:40" s="62" customFormat="1" ht="14.25" x14ac:dyDescent="0.2">
      <c r="A141" s="61"/>
      <c r="D141" s="184"/>
      <c r="E141" s="184"/>
      <c r="F141" s="184"/>
      <c r="G141" s="63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AN141" s="62" t="e">
        <f>VLOOKUP(I141,Sheet1!A:D,4,FALSE)</f>
        <v>#N/A</v>
      </c>
    </row>
    <row r="142" spans="1:40" s="62" customFormat="1" ht="14.25" x14ac:dyDescent="0.2">
      <c r="A142" s="61"/>
      <c r="D142" s="184"/>
      <c r="E142" s="184"/>
      <c r="F142" s="184"/>
      <c r="G142" s="63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AN142" s="62" t="e">
        <f>VLOOKUP(I142,Sheet1!A:D,4,FALSE)</f>
        <v>#N/A</v>
      </c>
    </row>
    <row r="143" spans="1:40" s="62" customFormat="1" ht="14.25" x14ac:dyDescent="0.2">
      <c r="A143" s="61"/>
      <c r="D143" s="184"/>
      <c r="E143" s="184"/>
      <c r="F143" s="184"/>
      <c r="G143" s="63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AN143" s="62" t="e">
        <f>VLOOKUP(I143,Sheet1!A:D,4,FALSE)</f>
        <v>#N/A</v>
      </c>
    </row>
    <row r="144" spans="1:40" s="62" customFormat="1" ht="14.25" x14ac:dyDescent="0.2">
      <c r="A144" s="61"/>
      <c r="D144" s="184"/>
      <c r="E144" s="184"/>
      <c r="F144" s="184"/>
      <c r="G144" s="63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AN144" s="62" t="e">
        <f>VLOOKUP(I144,Sheet1!A:D,4,FALSE)</f>
        <v>#N/A</v>
      </c>
    </row>
    <row r="145" spans="1:40" s="62" customFormat="1" ht="14.25" x14ac:dyDescent="0.2">
      <c r="A145" s="61"/>
      <c r="D145" s="184"/>
      <c r="E145" s="184"/>
      <c r="F145" s="184"/>
      <c r="G145" s="63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AN145" s="62" t="e">
        <f>VLOOKUP(I145,Sheet1!A:D,4,FALSE)</f>
        <v>#N/A</v>
      </c>
    </row>
    <row r="146" spans="1:40" s="62" customFormat="1" ht="14.25" x14ac:dyDescent="0.2">
      <c r="A146" s="61"/>
      <c r="D146" s="184"/>
      <c r="E146" s="184"/>
      <c r="F146" s="184"/>
      <c r="G146" s="63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AN146" s="62" t="e">
        <f>VLOOKUP(I146,Sheet1!A:D,4,FALSE)</f>
        <v>#N/A</v>
      </c>
    </row>
    <row r="147" spans="1:40" s="62" customFormat="1" ht="14.25" x14ac:dyDescent="0.2">
      <c r="A147" s="61"/>
      <c r="D147" s="184"/>
      <c r="E147" s="184"/>
      <c r="F147" s="184"/>
      <c r="G147" s="63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AN147" s="62" t="e">
        <f>VLOOKUP(I147,Sheet1!A:D,4,FALSE)</f>
        <v>#N/A</v>
      </c>
    </row>
    <row r="148" spans="1:40" s="62" customFormat="1" ht="14.25" x14ac:dyDescent="0.2">
      <c r="A148" s="61"/>
      <c r="D148" s="184"/>
      <c r="E148" s="184"/>
      <c r="F148" s="184"/>
      <c r="G148" s="63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</row>
    <row r="149" spans="1:40" s="62" customFormat="1" ht="14.25" x14ac:dyDescent="0.2">
      <c r="A149" s="61"/>
      <c r="D149" s="184"/>
      <c r="E149" s="184"/>
      <c r="F149" s="184"/>
      <c r="G149" s="63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</row>
    <row r="150" spans="1:40" s="62" customFormat="1" ht="14.25" x14ac:dyDescent="0.2">
      <c r="A150" s="61"/>
      <c r="D150" s="184"/>
      <c r="E150" s="184"/>
      <c r="F150" s="184"/>
      <c r="G150" s="63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</row>
    <row r="151" spans="1:40" s="62" customFormat="1" ht="14.25" x14ac:dyDescent="0.2">
      <c r="A151" s="61"/>
      <c r="D151" s="184"/>
      <c r="E151" s="184"/>
      <c r="F151" s="184"/>
      <c r="G151" s="63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</row>
    <row r="152" spans="1:40" s="62" customFormat="1" ht="14.25" x14ac:dyDescent="0.2">
      <c r="A152" s="61"/>
      <c r="D152" s="184"/>
      <c r="E152" s="184"/>
      <c r="F152" s="184"/>
      <c r="G152" s="63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</row>
    <row r="153" spans="1:40" s="62" customFormat="1" ht="14.25" x14ac:dyDescent="0.2">
      <c r="A153" s="61"/>
      <c r="D153" s="184"/>
      <c r="E153" s="184"/>
      <c r="F153" s="184"/>
      <c r="G153" s="63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</row>
    <row r="154" spans="1:40" s="62" customFormat="1" ht="14.25" x14ac:dyDescent="0.2">
      <c r="A154" s="61"/>
      <c r="D154" s="184"/>
      <c r="E154" s="184"/>
      <c r="F154" s="184"/>
      <c r="G154" s="63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</row>
    <row r="155" spans="1:40" s="62" customFormat="1" ht="14.25" x14ac:dyDescent="0.2">
      <c r="A155" s="61"/>
      <c r="D155" s="184"/>
      <c r="E155" s="184"/>
      <c r="F155" s="184"/>
      <c r="G155" s="63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</row>
    <row r="156" spans="1:40" s="62" customFormat="1" ht="14.25" x14ac:dyDescent="0.2">
      <c r="A156" s="61"/>
      <c r="D156" s="184"/>
      <c r="E156" s="184"/>
      <c r="F156" s="184"/>
      <c r="G156" s="63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</row>
    <row r="157" spans="1:40" s="62" customFormat="1" ht="14.25" x14ac:dyDescent="0.2">
      <c r="A157" s="61"/>
      <c r="D157" s="184"/>
      <c r="E157" s="184"/>
      <c r="F157" s="184"/>
      <c r="G157" s="63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</row>
    <row r="158" spans="1:40" s="62" customFormat="1" ht="14.25" x14ac:dyDescent="0.2">
      <c r="A158" s="61"/>
      <c r="D158" s="184"/>
      <c r="E158" s="184"/>
      <c r="F158" s="184"/>
      <c r="G158" s="63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</row>
    <row r="159" spans="1:40" s="62" customFormat="1" ht="14.25" x14ac:dyDescent="0.2">
      <c r="A159" s="61"/>
      <c r="D159" s="184"/>
      <c r="E159" s="184"/>
      <c r="F159" s="184"/>
      <c r="G159" s="63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</row>
    <row r="160" spans="1:40" s="62" customFormat="1" ht="14.25" x14ac:dyDescent="0.2">
      <c r="A160" s="61"/>
      <c r="D160" s="184"/>
      <c r="E160" s="184"/>
      <c r="F160" s="184"/>
      <c r="G160" s="63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</row>
    <row r="161" spans="1:24" s="62" customFormat="1" ht="14.25" x14ac:dyDescent="0.2">
      <c r="A161" s="61"/>
      <c r="D161" s="184"/>
      <c r="E161" s="184"/>
      <c r="F161" s="184"/>
      <c r="G161" s="63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</row>
    <row r="162" spans="1:24" s="62" customFormat="1" ht="14.25" x14ac:dyDescent="0.2">
      <c r="A162" s="61"/>
      <c r="D162" s="184"/>
      <c r="E162" s="184"/>
      <c r="F162" s="184"/>
      <c r="G162" s="63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</row>
    <row r="163" spans="1:24" s="62" customFormat="1" ht="14.25" x14ac:dyDescent="0.2">
      <c r="A163" s="61"/>
      <c r="D163" s="184"/>
      <c r="E163" s="184"/>
      <c r="F163" s="184"/>
      <c r="G163" s="63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</row>
    <row r="164" spans="1:24" s="62" customFormat="1" ht="14.25" x14ac:dyDescent="0.2">
      <c r="A164" s="61"/>
      <c r="D164" s="184"/>
      <c r="E164" s="184"/>
      <c r="F164" s="184"/>
      <c r="G164" s="63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</row>
    <row r="165" spans="1:24" s="62" customFormat="1" ht="14.25" x14ac:dyDescent="0.2">
      <c r="A165" s="61"/>
      <c r="D165" s="184"/>
      <c r="E165" s="184"/>
      <c r="F165" s="184"/>
      <c r="G165" s="63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</row>
    <row r="166" spans="1:24" s="62" customFormat="1" ht="14.25" x14ac:dyDescent="0.2">
      <c r="A166" s="61"/>
      <c r="D166" s="184"/>
      <c r="E166" s="184"/>
      <c r="F166" s="184"/>
      <c r="G166" s="63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</row>
    <row r="167" spans="1:24" s="62" customFormat="1" ht="14.25" x14ac:dyDescent="0.2">
      <c r="A167" s="61"/>
      <c r="D167" s="184"/>
      <c r="E167" s="184"/>
      <c r="F167" s="184"/>
      <c r="G167" s="63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</row>
    <row r="168" spans="1:24" s="62" customFormat="1" ht="14.25" x14ac:dyDescent="0.2">
      <c r="A168" s="61"/>
      <c r="D168" s="184"/>
      <c r="E168" s="184"/>
      <c r="F168" s="184"/>
      <c r="G168" s="63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</row>
    <row r="169" spans="1:24" s="62" customFormat="1" ht="14.25" x14ac:dyDescent="0.2">
      <c r="A169" s="61"/>
      <c r="D169" s="184"/>
      <c r="E169" s="184"/>
      <c r="F169" s="184"/>
      <c r="G169" s="63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</row>
    <row r="170" spans="1:24" s="62" customFormat="1" ht="14.25" x14ac:dyDescent="0.2">
      <c r="A170" s="61"/>
      <c r="D170" s="184"/>
      <c r="E170" s="184"/>
      <c r="F170" s="184"/>
      <c r="G170" s="63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</row>
    <row r="171" spans="1:24" s="62" customFormat="1" ht="14.25" x14ac:dyDescent="0.2">
      <c r="A171" s="61"/>
      <c r="D171" s="184"/>
      <c r="E171" s="184"/>
      <c r="F171" s="184"/>
      <c r="G171" s="63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</row>
    <row r="172" spans="1:24" s="62" customFormat="1" ht="14.25" x14ac:dyDescent="0.2">
      <c r="A172" s="61"/>
      <c r="D172" s="184"/>
      <c r="E172" s="184"/>
      <c r="F172" s="184"/>
      <c r="G172" s="63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</row>
    <row r="173" spans="1:24" s="62" customFormat="1" ht="14.25" x14ac:dyDescent="0.2">
      <c r="A173" s="61"/>
      <c r="D173" s="184"/>
      <c r="E173" s="184"/>
      <c r="F173" s="184"/>
      <c r="G173" s="63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</row>
    <row r="174" spans="1:24" s="62" customFormat="1" ht="14.25" x14ac:dyDescent="0.2">
      <c r="A174" s="61"/>
      <c r="D174" s="184"/>
      <c r="E174" s="184"/>
      <c r="F174" s="184"/>
      <c r="G174" s="63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</row>
    <row r="175" spans="1:24" s="62" customFormat="1" ht="14.25" x14ac:dyDescent="0.2">
      <c r="A175" s="61"/>
      <c r="D175" s="184"/>
      <c r="E175" s="184"/>
      <c r="F175" s="184"/>
      <c r="G175" s="63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</row>
    <row r="176" spans="1:24" s="62" customFormat="1" ht="14.25" x14ac:dyDescent="0.2">
      <c r="A176" s="61"/>
      <c r="D176" s="184"/>
      <c r="E176" s="184"/>
      <c r="F176" s="184"/>
      <c r="G176" s="63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</row>
    <row r="177" spans="1:24" s="62" customFormat="1" ht="14.25" x14ac:dyDescent="0.2">
      <c r="A177" s="61"/>
      <c r="D177" s="184"/>
      <c r="E177" s="184"/>
      <c r="F177" s="184"/>
      <c r="G177" s="63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</row>
    <row r="178" spans="1:24" s="62" customFormat="1" ht="14.25" x14ac:dyDescent="0.2">
      <c r="A178" s="61"/>
      <c r="D178" s="184"/>
      <c r="E178" s="184"/>
      <c r="F178" s="184"/>
      <c r="G178" s="63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</row>
    <row r="179" spans="1:24" s="62" customFormat="1" ht="14.25" x14ac:dyDescent="0.2">
      <c r="A179" s="61"/>
      <c r="D179" s="184"/>
      <c r="E179" s="184"/>
      <c r="F179" s="184"/>
      <c r="G179" s="63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</row>
    <row r="180" spans="1:24" s="62" customFormat="1" ht="14.25" x14ac:dyDescent="0.2">
      <c r="A180" s="61"/>
      <c r="D180" s="184"/>
      <c r="E180" s="184"/>
      <c r="F180" s="184"/>
      <c r="G180" s="63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</row>
    <row r="181" spans="1:24" s="62" customFormat="1" ht="14.25" x14ac:dyDescent="0.2">
      <c r="A181" s="61"/>
      <c r="D181" s="184"/>
      <c r="E181" s="184"/>
      <c r="F181" s="184"/>
      <c r="G181" s="63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</row>
    <row r="182" spans="1:24" s="62" customFormat="1" ht="14.25" x14ac:dyDescent="0.2">
      <c r="A182" s="61"/>
      <c r="D182" s="184"/>
      <c r="E182" s="184"/>
      <c r="F182" s="184"/>
      <c r="G182" s="63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</row>
    <row r="183" spans="1:24" s="62" customFormat="1" ht="14.25" x14ac:dyDescent="0.2">
      <c r="A183" s="61"/>
      <c r="D183" s="184"/>
      <c r="E183" s="184"/>
      <c r="F183" s="184"/>
      <c r="G183" s="63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</row>
    <row r="184" spans="1:24" s="62" customFormat="1" ht="14.25" x14ac:dyDescent="0.2">
      <c r="A184" s="61"/>
      <c r="D184" s="184"/>
      <c r="E184" s="184"/>
      <c r="F184" s="184"/>
      <c r="G184" s="63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</row>
    <row r="185" spans="1:24" s="62" customFormat="1" ht="14.25" x14ac:dyDescent="0.2">
      <c r="A185" s="61"/>
      <c r="D185" s="184"/>
      <c r="E185" s="184"/>
      <c r="F185" s="184"/>
      <c r="G185" s="63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</row>
    <row r="186" spans="1:24" s="62" customFormat="1" ht="14.25" x14ac:dyDescent="0.2">
      <c r="A186" s="61"/>
      <c r="D186" s="184"/>
      <c r="E186" s="184"/>
      <c r="F186" s="184"/>
      <c r="G186" s="63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</row>
    <row r="187" spans="1:24" s="62" customFormat="1" ht="14.25" x14ac:dyDescent="0.2">
      <c r="A187" s="61"/>
      <c r="D187" s="184"/>
      <c r="E187" s="184"/>
      <c r="F187" s="184"/>
      <c r="G187" s="63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</row>
    <row r="188" spans="1:24" s="62" customFormat="1" ht="14.25" x14ac:dyDescent="0.2">
      <c r="A188" s="61"/>
      <c r="D188" s="184"/>
      <c r="E188" s="184"/>
      <c r="F188" s="184"/>
      <c r="G188" s="63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</row>
    <row r="189" spans="1:24" s="62" customFormat="1" ht="14.25" x14ac:dyDescent="0.2">
      <c r="A189" s="61"/>
      <c r="D189" s="184"/>
      <c r="E189" s="184"/>
      <c r="F189" s="184"/>
      <c r="G189" s="63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</row>
    <row r="190" spans="1:24" s="62" customFormat="1" ht="14.25" x14ac:dyDescent="0.2">
      <c r="A190" s="61"/>
      <c r="D190" s="184"/>
      <c r="E190" s="184"/>
      <c r="F190" s="184"/>
      <c r="G190" s="63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</row>
    <row r="191" spans="1:24" s="62" customFormat="1" ht="14.25" x14ac:dyDescent="0.2">
      <c r="A191" s="61"/>
      <c r="D191" s="184"/>
      <c r="E191" s="184"/>
      <c r="F191" s="184"/>
      <c r="G191" s="63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</row>
    <row r="192" spans="1:24" s="62" customFormat="1" ht="14.25" x14ac:dyDescent="0.2">
      <c r="A192" s="61"/>
      <c r="D192" s="184"/>
      <c r="E192" s="184"/>
      <c r="F192" s="184"/>
      <c r="G192" s="63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</row>
    <row r="193" spans="1:24" s="62" customFormat="1" ht="14.25" x14ac:dyDescent="0.2">
      <c r="A193" s="61"/>
      <c r="D193" s="184"/>
      <c r="E193" s="184"/>
      <c r="F193" s="184"/>
      <c r="G193" s="63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</row>
    <row r="194" spans="1:24" s="62" customFormat="1" ht="14.25" x14ac:dyDescent="0.2">
      <c r="A194" s="61"/>
      <c r="D194" s="184"/>
      <c r="E194" s="184"/>
      <c r="F194" s="184"/>
      <c r="G194" s="63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</row>
    <row r="195" spans="1:24" s="62" customFormat="1" ht="14.25" x14ac:dyDescent="0.2">
      <c r="A195" s="61"/>
      <c r="D195" s="184"/>
      <c r="E195" s="184"/>
      <c r="F195" s="184"/>
      <c r="G195" s="63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</row>
    <row r="196" spans="1:24" s="62" customFormat="1" ht="14.25" x14ac:dyDescent="0.2">
      <c r="A196" s="61"/>
      <c r="D196" s="184"/>
      <c r="E196" s="184"/>
      <c r="F196" s="184"/>
      <c r="G196" s="63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</row>
    <row r="197" spans="1:24" s="62" customFormat="1" ht="14.25" x14ac:dyDescent="0.2">
      <c r="A197" s="61"/>
      <c r="D197" s="184"/>
      <c r="E197" s="184"/>
      <c r="F197" s="184"/>
      <c r="G197" s="63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</row>
    <row r="198" spans="1:24" s="62" customFormat="1" ht="14.25" x14ac:dyDescent="0.2">
      <c r="A198" s="61"/>
      <c r="D198" s="184"/>
      <c r="E198" s="184"/>
      <c r="F198" s="184"/>
      <c r="G198" s="63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</row>
    <row r="199" spans="1:24" s="62" customFormat="1" ht="14.25" x14ac:dyDescent="0.2">
      <c r="A199" s="61"/>
      <c r="D199" s="184"/>
      <c r="E199" s="184"/>
      <c r="F199" s="184"/>
      <c r="G199" s="63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</row>
    <row r="200" spans="1:24" s="62" customFormat="1" ht="14.25" x14ac:dyDescent="0.2">
      <c r="A200" s="61"/>
      <c r="D200" s="184"/>
      <c r="E200" s="184"/>
      <c r="F200" s="184"/>
      <c r="G200" s="63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</row>
    <row r="201" spans="1:24" s="62" customFormat="1" ht="14.25" x14ac:dyDescent="0.2">
      <c r="A201" s="61"/>
      <c r="D201" s="184"/>
      <c r="E201" s="184"/>
      <c r="F201" s="184"/>
      <c r="G201" s="63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</row>
    <row r="202" spans="1:24" s="62" customFormat="1" ht="14.25" x14ac:dyDescent="0.2">
      <c r="A202" s="61"/>
      <c r="D202" s="184"/>
      <c r="E202" s="184"/>
      <c r="F202" s="184"/>
      <c r="G202" s="63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</row>
    <row r="203" spans="1:24" s="62" customFormat="1" ht="14.25" x14ac:dyDescent="0.2">
      <c r="A203" s="61"/>
      <c r="D203" s="184"/>
      <c r="E203" s="184"/>
      <c r="F203" s="184"/>
      <c r="G203" s="63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</row>
    <row r="204" spans="1:24" s="62" customFormat="1" ht="14.25" x14ac:dyDescent="0.2">
      <c r="A204" s="61"/>
      <c r="D204" s="184"/>
      <c r="E204" s="184"/>
      <c r="F204" s="184"/>
      <c r="G204" s="63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</row>
    <row r="205" spans="1:24" s="62" customFormat="1" ht="14.25" x14ac:dyDescent="0.2">
      <c r="A205" s="61"/>
      <c r="D205" s="184"/>
      <c r="E205" s="184"/>
      <c r="F205" s="184"/>
      <c r="G205" s="63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</row>
    <row r="206" spans="1:24" s="62" customFormat="1" ht="14.25" x14ac:dyDescent="0.2">
      <c r="A206" s="61"/>
      <c r="D206" s="184"/>
      <c r="E206" s="184"/>
      <c r="F206" s="184"/>
      <c r="G206" s="63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</row>
    <row r="207" spans="1:24" s="62" customFormat="1" ht="14.25" x14ac:dyDescent="0.2">
      <c r="A207" s="61"/>
      <c r="D207" s="184"/>
      <c r="E207" s="184"/>
      <c r="F207" s="184"/>
      <c r="G207" s="63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</row>
    <row r="208" spans="1:24" s="62" customFormat="1" ht="14.25" x14ac:dyDescent="0.2">
      <c r="A208" s="61"/>
      <c r="D208" s="184"/>
      <c r="E208" s="184"/>
      <c r="F208" s="184"/>
      <c r="G208" s="63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</row>
    <row r="209" spans="1:24" s="62" customFormat="1" ht="14.25" x14ac:dyDescent="0.2">
      <c r="A209" s="61"/>
      <c r="D209" s="184"/>
      <c r="E209" s="184"/>
      <c r="F209" s="184"/>
      <c r="G209" s="63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</row>
    <row r="210" spans="1:24" s="62" customFormat="1" ht="14.25" x14ac:dyDescent="0.2">
      <c r="A210" s="61"/>
      <c r="D210" s="184"/>
      <c r="E210" s="184"/>
      <c r="F210" s="184"/>
      <c r="G210" s="63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</row>
    <row r="211" spans="1:24" s="62" customFormat="1" ht="14.25" x14ac:dyDescent="0.2">
      <c r="A211" s="61"/>
      <c r="D211" s="184"/>
      <c r="E211" s="184"/>
      <c r="F211" s="184"/>
      <c r="G211" s="63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</row>
    <row r="212" spans="1:24" s="62" customFormat="1" ht="14.25" x14ac:dyDescent="0.2">
      <c r="A212" s="61"/>
      <c r="D212" s="184"/>
      <c r="E212" s="184"/>
      <c r="F212" s="184"/>
      <c r="G212" s="63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</row>
    <row r="213" spans="1:24" s="62" customFormat="1" ht="14.25" x14ac:dyDescent="0.2">
      <c r="A213" s="61"/>
      <c r="D213" s="184"/>
      <c r="E213" s="184"/>
      <c r="F213" s="184"/>
      <c r="G213" s="63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</row>
    <row r="214" spans="1:24" s="62" customFormat="1" ht="14.25" x14ac:dyDescent="0.2">
      <c r="A214" s="61"/>
      <c r="D214" s="184"/>
      <c r="E214" s="184"/>
      <c r="F214" s="184"/>
      <c r="G214" s="63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</row>
    <row r="215" spans="1:24" s="62" customFormat="1" ht="14.25" x14ac:dyDescent="0.2">
      <c r="A215" s="61"/>
      <c r="D215" s="184"/>
      <c r="E215" s="184"/>
      <c r="F215" s="184"/>
      <c r="G215" s="63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</row>
    <row r="216" spans="1:24" s="62" customFormat="1" ht="14.25" x14ac:dyDescent="0.2">
      <c r="A216" s="61"/>
      <c r="D216" s="184"/>
      <c r="E216" s="184"/>
      <c r="F216" s="184"/>
      <c r="G216" s="63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</row>
    <row r="217" spans="1:24" s="62" customFormat="1" ht="14.25" x14ac:dyDescent="0.2">
      <c r="A217" s="61"/>
      <c r="D217" s="184"/>
      <c r="E217" s="184"/>
      <c r="F217" s="184"/>
      <c r="G217" s="63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</row>
    <row r="218" spans="1:24" s="62" customFormat="1" ht="14.25" x14ac:dyDescent="0.2">
      <c r="A218" s="61"/>
      <c r="D218" s="184"/>
      <c r="E218" s="184"/>
      <c r="F218" s="184"/>
      <c r="G218" s="63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</row>
    <row r="219" spans="1:24" s="62" customFormat="1" ht="14.25" x14ac:dyDescent="0.2">
      <c r="A219" s="61"/>
      <c r="D219" s="184"/>
      <c r="E219" s="184"/>
      <c r="F219" s="184"/>
      <c r="G219" s="63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</row>
    <row r="220" spans="1:24" s="62" customFormat="1" ht="14.25" x14ac:dyDescent="0.2">
      <c r="A220" s="61"/>
      <c r="D220" s="184"/>
      <c r="E220" s="184"/>
      <c r="F220" s="184"/>
      <c r="G220" s="63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</row>
    <row r="221" spans="1:24" s="62" customFormat="1" ht="14.25" x14ac:dyDescent="0.2">
      <c r="A221" s="61"/>
      <c r="D221" s="184"/>
      <c r="E221" s="184"/>
      <c r="F221" s="184"/>
      <c r="G221" s="63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</row>
    <row r="222" spans="1:24" s="62" customFormat="1" ht="14.25" x14ac:dyDescent="0.2">
      <c r="A222" s="61"/>
      <c r="D222" s="184"/>
      <c r="E222" s="184"/>
      <c r="F222" s="184"/>
      <c r="G222" s="63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</row>
    <row r="223" spans="1:24" s="62" customFormat="1" ht="14.25" x14ac:dyDescent="0.2">
      <c r="A223" s="61"/>
      <c r="D223" s="184"/>
      <c r="E223" s="184"/>
      <c r="F223" s="184"/>
      <c r="G223" s="63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</row>
    <row r="224" spans="1:24" s="62" customFormat="1" ht="14.25" x14ac:dyDescent="0.2">
      <c r="A224" s="61"/>
      <c r="D224" s="184"/>
      <c r="E224" s="184"/>
      <c r="F224" s="184"/>
      <c r="G224" s="63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</row>
    <row r="225" spans="1:24" s="62" customFormat="1" ht="14.25" x14ac:dyDescent="0.2">
      <c r="A225" s="61"/>
      <c r="D225" s="184"/>
      <c r="E225" s="184"/>
      <c r="F225" s="184"/>
      <c r="G225" s="63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</row>
    <row r="226" spans="1:24" s="62" customFormat="1" ht="14.25" x14ac:dyDescent="0.2">
      <c r="A226" s="61"/>
      <c r="D226" s="184"/>
      <c r="E226" s="184"/>
      <c r="F226" s="184"/>
      <c r="G226" s="63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</row>
    <row r="227" spans="1:24" s="62" customFormat="1" ht="14.25" x14ac:dyDescent="0.2">
      <c r="A227" s="61"/>
      <c r="D227" s="184"/>
      <c r="E227" s="184"/>
      <c r="F227" s="184"/>
      <c r="G227" s="63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</row>
    <row r="228" spans="1:24" s="62" customFormat="1" ht="14.25" x14ac:dyDescent="0.2">
      <c r="A228" s="61"/>
      <c r="D228" s="184"/>
      <c r="E228" s="184"/>
      <c r="F228" s="184"/>
      <c r="G228" s="63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</row>
    <row r="229" spans="1:24" s="62" customFormat="1" ht="14.25" x14ac:dyDescent="0.2">
      <c r="A229" s="61"/>
      <c r="D229" s="184"/>
      <c r="E229" s="184"/>
      <c r="F229" s="184"/>
      <c r="G229" s="63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</row>
    <row r="230" spans="1:24" s="62" customFormat="1" ht="14.25" x14ac:dyDescent="0.2">
      <c r="A230" s="61"/>
      <c r="D230" s="184"/>
      <c r="E230" s="184"/>
      <c r="F230" s="184"/>
      <c r="G230" s="63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</row>
    <row r="231" spans="1:24" s="62" customFormat="1" ht="14.25" x14ac:dyDescent="0.2">
      <c r="A231" s="61"/>
      <c r="D231" s="184"/>
      <c r="E231" s="184"/>
      <c r="F231" s="184"/>
      <c r="G231" s="63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</row>
    <row r="232" spans="1:24" s="62" customFormat="1" ht="14.25" x14ac:dyDescent="0.2">
      <c r="A232" s="61"/>
      <c r="D232" s="184"/>
      <c r="E232" s="184"/>
      <c r="F232" s="184"/>
      <c r="G232" s="63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</row>
    <row r="233" spans="1:24" s="62" customFormat="1" ht="14.25" x14ac:dyDescent="0.2">
      <c r="A233" s="61"/>
      <c r="D233" s="184"/>
      <c r="E233" s="184"/>
      <c r="F233" s="184"/>
      <c r="G233" s="63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</row>
    <row r="234" spans="1:24" s="62" customFormat="1" ht="14.25" x14ac:dyDescent="0.2">
      <c r="A234" s="61"/>
      <c r="D234" s="184"/>
      <c r="E234" s="184"/>
      <c r="F234" s="184"/>
      <c r="G234" s="63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</row>
    <row r="235" spans="1:24" s="62" customFormat="1" ht="14.25" x14ac:dyDescent="0.2">
      <c r="A235" s="61"/>
      <c r="D235" s="184"/>
      <c r="E235" s="184"/>
      <c r="F235" s="184"/>
      <c r="G235" s="63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</row>
  </sheetData>
  <autoFilter ref="A6:AN6" xr:uid="{68870F5B-2FF3-4C1D-B17D-90051908AA05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238F-5801-452A-B7AD-AF5BBA37930A}">
  <dimension ref="A1:AQ211"/>
  <sheetViews>
    <sheetView topLeftCell="A4" workbookViewId="0">
      <selection activeCell="A12" sqref="A12:XFD12"/>
    </sheetView>
  </sheetViews>
  <sheetFormatPr defaultColWidth="16.42578125" defaultRowHeight="15" x14ac:dyDescent="0.25"/>
  <cols>
    <col min="1" max="1" width="34.42578125" style="23" bestFit="1" customWidth="1"/>
    <col min="7" max="7" width="16.42578125" style="30"/>
    <col min="13" max="16" width="16.42578125" style="25"/>
    <col min="20" max="24" width="16.42578125" style="25"/>
    <col min="42" max="42" width="95" hidden="1" customWidth="1"/>
  </cols>
  <sheetData>
    <row r="1" spans="1:43" s="74" customFormat="1" x14ac:dyDescent="0.25">
      <c r="A1" s="89"/>
      <c r="G1" s="90"/>
      <c r="M1" s="79"/>
      <c r="N1" s="79"/>
      <c r="O1" s="79"/>
      <c r="P1" s="79"/>
      <c r="T1" s="79"/>
      <c r="U1" s="79"/>
      <c r="V1" s="79"/>
      <c r="W1" s="79"/>
      <c r="X1" s="79"/>
    </row>
    <row r="2" spans="1:43" s="74" customFormat="1" x14ac:dyDescent="0.25">
      <c r="A2" s="89"/>
      <c r="G2" s="90"/>
      <c r="M2" s="79"/>
      <c r="N2" s="79"/>
      <c r="O2" s="79"/>
      <c r="P2" s="79"/>
      <c r="T2" s="79"/>
      <c r="U2" s="79"/>
      <c r="V2" s="79"/>
      <c r="W2" s="79"/>
      <c r="X2" s="79"/>
    </row>
    <row r="3" spans="1:43" s="74" customFormat="1" x14ac:dyDescent="0.25">
      <c r="A3" s="89"/>
      <c r="G3" s="90"/>
      <c r="M3" s="79"/>
      <c r="N3" s="79"/>
      <c r="O3" s="79"/>
      <c r="P3" s="79"/>
      <c r="T3" s="79"/>
      <c r="U3" s="79"/>
      <c r="V3" s="79"/>
      <c r="W3" s="79"/>
      <c r="X3" s="79"/>
    </row>
    <row r="4" spans="1:43" s="74" customFormat="1" x14ac:dyDescent="0.25">
      <c r="A4" s="89"/>
      <c r="G4" s="90"/>
      <c r="M4" s="79"/>
      <c r="N4" s="79"/>
      <c r="O4" s="79"/>
      <c r="P4" s="79"/>
      <c r="T4" s="79"/>
      <c r="U4" s="79"/>
      <c r="V4" s="79"/>
      <c r="W4" s="79"/>
      <c r="X4" s="79"/>
    </row>
    <row r="5" spans="1:43" s="74" customFormat="1" x14ac:dyDescent="0.25">
      <c r="A5" s="89" t="s">
        <v>230</v>
      </c>
      <c r="G5" s="90"/>
      <c r="M5" s="79"/>
      <c r="N5" s="79"/>
      <c r="O5" s="79"/>
      <c r="P5" s="79"/>
      <c r="T5" s="79"/>
      <c r="U5" s="79"/>
      <c r="V5" s="79"/>
      <c r="W5" s="79"/>
      <c r="X5" s="79"/>
    </row>
    <row r="6" spans="1:43" s="92" customFormat="1" x14ac:dyDescent="0.25">
      <c r="A6" s="91" t="s">
        <v>0</v>
      </c>
      <c r="B6" s="92" t="s">
        <v>1</v>
      </c>
      <c r="C6" s="92" t="s">
        <v>2</v>
      </c>
      <c r="D6" s="93" t="s">
        <v>4</v>
      </c>
      <c r="E6" s="92" t="s">
        <v>3</v>
      </c>
      <c r="F6" s="93" t="s">
        <v>5</v>
      </c>
      <c r="G6" s="94" t="s">
        <v>6</v>
      </c>
      <c r="H6" s="92" t="s">
        <v>7</v>
      </c>
      <c r="I6" s="92" t="s">
        <v>8</v>
      </c>
      <c r="J6" s="92" t="s">
        <v>9</v>
      </c>
      <c r="K6" s="95" t="s">
        <v>10</v>
      </c>
      <c r="L6" s="96" t="s">
        <v>11</v>
      </c>
      <c r="M6" s="97" t="s">
        <v>12</v>
      </c>
      <c r="N6" s="97" t="s">
        <v>13</v>
      </c>
      <c r="O6" s="97" t="s">
        <v>14</v>
      </c>
      <c r="P6" s="97" t="s">
        <v>15</v>
      </c>
      <c r="Q6" s="97" t="s">
        <v>16</v>
      </c>
      <c r="R6" s="97" t="s">
        <v>17</v>
      </c>
      <c r="S6" s="96" t="s">
        <v>18</v>
      </c>
      <c r="T6" s="97" t="s">
        <v>19</v>
      </c>
      <c r="U6" s="97" t="s">
        <v>20</v>
      </c>
      <c r="V6" s="97" t="s">
        <v>21</v>
      </c>
      <c r="W6" s="97" t="s">
        <v>22</v>
      </c>
      <c r="X6" s="97" t="s">
        <v>23</v>
      </c>
      <c r="Y6" s="92" t="s">
        <v>24</v>
      </c>
      <c r="Z6" s="92" t="s">
        <v>25</v>
      </c>
      <c r="AA6" s="92" t="s">
        <v>26</v>
      </c>
      <c r="AB6" s="92" t="s">
        <v>27</v>
      </c>
      <c r="AC6" s="92" t="s">
        <v>28</v>
      </c>
      <c r="AD6" s="92" t="s">
        <v>29</v>
      </c>
      <c r="AE6" s="92" t="s">
        <v>30</v>
      </c>
      <c r="AF6" s="92" t="s">
        <v>31</v>
      </c>
      <c r="AG6" s="92" t="s">
        <v>32</v>
      </c>
      <c r="AH6" s="92" t="s">
        <v>33</v>
      </c>
      <c r="AI6" s="92" t="s">
        <v>34</v>
      </c>
      <c r="AJ6" s="92" t="s">
        <v>35</v>
      </c>
      <c r="AK6" s="92" t="s">
        <v>36</v>
      </c>
      <c r="AL6" s="92" t="s">
        <v>37</v>
      </c>
      <c r="AM6" s="92" t="s">
        <v>38</v>
      </c>
      <c r="AN6" s="1" t="s">
        <v>276</v>
      </c>
      <c r="AO6" s="98"/>
      <c r="AP6" s="131" t="s">
        <v>256</v>
      </c>
      <c r="AQ6" s="98"/>
    </row>
    <row r="7" spans="1:43" s="133" customFormat="1" x14ac:dyDescent="0.25">
      <c r="A7" s="132">
        <v>45658</v>
      </c>
      <c r="B7" s="133" t="s">
        <v>40</v>
      </c>
      <c r="C7" s="133" t="s">
        <v>41</v>
      </c>
      <c r="D7" s="133">
        <v>25707928</v>
      </c>
      <c r="E7" s="133">
        <v>24106398</v>
      </c>
      <c r="F7" s="133" t="s">
        <v>187</v>
      </c>
      <c r="G7" s="135">
        <v>45664</v>
      </c>
      <c r="H7" s="133" t="s">
        <v>188</v>
      </c>
      <c r="I7" s="133" t="s">
        <v>189</v>
      </c>
      <c r="J7" s="133" t="s">
        <v>190</v>
      </c>
      <c r="K7" s="133">
        <v>500</v>
      </c>
      <c r="L7" s="133" t="s">
        <v>42</v>
      </c>
      <c r="M7" s="136">
        <v>500</v>
      </c>
      <c r="N7" s="136">
        <v>4390400</v>
      </c>
      <c r="O7" s="136">
        <v>2195200000</v>
      </c>
      <c r="P7" s="136">
        <v>2195200000</v>
      </c>
      <c r="Q7" s="133">
        <v>0</v>
      </c>
      <c r="R7" s="133">
        <v>0</v>
      </c>
      <c r="S7" s="133" t="s">
        <v>43</v>
      </c>
      <c r="T7" s="136">
        <v>1931416705</v>
      </c>
      <c r="U7" s="136">
        <v>1931416705</v>
      </c>
      <c r="V7" s="136">
        <v>263783295</v>
      </c>
      <c r="W7" s="136">
        <v>0.120163673013</v>
      </c>
      <c r="X7" s="136">
        <v>263783295</v>
      </c>
      <c r="Y7" s="133" t="s">
        <v>101</v>
      </c>
      <c r="Z7" s="133" t="s">
        <v>46</v>
      </c>
      <c r="AA7" s="133">
        <v>2308618</v>
      </c>
      <c r="AB7" s="133" t="s">
        <v>188</v>
      </c>
      <c r="AC7" s="133" t="s">
        <v>56</v>
      </c>
      <c r="AD7" s="133" t="s">
        <v>103</v>
      </c>
      <c r="AE7" s="133">
        <v>0</v>
      </c>
      <c r="AF7" s="133" t="s">
        <v>191</v>
      </c>
      <c r="AG7" s="133" t="s">
        <v>101</v>
      </c>
      <c r="AH7" s="133" t="s">
        <v>46</v>
      </c>
      <c r="AI7" s="133" t="s">
        <v>101</v>
      </c>
      <c r="AJ7" s="133" t="s">
        <v>46</v>
      </c>
      <c r="AK7" s="133" t="s">
        <v>54</v>
      </c>
      <c r="AL7" s="133" t="s">
        <v>48</v>
      </c>
      <c r="AM7" s="133" t="s">
        <v>64</v>
      </c>
      <c r="AN7" s="133" t="str">
        <f>VLOOKUP(I7,Sheet1!A:D,4,FALSE)</f>
        <v>A320400</v>
      </c>
      <c r="AP7" s="173" t="s">
        <v>229</v>
      </c>
    </row>
    <row r="8" spans="1:43" s="133" customFormat="1" ht="14.25" x14ac:dyDescent="0.2">
      <c r="A8" s="132">
        <v>45748</v>
      </c>
      <c r="B8" s="133" t="s">
        <v>40</v>
      </c>
      <c r="C8" s="133" t="s">
        <v>41</v>
      </c>
      <c r="D8" s="133">
        <v>25708124</v>
      </c>
      <c r="E8" s="133">
        <v>25106610</v>
      </c>
      <c r="F8" s="133" t="s">
        <v>945</v>
      </c>
      <c r="G8" s="135">
        <v>45761</v>
      </c>
      <c r="H8" s="133" t="s">
        <v>188</v>
      </c>
      <c r="I8" s="133" t="s">
        <v>946</v>
      </c>
      <c r="J8" s="133" t="s">
        <v>947</v>
      </c>
      <c r="K8" s="133">
        <v>5</v>
      </c>
      <c r="L8" s="133" t="s">
        <v>42</v>
      </c>
      <c r="M8" s="136">
        <v>5</v>
      </c>
      <c r="N8" s="136">
        <v>6810387</v>
      </c>
      <c r="O8" s="136">
        <v>34051935</v>
      </c>
      <c r="P8" s="136">
        <v>34051935</v>
      </c>
      <c r="Q8" s="133">
        <v>0</v>
      </c>
      <c r="R8" s="133">
        <v>0</v>
      </c>
      <c r="S8" s="133" t="s">
        <v>43</v>
      </c>
      <c r="T8" s="136">
        <v>30673871.850000001</v>
      </c>
      <c r="U8" s="136">
        <v>30673871.850000001</v>
      </c>
      <c r="V8" s="136">
        <v>3378063.15</v>
      </c>
      <c r="W8" s="136">
        <v>9.9203265540999994E-2</v>
      </c>
      <c r="X8" s="136">
        <v>3378063.15</v>
      </c>
      <c r="Y8" s="133" t="s">
        <v>101</v>
      </c>
      <c r="Z8" s="133" t="s">
        <v>46</v>
      </c>
      <c r="AA8" s="133">
        <v>2308618</v>
      </c>
      <c r="AB8" s="133" t="s">
        <v>188</v>
      </c>
      <c r="AC8" s="133" t="s">
        <v>56</v>
      </c>
      <c r="AD8" s="133" t="s">
        <v>103</v>
      </c>
      <c r="AE8" s="133">
        <v>0</v>
      </c>
      <c r="AF8" s="133" t="s">
        <v>191</v>
      </c>
      <c r="AG8" s="133" t="s">
        <v>101</v>
      </c>
      <c r="AH8" s="133" t="s">
        <v>46</v>
      </c>
      <c r="AI8" s="133" t="s">
        <v>101</v>
      </c>
      <c r="AJ8" s="133" t="s">
        <v>46</v>
      </c>
      <c r="AK8" s="133" t="s">
        <v>54</v>
      </c>
      <c r="AL8" s="133" t="s">
        <v>48</v>
      </c>
      <c r="AM8" s="133" t="s">
        <v>64</v>
      </c>
      <c r="AN8" s="133" t="str">
        <f>VLOOKUP(I8,Sheet1!A:D,4,FALSE)</f>
        <v>A320400</v>
      </c>
      <c r="AP8" s="133" t="s">
        <v>960</v>
      </c>
    </row>
    <row r="9" spans="1:43" s="133" customFormat="1" ht="14.25" x14ac:dyDescent="0.2">
      <c r="A9" s="132">
        <v>45809</v>
      </c>
      <c r="B9" s="133" t="s">
        <v>40</v>
      </c>
      <c r="C9" s="133" t="s">
        <v>41</v>
      </c>
      <c r="D9" s="133">
        <v>25708288</v>
      </c>
      <c r="E9" s="133">
        <v>25106778</v>
      </c>
      <c r="F9" s="133" t="s">
        <v>1083</v>
      </c>
      <c r="G9" s="135">
        <v>45824</v>
      </c>
      <c r="H9" s="133" t="s">
        <v>1084</v>
      </c>
      <c r="I9" s="133" t="s">
        <v>285</v>
      </c>
      <c r="J9" s="133" t="s">
        <v>708</v>
      </c>
      <c r="K9" s="133">
        <v>100</v>
      </c>
      <c r="L9" s="133" t="s">
        <v>42</v>
      </c>
      <c r="M9" s="136">
        <v>100</v>
      </c>
      <c r="N9" s="136">
        <v>2069067</v>
      </c>
      <c r="O9" s="136">
        <v>206906700</v>
      </c>
      <c r="P9" s="136">
        <v>206906700</v>
      </c>
      <c r="Q9" s="133">
        <v>0</v>
      </c>
      <c r="R9" s="133">
        <v>0</v>
      </c>
      <c r="S9" s="133" t="s">
        <v>43</v>
      </c>
      <c r="T9" s="136">
        <v>145399991.65000001</v>
      </c>
      <c r="U9" s="136">
        <v>145399991.65000001</v>
      </c>
      <c r="V9" s="136">
        <v>61506708.350000001</v>
      </c>
      <c r="W9" s="136">
        <v>0.297267842703</v>
      </c>
      <c r="X9" s="136">
        <v>61506708.350000001</v>
      </c>
      <c r="Y9" s="133" t="s">
        <v>69</v>
      </c>
      <c r="Z9" s="133" t="s">
        <v>46</v>
      </c>
      <c r="AA9" s="133">
        <v>2308618</v>
      </c>
      <c r="AB9" s="133" t="s">
        <v>1084</v>
      </c>
      <c r="AC9" s="133" t="s">
        <v>56</v>
      </c>
      <c r="AD9" s="133" t="s">
        <v>77</v>
      </c>
      <c r="AE9" s="133">
        <v>0</v>
      </c>
      <c r="AF9" s="133" t="s">
        <v>68</v>
      </c>
      <c r="AG9" s="133" t="s">
        <v>69</v>
      </c>
      <c r="AH9" s="133" t="s">
        <v>46</v>
      </c>
      <c r="AI9" s="133" t="s">
        <v>69</v>
      </c>
      <c r="AJ9" s="133" t="s">
        <v>46</v>
      </c>
      <c r="AK9" s="133" t="s">
        <v>54</v>
      </c>
      <c r="AL9" s="133" t="s">
        <v>48</v>
      </c>
      <c r="AM9" s="133" t="s">
        <v>64</v>
      </c>
      <c r="AN9" s="133" t="str">
        <f>VLOOKUP(I9,Sheet1!A:D,4,FALSE)</f>
        <v>A320400</v>
      </c>
      <c r="AP9" s="133" t="s">
        <v>1085</v>
      </c>
    </row>
    <row r="10" spans="1:43" s="133" customFormat="1" ht="12.75" customHeight="1" x14ac:dyDescent="0.2">
      <c r="A10" s="132">
        <v>45839</v>
      </c>
      <c r="B10" s="133" t="s">
        <v>40</v>
      </c>
      <c r="C10" s="133" t="s">
        <v>41</v>
      </c>
      <c r="D10" s="133">
        <v>25708328</v>
      </c>
      <c r="E10" s="133">
        <v>25106778</v>
      </c>
      <c r="F10" s="133" t="s">
        <v>1083</v>
      </c>
      <c r="G10" s="135">
        <v>45839</v>
      </c>
      <c r="H10" s="133" t="s">
        <v>1084</v>
      </c>
      <c r="I10" s="133" t="s">
        <v>285</v>
      </c>
      <c r="J10" s="133" t="s">
        <v>708</v>
      </c>
      <c r="K10" s="133">
        <v>100</v>
      </c>
      <c r="L10" s="133" t="s">
        <v>42</v>
      </c>
      <c r="M10" s="136">
        <v>100</v>
      </c>
      <c r="N10" s="136">
        <v>2069067</v>
      </c>
      <c r="O10" s="136">
        <v>206906700</v>
      </c>
      <c r="P10" s="136">
        <v>206906700</v>
      </c>
      <c r="Q10" s="133">
        <v>0</v>
      </c>
      <c r="R10" s="133">
        <v>0</v>
      </c>
      <c r="S10" s="133" t="s">
        <v>43</v>
      </c>
      <c r="T10" s="136">
        <v>145399991.65000001</v>
      </c>
      <c r="U10" s="136">
        <v>145399991.65000001</v>
      </c>
      <c r="V10" s="136">
        <v>61506708.350000001</v>
      </c>
      <c r="W10" s="136">
        <v>0.297267842703</v>
      </c>
      <c r="X10" s="136">
        <v>61506708.350000001</v>
      </c>
      <c r="Y10" s="133" t="s">
        <v>69</v>
      </c>
      <c r="Z10" s="133" t="s">
        <v>46</v>
      </c>
      <c r="AA10" s="133">
        <v>2308618</v>
      </c>
      <c r="AB10" s="133" t="s">
        <v>1084</v>
      </c>
      <c r="AC10" s="133" t="s">
        <v>56</v>
      </c>
      <c r="AD10" s="133" t="s">
        <v>77</v>
      </c>
      <c r="AE10" s="133">
        <v>0</v>
      </c>
      <c r="AF10" s="133" t="s">
        <v>68</v>
      </c>
      <c r="AG10" s="133" t="s">
        <v>69</v>
      </c>
      <c r="AH10" s="133" t="s">
        <v>46</v>
      </c>
      <c r="AI10" s="133" t="s">
        <v>69</v>
      </c>
      <c r="AJ10" s="133" t="s">
        <v>46</v>
      </c>
      <c r="AK10" s="133" t="s">
        <v>54</v>
      </c>
      <c r="AL10" s="133" t="s">
        <v>48</v>
      </c>
      <c r="AM10" s="133" t="s">
        <v>64</v>
      </c>
      <c r="AN10" s="133" t="str">
        <f>VLOOKUP(I10,Sheet1!A:D,4,FALSE)</f>
        <v>A320400</v>
      </c>
      <c r="AP10" s="133" t="s">
        <v>1122</v>
      </c>
    </row>
    <row r="11" spans="1:43" s="254" customFormat="1" x14ac:dyDescent="0.2">
      <c r="A11" s="253">
        <v>45901</v>
      </c>
      <c r="B11" s="254" t="s">
        <v>40</v>
      </c>
      <c r="C11" s="254" t="s">
        <v>41</v>
      </c>
      <c r="D11" s="254">
        <v>25708542</v>
      </c>
      <c r="E11" s="254">
        <v>25106875</v>
      </c>
      <c r="F11" s="254" t="s">
        <v>1337</v>
      </c>
      <c r="G11" s="255">
        <v>45918</v>
      </c>
      <c r="H11" s="254" t="s">
        <v>188</v>
      </c>
      <c r="I11" s="254" t="s">
        <v>285</v>
      </c>
      <c r="J11" s="254" t="s">
        <v>492</v>
      </c>
      <c r="K11" s="254">
        <v>100</v>
      </c>
      <c r="L11" s="254" t="s">
        <v>42</v>
      </c>
      <c r="M11" s="256">
        <v>100</v>
      </c>
      <c r="N11" s="256">
        <v>2094078</v>
      </c>
      <c r="O11" s="256">
        <v>209407800</v>
      </c>
      <c r="P11" s="256">
        <v>209407800</v>
      </c>
      <c r="Q11" s="254">
        <v>0</v>
      </c>
      <c r="R11" s="254">
        <v>0</v>
      </c>
      <c r="S11" s="254" t="s">
        <v>43</v>
      </c>
      <c r="T11" s="256">
        <v>143267063.65000001</v>
      </c>
      <c r="U11" s="256">
        <v>143267063.65000001</v>
      </c>
      <c r="V11" s="256">
        <v>66140736.350000001</v>
      </c>
      <c r="W11" s="256">
        <v>0.31584657472099997</v>
      </c>
      <c r="X11" s="256">
        <v>66140736.350000001</v>
      </c>
      <c r="Y11" s="254" t="s">
        <v>101</v>
      </c>
      <c r="Z11" s="254" t="s">
        <v>46</v>
      </c>
      <c r="AA11" s="254">
        <v>2308618</v>
      </c>
      <c r="AB11" s="254" t="s">
        <v>188</v>
      </c>
      <c r="AC11" s="254" t="s">
        <v>56</v>
      </c>
      <c r="AD11" s="254" t="s">
        <v>103</v>
      </c>
      <c r="AE11" s="254">
        <v>0</v>
      </c>
      <c r="AF11" s="254" t="s">
        <v>191</v>
      </c>
      <c r="AG11" s="254" t="s">
        <v>101</v>
      </c>
      <c r="AH11" s="254" t="s">
        <v>46</v>
      </c>
      <c r="AI11" s="254" t="s">
        <v>101</v>
      </c>
      <c r="AJ11" s="254" t="s">
        <v>46</v>
      </c>
      <c r="AK11" s="254" t="s">
        <v>54</v>
      </c>
      <c r="AL11" s="254" t="s">
        <v>48</v>
      </c>
      <c r="AM11" s="254" t="s">
        <v>64</v>
      </c>
      <c r="AN11" s="254" t="str">
        <f>VLOOKUP(I11,Sheet1!A:D,4,FALSE)</f>
        <v>A320400</v>
      </c>
      <c r="AP11" s="281" t="s">
        <v>1351</v>
      </c>
    </row>
    <row r="12" spans="1:43" s="254" customFormat="1" ht="14.25" x14ac:dyDescent="0.2">
      <c r="A12" s="253">
        <v>45901</v>
      </c>
      <c r="B12" s="254" t="s">
        <v>40</v>
      </c>
      <c r="C12" s="254" t="s">
        <v>41</v>
      </c>
      <c r="D12" s="254">
        <v>25708582</v>
      </c>
      <c r="E12" s="254">
        <v>25106823</v>
      </c>
      <c r="F12" s="254" t="s">
        <v>1365</v>
      </c>
      <c r="G12" s="255">
        <v>45926</v>
      </c>
      <c r="H12" s="254" t="s">
        <v>188</v>
      </c>
      <c r="I12" s="254" t="s">
        <v>189</v>
      </c>
      <c r="J12" s="254" t="s">
        <v>190</v>
      </c>
      <c r="K12" s="254">
        <v>260</v>
      </c>
      <c r="L12" s="254" t="s">
        <v>42</v>
      </c>
      <c r="M12" s="256">
        <v>260</v>
      </c>
      <c r="N12" s="256">
        <v>7550205</v>
      </c>
      <c r="O12" s="256">
        <v>1963053300</v>
      </c>
      <c r="P12" s="256">
        <v>1963053300</v>
      </c>
      <c r="Q12" s="254">
        <v>0</v>
      </c>
      <c r="R12" s="254">
        <v>0</v>
      </c>
      <c r="S12" s="254" t="s">
        <v>43</v>
      </c>
      <c r="T12" s="256">
        <v>1590977497.2</v>
      </c>
      <c r="U12" s="256">
        <v>1590977497.2</v>
      </c>
      <c r="V12" s="256">
        <v>372075802.80000001</v>
      </c>
      <c r="W12" s="256">
        <v>0.18953932774000001</v>
      </c>
      <c r="X12" s="256">
        <v>372075802.80000001</v>
      </c>
      <c r="Y12" s="254" t="s">
        <v>101</v>
      </c>
      <c r="Z12" s="254" t="s">
        <v>46</v>
      </c>
      <c r="AA12" s="254">
        <v>2308618</v>
      </c>
      <c r="AB12" s="254" t="s">
        <v>188</v>
      </c>
      <c r="AC12" s="254" t="s">
        <v>56</v>
      </c>
      <c r="AD12" s="254" t="s">
        <v>103</v>
      </c>
      <c r="AE12" s="254">
        <v>0</v>
      </c>
      <c r="AF12" s="254" t="s">
        <v>191</v>
      </c>
      <c r="AG12" s="254" t="s">
        <v>101</v>
      </c>
      <c r="AH12" s="254" t="s">
        <v>46</v>
      </c>
      <c r="AI12" s="254" t="s">
        <v>101</v>
      </c>
      <c r="AJ12" s="254" t="s">
        <v>46</v>
      </c>
      <c r="AK12" s="254" t="s">
        <v>54</v>
      </c>
      <c r="AL12" s="254" t="s">
        <v>48</v>
      </c>
      <c r="AM12" s="254" t="s">
        <v>64</v>
      </c>
      <c r="AN12" s="254" t="str">
        <f>VLOOKUP(I12,Sheet1!A:D,4,FALSE)</f>
        <v>A320400</v>
      </c>
    </row>
    <row r="13" spans="1:43" s="36" customFormat="1" ht="14.25" x14ac:dyDescent="0.2">
      <c r="A13" s="57"/>
      <c r="G13" s="58"/>
      <c r="M13" s="52"/>
      <c r="N13" s="52"/>
      <c r="O13" s="52"/>
      <c r="P13" s="52"/>
      <c r="T13" s="52"/>
      <c r="U13" s="52"/>
      <c r="V13" s="52"/>
      <c r="W13" s="52"/>
      <c r="X13" s="52"/>
      <c r="AN13" s="133" t="e">
        <f>VLOOKUP(I13,Sheet1!A:D,4,FALSE)</f>
        <v>#N/A</v>
      </c>
    </row>
    <row r="14" spans="1:43" s="36" customFormat="1" ht="14.25" x14ac:dyDescent="0.2">
      <c r="A14" s="57"/>
      <c r="G14" s="58"/>
      <c r="M14" s="52"/>
      <c r="N14" s="52"/>
      <c r="O14" s="52"/>
      <c r="P14" s="52"/>
      <c r="T14" s="52"/>
      <c r="U14" s="52"/>
      <c r="V14" s="52"/>
      <c r="W14" s="52"/>
      <c r="X14" s="52"/>
      <c r="AN14" s="133" t="e">
        <f>VLOOKUP(I14,Sheet1!A:D,4,FALSE)</f>
        <v>#N/A</v>
      </c>
    </row>
    <row r="15" spans="1:43" s="36" customFormat="1" ht="14.25" x14ac:dyDescent="0.2">
      <c r="A15" s="57"/>
      <c r="G15" s="58"/>
      <c r="M15" s="52"/>
      <c r="N15" s="52"/>
      <c r="O15" s="52"/>
      <c r="P15" s="52"/>
      <c r="T15" s="52"/>
      <c r="U15" s="52"/>
      <c r="V15" s="52"/>
      <c r="W15" s="52"/>
      <c r="X15" s="52"/>
      <c r="AN15" s="133" t="e">
        <f>VLOOKUP(I15,Sheet1!A:D,4,FALSE)</f>
        <v>#N/A</v>
      </c>
    </row>
    <row r="16" spans="1:43" s="36" customFormat="1" ht="14.25" x14ac:dyDescent="0.2">
      <c r="A16" s="57"/>
      <c r="G16" s="58"/>
      <c r="M16" s="52"/>
      <c r="N16" s="52"/>
      <c r="O16" s="52"/>
      <c r="P16" s="52"/>
      <c r="T16" s="52"/>
      <c r="U16" s="52"/>
      <c r="V16" s="52"/>
      <c r="W16" s="52"/>
      <c r="X16" s="52"/>
      <c r="AN16" s="133" t="e">
        <f>VLOOKUP(I16,Sheet1!A:D,4,FALSE)</f>
        <v>#N/A</v>
      </c>
    </row>
    <row r="17" spans="1:40" s="36" customFormat="1" ht="14.25" x14ac:dyDescent="0.2">
      <c r="A17" s="57"/>
      <c r="G17" s="58"/>
      <c r="M17" s="52"/>
      <c r="N17" s="52"/>
      <c r="O17" s="52"/>
      <c r="P17" s="52"/>
      <c r="T17" s="52"/>
      <c r="U17" s="52"/>
      <c r="V17" s="52"/>
      <c r="W17" s="52"/>
      <c r="X17" s="52"/>
      <c r="AN17" s="133" t="e">
        <f>VLOOKUP(I17,Sheet1!A:D,4,FALSE)</f>
        <v>#N/A</v>
      </c>
    </row>
    <row r="18" spans="1:40" s="36" customFormat="1" ht="14.25" x14ac:dyDescent="0.2">
      <c r="A18" s="57"/>
      <c r="G18" s="58"/>
      <c r="M18" s="42"/>
      <c r="N18" s="42"/>
      <c r="O18" s="42"/>
      <c r="P18" s="42"/>
      <c r="T18" s="42"/>
      <c r="U18" s="42"/>
      <c r="V18" s="42"/>
      <c r="W18" s="42"/>
      <c r="X18" s="42"/>
      <c r="AN18" s="133" t="e">
        <f>VLOOKUP(I18,Sheet1!A:D,4,FALSE)</f>
        <v>#N/A</v>
      </c>
    </row>
    <row r="19" spans="1:40" s="36" customFormat="1" ht="14.25" x14ac:dyDescent="0.2">
      <c r="A19" s="57"/>
      <c r="G19" s="58"/>
      <c r="M19" s="42"/>
      <c r="N19" s="42"/>
      <c r="O19" s="42"/>
      <c r="P19" s="42"/>
      <c r="T19" s="42"/>
      <c r="U19" s="42"/>
      <c r="V19" s="42"/>
      <c r="W19" s="42"/>
      <c r="X19" s="42"/>
      <c r="AN19" s="133" t="e">
        <f>VLOOKUP(I19,Sheet1!A:D,4,FALSE)</f>
        <v>#N/A</v>
      </c>
    </row>
    <row r="20" spans="1:40" s="36" customFormat="1" ht="14.25" x14ac:dyDescent="0.2">
      <c r="A20" s="57"/>
      <c r="G20" s="58"/>
      <c r="M20" s="42"/>
      <c r="N20" s="42"/>
      <c r="O20" s="42"/>
      <c r="P20" s="42"/>
      <c r="T20" s="42"/>
      <c r="U20" s="42"/>
      <c r="V20" s="42"/>
      <c r="W20" s="42"/>
      <c r="X20" s="42"/>
      <c r="AN20" s="133" t="e">
        <f>VLOOKUP(I20,Sheet1!A:D,4,FALSE)</f>
        <v>#N/A</v>
      </c>
    </row>
    <row r="21" spans="1:40" s="36" customFormat="1" ht="14.25" x14ac:dyDescent="0.2">
      <c r="A21" s="57"/>
      <c r="G21" s="58"/>
      <c r="M21" s="42"/>
      <c r="N21" s="42"/>
      <c r="O21" s="42"/>
      <c r="P21" s="42"/>
      <c r="T21" s="42"/>
      <c r="U21" s="42"/>
      <c r="V21" s="42"/>
      <c r="W21" s="42"/>
      <c r="X21" s="42"/>
      <c r="AN21" s="133" t="e">
        <f>VLOOKUP(I21,Sheet1!A:D,4,FALSE)</f>
        <v>#N/A</v>
      </c>
    </row>
    <row r="22" spans="1:40" s="36" customFormat="1" ht="14.25" x14ac:dyDescent="0.2">
      <c r="A22" s="57"/>
      <c r="G22" s="58"/>
      <c r="M22" s="42"/>
      <c r="N22" s="42"/>
      <c r="O22" s="42"/>
      <c r="P22" s="42"/>
      <c r="T22" s="42"/>
      <c r="U22" s="42"/>
      <c r="V22" s="42"/>
      <c r="W22" s="42"/>
      <c r="X22" s="42"/>
      <c r="AN22" s="133" t="e">
        <f>VLOOKUP(I22,Sheet1!A:D,4,FALSE)</f>
        <v>#N/A</v>
      </c>
    </row>
    <row r="23" spans="1:40" s="36" customFormat="1" ht="14.25" x14ac:dyDescent="0.2">
      <c r="A23" s="57"/>
      <c r="G23" s="58"/>
      <c r="M23" s="42"/>
      <c r="N23" s="42"/>
      <c r="O23" s="42"/>
      <c r="P23" s="42"/>
      <c r="T23" s="42"/>
      <c r="U23" s="42"/>
      <c r="V23" s="42"/>
      <c r="W23" s="42"/>
      <c r="X23" s="42"/>
      <c r="AN23" s="133" t="e">
        <f>VLOOKUP(I23,Sheet1!A:D,4,FALSE)</f>
        <v>#N/A</v>
      </c>
    </row>
    <row r="24" spans="1:40" s="36" customFormat="1" ht="14.25" x14ac:dyDescent="0.2">
      <c r="A24" s="57"/>
      <c r="G24" s="58"/>
      <c r="M24" s="42"/>
      <c r="N24" s="42"/>
      <c r="O24" s="42"/>
      <c r="P24" s="42"/>
      <c r="T24" s="42"/>
      <c r="U24" s="42"/>
      <c r="V24" s="42"/>
      <c r="W24" s="42"/>
      <c r="X24" s="42"/>
      <c r="AN24" s="133" t="e">
        <f>VLOOKUP(I24,Sheet1!A:D,4,FALSE)</f>
        <v>#N/A</v>
      </c>
    </row>
    <row r="25" spans="1:40" s="36" customFormat="1" ht="14.25" x14ac:dyDescent="0.2">
      <c r="A25" s="57"/>
      <c r="G25" s="58"/>
      <c r="M25" s="42"/>
      <c r="N25" s="42"/>
      <c r="O25" s="42"/>
      <c r="P25" s="42"/>
      <c r="T25" s="42"/>
      <c r="U25" s="42"/>
      <c r="V25" s="42"/>
      <c r="W25" s="42"/>
      <c r="X25" s="42"/>
      <c r="AN25" s="133" t="e">
        <f>VLOOKUP(I25,Sheet1!A:D,4,FALSE)</f>
        <v>#N/A</v>
      </c>
    </row>
    <row r="26" spans="1:40" s="36" customFormat="1" ht="14.25" x14ac:dyDescent="0.2">
      <c r="A26" s="57"/>
      <c r="G26" s="58"/>
      <c r="M26" s="42"/>
      <c r="N26" s="42"/>
      <c r="O26" s="42"/>
      <c r="P26" s="42"/>
      <c r="T26" s="42"/>
      <c r="U26" s="42"/>
      <c r="V26" s="42"/>
      <c r="W26" s="42"/>
      <c r="X26" s="42"/>
      <c r="AN26" s="133" t="e">
        <f>VLOOKUP(I26,Sheet1!A:D,4,FALSE)</f>
        <v>#N/A</v>
      </c>
    </row>
    <row r="27" spans="1:40" s="36" customFormat="1" ht="14.25" x14ac:dyDescent="0.2">
      <c r="A27" s="57"/>
      <c r="G27" s="58"/>
      <c r="M27" s="42"/>
      <c r="N27" s="42"/>
      <c r="O27" s="42"/>
      <c r="P27" s="42"/>
      <c r="T27" s="42"/>
      <c r="U27" s="42"/>
      <c r="V27" s="42"/>
      <c r="W27" s="42"/>
      <c r="X27" s="42"/>
      <c r="AN27" s="133" t="e">
        <f>VLOOKUP(I27,Sheet1!A:D,4,FALSE)</f>
        <v>#N/A</v>
      </c>
    </row>
    <row r="28" spans="1:40" s="36" customFormat="1" ht="14.25" x14ac:dyDescent="0.2">
      <c r="A28" s="57"/>
      <c r="G28" s="58"/>
      <c r="M28" s="42"/>
      <c r="N28" s="42"/>
      <c r="O28" s="42"/>
      <c r="P28" s="42"/>
      <c r="T28" s="42"/>
      <c r="U28" s="42"/>
      <c r="V28" s="42"/>
      <c r="W28" s="42"/>
      <c r="X28" s="42"/>
      <c r="AN28" s="133" t="e">
        <f>VLOOKUP(I28,Sheet1!A:D,4,FALSE)</f>
        <v>#N/A</v>
      </c>
    </row>
    <row r="29" spans="1:40" s="36" customFormat="1" ht="14.25" x14ac:dyDescent="0.2">
      <c r="A29" s="57"/>
      <c r="G29" s="58"/>
      <c r="M29" s="42"/>
      <c r="N29" s="42"/>
      <c r="O29" s="42"/>
      <c r="P29" s="42"/>
      <c r="T29" s="42"/>
      <c r="U29" s="42"/>
      <c r="V29" s="42"/>
      <c r="W29" s="42"/>
      <c r="X29" s="42"/>
      <c r="AN29" s="133" t="e">
        <f>VLOOKUP(I29,Sheet1!A:D,4,FALSE)</f>
        <v>#N/A</v>
      </c>
    </row>
    <row r="30" spans="1:40" s="36" customFormat="1" ht="14.25" x14ac:dyDescent="0.2">
      <c r="A30" s="57"/>
      <c r="G30" s="58"/>
      <c r="M30" s="42"/>
      <c r="N30" s="42"/>
      <c r="O30" s="42"/>
      <c r="P30" s="42"/>
      <c r="T30" s="42"/>
      <c r="U30" s="42"/>
      <c r="V30" s="42"/>
      <c r="W30" s="42"/>
      <c r="X30" s="42"/>
      <c r="AN30" s="133" t="e">
        <f>VLOOKUP(I30,Sheet1!A:D,4,FALSE)</f>
        <v>#N/A</v>
      </c>
    </row>
    <row r="31" spans="1:40" s="36" customFormat="1" ht="14.25" x14ac:dyDescent="0.2">
      <c r="A31" s="57"/>
      <c r="G31" s="58"/>
      <c r="M31" s="42"/>
      <c r="N31" s="42"/>
      <c r="O31" s="42"/>
      <c r="P31" s="42"/>
      <c r="T31" s="42"/>
      <c r="U31" s="42"/>
      <c r="V31" s="42"/>
      <c r="W31" s="42"/>
      <c r="X31" s="42"/>
      <c r="AN31" s="133" t="e">
        <f>VLOOKUP(I31,Sheet1!A:D,4,FALSE)</f>
        <v>#N/A</v>
      </c>
    </row>
    <row r="32" spans="1:40" s="36" customFormat="1" ht="14.25" x14ac:dyDescent="0.2">
      <c r="A32" s="57"/>
      <c r="G32" s="58"/>
      <c r="M32" s="42"/>
      <c r="N32" s="42"/>
      <c r="O32" s="42"/>
      <c r="P32" s="42"/>
      <c r="T32" s="42"/>
      <c r="U32" s="42"/>
      <c r="V32" s="42"/>
      <c r="W32" s="42"/>
      <c r="X32" s="42"/>
      <c r="AN32" s="133" t="e">
        <f>VLOOKUP(I32,Sheet1!A:D,4,FALSE)</f>
        <v>#N/A</v>
      </c>
    </row>
    <row r="33" spans="1:40" s="36" customFormat="1" ht="14.25" x14ac:dyDescent="0.2">
      <c r="A33" s="57"/>
      <c r="G33" s="58"/>
      <c r="M33" s="42"/>
      <c r="N33" s="42"/>
      <c r="O33" s="42"/>
      <c r="P33" s="42"/>
      <c r="T33" s="42"/>
      <c r="U33" s="42"/>
      <c r="V33" s="42"/>
      <c r="W33" s="42"/>
      <c r="X33" s="42"/>
      <c r="AN33" s="133" t="e">
        <f>VLOOKUP(I33,Sheet1!A:D,4,FALSE)</f>
        <v>#N/A</v>
      </c>
    </row>
    <row r="34" spans="1:40" s="36" customFormat="1" ht="14.25" x14ac:dyDescent="0.2">
      <c r="A34" s="57"/>
      <c r="G34" s="58"/>
      <c r="M34" s="42"/>
      <c r="N34" s="42"/>
      <c r="O34" s="42"/>
      <c r="P34" s="42"/>
      <c r="T34" s="42"/>
      <c r="U34" s="42"/>
      <c r="V34" s="42"/>
      <c r="W34" s="42"/>
      <c r="X34" s="42"/>
      <c r="AN34" s="133" t="e">
        <f>VLOOKUP(I34,Sheet1!A:D,4,FALSE)</f>
        <v>#N/A</v>
      </c>
    </row>
    <row r="35" spans="1:40" s="36" customFormat="1" ht="14.25" x14ac:dyDescent="0.2">
      <c r="A35" s="57"/>
      <c r="G35" s="58"/>
      <c r="M35" s="42"/>
      <c r="N35" s="42"/>
      <c r="O35" s="42"/>
      <c r="P35" s="42"/>
      <c r="T35" s="42"/>
      <c r="U35" s="42"/>
      <c r="V35" s="42"/>
      <c r="W35" s="42"/>
      <c r="X35" s="42"/>
      <c r="AN35" s="133" t="e">
        <f>VLOOKUP(I35,Sheet1!A:D,4,FALSE)</f>
        <v>#N/A</v>
      </c>
    </row>
    <row r="36" spans="1:40" s="36" customFormat="1" ht="14.25" x14ac:dyDescent="0.2">
      <c r="A36" s="57"/>
      <c r="G36" s="58"/>
      <c r="M36" s="42"/>
      <c r="N36" s="42"/>
      <c r="O36" s="42"/>
      <c r="P36" s="42"/>
      <c r="T36" s="42"/>
      <c r="U36" s="42"/>
      <c r="V36" s="42"/>
      <c r="W36" s="42"/>
      <c r="X36" s="42"/>
      <c r="AN36" s="133" t="e">
        <f>VLOOKUP(I36,Sheet1!A:D,4,FALSE)</f>
        <v>#N/A</v>
      </c>
    </row>
    <row r="37" spans="1:40" s="36" customFormat="1" ht="14.25" x14ac:dyDescent="0.2">
      <c r="A37" s="57"/>
      <c r="G37" s="58"/>
      <c r="M37" s="42"/>
      <c r="N37" s="42"/>
      <c r="O37" s="42"/>
      <c r="P37" s="42"/>
      <c r="T37" s="42"/>
      <c r="U37" s="42"/>
      <c r="V37" s="42"/>
      <c r="W37" s="42"/>
      <c r="X37" s="42"/>
      <c r="AN37" s="133" t="e">
        <f>VLOOKUP(I37,Sheet1!A:D,4,FALSE)</f>
        <v>#N/A</v>
      </c>
    </row>
    <row r="38" spans="1:40" s="36" customFormat="1" ht="14.25" x14ac:dyDescent="0.2">
      <c r="A38" s="57"/>
      <c r="G38" s="58"/>
      <c r="M38" s="42"/>
      <c r="N38" s="42"/>
      <c r="O38" s="42"/>
      <c r="P38" s="42"/>
      <c r="T38" s="42"/>
      <c r="U38" s="42"/>
      <c r="V38" s="42"/>
      <c r="W38" s="42"/>
      <c r="X38" s="42"/>
      <c r="AN38" s="133" t="e">
        <f>VLOOKUP(I38,Sheet1!A:D,4,FALSE)</f>
        <v>#N/A</v>
      </c>
    </row>
    <row r="39" spans="1:40" s="36" customFormat="1" ht="14.25" x14ac:dyDescent="0.2">
      <c r="A39" s="57"/>
      <c r="G39" s="58"/>
      <c r="M39" s="42"/>
      <c r="N39" s="42"/>
      <c r="O39" s="42"/>
      <c r="P39" s="42"/>
      <c r="T39" s="42"/>
      <c r="U39" s="42"/>
      <c r="V39" s="42"/>
      <c r="W39" s="42"/>
      <c r="X39" s="42"/>
      <c r="AN39" s="133" t="e">
        <f>VLOOKUP(I39,Sheet1!A:D,4,FALSE)</f>
        <v>#N/A</v>
      </c>
    </row>
    <row r="40" spans="1:40" s="36" customFormat="1" ht="14.25" x14ac:dyDescent="0.2">
      <c r="A40" s="57"/>
      <c r="G40" s="58"/>
      <c r="M40" s="42"/>
      <c r="N40" s="42"/>
      <c r="O40" s="42"/>
      <c r="P40" s="42"/>
      <c r="T40" s="42"/>
      <c r="U40" s="42"/>
      <c r="V40" s="42"/>
      <c r="W40" s="42"/>
      <c r="X40" s="42"/>
      <c r="AN40" s="133" t="e">
        <f>VLOOKUP(I40,Sheet1!A:D,4,FALSE)</f>
        <v>#N/A</v>
      </c>
    </row>
    <row r="41" spans="1:40" s="36" customFormat="1" ht="14.25" x14ac:dyDescent="0.2">
      <c r="A41" s="57"/>
      <c r="G41" s="58"/>
      <c r="M41" s="42"/>
      <c r="N41" s="42"/>
      <c r="O41" s="42"/>
      <c r="P41" s="42"/>
      <c r="T41" s="42"/>
      <c r="U41" s="42"/>
      <c r="V41" s="42"/>
      <c r="W41" s="42"/>
      <c r="X41" s="42"/>
      <c r="AN41" s="133" t="e">
        <f>VLOOKUP(I41,Sheet1!A:D,4,FALSE)</f>
        <v>#N/A</v>
      </c>
    </row>
    <row r="42" spans="1:40" s="36" customFormat="1" ht="14.25" x14ac:dyDescent="0.2">
      <c r="A42" s="57"/>
      <c r="G42" s="58"/>
      <c r="M42" s="42"/>
      <c r="N42" s="42"/>
      <c r="O42" s="42"/>
      <c r="P42" s="42"/>
      <c r="T42" s="42"/>
      <c r="U42" s="42"/>
      <c r="V42" s="42"/>
      <c r="W42" s="42"/>
      <c r="X42" s="42"/>
      <c r="AN42" s="133" t="e">
        <f>VLOOKUP(I42,Sheet1!A:D,4,FALSE)</f>
        <v>#N/A</v>
      </c>
    </row>
    <row r="43" spans="1:40" s="36" customFormat="1" ht="14.25" x14ac:dyDescent="0.2">
      <c r="A43" s="57"/>
      <c r="G43" s="58"/>
      <c r="M43" s="42"/>
      <c r="N43" s="42"/>
      <c r="O43" s="42"/>
      <c r="P43" s="42"/>
      <c r="T43" s="42"/>
      <c r="U43" s="42"/>
      <c r="V43" s="42"/>
      <c r="W43" s="42"/>
      <c r="X43" s="42"/>
      <c r="AN43" s="133" t="e">
        <f>VLOOKUP(I43,Sheet1!A:D,4,FALSE)</f>
        <v>#N/A</v>
      </c>
    </row>
    <row r="44" spans="1:40" s="36" customFormat="1" ht="14.25" x14ac:dyDescent="0.2">
      <c r="A44" s="57"/>
      <c r="G44" s="58"/>
      <c r="M44" s="42"/>
      <c r="N44" s="42"/>
      <c r="O44" s="42"/>
      <c r="P44" s="42"/>
      <c r="T44" s="42"/>
      <c r="U44" s="42"/>
      <c r="V44" s="42"/>
      <c r="W44" s="42"/>
      <c r="X44" s="42"/>
      <c r="AN44" s="133" t="e">
        <f>VLOOKUP(I44,Sheet1!A:D,4,FALSE)</f>
        <v>#N/A</v>
      </c>
    </row>
    <row r="45" spans="1:40" s="36" customFormat="1" ht="14.25" x14ac:dyDescent="0.2">
      <c r="A45" s="57"/>
      <c r="G45" s="58"/>
      <c r="M45" s="42"/>
      <c r="N45" s="42"/>
      <c r="O45" s="42"/>
      <c r="P45" s="42"/>
      <c r="T45" s="42"/>
      <c r="U45" s="42"/>
      <c r="V45" s="42"/>
      <c r="W45" s="42"/>
      <c r="X45" s="42"/>
      <c r="AN45" s="133" t="e">
        <f>VLOOKUP(I45,Sheet1!A:D,4,FALSE)</f>
        <v>#N/A</v>
      </c>
    </row>
    <row r="46" spans="1:40" s="36" customFormat="1" ht="14.25" x14ac:dyDescent="0.2">
      <c r="A46" s="57"/>
      <c r="G46" s="58"/>
      <c r="M46" s="42"/>
      <c r="N46" s="42"/>
      <c r="O46" s="42"/>
      <c r="P46" s="42"/>
      <c r="T46" s="42"/>
      <c r="U46" s="42"/>
      <c r="V46" s="42"/>
      <c r="W46" s="42"/>
      <c r="X46" s="42"/>
      <c r="AN46" s="133" t="e">
        <f>VLOOKUP(I46,Sheet1!A:D,4,FALSE)</f>
        <v>#N/A</v>
      </c>
    </row>
    <row r="47" spans="1:40" s="36" customFormat="1" ht="14.25" x14ac:dyDescent="0.2">
      <c r="A47" s="57"/>
      <c r="G47" s="58"/>
      <c r="M47" s="42"/>
      <c r="N47" s="42"/>
      <c r="O47" s="42"/>
      <c r="P47" s="42"/>
      <c r="T47" s="42"/>
      <c r="U47" s="42"/>
      <c r="V47" s="42"/>
      <c r="W47" s="42"/>
      <c r="X47" s="42"/>
      <c r="AN47" s="133" t="e">
        <f>VLOOKUP(I47,Sheet1!A:D,4,FALSE)</f>
        <v>#N/A</v>
      </c>
    </row>
    <row r="48" spans="1:40" s="36" customFormat="1" ht="14.25" x14ac:dyDescent="0.2">
      <c r="A48" s="57"/>
      <c r="G48" s="58"/>
      <c r="M48" s="42"/>
      <c r="N48" s="42"/>
      <c r="O48" s="42"/>
      <c r="P48" s="42"/>
      <c r="T48" s="42"/>
      <c r="U48" s="42"/>
      <c r="V48" s="42"/>
      <c r="W48" s="42"/>
      <c r="X48" s="42"/>
      <c r="AN48" s="133" t="e">
        <f>VLOOKUP(I48,Sheet1!A:D,4,FALSE)</f>
        <v>#N/A</v>
      </c>
    </row>
    <row r="49" spans="1:40" s="36" customFormat="1" ht="14.25" x14ac:dyDescent="0.2">
      <c r="A49" s="57"/>
      <c r="G49" s="58"/>
      <c r="M49" s="42"/>
      <c r="N49" s="42"/>
      <c r="O49" s="42"/>
      <c r="P49" s="42"/>
      <c r="T49" s="42"/>
      <c r="U49" s="42"/>
      <c r="V49" s="42"/>
      <c r="W49" s="42"/>
      <c r="X49" s="42"/>
      <c r="AN49" s="133" t="e">
        <f>VLOOKUP(I49,Sheet1!A:D,4,FALSE)</f>
        <v>#N/A</v>
      </c>
    </row>
    <row r="50" spans="1:40" s="36" customFormat="1" ht="14.25" x14ac:dyDescent="0.2">
      <c r="A50" s="57"/>
      <c r="G50" s="58"/>
      <c r="M50" s="42"/>
      <c r="N50" s="42"/>
      <c r="O50" s="42"/>
      <c r="P50" s="42"/>
      <c r="T50" s="42"/>
      <c r="U50" s="42"/>
      <c r="V50" s="42"/>
      <c r="W50" s="42"/>
      <c r="X50" s="42"/>
      <c r="AN50" s="133" t="e">
        <f>VLOOKUP(I50,Sheet1!A:D,4,FALSE)</f>
        <v>#N/A</v>
      </c>
    </row>
    <row r="51" spans="1:40" s="36" customFormat="1" ht="14.25" x14ac:dyDescent="0.2">
      <c r="A51" s="57"/>
      <c r="G51" s="58"/>
      <c r="M51" s="42"/>
      <c r="N51" s="42"/>
      <c r="O51" s="42"/>
      <c r="P51" s="42"/>
      <c r="T51" s="42"/>
      <c r="U51" s="42"/>
      <c r="V51" s="42"/>
      <c r="W51" s="42"/>
      <c r="X51" s="42"/>
      <c r="AN51" s="133" t="e">
        <f>VLOOKUP(I51,Sheet1!A:D,4,FALSE)</f>
        <v>#N/A</v>
      </c>
    </row>
    <row r="52" spans="1:40" s="36" customFormat="1" ht="14.25" x14ac:dyDescent="0.2">
      <c r="A52" s="57"/>
      <c r="G52" s="58"/>
      <c r="M52" s="42"/>
      <c r="N52" s="42"/>
      <c r="O52" s="42"/>
      <c r="P52" s="42"/>
      <c r="T52" s="42"/>
      <c r="U52" s="42"/>
      <c r="V52" s="42"/>
      <c r="W52" s="42"/>
      <c r="X52" s="42"/>
      <c r="AN52" s="133" t="e">
        <f>VLOOKUP(I52,Sheet1!A:D,4,FALSE)</f>
        <v>#N/A</v>
      </c>
    </row>
    <row r="53" spans="1:40" s="36" customFormat="1" ht="14.25" x14ac:dyDescent="0.2">
      <c r="A53" s="57"/>
      <c r="G53" s="58"/>
      <c r="M53" s="42"/>
      <c r="N53" s="42"/>
      <c r="O53" s="42"/>
      <c r="P53" s="42"/>
      <c r="T53" s="42"/>
      <c r="U53" s="42"/>
      <c r="V53" s="42"/>
      <c r="W53" s="42"/>
      <c r="X53" s="42"/>
      <c r="AN53" s="133" t="e">
        <f>VLOOKUP(I53,Sheet1!A:D,4,FALSE)</f>
        <v>#N/A</v>
      </c>
    </row>
    <row r="54" spans="1:40" s="36" customFormat="1" ht="14.25" x14ac:dyDescent="0.2">
      <c r="A54" s="57"/>
      <c r="G54" s="58"/>
      <c r="M54" s="42"/>
      <c r="N54" s="42"/>
      <c r="O54" s="42"/>
      <c r="P54" s="42"/>
      <c r="T54" s="42"/>
      <c r="U54" s="42"/>
      <c r="V54" s="42"/>
      <c r="W54" s="42"/>
      <c r="X54" s="42"/>
      <c r="AN54" s="133" t="e">
        <f>VLOOKUP(I54,Sheet1!A:D,4,FALSE)</f>
        <v>#N/A</v>
      </c>
    </row>
    <row r="55" spans="1:40" s="36" customFormat="1" ht="14.25" x14ac:dyDescent="0.2">
      <c r="A55" s="57"/>
      <c r="G55" s="58"/>
      <c r="M55" s="42"/>
      <c r="N55" s="42"/>
      <c r="O55" s="42"/>
      <c r="P55" s="42"/>
      <c r="T55" s="42"/>
      <c r="U55" s="42"/>
      <c r="V55" s="42"/>
      <c r="W55" s="42"/>
      <c r="X55" s="42"/>
      <c r="AN55" s="133" t="e">
        <f>VLOOKUP(I55,Sheet1!A:D,4,FALSE)</f>
        <v>#N/A</v>
      </c>
    </row>
    <row r="56" spans="1:40" s="36" customFormat="1" ht="14.25" x14ac:dyDescent="0.2">
      <c r="A56" s="57"/>
      <c r="G56" s="58"/>
      <c r="M56" s="42"/>
      <c r="N56" s="42"/>
      <c r="O56" s="42"/>
      <c r="P56" s="42"/>
      <c r="T56" s="42"/>
      <c r="U56" s="42"/>
      <c r="V56" s="42"/>
      <c r="W56" s="42"/>
      <c r="X56" s="42"/>
      <c r="AN56" s="133" t="e">
        <f>VLOOKUP(I56,Sheet1!A:D,4,FALSE)</f>
        <v>#N/A</v>
      </c>
    </row>
    <row r="57" spans="1:40" s="36" customFormat="1" ht="14.25" x14ac:dyDescent="0.2">
      <c r="A57" s="57"/>
      <c r="G57" s="58"/>
      <c r="M57" s="42"/>
      <c r="N57" s="42"/>
      <c r="O57" s="42"/>
      <c r="P57" s="42"/>
      <c r="T57" s="42"/>
      <c r="U57" s="42"/>
      <c r="V57" s="42"/>
      <c r="W57" s="42"/>
      <c r="X57" s="42"/>
      <c r="AN57" s="133" t="e">
        <f>VLOOKUP(I57,Sheet1!A:D,4,FALSE)</f>
        <v>#N/A</v>
      </c>
    </row>
    <row r="58" spans="1:40" s="36" customFormat="1" ht="14.25" x14ac:dyDescent="0.2">
      <c r="A58" s="57"/>
      <c r="G58" s="58"/>
      <c r="M58" s="42"/>
      <c r="N58" s="42"/>
      <c r="O58" s="42"/>
      <c r="P58" s="42"/>
      <c r="T58" s="42"/>
      <c r="U58" s="42"/>
      <c r="V58" s="42"/>
      <c r="W58" s="42"/>
      <c r="X58" s="42"/>
      <c r="AN58" s="133" t="e">
        <f>VLOOKUP(I58,Sheet1!A:D,4,FALSE)</f>
        <v>#N/A</v>
      </c>
    </row>
    <row r="59" spans="1:40" s="36" customFormat="1" ht="14.25" x14ac:dyDescent="0.2">
      <c r="A59" s="57"/>
      <c r="G59" s="58"/>
      <c r="M59" s="42"/>
      <c r="N59" s="42"/>
      <c r="O59" s="42"/>
      <c r="P59" s="42"/>
      <c r="T59" s="42"/>
      <c r="U59" s="42"/>
      <c r="V59" s="42"/>
      <c r="W59" s="42"/>
      <c r="X59" s="42"/>
      <c r="AN59" s="133" t="e">
        <f>VLOOKUP(I59,Sheet1!A:D,4,FALSE)</f>
        <v>#N/A</v>
      </c>
    </row>
    <row r="60" spans="1:40" s="36" customFormat="1" ht="14.25" x14ac:dyDescent="0.2">
      <c r="A60" s="57"/>
      <c r="G60" s="58"/>
      <c r="M60" s="42"/>
      <c r="N60" s="42"/>
      <c r="O60" s="42"/>
      <c r="P60" s="42"/>
      <c r="T60" s="42"/>
      <c r="U60" s="42"/>
      <c r="V60" s="42"/>
      <c r="W60" s="42"/>
      <c r="X60" s="42"/>
      <c r="AN60" s="133" t="e">
        <f>VLOOKUP(I60,Sheet1!A:D,4,FALSE)</f>
        <v>#N/A</v>
      </c>
    </row>
    <row r="61" spans="1:40" s="36" customFormat="1" ht="14.25" x14ac:dyDescent="0.2">
      <c r="A61" s="57"/>
      <c r="G61" s="58"/>
      <c r="M61" s="42"/>
      <c r="N61" s="42"/>
      <c r="O61" s="42"/>
      <c r="P61" s="42"/>
      <c r="T61" s="42"/>
      <c r="U61" s="42"/>
      <c r="V61" s="42"/>
      <c r="W61" s="42"/>
      <c r="X61" s="42"/>
      <c r="AN61" s="133" t="e">
        <f>VLOOKUP(I61,Sheet1!A:D,4,FALSE)</f>
        <v>#N/A</v>
      </c>
    </row>
    <row r="62" spans="1:40" s="36" customFormat="1" ht="14.25" x14ac:dyDescent="0.2">
      <c r="A62" s="57"/>
      <c r="G62" s="58"/>
      <c r="M62" s="42"/>
      <c r="N62" s="42"/>
      <c r="O62" s="42"/>
      <c r="P62" s="42"/>
      <c r="T62" s="42"/>
      <c r="U62" s="42"/>
      <c r="V62" s="42"/>
      <c r="W62" s="42"/>
      <c r="X62" s="42"/>
      <c r="AN62" s="133" t="e">
        <f>VLOOKUP(I62,Sheet1!A:D,4,FALSE)</f>
        <v>#N/A</v>
      </c>
    </row>
    <row r="63" spans="1:40" s="36" customFormat="1" ht="14.25" x14ac:dyDescent="0.2">
      <c r="A63" s="57"/>
      <c r="G63" s="58"/>
      <c r="M63" s="42"/>
      <c r="N63" s="42"/>
      <c r="O63" s="42"/>
      <c r="P63" s="42"/>
      <c r="T63" s="42"/>
      <c r="U63" s="42"/>
      <c r="V63" s="42"/>
      <c r="W63" s="42"/>
      <c r="X63" s="42"/>
      <c r="AN63" s="133" t="e">
        <f>VLOOKUP(I63,Sheet1!A:D,4,FALSE)</f>
        <v>#N/A</v>
      </c>
    </row>
    <row r="64" spans="1:40" s="36" customFormat="1" ht="14.25" x14ac:dyDescent="0.2">
      <c r="A64" s="57"/>
      <c r="G64" s="58"/>
      <c r="M64" s="42"/>
      <c r="N64" s="42"/>
      <c r="O64" s="42"/>
      <c r="P64" s="42"/>
      <c r="T64" s="42"/>
      <c r="U64" s="42"/>
      <c r="V64" s="42"/>
      <c r="W64" s="42"/>
      <c r="X64" s="42"/>
      <c r="AN64" s="133" t="e">
        <f>VLOOKUP(I64,Sheet1!A:D,4,FALSE)</f>
        <v>#N/A</v>
      </c>
    </row>
    <row r="65" spans="1:40" s="36" customFormat="1" ht="14.25" x14ac:dyDescent="0.2">
      <c r="A65" s="57"/>
      <c r="G65" s="58"/>
      <c r="M65" s="42"/>
      <c r="N65" s="42"/>
      <c r="O65" s="42"/>
      <c r="P65" s="42"/>
      <c r="T65" s="42"/>
      <c r="U65" s="42"/>
      <c r="V65" s="42"/>
      <c r="W65" s="42"/>
      <c r="X65" s="42"/>
      <c r="AN65" s="133" t="e">
        <f>VLOOKUP(I65,Sheet1!A:D,4,FALSE)</f>
        <v>#N/A</v>
      </c>
    </row>
    <row r="66" spans="1:40" s="36" customFormat="1" ht="14.25" x14ac:dyDescent="0.2">
      <c r="A66" s="57"/>
      <c r="G66" s="58"/>
      <c r="M66" s="42"/>
      <c r="N66" s="42"/>
      <c r="O66" s="42"/>
      <c r="P66" s="42"/>
      <c r="T66" s="42"/>
      <c r="U66" s="42"/>
      <c r="V66" s="42"/>
      <c r="W66" s="42"/>
      <c r="X66" s="42"/>
      <c r="AN66" s="133" t="e">
        <f>VLOOKUP(I66,Sheet1!A:D,4,FALSE)</f>
        <v>#N/A</v>
      </c>
    </row>
    <row r="67" spans="1:40" s="36" customFormat="1" ht="14.25" x14ac:dyDescent="0.2">
      <c r="A67" s="57"/>
      <c r="G67" s="58"/>
      <c r="M67" s="42"/>
      <c r="N67" s="42"/>
      <c r="O67" s="42"/>
      <c r="P67" s="42"/>
      <c r="T67" s="42"/>
      <c r="U67" s="42"/>
      <c r="V67" s="42"/>
      <c r="W67" s="42"/>
      <c r="X67" s="42"/>
      <c r="AN67" s="133" t="e">
        <f>VLOOKUP(I67,Sheet1!A:D,4,FALSE)</f>
        <v>#N/A</v>
      </c>
    </row>
    <row r="68" spans="1:40" s="36" customFormat="1" ht="14.25" x14ac:dyDescent="0.2">
      <c r="A68" s="57"/>
      <c r="G68" s="58"/>
      <c r="M68" s="42"/>
      <c r="N68" s="42"/>
      <c r="O68" s="42"/>
      <c r="P68" s="42"/>
      <c r="T68" s="42"/>
      <c r="U68" s="42"/>
      <c r="V68" s="42"/>
      <c r="W68" s="42"/>
      <c r="X68" s="42"/>
      <c r="AN68" s="133" t="e">
        <f>VLOOKUP(I68,Sheet1!A:D,4,FALSE)</f>
        <v>#N/A</v>
      </c>
    </row>
    <row r="69" spans="1:40" s="36" customFormat="1" ht="14.25" x14ac:dyDescent="0.2">
      <c r="A69" s="57"/>
      <c r="G69" s="58"/>
      <c r="M69" s="42"/>
      <c r="N69" s="42"/>
      <c r="O69" s="42"/>
      <c r="P69" s="42"/>
      <c r="T69" s="42"/>
      <c r="U69" s="42"/>
      <c r="V69" s="42"/>
      <c r="W69" s="42"/>
      <c r="X69" s="42"/>
      <c r="AN69" s="133" t="e">
        <f>VLOOKUP(I69,Sheet1!A:D,4,FALSE)</f>
        <v>#N/A</v>
      </c>
    </row>
    <row r="70" spans="1:40" s="36" customFormat="1" ht="14.25" x14ac:dyDescent="0.2">
      <c r="A70" s="57"/>
      <c r="G70" s="58"/>
      <c r="M70" s="42"/>
      <c r="N70" s="42"/>
      <c r="O70" s="42"/>
      <c r="P70" s="42"/>
      <c r="T70" s="42"/>
      <c r="U70" s="42"/>
      <c r="V70" s="42"/>
      <c r="W70" s="42"/>
      <c r="X70" s="42"/>
      <c r="AN70" s="133" t="e">
        <f>VLOOKUP(I70,Sheet1!A:D,4,FALSE)</f>
        <v>#N/A</v>
      </c>
    </row>
    <row r="71" spans="1:40" s="36" customFormat="1" ht="14.25" x14ac:dyDescent="0.2">
      <c r="A71" s="57"/>
      <c r="G71" s="58"/>
      <c r="M71" s="42"/>
      <c r="N71" s="42"/>
      <c r="O71" s="42"/>
      <c r="P71" s="42"/>
      <c r="T71" s="42"/>
      <c r="U71" s="42"/>
      <c r="V71" s="42"/>
      <c r="W71" s="42"/>
      <c r="X71" s="42"/>
      <c r="AN71" s="133" t="e">
        <f>VLOOKUP(I71,Sheet1!A:D,4,FALSE)</f>
        <v>#N/A</v>
      </c>
    </row>
    <row r="72" spans="1:40" s="36" customFormat="1" ht="14.25" x14ac:dyDescent="0.2">
      <c r="A72" s="57"/>
      <c r="G72" s="58"/>
      <c r="M72" s="42"/>
      <c r="N72" s="42"/>
      <c r="O72" s="42"/>
      <c r="P72" s="42"/>
      <c r="T72" s="42"/>
      <c r="U72" s="42"/>
      <c r="V72" s="42"/>
      <c r="W72" s="42"/>
      <c r="X72" s="42"/>
      <c r="AN72" s="133" t="e">
        <f>VLOOKUP(I72,Sheet1!A:D,4,FALSE)</f>
        <v>#N/A</v>
      </c>
    </row>
    <row r="73" spans="1:40" s="36" customFormat="1" ht="14.25" x14ac:dyDescent="0.2">
      <c r="A73" s="57"/>
      <c r="G73" s="58"/>
      <c r="M73" s="42"/>
      <c r="N73" s="42"/>
      <c r="O73" s="42"/>
      <c r="P73" s="42"/>
      <c r="T73" s="42"/>
      <c r="U73" s="42"/>
      <c r="V73" s="42"/>
      <c r="W73" s="42"/>
      <c r="X73" s="42"/>
      <c r="AN73" s="133" t="e">
        <f>VLOOKUP(I73,Sheet1!A:D,4,FALSE)</f>
        <v>#N/A</v>
      </c>
    </row>
    <row r="74" spans="1:40" s="36" customFormat="1" ht="14.25" x14ac:dyDescent="0.2">
      <c r="A74" s="57"/>
      <c r="G74" s="58"/>
      <c r="M74" s="42"/>
      <c r="N74" s="42"/>
      <c r="O74" s="42"/>
      <c r="P74" s="42"/>
      <c r="T74" s="42"/>
      <c r="U74" s="42"/>
      <c r="V74" s="42"/>
      <c r="W74" s="42"/>
      <c r="X74" s="42"/>
      <c r="AN74" s="133" t="e">
        <f>VLOOKUP(I74,Sheet1!A:D,4,FALSE)</f>
        <v>#N/A</v>
      </c>
    </row>
    <row r="75" spans="1:40" s="36" customFormat="1" ht="14.25" x14ac:dyDescent="0.2">
      <c r="A75" s="57"/>
      <c r="G75" s="58"/>
      <c r="M75" s="42"/>
      <c r="N75" s="42"/>
      <c r="O75" s="42"/>
      <c r="P75" s="42"/>
      <c r="T75" s="42"/>
      <c r="U75" s="42"/>
      <c r="V75" s="42"/>
      <c r="W75" s="42"/>
      <c r="X75" s="42"/>
      <c r="AN75" s="133" t="e">
        <f>VLOOKUP(I75,Sheet1!A:D,4,FALSE)</f>
        <v>#N/A</v>
      </c>
    </row>
    <row r="76" spans="1:40" s="36" customFormat="1" ht="14.25" x14ac:dyDescent="0.2">
      <c r="A76" s="57"/>
      <c r="G76" s="58"/>
      <c r="M76" s="42"/>
      <c r="N76" s="42"/>
      <c r="O76" s="42"/>
      <c r="P76" s="42"/>
      <c r="T76" s="42"/>
      <c r="U76" s="42"/>
      <c r="V76" s="42"/>
      <c r="W76" s="42"/>
      <c r="X76" s="42"/>
      <c r="AN76" s="133" t="e">
        <f>VLOOKUP(I76,Sheet1!A:D,4,FALSE)</f>
        <v>#N/A</v>
      </c>
    </row>
    <row r="77" spans="1:40" s="36" customFormat="1" ht="14.25" x14ac:dyDescent="0.2">
      <c r="A77" s="57"/>
      <c r="G77" s="58"/>
      <c r="M77" s="42"/>
      <c r="N77" s="42"/>
      <c r="O77" s="42"/>
      <c r="P77" s="42"/>
      <c r="T77" s="42"/>
      <c r="U77" s="42"/>
      <c r="V77" s="42"/>
      <c r="W77" s="42"/>
      <c r="X77" s="42"/>
      <c r="AN77" s="133" t="e">
        <f>VLOOKUP(I77,Sheet1!A:D,4,FALSE)</f>
        <v>#N/A</v>
      </c>
    </row>
    <row r="78" spans="1:40" s="36" customFormat="1" ht="14.25" x14ac:dyDescent="0.2">
      <c r="A78" s="57"/>
      <c r="G78" s="58"/>
      <c r="M78" s="42"/>
      <c r="N78" s="42"/>
      <c r="O78" s="42"/>
      <c r="P78" s="42"/>
      <c r="T78" s="42"/>
      <c r="U78" s="42"/>
      <c r="V78" s="42"/>
      <c r="W78" s="42"/>
      <c r="X78" s="42"/>
      <c r="AN78" s="133" t="e">
        <f>VLOOKUP(I78,Sheet1!A:D,4,FALSE)</f>
        <v>#N/A</v>
      </c>
    </row>
    <row r="79" spans="1:40" s="36" customFormat="1" ht="14.25" x14ac:dyDescent="0.2">
      <c r="A79" s="57"/>
      <c r="G79" s="58"/>
      <c r="M79" s="42"/>
      <c r="N79" s="42"/>
      <c r="O79" s="42"/>
      <c r="P79" s="42"/>
      <c r="T79" s="42"/>
      <c r="U79" s="42"/>
      <c r="V79" s="42"/>
      <c r="W79" s="42"/>
      <c r="X79" s="42"/>
      <c r="AN79" s="133" t="e">
        <f>VLOOKUP(I79,Sheet1!A:D,4,FALSE)</f>
        <v>#N/A</v>
      </c>
    </row>
    <row r="80" spans="1:40" s="36" customFormat="1" ht="14.25" x14ac:dyDescent="0.2">
      <c r="A80" s="57"/>
      <c r="G80" s="58"/>
      <c r="M80" s="42"/>
      <c r="N80" s="42"/>
      <c r="O80" s="42"/>
      <c r="P80" s="42"/>
      <c r="T80" s="42"/>
      <c r="U80" s="42"/>
      <c r="V80" s="42"/>
      <c r="W80" s="42"/>
      <c r="X80" s="42"/>
      <c r="AN80" s="133" t="e">
        <f>VLOOKUP(I80,Sheet1!A:D,4,FALSE)</f>
        <v>#N/A</v>
      </c>
    </row>
    <row r="81" spans="1:40" s="36" customFormat="1" ht="14.25" x14ac:dyDescent="0.2">
      <c r="A81" s="57"/>
      <c r="G81" s="58"/>
      <c r="M81" s="42"/>
      <c r="N81" s="42"/>
      <c r="O81" s="42"/>
      <c r="P81" s="42"/>
      <c r="T81" s="42"/>
      <c r="U81" s="42"/>
      <c r="V81" s="42"/>
      <c r="W81" s="42"/>
      <c r="X81" s="42"/>
      <c r="AN81" s="133" t="e">
        <f>VLOOKUP(I81,Sheet1!A:D,4,FALSE)</f>
        <v>#N/A</v>
      </c>
    </row>
    <row r="82" spans="1:40" s="36" customFormat="1" ht="14.25" x14ac:dyDescent="0.2">
      <c r="A82" s="57"/>
      <c r="G82" s="58"/>
      <c r="M82" s="42"/>
      <c r="N82" s="42"/>
      <c r="O82" s="42"/>
      <c r="P82" s="42"/>
      <c r="T82" s="42"/>
      <c r="U82" s="42"/>
      <c r="V82" s="42"/>
      <c r="W82" s="42"/>
      <c r="X82" s="42"/>
      <c r="AN82" s="133" t="e">
        <f>VLOOKUP(I82,Sheet1!A:D,4,FALSE)</f>
        <v>#N/A</v>
      </c>
    </row>
    <row r="83" spans="1:40" s="36" customFormat="1" ht="14.25" x14ac:dyDescent="0.2">
      <c r="A83" s="57"/>
      <c r="G83" s="58"/>
      <c r="M83" s="42"/>
      <c r="N83" s="42"/>
      <c r="O83" s="42"/>
      <c r="P83" s="42"/>
      <c r="T83" s="42"/>
      <c r="U83" s="42"/>
      <c r="V83" s="42"/>
      <c r="W83" s="42"/>
      <c r="X83" s="42"/>
      <c r="AN83" s="133" t="e">
        <f>VLOOKUP(I83,Sheet1!A:D,4,FALSE)</f>
        <v>#N/A</v>
      </c>
    </row>
    <row r="84" spans="1:40" s="36" customFormat="1" ht="14.25" x14ac:dyDescent="0.2">
      <c r="A84" s="57"/>
      <c r="G84" s="58"/>
      <c r="M84" s="42"/>
      <c r="N84" s="42"/>
      <c r="O84" s="42"/>
      <c r="P84" s="42"/>
      <c r="T84" s="42"/>
      <c r="U84" s="42"/>
      <c r="V84" s="42"/>
      <c r="W84" s="42"/>
      <c r="X84" s="42"/>
      <c r="AN84" s="133" t="e">
        <f>VLOOKUP(I84,Sheet1!A:D,4,FALSE)</f>
        <v>#N/A</v>
      </c>
    </row>
    <row r="85" spans="1:40" s="36" customFormat="1" ht="14.25" x14ac:dyDescent="0.2">
      <c r="A85" s="57"/>
      <c r="G85" s="58"/>
      <c r="M85" s="42"/>
      <c r="N85" s="42"/>
      <c r="O85" s="42"/>
      <c r="P85" s="42"/>
      <c r="T85" s="42"/>
      <c r="U85" s="42"/>
      <c r="V85" s="42"/>
      <c r="W85" s="42"/>
      <c r="X85" s="42"/>
      <c r="AN85" s="133" t="e">
        <f>VLOOKUP(I85,Sheet1!A:D,4,FALSE)</f>
        <v>#N/A</v>
      </c>
    </row>
    <row r="86" spans="1:40" s="36" customFormat="1" ht="14.25" x14ac:dyDescent="0.2">
      <c r="A86" s="57"/>
      <c r="G86" s="58"/>
      <c r="M86" s="42"/>
      <c r="N86" s="42"/>
      <c r="O86" s="42"/>
      <c r="P86" s="42"/>
      <c r="T86" s="42"/>
      <c r="U86" s="42"/>
      <c r="V86" s="42"/>
      <c r="W86" s="42"/>
      <c r="X86" s="42"/>
      <c r="AN86" s="133" t="e">
        <f>VLOOKUP(I86,Sheet1!A:D,4,FALSE)</f>
        <v>#N/A</v>
      </c>
    </row>
    <row r="87" spans="1:40" s="36" customFormat="1" ht="14.25" x14ac:dyDescent="0.2">
      <c r="A87" s="57"/>
      <c r="G87" s="58"/>
      <c r="M87" s="42"/>
      <c r="N87" s="42"/>
      <c r="O87" s="42"/>
      <c r="P87" s="42"/>
      <c r="T87" s="42"/>
      <c r="U87" s="42"/>
      <c r="V87" s="42"/>
      <c r="W87" s="42"/>
      <c r="X87" s="42"/>
      <c r="AN87" s="133" t="e">
        <f>VLOOKUP(I87,Sheet1!A:D,4,FALSE)</f>
        <v>#N/A</v>
      </c>
    </row>
    <row r="88" spans="1:40" s="36" customFormat="1" ht="14.25" x14ac:dyDescent="0.2">
      <c r="A88" s="57"/>
      <c r="G88" s="58"/>
      <c r="M88" s="42"/>
      <c r="N88" s="42"/>
      <c r="O88" s="42"/>
      <c r="P88" s="42"/>
      <c r="T88" s="42"/>
      <c r="U88" s="42"/>
      <c r="V88" s="42"/>
      <c r="W88" s="42"/>
      <c r="X88" s="42"/>
      <c r="AN88" s="133" t="e">
        <f>VLOOKUP(I88,Sheet1!A:D,4,FALSE)</f>
        <v>#N/A</v>
      </c>
    </row>
    <row r="89" spans="1:40" s="36" customFormat="1" ht="14.25" x14ac:dyDescent="0.2">
      <c r="A89" s="57"/>
      <c r="G89" s="58"/>
      <c r="M89" s="42"/>
      <c r="N89" s="42"/>
      <c r="O89" s="42"/>
      <c r="P89" s="42"/>
      <c r="T89" s="42"/>
      <c r="U89" s="42"/>
      <c r="V89" s="42"/>
      <c r="W89" s="42"/>
      <c r="X89" s="42"/>
      <c r="AN89" s="133" t="e">
        <f>VLOOKUP(I89,Sheet1!A:D,4,FALSE)</f>
        <v>#N/A</v>
      </c>
    </row>
    <row r="90" spans="1:40" s="36" customFormat="1" ht="14.25" x14ac:dyDescent="0.2">
      <c r="A90" s="57"/>
      <c r="G90" s="58"/>
      <c r="M90" s="42"/>
      <c r="N90" s="42"/>
      <c r="O90" s="42"/>
      <c r="P90" s="42"/>
      <c r="T90" s="42"/>
      <c r="U90" s="42"/>
      <c r="V90" s="42"/>
      <c r="W90" s="42"/>
      <c r="X90" s="42"/>
      <c r="AN90" s="133" t="e">
        <f>VLOOKUP(I90,Sheet1!A:D,4,FALSE)</f>
        <v>#N/A</v>
      </c>
    </row>
    <row r="91" spans="1:40" s="36" customFormat="1" ht="14.25" x14ac:dyDescent="0.2">
      <c r="A91" s="57"/>
      <c r="G91" s="58"/>
      <c r="M91" s="42"/>
      <c r="N91" s="42"/>
      <c r="O91" s="42"/>
      <c r="P91" s="42"/>
      <c r="T91" s="42"/>
      <c r="U91" s="42"/>
      <c r="V91" s="42"/>
      <c r="W91" s="42"/>
      <c r="X91" s="42"/>
      <c r="AN91" s="133" t="e">
        <f>VLOOKUP(I91,Sheet1!A:D,4,FALSE)</f>
        <v>#N/A</v>
      </c>
    </row>
    <row r="92" spans="1:40" s="36" customFormat="1" ht="14.25" x14ac:dyDescent="0.2">
      <c r="A92" s="57"/>
      <c r="G92" s="58"/>
      <c r="M92" s="42"/>
      <c r="N92" s="42"/>
      <c r="O92" s="42"/>
      <c r="P92" s="42"/>
      <c r="T92" s="42"/>
      <c r="U92" s="42"/>
      <c r="V92" s="42"/>
      <c r="W92" s="42"/>
      <c r="X92" s="42"/>
      <c r="AN92" s="133" t="e">
        <f>VLOOKUP(I92,Sheet1!A:D,4,FALSE)</f>
        <v>#N/A</v>
      </c>
    </row>
    <row r="93" spans="1:40" s="36" customFormat="1" ht="14.25" x14ac:dyDescent="0.2">
      <c r="A93" s="57"/>
      <c r="G93" s="58"/>
      <c r="M93" s="42"/>
      <c r="N93" s="42"/>
      <c r="O93" s="42"/>
      <c r="P93" s="42"/>
      <c r="T93" s="42"/>
      <c r="U93" s="42"/>
      <c r="V93" s="42"/>
      <c r="W93" s="42"/>
      <c r="X93" s="42"/>
      <c r="AN93" s="133" t="e">
        <f>VLOOKUP(I93,Sheet1!A:D,4,FALSE)</f>
        <v>#N/A</v>
      </c>
    </row>
    <row r="94" spans="1:40" s="36" customFormat="1" ht="14.25" x14ac:dyDescent="0.2">
      <c r="A94" s="57"/>
      <c r="G94" s="58"/>
      <c r="M94" s="42"/>
      <c r="N94" s="42"/>
      <c r="O94" s="42"/>
      <c r="P94" s="42"/>
      <c r="T94" s="42"/>
      <c r="U94" s="42"/>
      <c r="V94" s="42"/>
      <c r="W94" s="42"/>
      <c r="X94" s="42"/>
      <c r="AN94" s="133" t="e">
        <f>VLOOKUP(I94,Sheet1!A:D,4,FALSE)</f>
        <v>#N/A</v>
      </c>
    </row>
    <row r="95" spans="1:40" s="36" customFormat="1" ht="14.25" x14ac:dyDescent="0.2">
      <c r="A95" s="57"/>
      <c r="G95" s="58"/>
      <c r="M95" s="42"/>
      <c r="N95" s="42"/>
      <c r="O95" s="42"/>
      <c r="P95" s="42"/>
      <c r="T95" s="42"/>
      <c r="U95" s="42"/>
      <c r="V95" s="42"/>
      <c r="W95" s="42"/>
      <c r="X95" s="42"/>
      <c r="AN95" s="133" t="e">
        <f>VLOOKUP(I95,Sheet1!A:D,4,FALSE)</f>
        <v>#N/A</v>
      </c>
    </row>
    <row r="96" spans="1:40" s="36" customFormat="1" ht="14.25" x14ac:dyDescent="0.2">
      <c r="A96" s="57"/>
      <c r="G96" s="58"/>
      <c r="M96" s="42"/>
      <c r="N96" s="42"/>
      <c r="O96" s="42"/>
      <c r="P96" s="42"/>
      <c r="T96" s="42"/>
      <c r="U96" s="42"/>
      <c r="V96" s="42"/>
      <c r="W96" s="42"/>
      <c r="X96" s="42"/>
      <c r="AN96" s="133" t="e">
        <f>VLOOKUP(I96,Sheet1!A:D,4,FALSE)</f>
        <v>#N/A</v>
      </c>
    </row>
    <row r="97" spans="1:40" s="36" customFormat="1" ht="14.25" x14ac:dyDescent="0.2">
      <c r="A97" s="57"/>
      <c r="G97" s="58"/>
      <c r="M97" s="42"/>
      <c r="N97" s="42"/>
      <c r="O97" s="42"/>
      <c r="P97" s="42"/>
      <c r="T97" s="42"/>
      <c r="U97" s="42"/>
      <c r="V97" s="42"/>
      <c r="W97" s="42"/>
      <c r="X97" s="42"/>
      <c r="AN97" s="133" t="e">
        <f>VLOOKUP(I97,Sheet1!A:D,4,FALSE)</f>
        <v>#N/A</v>
      </c>
    </row>
    <row r="98" spans="1:40" s="36" customFormat="1" ht="14.25" x14ac:dyDescent="0.2">
      <c r="A98" s="57"/>
      <c r="G98" s="58"/>
      <c r="M98" s="42"/>
      <c r="N98" s="42"/>
      <c r="O98" s="42"/>
      <c r="P98" s="42"/>
      <c r="T98" s="42"/>
      <c r="U98" s="42"/>
      <c r="V98" s="42"/>
      <c r="W98" s="42"/>
      <c r="X98" s="42"/>
      <c r="AN98" s="133" t="e">
        <f>VLOOKUP(I98,Sheet1!A:D,4,FALSE)</f>
        <v>#N/A</v>
      </c>
    </row>
    <row r="99" spans="1:40" s="36" customFormat="1" ht="14.25" x14ac:dyDescent="0.2">
      <c r="A99" s="57"/>
      <c r="G99" s="58"/>
      <c r="M99" s="42"/>
      <c r="N99" s="42"/>
      <c r="O99" s="42"/>
      <c r="P99" s="42"/>
      <c r="T99" s="42"/>
      <c r="U99" s="42"/>
      <c r="V99" s="42"/>
      <c r="W99" s="42"/>
      <c r="X99" s="42"/>
      <c r="AN99" s="133" t="e">
        <f>VLOOKUP(I99,Sheet1!A:D,4,FALSE)</f>
        <v>#N/A</v>
      </c>
    </row>
    <row r="100" spans="1:40" s="36" customFormat="1" ht="14.25" x14ac:dyDescent="0.2">
      <c r="A100" s="57"/>
      <c r="G100" s="58"/>
      <c r="M100" s="42"/>
      <c r="N100" s="42"/>
      <c r="O100" s="42"/>
      <c r="P100" s="42"/>
      <c r="T100" s="42"/>
      <c r="U100" s="42"/>
      <c r="V100" s="42"/>
      <c r="W100" s="42"/>
      <c r="X100" s="42"/>
      <c r="AN100" s="133" t="e">
        <f>VLOOKUP(I100,Sheet1!A:D,4,FALSE)</f>
        <v>#N/A</v>
      </c>
    </row>
    <row r="101" spans="1:40" s="36" customFormat="1" ht="14.25" x14ac:dyDescent="0.2">
      <c r="A101" s="57"/>
      <c r="G101" s="58"/>
      <c r="M101" s="42"/>
      <c r="N101" s="42"/>
      <c r="O101" s="42"/>
      <c r="P101" s="42"/>
      <c r="T101" s="42"/>
      <c r="U101" s="42"/>
      <c r="V101" s="42"/>
      <c r="W101" s="42"/>
      <c r="X101" s="42"/>
      <c r="AN101" s="133" t="e">
        <f>VLOOKUP(I101,Sheet1!A:D,4,FALSE)</f>
        <v>#N/A</v>
      </c>
    </row>
    <row r="102" spans="1:40" s="36" customFormat="1" ht="14.25" x14ac:dyDescent="0.2">
      <c r="A102" s="57"/>
      <c r="G102" s="58"/>
      <c r="M102" s="42"/>
      <c r="N102" s="42"/>
      <c r="O102" s="42"/>
      <c r="P102" s="42"/>
      <c r="T102" s="42"/>
      <c r="U102" s="42"/>
      <c r="V102" s="42"/>
      <c r="W102" s="42"/>
      <c r="X102" s="42"/>
      <c r="AN102" s="133" t="e">
        <f>VLOOKUP(I102,Sheet1!A:D,4,FALSE)</f>
        <v>#N/A</v>
      </c>
    </row>
    <row r="103" spans="1:40" s="36" customFormat="1" ht="14.25" x14ac:dyDescent="0.2">
      <c r="A103" s="57"/>
      <c r="G103" s="58"/>
      <c r="M103" s="42"/>
      <c r="N103" s="42"/>
      <c r="O103" s="42"/>
      <c r="P103" s="42"/>
      <c r="T103" s="42"/>
      <c r="U103" s="42"/>
      <c r="V103" s="42"/>
      <c r="W103" s="42"/>
      <c r="X103" s="42"/>
      <c r="AN103" s="133" t="e">
        <f>VLOOKUP(I103,Sheet1!A:D,4,FALSE)</f>
        <v>#N/A</v>
      </c>
    </row>
    <row r="104" spans="1:40" s="36" customFormat="1" ht="14.25" x14ac:dyDescent="0.2">
      <c r="A104" s="57"/>
      <c r="G104" s="58"/>
      <c r="M104" s="42"/>
      <c r="N104" s="42"/>
      <c r="O104" s="42"/>
      <c r="P104" s="42"/>
      <c r="T104" s="42"/>
      <c r="U104" s="42"/>
      <c r="V104" s="42"/>
      <c r="W104" s="42"/>
      <c r="X104" s="42"/>
      <c r="AN104" s="133" t="e">
        <f>VLOOKUP(I104,Sheet1!A:D,4,FALSE)</f>
        <v>#N/A</v>
      </c>
    </row>
    <row r="105" spans="1:40" s="36" customFormat="1" ht="14.25" x14ac:dyDescent="0.2">
      <c r="A105" s="57"/>
      <c r="G105" s="58"/>
      <c r="M105" s="42"/>
      <c r="N105" s="42"/>
      <c r="O105" s="42"/>
      <c r="P105" s="42"/>
      <c r="T105" s="42"/>
      <c r="U105" s="42"/>
      <c r="V105" s="42"/>
      <c r="W105" s="42"/>
      <c r="X105" s="42"/>
      <c r="AN105" s="133" t="e">
        <f>VLOOKUP(I105,Sheet1!A:D,4,FALSE)</f>
        <v>#N/A</v>
      </c>
    </row>
    <row r="106" spans="1:40" s="36" customFormat="1" ht="14.25" x14ac:dyDescent="0.2">
      <c r="A106" s="57"/>
      <c r="G106" s="58"/>
      <c r="M106" s="42"/>
      <c r="N106" s="42"/>
      <c r="O106" s="42"/>
      <c r="P106" s="42"/>
      <c r="T106" s="42"/>
      <c r="U106" s="42"/>
      <c r="V106" s="42"/>
      <c r="W106" s="42"/>
      <c r="X106" s="42"/>
      <c r="AN106" s="133" t="e">
        <f>VLOOKUP(I106,Sheet1!A:D,4,FALSE)</f>
        <v>#N/A</v>
      </c>
    </row>
    <row r="107" spans="1:40" s="36" customFormat="1" ht="14.25" x14ac:dyDescent="0.2">
      <c r="A107" s="57"/>
      <c r="G107" s="58"/>
      <c r="M107" s="42"/>
      <c r="N107" s="42"/>
      <c r="O107" s="42"/>
      <c r="P107" s="42"/>
      <c r="T107" s="42"/>
      <c r="U107" s="42"/>
      <c r="V107" s="42"/>
      <c r="W107" s="42"/>
      <c r="X107" s="42"/>
      <c r="AN107" s="133" t="e">
        <f>VLOOKUP(I107,Sheet1!A:D,4,FALSE)</f>
        <v>#N/A</v>
      </c>
    </row>
    <row r="108" spans="1:40" s="36" customFormat="1" ht="14.25" x14ac:dyDescent="0.2">
      <c r="A108" s="57"/>
      <c r="G108" s="58"/>
      <c r="M108" s="42"/>
      <c r="N108" s="42"/>
      <c r="O108" s="42"/>
      <c r="P108" s="42"/>
      <c r="T108" s="42"/>
      <c r="U108" s="42"/>
      <c r="V108" s="42"/>
      <c r="W108" s="42"/>
      <c r="X108" s="42"/>
      <c r="AN108" s="133" t="e">
        <f>VLOOKUP(I108,Sheet1!A:D,4,FALSE)</f>
        <v>#N/A</v>
      </c>
    </row>
    <row r="109" spans="1:40" s="36" customFormat="1" ht="14.25" x14ac:dyDescent="0.2">
      <c r="A109" s="57"/>
      <c r="G109" s="58"/>
      <c r="M109" s="42"/>
      <c r="N109" s="42"/>
      <c r="O109" s="42"/>
      <c r="P109" s="42"/>
      <c r="T109" s="42"/>
      <c r="U109" s="42"/>
      <c r="V109" s="42"/>
      <c r="W109" s="42"/>
      <c r="X109" s="42"/>
      <c r="AN109" s="133" t="e">
        <f>VLOOKUP(I109,Sheet1!A:D,4,FALSE)</f>
        <v>#N/A</v>
      </c>
    </row>
    <row r="110" spans="1:40" s="36" customFormat="1" ht="14.25" x14ac:dyDescent="0.2">
      <c r="A110" s="57"/>
      <c r="G110" s="58"/>
      <c r="M110" s="42"/>
      <c r="N110" s="42"/>
      <c r="O110" s="42"/>
      <c r="P110" s="42"/>
      <c r="T110" s="42"/>
      <c r="U110" s="42"/>
      <c r="V110" s="42"/>
      <c r="W110" s="42"/>
      <c r="X110" s="42"/>
      <c r="AN110" s="133" t="e">
        <f>VLOOKUP(I110,Sheet1!A:D,4,FALSE)</f>
        <v>#N/A</v>
      </c>
    </row>
    <row r="111" spans="1:40" s="36" customFormat="1" ht="14.25" x14ac:dyDescent="0.2">
      <c r="A111" s="57"/>
      <c r="G111" s="58"/>
      <c r="M111" s="42"/>
      <c r="N111" s="42"/>
      <c r="O111" s="42"/>
      <c r="P111" s="42"/>
      <c r="T111" s="42"/>
      <c r="U111" s="42"/>
      <c r="V111" s="42"/>
      <c r="W111" s="42"/>
      <c r="X111" s="42"/>
      <c r="AN111" s="133" t="e">
        <f>VLOOKUP(I111,Sheet1!A:D,4,FALSE)</f>
        <v>#N/A</v>
      </c>
    </row>
    <row r="112" spans="1:40" s="36" customFormat="1" ht="14.25" x14ac:dyDescent="0.2">
      <c r="A112" s="57"/>
      <c r="G112" s="58"/>
      <c r="M112" s="42"/>
      <c r="N112" s="42"/>
      <c r="O112" s="42"/>
      <c r="P112" s="42"/>
      <c r="T112" s="42"/>
      <c r="U112" s="42"/>
      <c r="V112" s="42"/>
      <c r="W112" s="42"/>
      <c r="X112" s="42"/>
      <c r="AN112" s="133" t="e">
        <f>VLOOKUP(I112,Sheet1!A:D,4,FALSE)</f>
        <v>#N/A</v>
      </c>
    </row>
    <row r="113" spans="1:40" s="36" customFormat="1" ht="14.25" x14ac:dyDescent="0.2">
      <c r="A113" s="57"/>
      <c r="G113" s="58"/>
      <c r="M113" s="42"/>
      <c r="N113" s="42"/>
      <c r="O113" s="42"/>
      <c r="P113" s="42"/>
      <c r="T113" s="42"/>
      <c r="U113" s="42"/>
      <c r="V113" s="42"/>
      <c r="W113" s="42"/>
      <c r="X113" s="42"/>
      <c r="AN113" s="133" t="e">
        <f>VLOOKUP(I113,Sheet1!A:D,4,FALSE)</f>
        <v>#N/A</v>
      </c>
    </row>
    <row r="114" spans="1:40" s="36" customFormat="1" ht="14.25" x14ac:dyDescent="0.2">
      <c r="A114" s="57"/>
      <c r="G114" s="58"/>
      <c r="M114" s="42"/>
      <c r="N114" s="42"/>
      <c r="O114" s="42"/>
      <c r="P114" s="42"/>
      <c r="T114" s="42"/>
      <c r="U114" s="42"/>
      <c r="V114" s="42"/>
      <c r="W114" s="42"/>
      <c r="X114" s="42"/>
      <c r="AN114" s="133" t="e">
        <f>VLOOKUP(I114,Sheet1!A:D,4,FALSE)</f>
        <v>#N/A</v>
      </c>
    </row>
    <row r="115" spans="1:40" s="36" customFormat="1" ht="14.25" x14ac:dyDescent="0.2">
      <c r="A115" s="57"/>
      <c r="G115" s="58"/>
      <c r="M115" s="42"/>
      <c r="N115" s="42"/>
      <c r="O115" s="42"/>
      <c r="P115" s="42"/>
      <c r="T115" s="42"/>
      <c r="U115" s="42"/>
      <c r="V115" s="42"/>
      <c r="W115" s="42"/>
      <c r="X115" s="42"/>
      <c r="AN115" s="133" t="e">
        <f>VLOOKUP(I115,Sheet1!A:D,4,FALSE)</f>
        <v>#N/A</v>
      </c>
    </row>
    <row r="116" spans="1:40" s="36" customFormat="1" ht="14.25" x14ac:dyDescent="0.2">
      <c r="A116" s="57"/>
      <c r="G116" s="58"/>
      <c r="M116" s="42"/>
      <c r="N116" s="42"/>
      <c r="O116" s="42"/>
      <c r="P116" s="42"/>
      <c r="T116" s="42"/>
      <c r="U116" s="42"/>
      <c r="V116" s="42"/>
      <c r="W116" s="42"/>
      <c r="X116" s="42"/>
      <c r="AN116" s="133" t="e">
        <f>VLOOKUP(I116,Sheet1!A:D,4,FALSE)</f>
        <v>#N/A</v>
      </c>
    </row>
    <row r="117" spans="1:40" s="36" customFormat="1" ht="14.25" x14ac:dyDescent="0.2">
      <c r="A117" s="57"/>
      <c r="G117" s="58"/>
      <c r="M117" s="42"/>
      <c r="N117" s="42"/>
      <c r="O117" s="42"/>
      <c r="P117" s="42"/>
      <c r="T117" s="42"/>
      <c r="U117" s="42"/>
      <c r="V117" s="42"/>
      <c r="W117" s="42"/>
      <c r="X117" s="42"/>
      <c r="AN117" s="133" t="e">
        <f>VLOOKUP(I117,Sheet1!A:D,4,FALSE)</f>
        <v>#N/A</v>
      </c>
    </row>
    <row r="118" spans="1:40" s="36" customFormat="1" ht="14.25" x14ac:dyDescent="0.2">
      <c r="A118" s="57"/>
      <c r="G118" s="58"/>
      <c r="M118" s="42"/>
      <c r="N118" s="42"/>
      <c r="O118" s="42"/>
      <c r="P118" s="42"/>
      <c r="T118" s="42"/>
      <c r="U118" s="42"/>
      <c r="V118" s="42"/>
      <c r="W118" s="42"/>
      <c r="X118" s="42"/>
      <c r="AN118" s="133" t="e">
        <f>VLOOKUP(I118,Sheet1!A:D,4,FALSE)</f>
        <v>#N/A</v>
      </c>
    </row>
    <row r="119" spans="1:40" s="36" customFormat="1" ht="14.25" x14ac:dyDescent="0.2">
      <c r="A119" s="57"/>
      <c r="G119" s="58"/>
      <c r="M119" s="42"/>
      <c r="N119" s="42"/>
      <c r="O119" s="42"/>
      <c r="P119" s="42"/>
      <c r="T119" s="42"/>
      <c r="U119" s="42"/>
      <c r="V119" s="42"/>
      <c r="W119" s="42"/>
      <c r="X119" s="42"/>
      <c r="AN119" s="133" t="e">
        <f>VLOOKUP(I119,Sheet1!A:D,4,FALSE)</f>
        <v>#N/A</v>
      </c>
    </row>
    <row r="120" spans="1:40" s="36" customFormat="1" ht="14.25" x14ac:dyDescent="0.2">
      <c r="A120" s="57"/>
      <c r="G120" s="58"/>
      <c r="M120" s="42"/>
      <c r="N120" s="42"/>
      <c r="O120" s="42"/>
      <c r="P120" s="42"/>
      <c r="T120" s="42"/>
      <c r="U120" s="42"/>
      <c r="V120" s="42"/>
      <c r="W120" s="42"/>
      <c r="X120" s="42"/>
      <c r="AN120" s="133" t="e">
        <f>VLOOKUP(I120,Sheet1!A:D,4,FALSE)</f>
        <v>#N/A</v>
      </c>
    </row>
    <row r="121" spans="1:40" s="36" customFormat="1" ht="14.25" x14ac:dyDescent="0.2">
      <c r="A121" s="57"/>
      <c r="G121" s="58"/>
      <c r="M121" s="42"/>
      <c r="N121" s="42"/>
      <c r="O121" s="42"/>
      <c r="P121" s="42"/>
      <c r="T121" s="42"/>
      <c r="U121" s="42"/>
      <c r="V121" s="42"/>
      <c r="W121" s="42"/>
      <c r="X121" s="42"/>
      <c r="AN121" s="133" t="e">
        <f>VLOOKUP(I121,Sheet1!A:D,4,FALSE)</f>
        <v>#N/A</v>
      </c>
    </row>
    <row r="122" spans="1:40" s="36" customFormat="1" ht="14.25" x14ac:dyDescent="0.2">
      <c r="A122" s="57"/>
      <c r="G122" s="58"/>
      <c r="M122" s="42"/>
      <c r="N122" s="42"/>
      <c r="O122" s="42"/>
      <c r="P122" s="42"/>
      <c r="T122" s="42"/>
      <c r="U122" s="42"/>
      <c r="V122" s="42"/>
      <c r="W122" s="42"/>
      <c r="X122" s="42"/>
      <c r="AN122" s="133" t="e">
        <f>VLOOKUP(I122,Sheet1!A:D,4,FALSE)</f>
        <v>#N/A</v>
      </c>
    </row>
    <row r="123" spans="1:40" s="36" customFormat="1" ht="14.25" x14ac:dyDescent="0.2">
      <c r="A123" s="57"/>
      <c r="G123" s="58"/>
      <c r="M123" s="42"/>
      <c r="N123" s="42"/>
      <c r="O123" s="42"/>
      <c r="P123" s="42"/>
      <c r="T123" s="42"/>
      <c r="U123" s="42"/>
      <c r="V123" s="42"/>
      <c r="W123" s="42"/>
      <c r="X123" s="42"/>
      <c r="AN123" s="133" t="e">
        <f>VLOOKUP(I123,Sheet1!A:D,4,FALSE)</f>
        <v>#N/A</v>
      </c>
    </row>
    <row r="124" spans="1:40" s="36" customFormat="1" ht="14.25" x14ac:dyDescent="0.2">
      <c r="A124" s="57"/>
      <c r="G124" s="58"/>
      <c r="M124" s="42"/>
      <c r="N124" s="42"/>
      <c r="O124" s="42"/>
      <c r="P124" s="42"/>
      <c r="T124" s="42"/>
      <c r="U124" s="42"/>
      <c r="V124" s="42"/>
      <c r="W124" s="42"/>
      <c r="X124" s="42"/>
      <c r="AN124" s="133" t="e">
        <f>VLOOKUP(I124,Sheet1!A:D,4,FALSE)</f>
        <v>#N/A</v>
      </c>
    </row>
    <row r="125" spans="1:40" s="36" customFormat="1" ht="14.25" x14ac:dyDescent="0.2">
      <c r="A125" s="57"/>
      <c r="G125" s="58"/>
      <c r="M125" s="42"/>
      <c r="N125" s="42"/>
      <c r="O125" s="42"/>
      <c r="P125" s="42"/>
      <c r="T125" s="42"/>
      <c r="U125" s="42"/>
      <c r="V125" s="42"/>
      <c r="W125" s="42"/>
      <c r="X125" s="42"/>
      <c r="AN125" s="133" t="e">
        <f>VLOOKUP(I125,Sheet1!A:D,4,FALSE)</f>
        <v>#N/A</v>
      </c>
    </row>
    <row r="126" spans="1:40" s="36" customFormat="1" ht="14.25" x14ac:dyDescent="0.2">
      <c r="A126" s="57"/>
      <c r="G126" s="58"/>
      <c r="M126" s="42"/>
      <c r="N126" s="42"/>
      <c r="O126" s="42"/>
      <c r="P126" s="42"/>
      <c r="T126" s="42"/>
      <c r="U126" s="42"/>
      <c r="V126" s="42"/>
      <c r="W126" s="42"/>
      <c r="X126" s="42"/>
      <c r="AN126" s="133" t="e">
        <f>VLOOKUP(I126,Sheet1!A:D,4,FALSE)</f>
        <v>#N/A</v>
      </c>
    </row>
    <row r="127" spans="1:40" s="36" customFormat="1" ht="14.25" x14ac:dyDescent="0.2">
      <c r="A127" s="57"/>
      <c r="G127" s="58"/>
      <c r="M127" s="42"/>
      <c r="N127" s="42"/>
      <c r="O127" s="42"/>
      <c r="P127" s="42"/>
      <c r="T127" s="42"/>
      <c r="U127" s="42"/>
      <c r="V127" s="42"/>
      <c r="W127" s="42"/>
      <c r="X127" s="42"/>
      <c r="AN127" s="133" t="e">
        <f>VLOOKUP(I127,Sheet1!A:D,4,FALSE)</f>
        <v>#N/A</v>
      </c>
    </row>
    <row r="128" spans="1:40" s="36" customFormat="1" ht="14.25" x14ac:dyDescent="0.2">
      <c r="A128" s="57"/>
      <c r="G128" s="58"/>
      <c r="M128" s="42"/>
      <c r="N128" s="42"/>
      <c r="O128" s="42"/>
      <c r="P128" s="42"/>
      <c r="T128" s="42"/>
      <c r="U128" s="42"/>
      <c r="V128" s="42"/>
      <c r="W128" s="42"/>
      <c r="X128" s="42"/>
      <c r="AN128" s="133" t="e">
        <f>VLOOKUP(I128,Sheet1!A:D,4,FALSE)</f>
        <v>#N/A</v>
      </c>
    </row>
    <row r="129" spans="1:40" s="36" customFormat="1" ht="14.25" x14ac:dyDescent="0.2">
      <c r="A129" s="57"/>
      <c r="G129" s="58"/>
      <c r="M129" s="42"/>
      <c r="N129" s="42"/>
      <c r="O129" s="42"/>
      <c r="P129" s="42"/>
      <c r="T129" s="42"/>
      <c r="U129" s="42"/>
      <c r="V129" s="42"/>
      <c r="W129" s="42"/>
      <c r="X129" s="42"/>
      <c r="AN129" s="133" t="e">
        <f>VLOOKUP(I129,Sheet1!A:D,4,FALSE)</f>
        <v>#N/A</v>
      </c>
    </row>
    <row r="130" spans="1:40" s="36" customFormat="1" ht="14.25" x14ac:dyDescent="0.2">
      <c r="A130" s="57"/>
      <c r="G130" s="58"/>
      <c r="M130" s="42"/>
      <c r="N130" s="42"/>
      <c r="O130" s="42"/>
      <c r="P130" s="42"/>
      <c r="T130" s="42"/>
      <c r="U130" s="42"/>
      <c r="V130" s="42"/>
      <c r="W130" s="42"/>
      <c r="X130" s="42"/>
      <c r="AN130" s="133" t="e">
        <f>VLOOKUP(I130,Sheet1!A:D,4,FALSE)</f>
        <v>#N/A</v>
      </c>
    </row>
    <row r="131" spans="1:40" s="36" customFormat="1" ht="14.25" x14ac:dyDescent="0.2">
      <c r="A131" s="57"/>
      <c r="G131" s="58"/>
      <c r="M131" s="42"/>
      <c r="N131" s="42"/>
      <c r="O131" s="42"/>
      <c r="P131" s="42"/>
      <c r="T131" s="42"/>
      <c r="U131" s="42"/>
      <c r="V131" s="42"/>
      <c r="W131" s="42"/>
      <c r="X131" s="42"/>
      <c r="AN131" s="133" t="e">
        <f>VLOOKUP(I131,Sheet1!A:D,4,FALSE)</f>
        <v>#N/A</v>
      </c>
    </row>
    <row r="132" spans="1:40" s="36" customFormat="1" ht="14.25" x14ac:dyDescent="0.2">
      <c r="A132" s="57"/>
      <c r="G132" s="58"/>
      <c r="M132" s="42"/>
      <c r="N132" s="42"/>
      <c r="O132" s="42"/>
      <c r="P132" s="42"/>
      <c r="T132" s="42"/>
      <c r="U132" s="42"/>
      <c r="V132" s="42"/>
      <c r="W132" s="42"/>
      <c r="X132" s="42"/>
      <c r="AN132" s="133" t="e">
        <f>VLOOKUP(I132,Sheet1!A:D,4,FALSE)</f>
        <v>#N/A</v>
      </c>
    </row>
    <row r="133" spans="1:40" s="36" customFormat="1" ht="14.25" x14ac:dyDescent="0.2">
      <c r="A133" s="57"/>
      <c r="G133" s="58"/>
      <c r="M133" s="42"/>
      <c r="N133" s="42"/>
      <c r="O133" s="42"/>
      <c r="P133" s="42"/>
      <c r="T133" s="42"/>
      <c r="U133" s="42"/>
      <c r="V133" s="42"/>
      <c r="W133" s="42"/>
      <c r="X133" s="42"/>
      <c r="AN133" s="133" t="e">
        <f>VLOOKUP(I133,Sheet1!A:D,4,FALSE)</f>
        <v>#N/A</v>
      </c>
    </row>
    <row r="134" spans="1:40" s="36" customFormat="1" ht="14.25" x14ac:dyDescent="0.2">
      <c r="A134" s="57"/>
      <c r="G134" s="58"/>
      <c r="M134" s="42"/>
      <c r="N134" s="42"/>
      <c r="O134" s="42"/>
      <c r="P134" s="42"/>
      <c r="T134" s="42"/>
      <c r="U134" s="42"/>
      <c r="V134" s="42"/>
      <c r="W134" s="42"/>
      <c r="X134" s="42"/>
      <c r="AN134" s="133" t="e">
        <f>VLOOKUP(I134,Sheet1!A:D,4,FALSE)</f>
        <v>#N/A</v>
      </c>
    </row>
    <row r="135" spans="1:40" s="36" customFormat="1" ht="14.25" x14ac:dyDescent="0.2">
      <c r="A135" s="57"/>
      <c r="G135" s="58"/>
      <c r="M135" s="42"/>
      <c r="N135" s="42"/>
      <c r="O135" s="42"/>
      <c r="P135" s="42"/>
      <c r="T135" s="42"/>
      <c r="U135" s="42"/>
      <c r="V135" s="42"/>
      <c r="W135" s="42"/>
      <c r="X135" s="42"/>
      <c r="AN135" s="133" t="e">
        <f>VLOOKUP(I135,Sheet1!A:D,4,FALSE)</f>
        <v>#N/A</v>
      </c>
    </row>
    <row r="136" spans="1:40" s="36" customFormat="1" ht="14.25" x14ac:dyDescent="0.2">
      <c r="A136" s="57"/>
      <c r="G136" s="58"/>
      <c r="M136" s="42"/>
      <c r="N136" s="42"/>
      <c r="O136" s="42"/>
      <c r="P136" s="42"/>
      <c r="T136" s="42"/>
      <c r="U136" s="42"/>
      <c r="V136" s="42"/>
      <c r="W136" s="42"/>
      <c r="X136" s="42"/>
      <c r="AN136" s="133" t="e">
        <f>VLOOKUP(I136,Sheet1!A:D,4,FALSE)</f>
        <v>#N/A</v>
      </c>
    </row>
    <row r="137" spans="1:40" s="36" customFormat="1" ht="14.25" x14ac:dyDescent="0.2">
      <c r="A137" s="57"/>
      <c r="G137" s="58"/>
      <c r="M137" s="42"/>
      <c r="N137" s="42"/>
      <c r="O137" s="42"/>
      <c r="P137" s="42"/>
      <c r="T137" s="42"/>
      <c r="U137" s="42"/>
      <c r="V137" s="42"/>
      <c r="W137" s="42"/>
      <c r="X137" s="42"/>
      <c r="AN137" s="133" t="e">
        <f>VLOOKUP(I137,Sheet1!A:D,4,FALSE)</f>
        <v>#N/A</v>
      </c>
    </row>
    <row r="138" spans="1:40" s="36" customFormat="1" ht="14.25" x14ac:dyDescent="0.2">
      <c r="A138" s="57"/>
      <c r="G138" s="58"/>
      <c r="M138" s="42"/>
      <c r="N138" s="42"/>
      <c r="O138" s="42"/>
      <c r="P138" s="42"/>
      <c r="T138" s="42"/>
      <c r="U138" s="42"/>
      <c r="V138" s="42"/>
      <c r="W138" s="42"/>
      <c r="X138" s="42"/>
      <c r="AN138" s="133" t="e">
        <f>VLOOKUP(I138,Sheet1!A:D,4,FALSE)</f>
        <v>#N/A</v>
      </c>
    </row>
    <row r="139" spans="1:40" s="36" customFormat="1" ht="14.25" x14ac:dyDescent="0.2">
      <c r="A139" s="57"/>
      <c r="G139" s="58"/>
      <c r="M139" s="42"/>
      <c r="N139" s="42"/>
      <c r="O139" s="42"/>
      <c r="P139" s="42"/>
      <c r="T139" s="42"/>
      <c r="U139" s="42"/>
      <c r="V139" s="42"/>
      <c r="W139" s="42"/>
      <c r="X139" s="42"/>
      <c r="AN139" s="133" t="e">
        <f>VLOOKUP(I139,Sheet1!A:D,4,FALSE)</f>
        <v>#N/A</v>
      </c>
    </row>
    <row r="140" spans="1:40" s="36" customFormat="1" ht="14.25" x14ac:dyDescent="0.2">
      <c r="A140" s="57"/>
      <c r="G140" s="58"/>
      <c r="M140" s="42"/>
      <c r="N140" s="42"/>
      <c r="O140" s="42"/>
      <c r="P140" s="42"/>
      <c r="T140" s="42"/>
      <c r="U140" s="42"/>
      <c r="V140" s="42"/>
      <c r="W140" s="42"/>
      <c r="X140" s="42"/>
      <c r="AN140" s="133" t="e">
        <f>VLOOKUP(I140,Sheet1!A:D,4,FALSE)</f>
        <v>#N/A</v>
      </c>
    </row>
    <row r="141" spans="1:40" s="36" customFormat="1" ht="14.25" x14ac:dyDescent="0.2">
      <c r="A141" s="57"/>
      <c r="G141" s="58"/>
      <c r="M141" s="42"/>
      <c r="N141" s="42"/>
      <c r="O141" s="42"/>
      <c r="P141" s="42"/>
      <c r="T141" s="42"/>
      <c r="U141" s="42"/>
      <c r="V141" s="42"/>
      <c r="W141" s="42"/>
      <c r="X141" s="42"/>
      <c r="AN141" s="133" t="e">
        <f>VLOOKUP(I141,Sheet1!A:D,4,FALSE)</f>
        <v>#N/A</v>
      </c>
    </row>
    <row r="142" spans="1:40" s="36" customFormat="1" ht="14.25" x14ac:dyDescent="0.2">
      <c r="A142" s="57"/>
      <c r="G142" s="58"/>
      <c r="M142" s="42"/>
      <c r="N142" s="42"/>
      <c r="O142" s="42"/>
      <c r="P142" s="42"/>
      <c r="T142" s="42"/>
      <c r="U142" s="42"/>
      <c r="V142" s="42"/>
      <c r="W142" s="42"/>
      <c r="X142" s="42"/>
      <c r="AN142" s="133" t="e">
        <f>VLOOKUP(I142,Sheet1!A:D,4,FALSE)</f>
        <v>#N/A</v>
      </c>
    </row>
    <row r="143" spans="1:40" s="36" customFormat="1" ht="14.25" x14ac:dyDescent="0.2">
      <c r="A143" s="57"/>
      <c r="G143" s="58"/>
      <c r="M143" s="42"/>
      <c r="N143" s="42"/>
      <c r="O143" s="42"/>
      <c r="P143" s="42"/>
      <c r="T143" s="42"/>
      <c r="U143" s="42"/>
      <c r="V143" s="42"/>
      <c r="W143" s="42"/>
      <c r="X143" s="42"/>
      <c r="AN143" s="133" t="e">
        <f>VLOOKUP(I143,Sheet1!A:D,4,FALSE)</f>
        <v>#N/A</v>
      </c>
    </row>
    <row r="144" spans="1:40" s="36" customFormat="1" ht="14.25" x14ac:dyDescent="0.2">
      <c r="A144" s="57"/>
      <c r="G144" s="58"/>
      <c r="M144" s="42"/>
      <c r="N144" s="42"/>
      <c r="O144" s="42"/>
      <c r="P144" s="42"/>
      <c r="T144" s="42"/>
      <c r="U144" s="42"/>
      <c r="V144" s="42"/>
      <c r="W144" s="42"/>
      <c r="X144" s="42"/>
      <c r="AN144" s="133" t="e">
        <f>VLOOKUP(I144,Sheet1!A:D,4,FALSE)</f>
        <v>#N/A</v>
      </c>
    </row>
    <row r="145" spans="1:40" s="36" customFormat="1" ht="14.25" x14ac:dyDescent="0.2">
      <c r="A145" s="57"/>
      <c r="G145" s="58"/>
      <c r="M145" s="42"/>
      <c r="N145" s="42"/>
      <c r="O145" s="42"/>
      <c r="P145" s="42"/>
      <c r="T145" s="42"/>
      <c r="U145" s="42"/>
      <c r="V145" s="42"/>
      <c r="W145" s="42"/>
      <c r="X145" s="42"/>
      <c r="AN145" s="133" t="e">
        <f>VLOOKUP(I145,Sheet1!A:D,4,FALSE)</f>
        <v>#N/A</v>
      </c>
    </row>
    <row r="146" spans="1:40" s="36" customFormat="1" ht="14.25" x14ac:dyDescent="0.2">
      <c r="A146" s="57"/>
      <c r="G146" s="58"/>
      <c r="M146" s="42"/>
      <c r="N146" s="42"/>
      <c r="O146" s="42"/>
      <c r="P146" s="42"/>
      <c r="T146" s="42"/>
      <c r="U146" s="42"/>
      <c r="V146" s="42"/>
      <c r="W146" s="42"/>
      <c r="X146" s="42"/>
      <c r="AN146" s="133" t="e">
        <f>VLOOKUP(I146,Sheet1!A:D,4,FALSE)</f>
        <v>#N/A</v>
      </c>
    </row>
    <row r="147" spans="1:40" s="36" customFormat="1" ht="14.25" x14ac:dyDescent="0.2">
      <c r="A147" s="57"/>
      <c r="G147" s="58"/>
      <c r="M147" s="42"/>
      <c r="N147" s="42"/>
      <c r="O147" s="42"/>
      <c r="P147" s="42"/>
      <c r="T147" s="42"/>
      <c r="U147" s="42"/>
      <c r="V147" s="42"/>
      <c r="W147" s="42"/>
      <c r="X147" s="42"/>
      <c r="AN147" s="133" t="e">
        <f>VLOOKUP(I147,Sheet1!A:D,4,FALSE)</f>
        <v>#N/A</v>
      </c>
    </row>
    <row r="148" spans="1:40" s="36" customFormat="1" ht="14.25" x14ac:dyDescent="0.2">
      <c r="A148" s="57"/>
      <c r="G148" s="58"/>
      <c r="M148" s="42"/>
      <c r="N148" s="42"/>
      <c r="O148" s="42"/>
      <c r="P148" s="42"/>
      <c r="T148" s="42"/>
      <c r="U148" s="42"/>
      <c r="V148" s="42"/>
      <c r="W148" s="42"/>
      <c r="X148" s="42"/>
      <c r="AN148" s="133" t="e">
        <f>VLOOKUP(I148,Sheet1!A:D,4,FALSE)</f>
        <v>#N/A</v>
      </c>
    </row>
    <row r="149" spans="1:40" s="36" customFormat="1" ht="14.25" x14ac:dyDescent="0.2">
      <c r="A149" s="57"/>
      <c r="G149" s="58"/>
      <c r="M149" s="42"/>
      <c r="N149" s="42"/>
      <c r="O149" s="42"/>
      <c r="P149" s="42"/>
      <c r="T149" s="42"/>
      <c r="U149" s="42"/>
      <c r="V149" s="42"/>
      <c r="W149" s="42"/>
      <c r="X149" s="42"/>
      <c r="AN149" s="133" t="e">
        <f>VLOOKUP(I149,Sheet1!A:D,4,FALSE)</f>
        <v>#N/A</v>
      </c>
    </row>
    <row r="150" spans="1:40" s="36" customFormat="1" ht="14.25" x14ac:dyDescent="0.2">
      <c r="A150" s="57"/>
      <c r="G150" s="58"/>
      <c r="M150" s="42"/>
      <c r="N150" s="42"/>
      <c r="O150" s="42"/>
      <c r="P150" s="42"/>
      <c r="T150" s="42"/>
      <c r="U150" s="42"/>
      <c r="V150" s="42"/>
      <c r="W150" s="42"/>
      <c r="X150" s="42"/>
      <c r="AN150" s="133" t="e">
        <f>VLOOKUP(I150,Sheet1!A:D,4,FALSE)</f>
        <v>#N/A</v>
      </c>
    </row>
    <row r="151" spans="1:40" s="36" customFormat="1" ht="14.25" x14ac:dyDescent="0.2">
      <c r="A151" s="57"/>
      <c r="G151" s="58"/>
      <c r="M151" s="42"/>
      <c r="N151" s="42"/>
      <c r="O151" s="42"/>
      <c r="P151" s="42"/>
      <c r="T151" s="42"/>
      <c r="U151" s="42"/>
      <c r="V151" s="42"/>
      <c r="W151" s="42"/>
      <c r="X151" s="42"/>
      <c r="AN151" s="133" t="e">
        <f>VLOOKUP(I151,Sheet1!A:D,4,FALSE)</f>
        <v>#N/A</v>
      </c>
    </row>
    <row r="152" spans="1:40" s="36" customFormat="1" ht="14.25" x14ac:dyDescent="0.2">
      <c r="A152" s="57"/>
      <c r="G152" s="58"/>
      <c r="M152" s="42"/>
      <c r="N152" s="42"/>
      <c r="O152" s="42"/>
      <c r="P152" s="42"/>
      <c r="T152" s="42"/>
      <c r="U152" s="42"/>
      <c r="V152" s="42"/>
      <c r="W152" s="42"/>
      <c r="X152" s="42"/>
      <c r="AN152" s="133" t="e">
        <f>VLOOKUP(I152,Sheet1!A:D,4,FALSE)</f>
        <v>#N/A</v>
      </c>
    </row>
    <row r="153" spans="1:40" s="36" customFormat="1" ht="14.25" x14ac:dyDescent="0.2">
      <c r="A153" s="57"/>
      <c r="G153" s="58"/>
      <c r="M153" s="42"/>
      <c r="N153" s="42"/>
      <c r="O153" s="42"/>
      <c r="P153" s="42"/>
      <c r="T153" s="42"/>
      <c r="U153" s="42"/>
      <c r="V153" s="42"/>
      <c r="W153" s="42"/>
      <c r="X153" s="42"/>
      <c r="AN153" s="133" t="e">
        <f>VLOOKUP(I153,Sheet1!A:D,4,FALSE)</f>
        <v>#N/A</v>
      </c>
    </row>
    <row r="154" spans="1:40" s="36" customFormat="1" ht="14.25" x14ac:dyDescent="0.2">
      <c r="A154" s="57"/>
      <c r="G154" s="58"/>
      <c r="M154" s="42"/>
      <c r="N154" s="42"/>
      <c r="O154" s="42"/>
      <c r="P154" s="42"/>
      <c r="T154" s="42"/>
      <c r="U154" s="42"/>
      <c r="V154" s="42"/>
      <c r="W154" s="42"/>
      <c r="X154" s="42"/>
      <c r="AN154" s="133" t="e">
        <f>VLOOKUP(I154,Sheet1!A:D,4,FALSE)</f>
        <v>#N/A</v>
      </c>
    </row>
    <row r="155" spans="1:40" s="36" customFormat="1" ht="14.25" x14ac:dyDescent="0.2">
      <c r="A155" s="57"/>
      <c r="G155" s="58"/>
      <c r="M155" s="42"/>
      <c r="N155" s="42"/>
      <c r="O155" s="42"/>
      <c r="P155" s="42"/>
      <c r="T155" s="42"/>
      <c r="U155" s="42"/>
      <c r="V155" s="42"/>
      <c r="W155" s="42"/>
      <c r="X155" s="42"/>
      <c r="AN155" s="133" t="e">
        <f>VLOOKUP(I155,Sheet1!A:D,4,FALSE)</f>
        <v>#N/A</v>
      </c>
    </row>
    <row r="156" spans="1:40" s="36" customFormat="1" ht="14.25" x14ac:dyDescent="0.2">
      <c r="A156" s="57"/>
      <c r="G156" s="58"/>
      <c r="M156" s="42"/>
      <c r="N156" s="42"/>
      <c r="O156" s="42"/>
      <c r="P156" s="42"/>
      <c r="T156" s="42"/>
      <c r="U156" s="42"/>
      <c r="V156" s="42"/>
      <c r="W156" s="42"/>
      <c r="X156" s="42"/>
      <c r="AN156" s="133" t="e">
        <f>VLOOKUP(I156,Sheet1!A:D,4,FALSE)</f>
        <v>#N/A</v>
      </c>
    </row>
    <row r="157" spans="1:40" s="36" customFormat="1" ht="14.25" x14ac:dyDescent="0.2">
      <c r="A157" s="57"/>
      <c r="G157" s="58"/>
      <c r="M157" s="42"/>
      <c r="N157" s="42"/>
      <c r="O157" s="42"/>
      <c r="P157" s="42"/>
      <c r="T157" s="42"/>
      <c r="U157" s="42"/>
      <c r="V157" s="42"/>
      <c r="W157" s="42"/>
      <c r="X157" s="42"/>
      <c r="AN157" s="133" t="e">
        <f>VLOOKUP(I157,Sheet1!A:D,4,FALSE)</f>
        <v>#N/A</v>
      </c>
    </row>
    <row r="158" spans="1:40" s="36" customFormat="1" ht="14.25" x14ac:dyDescent="0.2">
      <c r="A158" s="57"/>
      <c r="G158" s="58"/>
      <c r="M158" s="42"/>
      <c r="N158" s="42"/>
      <c r="O158" s="42"/>
      <c r="P158" s="42"/>
      <c r="T158" s="42"/>
      <c r="U158" s="42"/>
      <c r="V158" s="42"/>
      <c r="W158" s="42"/>
      <c r="X158" s="42"/>
      <c r="AN158" s="133" t="e">
        <f>VLOOKUP(I158,Sheet1!A:D,4,FALSE)</f>
        <v>#N/A</v>
      </c>
    </row>
    <row r="159" spans="1:40" s="36" customFormat="1" ht="14.25" x14ac:dyDescent="0.2">
      <c r="A159" s="57"/>
      <c r="G159" s="58"/>
      <c r="M159" s="42"/>
      <c r="N159" s="42"/>
      <c r="O159" s="42"/>
      <c r="P159" s="42"/>
      <c r="T159" s="42"/>
      <c r="U159" s="42"/>
      <c r="V159" s="42"/>
      <c r="W159" s="42"/>
      <c r="X159" s="42"/>
      <c r="AN159" s="133" t="e">
        <f>VLOOKUP(I159,Sheet1!A:D,4,FALSE)</f>
        <v>#N/A</v>
      </c>
    </row>
    <row r="160" spans="1:40" s="4" customFormat="1" x14ac:dyDescent="0.25">
      <c r="A160" s="6"/>
      <c r="G160" s="31"/>
      <c r="M160" s="8"/>
      <c r="N160" s="8"/>
      <c r="O160" s="8"/>
      <c r="P160" s="8"/>
      <c r="T160" s="8"/>
      <c r="U160" s="8"/>
      <c r="V160" s="8"/>
      <c r="W160" s="8"/>
      <c r="X160" s="8"/>
      <c r="AN160" s="133" t="e">
        <f>VLOOKUP(I160,Sheet1!A:D,4,FALSE)</f>
        <v>#N/A</v>
      </c>
    </row>
    <row r="161" spans="1:40" s="4" customFormat="1" x14ac:dyDescent="0.25">
      <c r="A161" s="6"/>
      <c r="G161" s="31"/>
      <c r="M161" s="8"/>
      <c r="N161" s="8"/>
      <c r="O161" s="8"/>
      <c r="P161" s="8"/>
      <c r="T161" s="8"/>
      <c r="U161" s="8"/>
      <c r="V161" s="8"/>
      <c r="W161" s="8"/>
      <c r="X161" s="8"/>
      <c r="AN161" s="133" t="e">
        <f>VLOOKUP(I161,Sheet1!A:D,4,FALSE)</f>
        <v>#N/A</v>
      </c>
    </row>
    <row r="162" spans="1:40" s="4" customFormat="1" x14ac:dyDescent="0.25">
      <c r="A162" s="6"/>
      <c r="G162" s="31"/>
      <c r="M162" s="8"/>
      <c r="N162" s="8"/>
      <c r="O162" s="8"/>
      <c r="P162" s="8"/>
      <c r="T162" s="8"/>
      <c r="U162" s="8"/>
      <c r="V162" s="8"/>
      <c r="W162" s="8"/>
      <c r="X162" s="8"/>
      <c r="AN162" s="133" t="e">
        <f>VLOOKUP(I162,Sheet1!A:D,4,FALSE)</f>
        <v>#N/A</v>
      </c>
    </row>
    <row r="163" spans="1:40" s="4" customFormat="1" x14ac:dyDescent="0.25">
      <c r="A163" s="6"/>
      <c r="G163" s="31"/>
      <c r="M163" s="8"/>
      <c r="N163" s="8"/>
      <c r="O163" s="8"/>
      <c r="P163" s="8"/>
      <c r="T163" s="8"/>
      <c r="U163" s="8"/>
      <c r="V163" s="8"/>
      <c r="W163" s="8"/>
      <c r="X163" s="8"/>
      <c r="AN163" s="133" t="e">
        <f>VLOOKUP(I163,Sheet1!A:D,4,FALSE)</f>
        <v>#N/A</v>
      </c>
    </row>
    <row r="164" spans="1:40" s="4" customFormat="1" x14ac:dyDescent="0.25">
      <c r="A164" s="6"/>
      <c r="G164" s="31"/>
      <c r="M164" s="8"/>
      <c r="N164" s="8"/>
      <c r="O164" s="8"/>
      <c r="P164" s="8"/>
      <c r="T164" s="8"/>
      <c r="U164" s="8"/>
      <c r="V164" s="8"/>
      <c r="W164" s="8"/>
      <c r="X164" s="8"/>
      <c r="AN164" s="133" t="e">
        <f>VLOOKUP(I164,Sheet1!A:D,4,FALSE)</f>
        <v>#N/A</v>
      </c>
    </row>
    <row r="165" spans="1:40" s="4" customFormat="1" x14ac:dyDescent="0.25">
      <c r="A165" s="6"/>
      <c r="G165" s="31"/>
      <c r="M165" s="8"/>
      <c r="N165" s="8"/>
      <c r="O165" s="8"/>
      <c r="P165" s="8"/>
      <c r="T165" s="8"/>
      <c r="U165" s="8"/>
      <c r="V165" s="8"/>
      <c r="W165" s="8"/>
      <c r="X165" s="8"/>
      <c r="AN165" s="133" t="e">
        <f>VLOOKUP(I165,Sheet1!A:D,4,FALSE)</f>
        <v>#N/A</v>
      </c>
    </row>
    <row r="166" spans="1:40" s="4" customFormat="1" x14ac:dyDescent="0.25">
      <c r="A166" s="6"/>
      <c r="G166" s="31"/>
      <c r="M166" s="8"/>
      <c r="N166" s="8"/>
      <c r="O166" s="8"/>
      <c r="P166" s="8"/>
      <c r="T166" s="8"/>
      <c r="U166" s="8"/>
      <c r="V166" s="8"/>
      <c r="W166" s="8"/>
      <c r="X166" s="8"/>
      <c r="AN166" s="133" t="e">
        <f>VLOOKUP(I166,Sheet1!A:D,4,FALSE)</f>
        <v>#N/A</v>
      </c>
    </row>
    <row r="167" spans="1:40" s="4" customFormat="1" x14ac:dyDescent="0.25">
      <c r="A167" s="6"/>
      <c r="G167" s="31"/>
      <c r="M167" s="8"/>
      <c r="N167" s="8"/>
      <c r="O167" s="8"/>
      <c r="P167" s="8"/>
      <c r="T167" s="8"/>
      <c r="U167" s="8"/>
      <c r="V167" s="8"/>
      <c r="W167" s="8"/>
      <c r="X167" s="8"/>
      <c r="AN167" s="133" t="e">
        <f>VLOOKUP(I167,Sheet1!A:D,4,FALSE)</f>
        <v>#N/A</v>
      </c>
    </row>
    <row r="168" spans="1:40" s="4" customFormat="1" x14ac:dyDescent="0.25">
      <c r="A168" s="6"/>
      <c r="G168" s="31"/>
      <c r="M168" s="8"/>
      <c r="N168" s="8"/>
      <c r="O168" s="8"/>
      <c r="P168" s="8"/>
      <c r="T168" s="8"/>
      <c r="U168" s="8"/>
      <c r="V168" s="8"/>
      <c r="W168" s="8"/>
      <c r="X168" s="8"/>
      <c r="AN168" s="133" t="e">
        <f>VLOOKUP(I168,Sheet1!A:D,4,FALSE)</f>
        <v>#N/A</v>
      </c>
    </row>
    <row r="169" spans="1:40" s="4" customFormat="1" x14ac:dyDescent="0.25">
      <c r="A169" s="6"/>
      <c r="G169" s="31"/>
      <c r="M169" s="8"/>
      <c r="N169" s="8"/>
      <c r="O169" s="8"/>
      <c r="P169" s="8"/>
      <c r="T169" s="8"/>
      <c r="U169" s="8"/>
      <c r="V169" s="8"/>
      <c r="W169" s="8"/>
      <c r="X169" s="8"/>
      <c r="AN169" s="133" t="e">
        <f>VLOOKUP(I169,Sheet1!A:D,4,FALSE)</f>
        <v>#N/A</v>
      </c>
    </row>
    <row r="170" spans="1:40" s="4" customFormat="1" x14ac:dyDescent="0.25">
      <c r="A170" s="6"/>
      <c r="G170" s="31"/>
      <c r="M170" s="8"/>
      <c r="N170" s="8"/>
      <c r="O170" s="8"/>
      <c r="P170" s="8"/>
      <c r="T170" s="8"/>
      <c r="U170" s="8"/>
      <c r="V170" s="8"/>
      <c r="W170" s="8"/>
      <c r="X170" s="8"/>
      <c r="AN170" s="133" t="e">
        <f>VLOOKUP(I170,Sheet1!A:D,4,FALSE)</f>
        <v>#N/A</v>
      </c>
    </row>
    <row r="171" spans="1:40" s="4" customFormat="1" x14ac:dyDescent="0.25">
      <c r="A171" s="6"/>
      <c r="G171" s="31"/>
      <c r="M171" s="8"/>
      <c r="N171" s="8"/>
      <c r="O171" s="8"/>
      <c r="P171" s="8"/>
      <c r="T171" s="8"/>
      <c r="U171" s="8"/>
      <c r="V171" s="8"/>
      <c r="W171" s="8"/>
      <c r="X171" s="8"/>
      <c r="AN171" s="133" t="e">
        <f>VLOOKUP(I171,Sheet1!A:D,4,FALSE)</f>
        <v>#N/A</v>
      </c>
    </row>
    <row r="172" spans="1:40" s="4" customFormat="1" x14ac:dyDescent="0.25">
      <c r="A172" s="6"/>
      <c r="G172" s="31"/>
      <c r="M172" s="8"/>
      <c r="N172" s="8"/>
      <c r="O172" s="8"/>
      <c r="P172" s="8"/>
      <c r="T172" s="8"/>
      <c r="U172" s="8"/>
      <c r="V172" s="8"/>
      <c r="W172" s="8"/>
      <c r="X172" s="8"/>
      <c r="AN172" s="133" t="e">
        <f>VLOOKUP(I172,Sheet1!A:D,4,FALSE)</f>
        <v>#N/A</v>
      </c>
    </row>
    <row r="173" spans="1:40" s="4" customFormat="1" x14ac:dyDescent="0.25">
      <c r="A173" s="6"/>
      <c r="G173" s="31"/>
      <c r="M173" s="8"/>
      <c r="N173" s="8"/>
      <c r="O173" s="8"/>
      <c r="P173" s="8"/>
      <c r="T173" s="8"/>
      <c r="U173" s="8"/>
      <c r="V173" s="8"/>
      <c r="W173" s="8"/>
      <c r="X173" s="8"/>
      <c r="AN173" s="133" t="e">
        <f>VLOOKUP(I173,Sheet1!A:D,4,FALSE)</f>
        <v>#N/A</v>
      </c>
    </row>
    <row r="174" spans="1:40" s="4" customFormat="1" x14ac:dyDescent="0.25">
      <c r="A174" s="6"/>
      <c r="G174" s="31"/>
      <c r="M174" s="8"/>
      <c r="N174" s="8"/>
      <c r="O174" s="8"/>
      <c r="P174" s="8"/>
      <c r="T174" s="8"/>
      <c r="U174" s="8"/>
      <c r="V174" s="8"/>
      <c r="W174" s="8"/>
      <c r="X174" s="8"/>
      <c r="AN174" s="133" t="e">
        <f>VLOOKUP(I174,Sheet1!A:D,4,FALSE)</f>
        <v>#N/A</v>
      </c>
    </row>
    <row r="175" spans="1:40" s="4" customFormat="1" x14ac:dyDescent="0.25">
      <c r="A175" s="6"/>
      <c r="G175" s="31"/>
      <c r="M175" s="8"/>
      <c r="N175" s="8"/>
      <c r="O175" s="8"/>
      <c r="P175" s="8"/>
      <c r="T175" s="8"/>
      <c r="U175" s="8"/>
      <c r="V175" s="8"/>
      <c r="W175" s="8"/>
      <c r="X175" s="8"/>
      <c r="AN175" s="133" t="e">
        <f>VLOOKUP(I175,Sheet1!A:D,4,FALSE)</f>
        <v>#N/A</v>
      </c>
    </row>
    <row r="176" spans="1:40" s="4" customFormat="1" x14ac:dyDescent="0.25">
      <c r="A176" s="6"/>
      <c r="G176" s="31"/>
      <c r="M176" s="8"/>
      <c r="N176" s="8"/>
      <c r="O176" s="8"/>
      <c r="P176" s="8"/>
      <c r="T176" s="8"/>
      <c r="U176" s="8"/>
      <c r="V176" s="8"/>
      <c r="W176" s="8"/>
      <c r="X176" s="8"/>
      <c r="AN176" s="133" t="e">
        <f>VLOOKUP(I176,Sheet1!A:D,4,FALSE)</f>
        <v>#N/A</v>
      </c>
    </row>
    <row r="177" spans="1:40" s="4" customFormat="1" x14ac:dyDescent="0.25">
      <c r="A177" s="6"/>
      <c r="G177" s="31"/>
      <c r="M177" s="8"/>
      <c r="N177" s="8"/>
      <c r="O177" s="8"/>
      <c r="P177" s="8"/>
      <c r="T177" s="8"/>
      <c r="U177" s="8"/>
      <c r="V177" s="8"/>
      <c r="W177" s="8"/>
      <c r="X177" s="8"/>
      <c r="AN177" s="133" t="e">
        <f>VLOOKUP(I177,Sheet1!A:D,4,FALSE)</f>
        <v>#N/A</v>
      </c>
    </row>
    <row r="178" spans="1:40" s="4" customFormat="1" x14ac:dyDescent="0.25">
      <c r="A178" s="6"/>
      <c r="G178" s="31"/>
      <c r="M178" s="8"/>
      <c r="N178" s="8"/>
      <c r="O178" s="8"/>
      <c r="P178" s="8"/>
      <c r="T178" s="8"/>
      <c r="U178" s="8"/>
      <c r="V178" s="8"/>
      <c r="W178" s="8"/>
      <c r="X178" s="8"/>
      <c r="AN178" s="133" t="e">
        <f>VLOOKUP(I178,Sheet1!A:D,4,FALSE)</f>
        <v>#N/A</v>
      </c>
    </row>
    <row r="179" spans="1:40" s="4" customFormat="1" x14ac:dyDescent="0.25">
      <c r="A179" s="6"/>
      <c r="G179" s="31"/>
      <c r="M179" s="8"/>
      <c r="N179" s="8"/>
      <c r="O179" s="8"/>
      <c r="P179" s="8"/>
      <c r="T179" s="8"/>
      <c r="U179" s="8"/>
      <c r="V179" s="8"/>
      <c r="W179" s="8"/>
      <c r="X179" s="8"/>
      <c r="AN179" s="133" t="e">
        <f>VLOOKUP(I179,Sheet1!A:D,4,FALSE)</f>
        <v>#N/A</v>
      </c>
    </row>
    <row r="180" spans="1:40" s="4" customFormat="1" x14ac:dyDescent="0.25">
      <c r="A180" s="6"/>
      <c r="G180" s="31"/>
      <c r="M180" s="8"/>
      <c r="N180" s="8"/>
      <c r="O180" s="8"/>
      <c r="P180" s="8"/>
      <c r="T180" s="8"/>
      <c r="U180" s="8"/>
      <c r="V180" s="8"/>
      <c r="W180" s="8"/>
      <c r="X180" s="8"/>
      <c r="AN180" s="133" t="e">
        <f>VLOOKUP(I180,Sheet1!A:D,4,FALSE)</f>
        <v>#N/A</v>
      </c>
    </row>
    <row r="181" spans="1:40" s="4" customFormat="1" x14ac:dyDescent="0.25">
      <c r="A181" s="6"/>
      <c r="G181" s="31"/>
      <c r="M181" s="8"/>
      <c r="N181" s="8"/>
      <c r="O181" s="8"/>
      <c r="P181" s="8"/>
      <c r="T181" s="8"/>
      <c r="U181" s="8"/>
      <c r="V181" s="8"/>
      <c r="W181" s="8"/>
      <c r="X181" s="8"/>
      <c r="AN181" s="133" t="e">
        <f>VLOOKUP(I181,Sheet1!A:D,4,FALSE)</f>
        <v>#N/A</v>
      </c>
    </row>
    <row r="182" spans="1:40" s="4" customFormat="1" x14ac:dyDescent="0.25">
      <c r="A182" s="6"/>
      <c r="G182" s="31"/>
      <c r="M182" s="8"/>
      <c r="N182" s="8"/>
      <c r="O182" s="8"/>
      <c r="P182" s="8"/>
      <c r="T182" s="8"/>
      <c r="U182" s="8"/>
      <c r="V182" s="8"/>
      <c r="W182" s="8"/>
      <c r="X182" s="8"/>
      <c r="AN182" s="133" t="e">
        <f>VLOOKUP(I182,Sheet1!A:D,4,FALSE)</f>
        <v>#N/A</v>
      </c>
    </row>
    <row r="183" spans="1:40" s="4" customFormat="1" x14ac:dyDescent="0.25">
      <c r="A183" s="6"/>
      <c r="G183" s="31"/>
      <c r="M183" s="8"/>
      <c r="N183" s="8"/>
      <c r="O183" s="8"/>
      <c r="P183" s="8"/>
      <c r="T183" s="8"/>
      <c r="U183" s="8"/>
      <c r="V183" s="8"/>
      <c r="W183" s="8"/>
      <c r="X183" s="8"/>
      <c r="AN183" s="133" t="e">
        <f>VLOOKUP(I183,Sheet1!A:D,4,FALSE)</f>
        <v>#N/A</v>
      </c>
    </row>
    <row r="184" spans="1:40" s="4" customFormat="1" x14ac:dyDescent="0.25">
      <c r="A184" s="6"/>
      <c r="G184" s="31"/>
      <c r="M184" s="8"/>
      <c r="N184" s="8"/>
      <c r="O184" s="8"/>
      <c r="P184" s="8"/>
      <c r="T184" s="8"/>
      <c r="U184" s="8"/>
      <c r="V184" s="8"/>
      <c r="W184" s="8"/>
      <c r="X184" s="8"/>
      <c r="AN184" s="133" t="e">
        <f>VLOOKUP(I184,Sheet1!A:D,4,FALSE)</f>
        <v>#N/A</v>
      </c>
    </row>
    <row r="185" spans="1:40" s="4" customFormat="1" x14ac:dyDescent="0.25">
      <c r="A185" s="6"/>
      <c r="G185" s="31"/>
      <c r="M185" s="8"/>
      <c r="N185" s="8"/>
      <c r="O185" s="8"/>
      <c r="P185" s="8"/>
      <c r="T185" s="8"/>
      <c r="U185" s="8"/>
      <c r="V185" s="8"/>
      <c r="W185" s="8"/>
      <c r="X185" s="8"/>
      <c r="AN185" s="133" t="e">
        <f>VLOOKUP(I185,Sheet1!A:D,4,FALSE)</f>
        <v>#N/A</v>
      </c>
    </row>
    <row r="186" spans="1:40" s="4" customFormat="1" x14ac:dyDescent="0.25">
      <c r="A186" s="6"/>
      <c r="G186" s="31"/>
      <c r="M186" s="8"/>
      <c r="N186" s="8"/>
      <c r="O186" s="8"/>
      <c r="P186" s="8"/>
      <c r="T186" s="8"/>
      <c r="U186" s="8"/>
      <c r="V186" s="8"/>
      <c r="W186" s="8"/>
      <c r="X186" s="8"/>
      <c r="AN186" s="133" t="e">
        <f>VLOOKUP(I186,Sheet1!A:D,4,FALSE)</f>
        <v>#N/A</v>
      </c>
    </row>
    <row r="187" spans="1:40" s="4" customFormat="1" x14ac:dyDescent="0.25">
      <c r="A187" s="6"/>
      <c r="G187" s="31"/>
      <c r="M187" s="8"/>
      <c r="N187" s="8"/>
      <c r="O187" s="8"/>
      <c r="P187" s="8"/>
      <c r="T187" s="8"/>
      <c r="U187" s="8"/>
      <c r="V187" s="8"/>
      <c r="W187" s="8"/>
      <c r="X187" s="8"/>
      <c r="AN187" s="133" t="e">
        <f>VLOOKUP(I187,Sheet1!A:D,4,FALSE)</f>
        <v>#N/A</v>
      </c>
    </row>
    <row r="188" spans="1:40" s="4" customFormat="1" x14ac:dyDescent="0.25">
      <c r="A188" s="6"/>
      <c r="G188" s="31"/>
      <c r="M188" s="8"/>
      <c r="N188" s="8"/>
      <c r="O188" s="8"/>
      <c r="P188" s="8"/>
      <c r="T188" s="8"/>
      <c r="U188" s="8"/>
      <c r="V188" s="8"/>
      <c r="W188" s="8"/>
      <c r="X188" s="8"/>
      <c r="AN188" s="133" t="e">
        <f>VLOOKUP(I188,Sheet1!A:D,4,FALSE)</f>
        <v>#N/A</v>
      </c>
    </row>
    <row r="189" spans="1:40" s="4" customFormat="1" x14ac:dyDescent="0.25">
      <c r="A189" s="6"/>
      <c r="G189" s="31"/>
      <c r="M189" s="8"/>
      <c r="N189" s="8"/>
      <c r="O189" s="8"/>
      <c r="P189" s="8"/>
      <c r="T189" s="8"/>
      <c r="U189" s="8"/>
      <c r="V189" s="8"/>
      <c r="W189" s="8"/>
      <c r="X189" s="8"/>
      <c r="AN189" s="133" t="e">
        <f>VLOOKUP(I189,Sheet1!A:D,4,FALSE)</f>
        <v>#N/A</v>
      </c>
    </row>
    <row r="190" spans="1:40" s="4" customFormat="1" x14ac:dyDescent="0.25">
      <c r="A190" s="6"/>
      <c r="G190" s="31"/>
      <c r="M190" s="8"/>
      <c r="N190" s="8"/>
      <c r="O190" s="8"/>
      <c r="P190" s="8"/>
      <c r="T190" s="8"/>
      <c r="U190" s="8"/>
      <c r="V190" s="8"/>
      <c r="W190" s="8"/>
      <c r="X190" s="8"/>
      <c r="AN190" s="133" t="e">
        <f>VLOOKUP(I190,Sheet1!A:D,4,FALSE)</f>
        <v>#N/A</v>
      </c>
    </row>
    <row r="191" spans="1:40" s="4" customFormat="1" x14ac:dyDescent="0.25">
      <c r="A191" s="6"/>
      <c r="G191" s="31"/>
      <c r="M191" s="8"/>
      <c r="N191" s="8"/>
      <c r="O191" s="8"/>
      <c r="P191" s="8"/>
      <c r="T191" s="8"/>
      <c r="U191" s="8"/>
      <c r="V191" s="8"/>
      <c r="W191" s="8"/>
      <c r="X191" s="8"/>
      <c r="AN191" s="133" t="e">
        <f>VLOOKUP(I191,Sheet1!A:D,4,FALSE)</f>
        <v>#N/A</v>
      </c>
    </row>
    <row r="192" spans="1:40" s="4" customFormat="1" x14ac:dyDescent="0.25">
      <c r="A192" s="6"/>
      <c r="G192" s="31"/>
      <c r="M192" s="8"/>
      <c r="N192" s="8"/>
      <c r="O192" s="8"/>
      <c r="P192" s="8"/>
      <c r="T192" s="8"/>
      <c r="U192" s="8"/>
      <c r="V192" s="8"/>
      <c r="W192" s="8"/>
      <c r="X192" s="8"/>
      <c r="AN192" s="133" t="e">
        <f>VLOOKUP(I192,Sheet1!A:D,4,FALSE)</f>
        <v>#N/A</v>
      </c>
    </row>
    <row r="193" spans="1:40" s="4" customFormat="1" x14ac:dyDescent="0.25">
      <c r="A193" s="6"/>
      <c r="G193" s="31"/>
      <c r="M193" s="8"/>
      <c r="N193" s="8"/>
      <c r="O193" s="8"/>
      <c r="P193" s="8"/>
      <c r="T193" s="8"/>
      <c r="U193" s="8"/>
      <c r="V193" s="8"/>
      <c r="W193" s="8"/>
      <c r="X193" s="8"/>
      <c r="AN193" s="133" t="e">
        <f>VLOOKUP(I193,Sheet1!A:D,4,FALSE)</f>
        <v>#N/A</v>
      </c>
    </row>
    <row r="194" spans="1:40" s="4" customFormat="1" x14ac:dyDescent="0.25">
      <c r="A194" s="6"/>
      <c r="G194" s="31"/>
      <c r="M194" s="8"/>
      <c r="N194" s="8"/>
      <c r="O194" s="8"/>
      <c r="P194" s="8"/>
      <c r="T194" s="8"/>
      <c r="U194" s="8"/>
      <c r="V194" s="8"/>
      <c r="W194" s="8"/>
      <c r="X194" s="8"/>
      <c r="AN194" s="133" t="e">
        <f>VLOOKUP(I194,Sheet1!A:D,4,FALSE)</f>
        <v>#N/A</v>
      </c>
    </row>
    <row r="195" spans="1:40" s="4" customFormat="1" x14ac:dyDescent="0.25">
      <c r="A195" s="6"/>
      <c r="G195" s="31"/>
      <c r="M195" s="8"/>
      <c r="N195" s="8"/>
      <c r="O195" s="8"/>
      <c r="P195" s="8"/>
      <c r="T195" s="8"/>
      <c r="U195" s="8"/>
      <c r="V195" s="8"/>
      <c r="W195" s="8"/>
      <c r="X195" s="8"/>
      <c r="AN195" s="133" t="e">
        <f>VLOOKUP(I195,Sheet1!A:D,4,FALSE)</f>
        <v>#N/A</v>
      </c>
    </row>
    <row r="196" spans="1:40" s="4" customFormat="1" x14ac:dyDescent="0.25">
      <c r="A196" s="6"/>
      <c r="G196" s="31"/>
      <c r="M196" s="8"/>
      <c r="N196" s="8"/>
      <c r="O196" s="8"/>
      <c r="P196" s="8"/>
      <c r="T196" s="8"/>
      <c r="U196" s="8"/>
      <c r="V196" s="8"/>
      <c r="W196" s="8"/>
      <c r="X196" s="8"/>
      <c r="AN196" s="133" t="e">
        <f>VLOOKUP(I196,Sheet1!A:D,4,FALSE)</f>
        <v>#N/A</v>
      </c>
    </row>
    <row r="197" spans="1:40" s="4" customFormat="1" x14ac:dyDescent="0.25">
      <c r="A197" s="6"/>
      <c r="G197" s="31"/>
      <c r="M197" s="8"/>
      <c r="N197" s="8"/>
      <c r="O197" s="8"/>
      <c r="P197" s="8"/>
      <c r="T197" s="8"/>
      <c r="U197" s="8"/>
      <c r="V197" s="8"/>
      <c r="W197" s="8"/>
      <c r="X197" s="8"/>
      <c r="AN197" s="133" t="e">
        <f>VLOOKUP(I197,Sheet1!A:D,4,FALSE)</f>
        <v>#N/A</v>
      </c>
    </row>
    <row r="198" spans="1:40" x14ac:dyDescent="0.25">
      <c r="AN198" s="133" t="e">
        <f>VLOOKUP(I198,Sheet1!A:D,4,FALSE)</f>
        <v>#N/A</v>
      </c>
    </row>
    <row r="199" spans="1:40" x14ac:dyDescent="0.25">
      <c r="AN199" s="133" t="e">
        <f>VLOOKUP(I199,Sheet1!A:D,4,FALSE)</f>
        <v>#N/A</v>
      </c>
    </row>
    <row r="200" spans="1:40" x14ac:dyDescent="0.25">
      <c r="AN200" s="133" t="e">
        <f>VLOOKUP(I200,Sheet1!A:D,4,FALSE)</f>
        <v>#N/A</v>
      </c>
    </row>
    <row r="201" spans="1:40" x14ac:dyDescent="0.25">
      <c r="AN201" s="133" t="e">
        <f>VLOOKUP(I201,Sheet1!A:D,4,FALSE)</f>
        <v>#N/A</v>
      </c>
    </row>
    <row r="202" spans="1:40" x14ac:dyDescent="0.25">
      <c r="AN202" s="133" t="e">
        <f>VLOOKUP(I202,Sheet1!A:D,4,FALSE)</f>
        <v>#N/A</v>
      </c>
    </row>
    <row r="203" spans="1:40" x14ac:dyDescent="0.25">
      <c r="AN203" s="133" t="e">
        <f>VLOOKUP(I203,Sheet1!A:D,4,FALSE)</f>
        <v>#N/A</v>
      </c>
    </row>
    <row r="204" spans="1:40" x14ac:dyDescent="0.25">
      <c r="AN204" s="133" t="e">
        <f>VLOOKUP(I204,Sheet1!A:D,4,FALSE)</f>
        <v>#N/A</v>
      </c>
    </row>
    <row r="205" spans="1:40" x14ac:dyDescent="0.25">
      <c r="AN205" s="133" t="e">
        <f>VLOOKUP(I205,Sheet1!A:D,4,FALSE)</f>
        <v>#N/A</v>
      </c>
    </row>
    <row r="206" spans="1:40" x14ac:dyDescent="0.25">
      <c r="AN206" s="133" t="e">
        <f>VLOOKUP(I206,Sheet1!A:D,4,FALSE)</f>
        <v>#N/A</v>
      </c>
    </row>
    <row r="207" spans="1:40" x14ac:dyDescent="0.25">
      <c r="AN207" s="133" t="e">
        <f>VLOOKUP(I207,Sheet1!A:D,4,FALSE)</f>
        <v>#N/A</v>
      </c>
    </row>
    <row r="208" spans="1:40" x14ac:dyDescent="0.25">
      <c r="AN208" s="133" t="e">
        <f>VLOOKUP(I208,Sheet1!A:D,4,FALSE)</f>
        <v>#N/A</v>
      </c>
    </row>
    <row r="209" spans="40:40" x14ac:dyDescent="0.25">
      <c r="AN209" s="133" t="e">
        <f>VLOOKUP(I209,Sheet1!A:D,4,FALSE)</f>
        <v>#N/A</v>
      </c>
    </row>
    <row r="210" spans="40:40" x14ac:dyDescent="0.25">
      <c r="AN210" s="133" t="e">
        <f>VLOOKUP(I210,Sheet1!A:D,4,FALSE)</f>
        <v>#N/A</v>
      </c>
    </row>
    <row r="211" spans="40:40" x14ac:dyDescent="0.25">
      <c r="AN211" s="133" t="e">
        <f>VLOOKUP(I211,Sheet1!A:D,4,FALSE)</f>
        <v>#N/A</v>
      </c>
    </row>
  </sheetData>
  <autoFilter ref="A6:XEY6" xr:uid="{8AA8238F-5801-452A-B7AD-AF5BBA37930A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8C8D-955E-491F-81DC-C2EF21F65BC3}">
  <sheetPr filterMode="1"/>
  <dimension ref="A1:AR936"/>
  <sheetViews>
    <sheetView zoomScaleNormal="100" workbookViewId="0">
      <pane ySplit="6" topLeftCell="A7" activePane="bottomLeft" state="frozen"/>
      <selection pane="bottomLeft" activeCell="AP1" sqref="AP1:AP1048576"/>
    </sheetView>
  </sheetViews>
  <sheetFormatPr defaultColWidth="12.140625" defaultRowHeight="15" x14ac:dyDescent="0.25"/>
  <cols>
    <col min="1" max="1" width="34.42578125" style="18" bestFit="1" customWidth="1"/>
    <col min="2" max="2" width="13" style="4" bestFit="1" customWidth="1"/>
    <col min="3" max="3" width="13.140625" style="4" bestFit="1" customWidth="1"/>
    <col min="4" max="4" width="10.140625" style="22" bestFit="1" customWidth="1"/>
    <col min="5" max="5" width="17.5703125" style="22" bestFit="1" customWidth="1"/>
    <col min="6" max="6" width="11.28515625" style="22" bestFit="1" customWidth="1"/>
    <col min="7" max="7" width="11.85546875" style="19" bestFit="1" customWidth="1"/>
    <col min="8" max="8" width="48.7109375" style="4" bestFit="1" customWidth="1"/>
    <col min="9" max="9" width="15.140625" style="4" bestFit="1" customWidth="1"/>
    <col min="10" max="10" width="37" style="4" bestFit="1" customWidth="1"/>
    <col min="11" max="11" width="17.7109375" style="45" bestFit="1" customWidth="1"/>
    <col min="12" max="12" width="10.5703125" style="20" bestFit="1" customWidth="1"/>
    <col min="13" max="13" width="12" style="45" bestFit="1" customWidth="1"/>
    <col min="14" max="14" width="16.140625" style="45" bestFit="1" customWidth="1"/>
    <col min="15" max="15" width="17.42578125" style="45" bestFit="1" customWidth="1"/>
    <col min="16" max="16" width="33.140625" style="45" bestFit="1" customWidth="1"/>
    <col min="17" max="17" width="19" style="46" bestFit="1" customWidth="1"/>
    <col min="18" max="18" width="19.140625" style="46" bestFit="1" customWidth="1"/>
    <col min="19" max="19" width="8.85546875" style="20" bestFit="1" customWidth="1"/>
    <col min="20" max="20" width="21.7109375" style="45" customWidth="1"/>
    <col min="21" max="21" width="37.42578125" style="45" bestFit="1" customWidth="1"/>
    <col min="22" max="22" width="17.42578125" style="45" bestFit="1" customWidth="1"/>
    <col min="23" max="23" width="16.85546875" style="47" bestFit="1" customWidth="1"/>
    <col min="24" max="24" width="32.140625" style="45" bestFit="1" customWidth="1"/>
    <col min="25" max="25" width="12.42578125" style="4" bestFit="1" customWidth="1"/>
    <col min="26" max="26" width="23.28515625" style="4" bestFit="1" customWidth="1"/>
    <col min="27" max="27" width="9.7109375" style="4" bestFit="1" customWidth="1"/>
    <col min="28" max="28" width="49.42578125" style="4" bestFit="1" customWidth="1"/>
    <col min="29" max="29" width="19.85546875" style="4" bestFit="1" customWidth="1"/>
    <col min="30" max="30" width="14.42578125" style="4" bestFit="1" customWidth="1"/>
    <col min="31" max="31" width="15.42578125" style="4" bestFit="1" customWidth="1"/>
    <col min="32" max="32" width="13.7109375" style="4" bestFit="1" customWidth="1"/>
    <col min="33" max="33" width="8.140625" style="4" bestFit="1" customWidth="1"/>
    <col min="34" max="34" width="36.140625" style="4" bestFit="1" customWidth="1"/>
    <col min="35" max="35" width="7.140625" style="4" bestFit="1" customWidth="1"/>
    <col min="36" max="36" width="12.140625" style="4"/>
    <col min="37" max="37" width="11.28515625" style="4" bestFit="1" customWidth="1"/>
    <col min="38" max="38" width="14.85546875" style="4" bestFit="1" customWidth="1"/>
    <col min="39" max="39" width="16.28515625" style="4" bestFit="1" customWidth="1"/>
    <col min="40" max="40" width="12.140625" style="4"/>
    <col min="41" max="41" width="12.140625" style="4" customWidth="1"/>
    <col min="42" max="42" width="85.28515625" style="4" hidden="1" customWidth="1"/>
    <col min="43" max="43" width="12.140625" style="4" customWidth="1"/>
    <col min="44" max="44" width="12" style="4" customWidth="1"/>
    <col min="45" max="16384" width="12.140625" style="4"/>
  </cols>
  <sheetData>
    <row r="1" spans="1:44" s="74" customFormat="1" x14ac:dyDescent="0.25">
      <c r="A1" s="73"/>
      <c r="D1" s="75"/>
      <c r="E1" s="75"/>
      <c r="F1" s="75"/>
      <c r="G1" s="76"/>
      <c r="K1" s="77"/>
      <c r="L1" s="78"/>
      <c r="M1" s="77"/>
      <c r="N1" s="77"/>
      <c r="O1" s="77"/>
      <c r="P1" s="77"/>
      <c r="Q1" s="79"/>
      <c r="R1" s="79"/>
      <c r="S1" s="78"/>
      <c r="T1" s="77"/>
      <c r="U1" s="77"/>
      <c r="V1" s="77"/>
      <c r="W1" s="80"/>
      <c r="X1" s="77"/>
    </row>
    <row r="2" spans="1:44" s="74" customFormat="1" x14ac:dyDescent="0.25">
      <c r="A2" s="73"/>
      <c r="D2" s="75"/>
      <c r="E2" s="75"/>
      <c r="F2" s="75"/>
      <c r="G2" s="76"/>
      <c r="K2" s="77"/>
      <c r="L2" s="78"/>
      <c r="M2" s="77"/>
      <c r="N2" s="77"/>
      <c r="O2" s="77"/>
      <c r="P2" s="77"/>
      <c r="Q2" s="79"/>
      <c r="R2" s="79"/>
      <c r="S2" s="78"/>
      <c r="T2" s="77"/>
      <c r="U2" s="77"/>
      <c r="V2" s="77"/>
      <c r="W2" s="80"/>
      <c r="X2" s="77"/>
    </row>
    <row r="3" spans="1:44" s="74" customFormat="1" x14ac:dyDescent="0.25">
      <c r="A3" s="73"/>
      <c r="D3" s="75"/>
      <c r="E3" s="75"/>
      <c r="F3" s="75"/>
      <c r="G3" s="76"/>
      <c r="K3" s="77"/>
      <c r="L3" s="78"/>
      <c r="M3" s="77"/>
      <c r="N3" s="77"/>
      <c r="O3" s="77"/>
      <c r="P3" s="77"/>
      <c r="Q3" s="79"/>
      <c r="R3" s="79"/>
      <c r="S3" s="78"/>
      <c r="T3" s="77"/>
      <c r="U3" s="77"/>
      <c r="V3" s="77"/>
      <c r="W3" s="80"/>
      <c r="X3" s="77"/>
    </row>
    <row r="4" spans="1:44" s="74" customFormat="1" x14ac:dyDescent="0.25">
      <c r="A4" s="73"/>
      <c r="D4" s="75"/>
      <c r="E4" s="75"/>
      <c r="F4" s="75"/>
      <c r="G4" s="76"/>
      <c r="K4" s="77"/>
      <c r="L4" s="78"/>
      <c r="M4" s="77"/>
      <c r="N4" s="77"/>
      <c r="O4" s="77"/>
      <c r="P4" s="77"/>
      <c r="Q4" s="79"/>
      <c r="R4" s="79"/>
      <c r="S4" s="78"/>
      <c r="T4" s="77"/>
      <c r="U4" s="77"/>
      <c r="V4" s="77"/>
      <c r="W4" s="80"/>
      <c r="X4" s="77"/>
    </row>
    <row r="5" spans="1:44" s="74" customFormat="1" x14ac:dyDescent="0.25">
      <c r="A5" s="73" t="s">
        <v>230</v>
      </c>
      <c r="D5" s="75"/>
      <c r="E5" s="75"/>
      <c r="F5" s="75"/>
      <c r="G5" s="76"/>
      <c r="K5" s="77"/>
      <c r="L5" s="78"/>
      <c r="M5" s="77"/>
      <c r="N5" s="77"/>
      <c r="O5" s="77"/>
      <c r="P5" s="77"/>
      <c r="Q5" s="79"/>
      <c r="R5" s="79"/>
      <c r="S5" s="78"/>
      <c r="T5" s="77"/>
      <c r="U5" s="77"/>
      <c r="V5" s="77"/>
      <c r="W5" s="80"/>
      <c r="X5" s="77"/>
    </row>
    <row r="6" spans="1:44" x14ac:dyDescent="0.25">
      <c r="A6" s="13" t="s">
        <v>0</v>
      </c>
      <c r="B6" s="1" t="s">
        <v>1</v>
      </c>
      <c r="C6" s="1" t="s">
        <v>2</v>
      </c>
      <c r="D6" s="21" t="s">
        <v>4</v>
      </c>
      <c r="E6" s="21" t="s">
        <v>3</v>
      </c>
      <c r="F6" s="21" t="s">
        <v>5</v>
      </c>
      <c r="G6" s="14" t="s">
        <v>6</v>
      </c>
      <c r="H6" s="1" t="s">
        <v>7</v>
      </c>
      <c r="I6" s="1" t="s">
        <v>8</v>
      </c>
      <c r="J6" s="1" t="s">
        <v>9</v>
      </c>
      <c r="K6" s="9" t="s">
        <v>10</v>
      </c>
      <c r="L6" s="15" t="s">
        <v>11</v>
      </c>
      <c r="M6" s="9" t="s">
        <v>12</v>
      </c>
      <c r="N6" s="9" t="s">
        <v>13</v>
      </c>
      <c r="O6" s="9" t="s">
        <v>14</v>
      </c>
      <c r="P6" s="9" t="s">
        <v>15</v>
      </c>
      <c r="Q6" s="3" t="s">
        <v>16</v>
      </c>
      <c r="R6" s="3" t="s">
        <v>17</v>
      </c>
      <c r="S6" s="15" t="s">
        <v>18</v>
      </c>
      <c r="T6" s="9" t="s">
        <v>19</v>
      </c>
      <c r="U6" s="9" t="s">
        <v>20</v>
      </c>
      <c r="V6" s="9" t="s">
        <v>21</v>
      </c>
      <c r="W6" s="11" t="s">
        <v>22</v>
      </c>
      <c r="X6" s="9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  <c r="AN6" s="1" t="s">
        <v>276</v>
      </c>
      <c r="AO6" s="16"/>
      <c r="AP6" s="17"/>
      <c r="AQ6" s="16"/>
      <c r="AR6" s="16"/>
    </row>
    <row r="7" spans="1:44" s="305" customFormat="1" ht="14.25" customHeight="1" x14ac:dyDescent="0.2">
      <c r="A7" s="295">
        <v>45901</v>
      </c>
      <c r="B7" s="296" t="s">
        <v>40</v>
      </c>
      <c r="C7" s="296" t="s">
        <v>41</v>
      </c>
      <c r="D7" s="296">
        <v>25708556</v>
      </c>
      <c r="E7" s="297">
        <v>25106961</v>
      </c>
      <c r="F7" s="297" t="s">
        <v>1349</v>
      </c>
      <c r="G7" s="298">
        <v>45918</v>
      </c>
      <c r="H7" s="296" t="s">
        <v>1350</v>
      </c>
      <c r="I7" s="296" t="s">
        <v>55</v>
      </c>
      <c r="J7" s="296" t="s">
        <v>259</v>
      </c>
      <c r="K7" s="299">
        <v>10</v>
      </c>
      <c r="L7" s="300" t="s">
        <v>42</v>
      </c>
      <c r="M7" s="299">
        <v>10</v>
      </c>
      <c r="N7" s="299">
        <v>1299280</v>
      </c>
      <c r="O7" s="299">
        <v>12992800</v>
      </c>
      <c r="P7" s="299">
        <v>12992800</v>
      </c>
      <c r="Q7" s="301">
        <v>0</v>
      </c>
      <c r="R7" s="301">
        <v>0</v>
      </c>
      <c r="S7" s="300" t="s">
        <v>43</v>
      </c>
      <c r="T7" s="299">
        <v>5091083.3600000003</v>
      </c>
      <c r="U7" s="299">
        <v>5091083.3600000003</v>
      </c>
      <c r="V7" s="299">
        <v>7901716.6399999997</v>
      </c>
      <c r="W7" s="302">
        <v>0.608161184656</v>
      </c>
      <c r="X7" s="299">
        <v>7901716.6399999997</v>
      </c>
      <c r="Y7" s="296" t="s">
        <v>101</v>
      </c>
      <c r="Z7" s="296" t="s">
        <v>46</v>
      </c>
      <c r="AA7" s="303">
        <v>2309894</v>
      </c>
      <c r="AB7" s="296" t="s">
        <v>1350</v>
      </c>
      <c r="AC7" s="296" t="s">
        <v>56</v>
      </c>
      <c r="AD7" s="296" t="s">
        <v>103</v>
      </c>
      <c r="AE7" s="304">
        <v>0</v>
      </c>
      <c r="AF7" s="296" t="s">
        <v>191</v>
      </c>
      <c r="AG7" s="296" t="s">
        <v>242</v>
      </c>
      <c r="AH7" s="296" t="s">
        <v>53</v>
      </c>
      <c r="AI7" s="296" t="s">
        <v>101</v>
      </c>
      <c r="AJ7" s="296" t="s">
        <v>46</v>
      </c>
      <c r="AK7" s="296" t="s">
        <v>54</v>
      </c>
      <c r="AL7" s="296" t="s">
        <v>48</v>
      </c>
      <c r="AM7" s="296" t="s">
        <v>64</v>
      </c>
      <c r="AN7" s="254" t="str">
        <f>VLOOKUP(I7,Sheet1!A:D,4,FALSE)</f>
        <v>A320400</v>
      </c>
      <c r="AP7" s="281" t="s">
        <v>1351</v>
      </c>
      <c r="AR7" s="281"/>
    </row>
    <row r="8" spans="1:44" s="276" customFormat="1" x14ac:dyDescent="0.25">
      <c r="A8" s="266"/>
      <c r="B8" s="267"/>
      <c r="C8" s="267"/>
      <c r="D8" s="267"/>
      <c r="E8" s="268"/>
      <c r="F8" s="268"/>
      <c r="G8" s="269"/>
      <c r="H8" s="267"/>
      <c r="I8" s="267"/>
      <c r="J8" s="267"/>
      <c r="K8" s="270"/>
      <c r="L8" s="271"/>
      <c r="M8" s="270"/>
      <c r="N8" s="270"/>
      <c r="O8" s="270"/>
      <c r="P8" s="270"/>
      <c r="Q8" s="272"/>
      <c r="R8" s="272"/>
      <c r="S8" s="271"/>
      <c r="T8" s="270"/>
      <c r="U8" s="270"/>
      <c r="V8" s="270"/>
      <c r="W8" s="273"/>
      <c r="X8" s="270"/>
      <c r="Y8" s="267"/>
      <c r="Z8" s="267"/>
      <c r="AA8" s="274"/>
      <c r="AB8" s="267"/>
      <c r="AC8" s="267"/>
      <c r="AD8" s="267"/>
      <c r="AE8" s="275"/>
      <c r="AF8" s="267"/>
      <c r="AG8" s="267"/>
      <c r="AH8" s="267"/>
      <c r="AI8" s="267"/>
      <c r="AJ8" s="267"/>
      <c r="AK8" s="267"/>
      <c r="AL8" s="267"/>
      <c r="AM8" s="267"/>
      <c r="AN8" s="36" t="e">
        <f>VLOOKUP(I8,Sheet1!A:D,4,FALSE)</f>
        <v>#N/A</v>
      </c>
      <c r="AP8" s="279"/>
    </row>
    <row r="9" spans="1:44" s="276" customFormat="1" x14ac:dyDescent="0.25">
      <c r="A9" s="266"/>
      <c r="B9" s="267"/>
      <c r="C9" s="267"/>
      <c r="D9" s="267"/>
      <c r="E9" s="268"/>
      <c r="F9" s="268"/>
      <c r="G9" s="269"/>
      <c r="H9" s="267"/>
      <c r="I9" s="267"/>
      <c r="J9" s="267"/>
      <c r="K9" s="270"/>
      <c r="L9" s="271"/>
      <c r="M9" s="270"/>
      <c r="N9" s="270"/>
      <c r="O9" s="270"/>
      <c r="P9" s="270"/>
      <c r="Q9" s="272"/>
      <c r="R9" s="272"/>
      <c r="S9" s="271"/>
      <c r="T9" s="270"/>
      <c r="U9" s="270"/>
      <c r="V9" s="270"/>
      <c r="W9" s="273"/>
      <c r="X9" s="270"/>
      <c r="Y9" s="267"/>
      <c r="Z9" s="267"/>
      <c r="AA9" s="274"/>
      <c r="AB9" s="267"/>
      <c r="AC9" s="267"/>
      <c r="AD9" s="267"/>
      <c r="AE9" s="275"/>
      <c r="AF9" s="267"/>
      <c r="AG9" s="267"/>
      <c r="AH9" s="267"/>
      <c r="AI9" s="267"/>
      <c r="AJ9" s="267"/>
      <c r="AK9" s="267"/>
      <c r="AL9" s="267"/>
      <c r="AM9" s="267"/>
      <c r="AN9" s="36" t="e">
        <f>VLOOKUP(I9,Sheet1!A:D,4,FALSE)</f>
        <v>#N/A</v>
      </c>
      <c r="AP9" s="279"/>
    </row>
    <row r="10" spans="1:44" s="276" customFormat="1" x14ac:dyDescent="0.25">
      <c r="A10" s="266"/>
      <c r="B10" s="267"/>
      <c r="C10" s="267"/>
      <c r="D10" s="267"/>
      <c r="E10" s="268"/>
      <c r="F10" s="268"/>
      <c r="G10" s="269"/>
      <c r="H10" s="267"/>
      <c r="I10" s="267"/>
      <c r="J10" s="267"/>
      <c r="K10" s="270"/>
      <c r="L10" s="271"/>
      <c r="M10" s="270"/>
      <c r="N10" s="270"/>
      <c r="O10" s="270"/>
      <c r="P10" s="270"/>
      <c r="Q10" s="272"/>
      <c r="R10" s="272"/>
      <c r="S10" s="271"/>
      <c r="T10" s="270"/>
      <c r="U10" s="270"/>
      <c r="V10" s="270"/>
      <c r="W10" s="273"/>
      <c r="X10" s="270"/>
      <c r="Y10" s="267"/>
      <c r="Z10" s="267"/>
      <c r="AA10" s="274"/>
      <c r="AB10" s="267"/>
      <c r="AC10" s="267"/>
      <c r="AD10" s="267"/>
      <c r="AE10" s="275"/>
      <c r="AF10" s="267"/>
      <c r="AG10" s="267"/>
      <c r="AH10" s="267"/>
      <c r="AI10" s="267"/>
      <c r="AJ10" s="267"/>
      <c r="AK10" s="267"/>
      <c r="AL10" s="267"/>
      <c r="AM10" s="267"/>
      <c r="AN10" s="36" t="e">
        <f>VLOOKUP(I10,Sheet1!A:D,4,FALSE)</f>
        <v>#N/A</v>
      </c>
      <c r="AP10" s="279"/>
    </row>
    <row r="11" spans="1:44" s="276" customFormat="1" x14ac:dyDescent="0.25">
      <c r="A11" s="266"/>
      <c r="B11" s="267"/>
      <c r="C11" s="267"/>
      <c r="D11" s="267"/>
      <c r="E11" s="268"/>
      <c r="F11" s="268"/>
      <c r="G11" s="269"/>
      <c r="H11" s="267"/>
      <c r="I11" s="267"/>
      <c r="J11" s="267"/>
      <c r="K11" s="270"/>
      <c r="L11" s="271"/>
      <c r="M11" s="270"/>
      <c r="N11" s="270"/>
      <c r="O11" s="270"/>
      <c r="P11" s="270"/>
      <c r="Q11" s="272"/>
      <c r="R11" s="272"/>
      <c r="S11" s="271"/>
      <c r="T11" s="270"/>
      <c r="U11" s="270"/>
      <c r="V11" s="270"/>
      <c r="W11" s="273"/>
      <c r="X11" s="270"/>
      <c r="Y11" s="267"/>
      <c r="Z11" s="267"/>
      <c r="AA11" s="274"/>
      <c r="AB11" s="267"/>
      <c r="AC11" s="267"/>
      <c r="AD11" s="267"/>
      <c r="AE11" s="275"/>
      <c r="AF11" s="267"/>
      <c r="AG11" s="267"/>
      <c r="AH11" s="267"/>
      <c r="AI11" s="267"/>
      <c r="AJ11" s="267"/>
      <c r="AK11" s="267"/>
      <c r="AL11" s="267"/>
      <c r="AM11" s="267"/>
      <c r="AN11" s="36" t="e">
        <f>VLOOKUP(I11,Sheet1!A:D,4,FALSE)</f>
        <v>#N/A</v>
      </c>
      <c r="AP11" s="279"/>
    </row>
    <row r="12" spans="1:44" s="276" customFormat="1" x14ac:dyDescent="0.25">
      <c r="A12" s="266"/>
      <c r="B12" s="267"/>
      <c r="C12" s="267"/>
      <c r="D12" s="267"/>
      <c r="E12" s="268"/>
      <c r="F12" s="268"/>
      <c r="G12" s="269"/>
      <c r="H12" s="267"/>
      <c r="I12" s="267"/>
      <c r="J12" s="267"/>
      <c r="K12" s="270"/>
      <c r="L12" s="271"/>
      <c r="M12" s="270"/>
      <c r="N12" s="270"/>
      <c r="O12" s="270"/>
      <c r="P12" s="270"/>
      <c r="Q12" s="272"/>
      <c r="R12" s="272"/>
      <c r="S12" s="271"/>
      <c r="T12" s="270"/>
      <c r="U12" s="270"/>
      <c r="V12" s="270"/>
      <c r="W12" s="273"/>
      <c r="X12" s="270"/>
      <c r="Y12" s="267"/>
      <c r="Z12" s="267"/>
      <c r="AA12" s="274"/>
      <c r="AB12" s="267"/>
      <c r="AC12" s="267"/>
      <c r="AD12" s="267"/>
      <c r="AE12" s="275"/>
      <c r="AF12" s="267"/>
      <c r="AG12" s="267"/>
      <c r="AH12" s="267"/>
      <c r="AI12" s="267"/>
      <c r="AJ12" s="267"/>
      <c r="AK12" s="267"/>
      <c r="AL12" s="267"/>
      <c r="AM12" s="267"/>
      <c r="AN12" s="36" t="e">
        <f>VLOOKUP(I12,Sheet1!A:D,4,FALSE)</f>
        <v>#N/A</v>
      </c>
      <c r="AP12" s="279"/>
    </row>
    <row r="13" spans="1:44" s="276" customFormat="1" x14ac:dyDescent="0.25">
      <c r="A13" s="266"/>
      <c r="B13" s="267"/>
      <c r="C13" s="267"/>
      <c r="D13" s="267"/>
      <c r="E13" s="268"/>
      <c r="F13" s="268"/>
      <c r="G13" s="269"/>
      <c r="H13" s="267"/>
      <c r="I13" s="267"/>
      <c r="J13" s="267"/>
      <c r="K13" s="270"/>
      <c r="L13" s="271"/>
      <c r="M13" s="270"/>
      <c r="N13" s="270"/>
      <c r="O13" s="270"/>
      <c r="P13" s="270"/>
      <c r="Q13" s="272"/>
      <c r="R13" s="272"/>
      <c r="S13" s="271"/>
      <c r="T13" s="270"/>
      <c r="U13" s="270"/>
      <c r="V13" s="270"/>
      <c r="W13" s="273"/>
      <c r="X13" s="270"/>
      <c r="Y13" s="267"/>
      <c r="Z13" s="267"/>
      <c r="AA13" s="274"/>
      <c r="AB13" s="267"/>
      <c r="AC13" s="267"/>
      <c r="AD13" s="267"/>
      <c r="AE13" s="275"/>
      <c r="AF13" s="267"/>
      <c r="AG13" s="267"/>
      <c r="AH13" s="267"/>
      <c r="AI13" s="267"/>
      <c r="AJ13" s="267"/>
      <c r="AK13" s="267"/>
      <c r="AL13" s="267"/>
      <c r="AM13" s="267"/>
      <c r="AN13" s="36" t="e">
        <f>VLOOKUP(I13,Sheet1!A:D,4,FALSE)</f>
        <v>#N/A</v>
      </c>
      <c r="AP13" s="279"/>
    </row>
    <row r="14" spans="1:44" s="276" customFormat="1" x14ac:dyDescent="0.25">
      <c r="A14" s="266"/>
      <c r="B14" s="267"/>
      <c r="C14" s="267"/>
      <c r="D14" s="267"/>
      <c r="E14" s="268"/>
      <c r="F14" s="268"/>
      <c r="G14" s="269"/>
      <c r="H14" s="267"/>
      <c r="I14" s="267"/>
      <c r="J14" s="267"/>
      <c r="K14" s="270"/>
      <c r="L14" s="271"/>
      <c r="M14" s="270"/>
      <c r="N14" s="270"/>
      <c r="O14" s="270"/>
      <c r="P14" s="270"/>
      <c r="Q14" s="272"/>
      <c r="R14" s="272"/>
      <c r="S14" s="271"/>
      <c r="T14" s="270"/>
      <c r="U14" s="270"/>
      <c r="V14" s="270"/>
      <c r="W14" s="273"/>
      <c r="X14" s="270"/>
      <c r="Y14" s="267"/>
      <c r="Z14" s="267"/>
      <c r="AA14" s="274"/>
      <c r="AB14" s="267"/>
      <c r="AC14" s="267"/>
      <c r="AD14" s="267"/>
      <c r="AE14" s="275"/>
      <c r="AF14" s="267"/>
      <c r="AG14" s="267"/>
      <c r="AH14" s="267"/>
      <c r="AI14" s="267"/>
      <c r="AJ14" s="267"/>
      <c r="AK14" s="267"/>
      <c r="AL14" s="267"/>
      <c r="AM14" s="267"/>
      <c r="AN14" s="36" t="e">
        <f>VLOOKUP(I14,Sheet1!A:D,4,FALSE)</f>
        <v>#N/A</v>
      </c>
      <c r="AP14" s="279"/>
    </row>
    <row r="15" spans="1:44" s="276" customFormat="1" x14ac:dyDescent="0.25">
      <c r="A15" s="266"/>
      <c r="B15" s="267"/>
      <c r="C15" s="267"/>
      <c r="D15" s="267"/>
      <c r="E15" s="268"/>
      <c r="F15" s="268"/>
      <c r="G15" s="269"/>
      <c r="H15" s="267"/>
      <c r="I15" s="267"/>
      <c r="J15" s="267"/>
      <c r="K15" s="270"/>
      <c r="L15" s="271"/>
      <c r="M15" s="270"/>
      <c r="N15" s="270"/>
      <c r="O15" s="270"/>
      <c r="P15" s="270"/>
      <c r="Q15" s="272"/>
      <c r="R15" s="272"/>
      <c r="S15" s="271"/>
      <c r="T15" s="270"/>
      <c r="U15" s="270"/>
      <c r="V15" s="270"/>
      <c r="W15" s="273"/>
      <c r="X15" s="270"/>
      <c r="Y15" s="267"/>
      <c r="Z15" s="267"/>
      <c r="AA15" s="274"/>
      <c r="AB15" s="267"/>
      <c r="AC15" s="267"/>
      <c r="AD15" s="267"/>
      <c r="AE15" s="275"/>
      <c r="AF15" s="267"/>
      <c r="AG15" s="267"/>
      <c r="AH15" s="267"/>
      <c r="AI15" s="267"/>
      <c r="AJ15" s="267"/>
      <c r="AK15" s="267"/>
      <c r="AL15" s="267"/>
      <c r="AM15" s="267"/>
      <c r="AN15" s="36" t="e">
        <f>VLOOKUP(I15,Sheet1!A:D,4,FALSE)</f>
        <v>#N/A</v>
      </c>
      <c r="AP15" s="279"/>
    </row>
    <row r="16" spans="1:44" s="276" customFormat="1" x14ac:dyDescent="0.25">
      <c r="A16" s="266"/>
      <c r="B16" s="267"/>
      <c r="C16" s="267"/>
      <c r="D16" s="267"/>
      <c r="E16" s="268"/>
      <c r="F16" s="268"/>
      <c r="G16" s="269"/>
      <c r="H16" s="267"/>
      <c r="I16" s="267"/>
      <c r="J16" s="267"/>
      <c r="K16" s="270"/>
      <c r="L16" s="271"/>
      <c r="M16" s="270"/>
      <c r="N16" s="270"/>
      <c r="O16" s="270"/>
      <c r="P16" s="270"/>
      <c r="Q16" s="272"/>
      <c r="R16" s="272"/>
      <c r="S16" s="271"/>
      <c r="T16" s="270"/>
      <c r="U16" s="270"/>
      <c r="V16" s="270"/>
      <c r="W16" s="273"/>
      <c r="X16" s="270"/>
      <c r="Y16" s="267"/>
      <c r="Z16" s="267"/>
      <c r="AA16" s="274"/>
      <c r="AB16" s="267"/>
      <c r="AC16" s="267"/>
      <c r="AD16" s="267"/>
      <c r="AE16" s="275"/>
      <c r="AF16" s="267"/>
      <c r="AG16" s="267"/>
      <c r="AH16" s="267"/>
      <c r="AI16" s="267"/>
      <c r="AJ16" s="267"/>
      <c r="AK16" s="267"/>
      <c r="AL16" s="267"/>
      <c r="AM16" s="267"/>
      <c r="AN16" s="36" t="e">
        <f>VLOOKUP(I16,Sheet1!A:D,4,FALSE)</f>
        <v>#N/A</v>
      </c>
      <c r="AP16" s="279"/>
    </row>
    <row r="17" spans="1:42" s="276" customFormat="1" x14ac:dyDescent="0.25">
      <c r="A17" s="266"/>
      <c r="B17" s="267"/>
      <c r="C17" s="267"/>
      <c r="D17" s="267"/>
      <c r="E17" s="268"/>
      <c r="F17" s="268"/>
      <c r="G17" s="269"/>
      <c r="H17" s="267"/>
      <c r="I17" s="267"/>
      <c r="J17" s="267"/>
      <c r="K17" s="270"/>
      <c r="L17" s="271"/>
      <c r="M17" s="270"/>
      <c r="N17" s="270"/>
      <c r="O17" s="270"/>
      <c r="P17" s="270"/>
      <c r="Q17" s="272"/>
      <c r="R17" s="272"/>
      <c r="S17" s="271"/>
      <c r="T17" s="270"/>
      <c r="U17" s="270"/>
      <c r="V17" s="270"/>
      <c r="W17" s="273"/>
      <c r="X17" s="270"/>
      <c r="Y17" s="267"/>
      <c r="Z17" s="267"/>
      <c r="AA17" s="274"/>
      <c r="AB17" s="267"/>
      <c r="AC17" s="267"/>
      <c r="AD17" s="267"/>
      <c r="AE17" s="275"/>
      <c r="AF17" s="267"/>
      <c r="AG17" s="267"/>
      <c r="AH17" s="267"/>
      <c r="AI17" s="267"/>
      <c r="AJ17" s="267"/>
      <c r="AK17" s="267"/>
      <c r="AL17" s="267"/>
      <c r="AM17" s="267"/>
      <c r="AN17" s="36" t="e">
        <f>VLOOKUP(I17,Sheet1!A:D,4,FALSE)</f>
        <v>#N/A</v>
      </c>
      <c r="AP17" s="279"/>
    </row>
    <row r="18" spans="1:42" s="276" customFormat="1" x14ac:dyDescent="0.25">
      <c r="A18" s="266"/>
      <c r="B18" s="267"/>
      <c r="C18" s="267"/>
      <c r="D18" s="267"/>
      <c r="E18" s="268"/>
      <c r="F18" s="268"/>
      <c r="G18" s="269"/>
      <c r="H18" s="267"/>
      <c r="I18" s="267"/>
      <c r="J18" s="267"/>
      <c r="K18" s="270"/>
      <c r="L18" s="271"/>
      <c r="M18" s="270"/>
      <c r="N18" s="270"/>
      <c r="O18" s="270"/>
      <c r="P18" s="270"/>
      <c r="Q18" s="272"/>
      <c r="R18" s="272"/>
      <c r="S18" s="271"/>
      <c r="T18" s="270"/>
      <c r="U18" s="270"/>
      <c r="V18" s="270"/>
      <c r="W18" s="273"/>
      <c r="X18" s="270"/>
      <c r="Y18" s="267"/>
      <c r="Z18" s="267"/>
      <c r="AA18" s="274"/>
      <c r="AB18" s="267"/>
      <c r="AC18" s="267"/>
      <c r="AD18" s="267"/>
      <c r="AE18" s="275"/>
      <c r="AF18" s="267"/>
      <c r="AG18" s="267"/>
      <c r="AH18" s="267"/>
      <c r="AI18" s="267"/>
      <c r="AJ18" s="267"/>
      <c r="AK18" s="267"/>
      <c r="AL18" s="267"/>
      <c r="AM18" s="267"/>
      <c r="AN18" s="36" t="e">
        <f>VLOOKUP(I18,Sheet1!A:D,4,FALSE)</f>
        <v>#N/A</v>
      </c>
      <c r="AP18" s="279"/>
    </row>
    <row r="19" spans="1:42" s="36" customFormat="1" ht="14.25" x14ac:dyDescent="0.2">
      <c r="A19" s="35"/>
      <c r="D19" s="37"/>
      <c r="E19" s="37"/>
      <c r="F19" s="37"/>
      <c r="G19" s="54"/>
      <c r="K19" s="50"/>
      <c r="L19" s="40"/>
      <c r="M19" s="50"/>
      <c r="N19" s="50"/>
      <c r="O19" s="50"/>
      <c r="P19" s="50"/>
      <c r="Q19" s="52"/>
      <c r="R19" s="52"/>
      <c r="S19" s="40"/>
      <c r="T19" s="50"/>
      <c r="U19" s="50"/>
      <c r="V19" s="50"/>
      <c r="W19" s="53"/>
      <c r="X19" s="50"/>
      <c r="AN19" s="36" t="e">
        <f>VLOOKUP(I19,Sheet1!A:D,4,FALSE)</f>
        <v>#N/A</v>
      </c>
      <c r="AP19" s="49"/>
    </row>
    <row r="20" spans="1:42" s="36" customFormat="1" ht="14.25" x14ac:dyDescent="0.2">
      <c r="A20" s="35"/>
      <c r="D20" s="37"/>
      <c r="E20" s="37"/>
      <c r="F20" s="37"/>
      <c r="G20" s="54"/>
      <c r="K20" s="50"/>
      <c r="L20" s="40"/>
      <c r="M20" s="50"/>
      <c r="N20" s="50"/>
      <c r="O20" s="50"/>
      <c r="P20" s="50"/>
      <c r="Q20" s="52"/>
      <c r="R20" s="52"/>
      <c r="S20" s="40"/>
      <c r="T20" s="50"/>
      <c r="U20" s="50"/>
      <c r="V20" s="50"/>
      <c r="W20" s="53"/>
      <c r="X20" s="50"/>
      <c r="AN20" s="36" t="e">
        <f>VLOOKUP(I20,Sheet1!A:D,4,FALSE)</f>
        <v>#N/A</v>
      </c>
      <c r="AP20" s="49"/>
    </row>
    <row r="21" spans="1:42" s="36" customFormat="1" ht="14.25" x14ac:dyDescent="0.2">
      <c r="A21" s="35"/>
      <c r="D21" s="37"/>
      <c r="E21" s="37"/>
      <c r="F21" s="37"/>
      <c r="G21" s="54"/>
      <c r="K21" s="50"/>
      <c r="L21" s="40"/>
      <c r="M21" s="50"/>
      <c r="N21" s="50"/>
      <c r="O21" s="50"/>
      <c r="P21" s="50"/>
      <c r="Q21" s="52"/>
      <c r="R21" s="52"/>
      <c r="S21" s="40"/>
      <c r="T21" s="50"/>
      <c r="U21" s="50"/>
      <c r="V21" s="50"/>
      <c r="W21" s="53"/>
      <c r="X21" s="50"/>
      <c r="AN21" s="36" t="e">
        <f>VLOOKUP(I21,Sheet1!A:D,4,FALSE)</f>
        <v>#N/A</v>
      </c>
      <c r="AP21" s="49"/>
    </row>
    <row r="22" spans="1:42" s="36" customFormat="1" ht="14.25" x14ac:dyDescent="0.2">
      <c r="A22" s="35"/>
      <c r="D22" s="37"/>
      <c r="E22" s="37"/>
      <c r="F22" s="37"/>
      <c r="G22" s="54"/>
      <c r="K22" s="50"/>
      <c r="L22" s="40"/>
      <c r="M22" s="50"/>
      <c r="N22" s="50"/>
      <c r="O22" s="50"/>
      <c r="P22" s="50"/>
      <c r="Q22" s="52"/>
      <c r="R22" s="52"/>
      <c r="S22" s="40"/>
      <c r="T22" s="50"/>
      <c r="U22" s="50"/>
      <c r="V22" s="50"/>
      <c r="W22" s="53"/>
      <c r="X22" s="50"/>
      <c r="AN22" s="36" t="e">
        <f>VLOOKUP(I22,Sheet1!A:D,4,FALSE)</f>
        <v>#N/A</v>
      </c>
      <c r="AP22" s="49"/>
    </row>
    <row r="23" spans="1:42" s="36" customFormat="1" ht="14.25" x14ac:dyDescent="0.2">
      <c r="A23" s="35"/>
      <c r="D23" s="37"/>
      <c r="E23" s="37"/>
      <c r="F23" s="37"/>
      <c r="G23" s="54"/>
      <c r="K23" s="50"/>
      <c r="L23" s="40"/>
      <c r="M23" s="50"/>
      <c r="N23" s="50"/>
      <c r="O23" s="50"/>
      <c r="P23" s="50"/>
      <c r="Q23" s="52"/>
      <c r="R23" s="52"/>
      <c r="S23" s="40"/>
      <c r="T23" s="50"/>
      <c r="U23" s="50"/>
      <c r="V23" s="50"/>
      <c r="W23" s="53"/>
      <c r="X23" s="50"/>
      <c r="AN23" s="36" t="e">
        <f>VLOOKUP(I23,Sheet1!A:D,4,FALSE)</f>
        <v>#N/A</v>
      </c>
      <c r="AP23" s="49"/>
    </row>
    <row r="24" spans="1:42" s="36" customFormat="1" ht="14.25" x14ac:dyDescent="0.2">
      <c r="A24" s="35"/>
      <c r="D24" s="37"/>
      <c r="E24" s="37"/>
      <c r="F24" s="37"/>
      <c r="G24" s="54"/>
      <c r="K24" s="50"/>
      <c r="L24" s="40"/>
      <c r="M24" s="50"/>
      <c r="N24" s="50"/>
      <c r="O24" s="50"/>
      <c r="P24" s="50"/>
      <c r="Q24" s="52"/>
      <c r="R24" s="52"/>
      <c r="S24" s="40"/>
      <c r="T24" s="50"/>
      <c r="U24" s="50"/>
      <c r="V24" s="50"/>
      <c r="W24" s="53"/>
      <c r="X24" s="50"/>
      <c r="AN24" s="36" t="e">
        <f>VLOOKUP(I24,Sheet1!A:D,4,FALSE)</f>
        <v>#N/A</v>
      </c>
      <c r="AP24" s="49"/>
    </row>
    <row r="25" spans="1:42" s="36" customFormat="1" ht="14.25" x14ac:dyDescent="0.2">
      <c r="A25" s="35"/>
      <c r="D25" s="37"/>
      <c r="E25" s="37"/>
      <c r="F25" s="37"/>
      <c r="G25" s="54"/>
      <c r="K25" s="50"/>
      <c r="L25" s="40"/>
      <c r="M25" s="50"/>
      <c r="N25" s="50"/>
      <c r="O25" s="50"/>
      <c r="P25" s="50"/>
      <c r="Q25" s="52"/>
      <c r="R25" s="52"/>
      <c r="S25" s="40"/>
      <c r="T25" s="50"/>
      <c r="U25" s="50"/>
      <c r="V25" s="50"/>
      <c r="W25" s="53"/>
      <c r="X25" s="50"/>
      <c r="AN25" s="36" t="e">
        <f>VLOOKUP(I25,Sheet1!A:D,4,FALSE)</f>
        <v>#N/A</v>
      </c>
      <c r="AP25" s="49"/>
    </row>
    <row r="26" spans="1:42" s="36" customFormat="1" ht="14.25" x14ac:dyDescent="0.2">
      <c r="A26" s="35"/>
      <c r="D26" s="37"/>
      <c r="E26" s="37"/>
      <c r="F26" s="37"/>
      <c r="G26" s="54"/>
      <c r="K26" s="50"/>
      <c r="L26" s="40"/>
      <c r="M26" s="50"/>
      <c r="N26" s="50"/>
      <c r="O26" s="50"/>
      <c r="P26" s="50"/>
      <c r="Q26" s="52"/>
      <c r="R26" s="52"/>
      <c r="S26" s="40"/>
      <c r="T26" s="50"/>
      <c r="U26" s="50"/>
      <c r="V26" s="50"/>
      <c r="W26" s="53"/>
      <c r="X26" s="50"/>
      <c r="AN26" s="36" t="e">
        <f>VLOOKUP(I26,Sheet1!A:D,4,FALSE)</f>
        <v>#N/A</v>
      </c>
      <c r="AP26" s="49"/>
    </row>
    <row r="27" spans="1:42" s="36" customFormat="1" ht="14.25" x14ac:dyDescent="0.2">
      <c r="A27" s="35"/>
      <c r="D27" s="37"/>
      <c r="E27" s="37"/>
      <c r="F27" s="37"/>
      <c r="G27" s="54"/>
      <c r="K27" s="50"/>
      <c r="L27" s="40"/>
      <c r="M27" s="50"/>
      <c r="N27" s="50"/>
      <c r="O27" s="50"/>
      <c r="P27" s="50"/>
      <c r="Q27" s="52"/>
      <c r="R27" s="52"/>
      <c r="S27" s="40"/>
      <c r="T27" s="50"/>
      <c r="U27" s="50"/>
      <c r="V27" s="50"/>
      <c r="W27" s="53"/>
      <c r="X27" s="50"/>
      <c r="AN27" s="36" t="e">
        <f>VLOOKUP(I27,Sheet1!A:D,4,FALSE)</f>
        <v>#N/A</v>
      </c>
      <c r="AP27" s="49"/>
    </row>
    <row r="28" spans="1:42" s="36" customFormat="1" ht="14.25" x14ac:dyDescent="0.2">
      <c r="A28" s="35"/>
      <c r="D28" s="37"/>
      <c r="E28" s="37"/>
      <c r="F28" s="37"/>
      <c r="G28" s="54"/>
      <c r="K28" s="50"/>
      <c r="L28" s="40"/>
      <c r="M28" s="50"/>
      <c r="N28" s="50"/>
      <c r="O28" s="50"/>
      <c r="P28" s="50"/>
      <c r="Q28" s="52"/>
      <c r="R28" s="52"/>
      <c r="S28" s="40"/>
      <c r="T28" s="50"/>
      <c r="U28" s="50"/>
      <c r="V28" s="50"/>
      <c r="W28" s="53"/>
      <c r="X28" s="50"/>
      <c r="AN28" s="36" t="e">
        <f>VLOOKUP(I28,Sheet1!A:D,4,FALSE)</f>
        <v>#N/A</v>
      </c>
      <c r="AP28" s="49"/>
    </row>
    <row r="29" spans="1:42" s="36" customFormat="1" ht="14.25" x14ac:dyDescent="0.2">
      <c r="A29" s="35"/>
      <c r="D29" s="37"/>
      <c r="E29" s="37"/>
      <c r="F29" s="37"/>
      <c r="G29" s="54"/>
      <c r="K29" s="50"/>
      <c r="L29" s="40"/>
      <c r="M29" s="50"/>
      <c r="N29" s="50"/>
      <c r="O29" s="50"/>
      <c r="P29" s="50"/>
      <c r="Q29" s="52"/>
      <c r="R29" s="52"/>
      <c r="S29" s="40"/>
      <c r="T29" s="50"/>
      <c r="U29" s="50"/>
      <c r="V29" s="50"/>
      <c r="W29" s="53"/>
      <c r="X29" s="50"/>
      <c r="AN29" s="36" t="e">
        <f>VLOOKUP(I29,Sheet1!A:D,4,FALSE)</f>
        <v>#N/A</v>
      </c>
    </row>
    <row r="30" spans="1:42" s="36" customFormat="1" ht="14.25" x14ac:dyDescent="0.2">
      <c r="A30" s="35"/>
      <c r="D30" s="37"/>
      <c r="E30" s="37"/>
      <c r="F30" s="37"/>
      <c r="G30" s="54"/>
      <c r="K30" s="50"/>
      <c r="L30" s="40"/>
      <c r="M30" s="50"/>
      <c r="N30" s="50"/>
      <c r="O30" s="50"/>
      <c r="P30" s="50"/>
      <c r="Q30" s="52"/>
      <c r="R30" s="52"/>
      <c r="S30" s="40"/>
      <c r="T30" s="50"/>
      <c r="U30" s="50"/>
      <c r="V30" s="50"/>
      <c r="W30" s="53"/>
      <c r="X30" s="50"/>
      <c r="AN30" s="36" t="e">
        <f>VLOOKUP(I30,Sheet1!A:D,4,FALSE)</f>
        <v>#N/A</v>
      </c>
    </row>
    <row r="31" spans="1:42" s="36" customFormat="1" ht="14.25" x14ac:dyDescent="0.2">
      <c r="A31" s="35"/>
      <c r="D31" s="37"/>
      <c r="E31" s="37"/>
      <c r="F31" s="37"/>
      <c r="G31" s="54"/>
      <c r="K31" s="50"/>
      <c r="L31" s="40"/>
      <c r="M31" s="51"/>
      <c r="N31" s="51"/>
      <c r="O31" s="51"/>
      <c r="P31" s="50"/>
      <c r="Q31" s="52"/>
      <c r="R31" s="52"/>
      <c r="S31" s="40"/>
      <c r="T31" s="50"/>
      <c r="U31" s="50"/>
      <c r="V31" s="50"/>
      <c r="W31" s="53"/>
      <c r="X31" s="50"/>
      <c r="AN31" s="36" t="e">
        <f>VLOOKUP(I31,Sheet1!A:D,4,FALSE)</f>
        <v>#N/A</v>
      </c>
    </row>
    <row r="32" spans="1:42" s="36" customFormat="1" ht="14.25" x14ac:dyDescent="0.2">
      <c r="A32" s="35"/>
      <c r="D32" s="267"/>
      <c r="E32" s="37"/>
      <c r="F32" s="37"/>
      <c r="G32" s="54"/>
      <c r="K32" s="50"/>
      <c r="L32" s="40"/>
      <c r="M32" s="50"/>
      <c r="N32" s="50"/>
      <c r="O32" s="50"/>
      <c r="P32" s="50"/>
      <c r="Q32" s="52"/>
      <c r="R32" s="52"/>
      <c r="S32" s="40"/>
      <c r="T32" s="50"/>
      <c r="U32" s="50"/>
      <c r="V32" s="50"/>
      <c r="W32" s="53"/>
      <c r="X32" s="50"/>
      <c r="AN32" s="36" t="e">
        <f>VLOOKUP(I32,Sheet1!A:D,4,FALSE)</f>
        <v>#N/A</v>
      </c>
    </row>
    <row r="33" spans="1:42" s="36" customFormat="1" ht="14.25" x14ac:dyDescent="0.2">
      <c r="A33" s="35"/>
      <c r="D33" s="267"/>
      <c r="E33" s="267"/>
      <c r="F33" s="37"/>
      <c r="G33" s="54"/>
      <c r="K33" s="50"/>
      <c r="L33" s="40"/>
      <c r="M33" s="50"/>
      <c r="N33" s="50"/>
      <c r="O33" s="50"/>
      <c r="P33" s="50"/>
      <c r="Q33" s="52"/>
      <c r="R33" s="52"/>
      <c r="S33" s="40"/>
      <c r="T33" s="50"/>
      <c r="U33" s="50"/>
      <c r="V33" s="50"/>
      <c r="W33" s="53"/>
      <c r="X33" s="50"/>
      <c r="AN33" s="36" t="e">
        <f>VLOOKUP(I33,Sheet1!A:D,4,FALSE)</f>
        <v>#N/A</v>
      </c>
    </row>
    <row r="34" spans="1:42" s="36" customFormat="1" ht="14.25" x14ac:dyDescent="0.2">
      <c r="A34" s="35"/>
      <c r="D34" s="267"/>
      <c r="E34" s="267"/>
      <c r="F34" s="37"/>
      <c r="G34" s="54"/>
      <c r="K34" s="50"/>
      <c r="L34" s="40"/>
      <c r="M34" s="50"/>
      <c r="N34" s="50"/>
      <c r="O34" s="50"/>
      <c r="P34" s="50"/>
      <c r="Q34" s="52"/>
      <c r="R34" s="52"/>
      <c r="S34" s="40"/>
      <c r="T34" s="50"/>
      <c r="U34" s="50"/>
      <c r="V34" s="50"/>
      <c r="W34" s="53"/>
      <c r="X34" s="50"/>
      <c r="AN34" s="36" t="e">
        <f>VLOOKUP(I34,Sheet1!A:D,4,FALSE)</f>
        <v>#N/A</v>
      </c>
    </row>
    <row r="35" spans="1:42" s="36" customFormat="1" ht="14.25" x14ac:dyDescent="0.2">
      <c r="A35" s="35"/>
      <c r="D35" s="267"/>
      <c r="E35" s="267"/>
      <c r="F35" s="37"/>
      <c r="G35" s="54"/>
      <c r="K35" s="50"/>
      <c r="L35" s="40"/>
      <c r="M35" s="50"/>
      <c r="N35" s="50"/>
      <c r="O35" s="50"/>
      <c r="P35" s="50"/>
      <c r="Q35" s="52"/>
      <c r="R35" s="52"/>
      <c r="S35" s="40"/>
      <c r="T35" s="50"/>
      <c r="U35" s="50"/>
      <c r="V35" s="50"/>
      <c r="W35" s="53"/>
      <c r="X35" s="50"/>
      <c r="AN35" s="36" t="e">
        <f>VLOOKUP(I35,Sheet1!A:D,4,FALSE)</f>
        <v>#N/A</v>
      </c>
    </row>
    <row r="36" spans="1:42" s="36" customFormat="1" ht="14.25" x14ac:dyDescent="0.2">
      <c r="A36" s="35"/>
      <c r="D36" s="267"/>
      <c r="E36" s="267"/>
      <c r="F36" s="37"/>
      <c r="G36" s="54"/>
      <c r="K36" s="50"/>
      <c r="L36" s="40"/>
      <c r="M36" s="50"/>
      <c r="N36" s="50"/>
      <c r="O36" s="50"/>
      <c r="P36" s="50"/>
      <c r="Q36" s="52"/>
      <c r="R36" s="52"/>
      <c r="S36" s="40"/>
      <c r="T36" s="50"/>
      <c r="U36" s="50"/>
      <c r="V36" s="50"/>
      <c r="W36" s="53"/>
      <c r="X36" s="50"/>
      <c r="AN36" s="36" t="e">
        <f>VLOOKUP(I36,Sheet1!A:D,4,FALSE)</f>
        <v>#N/A</v>
      </c>
    </row>
    <row r="37" spans="1:42" s="36" customFormat="1" ht="14.25" x14ac:dyDescent="0.2">
      <c r="A37" s="35"/>
      <c r="D37" s="267"/>
      <c r="E37" s="267"/>
      <c r="F37" s="37"/>
      <c r="G37" s="54"/>
      <c r="K37" s="50"/>
      <c r="L37" s="40"/>
      <c r="M37" s="50"/>
      <c r="N37" s="50"/>
      <c r="O37" s="50"/>
      <c r="P37" s="50"/>
      <c r="Q37" s="52"/>
      <c r="R37" s="52"/>
      <c r="S37" s="40"/>
      <c r="T37" s="50"/>
      <c r="U37" s="50"/>
      <c r="V37" s="50"/>
      <c r="W37" s="53"/>
      <c r="X37" s="50"/>
      <c r="AN37" s="36" t="e">
        <f>VLOOKUP(I37,Sheet1!A:D,4,FALSE)</f>
        <v>#N/A</v>
      </c>
      <c r="AP37" s="280"/>
    </row>
    <row r="38" spans="1:42" s="36" customFormat="1" ht="14.25" x14ac:dyDescent="0.2">
      <c r="A38" s="35"/>
      <c r="D38" s="267"/>
      <c r="E38" s="267"/>
      <c r="F38" s="37"/>
      <c r="G38" s="54"/>
      <c r="K38" s="50"/>
      <c r="L38" s="40"/>
      <c r="M38" s="50"/>
      <c r="N38" s="50"/>
      <c r="O38" s="50"/>
      <c r="P38" s="50"/>
      <c r="Q38" s="52"/>
      <c r="R38" s="52"/>
      <c r="S38" s="40"/>
      <c r="T38" s="50"/>
      <c r="U38" s="50"/>
      <c r="V38" s="50"/>
      <c r="W38" s="53"/>
      <c r="X38" s="50"/>
      <c r="AN38" s="36" t="e">
        <f>VLOOKUP(I38,Sheet1!A:D,4,FALSE)</f>
        <v>#N/A</v>
      </c>
      <c r="AP38" s="280"/>
    </row>
    <row r="39" spans="1:42" s="36" customFormat="1" ht="14.25" x14ac:dyDescent="0.2">
      <c r="A39" s="35"/>
      <c r="D39" s="267"/>
      <c r="E39" s="267"/>
      <c r="F39" s="37"/>
      <c r="G39" s="54"/>
      <c r="K39" s="50"/>
      <c r="L39" s="40"/>
      <c r="M39" s="50"/>
      <c r="N39" s="50"/>
      <c r="O39" s="50"/>
      <c r="P39" s="50"/>
      <c r="Q39" s="52"/>
      <c r="R39" s="52"/>
      <c r="S39" s="40"/>
      <c r="T39" s="50"/>
      <c r="U39" s="50"/>
      <c r="V39" s="50"/>
      <c r="W39" s="53"/>
      <c r="X39" s="50"/>
      <c r="AN39" s="36" t="e">
        <f>VLOOKUP(I39,Sheet1!A:D,4,FALSE)</f>
        <v>#N/A</v>
      </c>
      <c r="AP39" s="280"/>
    </row>
    <row r="40" spans="1:42" s="36" customFormat="1" ht="14.25" x14ac:dyDescent="0.2">
      <c r="A40" s="35"/>
      <c r="D40" s="267"/>
      <c r="E40" s="267"/>
      <c r="F40" s="37"/>
      <c r="G40" s="54"/>
      <c r="K40" s="50"/>
      <c r="L40" s="40"/>
      <c r="M40" s="50"/>
      <c r="N40" s="50"/>
      <c r="O40" s="50"/>
      <c r="P40" s="50"/>
      <c r="Q40" s="52"/>
      <c r="R40" s="52"/>
      <c r="S40" s="40"/>
      <c r="T40" s="50"/>
      <c r="U40" s="50"/>
      <c r="V40" s="50"/>
      <c r="W40" s="53"/>
      <c r="X40" s="50"/>
      <c r="AN40" s="36" t="e">
        <f>VLOOKUP(I40,Sheet1!A:D,4,FALSE)</f>
        <v>#N/A</v>
      </c>
      <c r="AP40" s="280"/>
    </row>
    <row r="41" spans="1:42" s="36" customFormat="1" ht="14.25" x14ac:dyDescent="0.2">
      <c r="A41" s="35"/>
      <c r="D41" s="267"/>
      <c r="E41" s="267"/>
      <c r="F41" s="37"/>
      <c r="G41" s="54"/>
      <c r="K41" s="50"/>
      <c r="L41" s="40"/>
      <c r="M41" s="50"/>
      <c r="N41" s="50"/>
      <c r="O41" s="50"/>
      <c r="P41" s="50"/>
      <c r="Q41" s="52"/>
      <c r="R41" s="52"/>
      <c r="S41" s="40"/>
      <c r="T41" s="50"/>
      <c r="U41" s="50"/>
      <c r="V41" s="50"/>
      <c r="W41" s="53"/>
      <c r="X41" s="50"/>
      <c r="AN41" s="36" t="e">
        <f>VLOOKUP(I41,Sheet1!A:D,4,FALSE)</f>
        <v>#N/A</v>
      </c>
      <c r="AP41" s="280"/>
    </row>
    <row r="42" spans="1:42" s="36" customFormat="1" ht="14.25" x14ac:dyDescent="0.2">
      <c r="A42" s="35"/>
      <c r="D42" s="267"/>
      <c r="E42" s="267"/>
      <c r="F42" s="37"/>
      <c r="G42" s="54"/>
      <c r="K42" s="50"/>
      <c r="L42" s="40"/>
      <c r="M42" s="50"/>
      <c r="N42" s="50"/>
      <c r="O42" s="50"/>
      <c r="P42" s="50"/>
      <c r="Q42" s="52"/>
      <c r="R42" s="52"/>
      <c r="S42" s="40"/>
      <c r="T42" s="50"/>
      <c r="U42" s="50"/>
      <c r="V42" s="50"/>
      <c r="W42" s="53"/>
      <c r="X42" s="50"/>
      <c r="AN42" s="36" t="e">
        <f>VLOOKUP(I42,Sheet1!A:D,4,FALSE)</f>
        <v>#N/A</v>
      </c>
      <c r="AP42" s="280"/>
    </row>
    <row r="43" spans="1:42" s="36" customFormat="1" ht="14.25" x14ac:dyDescent="0.2">
      <c r="A43" s="35"/>
      <c r="D43" s="267"/>
      <c r="E43" s="267"/>
      <c r="F43" s="37"/>
      <c r="G43" s="54"/>
      <c r="K43" s="50"/>
      <c r="L43" s="40"/>
      <c r="M43" s="50"/>
      <c r="N43" s="50"/>
      <c r="O43" s="50"/>
      <c r="P43" s="50"/>
      <c r="Q43" s="52"/>
      <c r="R43" s="52"/>
      <c r="S43" s="40"/>
      <c r="T43" s="50"/>
      <c r="U43" s="50"/>
      <c r="V43" s="50"/>
      <c r="W43" s="53"/>
      <c r="X43" s="50"/>
      <c r="AN43" s="36" t="e">
        <f>VLOOKUP(I43,Sheet1!A:D,4,FALSE)</f>
        <v>#N/A</v>
      </c>
      <c r="AP43" s="280"/>
    </row>
    <row r="44" spans="1:42" s="36" customFormat="1" ht="14.25" x14ac:dyDescent="0.2">
      <c r="A44" s="35"/>
      <c r="D44" s="37"/>
      <c r="E44" s="267"/>
      <c r="F44" s="37"/>
      <c r="G44" s="54"/>
      <c r="K44" s="50"/>
      <c r="L44" s="40"/>
      <c r="M44" s="50"/>
      <c r="N44" s="50"/>
      <c r="O44" s="50"/>
      <c r="P44" s="50"/>
      <c r="Q44" s="52"/>
      <c r="R44" s="52"/>
      <c r="S44" s="40"/>
      <c r="T44" s="50"/>
      <c r="U44" s="50"/>
      <c r="V44" s="50"/>
      <c r="W44" s="53"/>
      <c r="X44" s="50"/>
      <c r="AN44" s="36" t="e">
        <f>VLOOKUP(I44,Sheet1!A:D,4,FALSE)</f>
        <v>#N/A</v>
      </c>
      <c r="AP44" s="280"/>
    </row>
    <row r="45" spans="1:42" s="36" customFormat="1" ht="14.25" x14ac:dyDescent="0.2">
      <c r="A45" s="35"/>
      <c r="D45" s="37"/>
      <c r="E45" s="37"/>
      <c r="F45" s="37"/>
      <c r="G45" s="54"/>
      <c r="K45" s="50"/>
      <c r="L45" s="40"/>
      <c r="M45" s="50"/>
      <c r="N45" s="50"/>
      <c r="O45" s="50"/>
      <c r="P45" s="50"/>
      <c r="Q45" s="52"/>
      <c r="R45" s="52"/>
      <c r="S45" s="40"/>
      <c r="T45" s="50"/>
      <c r="U45" s="50"/>
      <c r="V45" s="50"/>
      <c r="W45" s="53"/>
      <c r="X45" s="50"/>
      <c r="AN45" s="36" t="e">
        <f>VLOOKUP(I45,Sheet1!A:D,4,FALSE)</f>
        <v>#N/A</v>
      </c>
      <c r="AP45" s="280"/>
    </row>
    <row r="46" spans="1:42" s="36" customFormat="1" ht="14.25" x14ac:dyDescent="0.2">
      <c r="A46" s="35"/>
      <c r="D46" s="37"/>
      <c r="E46" s="37"/>
      <c r="F46" s="37"/>
      <c r="G46" s="54"/>
      <c r="K46" s="50"/>
      <c r="L46" s="40"/>
      <c r="M46" s="50"/>
      <c r="N46" s="50"/>
      <c r="O46" s="50"/>
      <c r="P46" s="50"/>
      <c r="Q46" s="52"/>
      <c r="R46" s="52"/>
      <c r="S46" s="40"/>
      <c r="T46" s="50"/>
      <c r="U46" s="50"/>
      <c r="V46" s="50"/>
      <c r="W46" s="53"/>
      <c r="X46" s="50"/>
      <c r="AN46" s="36" t="e">
        <f>VLOOKUP(I46,Sheet1!A:D,4,FALSE)</f>
        <v>#N/A</v>
      </c>
      <c r="AP46" s="280"/>
    </row>
    <row r="47" spans="1:42" s="36" customFormat="1" ht="14.25" x14ac:dyDescent="0.2">
      <c r="A47" s="35"/>
      <c r="D47" s="37"/>
      <c r="E47" s="37"/>
      <c r="F47" s="37"/>
      <c r="G47" s="54"/>
      <c r="K47" s="50"/>
      <c r="L47" s="40"/>
      <c r="M47" s="50"/>
      <c r="N47" s="50"/>
      <c r="O47" s="50"/>
      <c r="P47" s="50"/>
      <c r="Q47" s="52"/>
      <c r="R47" s="52"/>
      <c r="S47" s="40"/>
      <c r="T47" s="50"/>
      <c r="U47" s="50"/>
      <c r="V47" s="50"/>
      <c r="W47" s="53"/>
      <c r="X47" s="50"/>
      <c r="AN47" s="36" t="e">
        <f>VLOOKUP(I47,Sheet1!A:D,4,FALSE)</f>
        <v>#N/A</v>
      </c>
      <c r="AP47" s="56"/>
    </row>
    <row r="48" spans="1:42" s="36" customFormat="1" ht="14.25" x14ac:dyDescent="0.2">
      <c r="A48" s="35"/>
      <c r="D48" s="37"/>
      <c r="E48" s="37"/>
      <c r="F48" s="37"/>
      <c r="G48" s="54"/>
      <c r="K48" s="50"/>
      <c r="L48" s="40"/>
      <c r="M48" s="50"/>
      <c r="N48" s="50"/>
      <c r="O48" s="50"/>
      <c r="P48" s="50"/>
      <c r="Q48" s="52"/>
      <c r="R48" s="52"/>
      <c r="S48" s="40"/>
      <c r="T48" s="50"/>
      <c r="U48" s="50"/>
      <c r="V48" s="50"/>
      <c r="W48" s="53"/>
      <c r="X48" s="50"/>
      <c r="AN48" s="36" t="e">
        <f>VLOOKUP(I48,Sheet1!A:D,4,FALSE)</f>
        <v>#N/A</v>
      </c>
      <c r="AP48" s="56"/>
    </row>
    <row r="49" spans="1:42" s="36" customFormat="1" ht="14.25" x14ac:dyDescent="0.2">
      <c r="A49" s="35"/>
      <c r="D49" s="37"/>
      <c r="E49" s="37"/>
      <c r="F49" s="37"/>
      <c r="G49" s="54"/>
      <c r="K49" s="50"/>
      <c r="L49" s="40"/>
      <c r="M49" s="50"/>
      <c r="N49" s="50"/>
      <c r="O49" s="50"/>
      <c r="P49" s="50"/>
      <c r="Q49" s="52"/>
      <c r="R49" s="52"/>
      <c r="S49" s="40"/>
      <c r="T49" s="50"/>
      <c r="U49" s="50"/>
      <c r="V49" s="50"/>
      <c r="W49" s="53"/>
      <c r="X49" s="50"/>
      <c r="AN49" s="36" t="e">
        <f>VLOOKUP(I49,Sheet1!A:D,4,FALSE)</f>
        <v>#N/A</v>
      </c>
      <c r="AP49" s="56"/>
    </row>
    <row r="50" spans="1:42" s="36" customFormat="1" ht="14.25" x14ac:dyDescent="0.2">
      <c r="A50" s="35"/>
      <c r="D50" s="37"/>
      <c r="E50" s="37"/>
      <c r="F50" s="37"/>
      <c r="G50" s="54"/>
      <c r="K50" s="50"/>
      <c r="L50" s="40"/>
      <c r="M50" s="50"/>
      <c r="N50" s="50"/>
      <c r="O50" s="50"/>
      <c r="P50" s="50"/>
      <c r="Q50" s="52"/>
      <c r="R50" s="52"/>
      <c r="S50" s="40"/>
      <c r="T50" s="50"/>
      <c r="U50" s="50"/>
      <c r="V50" s="50"/>
      <c r="W50" s="53"/>
      <c r="X50" s="50"/>
      <c r="AN50" s="36" t="e">
        <f>VLOOKUP(I50,Sheet1!A:D,4,FALSE)</f>
        <v>#N/A</v>
      </c>
      <c r="AP50" s="56"/>
    </row>
    <row r="51" spans="1:42" s="36" customFormat="1" ht="14.25" x14ac:dyDescent="0.2">
      <c r="A51" s="35"/>
      <c r="D51" s="37"/>
      <c r="E51" s="37"/>
      <c r="F51" s="37"/>
      <c r="G51" s="54"/>
      <c r="K51" s="50"/>
      <c r="L51" s="40"/>
      <c r="M51" s="50"/>
      <c r="N51" s="50"/>
      <c r="O51" s="50"/>
      <c r="P51" s="50"/>
      <c r="Q51" s="52"/>
      <c r="R51" s="52"/>
      <c r="S51" s="40"/>
      <c r="T51" s="50"/>
      <c r="U51" s="50"/>
      <c r="V51" s="50"/>
      <c r="W51" s="53"/>
      <c r="X51" s="50"/>
      <c r="AN51" s="36" t="e">
        <f>VLOOKUP(I51,Sheet1!A:D,4,FALSE)</f>
        <v>#N/A</v>
      </c>
      <c r="AP51" s="56"/>
    </row>
    <row r="52" spans="1:42" s="36" customFormat="1" ht="14.25" x14ac:dyDescent="0.2">
      <c r="A52" s="35"/>
      <c r="D52" s="37"/>
      <c r="E52" s="37"/>
      <c r="F52" s="37"/>
      <c r="G52" s="54"/>
      <c r="K52" s="50"/>
      <c r="L52" s="40"/>
      <c r="M52" s="50"/>
      <c r="N52" s="50"/>
      <c r="O52" s="50"/>
      <c r="P52" s="50"/>
      <c r="Q52" s="52"/>
      <c r="R52" s="52"/>
      <c r="S52" s="40"/>
      <c r="T52" s="50"/>
      <c r="U52" s="50"/>
      <c r="V52" s="50"/>
      <c r="W52" s="53"/>
      <c r="X52" s="50"/>
      <c r="AN52" s="36" t="e">
        <f>VLOOKUP(I52,Sheet1!A:D,4,FALSE)</f>
        <v>#N/A</v>
      </c>
      <c r="AP52" s="56"/>
    </row>
    <row r="53" spans="1:42" s="36" customFormat="1" ht="14.25" x14ac:dyDescent="0.2">
      <c r="A53" s="35"/>
      <c r="D53" s="37"/>
      <c r="E53" s="37"/>
      <c r="F53" s="37"/>
      <c r="G53" s="54"/>
      <c r="K53" s="50"/>
      <c r="L53" s="40"/>
      <c r="M53" s="50"/>
      <c r="N53" s="50"/>
      <c r="O53" s="50"/>
      <c r="P53" s="50"/>
      <c r="Q53" s="52"/>
      <c r="R53" s="52"/>
      <c r="S53" s="40"/>
      <c r="T53" s="50"/>
      <c r="U53" s="50"/>
      <c r="V53" s="50"/>
      <c r="W53" s="53"/>
      <c r="X53" s="50"/>
      <c r="AN53" s="36" t="e">
        <f>VLOOKUP(I53,Sheet1!A:D,4,FALSE)</f>
        <v>#N/A</v>
      </c>
      <c r="AP53" s="56"/>
    </row>
    <row r="54" spans="1:42" s="36" customFormat="1" ht="14.25" x14ac:dyDescent="0.2">
      <c r="A54" s="35"/>
      <c r="D54" s="37"/>
      <c r="E54" s="37"/>
      <c r="F54" s="37"/>
      <c r="G54" s="54"/>
      <c r="K54" s="50"/>
      <c r="L54" s="40"/>
      <c r="M54" s="50"/>
      <c r="N54" s="50"/>
      <c r="O54" s="50"/>
      <c r="P54" s="50"/>
      <c r="Q54" s="52"/>
      <c r="R54" s="52"/>
      <c r="S54" s="40"/>
      <c r="T54" s="50"/>
      <c r="U54" s="50"/>
      <c r="V54" s="50"/>
      <c r="W54" s="53"/>
      <c r="X54" s="50"/>
      <c r="AN54" s="36" t="e">
        <f>VLOOKUP(I54,Sheet1!A:D,4,FALSE)</f>
        <v>#N/A</v>
      </c>
      <c r="AP54" s="56"/>
    </row>
    <row r="55" spans="1:42" s="36" customFormat="1" ht="14.25" x14ac:dyDescent="0.2">
      <c r="A55" s="35"/>
      <c r="D55" s="37"/>
      <c r="E55" s="37"/>
      <c r="F55" s="37"/>
      <c r="G55" s="54"/>
      <c r="K55" s="50"/>
      <c r="L55" s="40"/>
      <c r="M55" s="50"/>
      <c r="N55" s="50"/>
      <c r="O55" s="50"/>
      <c r="P55" s="50"/>
      <c r="Q55" s="52"/>
      <c r="R55" s="52"/>
      <c r="S55" s="40"/>
      <c r="T55" s="50"/>
      <c r="U55" s="50"/>
      <c r="V55" s="50"/>
      <c r="W55" s="53"/>
      <c r="X55" s="50"/>
      <c r="AN55" s="36" t="e">
        <f>VLOOKUP(I55,Sheet1!A:D,4,FALSE)</f>
        <v>#N/A</v>
      </c>
      <c r="AP55" s="56"/>
    </row>
    <row r="56" spans="1:42" s="36" customFormat="1" ht="14.25" x14ac:dyDescent="0.2">
      <c r="A56" s="35"/>
      <c r="D56" s="37"/>
      <c r="E56" s="37"/>
      <c r="F56" s="37"/>
      <c r="G56" s="54"/>
      <c r="K56" s="50"/>
      <c r="L56" s="40"/>
      <c r="M56" s="50"/>
      <c r="N56" s="50"/>
      <c r="O56" s="50"/>
      <c r="P56" s="50"/>
      <c r="Q56" s="52"/>
      <c r="R56" s="52"/>
      <c r="S56" s="40"/>
      <c r="T56" s="50"/>
      <c r="U56" s="50"/>
      <c r="V56" s="50"/>
      <c r="W56" s="53"/>
      <c r="X56" s="50"/>
      <c r="AN56" s="36" t="e">
        <f>VLOOKUP(I56,Sheet1!A:D,4,FALSE)</f>
        <v>#N/A</v>
      </c>
      <c r="AP56" s="56"/>
    </row>
    <row r="57" spans="1:42" s="36" customFormat="1" ht="14.25" x14ac:dyDescent="0.2">
      <c r="A57" s="35"/>
      <c r="D57" s="37"/>
      <c r="E57" s="37"/>
      <c r="F57" s="37"/>
      <c r="G57" s="54"/>
      <c r="K57" s="50"/>
      <c r="L57" s="40"/>
      <c r="M57" s="50"/>
      <c r="N57" s="50"/>
      <c r="O57" s="50"/>
      <c r="P57" s="50"/>
      <c r="Q57" s="52"/>
      <c r="R57" s="52"/>
      <c r="S57" s="40"/>
      <c r="T57" s="50"/>
      <c r="U57" s="50"/>
      <c r="V57" s="50"/>
      <c r="W57" s="53"/>
      <c r="X57" s="50"/>
      <c r="AN57" s="36" t="e">
        <f>VLOOKUP(I57,Sheet1!A:D,4,FALSE)</f>
        <v>#N/A</v>
      </c>
      <c r="AP57" s="56"/>
    </row>
    <row r="58" spans="1:42" s="36" customFormat="1" ht="14.25" x14ac:dyDescent="0.2">
      <c r="A58" s="35"/>
      <c r="D58" s="37"/>
      <c r="E58" s="37"/>
      <c r="F58" s="37"/>
      <c r="G58" s="54"/>
      <c r="K58" s="50"/>
      <c r="L58" s="40"/>
      <c r="M58" s="50"/>
      <c r="N58" s="50"/>
      <c r="O58" s="50"/>
      <c r="P58" s="50"/>
      <c r="Q58" s="52"/>
      <c r="R58" s="52"/>
      <c r="S58" s="40"/>
      <c r="T58" s="50"/>
      <c r="U58" s="50"/>
      <c r="V58" s="50"/>
      <c r="W58" s="53"/>
      <c r="X58" s="50"/>
      <c r="AN58" s="36" t="e">
        <f>VLOOKUP(I58,Sheet1!A:D,4,FALSE)</f>
        <v>#N/A</v>
      </c>
      <c r="AP58" s="56"/>
    </row>
    <row r="59" spans="1:42" s="36" customFormat="1" ht="14.25" x14ac:dyDescent="0.2">
      <c r="A59" s="35"/>
      <c r="D59" s="37"/>
      <c r="E59" s="37"/>
      <c r="F59" s="37"/>
      <c r="G59" s="54"/>
      <c r="K59" s="50"/>
      <c r="L59" s="40"/>
      <c r="M59" s="50"/>
      <c r="N59" s="50"/>
      <c r="O59" s="50"/>
      <c r="P59" s="50"/>
      <c r="Q59" s="52"/>
      <c r="R59" s="52"/>
      <c r="S59" s="40"/>
      <c r="T59" s="50"/>
      <c r="U59" s="50"/>
      <c r="V59" s="50"/>
      <c r="W59" s="53"/>
      <c r="X59" s="50"/>
      <c r="AN59" s="36" t="e">
        <f>VLOOKUP(I59,Sheet1!A:D,4,FALSE)</f>
        <v>#N/A</v>
      </c>
      <c r="AP59" s="56"/>
    </row>
    <row r="60" spans="1:42" s="36" customFormat="1" ht="14.25" x14ac:dyDescent="0.2">
      <c r="A60" s="35"/>
      <c r="D60" s="37"/>
      <c r="E60" s="37"/>
      <c r="F60" s="37"/>
      <c r="G60" s="54"/>
      <c r="K60" s="50"/>
      <c r="L60" s="40"/>
      <c r="M60" s="50"/>
      <c r="N60" s="50"/>
      <c r="O60" s="50"/>
      <c r="P60" s="50"/>
      <c r="Q60" s="52"/>
      <c r="R60" s="52"/>
      <c r="S60" s="40"/>
      <c r="T60" s="50"/>
      <c r="U60" s="50"/>
      <c r="V60" s="50"/>
      <c r="W60" s="53"/>
      <c r="X60" s="50"/>
      <c r="AN60" s="36" t="e">
        <f>VLOOKUP(I60,Sheet1!A:D,4,FALSE)</f>
        <v>#N/A</v>
      </c>
      <c r="AP60" s="56"/>
    </row>
    <row r="61" spans="1:42" s="36" customFormat="1" ht="14.25" x14ac:dyDescent="0.2">
      <c r="A61" s="35"/>
      <c r="D61" s="37"/>
      <c r="E61" s="37"/>
      <c r="F61" s="37"/>
      <c r="G61" s="54"/>
      <c r="K61" s="50"/>
      <c r="L61" s="40"/>
      <c r="M61" s="50"/>
      <c r="N61" s="50"/>
      <c r="O61" s="50"/>
      <c r="P61" s="50"/>
      <c r="Q61" s="52"/>
      <c r="R61" s="52"/>
      <c r="S61" s="40"/>
      <c r="T61" s="50"/>
      <c r="U61" s="50"/>
      <c r="V61" s="50"/>
      <c r="W61" s="53"/>
      <c r="X61" s="50"/>
      <c r="AN61" s="36" t="e">
        <f>VLOOKUP(I61,Sheet1!A:D,4,FALSE)</f>
        <v>#N/A</v>
      </c>
      <c r="AP61" s="56"/>
    </row>
    <row r="62" spans="1:42" s="36" customFormat="1" ht="14.25" x14ac:dyDescent="0.2">
      <c r="A62" s="35"/>
      <c r="D62" s="37"/>
      <c r="E62" s="37"/>
      <c r="F62" s="37"/>
      <c r="G62" s="54"/>
      <c r="K62" s="50"/>
      <c r="L62" s="40"/>
      <c r="M62" s="50"/>
      <c r="N62" s="50"/>
      <c r="O62" s="50"/>
      <c r="P62" s="50"/>
      <c r="Q62" s="52"/>
      <c r="R62" s="52"/>
      <c r="S62" s="40"/>
      <c r="T62" s="50"/>
      <c r="U62" s="50"/>
      <c r="V62" s="50"/>
      <c r="W62" s="53"/>
      <c r="X62" s="50"/>
      <c r="AN62" s="36" t="e">
        <f>VLOOKUP(I62,Sheet1!A:D,4,FALSE)</f>
        <v>#N/A</v>
      </c>
    </row>
    <row r="63" spans="1:42" s="36" customFormat="1" ht="14.25" x14ac:dyDescent="0.2">
      <c r="A63" s="35"/>
      <c r="D63" s="37"/>
      <c r="E63" s="37"/>
      <c r="F63" s="37"/>
      <c r="G63" s="54"/>
      <c r="K63" s="50"/>
      <c r="L63" s="40"/>
      <c r="M63" s="50"/>
      <c r="N63" s="50"/>
      <c r="O63" s="50"/>
      <c r="P63" s="50"/>
      <c r="Q63" s="52"/>
      <c r="R63" s="52"/>
      <c r="S63" s="40"/>
      <c r="T63" s="50"/>
      <c r="U63" s="50"/>
      <c r="V63" s="50"/>
      <c r="W63" s="53"/>
      <c r="X63" s="50"/>
      <c r="AN63" s="36" t="e">
        <f>VLOOKUP(I63,Sheet1!A:D,4,FALSE)</f>
        <v>#N/A</v>
      </c>
    </row>
    <row r="64" spans="1:42" s="36" customFormat="1" ht="14.25" x14ac:dyDescent="0.2">
      <c r="A64" s="35"/>
      <c r="D64" s="37"/>
      <c r="E64" s="37"/>
      <c r="F64" s="37"/>
      <c r="G64" s="54"/>
      <c r="K64" s="50"/>
      <c r="L64" s="40"/>
      <c r="M64" s="50"/>
      <c r="N64" s="50"/>
      <c r="O64" s="50"/>
      <c r="P64" s="50"/>
      <c r="Q64" s="52"/>
      <c r="R64" s="52"/>
      <c r="S64" s="40"/>
      <c r="T64" s="50"/>
      <c r="U64" s="50"/>
      <c r="V64" s="50"/>
      <c r="W64" s="53"/>
      <c r="X64" s="50"/>
      <c r="AN64" s="36" t="e">
        <f>VLOOKUP(I64,Sheet1!A:D,4,FALSE)</f>
        <v>#N/A</v>
      </c>
    </row>
    <row r="65" spans="1:40" s="36" customFormat="1" ht="14.25" x14ac:dyDescent="0.2">
      <c r="A65" s="35"/>
      <c r="D65" s="37"/>
      <c r="E65" s="37"/>
      <c r="F65" s="37"/>
      <c r="G65" s="54"/>
      <c r="K65" s="50"/>
      <c r="L65" s="40"/>
      <c r="M65" s="50"/>
      <c r="N65" s="50"/>
      <c r="O65" s="50"/>
      <c r="P65" s="50"/>
      <c r="Q65" s="52"/>
      <c r="R65" s="52"/>
      <c r="S65" s="40"/>
      <c r="T65" s="50"/>
      <c r="U65" s="50"/>
      <c r="V65" s="50"/>
      <c r="W65" s="53"/>
      <c r="X65" s="50"/>
      <c r="AN65" s="36" t="e">
        <f>VLOOKUP(I65,Sheet1!A:D,4,FALSE)</f>
        <v>#N/A</v>
      </c>
    </row>
    <row r="66" spans="1:40" s="36" customFormat="1" ht="14.25" x14ac:dyDescent="0.2">
      <c r="A66" s="35"/>
      <c r="D66" s="37"/>
      <c r="E66" s="37"/>
      <c r="F66" s="37"/>
      <c r="G66" s="54"/>
      <c r="K66" s="50"/>
      <c r="L66" s="40"/>
      <c r="M66" s="50"/>
      <c r="N66" s="50"/>
      <c r="O66" s="50"/>
      <c r="P66" s="50"/>
      <c r="Q66" s="52"/>
      <c r="R66" s="52"/>
      <c r="S66" s="40"/>
      <c r="T66" s="50"/>
      <c r="U66" s="50"/>
      <c r="V66" s="50"/>
      <c r="W66" s="53"/>
      <c r="X66" s="50"/>
      <c r="AN66" s="36" t="e">
        <f>VLOOKUP(I66,Sheet1!A:D,4,FALSE)</f>
        <v>#N/A</v>
      </c>
    </row>
    <row r="67" spans="1:40" s="36" customFormat="1" ht="14.25" x14ac:dyDescent="0.2">
      <c r="A67" s="35"/>
      <c r="D67" s="37"/>
      <c r="E67" s="37"/>
      <c r="F67" s="37"/>
      <c r="G67" s="54"/>
      <c r="K67" s="50"/>
      <c r="L67" s="40"/>
      <c r="M67" s="50"/>
      <c r="N67" s="50"/>
      <c r="O67" s="50"/>
      <c r="P67" s="50"/>
      <c r="Q67" s="52"/>
      <c r="R67" s="52"/>
      <c r="S67" s="40"/>
      <c r="T67" s="50"/>
      <c r="U67" s="50"/>
      <c r="V67" s="50"/>
      <c r="W67" s="53"/>
      <c r="X67" s="50"/>
      <c r="AN67" s="36" t="e">
        <f>VLOOKUP(I67,Sheet1!A:D,4,FALSE)</f>
        <v>#N/A</v>
      </c>
    </row>
    <row r="68" spans="1:40" s="36" customFormat="1" ht="14.25" x14ac:dyDescent="0.2">
      <c r="A68" s="35"/>
      <c r="D68" s="37"/>
      <c r="E68" s="37"/>
      <c r="F68" s="37"/>
      <c r="G68" s="54"/>
      <c r="K68" s="50"/>
      <c r="L68" s="40"/>
      <c r="M68" s="50"/>
      <c r="N68" s="50"/>
      <c r="O68" s="50"/>
      <c r="P68" s="50"/>
      <c r="Q68" s="52"/>
      <c r="R68" s="52"/>
      <c r="S68" s="40"/>
      <c r="T68" s="50"/>
      <c r="U68" s="50"/>
      <c r="V68" s="50"/>
      <c r="W68" s="53"/>
      <c r="X68" s="50"/>
      <c r="AN68" s="36" t="e">
        <f>VLOOKUP(I68,Sheet1!A:D,4,FALSE)</f>
        <v>#N/A</v>
      </c>
    </row>
    <row r="69" spans="1:40" s="36" customFormat="1" ht="14.25" x14ac:dyDescent="0.2">
      <c r="A69" s="35"/>
      <c r="D69" s="37"/>
      <c r="E69" s="37"/>
      <c r="F69" s="37"/>
      <c r="G69" s="54"/>
      <c r="K69" s="50"/>
      <c r="L69" s="40"/>
      <c r="M69" s="50"/>
      <c r="N69" s="50"/>
      <c r="O69" s="50"/>
      <c r="P69" s="50"/>
      <c r="Q69" s="52"/>
      <c r="R69" s="52"/>
      <c r="S69" s="40"/>
      <c r="T69" s="50"/>
      <c r="U69" s="50"/>
      <c r="V69" s="50"/>
      <c r="W69" s="53"/>
      <c r="X69" s="50"/>
      <c r="AN69" s="36" t="e">
        <f>VLOOKUP(I69,Sheet1!A:D,4,FALSE)</f>
        <v>#N/A</v>
      </c>
    </row>
    <row r="70" spans="1:40" s="36" customFormat="1" ht="14.25" x14ac:dyDescent="0.2">
      <c r="A70" s="35"/>
      <c r="D70" s="37"/>
      <c r="E70" s="37"/>
      <c r="F70" s="37"/>
      <c r="G70" s="54"/>
      <c r="K70" s="50"/>
      <c r="L70" s="40"/>
      <c r="M70" s="50"/>
      <c r="N70" s="50"/>
      <c r="O70" s="50"/>
      <c r="P70" s="50"/>
      <c r="Q70" s="52"/>
      <c r="R70" s="52"/>
      <c r="S70" s="40"/>
      <c r="T70" s="50"/>
      <c r="U70" s="50"/>
      <c r="V70" s="50"/>
      <c r="W70" s="53"/>
      <c r="X70" s="50"/>
      <c r="AN70" s="36" t="e">
        <f>VLOOKUP(I70,Sheet1!A:D,4,FALSE)</f>
        <v>#N/A</v>
      </c>
    </row>
    <row r="71" spans="1:40" s="36" customFormat="1" ht="14.25" x14ac:dyDescent="0.2">
      <c r="A71" s="35"/>
      <c r="D71" s="37"/>
      <c r="E71" s="37"/>
      <c r="F71" s="37"/>
      <c r="G71" s="54"/>
      <c r="K71" s="50"/>
      <c r="L71" s="40"/>
      <c r="M71" s="50"/>
      <c r="N71" s="50"/>
      <c r="O71" s="50"/>
      <c r="P71" s="50"/>
      <c r="Q71" s="52"/>
      <c r="R71" s="52"/>
      <c r="S71" s="40"/>
      <c r="T71" s="50"/>
      <c r="U71" s="50"/>
      <c r="V71" s="50"/>
      <c r="W71" s="53"/>
      <c r="X71" s="50"/>
      <c r="AN71" s="36" t="e">
        <f>VLOOKUP(I71,Sheet1!A:D,4,FALSE)</f>
        <v>#N/A</v>
      </c>
    </row>
    <row r="72" spans="1:40" s="36" customFormat="1" ht="14.25" x14ac:dyDescent="0.2">
      <c r="A72" s="35"/>
      <c r="D72" s="37"/>
      <c r="E72" s="37"/>
      <c r="F72" s="37"/>
      <c r="G72" s="54"/>
      <c r="K72" s="50"/>
      <c r="L72" s="40"/>
      <c r="M72" s="50"/>
      <c r="N72" s="50"/>
      <c r="O72" s="50"/>
      <c r="P72" s="50"/>
      <c r="Q72" s="52"/>
      <c r="R72" s="52"/>
      <c r="S72" s="40"/>
      <c r="T72" s="50"/>
      <c r="U72" s="50"/>
      <c r="V72" s="50"/>
      <c r="W72" s="53"/>
      <c r="X72" s="50"/>
      <c r="AN72" s="36" t="e">
        <f>VLOOKUP(I72,Sheet1!A:D,4,FALSE)</f>
        <v>#N/A</v>
      </c>
    </row>
    <row r="73" spans="1:40" s="36" customFormat="1" ht="14.25" x14ac:dyDescent="0.2">
      <c r="A73" s="35"/>
      <c r="D73" s="37"/>
      <c r="E73" s="37"/>
      <c r="F73" s="37"/>
      <c r="G73" s="54"/>
      <c r="K73" s="50"/>
      <c r="L73" s="40"/>
      <c r="M73" s="50"/>
      <c r="N73" s="50"/>
      <c r="O73" s="50"/>
      <c r="P73" s="50"/>
      <c r="Q73" s="52"/>
      <c r="R73" s="52"/>
      <c r="S73" s="40"/>
      <c r="T73" s="50"/>
      <c r="U73" s="50"/>
      <c r="V73" s="50"/>
      <c r="W73" s="53"/>
      <c r="X73" s="50"/>
      <c r="AN73" s="36" t="e">
        <f>VLOOKUP(I73,Sheet1!A:D,4,FALSE)</f>
        <v>#N/A</v>
      </c>
    </row>
    <row r="74" spans="1:40" s="36" customFormat="1" ht="14.25" x14ac:dyDescent="0.2">
      <c r="A74" s="35"/>
      <c r="D74" s="37"/>
      <c r="E74" s="37"/>
      <c r="F74" s="37"/>
      <c r="G74" s="54"/>
      <c r="K74" s="50"/>
      <c r="L74" s="40"/>
      <c r="M74" s="50"/>
      <c r="N74" s="50"/>
      <c r="O74" s="50"/>
      <c r="P74" s="50"/>
      <c r="Q74" s="52"/>
      <c r="R74" s="52"/>
      <c r="S74" s="40"/>
      <c r="T74" s="50"/>
      <c r="U74" s="50"/>
      <c r="V74" s="50"/>
      <c r="W74" s="53"/>
      <c r="X74" s="50"/>
      <c r="AN74" s="36" t="e">
        <f>VLOOKUP(I74,Sheet1!A:D,4,FALSE)</f>
        <v>#N/A</v>
      </c>
    </row>
    <row r="75" spans="1:40" s="36" customFormat="1" ht="14.25" x14ac:dyDescent="0.2">
      <c r="A75" s="35"/>
      <c r="D75" s="37"/>
      <c r="E75" s="37"/>
      <c r="F75" s="37"/>
      <c r="G75" s="54"/>
      <c r="K75" s="50"/>
      <c r="L75" s="40"/>
      <c r="M75" s="50"/>
      <c r="N75" s="50"/>
      <c r="O75" s="50"/>
      <c r="P75" s="50"/>
      <c r="Q75" s="52"/>
      <c r="R75" s="52"/>
      <c r="S75" s="40"/>
      <c r="T75" s="50"/>
      <c r="U75" s="50"/>
      <c r="V75" s="50"/>
      <c r="W75" s="53"/>
      <c r="X75" s="50"/>
      <c r="AN75" s="36" t="e">
        <f>VLOOKUP(I75,Sheet1!A:D,4,FALSE)</f>
        <v>#N/A</v>
      </c>
    </row>
    <row r="76" spans="1:40" s="36" customFormat="1" ht="14.25" x14ac:dyDescent="0.2">
      <c r="A76" s="35"/>
      <c r="D76" s="37"/>
      <c r="E76" s="37"/>
      <c r="F76" s="37"/>
      <c r="G76" s="54"/>
      <c r="K76" s="50"/>
      <c r="L76" s="40"/>
      <c r="M76" s="50"/>
      <c r="N76" s="50"/>
      <c r="O76" s="50"/>
      <c r="P76" s="50"/>
      <c r="Q76" s="52"/>
      <c r="R76" s="52"/>
      <c r="S76" s="40"/>
      <c r="T76" s="50"/>
      <c r="U76" s="50"/>
      <c r="V76" s="50"/>
      <c r="W76" s="53"/>
      <c r="X76" s="50"/>
      <c r="AN76" s="36" t="e">
        <f>VLOOKUP(I76,Sheet1!A:D,4,FALSE)</f>
        <v>#N/A</v>
      </c>
    </row>
    <row r="77" spans="1:40" s="36" customFormat="1" ht="14.25" x14ac:dyDescent="0.2">
      <c r="A77" s="35"/>
      <c r="D77" s="37"/>
      <c r="E77" s="37"/>
      <c r="F77" s="37"/>
      <c r="G77" s="54"/>
      <c r="K77" s="50"/>
      <c r="L77" s="40"/>
      <c r="M77" s="50"/>
      <c r="N77" s="50"/>
      <c r="O77" s="50"/>
      <c r="P77" s="50"/>
      <c r="Q77" s="52"/>
      <c r="R77" s="52"/>
      <c r="S77" s="40"/>
      <c r="T77" s="50"/>
      <c r="U77" s="50"/>
      <c r="V77" s="50"/>
      <c r="W77" s="53"/>
      <c r="X77" s="50"/>
      <c r="AN77" s="36" t="e">
        <f>VLOOKUP(I77,Sheet1!A:D,4,FALSE)</f>
        <v>#N/A</v>
      </c>
    </row>
    <row r="78" spans="1:40" s="36" customFormat="1" ht="14.25" x14ac:dyDescent="0.2">
      <c r="A78" s="35"/>
      <c r="D78" s="37"/>
      <c r="E78" s="37"/>
      <c r="F78" s="37"/>
      <c r="G78" s="54"/>
      <c r="K78" s="50"/>
      <c r="L78" s="40"/>
      <c r="M78" s="50"/>
      <c r="N78" s="50"/>
      <c r="O78" s="50"/>
      <c r="P78" s="50"/>
      <c r="Q78" s="52"/>
      <c r="R78" s="52"/>
      <c r="S78" s="40"/>
      <c r="T78" s="50"/>
      <c r="U78" s="50"/>
      <c r="V78" s="50"/>
      <c r="W78" s="53"/>
      <c r="X78" s="50"/>
      <c r="AN78" s="36" t="e">
        <f>VLOOKUP(I78,Sheet1!A:D,4,FALSE)</f>
        <v>#N/A</v>
      </c>
    </row>
    <row r="79" spans="1:40" s="36" customFormat="1" ht="14.25" x14ac:dyDescent="0.2">
      <c r="A79" s="35"/>
      <c r="D79" s="37"/>
      <c r="E79" s="37"/>
      <c r="F79" s="37"/>
      <c r="G79" s="54"/>
      <c r="K79" s="50"/>
      <c r="L79" s="40"/>
      <c r="M79" s="50"/>
      <c r="N79" s="50"/>
      <c r="O79" s="50"/>
      <c r="P79" s="50"/>
      <c r="Q79" s="52"/>
      <c r="R79" s="52"/>
      <c r="S79" s="40"/>
      <c r="T79" s="50"/>
      <c r="U79" s="50"/>
      <c r="V79" s="50"/>
      <c r="W79" s="53"/>
      <c r="X79" s="50"/>
      <c r="AN79" s="36" t="e">
        <f>VLOOKUP(I79,Sheet1!A:D,4,FALSE)</f>
        <v>#N/A</v>
      </c>
    </row>
    <row r="80" spans="1:40" s="36" customFormat="1" ht="14.25" x14ac:dyDescent="0.2">
      <c r="A80" s="35"/>
      <c r="D80" s="37"/>
      <c r="E80" s="37"/>
      <c r="F80" s="37"/>
      <c r="G80" s="54"/>
      <c r="K80" s="50"/>
      <c r="L80" s="40"/>
      <c r="M80" s="50"/>
      <c r="N80" s="50"/>
      <c r="O80" s="50"/>
      <c r="P80" s="50"/>
      <c r="Q80" s="52"/>
      <c r="R80" s="52"/>
      <c r="S80" s="40"/>
      <c r="T80" s="50"/>
      <c r="U80" s="50"/>
      <c r="V80" s="50"/>
      <c r="W80" s="53"/>
      <c r="X80" s="50"/>
      <c r="AN80" s="36" t="e">
        <f>VLOOKUP(I80,Sheet1!A:D,4,FALSE)</f>
        <v>#N/A</v>
      </c>
    </row>
    <row r="81" spans="1:40" s="36" customFormat="1" ht="14.25" x14ac:dyDescent="0.2">
      <c r="A81" s="35"/>
      <c r="D81" s="37"/>
      <c r="E81" s="37"/>
      <c r="F81" s="37"/>
      <c r="G81" s="54"/>
      <c r="K81" s="50"/>
      <c r="L81" s="40"/>
      <c r="M81" s="50"/>
      <c r="N81" s="50"/>
      <c r="O81" s="50"/>
      <c r="P81" s="50"/>
      <c r="Q81" s="52"/>
      <c r="R81" s="52"/>
      <c r="S81" s="40"/>
      <c r="T81" s="50"/>
      <c r="U81" s="50"/>
      <c r="V81" s="50"/>
      <c r="W81" s="53"/>
      <c r="X81" s="50"/>
      <c r="AN81" s="36" t="e">
        <f>VLOOKUP(I81,Sheet1!A:D,4,FALSE)</f>
        <v>#N/A</v>
      </c>
    </row>
    <row r="82" spans="1:40" s="36" customFormat="1" ht="14.25" x14ac:dyDescent="0.2">
      <c r="A82" s="35"/>
      <c r="D82" s="37"/>
      <c r="E82" s="37"/>
      <c r="F82" s="37"/>
      <c r="G82" s="54"/>
      <c r="K82" s="50"/>
      <c r="L82" s="40"/>
      <c r="M82" s="50"/>
      <c r="N82" s="50"/>
      <c r="O82" s="50"/>
      <c r="P82" s="50"/>
      <c r="Q82" s="52"/>
      <c r="R82" s="52"/>
      <c r="S82" s="40"/>
      <c r="T82" s="50"/>
      <c r="U82" s="50"/>
      <c r="V82" s="50"/>
      <c r="W82" s="53"/>
      <c r="X82" s="50"/>
      <c r="AN82" s="36" t="e">
        <f>VLOOKUP(I82,Sheet1!A:D,4,FALSE)</f>
        <v>#N/A</v>
      </c>
    </row>
    <row r="83" spans="1:40" s="36" customFormat="1" ht="14.25" x14ac:dyDescent="0.2">
      <c r="A83" s="35"/>
      <c r="D83" s="37"/>
      <c r="E83" s="37"/>
      <c r="F83" s="37"/>
      <c r="G83" s="54"/>
      <c r="K83" s="50"/>
      <c r="L83" s="40"/>
      <c r="M83" s="50"/>
      <c r="N83" s="50"/>
      <c r="O83" s="50"/>
      <c r="P83" s="50"/>
      <c r="Q83" s="52"/>
      <c r="R83" s="52"/>
      <c r="S83" s="40"/>
      <c r="T83" s="50"/>
      <c r="U83" s="50"/>
      <c r="V83" s="50"/>
      <c r="W83" s="53"/>
      <c r="X83" s="50"/>
      <c r="AN83" s="36" t="e">
        <f>VLOOKUP(I83,Sheet1!A:D,4,FALSE)</f>
        <v>#N/A</v>
      </c>
    </row>
    <row r="84" spans="1:40" s="36" customFormat="1" ht="14.25" x14ac:dyDescent="0.2">
      <c r="A84" s="35"/>
      <c r="D84" s="37"/>
      <c r="E84" s="37"/>
      <c r="F84" s="37"/>
      <c r="G84" s="54"/>
      <c r="K84" s="50"/>
      <c r="L84" s="40"/>
      <c r="M84" s="50"/>
      <c r="N84" s="50"/>
      <c r="O84" s="50"/>
      <c r="P84" s="50"/>
      <c r="Q84" s="52"/>
      <c r="R84" s="52"/>
      <c r="S84" s="40"/>
      <c r="T84" s="50"/>
      <c r="U84" s="50"/>
      <c r="V84" s="50"/>
      <c r="W84" s="53"/>
      <c r="X84" s="50"/>
      <c r="AN84" s="36" t="e">
        <f>VLOOKUP(I84,Sheet1!A:D,4,FALSE)</f>
        <v>#N/A</v>
      </c>
    </row>
    <row r="85" spans="1:40" s="36" customFormat="1" ht="14.25" x14ac:dyDescent="0.2">
      <c r="A85" s="35"/>
      <c r="D85" s="37"/>
      <c r="E85" s="37"/>
      <c r="F85" s="37"/>
      <c r="G85" s="54"/>
      <c r="K85" s="50"/>
      <c r="L85" s="40"/>
      <c r="M85" s="50"/>
      <c r="N85" s="50"/>
      <c r="O85" s="50"/>
      <c r="P85" s="50"/>
      <c r="Q85" s="52"/>
      <c r="R85" s="52"/>
      <c r="S85" s="40"/>
      <c r="T85" s="50"/>
      <c r="U85" s="50"/>
      <c r="V85" s="50"/>
      <c r="W85" s="53"/>
      <c r="X85" s="50"/>
      <c r="AN85" s="36" t="e">
        <f>VLOOKUP(I85,Sheet1!A:D,4,FALSE)</f>
        <v>#N/A</v>
      </c>
    </row>
    <row r="86" spans="1:40" s="36" customFormat="1" ht="14.25" x14ac:dyDescent="0.2">
      <c r="A86" s="35"/>
      <c r="D86" s="37"/>
      <c r="E86" s="37"/>
      <c r="F86" s="37"/>
      <c r="G86" s="54"/>
      <c r="K86" s="50"/>
      <c r="L86" s="40"/>
      <c r="M86" s="50"/>
      <c r="N86" s="50"/>
      <c r="O86" s="50"/>
      <c r="P86" s="50"/>
      <c r="Q86" s="52"/>
      <c r="R86" s="52"/>
      <c r="S86" s="40"/>
      <c r="T86" s="50"/>
      <c r="U86" s="50"/>
      <c r="V86" s="50"/>
      <c r="W86" s="53"/>
      <c r="X86" s="50"/>
      <c r="AN86" s="36" t="e">
        <f>VLOOKUP(I86,Sheet1!A:D,4,FALSE)</f>
        <v>#N/A</v>
      </c>
    </row>
    <row r="87" spans="1:40" s="36" customFormat="1" ht="14.25" x14ac:dyDescent="0.2">
      <c r="A87" s="35"/>
      <c r="D87" s="37"/>
      <c r="E87" s="37"/>
      <c r="F87" s="37"/>
      <c r="G87" s="54"/>
      <c r="K87" s="50"/>
      <c r="L87" s="40"/>
      <c r="M87" s="50"/>
      <c r="N87" s="50"/>
      <c r="O87" s="50"/>
      <c r="P87" s="50"/>
      <c r="Q87" s="52"/>
      <c r="R87" s="52"/>
      <c r="S87" s="40"/>
      <c r="T87" s="50"/>
      <c r="U87" s="50"/>
      <c r="V87" s="50"/>
      <c r="W87" s="53"/>
      <c r="X87" s="50"/>
      <c r="AN87" s="36" t="e">
        <f>VLOOKUP(I87,Sheet1!A:D,4,FALSE)</f>
        <v>#N/A</v>
      </c>
    </row>
    <row r="88" spans="1:40" s="36" customFormat="1" ht="14.25" x14ac:dyDescent="0.2">
      <c r="A88" s="35"/>
      <c r="D88" s="37"/>
      <c r="E88" s="37"/>
      <c r="F88" s="37"/>
      <c r="G88" s="54"/>
      <c r="K88" s="50"/>
      <c r="L88" s="40"/>
      <c r="M88" s="50"/>
      <c r="N88" s="50"/>
      <c r="O88" s="50"/>
      <c r="P88" s="50"/>
      <c r="Q88" s="52"/>
      <c r="R88" s="52"/>
      <c r="S88" s="40"/>
      <c r="T88" s="50"/>
      <c r="U88" s="50"/>
      <c r="V88" s="50"/>
      <c r="W88" s="53"/>
      <c r="X88" s="50"/>
      <c r="AN88" s="36" t="e">
        <f>VLOOKUP(I88,Sheet1!A:D,4,FALSE)</f>
        <v>#N/A</v>
      </c>
    </row>
    <row r="89" spans="1:40" s="36" customFormat="1" ht="14.25" x14ac:dyDescent="0.2">
      <c r="A89" s="35"/>
      <c r="D89" s="37"/>
      <c r="E89" s="37"/>
      <c r="F89" s="37"/>
      <c r="G89" s="54"/>
      <c r="K89" s="50"/>
      <c r="L89" s="40"/>
      <c r="M89" s="50"/>
      <c r="N89" s="50"/>
      <c r="O89" s="50"/>
      <c r="P89" s="50"/>
      <c r="Q89" s="52"/>
      <c r="R89" s="52"/>
      <c r="S89" s="40"/>
      <c r="T89" s="50"/>
      <c r="U89" s="50"/>
      <c r="V89" s="50"/>
      <c r="W89" s="53"/>
      <c r="X89" s="50"/>
      <c r="AN89" s="36" t="e">
        <f>VLOOKUP(I89,Sheet1!A:D,4,FALSE)</f>
        <v>#N/A</v>
      </c>
    </row>
    <row r="90" spans="1:40" s="36" customFormat="1" ht="14.25" x14ac:dyDescent="0.2">
      <c r="A90" s="35"/>
      <c r="D90" s="37"/>
      <c r="E90" s="37"/>
      <c r="F90" s="37"/>
      <c r="G90" s="54"/>
      <c r="K90" s="50"/>
      <c r="L90" s="40"/>
      <c r="M90" s="50"/>
      <c r="N90" s="50"/>
      <c r="O90" s="50"/>
      <c r="P90" s="50"/>
      <c r="Q90" s="52"/>
      <c r="R90" s="52"/>
      <c r="S90" s="40"/>
      <c r="T90" s="50"/>
      <c r="U90" s="50"/>
      <c r="V90" s="50"/>
      <c r="W90" s="53"/>
      <c r="X90" s="50"/>
      <c r="AN90" s="36" t="e">
        <f>VLOOKUP(I90,Sheet1!A:D,4,FALSE)</f>
        <v>#N/A</v>
      </c>
    </row>
    <row r="91" spans="1:40" s="36" customFormat="1" ht="14.25" x14ac:dyDescent="0.2">
      <c r="A91" s="35"/>
      <c r="D91" s="37"/>
      <c r="E91" s="37"/>
      <c r="F91" s="37"/>
      <c r="G91" s="54"/>
      <c r="K91" s="50"/>
      <c r="L91" s="40"/>
      <c r="M91" s="50"/>
      <c r="N91" s="50"/>
      <c r="O91" s="50"/>
      <c r="P91" s="50"/>
      <c r="Q91" s="52"/>
      <c r="R91" s="52"/>
      <c r="S91" s="40"/>
      <c r="T91" s="50"/>
      <c r="U91" s="50"/>
      <c r="V91" s="50"/>
      <c r="W91" s="53"/>
      <c r="X91" s="50"/>
      <c r="AN91" s="36" t="e">
        <f>VLOOKUP(I91,Sheet1!A:D,4,FALSE)</f>
        <v>#N/A</v>
      </c>
    </row>
    <row r="92" spans="1:40" s="36" customFormat="1" ht="14.25" x14ac:dyDescent="0.2">
      <c r="A92" s="35"/>
      <c r="D92" s="37"/>
      <c r="E92" s="37"/>
      <c r="F92" s="37"/>
      <c r="G92" s="54"/>
      <c r="K92" s="50"/>
      <c r="L92" s="40"/>
      <c r="M92" s="50"/>
      <c r="N92" s="50"/>
      <c r="O92" s="50"/>
      <c r="P92" s="50"/>
      <c r="Q92" s="52"/>
      <c r="R92" s="52"/>
      <c r="S92" s="40"/>
      <c r="T92" s="50"/>
      <c r="U92" s="50"/>
      <c r="V92" s="50"/>
      <c r="W92" s="53"/>
      <c r="X92" s="50"/>
      <c r="AN92" s="36" t="e">
        <f>VLOOKUP(I92,Sheet1!A:D,4,FALSE)</f>
        <v>#N/A</v>
      </c>
    </row>
    <row r="93" spans="1:40" s="36" customFormat="1" ht="14.25" x14ac:dyDescent="0.2">
      <c r="A93" s="35"/>
      <c r="D93" s="37"/>
      <c r="E93" s="37"/>
      <c r="F93" s="37"/>
      <c r="G93" s="54"/>
      <c r="K93" s="50"/>
      <c r="L93" s="40"/>
      <c r="M93" s="50"/>
      <c r="N93" s="50"/>
      <c r="O93" s="50"/>
      <c r="P93" s="50"/>
      <c r="Q93" s="52"/>
      <c r="R93" s="52"/>
      <c r="S93" s="40"/>
      <c r="T93" s="50"/>
      <c r="U93" s="50"/>
      <c r="V93" s="50"/>
      <c r="W93" s="53"/>
      <c r="X93" s="50"/>
      <c r="AN93" s="36" t="e">
        <f>VLOOKUP(I93,Sheet1!A:D,4,FALSE)</f>
        <v>#N/A</v>
      </c>
    </row>
    <row r="94" spans="1:40" s="36" customFormat="1" ht="14.25" x14ac:dyDescent="0.2">
      <c r="A94" s="35"/>
      <c r="D94" s="37"/>
      <c r="E94" s="37"/>
      <c r="F94" s="37"/>
      <c r="G94" s="54"/>
      <c r="K94" s="50"/>
      <c r="L94" s="40"/>
      <c r="M94" s="50"/>
      <c r="N94" s="50"/>
      <c r="O94" s="50"/>
      <c r="P94" s="50"/>
      <c r="Q94" s="52"/>
      <c r="R94" s="52"/>
      <c r="S94" s="40"/>
      <c r="T94" s="50"/>
      <c r="U94" s="50"/>
      <c r="V94" s="50"/>
      <c r="W94" s="53"/>
      <c r="X94" s="50"/>
      <c r="AN94" s="36" t="e">
        <f>VLOOKUP(I94,Sheet1!A:D,4,FALSE)</f>
        <v>#N/A</v>
      </c>
    </row>
    <row r="95" spans="1:40" s="36" customFormat="1" ht="14.25" x14ac:dyDescent="0.2">
      <c r="A95" s="35"/>
      <c r="D95" s="37"/>
      <c r="E95" s="37"/>
      <c r="F95" s="37"/>
      <c r="G95" s="54"/>
      <c r="K95" s="50"/>
      <c r="L95" s="40"/>
      <c r="M95" s="50"/>
      <c r="N95" s="50"/>
      <c r="O95" s="50"/>
      <c r="P95" s="50"/>
      <c r="Q95" s="52"/>
      <c r="R95" s="52"/>
      <c r="S95" s="40"/>
      <c r="T95" s="50"/>
      <c r="U95" s="50"/>
      <c r="V95" s="50"/>
      <c r="W95" s="53"/>
      <c r="X95" s="50"/>
      <c r="AN95" s="36" t="e">
        <f>VLOOKUP(I95,Sheet1!A:D,4,FALSE)</f>
        <v>#N/A</v>
      </c>
    </row>
    <row r="96" spans="1:40" s="36" customFormat="1" ht="14.25" x14ac:dyDescent="0.2">
      <c r="A96" s="35"/>
      <c r="D96" s="37"/>
      <c r="E96" s="37"/>
      <c r="F96" s="37"/>
      <c r="G96" s="54"/>
      <c r="K96" s="50"/>
      <c r="L96" s="40"/>
      <c r="M96" s="50"/>
      <c r="N96" s="50"/>
      <c r="O96" s="50"/>
      <c r="P96" s="50"/>
      <c r="Q96" s="52"/>
      <c r="R96" s="52"/>
      <c r="S96" s="40"/>
      <c r="T96" s="50"/>
      <c r="U96" s="50"/>
      <c r="V96" s="50"/>
      <c r="W96" s="53"/>
      <c r="X96" s="50"/>
      <c r="AN96" s="36" t="e">
        <f>VLOOKUP(I96,Sheet1!A:D,4,FALSE)</f>
        <v>#N/A</v>
      </c>
    </row>
    <row r="97" spans="1:40" s="36" customFormat="1" ht="14.25" x14ac:dyDescent="0.2">
      <c r="A97" s="35"/>
      <c r="D97" s="37"/>
      <c r="E97" s="37"/>
      <c r="F97" s="37"/>
      <c r="G97" s="54"/>
      <c r="K97" s="50"/>
      <c r="L97" s="40"/>
      <c r="M97" s="50"/>
      <c r="N97" s="50"/>
      <c r="O97" s="50"/>
      <c r="P97" s="50"/>
      <c r="Q97" s="52"/>
      <c r="R97" s="52"/>
      <c r="S97" s="40"/>
      <c r="T97" s="50"/>
      <c r="U97" s="50"/>
      <c r="V97" s="50"/>
      <c r="W97" s="53"/>
      <c r="X97" s="50"/>
      <c r="AN97" s="36" t="e">
        <f>VLOOKUP(I97,Sheet1!A:D,4,FALSE)</f>
        <v>#N/A</v>
      </c>
    </row>
    <row r="98" spans="1:40" s="36" customFormat="1" ht="14.25" x14ac:dyDescent="0.2">
      <c r="A98" s="35"/>
      <c r="D98" s="37"/>
      <c r="E98" s="37"/>
      <c r="F98" s="37"/>
      <c r="G98" s="54"/>
      <c r="K98" s="50"/>
      <c r="L98" s="40"/>
      <c r="M98" s="50"/>
      <c r="N98" s="50"/>
      <c r="O98" s="50"/>
      <c r="P98" s="50"/>
      <c r="Q98" s="52"/>
      <c r="R98" s="52"/>
      <c r="S98" s="40"/>
      <c r="T98" s="50"/>
      <c r="U98" s="50"/>
      <c r="V98" s="50"/>
      <c r="W98" s="53"/>
      <c r="X98" s="50"/>
      <c r="AN98" s="36" t="e">
        <f>VLOOKUP(I98,Sheet1!A:D,4,FALSE)</f>
        <v>#N/A</v>
      </c>
    </row>
    <row r="99" spans="1:40" s="36" customFormat="1" ht="14.25" x14ac:dyDescent="0.2">
      <c r="A99" s="35"/>
      <c r="D99" s="37"/>
      <c r="E99" s="37"/>
      <c r="F99" s="37"/>
      <c r="G99" s="54"/>
      <c r="K99" s="50"/>
      <c r="L99" s="40"/>
      <c r="M99" s="50"/>
      <c r="N99" s="50"/>
      <c r="O99" s="50"/>
      <c r="P99" s="50"/>
      <c r="Q99" s="52"/>
      <c r="R99" s="52"/>
      <c r="S99" s="40"/>
      <c r="T99" s="50"/>
      <c r="U99" s="50"/>
      <c r="V99" s="50"/>
      <c r="W99" s="53"/>
      <c r="X99" s="50"/>
      <c r="AN99" s="36" t="e">
        <f>VLOOKUP(I99,Sheet1!A:D,4,FALSE)</f>
        <v>#N/A</v>
      </c>
    </row>
    <row r="100" spans="1:40" s="36" customFormat="1" ht="14.25" x14ac:dyDescent="0.2">
      <c r="A100" s="35"/>
      <c r="D100" s="37"/>
      <c r="E100" s="37"/>
      <c r="F100" s="37"/>
      <c r="G100" s="54"/>
      <c r="K100" s="50"/>
      <c r="L100" s="40"/>
      <c r="M100" s="50"/>
      <c r="N100" s="50"/>
      <c r="O100" s="50"/>
      <c r="P100" s="50"/>
      <c r="Q100" s="52"/>
      <c r="R100" s="52"/>
      <c r="S100" s="40"/>
      <c r="T100" s="50"/>
      <c r="U100" s="50"/>
      <c r="V100" s="50"/>
      <c r="W100" s="53"/>
      <c r="X100" s="50"/>
      <c r="AN100" s="36" t="e">
        <f>VLOOKUP(I100,Sheet1!A:D,4,FALSE)</f>
        <v>#N/A</v>
      </c>
    </row>
    <row r="101" spans="1:40" s="36" customFormat="1" ht="14.25" x14ac:dyDescent="0.2">
      <c r="A101" s="35"/>
      <c r="D101" s="37"/>
      <c r="E101" s="37"/>
      <c r="F101" s="37"/>
      <c r="G101" s="54"/>
      <c r="K101" s="50"/>
      <c r="L101" s="40"/>
      <c r="M101" s="50"/>
      <c r="N101" s="50"/>
      <c r="O101" s="50"/>
      <c r="P101" s="50"/>
      <c r="Q101" s="52"/>
      <c r="R101" s="52"/>
      <c r="S101" s="40"/>
      <c r="T101" s="50"/>
      <c r="U101" s="50"/>
      <c r="V101" s="50"/>
      <c r="W101" s="53"/>
      <c r="X101" s="50"/>
      <c r="AN101" s="36" t="e">
        <f>VLOOKUP(I101,Sheet1!A:D,4,FALSE)</f>
        <v>#N/A</v>
      </c>
    </row>
    <row r="102" spans="1:40" s="36" customFormat="1" ht="14.25" x14ac:dyDescent="0.2">
      <c r="A102" s="35"/>
      <c r="D102" s="37"/>
      <c r="E102" s="37"/>
      <c r="F102" s="37"/>
      <c r="G102" s="54"/>
      <c r="K102" s="50"/>
      <c r="L102" s="40"/>
      <c r="M102" s="50"/>
      <c r="N102" s="50"/>
      <c r="O102" s="50"/>
      <c r="P102" s="50"/>
      <c r="Q102" s="52"/>
      <c r="R102" s="52"/>
      <c r="S102" s="40"/>
      <c r="T102" s="50"/>
      <c r="U102" s="50"/>
      <c r="V102" s="50"/>
      <c r="W102" s="53"/>
      <c r="X102" s="50"/>
      <c r="AN102" s="36" t="e">
        <f>VLOOKUP(I102,Sheet1!A:D,4,FALSE)</f>
        <v>#N/A</v>
      </c>
    </row>
    <row r="103" spans="1:40" s="36" customFormat="1" ht="14.25" x14ac:dyDescent="0.2">
      <c r="A103" s="35"/>
      <c r="D103" s="37"/>
      <c r="E103" s="37"/>
      <c r="F103" s="37"/>
      <c r="G103" s="54"/>
      <c r="K103" s="50"/>
      <c r="L103" s="40"/>
      <c r="M103" s="50"/>
      <c r="N103" s="50"/>
      <c r="O103" s="50"/>
      <c r="P103" s="50"/>
      <c r="Q103" s="52"/>
      <c r="R103" s="52"/>
      <c r="S103" s="40"/>
      <c r="T103" s="50"/>
      <c r="U103" s="50"/>
      <c r="V103" s="50"/>
      <c r="W103" s="53"/>
      <c r="X103" s="50"/>
      <c r="AN103" s="36" t="e">
        <f>VLOOKUP(I103,Sheet1!A:D,4,FALSE)</f>
        <v>#N/A</v>
      </c>
    </row>
    <row r="104" spans="1:40" s="36" customFormat="1" ht="14.25" x14ac:dyDescent="0.2">
      <c r="A104" s="35"/>
      <c r="D104" s="37"/>
      <c r="E104" s="37"/>
      <c r="F104" s="37"/>
      <c r="G104" s="54"/>
      <c r="K104" s="50"/>
      <c r="L104" s="40"/>
      <c r="M104" s="50"/>
      <c r="N104" s="50"/>
      <c r="O104" s="50"/>
      <c r="P104" s="50"/>
      <c r="Q104" s="52"/>
      <c r="R104" s="52"/>
      <c r="S104" s="40"/>
      <c r="T104" s="50"/>
      <c r="U104" s="50"/>
      <c r="V104" s="50"/>
      <c r="W104" s="53"/>
      <c r="X104" s="50"/>
      <c r="AN104" s="36" t="e">
        <f>VLOOKUP(I104,Sheet1!A:D,4,FALSE)</f>
        <v>#N/A</v>
      </c>
    </row>
    <row r="105" spans="1:40" s="36" customFormat="1" ht="14.25" x14ac:dyDescent="0.2">
      <c r="A105" s="35"/>
      <c r="D105" s="37"/>
      <c r="E105" s="37"/>
      <c r="F105" s="37"/>
      <c r="G105" s="54"/>
      <c r="K105" s="50"/>
      <c r="L105" s="40"/>
      <c r="M105" s="50"/>
      <c r="N105" s="50"/>
      <c r="O105" s="50"/>
      <c r="P105" s="50"/>
      <c r="Q105" s="52"/>
      <c r="R105" s="52"/>
      <c r="S105" s="40"/>
      <c r="T105" s="50"/>
      <c r="U105" s="50"/>
      <c r="V105" s="50"/>
      <c r="W105" s="53"/>
      <c r="X105" s="50"/>
      <c r="AN105" s="36" t="e">
        <f>VLOOKUP(I105,Sheet1!A:D,4,FALSE)</f>
        <v>#N/A</v>
      </c>
    </row>
    <row r="106" spans="1:40" s="36" customFormat="1" ht="14.25" x14ac:dyDescent="0.2">
      <c r="A106" s="35"/>
      <c r="D106" s="37"/>
      <c r="E106" s="37"/>
      <c r="F106" s="37"/>
      <c r="G106" s="54"/>
      <c r="K106" s="50"/>
      <c r="L106" s="40"/>
      <c r="M106" s="50"/>
      <c r="N106" s="50"/>
      <c r="O106" s="50"/>
      <c r="P106" s="50"/>
      <c r="Q106" s="52"/>
      <c r="R106" s="52"/>
      <c r="S106" s="40"/>
      <c r="T106" s="50"/>
      <c r="U106" s="50"/>
      <c r="V106" s="50"/>
      <c r="W106" s="53"/>
      <c r="X106" s="50"/>
      <c r="AN106" s="36" t="e">
        <f>VLOOKUP(I106,Sheet1!A:D,4,FALSE)</f>
        <v>#N/A</v>
      </c>
    </row>
    <row r="107" spans="1:40" s="36" customFormat="1" ht="14.25" x14ac:dyDescent="0.2">
      <c r="A107" s="35"/>
      <c r="D107" s="37"/>
      <c r="E107" s="37"/>
      <c r="F107" s="37"/>
      <c r="G107" s="54"/>
      <c r="K107" s="50"/>
      <c r="L107" s="40"/>
      <c r="M107" s="50"/>
      <c r="N107" s="50"/>
      <c r="O107" s="50"/>
      <c r="P107" s="50"/>
      <c r="Q107" s="52"/>
      <c r="R107" s="52"/>
      <c r="S107" s="40"/>
      <c r="T107" s="50"/>
      <c r="U107" s="50"/>
      <c r="V107" s="50"/>
      <c r="W107" s="53"/>
      <c r="X107" s="50"/>
      <c r="AN107" s="36" t="e">
        <f>VLOOKUP(I107,Sheet1!A:D,4,FALSE)</f>
        <v>#N/A</v>
      </c>
    </row>
    <row r="108" spans="1:40" s="36" customFormat="1" ht="14.25" x14ac:dyDescent="0.2">
      <c r="A108" s="35"/>
      <c r="D108" s="37"/>
      <c r="E108" s="37"/>
      <c r="F108" s="37"/>
      <c r="G108" s="54"/>
      <c r="K108" s="50"/>
      <c r="L108" s="40"/>
      <c r="M108" s="50"/>
      <c r="N108" s="50"/>
      <c r="O108" s="50"/>
      <c r="P108" s="50"/>
      <c r="Q108" s="52"/>
      <c r="R108" s="52"/>
      <c r="S108" s="40"/>
      <c r="T108" s="50"/>
      <c r="U108" s="50"/>
      <c r="V108" s="50"/>
      <c r="W108" s="53"/>
      <c r="X108" s="50"/>
      <c r="AN108" s="36" t="e">
        <f>VLOOKUP(I108,Sheet1!A:D,4,FALSE)</f>
        <v>#N/A</v>
      </c>
    </row>
    <row r="109" spans="1:40" s="36" customFormat="1" ht="14.25" x14ac:dyDescent="0.2">
      <c r="A109" s="35"/>
      <c r="D109" s="37"/>
      <c r="E109" s="37"/>
      <c r="F109" s="37"/>
      <c r="G109" s="54"/>
      <c r="K109" s="50"/>
      <c r="L109" s="40"/>
      <c r="M109" s="50"/>
      <c r="N109" s="50"/>
      <c r="O109" s="50"/>
      <c r="P109" s="50"/>
      <c r="Q109" s="52"/>
      <c r="R109" s="52"/>
      <c r="S109" s="40"/>
      <c r="T109" s="50"/>
      <c r="U109" s="50"/>
      <c r="V109" s="50"/>
      <c r="W109" s="53"/>
      <c r="X109" s="50"/>
      <c r="AN109" s="36" t="e">
        <f>VLOOKUP(I109,Sheet1!A:D,4,FALSE)</f>
        <v>#N/A</v>
      </c>
    </row>
    <row r="110" spans="1:40" s="36" customFormat="1" ht="14.25" x14ac:dyDescent="0.2">
      <c r="A110" s="35"/>
      <c r="D110" s="37"/>
      <c r="E110" s="37"/>
      <c r="F110" s="37"/>
      <c r="G110" s="54"/>
      <c r="K110" s="50"/>
      <c r="L110" s="40"/>
      <c r="M110" s="50"/>
      <c r="N110" s="50"/>
      <c r="O110" s="50"/>
      <c r="P110" s="50"/>
      <c r="Q110" s="52"/>
      <c r="R110" s="52"/>
      <c r="S110" s="40"/>
      <c r="T110" s="50"/>
      <c r="U110" s="50"/>
      <c r="V110" s="50"/>
      <c r="W110" s="53"/>
      <c r="X110" s="50"/>
      <c r="AN110" s="36" t="e">
        <f>VLOOKUP(I110,Sheet1!A:D,4,FALSE)</f>
        <v>#N/A</v>
      </c>
    </row>
    <row r="111" spans="1:40" s="36" customFormat="1" ht="14.25" x14ac:dyDescent="0.2">
      <c r="A111" s="35"/>
      <c r="D111" s="37"/>
      <c r="E111" s="37"/>
      <c r="F111" s="37"/>
      <c r="G111" s="54"/>
      <c r="K111" s="50"/>
      <c r="L111" s="40"/>
      <c r="M111" s="50"/>
      <c r="N111" s="50"/>
      <c r="O111" s="50"/>
      <c r="P111" s="50"/>
      <c r="Q111" s="52"/>
      <c r="R111" s="52"/>
      <c r="S111" s="40"/>
      <c r="T111" s="50"/>
      <c r="U111" s="50"/>
      <c r="V111" s="50"/>
      <c r="W111" s="53"/>
      <c r="X111" s="50"/>
      <c r="AN111" s="36" t="e">
        <f>VLOOKUP(I111,Sheet1!A:D,4,FALSE)</f>
        <v>#N/A</v>
      </c>
    </row>
    <row r="112" spans="1:40" s="36" customFormat="1" ht="14.25" x14ac:dyDescent="0.2">
      <c r="A112" s="35"/>
      <c r="D112" s="37"/>
      <c r="E112" s="37"/>
      <c r="F112" s="37"/>
      <c r="G112" s="54"/>
      <c r="K112" s="50"/>
      <c r="L112" s="40"/>
      <c r="M112" s="50"/>
      <c r="N112" s="50"/>
      <c r="O112" s="50"/>
      <c r="P112" s="50"/>
      <c r="Q112" s="52"/>
      <c r="R112" s="52"/>
      <c r="S112" s="40"/>
      <c r="T112" s="50"/>
      <c r="U112" s="50"/>
      <c r="V112" s="50"/>
      <c r="W112" s="53"/>
      <c r="X112" s="50"/>
      <c r="AN112" s="36" t="e">
        <f>VLOOKUP(I112,Sheet1!A:D,4,FALSE)</f>
        <v>#N/A</v>
      </c>
    </row>
    <row r="113" spans="1:40" s="36" customFormat="1" ht="14.25" x14ac:dyDescent="0.2">
      <c r="A113" s="35"/>
      <c r="D113" s="37"/>
      <c r="E113" s="37"/>
      <c r="F113" s="37"/>
      <c r="G113" s="54"/>
      <c r="K113" s="50"/>
      <c r="L113" s="40"/>
      <c r="M113" s="50"/>
      <c r="N113" s="50"/>
      <c r="O113" s="50"/>
      <c r="P113" s="50"/>
      <c r="Q113" s="52"/>
      <c r="R113" s="52"/>
      <c r="S113" s="40"/>
      <c r="T113" s="50"/>
      <c r="U113" s="50"/>
      <c r="V113" s="50"/>
      <c r="W113" s="53"/>
      <c r="X113" s="50"/>
      <c r="AN113" s="36" t="e">
        <f>VLOOKUP(I113,Sheet1!A:D,4,FALSE)</f>
        <v>#N/A</v>
      </c>
    </row>
    <row r="114" spans="1:40" s="36" customFormat="1" ht="14.25" x14ac:dyDescent="0.2">
      <c r="A114" s="35"/>
      <c r="D114" s="37"/>
      <c r="E114" s="37"/>
      <c r="F114" s="37"/>
      <c r="G114" s="54"/>
      <c r="K114" s="50"/>
      <c r="L114" s="40"/>
      <c r="M114" s="50"/>
      <c r="N114" s="50"/>
      <c r="O114" s="50"/>
      <c r="P114" s="50"/>
      <c r="Q114" s="52"/>
      <c r="R114" s="52"/>
      <c r="S114" s="40"/>
      <c r="T114" s="50"/>
      <c r="U114" s="50"/>
      <c r="V114" s="50"/>
      <c r="W114" s="53"/>
      <c r="X114" s="50"/>
      <c r="AN114" s="36" t="e">
        <f>VLOOKUP(I114,Sheet1!A:D,4,FALSE)</f>
        <v>#N/A</v>
      </c>
    </row>
    <row r="115" spans="1:40" s="36" customFormat="1" ht="14.25" x14ac:dyDescent="0.2">
      <c r="A115" s="35"/>
      <c r="D115" s="37"/>
      <c r="E115" s="37"/>
      <c r="F115" s="37"/>
      <c r="G115" s="54"/>
      <c r="K115" s="50"/>
      <c r="L115" s="40"/>
      <c r="M115" s="50"/>
      <c r="N115" s="50"/>
      <c r="O115" s="50"/>
      <c r="P115" s="50"/>
      <c r="Q115" s="52"/>
      <c r="R115" s="52"/>
      <c r="S115" s="40"/>
      <c r="T115" s="50"/>
      <c r="U115" s="50"/>
      <c r="V115" s="50"/>
      <c r="W115" s="53"/>
      <c r="X115" s="50"/>
      <c r="AN115" s="36" t="e">
        <f>VLOOKUP(I115,Sheet1!A:D,4,FALSE)</f>
        <v>#N/A</v>
      </c>
    </row>
    <row r="116" spans="1:40" s="36" customFormat="1" ht="14.25" x14ac:dyDescent="0.2">
      <c r="A116" s="35"/>
      <c r="D116" s="37"/>
      <c r="E116" s="37"/>
      <c r="F116" s="37"/>
      <c r="G116" s="54"/>
      <c r="K116" s="50"/>
      <c r="L116" s="40"/>
      <c r="M116" s="50"/>
      <c r="N116" s="50"/>
      <c r="O116" s="50"/>
      <c r="P116" s="50"/>
      <c r="Q116" s="52"/>
      <c r="R116" s="52"/>
      <c r="S116" s="40"/>
      <c r="T116" s="50"/>
      <c r="U116" s="50"/>
      <c r="V116" s="50"/>
      <c r="W116" s="53"/>
      <c r="X116" s="50"/>
      <c r="AN116" s="36" t="e">
        <f>VLOOKUP(I116,Sheet1!A:D,4,FALSE)</f>
        <v>#N/A</v>
      </c>
    </row>
    <row r="117" spans="1:40" s="36" customFormat="1" ht="14.25" x14ac:dyDescent="0.2">
      <c r="A117" s="35"/>
      <c r="D117" s="37"/>
      <c r="E117" s="37"/>
      <c r="F117" s="37"/>
      <c r="G117" s="54"/>
      <c r="K117" s="50"/>
      <c r="L117" s="40"/>
      <c r="M117" s="50"/>
      <c r="N117" s="50"/>
      <c r="O117" s="50"/>
      <c r="P117" s="50"/>
      <c r="Q117" s="52"/>
      <c r="R117" s="52"/>
      <c r="S117" s="40"/>
      <c r="T117" s="50"/>
      <c r="U117" s="50"/>
      <c r="V117" s="50"/>
      <c r="W117" s="53"/>
      <c r="X117" s="50"/>
      <c r="AN117" s="36" t="e">
        <f>VLOOKUP(I117,Sheet1!A:D,4,FALSE)</f>
        <v>#N/A</v>
      </c>
    </row>
    <row r="118" spans="1:40" s="36" customFormat="1" ht="14.25" x14ac:dyDescent="0.2">
      <c r="A118" s="35"/>
      <c r="D118" s="37"/>
      <c r="E118" s="37"/>
      <c r="F118" s="37"/>
      <c r="G118" s="54"/>
      <c r="K118" s="50"/>
      <c r="L118" s="40"/>
      <c r="M118" s="50"/>
      <c r="N118" s="50"/>
      <c r="O118" s="50"/>
      <c r="P118" s="50"/>
      <c r="Q118" s="52"/>
      <c r="R118" s="52"/>
      <c r="S118" s="40"/>
      <c r="T118" s="50"/>
      <c r="U118" s="50"/>
      <c r="V118" s="50"/>
      <c r="W118" s="53"/>
      <c r="X118" s="50"/>
      <c r="AN118" s="36" t="e">
        <f>VLOOKUP(I118,Sheet1!A:D,4,FALSE)</f>
        <v>#N/A</v>
      </c>
    </row>
    <row r="119" spans="1:40" s="36" customFormat="1" ht="14.25" x14ac:dyDescent="0.2">
      <c r="A119" s="35"/>
      <c r="D119" s="37"/>
      <c r="E119" s="37"/>
      <c r="F119" s="37"/>
      <c r="G119" s="54"/>
      <c r="K119" s="50"/>
      <c r="L119" s="40"/>
      <c r="M119" s="50"/>
      <c r="N119" s="50"/>
      <c r="O119" s="50"/>
      <c r="P119" s="50"/>
      <c r="Q119" s="52"/>
      <c r="R119" s="52"/>
      <c r="S119" s="40"/>
      <c r="T119" s="50"/>
      <c r="U119" s="50"/>
      <c r="V119" s="50"/>
      <c r="W119" s="53"/>
      <c r="X119" s="50"/>
      <c r="AN119" s="36" t="e">
        <f>VLOOKUP(I119,Sheet1!A:D,4,FALSE)</f>
        <v>#N/A</v>
      </c>
    </row>
    <row r="120" spans="1:40" s="36" customFormat="1" ht="14.25" x14ac:dyDescent="0.2">
      <c r="A120" s="35"/>
      <c r="D120" s="37"/>
      <c r="E120" s="37"/>
      <c r="F120" s="37"/>
      <c r="G120" s="54"/>
      <c r="K120" s="50"/>
      <c r="L120" s="40"/>
      <c r="M120" s="50"/>
      <c r="N120" s="50"/>
      <c r="O120" s="50"/>
      <c r="P120" s="50"/>
      <c r="Q120" s="52"/>
      <c r="R120" s="52"/>
      <c r="S120" s="40"/>
      <c r="T120" s="50"/>
      <c r="U120" s="50"/>
      <c r="V120" s="50"/>
      <c r="W120" s="53"/>
      <c r="X120" s="50"/>
      <c r="AN120" s="36" t="e">
        <f>VLOOKUP(I120,Sheet1!A:D,4,FALSE)</f>
        <v>#N/A</v>
      </c>
    </row>
    <row r="121" spans="1:40" s="36" customFormat="1" ht="14.25" x14ac:dyDescent="0.2">
      <c r="A121" s="35"/>
      <c r="D121" s="37"/>
      <c r="E121" s="37"/>
      <c r="F121" s="37"/>
      <c r="G121" s="54"/>
      <c r="K121" s="50"/>
      <c r="L121" s="40"/>
      <c r="M121" s="50"/>
      <c r="N121" s="50"/>
      <c r="O121" s="50"/>
      <c r="P121" s="50"/>
      <c r="Q121" s="52"/>
      <c r="R121" s="52"/>
      <c r="S121" s="40"/>
      <c r="T121" s="50"/>
      <c r="U121" s="50"/>
      <c r="V121" s="50"/>
      <c r="W121" s="53"/>
      <c r="X121" s="50"/>
      <c r="AN121" s="36" t="e">
        <f>VLOOKUP(I121,Sheet1!A:D,4,FALSE)</f>
        <v>#N/A</v>
      </c>
    </row>
    <row r="122" spans="1:40" s="36" customFormat="1" ht="14.25" x14ac:dyDescent="0.2">
      <c r="A122" s="35"/>
      <c r="D122" s="37"/>
      <c r="E122" s="37"/>
      <c r="F122" s="37"/>
      <c r="G122" s="54"/>
      <c r="K122" s="50"/>
      <c r="L122" s="40"/>
      <c r="M122" s="50"/>
      <c r="N122" s="50"/>
      <c r="O122" s="50"/>
      <c r="P122" s="50"/>
      <c r="Q122" s="52"/>
      <c r="R122" s="52"/>
      <c r="S122" s="40"/>
      <c r="T122" s="50"/>
      <c r="U122" s="50"/>
      <c r="V122" s="50"/>
      <c r="W122" s="53"/>
      <c r="X122" s="50"/>
      <c r="AN122" s="36" t="e">
        <f>VLOOKUP(I122,Sheet1!A:D,4,FALSE)</f>
        <v>#N/A</v>
      </c>
    </row>
    <row r="123" spans="1:40" s="36" customFormat="1" ht="14.25" x14ac:dyDescent="0.2">
      <c r="A123" s="35"/>
      <c r="D123" s="37"/>
      <c r="E123" s="37"/>
      <c r="F123" s="37"/>
      <c r="G123" s="54"/>
      <c r="K123" s="50"/>
      <c r="L123" s="40"/>
      <c r="M123" s="50"/>
      <c r="N123" s="50"/>
      <c r="O123" s="50"/>
      <c r="P123" s="50"/>
      <c r="Q123" s="52"/>
      <c r="R123" s="52"/>
      <c r="S123" s="40"/>
      <c r="T123" s="50"/>
      <c r="U123" s="50"/>
      <c r="V123" s="50"/>
      <c r="W123" s="53"/>
      <c r="X123" s="50"/>
      <c r="AN123" s="36" t="e">
        <f>VLOOKUP(I123,Sheet1!A:D,4,FALSE)</f>
        <v>#N/A</v>
      </c>
    </row>
    <row r="124" spans="1:40" s="36" customFormat="1" ht="14.25" x14ac:dyDescent="0.2">
      <c r="A124" s="35"/>
      <c r="D124" s="37"/>
      <c r="E124" s="37"/>
      <c r="F124" s="37"/>
      <c r="G124" s="54"/>
      <c r="K124" s="50"/>
      <c r="L124" s="40"/>
      <c r="M124" s="50"/>
      <c r="N124" s="50"/>
      <c r="O124" s="50"/>
      <c r="P124" s="50"/>
      <c r="Q124" s="52"/>
      <c r="R124" s="52"/>
      <c r="S124" s="40"/>
      <c r="T124" s="50"/>
      <c r="U124" s="50"/>
      <c r="V124" s="50"/>
      <c r="W124" s="53"/>
      <c r="X124" s="50"/>
      <c r="AN124" s="36" t="e">
        <f>VLOOKUP(I124,Sheet1!A:D,4,FALSE)</f>
        <v>#N/A</v>
      </c>
    </row>
    <row r="125" spans="1:40" s="36" customFormat="1" ht="14.25" x14ac:dyDescent="0.2">
      <c r="A125" s="35"/>
      <c r="D125" s="37"/>
      <c r="E125" s="37"/>
      <c r="F125" s="37"/>
      <c r="G125" s="54"/>
      <c r="K125" s="50"/>
      <c r="L125" s="40"/>
      <c r="M125" s="50"/>
      <c r="N125" s="50"/>
      <c r="O125" s="50"/>
      <c r="P125" s="50"/>
      <c r="Q125" s="52"/>
      <c r="R125" s="52"/>
      <c r="S125" s="40"/>
      <c r="T125" s="50"/>
      <c r="U125" s="50"/>
      <c r="V125" s="50"/>
      <c r="W125" s="53"/>
      <c r="X125" s="50"/>
      <c r="AN125" s="36" t="e">
        <f>VLOOKUP(I125,Sheet1!A:D,4,FALSE)</f>
        <v>#N/A</v>
      </c>
    </row>
    <row r="126" spans="1:40" s="36" customFormat="1" ht="14.25" x14ac:dyDescent="0.2">
      <c r="A126" s="35"/>
      <c r="D126" s="37"/>
      <c r="E126" s="37"/>
      <c r="F126" s="37"/>
      <c r="G126" s="54"/>
      <c r="K126" s="50"/>
      <c r="L126" s="40"/>
      <c r="M126" s="50"/>
      <c r="N126" s="50"/>
      <c r="O126" s="50"/>
      <c r="P126" s="50"/>
      <c r="Q126" s="52"/>
      <c r="R126" s="52"/>
      <c r="S126" s="40"/>
      <c r="T126" s="50"/>
      <c r="U126" s="50"/>
      <c r="V126" s="50"/>
      <c r="W126" s="53"/>
      <c r="X126" s="50"/>
      <c r="AN126" s="36" t="e">
        <f>VLOOKUP(I126,Sheet1!A:D,4,FALSE)</f>
        <v>#N/A</v>
      </c>
    </row>
    <row r="127" spans="1:40" s="36" customFormat="1" ht="14.25" x14ac:dyDescent="0.2">
      <c r="A127" s="35"/>
      <c r="D127" s="37"/>
      <c r="E127" s="37"/>
      <c r="F127" s="37"/>
      <c r="G127" s="54"/>
      <c r="K127" s="50"/>
      <c r="L127" s="40"/>
      <c r="M127" s="50"/>
      <c r="N127" s="50"/>
      <c r="O127" s="50"/>
      <c r="P127" s="50"/>
      <c r="Q127" s="52"/>
      <c r="R127" s="52"/>
      <c r="S127" s="40"/>
      <c r="T127" s="50"/>
      <c r="U127" s="50"/>
      <c r="V127" s="50"/>
      <c r="W127" s="53"/>
      <c r="X127" s="50"/>
      <c r="AN127" s="36" t="e">
        <f>VLOOKUP(I127,Sheet1!A:D,4,FALSE)</f>
        <v>#N/A</v>
      </c>
    </row>
    <row r="128" spans="1:40" s="36" customFormat="1" ht="14.25" x14ac:dyDescent="0.2">
      <c r="A128" s="35"/>
      <c r="D128" s="37"/>
      <c r="E128" s="37"/>
      <c r="F128" s="37"/>
      <c r="G128" s="54"/>
      <c r="K128" s="50"/>
      <c r="L128" s="40"/>
      <c r="M128" s="50"/>
      <c r="N128" s="50"/>
      <c r="O128" s="50"/>
      <c r="P128" s="50"/>
      <c r="Q128" s="52"/>
      <c r="R128" s="52"/>
      <c r="S128" s="40"/>
      <c r="T128" s="50"/>
      <c r="U128" s="50"/>
      <c r="V128" s="50"/>
      <c r="W128" s="53"/>
      <c r="X128" s="50"/>
      <c r="AN128" s="36" t="e">
        <f>VLOOKUP(I128,Sheet1!A:D,4,FALSE)</f>
        <v>#N/A</v>
      </c>
    </row>
    <row r="129" spans="1:40" s="36" customFormat="1" ht="14.25" x14ac:dyDescent="0.2">
      <c r="A129" s="35"/>
      <c r="D129" s="37"/>
      <c r="E129" s="37"/>
      <c r="F129" s="37"/>
      <c r="G129" s="54"/>
      <c r="K129" s="50"/>
      <c r="L129" s="40"/>
      <c r="M129" s="50"/>
      <c r="N129" s="50"/>
      <c r="O129" s="50"/>
      <c r="P129" s="50"/>
      <c r="Q129" s="52"/>
      <c r="R129" s="52"/>
      <c r="S129" s="40"/>
      <c r="T129" s="50"/>
      <c r="U129" s="50"/>
      <c r="V129" s="50"/>
      <c r="W129" s="53"/>
      <c r="X129" s="50"/>
      <c r="AN129" s="36" t="e">
        <f>VLOOKUP(I129,Sheet1!A:D,4,FALSE)</f>
        <v>#N/A</v>
      </c>
    </row>
    <row r="130" spans="1:40" s="36" customFormat="1" ht="14.25" x14ac:dyDescent="0.2">
      <c r="A130" s="35"/>
      <c r="D130" s="37"/>
      <c r="E130" s="37"/>
      <c r="F130" s="37"/>
      <c r="G130" s="54"/>
      <c r="K130" s="50"/>
      <c r="L130" s="40"/>
      <c r="M130" s="50"/>
      <c r="N130" s="50"/>
      <c r="O130" s="50"/>
      <c r="P130" s="50"/>
      <c r="Q130" s="52"/>
      <c r="R130" s="52"/>
      <c r="S130" s="40"/>
      <c r="T130" s="50"/>
      <c r="U130" s="50"/>
      <c r="V130" s="50"/>
      <c r="W130" s="53"/>
      <c r="X130" s="50"/>
      <c r="AN130" s="36" t="e">
        <f>VLOOKUP(I130,Sheet1!A:D,4,FALSE)</f>
        <v>#N/A</v>
      </c>
    </row>
    <row r="131" spans="1:40" s="36" customFormat="1" ht="14.25" x14ac:dyDescent="0.2">
      <c r="A131" s="35"/>
      <c r="D131" s="37"/>
      <c r="E131" s="37"/>
      <c r="F131" s="37"/>
      <c r="G131" s="54"/>
      <c r="K131" s="50"/>
      <c r="L131" s="40"/>
      <c r="M131" s="50"/>
      <c r="N131" s="50"/>
      <c r="O131" s="50"/>
      <c r="P131" s="50"/>
      <c r="Q131" s="52"/>
      <c r="R131" s="52"/>
      <c r="S131" s="40"/>
      <c r="T131" s="50"/>
      <c r="U131" s="50"/>
      <c r="V131" s="50"/>
      <c r="W131" s="53"/>
      <c r="X131" s="50"/>
      <c r="AN131" s="36" t="e">
        <f>VLOOKUP(I131,Sheet1!A:D,4,FALSE)</f>
        <v>#N/A</v>
      </c>
    </row>
    <row r="132" spans="1:40" s="36" customFormat="1" ht="14.25" x14ac:dyDescent="0.2">
      <c r="A132" s="35"/>
      <c r="D132" s="37"/>
      <c r="E132" s="37"/>
      <c r="F132" s="37"/>
      <c r="G132" s="54"/>
      <c r="K132" s="50"/>
      <c r="L132" s="40"/>
      <c r="M132" s="50"/>
      <c r="N132" s="50"/>
      <c r="O132" s="50"/>
      <c r="P132" s="50"/>
      <c r="Q132" s="52"/>
      <c r="R132" s="52"/>
      <c r="S132" s="40"/>
      <c r="T132" s="50"/>
      <c r="U132" s="50"/>
      <c r="V132" s="50"/>
      <c r="W132" s="53"/>
      <c r="X132" s="50"/>
      <c r="AN132" s="36" t="e">
        <f>VLOOKUP(I132,Sheet1!A:D,4,FALSE)</f>
        <v>#N/A</v>
      </c>
    </row>
    <row r="133" spans="1:40" s="36" customFormat="1" ht="14.25" x14ac:dyDescent="0.2">
      <c r="A133" s="35"/>
      <c r="D133" s="37"/>
      <c r="E133" s="37"/>
      <c r="F133" s="37"/>
      <c r="G133" s="54"/>
      <c r="K133" s="50"/>
      <c r="L133" s="40"/>
      <c r="M133" s="50"/>
      <c r="N133" s="50"/>
      <c r="O133" s="50"/>
      <c r="P133" s="50"/>
      <c r="Q133" s="52"/>
      <c r="R133" s="52"/>
      <c r="S133" s="40"/>
      <c r="T133" s="50"/>
      <c r="U133" s="50"/>
      <c r="V133" s="50"/>
      <c r="W133" s="53"/>
      <c r="X133" s="50"/>
      <c r="AN133" s="36" t="e">
        <f>VLOOKUP(I133,Sheet1!A:D,4,FALSE)</f>
        <v>#N/A</v>
      </c>
    </row>
    <row r="134" spans="1:40" s="36" customFormat="1" ht="14.25" x14ac:dyDescent="0.2">
      <c r="A134" s="35"/>
      <c r="D134" s="37"/>
      <c r="E134" s="37"/>
      <c r="F134" s="37"/>
      <c r="G134" s="54"/>
      <c r="K134" s="50"/>
      <c r="L134" s="40"/>
      <c r="M134" s="50"/>
      <c r="N134" s="50"/>
      <c r="O134" s="50"/>
      <c r="P134" s="50"/>
      <c r="Q134" s="52"/>
      <c r="R134" s="52"/>
      <c r="S134" s="40"/>
      <c r="T134" s="50"/>
      <c r="U134" s="50"/>
      <c r="V134" s="50"/>
      <c r="W134" s="53"/>
      <c r="X134" s="50"/>
      <c r="AN134" s="36" t="e">
        <f>VLOOKUP(I134,Sheet1!A:D,4,FALSE)</f>
        <v>#N/A</v>
      </c>
    </row>
    <row r="135" spans="1:40" s="36" customFormat="1" ht="14.25" x14ac:dyDescent="0.2">
      <c r="A135" s="35"/>
      <c r="D135" s="37"/>
      <c r="E135" s="37"/>
      <c r="F135" s="37"/>
      <c r="G135" s="54"/>
      <c r="K135" s="50"/>
      <c r="L135" s="40"/>
      <c r="M135" s="50"/>
      <c r="N135" s="50"/>
      <c r="O135" s="50"/>
      <c r="P135" s="50"/>
      <c r="Q135" s="52"/>
      <c r="R135" s="52"/>
      <c r="S135" s="40"/>
      <c r="T135" s="50"/>
      <c r="U135" s="50"/>
      <c r="V135" s="50"/>
      <c r="W135" s="53"/>
      <c r="X135" s="50"/>
      <c r="AN135" s="36" t="e">
        <f>VLOOKUP(I135,Sheet1!A:D,4,FALSE)</f>
        <v>#N/A</v>
      </c>
    </row>
    <row r="136" spans="1:40" s="36" customFormat="1" ht="14.25" x14ac:dyDescent="0.2">
      <c r="A136" s="35"/>
      <c r="D136" s="37"/>
      <c r="E136" s="37"/>
      <c r="F136" s="37"/>
      <c r="G136" s="54"/>
      <c r="K136" s="50"/>
      <c r="L136" s="40"/>
      <c r="M136" s="50"/>
      <c r="N136" s="50"/>
      <c r="O136" s="50"/>
      <c r="P136" s="50"/>
      <c r="Q136" s="52"/>
      <c r="R136" s="52"/>
      <c r="S136" s="40"/>
      <c r="T136" s="50"/>
      <c r="U136" s="50"/>
      <c r="V136" s="50"/>
      <c r="W136" s="53"/>
      <c r="X136" s="50"/>
      <c r="AN136" s="36" t="e">
        <f>VLOOKUP(I136,Sheet1!A:D,4,FALSE)</f>
        <v>#N/A</v>
      </c>
    </row>
    <row r="137" spans="1:40" s="36" customFormat="1" ht="14.25" x14ac:dyDescent="0.2">
      <c r="A137" s="35"/>
      <c r="D137" s="37"/>
      <c r="E137" s="37"/>
      <c r="F137" s="37"/>
      <c r="G137" s="54"/>
      <c r="K137" s="50"/>
      <c r="L137" s="40"/>
      <c r="M137" s="50"/>
      <c r="N137" s="50"/>
      <c r="O137" s="50"/>
      <c r="P137" s="50"/>
      <c r="Q137" s="52"/>
      <c r="R137" s="52"/>
      <c r="S137" s="40"/>
      <c r="T137" s="50"/>
      <c r="U137" s="50"/>
      <c r="V137" s="50"/>
      <c r="W137" s="53"/>
      <c r="X137" s="50"/>
      <c r="AN137" s="36" t="e">
        <f>VLOOKUP(I137,Sheet1!A:D,4,FALSE)</f>
        <v>#N/A</v>
      </c>
    </row>
    <row r="138" spans="1:40" s="36" customFormat="1" ht="14.25" x14ac:dyDescent="0.2">
      <c r="A138" s="35"/>
      <c r="D138" s="37"/>
      <c r="E138" s="37"/>
      <c r="F138" s="37"/>
      <c r="G138" s="54"/>
      <c r="K138" s="50"/>
      <c r="L138" s="40"/>
      <c r="M138" s="50"/>
      <c r="N138" s="50"/>
      <c r="O138" s="50"/>
      <c r="P138" s="50"/>
      <c r="Q138" s="52"/>
      <c r="R138" s="52"/>
      <c r="S138" s="40"/>
      <c r="T138" s="50"/>
      <c r="U138" s="50"/>
      <c r="V138" s="50"/>
      <c r="W138" s="53"/>
      <c r="X138" s="50"/>
      <c r="AN138" s="36" t="e">
        <f>VLOOKUP(I138,Sheet1!A:D,4,FALSE)</f>
        <v>#N/A</v>
      </c>
    </row>
    <row r="139" spans="1:40" s="36" customFormat="1" ht="14.25" x14ac:dyDescent="0.2">
      <c r="A139" s="35"/>
      <c r="D139" s="37"/>
      <c r="E139" s="37"/>
      <c r="F139" s="37"/>
      <c r="G139" s="54"/>
      <c r="K139" s="50"/>
      <c r="L139" s="40"/>
      <c r="M139" s="50"/>
      <c r="N139" s="50"/>
      <c r="O139" s="50"/>
      <c r="P139" s="50"/>
      <c r="Q139" s="52"/>
      <c r="R139" s="52"/>
      <c r="S139" s="40"/>
      <c r="T139" s="50"/>
      <c r="U139" s="50"/>
      <c r="V139" s="50"/>
      <c r="W139" s="53"/>
      <c r="X139" s="50"/>
      <c r="AN139" s="36" t="e">
        <f>VLOOKUP(I139,Sheet1!A:D,4,FALSE)</f>
        <v>#N/A</v>
      </c>
    </row>
    <row r="140" spans="1:40" x14ac:dyDescent="0.25">
      <c r="AN140" s="36" t="e">
        <f>VLOOKUP(I140,Sheet1!A:D,4,FALSE)</f>
        <v>#N/A</v>
      </c>
    </row>
    <row r="141" spans="1:40" x14ac:dyDescent="0.25">
      <c r="AN141" s="36" t="e">
        <f>VLOOKUP(I141,Sheet1!A:D,4,FALSE)</f>
        <v>#N/A</v>
      </c>
    </row>
    <row r="142" spans="1:40" x14ac:dyDescent="0.25">
      <c r="AN142" s="36" t="e">
        <f>VLOOKUP(I142,Sheet1!A:D,4,FALSE)</f>
        <v>#N/A</v>
      </c>
    </row>
    <row r="143" spans="1:40" x14ac:dyDescent="0.25">
      <c r="AN143" s="36" t="e">
        <f>VLOOKUP(I143,Sheet1!A:D,4,FALSE)</f>
        <v>#N/A</v>
      </c>
    </row>
    <row r="144" spans="1:40" x14ac:dyDescent="0.25">
      <c r="AN144" s="36" t="e">
        <f>VLOOKUP(I144,Sheet1!A:D,4,FALSE)</f>
        <v>#N/A</v>
      </c>
    </row>
    <row r="145" spans="40:42" x14ac:dyDescent="0.25">
      <c r="AN145" s="36" t="e">
        <f>VLOOKUP(I145,Sheet1!A:D,4,FALSE)</f>
        <v>#N/A</v>
      </c>
    </row>
    <row r="146" spans="40:42" x14ac:dyDescent="0.25">
      <c r="AN146" s="36" t="e">
        <f>VLOOKUP(I146,Sheet1!A:D,4,FALSE)</f>
        <v>#N/A</v>
      </c>
    </row>
    <row r="147" spans="40:42" x14ac:dyDescent="0.25">
      <c r="AN147" s="36" t="e">
        <f>VLOOKUP(I147,Sheet1!A:D,4,FALSE)</f>
        <v>#N/A</v>
      </c>
    </row>
    <row r="148" spans="40:42" x14ac:dyDescent="0.25">
      <c r="AN148" s="36" t="e">
        <f>VLOOKUP(I148,Sheet1!A:D,4,FALSE)</f>
        <v>#N/A</v>
      </c>
    </row>
    <row r="149" spans="40:42" x14ac:dyDescent="0.25">
      <c r="AN149" s="36" t="e">
        <f>VLOOKUP(I149,Sheet1!A:D,4,FALSE)</f>
        <v>#N/A</v>
      </c>
    </row>
    <row r="150" spans="40:42" x14ac:dyDescent="0.25">
      <c r="AN150" s="36" t="e">
        <f>VLOOKUP(I150,Sheet1!A:D,4,FALSE)</f>
        <v>#N/A</v>
      </c>
    </row>
    <row r="151" spans="40:42" x14ac:dyDescent="0.25">
      <c r="AN151" s="36" t="e">
        <f>VLOOKUP(I151,Sheet1!A:D,4,FALSE)</f>
        <v>#N/A</v>
      </c>
    </row>
    <row r="152" spans="40:42" x14ac:dyDescent="0.25">
      <c r="AN152" s="36" t="e">
        <f>VLOOKUP(I152,Sheet1!A:D,4,FALSE)</f>
        <v>#N/A</v>
      </c>
      <c r="AP152" s="36"/>
    </row>
    <row r="153" spans="40:42" x14ac:dyDescent="0.25">
      <c r="AN153" s="36" t="e">
        <f>VLOOKUP(I153,Sheet1!A:D,4,FALSE)</f>
        <v>#N/A</v>
      </c>
    </row>
    <row r="154" spans="40:42" x14ac:dyDescent="0.25">
      <c r="AN154" s="36" t="e">
        <f>VLOOKUP(I154,Sheet1!A:D,4,FALSE)</f>
        <v>#N/A</v>
      </c>
    </row>
    <row r="155" spans="40:42" x14ac:dyDescent="0.25">
      <c r="AN155" s="36" t="e">
        <f>VLOOKUP(I155,Sheet1!A:D,4,FALSE)</f>
        <v>#N/A</v>
      </c>
    </row>
    <row r="156" spans="40:42" x14ac:dyDescent="0.25">
      <c r="AN156" s="36" t="e">
        <f>VLOOKUP(I156,Sheet1!A:D,4,FALSE)</f>
        <v>#N/A</v>
      </c>
    </row>
    <row r="157" spans="40:42" x14ac:dyDescent="0.25">
      <c r="AN157" s="36" t="e">
        <f>VLOOKUP(I157,Sheet1!A:D,4,FALSE)</f>
        <v>#N/A</v>
      </c>
    </row>
    <row r="158" spans="40:42" x14ac:dyDescent="0.25">
      <c r="AN158" s="36" t="e">
        <f>VLOOKUP(I158,Sheet1!A:D,4,FALSE)</f>
        <v>#N/A</v>
      </c>
    </row>
    <row r="159" spans="40:42" x14ac:dyDescent="0.25">
      <c r="AN159" s="36" t="e">
        <f>VLOOKUP(I159,Sheet1!A:D,4,FALSE)</f>
        <v>#N/A</v>
      </c>
    </row>
    <row r="160" spans="40:42" x14ac:dyDescent="0.25">
      <c r="AN160" s="36" t="e">
        <f>VLOOKUP(I160,Sheet1!A:D,4,FALSE)</f>
        <v>#N/A</v>
      </c>
    </row>
    <row r="161" spans="40:40" x14ac:dyDescent="0.25">
      <c r="AN161" s="36" t="e">
        <f>VLOOKUP(I161,Sheet1!A:D,4,FALSE)</f>
        <v>#N/A</v>
      </c>
    </row>
    <row r="162" spans="40:40" x14ac:dyDescent="0.25">
      <c r="AN162" s="36" t="e">
        <f>VLOOKUP(I162,Sheet1!A:D,4,FALSE)</f>
        <v>#N/A</v>
      </c>
    </row>
    <row r="163" spans="40:40" x14ac:dyDescent="0.25">
      <c r="AN163" s="36" t="e">
        <f>VLOOKUP(I163,Sheet1!A:D,4,FALSE)</f>
        <v>#N/A</v>
      </c>
    </row>
    <row r="164" spans="40:40" x14ac:dyDescent="0.25">
      <c r="AN164" s="36" t="e">
        <f>VLOOKUP(I164,Sheet1!A:D,4,FALSE)</f>
        <v>#N/A</v>
      </c>
    </row>
    <row r="165" spans="40:40" x14ac:dyDescent="0.25">
      <c r="AN165" s="36" t="e">
        <f>VLOOKUP(I165,Sheet1!A:D,4,FALSE)</f>
        <v>#N/A</v>
      </c>
    </row>
    <row r="166" spans="40:40" x14ac:dyDescent="0.25">
      <c r="AN166" s="36" t="e">
        <f>VLOOKUP(I166,Sheet1!A:D,4,FALSE)</f>
        <v>#N/A</v>
      </c>
    </row>
    <row r="167" spans="40:40" x14ac:dyDescent="0.25">
      <c r="AN167" s="36" t="e">
        <f>VLOOKUP(I167,Sheet1!A:D,4,FALSE)</f>
        <v>#N/A</v>
      </c>
    </row>
    <row r="168" spans="40:40" x14ac:dyDescent="0.25">
      <c r="AN168" s="36" t="e">
        <f>VLOOKUP(I168,Sheet1!A:D,4,FALSE)</f>
        <v>#N/A</v>
      </c>
    </row>
    <row r="169" spans="40:40" x14ac:dyDescent="0.25">
      <c r="AN169" s="36" t="e">
        <f>VLOOKUP(I169,Sheet1!A:D,4,FALSE)</f>
        <v>#N/A</v>
      </c>
    </row>
    <row r="170" spans="40:40" x14ac:dyDescent="0.25">
      <c r="AN170" s="36" t="e">
        <f>VLOOKUP(I170,Sheet1!A:D,4,FALSE)</f>
        <v>#N/A</v>
      </c>
    </row>
    <row r="171" spans="40:40" x14ac:dyDescent="0.25">
      <c r="AN171" s="36" t="e">
        <f>VLOOKUP(I171,Sheet1!A:D,4,FALSE)</f>
        <v>#N/A</v>
      </c>
    </row>
    <row r="172" spans="40:40" x14ac:dyDescent="0.25">
      <c r="AN172" s="36" t="e">
        <f>VLOOKUP(I172,Sheet1!A:D,4,FALSE)</f>
        <v>#N/A</v>
      </c>
    </row>
    <row r="173" spans="40:40" x14ac:dyDescent="0.25">
      <c r="AN173" s="36" t="e">
        <f>VLOOKUP(I173,Sheet1!A:D,4,FALSE)</f>
        <v>#N/A</v>
      </c>
    </row>
    <row r="174" spans="40:40" x14ac:dyDescent="0.25">
      <c r="AN174" s="36" t="e">
        <f>VLOOKUP(I174,Sheet1!A:D,4,FALSE)</f>
        <v>#N/A</v>
      </c>
    </row>
    <row r="175" spans="40:40" x14ac:dyDescent="0.25">
      <c r="AN175" s="36" t="e">
        <f>VLOOKUP(I175,Sheet1!A:D,4,FALSE)</f>
        <v>#N/A</v>
      </c>
    </row>
    <row r="176" spans="40:40" x14ac:dyDescent="0.25">
      <c r="AN176" s="36" t="e">
        <f>VLOOKUP(I176,Sheet1!A:D,4,FALSE)</f>
        <v>#N/A</v>
      </c>
    </row>
    <row r="177" spans="40:40" x14ac:dyDescent="0.25">
      <c r="AN177" s="36" t="e">
        <f>VLOOKUP(I177,Sheet1!A:D,4,FALSE)</f>
        <v>#N/A</v>
      </c>
    </row>
    <row r="178" spans="40:40" x14ac:dyDescent="0.25">
      <c r="AN178" s="36" t="e">
        <f>VLOOKUP(I178,Sheet1!A:D,4,FALSE)</f>
        <v>#N/A</v>
      </c>
    </row>
    <row r="179" spans="40:40" x14ac:dyDescent="0.25">
      <c r="AN179" s="36" t="e">
        <f>VLOOKUP(I179,Sheet1!A:D,4,FALSE)</f>
        <v>#N/A</v>
      </c>
    </row>
    <row r="180" spans="40:40" x14ac:dyDescent="0.25">
      <c r="AN180" s="36" t="e">
        <f>VLOOKUP(I180,Sheet1!A:D,4,FALSE)</f>
        <v>#N/A</v>
      </c>
    </row>
    <row r="181" spans="40:40" x14ac:dyDescent="0.25">
      <c r="AN181" s="36" t="e">
        <f>VLOOKUP(I181,Sheet1!A:D,4,FALSE)</f>
        <v>#N/A</v>
      </c>
    </row>
    <row r="182" spans="40:40" x14ac:dyDescent="0.25">
      <c r="AN182" s="36" t="e">
        <f>VLOOKUP(I182,Sheet1!A:D,4,FALSE)</f>
        <v>#N/A</v>
      </c>
    </row>
    <row r="183" spans="40:40" x14ac:dyDescent="0.25">
      <c r="AN183" s="36" t="e">
        <f>VLOOKUP(I183,Sheet1!A:D,4,FALSE)</f>
        <v>#N/A</v>
      </c>
    </row>
    <row r="184" spans="40:40" x14ac:dyDescent="0.25">
      <c r="AN184" s="36" t="e">
        <f>VLOOKUP(I184,Sheet1!A:D,4,FALSE)</f>
        <v>#N/A</v>
      </c>
    </row>
    <row r="185" spans="40:40" x14ac:dyDescent="0.25">
      <c r="AN185" s="36" t="e">
        <f>VLOOKUP(I185,Sheet1!A:D,4,FALSE)</f>
        <v>#N/A</v>
      </c>
    </row>
    <row r="186" spans="40:40" x14ac:dyDescent="0.25">
      <c r="AN186" s="36" t="e">
        <f>VLOOKUP(I186,Sheet1!A:D,4,FALSE)</f>
        <v>#N/A</v>
      </c>
    </row>
    <row r="187" spans="40:40" x14ac:dyDescent="0.25">
      <c r="AN187" s="36" t="e">
        <f>VLOOKUP(I187,Sheet1!A:D,4,FALSE)</f>
        <v>#N/A</v>
      </c>
    </row>
    <row r="188" spans="40:40" x14ac:dyDescent="0.25">
      <c r="AN188" s="36" t="e">
        <f>VLOOKUP(I188,Sheet1!A:D,4,FALSE)</f>
        <v>#N/A</v>
      </c>
    </row>
    <row r="189" spans="40:40" x14ac:dyDescent="0.25">
      <c r="AN189" s="36" t="e">
        <f>VLOOKUP(I189,Sheet1!A:D,4,FALSE)</f>
        <v>#N/A</v>
      </c>
    </row>
    <row r="190" spans="40:40" x14ac:dyDescent="0.25">
      <c r="AN190" s="36" t="e">
        <f>VLOOKUP(I190,Sheet1!A:D,4,FALSE)</f>
        <v>#N/A</v>
      </c>
    </row>
    <row r="191" spans="40:40" x14ac:dyDescent="0.25">
      <c r="AN191" s="36" t="e">
        <f>VLOOKUP(I191,Sheet1!A:D,4,FALSE)</f>
        <v>#N/A</v>
      </c>
    </row>
    <row r="192" spans="40:40" x14ac:dyDescent="0.25">
      <c r="AN192" s="36" t="e">
        <f>VLOOKUP(I192,Sheet1!A:D,4,FALSE)</f>
        <v>#N/A</v>
      </c>
    </row>
    <row r="193" spans="40:40" x14ac:dyDescent="0.25">
      <c r="AN193" s="36" t="e">
        <f>VLOOKUP(I193,Sheet1!A:D,4,FALSE)</f>
        <v>#N/A</v>
      </c>
    </row>
    <row r="194" spans="40:40" x14ac:dyDescent="0.25">
      <c r="AN194" s="36" t="e">
        <f>VLOOKUP(I194,Sheet1!A:D,4,FALSE)</f>
        <v>#N/A</v>
      </c>
    </row>
    <row r="195" spans="40:40" x14ac:dyDescent="0.25">
      <c r="AN195" s="36" t="e">
        <f>VLOOKUP(I195,Sheet1!A:D,4,FALSE)</f>
        <v>#N/A</v>
      </c>
    </row>
    <row r="196" spans="40:40" x14ac:dyDescent="0.25">
      <c r="AN196" s="36" t="e">
        <f>VLOOKUP(I196,Sheet1!A:D,4,FALSE)</f>
        <v>#N/A</v>
      </c>
    </row>
    <row r="197" spans="40:40" x14ac:dyDescent="0.25">
      <c r="AN197" s="36" t="e">
        <f>VLOOKUP(I197,Sheet1!A:D,4,FALSE)</f>
        <v>#N/A</v>
      </c>
    </row>
    <row r="198" spans="40:40" x14ac:dyDescent="0.25">
      <c r="AN198" s="36" t="e">
        <f>VLOOKUP(I198,Sheet1!A:D,4,FALSE)</f>
        <v>#N/A</v>
      </c>
    </row>
    <row r="199" spans="40:40" x14ac:dyDescent="0.25">
      <c r="AN199" s="36" t="e">
        <f>VLOOKUP(I199,Sheet1!A:D,4,FALSE)</f>
        <v>#N/A</v>
      </c>
    </row>
    <row r="200" spans="40:40" x14ac:dyDescent="0.25">
      <c r="AN200" s="36" t="e">
        <f>VLOOKUP(I200,Sheet1!A:D,4,FALSE)</f>
        <v>#N/A</v>
      </c>
    </row>
    <row r="201" spans="40:40" x14ac:dyDescent="0.25">
      <c r="AN201" s="36" t="e">
        <f>VLOOKUP(I201,Sheet1!A:D,4,FALSE)</f>
        <v>#N/A</v>
      </c>
    </row>
    <row r="202" spans="40:40" x14ac:dyDescent="0.25">
      <c r="AN202" s="36" t="e">
        <f>VLOOKUP(I202,Sheet1!A:D,4,FALSE)</f>
        <v>#N/A</v>
      </c>
    </row>
    <row r="203" spans="40:40" x14ac:dyDescent="0.25">
      <c r="AN203" s="36" t="e">
        <f>VLOOKUP(I203,Sheet1!A:D,4,FALSE)</f>
        <v>#N/A</v>
      </c>
    </row>
    <row r="204" spans="40:40" x14ac:dyDescent="0.25">
      <c r="AN204" s="36" t="e">
        <f>VLOOKUP(I204,Sheet1!A:D,4,FALSE)</f>
        <v>#N/A</v>
      </c>
    </row>
    <row r="205" spans="40:40" x14ac:dyDescent="0.25">
      <c r="AN205" s="36" t="e">
        <f>VLOOKUP(I205,Sheet1!A:D,4,FALSE)</f>
        <v>#N/A</v>
      </c>
    </row>
    <row r="206" spans="40:40" x14ac:dyDescent="0.25">
      <c r="AN206" s="36" t="e">
        <f>VLOOKUP(I206,Sheet1!A:D,4,FALSE)</f>
        <v>#N/A</v>
      </c>
    </row>
    <row r="207" spans="40:40" x14ac:dyDescent="0.25">
      <c r="AN207" s="36" t="e">
        <f>VLOOKUP(I207,Sheet1!A:D,4,FALSE)</f>
        <v>#N/A</v>
      </c>
    </row>
    <row r="208" spans="40:40" x14ac:dyDescent="0.25">
      <c r="AN208" s="36" t="e">
        <f>VLOOKUP(I208,Sheet1!A:D,4,FALSE)</f>
        <v>#N/A</v>
      </c>
    </row>
    <row r="209" spans="40:40" x14ac:dyDescent="0.25">
      <c r="AN209" s="36" t="e">
        <f>VLOOKUP(I209,Sheet1!A:D,4,FALSE)</f>
        <v>#N/A</v>
      </c>
    </row>
    <row r="210" spans="40:40" x14ac:dyDescent="0.25">
      <c r="AN210" s="36" t="e">
        <f>VLOOKUP(I210,Sheet1!A:D,4,FALSE)</f>
        <v>#N/A</v>
      </c>
    </row>
    <row r="211" spans="40:40" x14ac:dyDescent="0.25">
      <c r="AN211" s="36" t="e">
        <f>VLOOKUP(I211,Sheet1!A:D,4,FALSE)</f>
        <v>#N/A</v>
      </c>
    </row>
    <row r="212" spans="40:40" x14ac:dyDescent="0.25">
      <c r="AN212" s="36" t="e">
        <f>VLOOKUP(I212,Sheet1!A:D,4,FALSE)</f>
        <v>#N/A</v>
      </c>
    </row>
    <row r="213" spans="40:40" x14ac:dyDescent="0.25">
      <c r="AN213" s="36" t="e">
        <f>VLOOKUP(I213,Sheet1!A:D,4,FALSE)</f>
        <v>#N/A</v>
      </c>
    </row>
    <row r="214" spans="40:40" x14ac:dyDescent="0.25">
      <c r="AN214" s="36" t="e">
        <f>VLOOKUP(I214,Sheet1!A:D,4,FALSE)</f>
        <v>#N/A</v>
      </c>
    </row>
    <row r="215" spans="40:40" x14ac:dyDescent="0.25">
      <c r="AN215" s="36" t="e">
        <f>VLOOKUP(I215,Sheet1!A:D,4,FALSE)</f>
        <v>#N/A</v>
      </c>
    </row>
    <row r="216" spans="40:40" x14ac:dyDescent="0.25">
      <c r="AN216" s="36" t="e">
        <f>VLOOKUP(I216,Sheet1!A:D,4,FALSE)</f>
        <v>#N/A</v>
      </c>
    </row>
    <row r="217" spans="40:40" x14ac:dyDescent="0.25">
      <c r="AN217" s="36" t="e">
        <f>VLOOKUP(I217,Sheet1!A:D,4,FALSE)</f>
        <v>#N/A</v>
      </c>
    </row>
    <row r="218" spans="40:40" x14ac:dyDescent="0.25">
      <c r="AN218" s="36" t="e">
        <f>VLOOKUP(I218,Sheet1!A:D,4,FALSE)</f>
        <v>#N/A</v>
      </c>
    </row>
    <row r="219" spans="40:40" x14ac:dyDescent="0.25">
      <c r="AN219" s="36" t="e">
        <f>VLOOKUP(I219,Sheet1!A:D,4,FALSE)</f>
        <v>#N/A</v>
      </c>
    </row>
    <row r="220" spans="40:40" x14ac:dyDescent="0.25">
      <c r="AN220" s="36" t="e">
        <f>VLOOKUP(I220,Sheet1!A:D,4,FALSE)</f>
        <v>#N/A</v>
      </c>
    </row>
    <row r="221" spans="40:40" x14ac:dyDescent="0.25">
      <c r="AN221" s="36" t="e">
        <f>VLOOKUP(I221,Sheet1!A:D,4,FALSE)</f>
        <v>#N/A</v>
      </c>
    </row>
    <row r="222" spans="40:40" x14ac:dyDescent="0.25">
      <c r="AN222" s="36" t="e">
        <f>VLOOKUP(I222,Sheet1!A:D,4,FALSE)</f>
        <v>#N/A</v>
      </c>
    </row>
    <row r="223" spans="40:40" x14ac:dyDescent="0.25">
      <c r="AN223" s="36" t="e">
        <f>VLOOKUP(I223,Sheet1!A:D,4,FALSE)</f>
        <v>#N/A</v>
      </c>
    </row>
    <row r="224" spans="40:40" x14ac:dyDescent="0.25">
      <c r="AN224" s="36" t="e">
        <f>VLOOKUP(I224,Sheet1!A:D,4,FALSE)</f>
        <v>#N/A</v>
      </c>
    </row>
    <row r="225" spans="40:40" x14ac:dyDescent="0.25">
      <c r="AN225" s="36" t="e">
        <f>VLOOKUP(I225,Sheet1!A:D,4,FALSE)</f>
        <v>#N/A</v>
      </c>
    </row>
    <row r="226" spans="40:40" x14ac:dyDescent="0.25">
      <c r="AN226" s="36" t="e">
        <f>VLOOKUP(I226,Sheet1!A:D,4,FALSE)</f>
        <v>#N/A</v>
      </c>
    </row>
    <row r="227" spans="40:40" x14ac:dyDescent="0.25">
      <c r="AN227" s="36" t="e">
        <f>VLOOKUP(I227,Sheet1!A:D,4,FALSE)</f>
        <v>#N/A</v>
      </c>
    </row>
    <row r="228" spans="40:40" x14ac:dyDescent="0.25">
      <c r="AN228" s="36" t="e">
        <f>VLOOKUP(I228,Sheet1!A:D,4,FALSE)</f>
        <v>#N/A</v>
      </c>
    </row>
    <row r="229" spans="40:40" x14ac:dyDescent="0.25">
      <c r="AN229" s="36" t="e">
        <f>VLOOKUP(I229,Sheet1!A:D,4,FALSE)</f>
        <v>#N/A</v>
      </c>
    </row>
    <row r="230" spans="40:40" x14ac:dyDescent="0.25">
      <c r="AN230" s="36" t="e">
        <f>VLOOKUP(I230,Sheet1!A:D,4,FALSE)</f>
        <v>#N/A</v>
      </c>
    </row>
    <row r="231" spans="40:40" x14ac:dyDescent="0.25">
      <c r="AN231" s="36" t="e">
        <f>VLOOKUP(I231,Sheet1!A:D,4,FALSE)</f>
        <v>#N/A</v>
      </c>
    </row>
    <row r="232" spans="40:40" x14ac:dyDescent="0.25">
      <c r="AN232" s="36" t="e">
        <f>VLOOKUP(I232,Sheet1!A:D,4,FALSE)</f>
        <v>#N/A</v>
      </c>
    </row>
    <row r="233" spans="40:40" x14ac:dyDescent="0.25">
      <c r="AN233" s="36" t="e">
        <f>VLOOKUP(I233,Sheet1!A:D,4,FALSE)</f>
        <v>#N/A</v>
      </c>
    </row>
    <row r="234" spans="40:40" x14ac:dyDescent="0.25">
      <c r="AN234" s="36" t="e">
        <f>VLOOKUP(I234,Sheet1!A:D,4,FALSE)</f>
        <v>#N/A</v>
      </c>
    </row>
    <row r="235" spans="40:40" x14ac:dyDescent="0.25">
      <c r="AN235" s="36" t="e">
        <f>VLOOKUP(I235,Sheet1!A:D,4,FALSE)</f>
        <v>#N/A</v>
      </c>
    </row>
    <row r="236" spans="40:40" x14ac:dyDescent="0.25">
      <c r="AN236" s="36" t="e">
        <f>VLOOKUP(I236,Sheet1!A:D,4,FALSE)</f>
        <v>#N/A</v>
      </c>
    </row>
    <row r="237" spans="40:40" x14ac:dyDescent="0.25">
      <c r="AN237" s="36" t="e">
        <f>VLOOKUP(I237,Sheet1!A:D,4,FALSE)</f>
        <v>#N/A</v>
      </c>
    </row>
    <row r="238" spans="40:40" x14ac:dyDescent="0.25">
      <c r="AN238" s="36" t="e">
        <f>VLOOKUP(I238,Sheet1!A:D,4,FALSE)</f>
        <v>#N/A</v>
      </c>
    </row>
    <row r="239" spans="40:40" x14ac:dyDescent="0.25">
      <c r="AN239" s="36" t="e">
        <f>VLOOKUP(I239,Sheet1!A:D,4,FALSE)</f>
        <v>#N/A</v>
      </c>
    </row>
    <row r="240" spans="40:40" x14ac:dyDescent="0.25">
      <c r="AN240" s="36" t="e">
        <f>VLOOKUP(I240,Sheet1!A:D,4,FALSE)</f>
        <v>#N/A</v>
      </c>
    </row>
    <row r="241" spans="40:40" x14ac:dyDescent="0.25">
      <c r="AN241" s="36" t="e">
        <f>VLOOKUP(I241,Sheet1!A:D,4,FALSE)</f>
        <v>#N/A</v>
      </c>
    </row>
    <row r="242" spans="40:40" x14ac:dyDescent="0.25">
      <c r="AN242" s="36" t="e">
        <f>VLOOKUP(I242,Sheet1!A:D,4,FALSE)</f>
        <v>#N/A</v>
      </c>
    </row>
    <row r="243" spans="40:40" x14ac:dyDescent="0.25">
      <c r="AN243" s="36" t="e">
        <f>VLOOKUP(I243,Sheet1!A:D,4,FALSE)</f>
        <v>#N/A</v>
      </c>
    </row>
    <row r="244" spans="40:40" x14ac:dyDescent="0.25">
      <c r="AN244" s="36" t="e">
        <f>VLOOKUP(I244,Sheet1!A:D,4,FALSE)</f>
        <v>#N/A</v>
      </c>
    </row>
    <row r="245" spans="40:40" x14ac:dyDescent="0.25">
      <c r="AN245" s="36" t="e">
        <f>VLOOKUP(I245,Sheet1!A:D,4,FALSE)</f>
        <v>#N/A</v>
      </c>
    </row>
    <row r="246" spans="40:40" x14ac:dyDescent="0.25">
      <c r="AN246" s="36" t="e">
        <f>VLOOKUP(I246,Sheet1!A:D,4,FALSE)</f>
        <v>#N/A</v>
      </c>
    </row>
    <row r="247" spans="40:40" x14ac:dyDescent="0.25">
      <c r="AN247" s="36" t="e">
        <f>VLOOKUP(I247,Sheet1!A:D,4,FALSE)</f>
        <v>#N/A</v>
      </c>
    </row>
    <row r="248" spans="40:40" x14ac:dyDescent="0.25">
      <c r="AN248" s="36" t="e">
        <f>VLOOKUP(I248,Sheet1!A:D,4,FALSE)</f>
        <v>#N/A</v>
      </c>
    </row>
    <row r="249" spans="40:40" x14ac:dyDescent="0.25">
      <c r="AN249" s="36" t="e">
        <f>VLOOKUP(I249,Sheet1!A:D,4,FALSE)</f>
        <v>#N/A</v>
      </c>
    </row>
    <row r="250" spans="40:40" x14ac:dyDescent="0.25">
      <c r="AN250" s="36" t="e">
        <f>VLOOKUP(I250,Sheet1!A:D,4,FALSE)</f>
        <v>#N/A</v>
      </c>
    </row>
    <row r="251" spans="40:40" x14ac:dyDescent="0.25">
      <c r="AN251" s="36" t="e">
        <f>VLOOKUP(I251,Sheet1!A:D,4,FALSE)</f>
        <v>#N/A</v>
      </c>
    </row>
    <row r="252" spans="40:40" x14ac:dyDescent="0.25">
      <c r="AN252" s="36" t="e">
        <f>VLOOKUP(I252,Sheet1!A:D,4,FALSE)</f>
        <v>#N/A</v>
      </c>
    </row>
    <row r="253" spans="40:40" x14ac:dyDescent="0.25">
      <c r="AN253" s="36" t="e">
        <f>VLOOKUP(I253,Sheet1!A:D,4,FALSE)</f>
        <v>#N/A</v>
      </c>
    </row>
    <row r="254" spans="40:40" x14ac:dyDescent="0.25">
      <c r="AN254" s="36" t="e">
        <f>VLOOKUP(I254,Sheet1!A:D,4,FALSE)</f>
        <v>#N/A</v>
      </c>
    </row>
    <row r="255" spans="40:40" x14ac:dyDescent="0.25">
      <c r="AN255" s="36" t="e">
        <f>VLOOKUP(I255,Sheet1!A:D,4,FALSE)</f>
        <v>#N/A</v>
      </c>
    </row>
    <row r="256" spans="40:40" x14ac:dyDescent="0.25">
      <c r="AN256" s="36" t="e">
        <f>VLOOKUP(I256,Sheet1!A:D,4,FALSE)</f>
        <v>#N/A</v>
      </c>
    </row>
    <row r="257" spans="40:42" x14ac:dyDescent="0.25">
      <c r="AN257" s="36" t="e">
        <f>VLOOKUP(I257,Sheet1!A:D,4,FALSE)</f>
        <v>#N/A</v>
      </c>
    </row>
    <row r="258" spans="40:42" x14ac:dyDescent="0.25">
      <c r="AN258" s="36" t="e">
        <f>VLOOKUP(I258,Sheet1!A:D,4,FALSE)</f>
        <v>#N/A</v>
      </c>
      <c r="AP258" s="48"/>
    </row>
    <row r="259" spans="40:42" x14ac:dyDescent="0.25">
      <c r="AN259" s="36" t="e">
        <f>VLOOKUP(I259,Sheet1!A:D,4,FALSE)</f>
        <v>#N/A</v>
      </c>
      <c r="AP259" s="48"/>
    </row>
    <row r="260" spans="40:42" x14ac:dyDescent="0.25">
      <c r="AN260" s="36" t="e">
        <f>VLOOKUP(I260,Sheet1!A:D,4,FALSE)</f>
        <v>#N/A</v>
      </c>
      <c r="AP260" s="48"/>
    </row>
    <row r="261" spans="40:42" x14ac:dyDescent="0.25">
      <c r="AN261" s="36" t="e">
        <f>VLOOKUP(I261,Sheet1!A:D,4,FALSE)</f>
        <v>#N/A</v>
      </c>
      <c r="AP261" s="48"/>
    </row>
    <row r="262" spans="40:42" x14ac:dyDescent="0.25">
      <c r="AN262" s="36" t="e">
        <f>VLOOKUP(I262,Sheet1!A:D,4,FALSE)</f>
        <v>#N/A</v>
      </c>
      <c r="AP262" s="48"/>
    </row>
    <row r="263" spans="40:42" x14ac:dyDescent="0.25">
      <c r="AN263" s="36" t="e">
        <f>VLOOKUP(I263,Sheet1!A:D,4,FALSE)</f>
        <v>#N/A</v>
      </c>
      <c r="AP263" s="48"/>
    </row>
    <row r="264" spans="40:42" x14ac:dyDescent="0.25">
      <c r="AN264" s="36" t="e">
        <f>VLOOKUP(I264,Sheet1!A:D,4,FALSE)</f>
        <v>#N/A</v>
      </c>
      <c r="AP264" s="48"/>
    </row>
    <row r="265" spans="40:42" x14ac:dyDescent="0.25">
      <c r="AN265" s="36" t="e">
        <f>VLOOKUP(I265,Sheet1!A:D,4,FALSE)</f>
        <v>#N/A</v>
      </c>
      <c r="AP265" s="48"/>
    </row>
    <row r="266" spans="40:42" x14ac:dyDescent="0.25">
      <c r="AN266" s="36" t="e">
        <f>VLOOKUP(I266,Sheet1!A:D,4,FALSE)</f>
        <v>#N/A</v>
      </c>
      <c r="AP266" s="48"/>
    </row>
    <row r="267" spans="40:42" x14ac:dyDescent="0.25">
      <c r="AN267" s="36" t="e">
        <f>VLOOKUP(I267,Sheet1!A:D,4,FALSE)</f>
        <v>#N/A</v>
      </c>
      <c r="AP267" s="48"/>
    </row>
    <row r="268" spans="40:42" x14ac:dyDescent="0.25">
      <c r="AN268" s="36" t="e">
        <f>VLOOKUP(I268,Sheet1!A:D,4,FALSE)</f>
        <v>#N/A</v>
      </c>
      <c r="AP268" s="48"/>
    </row>
    <row r="269" spans="40:42" x14ac:dyDescent="0.25">
      <c r="AN269" s="36" t="e">
        <f>VLOOKUP(I269,Sheet1!A:D,4,FALSE)</f>
        <v>#N/A</v>
      </c>
    </row>
    <row r="270" spans="40:42" x14ac:dyDescent="0.25">
      <c r="AN270" s="36" t="e">
        <f>VLOOKUP(I270,Sheet1!A:D,4,FALSE)</f>
        <v>#N/A</v>
      </c>
    </row>
    <row r="271" spans="40:42" x14ac:dyDescent="0.25">
      <c r="AN271" s="36" t="e">
        <f>VLOOKUP(I271,Sheet1!A:D,4,FALSE)</f>
        <v>#N/A</v>
      </c>
    </row>
    <row r="272" spans="40:42" x14ac:dyDescent="0.25">
      <c r="AN272" s="36" t="e">
        <f>VLOOKUP(I272,Sheet1!A:D,4,FALSE)</f>
        <v>#N/A</v>
      </c>
    </row>
    <row r="273" spans="40:40" x14ac:dyDescent="0.25">
      <c r="AN273" s="36" t="e">
        <f>VLOOKUP(I273,Sheet1!A:D,4,FALSE)</f>
        <v>#N/A</v>
      </c>
    </row>
    <row r="274" spans="40:40" x14ac:dyDescent="0.25">
      <c r="AN274" s="36" t="e">
        <f>VLOOKUP(I274,Sheet1!A:D,4,FALSE)</f>
        <v>#N/A</v>
      </c>
    </row>
    <row r="275" spans="40:40" x14ac:dyDescent="0.25">
      <c r="AN275" s="36" t="e">
        <f>VLOOKUP(I275,Sheet1!A:D,4,FALSE)</f>
        <v>#N/A</v>
      </c>
    </row>
    <row r="276" spans="40:40" x14ac:dyDescent="0.25">
      <c r="AN276" s="36" t="e">
        <f>VLOOKUP(I276,Sheet1!A:D,4,FALSE)</f>
        <v>#N/A</v>
      </c>
    </row>
    <row r="277" spans="40:40" x14ac:dyDescent="0.25">
      <c r="AN277" s="36" t="e">
        <f>VLOOKUP(I277,Sheet1!A:D,4,FALSE)</f>
        <v>#N/A</v>
      </c>
    </row>
    <row r="278" spans="40:40" x14ac:dyDescent="0.25">
      <c r="AN278" s="36" t="e">
        <f>VLOOKUP(I278,Sheet1!A:D,4,FALSE)</f>
        <v>#N/A</v>
      </c>
    </row>
    <row r="279" spans="40:40" x14ac:dyDescent="0.25">
      <c r="AN279" s="36" t="e">
        <f>VLOOKUP(I279,Sheet1!A:D,4,FALSE)</f>
        <v>#N/A</v>
      </c>
    </row>
    <row r="280" spans="40:40" x14ac:dyDescent="0.25">
      <c r="AN280" s="36" t="e">
        <f>VLOOKUP(I280,Sheet1!A:D,4,FALSE)</f>
        <v>#N/A</v>
      </c>
    </row>
    <row r="281" spans="40:40" x14ac:dyDescent="0.25">
      <c r="AN281" s="36" t="e">
        <f>VLOOKUP(I281,Sheet1!A:D,4,FALSE)</f>
        <v>#N/A</v>
      </c>
    </row>
    <row r="282" spans="40:40" x14ac:dyDescent="0.25">
      <c r="AN282" s="36" t="e">
        <f>VLOOKUP(I282,Sheet1!A:D,4,FALSE)</f>
        <v>#N/A</v>
      </c>
    </row>
    <row r="283" spans="40:40" x14ac:dyDescent="0.25">
      <c r="AN283" s="36" t="e">
        <f>VLOOKUP(I283,Sheet1!A:D,4,FALSE)</f>
        <v>#N/A</v>
      </c>
    </row>
    <row r="284" spans="40:40" x14ac:dyDescent="0.25">
      <c r="AN284" s="36" t="e">
        <f>VLOOKUP(I284,Sheet1!A:D,4,FALSE)</f>
        <v>#N/A</v>
      </c>
    </row>
    <row r="285" spans="40:40" x14ac:dyDescent="0.25">
      <c r="AN285" s="36" t="e">
        <f>VLOOKUP(I285,Sheet1!A:D,4,FALSE)</f>
        <v>#N/A</v>
      </c>
    </row>
    <row r="286" spans="40:40" x14ac:dyDescent="0.25">
      <c r="AN286" s="36" t="e">
        <f>VLOOKUP(I286,Sheet1!A:D,4,FALSE)</f>
        <v>#N/A</v>
      </c>
    </row>
    <row r="287" spans="40:40" x14ac:dyDescent="0.25">
      <c r="AN287" s="36" t="e">
        <f>VLOOKUP(I287,Sheet1!A:D,4,FALSE)</f>
        <v>#N/A</v>
      </c>
    </row>
    <row r="288" spans="40:40" x14ac:dyDescent="0.25">
      <c r="AN288" s="36" t="e">
        <f>VLOOKUP(I288,Sheet1!A:D,4,FALSE)</f>
        <v>#N/A</v>
      </c>
    </row>
    <row r="289" spans="40:40" x14ac:dyDescent="0.25">
      <c r="AN289" s="36" t="e">
        <f>VLOOKUP(I289,Sheet1!A:D,4,FALSE)</f>
        <v>#N/A</v>
      </c>
    </row>
    <row r="290" spans="40:40" x14ac:dyDescent="0.25">
      <c r="AN290" s="36" t="e">
        <f>VLOOKUP(I290,Sheet1!A:D,4,FALSE)</f>
        <v>#N/A</v>
      </c>
    </row>
    <row r="291" spans="40:40" x14ac:dyDescent="0.25">
      <c r="AN291" s="36" t="e">
        <f>VLOOKUP(I291,Sheet1!A:D,4,FALSE)</f>
        <v>#N/A</v>
      </c>
    </row>
    <row r="292" spans="40:40" x14ac:dyDescent="0.25">
      <c r="AN292" s="36" t="e">
        <f>VLOOKUP(I292,Sheet1!A:D,4,FALSE)</f>
        <v>#N/A</v>
      </c>
    </row>
    <row r="293" spans="40:40" x14ac:dyDescent="0.25">
      <c r="AN293" s="36" t="e">
        <f>VLOOKUP(I293,Sheet1!A:D,4,FALSE)</f>
        <v>#N/A</v>
      </c>
    </row>
    <row r="294" spans="40:40" x14ac:dyDescent="0.25">
      <c r="AN294" s="36" t="e">
        <f>VLOOKUP(I294,Sheet1!A:D,4,FALSE)</f>
        <v>#N/A</v>
      </c>
    </row>
    <row r="295" spans="40:40" x14ac:dyDescent="0.25">
      <c r="AN295" s="36" t="e">
        <f>VLOOKUP(I295,Sheet1!A:D,4,FALSE)</f>
        <v>#N/A</v>
      </c>
    </row>
    <row r="296" spans="40:40" x14ac:dyDescent="0.25">
      <c r="AN296" s="36" t="e">
        <f>VLOOKUP(I296,Sheet1!A:D,4,FALSE)</f>
        <v>#N/A</v>
      </c>
    </row>
    <row r="297" spans="40:40" x14ac:dyDescent="0.25">
      <c r="AN297" s="36" t="e">
        <f>VLOOKUP(I297,Sheet1!A:D,4,FALSE)</f>
        <v>#N/A</v>
      </c>
    </row>
    <row r="298" spans="40:40" x14ac:dyDescent="0.25">
      <c r="AN298" s="36" t="e">
        <f>VLOOKUP(I298,Sheet1!A:D,4,FALSE)</f>
        <v>#N/A</v>
      </c>
    </row>
    <row r="299" spans="40:40" x14ac:dyDescent="0.25">
      <c r="AN299" s="36" t="e">
        <f>VLOOKUP(I299,Sheet1!A:D,4,FALSE)</f>
        <v>#N/A</v>
      </c>
    </row>
    <row r="300" spans="40:40" x14ac:dyDescent="0.25">
      <c r="AN300" s="36" t="e">
        <f>VLOOKUP(I300,Sheet1!A:D,4,FALSE)</f>
        <v>#N/A</v>
      </c>
    </row>
    <row r="301" spans="40:40" x14ac:dyDescent="0.25">
      <c r="AN301" s="36" t="e">
        <f>VLOOKUP(I301,Sheet1!A:D,4,FALSE)</f>
        <v>#N/A</v>
      </c>
    </row>
    <row r="302" spans="40:40" x14ac:dyDescent="0.25">
      <c r="AN302" s="36" t="e">
        <f>VLOOKUP(I302,Sheet1!A:D,4,FALSE)</f>
        <v>#N/A</v>
      </c>
    </row>
    <row r="303" spans="40:40" x14ac:dyDescent="0.25">
      <c r="AN303" s="36" t="e">
        <f>VLOOKUP(I303,Sheet1!A:D,4,FALSE)</f>
        <v>#N/A</v>
      </c>
    </row>
    <row r="304" spans="40:40" x14ac:dyDescent="0.25">
      <c r="AN304" s="36" t="e">
        <f>VLOOKUP(I304,Sheet1!A:D,4,FALSE)</f>
        <v>#N/A</v>
      </c>
    </row>
    <row r="305" spans="40:40" x14ac:dyDescent="0.25">
      <c r="AN305" s="36" t="e">
        <f>VLOOKUP(I305,Sheet1!A:D,4,FALSE)</f>
        <v>#N/A</v>
      </c>
    </row>
    <row r="306" spans="40:40" x14ac:dyDescent="0.25">
      <c r="AN306" s="36" t="e">
        <f>VLOOKUP(I306,Sheet1!A:D,4,FALSE)</f>
        <v>#N/A</v>
      </c>
    </row>
    <row r="307" spans="40:40" x14ac:dyDescent="0.25">
      <c r="AN307" s="36" t="e">
        <f>VLOOKUP(I307,Sheet1!A:D,4,FALSE)</f>
        <v>#N/A</v>
      </c>
    </row>
    <row r="308" spans="40:40" x14ac:dyDescent="0.25">
      <c r="AN308" s="36" t="e">
        <f>VLOOKUP(I308,Sheet1!A:D,4,FALSE)</f>
        <v>#N/A</v>
      </c>
    </row>
    <row r="309" spans="40:40" x14ac:dyDescent="0.25">
      <c r="AN309" s="36" t="e">
        <f>VLOOKUP(I309,Sheet1!A:D,4,FALSE)</f>
        <v>#N/A</v>
      </c>
    </row>
    <row r="310" spans="40:40" x14ac:dyDescent="0.25">
      <c r="AN310" s="36" t="e">
        <f>VLOOKUP(I310,Sheet1!A:D,4,FALSE)</f>
        <v>#N/A</v>
      </c>
    </row>
    <row r="311" spans="40:40" x14ac:dyDescent="0.25">
      <c r="AN311" s="36" t="e">
        <f>VLOOKUP(I311,Sheet1!A:D,4,FALSE)</f>
        <v>#N/A</v>
      </c>
    </row>
    <row r="312" spans="40:40" x14ac:dyDescent="0.25">
      <c r="AN312" s="36" t="e">
        <f>VLOOKUP(I312,Sheet1!A:D,4,FALSE)</f>
        <v>#N/A</v>
      </c>
    </row>
    <row r="313" spans="40:40" x14ac:dyDescent="0.25">
      <c r="AN313" s="36" t="e">
        <f>VLOOKUP(I313,Sheet1!A:D,4,FALSE)</f>
        <v>#N/A</v>
      </c>
    </row>
    <row r="314" spans="40:40" x14ac:dyDescent="0.25">
      <c r="AN314" s="36" t="e">
        <f>VLOOKUP(I314,Sheet1!A:D,4,FALSE)</f>
        <v>#N/A</v>
      </c>
    </row>
    <row r="315" spans="40:40" x14ac:dyDescent="0.25">
      <c r="AN315" s="36" t="e">
        <f>VLOOKUP(I315,Sheet1!A:D,4,FALSE)</f>
        <v>#N/A</v>
      </c>
    </row>
    <row r="316" spans="40:40" x14ac:dyDescent="0.25">
      <c r="AN316" s="36" t="e">
        <f>VLOOKUP(I316,Sheet1!A:D,4,FALSE)</f>
        <v>#N/A</v>
      </c>
    </row>
    <row r="317" spans="40:40" x14ac:dyDescent="0.25">
      <c r="AN317" s="36" t="e">
        <f>VLOOKUP(I317,Sheet1!A:D,4,FALSE)</f>
        <v>#N/A</v>
      </c>
    </row>
    <row r="318" spans="40:40" x14ac:dyDescent="0.25">
      <c r="AN318" s="36" t="e">
        <f>VLOOKUP(I318,Sheet1!A:D,4,FALSE)</f>
        <v>#N/A</v>
      </c>
    </row>
    <row r="319" spans="40:40" x14ac:dyDescent="0.25">
      <c r="AN319" s="36" t="e">
        <f>VLOOKUP(I319,Sheet1!A:D,4,FALSE)</f>
        <v>#N/A</v>
      </c>
    </row>
    <row r="320" spans="40:40" x14ac:dyDescent="0.25">
      <c r="AN320" s="36" t="e">
        <f>VLOOKUP(I320,Sheet1!A:D,4,FALSE)</f>
        <v>#N/A</v>
      </c>
    </row>
    <row r="321" spans="40:42" x14ac:dyDescent="0.25">
      <c r="AN321" s="36" t="e">
        <f>VLOOKUP(I321,Sheet1!A:D,4,FALSE)</f>
        <v>#N/A</v>
      </c>
    </row>
    <row r="322" spans="40:42" x14ac:dyDescent="0.25">
      <c r="AN322" s="36" t="e">
        <f>VLOOKUP(I322,Sheet1!A:D,4,FALSE)</f>
        <v>#N/A</v>
      </c>
    </row>
    <row r="323" spans="40:42" x14ac:dyDescent="0.25">
      <c r="AN323" s="36" t="e">
        <f>VLOOKUP(I323,Sheet1!A:D,4,FALSE)</f>
        <v>#N/A</v>
      </c>
    </row>
    <row r="324" spans="40:42" x14ac:dyDescent="0.25">
      <c r="AN324" s="36" t="e">
        <f>VLOOKUP(I324,Sheet1!A:D,4,FALSE)</f>
        <v>#N/A</v>
      </c>
    </row>
    <row r="325" spans="40:42" x14ac:dyDescent="0.25">
      <c r="AN325" s="36" t="e">
        <f>VLOOKUP(I325,Sheet1!A:D,4,FALSE)</f>
        <v>#N/A</v>
      </c>
    </row>
    <row r="326" spans="40:42" x14ac:dyDescent="0.25">
      <c r="AN326" s="36" t="e">
        <f>VLOOKUP(I326,Sheet1!A:D,4,FALSE)</f>
        <v>#N/A</v>
      </c>
    </row>
    <row r="327" spans="40:42" x14ac:dyDescent="0.25">
      <c r="AN327" s="36" t="e">
        <f>VLOOKUP(I327,Sheet1!A:D,4,FALSE)</f>
        <v>#N/A</v>
      </c>
    </row>
    <row r="328" spans="40:42" x14ac:dyDescent="0.25">
      <c r="AN328" s="36" t="e">
        <f>VLOOKUP(I328,Sheet1!A:D,4,FALSE)</f>
        <v>#N/A</v>
      </c>
      <c r="AP328" s="36"/>
    </row>
    <row r="329" spans="40:42" x14ac:dyDescent="0.25">
      <c r="AN329" s="36" t="e">
        <f>VLOOKUP(I329,Sheet1!A:D,4,FALSE)</f>
        <v>#N/A</v>
      </c>
      <c r="AP329" s="36"/>
    </row>
    <row r="330" spans="40:42" x14ac:dyDescent="0.25">
      <c r="AN330" s="36" t="e">
        <f>VLOOKUP(I330,Sheet1!A:D,4,FALSE)</f>
        <v>#N/A</v>
      </c>
      <c r="AP330" s="36"/>
    </row>
    <row r="331" spans="40:42" x14ac:dyDescent="0.25">
      <c r="AN331" s="36" t="e">
        <f>VLOOKUP(I331,Sheet1!A:D,4,FALSE)</f>
        <v>#N/A</v>
      </c>
      <c r="AP331" s="36"/>
    </row>
    <row r="332" spans="40:42" x14ac:dyDescent="0.25">
      <c r="AN332" s="36" t="e">
        <f>VLOOKUP(I332,Sheet1!A:D,4,FALSE)</f>
        <v>#N/A</v>
      </c>
      <c r="AP332" s="36"/>
    </row>
    <row r="333" spans="40:42" x14ac:dyDescent="0.25">
      <c r="AN333" s="36" t="e">
        <f>VLOOKUP(I333,Sheet1!A:D,4,FALSE)</f>
        <v>#N/A</v>
      </c>
      <c r="AP333" s="36"/>
    </row>
    <row r="334" spans="40:42" x14ac:dyDescent="0.25">
      <c r="AN334" s="36" t="e">
        <f>VLOOKUP(I334,Sheet1!A:D,4,FALSE)</f>
        <v>#N/A</v>
      </c>
      <c r="AP334" s="36"/>
    </row>
    <row r="335" spans="40:42" x14ac:dyDescent="0.25">
      <c r="AN335" s="36" t="e">
        <f>VLOOKUP(I335,Sheet1!A:D,4,FALSE)</f>
        <v>#N/A</v>
      </c>
      <c r="AP335" s="36"/>
    </row>
    <row r="336" spans="40:42" x14ac:dyDescent="0.25">
      <c r="AN336" s="36" t="e">
        <f>VLOOKUP(I336,Sheet1!A:D,4,FALSE)</f>
        <v>#N/A</v>
      </c>
      <c r="AP336" s="36"/>
    </row>
    <row r="337" spans="40:42" x14ac:dyDescent="0.25">
      <c r="AN337" s="36" t="e">
        <f>VLOOKUP(I337,Sheet1!A:D,4,FALSE)</f>
        <v>#N/A</v>
      </c>
      <c r="AP337" s="36"/>
    </row>
    <row r="338" spans="40:42" x14ac:dyDescent="0.25">
      <c r="AN338" s="36" t="e">
        <f>VLOOKUP(I338,Sheet1!A:D,4,FALSE)</f>
        <v>#N/A</v>
      </c>
      <c r="AP338" s="36"/>
    </row>
    <row r="339" spans="40:42" x14ac:dyDescent="0.25">
      <c r="AN339" s="36" t="e">
        <f>VLOOKUP(I339,Sheet1!A:D,4,FALSE)</f>
        <v>#N/A</v>
      </c>
      <c r="AP339" s="36"/>
    </row>
    <row r="340" spans="40:42" x14ac:dyDescent="0.25">
      <c r="AN340" s="36" t="e">
        <f>VLOOKUP(I340,Sheet1!A:D,4,FALSE)</f>
        <v>#N/A</v>
      </c>
      <c r="AP340" s="36"/>
    </row>
    <row r="341" spans="40:42" x14ac:dyDescent="0.25">
      <c r="AN341" s="36" t="e">
        <f>VLOOKUP(I341,Sheet1!A:D,4,FALSE)</f>
        <v>#N/A</v>
      </c>
      <c r="AP341" s="36"/>
    </row>
    <row r="342" spans="40:42" x14ac:dyDescent="0.25">
      <c r="AN342" s="36" t="e">
        <f>VLOOKUP(I342,Sheet1!A:D,4,FALSE)</f>
        <v>#N/A</v>
      </c>
      <c r="AP342" s="36"/>
    </row>
    <row r="343" spans="40:42" x14ac:dyDescent="0.25">
      <c r="AN343" s="36" t="e">
        <f>VLOOKUP(I343,Sheet1!A:D,4,FALSE)</f>
        <v>#N/A</v>
      </c>
      <c r="AP343" s="36"/>
    </row>
    <row r="344" spans="40:42" x14ac:dyDescent="0.25">
      <c r="AN344" s="36" t="e">
        <f>VLOOKUP(I344,Sheet1!A:D,4,FALSE)</f>
        <v>#N/A</v>
      </c>
      <c r="AP344" s="36"/>
    </row>
    <row r="345" spans="40:42" x14ac:dyDescent="0.25">
      <c r="AN345" s="36" t="e">
        <f>VLOOKUP(I345,Sheet1!A:D,4,FALSE)</f>
        <v>#N/A</v>
      </c>
      <c r="AP345" s="36"/>
    </row>
    <row r="346" spans="40:42" x14ac:dyDescent="0.25">
      <c r="AN346" s="36" t="e">
        <f>VLOOKUP(I346,Sheet1!A:D,4,FALSE)</f>
        <v>#N/A</v>
      </c>
      <c r="AP346" s="36"/>
    </row>
    <row r="347" spans="40:42" x14ac:dyDescent="0.25">
      <c r="AN347" s="36" t="e">
        <f>VLOOKUP(I347,Sheet1!A:D,4,FALSE)</f>
        <v>#N/A</v>
      </c>
      <c r="AP347" s="36"/>
    </row>
    <row r="348" spans="40:42" x14ac:dyDescent="0.25">
      <c r="AN348" s="36" t="e">
        <f>VLOOKUP(I348,Sheet1!A:D,4,FALSE)</f>
        <v>#N/A</v>
      </c>
      <c r="AP348" s="36"/>
    </row>
    <row r="349" spans="40:42" x14ac:dyDescent="0.25">
      <c r="AN349" s="36" t="e">
        <f>VLOOKUP(I349,Sheet1!A:D,4,FALSE)</f>
        <v>#N/A</v>
      </c>
    </row>
    <row r="350" spans="40:42" x14ac:dyDescent="0.25">
      <c r="AN350" s="36" t="e">
        <f>VLOOKUP(I350,Sheet1!A:D,4,FALSE)</f>
        <v>#N/A</v>
      </c>
    </row>
    <row r="351" spans="40:42" x14ac:dyDescent="0.25">
      <c r="AN351" s="36" t="e">
        <f>VLOOKUP(I351,Sheet1!A:D,4,FALSE)</f>
        <v>#N/A</v>
      </c>
    </row>
    <row r="352" spans="40:42" x14ac:dyDescent="0.25">
      <c r="AN352" s="36" t="e">
        <f>VLOOKUP(I352,Sheet1!A:D,4,FALSE)</f>
        <v>#N/A</v>
      </c>
    </row>
    <row r="353" spans="40:40" x14ac:dyDescent="0.25">
      <c r="AN353" s="36" t="e">
        <f>VLOOKUP(I353,Sheet1!A:D,4,FALSE)</f>
        <v>#N/A</v>
      </c>
    </row>
    <row r="354" spans="40:40" x14ac:dyDescent="0.25">
      <c r="AN354" s="36" t="e">
        <f>VLOOKUP(I354,Sheet1!A:D,4,FALSE)</f>
        <v>#N/A</v>
      </c>
    </row>
    <row r="355" spans="40:40" x14ac:dyDescent="0.25">
      <c r="AN355" s="36" t="e">
        <f>VLOOKUP(I355,Sheet1!A:D,4,FALSE)</f>
        <v>#N/A</v>
      </c>
    </row>
    <row r="356" spans="40:40" x14ac:dyDescent="0.25">
      <c r="AN356" s="36" t="e">
        <f>VLOOKUP(I356,Sheet1!A:D,4,FALSE)</f>
        <v>#N/A</v>
      </c>
    </row>
    <row r="357" spans="40:40" x14ac:dyDescent="0.25">
      <c r="AN357" s="36" t="e">
        <f>VLOOKUP(I357,Sheet1!A:D,4,FALSE)</f>
        <v>#N/A</v>
      </c>
    </row>
    <row r="358" spans="40:40" x14ac:dyDescent="0.25">
      <c r="AN358" s="36" t="e">
        <f>VLOOKUP(I358,Sheet1!A:D,4,FALSE)</f>
        <v>#N/A</v>
      </c>
    </row>
    <row r="359" spans="40:40" x14ac:dyDescent="0.25">
      <c r="AN359" s="36" t="e">
        <f>VLOOKUP(I359,Sheet1!A:D,4,FALSE)</f>
        <v>#N/A</v>
      </c>
    </row>
    <row r="360" spans="40:40" x14ac:dyDescent="0.25">
      <c r="AN360" s="36" t="e">
        <f>VLOOKUP(I360,Sheet1!A:D,4,FALSE)</f>
        <v>#N/A</v>
      </c>
    </row>
    <row r="361" spans="40:40" x14ac:dyDescent="0.25">
      <c r="AN361" s="36" t="e">
        <f>VLOOKUP(I361,Sheet1!A:D,4,FALSE)</f>
        <v>#N/A</v>
      </c>
    </row>
    <row r="362" spans="40:40" x14ac:dyDescent="0.25">
      <c r="AN362" s="36" t="e">
        <f>VLOOKUP(I362,Sheet1!A:D,4,FALSE)</f>
        <v>#N/A</v>
      </c>
    </row>
    <row r="363" spans="40:40" x14ac:dyDescent="0.25">
      <c r="AN363" s="36" t="e">
        <f>VLOOKUP(I363,Sheet1!A:D,4,FALSE)</f>
        <v>#N/A</v>
      </c>
    </row>
    <row r="364" spans="40:40" x14ac:dyDescent="0.25">
      <c r="AN364" s="36" t="e">
        <f>VLOOKUP(I364,Sheet1!A:D,4,FALSE)</f>
        <v>#N/A</v>
      </c>
    </row>
    <row r="365" spans="40:40" x14ac:dyDescent="0.25">
      <c r="AN365" s="36" t="e">
        <f>VLOOKUP(I365,Sheet1!A:D,4,FALSE)</f>
        <v>#N/A</v>
      </c>
    </row>
    <row r="366" spans="40:40" x14ac:dyDescent="0.25">
      <c r="AN366" s="36" t="e">
        <f>VLOOKUP(I366,Sheet1!A:D,4,FALSE)</f>
        <v>#N/A</v>
      </c>
    </row>
    <row r="367" spans="40:40" x14ac:dyDescent="0.25">
      <c r="AN367" s="36" t="e">
        <f>VLOOKUP(I367,Sheet1!A:D,4,FALSE)</f>
        <v>#N/A</v>
      </c>
    </row>
    <row r="368" spans="40:40" x14ac:dyDescent="0.25">
      <c r="AN368" s="36" t="e">
        <f>VLOOKUP(I368,Sheet1!A:D,4,FALSE)</f>
        <v>#N/A</v>
      </c>
    </row>
    <row r="369" spans="40:40" x14ac:dyDescent="0.25">
      <c r="AN369" s="36" t="e">
        <f>VLOOKUP(I369,Sheet1!A:D,4,FALSE)</f>
        <v>#N/A</v>
      </c>
    </row>
    <row r="370" spans="40:40" x14ac:dyDescent="0.25">
      <c r="AN370" s="36" t="e">
        <f>VLOOKUP(I370,Sheet1!A:D,4,FALSE)</f>
        <v>#N/A</v>
      </c>
    </row>
    <row r="371" spans="40:40" x14ac:dyDescent="0.25">
      <c r="AN371" s="36" t="e">
        <f>VLOOKUP(I371,Sheet1!A:D,4,FALSE)</f>
        <v>#N/A</v>
      </c>
    </row>
    <row r="372" spans="40:40" x14ac:dyDescent="0.25">
      <c r="AN372" s="36" t="e">
        <f>VLOOKUP(I372,Sheet1!A:D,4,FALSE)</f>
        <v>#N/A</v>
      </c>
    </row>
    <row r="373" spans="40:40" x14ac:dyDescent="0.25">
      <c r="AN373" s="36" t="e">
        <f>VLOOKUP(I373,Sheet1!A:D,4,FALSE)</f>
        <v>#N/A</v>
      </c>
    </row>
    <row r="374" spans="40:40" x14ac:dyDescent="0.25">
      <c r="AN374" s="36" t="e">
        <f>VLOOKUP(I374,Sheet1!A:D,4,FALSE)</f>
        <v>#N/A</v>
      </c>
    </row>
    <row r="375" spans="40:40" x14ac:dyDescent="0.25">
      <c r="AN375" s="36" t="e">
        <f>VLOOKUP(I375,Sheet1!A:D,4,FALSE)</f>
        <v>#N/A</v>
      </c>
    </row>
    <row r="376" spans="40:40" x14ac:dyDescent="0.25">
      <c r="AN376" s="36" t="e">
        <f>VLOOKUP(I376,Sheet1!A:D,4,FALSE)</f>
        <v>#N/A</v>
      </c>
    </row>
    <row r="377" spans="40:40" x14ac:dyDescent="0.25">
      <c r="AN377" s="36" t="e">
        <f>VLOOKUP(I377,Sheet1!A:D,4,FALSE)</f>
        <v>#N/A</v>
      </c>
    </row>
    <row r="378" spans="40:40" x14ac:dyDescent="0.25">
      <c r="AN378" s="36" t="e">
        <f>VLOOKUP(I378,Sheet1!A:D,4,FALSE)</f>
        <v>#N/A</v>
      </c>
    </row>
    <row r="379" spans="40:40" x14ac:dyDescent="0.25">
      <c r="AN379" s="36" t="e">
        <f>VLOOKUP(I379,Sheet1!A:D,4,FALSE)</f>
        <v>#N/A</v>
      </c>
    </row>
    <row r="380" spans="40:40" x14ac:dyDescent="0.25">
      <c r="AN380" s="36" t="e">
        <f>VLOOKUP(I380,Sheet1!A:D,4,FALSE)</f>
        <v>#N/A</v>
      </c>
    </row>
    <row r="381" spans="40:40" x14ac:dyDescent="0.25">
      <c r="AN381" s="36" t="e">
        <f>VLOOKUP(I381,Sheet1!A:D,4,FALSE)</f>
        <v>#N/A</v>
      </c>
    </row>
    <row r="382" spans="40:40" x14ac:dyDescent="0.25">
      <c r="AN382" s="36" t="e">
        <f>VLOOKUP(I382,Sheet1!A:D,4,FALSE)</f>
        <v>#N/A</v>
      </c>
    </row>
    <row r="383" spans="40:40" x14ac:dyDescent="0.25">
      <c r="AN383" s="36" t="e">
        <f>VLOOKUP(I383,Sheet1!A:D,4,FALSE)</f>
        <v>#N/A</v>
      </c>
    </row>
    <row r="384" spans="40:40" x14ac:dyDescent="0.25">
      <c r="AN384" s="36" t="e">
        <f>VLOOKUP(I384,Sheet1!A:D,4,FALSE)</f>
        <v>#N/A</v>
      </c>
    </row>
    <row r="385" spans="40:40" x14ac:dyDescent="0.25">
      <c r="AN385" s="36" t="e">
        <f>VLOOKUP(I385,Sheet1!A:D,4,FALSE)</f>
        <v>#N/A</v>
      </c>
    </row>
    <row r="386" spans="40:40" x14ac:dyDescent="0.25">
      <c r="AN386" s="36" t="e">
        <f>VLOOKUP(I386,Sheet1!A:D,4,FALSE)</f>
        <v>#N/A</v>
      </c>
    </row>
    <row r="387" spans="40:40" x14ac:dyDescent="0.25">
      <c r="AN387" s="36" t="e">
        <f>VLOOKUP(I387,Sheet1!A:D,4,FALSE)</f>
        <v>#N/A</v>
      </c>
    </row>
    <row r="388" spans="40:40" x14ac:dyDescent="0.25">
      <c r="AN388" s="36" t="e">
        <f>VLOOKUP(I388,Sheet1!A:D,4,FALSE)</f>
        <v>#N/A</v>
      </c>
    </row>
    <row r="389" spans="40:40" x14ac:dyDescent="0.25">
      <c r="AN389" s="36" t="e">
        <f>VLOOKUP(I389,Sheet1!A:D,4,FALSE)</f>
        <v>#N/A</v>
      </c>
    </row>
    <row r="390" spans="40:40" x14ac:dyDescent="0.25">
      <c r="AN390" s="36" t="e">
        <f>VLOOKUP(I390,Sheet1!A:D,4,FALSE)</f>
        <v>#N/A</v>
      </c>
    </row>
    <row r="391" spans="40:40" x14ac:dyDescent="0.25">
      <c r="AN391" s="36" t="e">
        <f>VLOOKUP(I391,Sheet1!A:D,4,FALSE)</f>
        <v>#N/A</v>
      </c>
    </row>
    <row r="392" spans="40:40" x14ac:dyDescent="0.25">
      <c r="AN392" s="36" t="e">
        <f>VLOOKUP(I392,Sheet1!A:D,4,FALSE)</f>
        <v>#N/A</v>
      </c>
    </row>
    <row r="393" spans="40:40" x14ac:dyDescent="0.25">
      <c r="AN393" s="36" t="e">
        <f>VLOOKUP(I393,Sheet1!A:D,4,FALSE)</f>
        <v>#N/A</v>
      </c>
    </row>
    <row r="394" spans="40:40" x14ac:dyDescent="0.25">
      <c r="AN394" s="36" t="e">
        <f>VLOOKUP(I394,Sheet1!A:D,4,FALSE)</f>
        <v>#N/A</v>
      </c>
    </row>
    <row r="395" spans="40:40" x14ac:dyDescent="0.25">
      <c r="AN395" s="36" t="e">
        <f>VLOOKUP(I395,Sheet1!A:D,4,FALSE)</f>
        <v>#N/A</v>
      </c>
    </row>
    <row r="396" spans="40:40" x14ac:dyDescent="0.25">
      <c r="AN396" s="36" t="e">
        <f>VLOOKUP(I396,Sheet1!A:D,4,FALSE)</f>
        <v>#N/A</v>
      </c>
    </row>
    <row r="397" spans="40:40" x14ac:dyDescent="0.25">
      <c r="AN397" s="36" t="e">
        <f>VLOOKUP(I397,Sheet1!A:D,4,FALSE)</f>
        <v>#N/A</v>
      </c>
    </row>
    <row r="398" spans="40:40" x14ac:dyDescent="0.25">
      <c r="AN398" s="36" t="e">
        <f>VLOOKUP(I398,Sheet1!A:D,4,FALSE)</f>
        <v>#N/A</v>
      </c>
    </row>
    <row r="399" spans="40:40" x14ac:dyDescent="0.25">
      <c r="AN399" s="36" t="e">
        <f>VLOOKUP(I399,Sheet1!A:D,4,FALSE)</f>
        <v>#N/A</v>
      </c>
    </row>
    <row r="400" spans="40:40" x14ac:dyDescent="0.25">
      <c r="AN400" s="36" t="e">
        <f>VLOOKUP(I400,Sheet1!A:D,4,FALSE)</f>
        <v>#N/A</v>
      </c>
    </row>
    <row r="401" spans="40:42" x14ac:dyDescent="0.25">
      <c r="AN401" s="36" t="e">
        <f>VLOOKUP(I401,Sheet1!A:D,4,FALSE)</f>
        <v>#N/A</v>
      </c>
    </row>
    <row r="402" spans="40:42" x14ac:dyDescent="0.25">
      <c r="AN402" s="36" t="e">
        <f>VLOOKUP(I402,Sheet1!A:D,4,FALSE)</f>
        <v>#N/A</v>
      </c>
    </row>
    <row r="403" spans="40:42" x14ac:dyDescent="0.25">
      <c r="AN403" s="36" t="e">
        <f>VLOOKUP(I403,Sheet1!A:D,4,FALSE)</f>
        <v>#N/A</v>
      </c>
      <c r="AP403" s="36"/>
    </row>
    <row r="404" spans="40:42" x14ac:dyDescent="0.25">
      <c r="AN404" s="36" t="e">
        <f>VLOOKUP(I404,Sheet1!A:D,4,FALSE)</f>
        <v>#N/A</v>
      </c>
      <c r="AP404" s="36"/>
    </row>
    <row r="405" spans="40:42" x14ac:dyDescent="0.25">
      <c r="AN405" s="36" t="e">
        <f>VLOOKUP(I405,Sheet1!A:D,4,FALSE)</f>
        <v>#N/A</v>
      </c>
      <c r="AP405" s="36"/>
    </row>
    <row r="406" spans="40:42" x14ac:dyDescent="0.25">
      <c r="AN406" s="36" t="e">
        <f>VLOOKUP(I406,Sheet1!A:D,4,FALSE)</f>
        <v>#N/A</v>
      </c>
    </row>
    <row r="407" spans="40:42" x14ac:dyDescent="0.25">
      <c r="AN407" s="36" t="e">
        <f>VLOOKUP(I407,Sheet1!A:D,4,FALSE)</f>
        <v>#N/A</v>
      </c>
    </row>
    <row r="408" spans="40:42" x14ac:dyDescent="0.25">
      <c r="AN408" s="36" t="e">
        <f>VLOOKUP(I408,Sheet1!A:D,4,FALSE)</f>
        <v>#N/A</v>
      </c>
    </row>
    <row r="409" spans="40:42" x14ac:dyDescent="0.25">
      <c r="AN409" s="36" t="e">
        <f>VLOOKUP(I409,Sheet1!A:D,4,FALSE)</f>
        <v>#N/A</v>
      </c>
    </row>
    <row r="410" spans="40:42" x14ac:dyDescent="0.25">
      <c r="AN410" s="36" t="e">
        <f>VLOOKUP(I410,Sheet1!A:D,4,FALSE)</f>
        <v>#N/A</v>
      </c>
    </row>
    <row r="411" spans="40:42" x14ac:dyDescent="0.25">
      <c r="AN411" s="36" t="e">
        <f>VLOOKUP(I411,Sheet1!A:D,4,FALSE)</f>
        <v>#N/A</v>
      </c>
    </row>
    <row r="412" spans="40:42" x14ac:dyDescent="0.25">
      <c r="AN412" s="36" t="e">
        <f>VLOOKUP(I412,Sheet1!A:D,4,FALSE)</f>
        <v>#N/A</v>
      </c>
      <c r="AP412" s="49"/>
    </row>
    <row r="413" spans="40:42" x14ac:dyDescent="0.25">
      <c r="AN413" s="36" t="e">
        <f>VLOOKUP(I413,Sheet1!A:D,4,FALSE)</f>
        <v>#N/A</v>
      </c>
      <c r="AP413" s="49"/>
    </row>
    <row r="414" spans="40:42" x14ac:dyDescent="0.25">
      <c r="AN414" s="36" t="e">
        <f>VLOOKUP(I414,Sheet1!A:D,4,FALSE)</f>
        <v>#N/A</v>
      </c>
      <c r="AP414" s="49"/>
    </row>
    <row r="415" spans="40:42" x14ac:dyDescent="0.25">
      <c r="AN415" s="36" t="e">
        <f>VLOOKUP(I415,Sheet1!A:D,4,FALSE)</f>
        <v>#N/A</v>
      </c>
      <c r="AP415" s="49"/>
    </row>
    <row r="416" spans="40:42" x14ac:dyDescent="0.25">
      <c r="AN416" s="36" t="e">
        <f>VLOOKUP(I416,Sheet1!A:D,4,FALSE)</f>
        <v>#N/A</v>
      </c>
      <c r="AP416" s="49"/>
    </row>
    <row r="417" spans="40:42" x14ac:dyDescent="0.25">
      <c r="AN417" s="36" t="e">
        <f>VLOOKUP(I417,Sheet1!A:D,4,FALSE)</f>
        <v>#N/A</v>
      </c>
      <c r="AP417" s="49"/>
    </row>
    <row r="418" spans="40:42" x14ac:dyDescent="0.25">
      <c r="AN418" s="36" t="e">
        <f>VLOOKUP(I418,Sheet1!A:D,4,FALSE)</f>
        <v>#N/A</v>
      </c>
      <c r="AP418" s="49"/>
    </row>
    <row r="419" spans="40:42" x14ac:dyDescent="0.25">
      <c r="AN419" s="36" t="e">
        <f>VLOOKUP(I419,Sheet1!A:D,4,FALSE)</f>
        <v>#N/A</v>
      </c>
      <c r="AP419" s="49"/>
    </row>
    <row r="420" spans="40:42" x14ac:dyDescent="0.25">
      <c r="AN420" s="36" t="e">
        <f>VLOOKUP(I420,Sheet1!A:D,4,FALSE)</f>
        <v>#N/A</v>
      </c>
    </row>
    <row r="421" spans="40:42" x14ac:dyDescent="0.25">
      <c r="AN421" s="36" t="e">
        <f>VLOOKUP(I421,Sheet1!A:D,4,FALSE)</f>
        <v>#N/A</v>
      </c>
    </row>
    <row r="422" spans="40:42" x14ac:dyDescent="0.25">
      <c r="AN422" s="36" t="e">
        <f>VLOOKUP(I422,Sheet1!A:D,4,FALSE)</f>
        <v>#N/A</v>
      </c>
    </row>
    <row r="423" spans="40:42" x14ac:dyDescent="0.25">
      <c r="AN423" s="36" t="e">
        <f>VLOOKUP(I423,Sheet1!A:D,4,FALSE)</f>
        <v>#N/A</v>
      </c>
    </row>
    <row r="424" spans="40:42" x14ac:dyDescent="0.25">
      <c r="AN424" s="36" t="e">
        <f>VLOOKUP(I424,Sheet1!A:D,4,FALSE)</f>
        <v>#N/A</v>
      </c>
    </row>
    <row r="425" spans="40:42" x14ac:dyDescent="0.25">
      <c r="AN425" s="36" t="e">
        <f>VLOOKUP(I425,Sheet1!A:D,4,FALSE)</f>
        <v>#N/A</v>
      </c>
    </row>
    <row r="426" spans="40:42" x14ac:dyDescent="0.25">
      <c r="AN426" s="36" t="e">
        <f>VLOOKUP(I426,Sheet1!A:D,4,FALSE)</f>
        <v>#N/A</v>
      </c>
    </row>
    <row r="427" spans="40:42" x14ac:dyDescent="0.25">
      <c r="AN427" s="36" t="e">
        <f>VLOOKUP(I427,Sheet1!A:D,4,FALSE)</f>
        <v>#N/A</v>
      </c>
    </row>
    <row r="428" spans="40:42" x14ac:dyDescent="0.25">
      <c r="AN428" s="36" t="e">
        <f>VLOOKUP(I428,Sheet1!A:D,4,FALSE)</f>
        <v>#N/A</v>
      </c>
    </row>
    <row r="429" spans="40:42" x14ac:dyDescent="0.25">
      <c r="AN429" s="36" t="e">
        <f>VLOOKUP(I429,Sheet1!A:D,4,FALSE)</f>
        <v>#N/A</v>
      </c>
    </row>
    <row r="430" spans="40:42" x14ac:dyDescent="0.25">
      <c r="AN430" s="36" t="e">
        <f>VLOOKUP(I430,Sheet1!A:D,4,FALSE)</f>
        <v>#N/A</v>
      </c>
    </row>
    <row r="431" spans="40:42" x14ac:dyDescent="0.25">
      <c r="AN431" s="36" t="e">
        <f>VLOOKUP(I431,Sheet1!A:D,4,FALSE)</f>
        <v>#N/A</v>
      </c>
    </row>
    <row r="432" spans="40:42" x14ac:dyDescent="0.25">
      <c r="AN432" s="36" t="e">
        <f>VLOOKUP(I432,Sheet1!A:D,4,FALSE)</f>
        <v>#N/A</v>
      </c>
    </row>
    <row r="433" spans="40:40" x14ac:dyDescent="0.25">
      <c r="AN433" s="36" t="e">
        <f>VLOOKUP(I433,Sheet1!A:D,4,FALSE)</f>
        <v>#N/A</v>
      </c>
    </row>
    <row r="434" spans="40:40" x14ac:dyDescent="0.25">
      <c r="AN434" s="36" t="e">
        <f>VLOOKUP(I434,Sheet1!A:D,4,FALSE)</f>
        <v>#N/A</v>
      </c>
    </row>
    <row r="435" spans="40:40" x14ac:dyDescent="0.25">
      <c r="AN435" s="36" t="e">
        <f>VLOOKUP(I435,Sheet1!A:D,4,FALSE)</f>
        <v>#N/A</v>
      </c>
    </row>
    <row r="436" spans="40:40" x14ac:dyDescent="0.25">
      <c r="AN436" s="36" t="e">
        <f>VLOOKUP(I436,Sheet1!A:D,4,FALSE)</f>
        <v>#N/A</v>
      </c>
    </row>
    <row r="437" spans="40:40" x14ac:dyDescent="0.25">
      <c r="AN437" s="36" t="e">
        <f>VLOOKUP(I437,Sheet1!A:D,4,FALSE)</f>
        <v>#N/A</v>
      </c>
    </row>
    <row r="438" spans="40:40" x14ac:dyDescent="0.25">
      <c r="AN438" s="36" t="e">
        <f>VLOOKUP(I438,Sheet1!A:D,4,FALSE)</f>
        <v>#N/A</v>
      </c>
    </row>
    <row r="439" spans="40:40" x14ac:dyDescent="0.25">
      <c r="AN439" s="36" t="e">
        <f>VLOOKUP(I439,Sheet1!A:D,4,FALSE)</f>
        <v>#N/A</v>
      </c>
    </row>
    <row r="440" spans="40:40" x14ac:dyDescent="0.25">
      <c r="AN440" s="36" t="e">
        <f>VLOOKUP(I440,Sheet1!A:D,4,FALSE)</f>
        <v>#N/A</v>
      </c>
    </row>
    <row r="441" spans="40:40" x14ac:dyDescent="0.25">
      <c r="AN441" s="36" t="e">
        <f>VLOOKUP(I441,Sheet1!A:D,4,FALSE)</f>
        <v>#N/A</v>
      </c>
    </row>
    <row r="442" spans="40:40" x14ac:dyDescent="0.25">
      <c r="AN442" s="36" t="e">
        <f>VLOOKUP(I442,Sheet1!A:D,4,FALSE)</f>
        <v>#N/A</v>
      </c>
    </row>
    <row r="443" spans="40:40" x14ac:dyDescent="0.25">
      <c r="AN443" s="36" t="e">
        <f>VLOOKUP(I443,Sheet1!A:D,4,FALSE)</f>
        <v>#N/A</v>
      </c>
    </row>
    <row r="444" spans="40:40" x14ac:dyDescent="0.25">
      <c r="AN444" s="36" t="e">
        <f>VLOOKUP(I444,Sheet1!A:D,4,FALSE)</f>
        <v>#N/A</v>
      </c>
    </row>
    <row r="445" spans="40:40" x14ac:dyDescent="0.25">
      <c r="AN445" s="36" t="e">
        <f>VLOOKUP(I445,Sheet1!A:D,4,FALSE)</f>
        <v>#N/A</v>
      </c>
    </row>
    <row r="446" spans="40:40" x14ac:dyDescent="0.25">
      <c r="AN446" s="36" t="e">
        <f>VLOOKUP(I446,Sheet1!A:D,4,FALSE)</f>
        <v>#N/A</v>
      </c>
    </row>
    <row r="447" spans="40:40" x14ac:dyDescent="0.25">
      <c r="AN447" s="36" t="e">
        <f>VLOOKUP(I447,Sheet1!A:D,4,FALSE)</f>
        <v>#N/A</v>
      </c>
    </row>
    <row r="448" spans="40:40" x14ac:dyDescent="0.25">
      <c r="AN448" s="36" t="e">
        <f>VLOOKUP(I448,Sheet1!A:D,4,FALSE)</f>
        <v>#N/A</v>
      </c>
    </row>
    <row r="449" spans="40:40" x14ac:dyDescent="0.25">
      <c r="AN449" s="36" t="e">
        <f>VLOOKUP(I449,Sheet1!A:D,4,FALSE)</f>
        <v>#N/A</v>
      </c>
    </row>
    <row r="450" spans="40:40" x14ac:dyDescent="0.25">
      <c r="AN450" s="36" t="e">
        <f>VLOOKUP(I450,Sheet1!A:D,4,FALSE)</f>
        <v>#N/A</v>
      </c>
    </row>
    <row r="451" spans="40:40" x14ac:dyDescent="0.25">
      <c r="AN451" s="36" t="e">
        <f>VLOOKUP(I451,Sheet1!A:D,4,FALSE)</f>
        <v>#N/A</v>
      </c>
    </row>
    <row r="452" spans="40:40" x14ac:dyDescent="0.25">
      <c r="AN452" s="36" t="e">
        <f>VLOOKUP(I452,Sheet1!A:D,4,FALSE)</f>
        <v>#N/A</v>
      </c>
    </row>
    <row r="453" spans="40:40" x14ac:dyDescent="0.25">
      <c r="AN453" s="36" t="e">
        <f>VLOOKUP(I453,Sheet1!A:D,4,FALSE)</f>
        <v>#N/A</v>
      </c>
    </row>
    <row r="454" spans="40:40" x14ac:dyDescent="0.25">
      <c r="AN454" s="36" t="e">
        <f>VLOOKUP(I454,Sheet1!A:D,4,FALSE)</f>
        <v>#N/A</v>
      </c>
    </row>
    <row r="455" spans="40:40" x14ac:dyDescent="0.25">
      <c r="AN455" s="36" t="e">
        <f>VLOOKUP(I455,Sheet1!A:D,4,FALSE)</f>
        <v>#N/A</v>
      </c>
    </row>
    <row r="456" spans="40:40" x14ac:dyDescent="0.25">
      <c r="AN456" s="36" t="e">
        <f>VLOOKUP(I456,Sheet1!A:D,4,FALSE)</f>
        <v>#N/A</v>
      </c>
    </row>
    <row r="457" spans="40:40" x14ac:dyDescent="0.25">
      <c r="AN457" s="36" t="e">
        <f>VLOOKUP(I457,Sheet1!A:D,4,FALSE)</f>
        <v>#N/A</v>
      </c>
    </row>
    <row r="458" spans="40:40" x14ac:dyDescent="0.25">
      <c r="AN458" s="36" t="e">
        <f>VLOOKUP(I458,Sheet1!A:D,4,FALSE)</f>
        <v>#N/A</v>
      </c>
    </row>
    <row r="459" spans="40:40" x14ac:dyDescent="0.25">
      <c r="AN459" s="36" t="e">
        <f>VLOOKUP(I459,Sheet1!A:D,4,FALSE)</f>
        <v>#N/A</v>
      </c>
    </row>
    <row r="460" spans="40:40" x14ac:dyDescent="0.25">
      <c r="AN460" s="36" t="e">
        <f>VLOOKUP(I460,Sheet1!A:D,4,FALSE)</f>
        <v>#N/A</v>
      </c>
    </row>
    <row r="461" spans="40:40" x14ac:dyDescent="0.25">
      <c r="AN461" s="36" t="e">
        <f>VLOOKUP(I461,Sheet1!A:D,4,FALSE)</f>
        <v>#N/A</v>
      </c>
    </row>
    <row r="462" spans="40:40" x14ac:dyDescent="0.25">
      <c r="AN462" s="36" t="e">
        <f>VLOOKUP(I462,Sheet1!A:D,4,FALSE)</f>
        <v>#N/A</v>
      </c>
    </row>
    <row r="463" spans="40:40" x14ac:dyDescent="0.25">
      <c r="AN463" s="36" t="e">
        <f>VLOOKUP(I463,Sheet1!A:D,4,FALSE)</f>
        <v>#N/A</v>
      </c>
    </row>
    <row r="464" spans="40:40" x14ac:dyDescent="0.25">
      <c r="AN464" s="36" t="e">
        <f>VLOOKUP(I464,Sheet1!A:D,4,FALSE)</f>
        <v>#N/A</v>
      </c>
    </row>
    <row r="465" spans="40:40" x14ac:dyDescent="0.25">
      <c r="AN465" s="36" t="e">
        <f>VLOOKUP(I465,Sheet1!A:D,4,FALSE)</f>
        <v>#N/A</v>
      </c>
    </row>
    <row r="466" spans="40:40" x14ac:dyDescent="0.25">
      <c r="AN466" s="36" t="e">
        <f>VLOOKUP(I466,Sheet1!A:D,4,FALSE)</f>
        <v>#N/A</v>
      </c>
    </row>
    <row r="467" spans="40:40" x14ac:dyDescent="0.25">
      <c r="AN467" s="36" t="e">
        <f>VLOOKUP(I467,Sheet1!A:D,4,FALSE)</f>
        <v>#N/A</v>
      </c>
    </row>
    <row r="468" spans="40:40" x14ac:dyDescent="0.25">
      <c r="AN468" s="36" t="e">
        <f>VLOOKUP(I468,Sheet1!A:D,4,FALSE)</f>
        <v>#N/A</v>
      </c>
    </row>
    <row r="469" spans="40:40" x14ac:dyDescent="0.25">
      <c r="AN469" s="36" t="e">
        <f>VLOOKUP(I469,Sheet1!A:D,4,FALSE)</f>
        <v>#N/A</v>
      </c>
    </row>
    <row r="470" spans="40:40" x14ac:dyDescent="0.25">
      <c r="AN470" s="36" t="e">
        <f>VLOOKUP(I470,Sheet1!A:D,4,FALSE)</f>
        <v>#N/A</v>
      </c>
    </row>
    <row r="471" spans="40:40" x14ac:dyDescent="0.25">
      <c r="AN471" s="36" t="e">
        <f>VLOOKUP(I471,Sheet1!A:D,4,FALSE)</f>
        <v>#N/A</v>
      </c>
    </row>
    <row r="472" spans="40:40" x14ac:dyDescent="0.25">
      <c r="AN472" s="36" t="e">
        <f>VLOOKUP(I472,Sheet1!A:D,4,FALSE)</f>
        <v>#N/A</v>
      </c>
    </row>
    <row r="473" spans="40:40" x14ac:dyDescent="0.25">
      <c r="AN473" s="36" t="e">
        <f>VLOOKUP(I473,Sheet1!A:D,4,FALSE)</f>
        <v>#N/A</v>
      </c>
    </row>
    <row r="474" spans="40:40" x14ac:dyDescent="0.25">
      <c r="AN474" s="36" t="e">
        <f>VLOOKUP(I474,Sheet1!A:D,4,FALSE)</f>
        <v>#N/A</v>
      </c>
    </row>
    <row r="475" spans="40:40" x14ac:dyDescent="0.25">
      <c r="AN475" s="36" t="e">
        <f>VLOOKUP(I475,Sheet1!A:D,4,FALSE)</f>
        <v>#N/A</v>
      </c>
    </row>
    <row r="476" spans="40:40" x14ac:dyDescent="0.25">
      <c r="AN476" s="36" t="e">
        <f>VLOOKUP(I476,Sheet1!A:D,4,FALSE)</f>
        <v>#N/A</v>
      </c>
    </row>
    <row r="477" spans="40:40" x14ac:dyDescent="0.25">
      <c r="AN477" s="36" t="e">
        <f>VLOOKUP(I477,Sheet1!A:D,4,FALSE)</f>
        <v>#N/A</v>
      </c>
    </row>
    <row r="478" spans="40:40" x14ac:dyDescent="0.25">
      <c r="AN478" s="36" t="e">
        <f>VLOOKUP(I478,Sheet1!A:D,4,FALSE)</f>
        <v>#N/A</v>
      </c>
    </row>
    <row r="479" spans="40:40" x14ac:dyDescent="0.25">
      <c r="AN479" s="36" t="e">
        <f>VLOOKUP(I479,Sheet1!A:D,4,FALSE)</f>
        <v>#N/A</v>
      </c>
    </row>
    <row r="480" spans="40:40" x14ac:dyDescent="0.25">
      <c r="AN480" s="36" t="e">
        <f>VLOOKUP(I480,Sheet1!A:D,4,FALSE)</f>
        <v>#N/A</v>
      </c>
    </row>
    <row r="481" spans="40:42" x14ac:dyDescent="0.25">
      <c r="AN481" s="36" t="e">
        <f>VLOOKUP(I481,Sheet1!A:D,4,FALSE)</f>
        <v>#N/A</v>
      </c>
    </row>
    <row r="482" spans="40:42" x14ac:dyDescent="0.25">
      <c r="AN482" s="36" t="e">
        <f>VLOOKUP(I482,Sheet1!A:D,4,FALSE)</f>
        <v>#N/A</v>
      </c>
    </row>
    <row r="483" spans="40:42" x14ac:dyDescent="0.25">
      <c r="AN483" s="36" t="e">
        <f>VLOOKUP(I483,Sheet1!A:D,4,FALSE)</f>
        <v>#N/A</v>
      </c>
    </row>
    <row r="484" spans="40:42" x14ac:dyDescent="0.25">
      <c r="AN484" s="36" t="e">
        <f>VLOOKUP(I484,Sheet1!A:D,4,FALSE)</f>
        <v>#N/A</v>
      </c>
    </row>
    <row r="485" spans="40:42" x14ac:dyDescent="0.25">
      <c r="AN485" s="36" t="e">
        <f>VLOOKUP(I485,Sheet1!A:D,4,FALSE)</f>
        <v>#N/A</v>
      </c>
    </row>
    <row r="486" spans="40:42" x14ac:dyDescent="0.25">
      <c r="AN486" s="36" t="e">
        <f>VLOOKUP(I486,Sheet1!A:D,4,FALSE)</f>
        <v>#N/A</v>
      </c>
    </row>
    <row r="487" spans="40:42" x14ac:dyDescent="0.25">
      <c r="AN487" s="36" t="e">
        <f>VLOOKUP(I487,Sheet1!A:D,4,FALSE)</f>
        <v>#N/A</v>
      </c>
      <c r="AP487" s="36"/>
    </row>
    <row r="488" spans="40:42" x14ac:dyDescent="0.25">
      <c r="AN488" s="36" t="e">
        <f>VLOOKUP(I488,Sheet1!A:D,4,FALSE)</f>
        <v>#N/A</v>
      </c>
      <c r="AP488" s="36"/>
    </row>
    <row r="489" spans="40:42" x14ac:dyDescent="0.25">
      <c r="AN489" s="36" t="e">
        <f>VLOOKUP(I489,Sheet1!A:D,4,FALSE)</f>
        <v>#N/A</v>
      </c>
    </row>
    <row r="490" spans="40:42" x14ac:dyDescent="0.25">
      <c r="AN490" s="36" t="e">
        <f>VLOOKUP(I490,Sheet1!A:D,4,FALSE)</f>
        <v>#N/A</v>
      </c>
    </row>
    <row r="491" spans="40:42" x14ac:dyDescent="0.25">
      <c r="AN491" s="36" t="e">
        <f>VLOOKUP(I491,Sheet1!A:D,4,FALSE)</f>
        <v>#N/A</v>
      </c>
    </row>
    <row r="492" spans="40:42" x14ac:dyDescent="0.25">
      <c r="AN492" s="36" t="e">
        <f>VLOOKUP(I492,Sheet1!A:D,4,FALSE)</f>
        <v>#N/A</v>
      </c>
    </row>
    <row r="493" spans="40:42" x14ac:dyDescent="0.25">
      <c r="AN493" s="36" t="e">
        <f>VLOOKUP(I493,Sheet1!A:D,4,FALSE)</f>
        <v>#N/A</v>
      </c>
    </row>
    <row r="494" spans="40:42" x14ac:dyDescent="0.25">
      <c r="AN494" s="36" t="e">
        <f>VLOOKUP(I494,Sheet1!A:D,4,FALSE)</f>
        <v>#N/A</v>
      </c>
    </row>
    <row r="495" spans="40:42" x14ac:dyDescent="0.25">
      <c r="AN495" s="36" t="e">
        <f>VLOOKUP(I495,Sheet1!A:D,4,FALSE)</f>
        <v>#N/A</v>
      </c>
    </row>
    <row r="496" spans="40:42" x14ac:dyDescent="0.25">
      <c r="AN496" s="36" t="e">
        <f>VLOOKUP(I496,Sheet1!A:D,4,FALSE)</f>
        <v>#N/A</v>
      </c>
    </row>
    <row r="497" spans="40:42" x14ac:dyDescent="0.25">
      <c r="AN497" s="36" t="e">
        <f>VLOOKUP(I497,Sheet1!A:D,4,FALSE)</f>
        <v>#N/A</v>
      </c>
    </row>
    <row r="498" spans="40:42" x14ac:dyDescent="0.25">
      <c r="AN498" s="36" t="e">
        <f>VLOOKUP(I498,Sheet1!A:D,4,FALSE)</f>
        <v>#N/A</v>
      </c>
      <c r="AP498" s="36"/>
    </row>
    <row r="499" spans="40:42" x14ac:dyDescent="0.25">
      <c r="AN499" s="36" t="e">
        <f>VLOOKUP(I499,Sheet1!A:D,4,FALSE)</f>
        <v>#N/A</v>
      </c>
      <c r="AP499" s="36"/>
    </row>
    <row r="500" spans="40:42" x14ac:dyDescent="0.25">
      <c r="AN500" s="36" t="e">
        <f>VLOOKUP(I500,Sheet1!A:D,4,FALSE)</f>
        <v>#N/A</v>
      </c>
      <c r="AP500" s="36"/>
    </row>
    <row r="501" spans="40:42" x14ac:dyDescent="0.25">
      <c r="AN501" s="36" t="e">
        <f>VLOOKUP(I501,Sheet1!A:D,4,FALSE)</f>
        <v>#N/A</v>
      </c>
      <c r="AP501" s="36"/>
    </row>
    <row r="502" spans="40:42" x14ac:dyDescent="0.25">
      <c r="AN502" s="36" t="e">
        <f>VLOOKUP(I502,Sheet1!A:D,4,FALSE)</f>
        <v>#N/A</v>
      </c>
    </row>
    <row r="503" spans="40:42" x14ac:dyDescent="0.25">
      <c r="AN503" s="36" t="e">
        <f>VLOOKUP(I503,Sheet1!A:D,4,FALSE)</f>
        <v>#N/A</v>
      </c>
    </row>
    <row r="504" spans="40:42" x14ac:dyDescent="0.25">
      <c r="AN504" s="36" t="e">
        <f>VLOOKUP(I504,Sheet1!A:D,4,FALSE)</f>
        <v>#N/A</v>
      </c>
    </row>
    <row r="505" spans="40:42" x14ac:dyDescent="0.25">
      <c r="AN505" s="36" t="e">
        <f>VLOOKUP(I505,Sheet1!A:D,4,FALSE)</f>
        <v>#N/A</v>
      </c>
    </row>
    <row r="506" spans="40:42" x14ac:dyDescent="0.25">
      <c r="AN506" s="36" t="e">
        <f>VLOOKUP(I506,Sheet1!A:D,4,FALSE)</f>
        <v>#N/A</v>
      </c>
    </row>
    <row r="507" spans="40:42" x14ac:dyDescent="0.25">
      <c r="AN507" s="36" t="e">
        <f>VLOOKUP(I507,Sheet1!A:D,4,FALSE)</f>
        <v>#N/A</v>
      </c>
    </row>
    <row r="508" spans="40:42" x14ac:dyDescent="0.25">
      <c r="AN508" s="36" t="e">
        <f>VLOOKUP(I508,Sheet1!A:D,4,FALSE)</f>
        <v>#N/A</v>
      </c>
    </row>
    <row r="509" spans="40:42" x14ac:dyDescent="0.25">
      <c r="AN509" s="36" t="e">
        <f>VLOOKUP(I509,Sheet1!A:D,4,FALSE)</f>
        <v>#N/A</v>
      </c>
    </row>
    <row r="510" spans="40:42" x14ac:dyDescent="0.25">
      <c r="AN510" s="36" t="e">
        <f>VLOOKUP(I510,Sheet1!A:D,4,FALSE)</f>
        <v>#N/A</v>
      </c>
    </row>
    <row r="511" spans="40:42" x14ac:dyDescent="0.25">
      <c r="AN511" s="36" t="e">
        <f>VLOOKUP(I511,Sheet1!A:D,4,FALSE)</f>
        <v>#N/A</v>
      </c>
    </row>
    <row r="512" spans="40:42" x14ac:dyDescent="0.25">
      <c r="AN512" s="36" t="e">
        <f>VLOOKUP(I512,Sheet1!A:D,4,FALSE)</f>
        <v>#N/A</v>
      </c>
    </row>
    <row r="513" spans="40:40" x14ac:dyDescent="0.25">
      <c r="AN513" s="36" t="e">
        <f>VLOOKUP(I513,Sheet1!A:D,4,FALSE)</f>
        <v>#N/A</v>
      </c>
    </row>
    <row r="514" spans="40:40" x14ac:dyDescent="0.25">
      <c r="AN514" s="36" t="e">
        <f>VLOOKUP(I514,Sheet1!A:D,4,FALSE)</f>
        <v>#N/A</v>
      </c>
    </row>
    <row r="515" spans="40:40" x14ac:dyDescent="0.25">
      <c r="AN515" s="36" t="e">
        <f>VLOOKUP(I515,Sheet1!A:D,4,FALSE)</f>
        <v>#N/A</v>
      </c>
    </row>
    <row r="516" spans="40:40" x14ac:dyDescent="0.25">
      <c r="AN516" s="36" t="e">
        <f>VLOOKUP(I516,Sheet1!A:D,4,FALSE)</f>
        <v>#N/A</v>
      </c>
    </row>
    <row r="517" spans="40:40" x14ac:dyDescent="0.25">
      <c r="AN517" s="36" t="e">
        <f>VLOOKUP(I517,Sheet1!A:D,4,FALSE)</f>
        <v>#N/A</v>
      </c>
    </row>
    <row r="518" spans="40:40" x14ac:dyDescent="0.25">
      <c r="AN518" s="36" t="e">
        <f>VLOOKUP(I518,Sheet1!A:D,4,FALSE)</f>
        <v>#N/A</v>
      </c>
    </row>
    <row r="519" spans="40:40" x14ac:dyDescent="0.25">
      <c r="AN519" s="36" t="e">
        <f>VLOOKUP(I519,Sheet1!A:D,4,FALSE)</f>
        <v>#N/A</v>
      </c>
    </row>
    <row r="520" spans="40:40" x14ac:dyDescent="0.25">
      <c r="AN520" s="36" t="e">
        <f>VLOOKUP(I520,Sheet1!A:D,4,FALSE)</f>
        <v>#N/A</v>
      </c>
    </row>
    <row r="521" spans="40:40" x14ac:dyDescent="0.25">
      <c r="AN521" s="36" t="e">
        <f>VLOOKUP(I521,Sheet1!A:D,4,FALSE)</f>
        <v>#N/A</v>
      </c>
    </row>
    <row r="522" spans="40:40" x14ac:dyDescent="0.25">
      <c r="AN522" s="36" t="e">
        <f>VLOOKUP(I522,Sheet1!A:D,4,FALSE)</f>
        <v>#N/A</v>
      </c>
    </row>
    <row r="523" spans="40:40" x14ac:dyDescent="0.25">
      <c r="AN523" s="36" t="e">
        <f>VLOOKUP(I523,Sheet1!A:D,4,FALSE)</f>
        <v>#N/A</v>
      </c>
    </row>
    <row r="524" spans="40:40" x14ac:dyDescent="0.25">
      <c r="AN524" s="36" t="e">
        <f>VLOOKUP(I524,Sheet1!A:D,4,FALSE)</f>
        <v>#N/A</v>
      </c>
    </row>
    <row r="525" spans="40:40" x14ac:dyDescent="0.25">
      <c r="AN525" s="36" t="e">
        <f>VLOOKUP(I525,Sheet1!A:D,4,FALSE)</f>
        <v>#N/A</v>
      </c>
    </row>
    <row r="526" spans="40:40" x14ac:dyDescent="0.25">
      <c r="AN526" s="36" t="e">
        <f>VLOOKUP(I526,Sheet1!A:D,4,FALSE)</f>
        <v>#N/A</v>
      </c>
    </row>
    <row r="527" spans="40:40" x14ac:dyDescent="0.25">
      <c r="AN527" s="36" t="e">
        <f>VLOOKUP(I527,Sheet1!A:D,4,FALSE)</f>
        <v>#N/A</v>
      </c>
    </row>
    <row r="528" spans="40:40" x14ac:dyDescent="0.25">
      <c r="AN528" s="36" t="e">
        <f>VLOOKUP(I528,Sheet1!A:D,4,FALSE)</f>
        <v>#N/A</v>
      </c>
    </row>
    <row r="529" spans="40:42" x14ac:dyDescent="0.25">
      <c r="AN529" s="36" t="e">
        <f>VLOOKUP(I529,Sheet1!A:D,4,FALSE)</f>
        <v>#N/A</v>
      </c>
    </row>
    <row r="530" spans="40:42" x14ac:dyDescent="0.25">
      <c r="AN530" s="36" t="e">
        <f>VLOOKUP(I530,Sheet1!A:D,4,FALSE)</f>
        <v>#N/A</v>
      </c>
    </row>
    <row r="531" spans="40:42" x14ac:dyDescent="0.25">
      <c r="AN531" s="36" t="e">
        <f>VLOOKUP(I531,Sheet1!A:D,4,FALSE)</f>
        <v>#N/A</v>
      </c>
      <c r="AP531" s="36"/>
    </row>
    <row r="532" spans="40:42" x14ac:dyDescent="0.25">
      <c r="AN532" s="36" t="e">
        <f>VLOOKUP(I532,Sheet1!A:D,4,FALSE)</f>
        <v>#N/A</v>
      </c>
      <c r="AP532" s="36"/>
    </row>
    <row r="533" spans="40:42" x14ac:dyDescent="0.25">
      <c r="AN533" s="36" t="e">
        <f>VLOOKUP(I533,Sheet1!A:D,4,FALSE)</f>
        <v>#N/A</v>
      </c>
      <c r="AP533" s="36"/>
    </row>
    <row r="534" spans="40:42" x14ac:dyDescent="0.25">
      <c r="AN534" s="36" t="e">
        <f>VLOOKUP(I534,Sheet1!A:D,4,FALSE)</f>
        <v>#N/A</v>
      </c>
      <c r="AP534" s="36"/>
    </row>
    <row r="535" spans="40:42" x14ac:dyDescent="0.25">
      <c r="AN535" s="36" t="e">
        <f>VLOOKUP(I535,Sheet1!A:D,4,FALSE)</f>
        <v>#N/A</v>
      </c>
      <c r="AP535" s="36"/>
    </row>
    <row r="536" spans="40:42" x14ac:dyDescent="0.25">
      <c r="AN536" s="36" t="e">
        <f>VLOOKUP(I536,Sheet1!A:D,4,FALSE)</f>
        <v>#N/A</v>
      </c>
    </row>
    <row r="537" spans="40:42" x14ac:dyDescent="0.25">
      <c r="AN537" s="36" t="e">
        <f>VLOOKUP(I537,Sheet1!A:D,4,FALSE)</f>
        <v>#N/A</v>
      </c>
    </row>
    <row r="538" spans="40:42" x14ac:dyDescent="0.25">
      <c r="AN538" s="36" t="e">
        <f>VLOOKUP(I538,Sheet1!A:D,4,FALSE)</f>
        <v>#N/A</v>
      </c>
    </row>
    <row r="539" spans="40:42" x14ac:dyDescent="0.25">
      <c r="AN539" s="36" t="e">
        <f>VLOOKUP(I539,Sheet1!A:D,4,FALSE)</f>
        <v>#N/A</v>
      </c>
    </row>
    <row r="540" spans="40:42" x14ac:dyDescent="0.25">
      <c r="AN540" s="36" t="e">
        <f>VLOOKUP(I540,Sheet1!A:D,4,FALSE)</f>
        <v>#N/A</v>
      </c>
    </row>
    <row r="541" spans="40:42" x14ac:dyDescent="0.25">
      <c r="AN541" s="36" t="e">
        <f>VLOOKUP(I541,Sheet1!A:D,4,FALSE)</f>
        <v>#N/A</v>
      </c>
    </row>
    <row r="542" spans="40:42" x14ac:dyDescent="0.25">
      <c r="AN542" s="36" t="e">
        <f>VLOOKUP(I542,Sheet1!A:D,4,FALSE)</f>
        <v>#N/A</v>
      </c>
    </row>
    <row r="543" spans="40:42" x14ac:dyDescent="0.25">
      <c r="AN543" s="36" t="e">
        <f>VLOOKUP(I543,Sheet1!A:D,4,FALSE)</f>
        <v>#N/A</v>
      </c>
    </row>
    <row r="544" spans="40:42" x14ac:dyDescent="0.25">
      <c r="AN544" s="36" t="e">
        <f>VLOOKUP(I544,Sheet1!A:D,4,FALSE)</f>
        <v>#N/A</v>
      </c>
    </row>
    <row r="545" spans="40:40" x14ac:dyDescent="0.25">
      <c r="AN545" s="36" t="e">
        <f>VLOOKUP(I545,Sheet1!A:D,4,FALSE)</f>
        <v>#N/A</v>
      </c>
    </row>
    <row r="546" spans="40:40" x14ac:dyDescent="0.25">
      <c r="AN546" s="36" t="e">
        <f>VLOOKUP(I546,Sheet1!A:D,4,FALSE)</f>
        <v>#N/A</v>
      </c>
    </row>
    <row r="547" spans="40:40" x14ac:dyDescent="0.25">
      <c r="AN547" s="36" t="e">
        <f>VLOOKUP(I547,Sheet1!A:D,4,FALSE)</f>
        <v>#N/A</v>
      </c>
    </row>
    <row r="548" spans="40:40" x14ac:dyDescent="0.25">
      <c r="AN548" s="36" t="e">
        <f>VLOOKUP(I548,Sheet1!A:D,4,FALSE)</f>
        <v>#N/A</v>
      </c>
    </row>
    <row r="549" spans="40:40" x14ac:dyDescent="0.25">
      <c r="AN549" s="36" t="e">
        <f>VLOOKUP(I549,Sheet1!A:D,4,FALSE)</f>
        <v>#N/A</v>
      </c>
    </row>
    <row r="550" spans="40:40" x14ac:dyDescent="0.25">
      <c r="AN550" s="36" t="e">
        <f>VLOOKUP(I550,Sheet1!A:D,4,FALSE)</f>
        <v>#N/A</v>
      </c>
    </row>
    <row r="551" spans="40:40" x14ac:dyDescent="0.25">
      <c r="AN551" s="36" t="e">
        <f>VLOOKUP(I551,Sheet1!A:D,4,FALSE)</f>
        <v>#N/A</v>
      </c>
    </row>
    <row r="552" spans="40:40" x14ac:dyDescent="0.25">
      <c r="AN552" s="36" t="e">
        <f>VLOOKUP(I552,Sheet1!A:D,4,FALSE)</f>
        <v>#N/A</v>
      </c>
    </row>
    <row r="553" spans="40:40" x14ac:dyDescent="0.25">
      <c r="AN553" s="36" t="e">
        <f>VLOOKUP(I553,Sheet1!A:D,4,FALSE)</f>
        <v>#N/A</v>
      </c>
    </row>
    <row r="554" spans="40:40" x14ac:dyDescent="0.25">
      <c r="AN554" s="36" t="e">
        <f>VLOOKUP(I554,Sheet1!A:D,4,FALSE)</f>
        <v>#N/A</v>
      </c>
    </row>
    <row r="555" spans="40:40" x14ac:dyDescent="0.25">
      <c r="AN555" s="36" t="e">
        <f>VLOOKUP(I555,Sheet1!A:D,4,FALSE)</f>
        <v>#N/A</v>
      </c>
    </row>
    <row r="556" spans="40:40" x14ac:dyDescent="0.25">
      <c r="AN556" s="36" t="e">
        <f>VLOOKUP(I556,Sheet1!A:D,4,FALSE)</f>
        <v>#N/A</v>
      </c>
    </row>
    <row r="557" spans="40:40" x14ac:dyDescent="0.25">
      <c r="AN557" s="36" t="e">
        <f>VLOOKUP(I557,Sheet1!A:D,4,FALSE)</f>
        <v>#N/A</v>
      </c>
    </row>
    <row r="558" spans="40:40" x14ac:dyDescent="0.25">
      <c r="AN558" s="36" t="e">
        <f>VLOOKUP(I558,Sheet1!A:D,4,FALSE)</f>
        <v>#N/A</v>
      </c>
    </row>
    <row r="559" spans="40:40" x14ac:dyDescent="0.25">
      <c r="AN559" s="36" t="e">
        <f>VLOOKUP(I559,Sheet1!A:D,4,FALSE)</f>
        <v>#N/A</v>
      </c>
    </row>
    <row r="560" spans="40:40" x14ac:dyDescent="0.25">
      <c r="AN560" s="36" t="e">
        <f>VLOOKUP(I560,Sheet1!A:D,4,FALSE)</f>
        <v>#N/A</v>
      </c>
    </row>
    <row r="561" spans="40:42" x14ac:dyDescent="0.25">
      <c r="AN561" s="36" t="e">
        <f>VLOOKUP(I561,Sheet1!A:D,4,FALSE)</f>
        <v>#N/A</v>
      </c>
    </row>
    <row r="562" spans="40:42" x14ac:dyDescent="0.25">
      <c r="AN562" s="36" t="e">
        <f>VLOOKUP(I562,Sheet1!A:D,4,FALSE)</f>
        <v>#N/A</v>
      </c>
    </row>
    <row r="563" spans="40:42" x14ac:dyDescent="0.25">
      <c r="AN563" s="36" t="e">
        <f>VLOOKUP(I563,Sheet1!A:D,4,FALSE)</f>
        <v>#N/A</v>
      </c>
    </row>
    <row r="564" spans="40:42" x14ac:dyDescent="0.25">
      <c r="AN564" s="36" t="e">
        <f>VLOOKUP(I564,Sheet1!A:D,4,FALSE)</f>
        <v>#N/A</v>
      </c>
    </row>
    <row r="565" spans="40:42" x14ac:dyDescent="0.25">
      <c r="AN565" s="36" t="e">
        <f>VLOOKUP(I565,Sheet1!A:D,4,FALSE)</f>
        <v>#N/A</v>
      </c>
    </row>
    <row r="566" spans="40:42" x14ac:dyDescent="0.25">
      <c r="AN566" s="36" t="e">
        <f>VLOOKUP(I566,Sheet1!A:D,4,FALSE)</f>
        <v>#N/A</v>
      </c>
    </row>
    <row r="567" spans="40:42" x14ac:dyDescent="0.25">
      <c r="AN567" s="36" t="e">
        <f>VLOOKUP(I567,Sheet1!A:D,4,FALSE)</f>
        <v>#N/A</v>
      </c>
    </row>
    <row r="568" spans="40:42" x14ac:dyDescent="0.25">
      <c r="AN568" s="36" t="e">
        <f>VLOOKUP(I568,Sheet1!A:D,4,FALSE)</f>
        <v>#N/A</v>
      </c>
    </row>
    <row r="569" spans="40:42" x14ac:dyDescent="0.25">
      <c r="AN569" s="36" t="e">
        <f>VLOOKUP(I569,Sheet1!A:D,4,FALSE)</f>
        <v>#N/A</v>
      </c>
    </row>
    <row r="570" spans="40:42" x14ac:dyDescent="0.25">
      <c r="AN570" s="36" t="e">
        <f>VLOOKUP(I570,Sheet1!A:D,4,FALSE)</f>
        <v>#N/A</v>
      </c>
    </row>
    <row r="571" spans="40:42" x14ac:dyDescent="0.25">
      <c r="AN571" s="36"/>
      <c r="AP571" s="4" t="s">
        <v>845</v>
      </c>
    </row>
    <row r="572" spans="40:42" x14ac:dyDescent="0.25">
      <c r="AN572" s="36"/>
      <c r="AP572" s="4" t="s">
        <v>845</v>
      </c>
    </row>
    <row r="573" spans="40:42" x14ac:dyDescent="0.25">
      <c r="AN573" s="36"/>
      <c r="AP573" s="4" t="s">
        <v>859</v>
      </c>
    </row>
    <row r="574" spans="40:42" x14ac:dyDescent="0.25">
      <c r="AN574" s="36"/>
      <c r="AP574" s="4" t="s">
        <v>859</v>
      </c>
    </row>
    <row r="575" spans="40:42" x14ac:dyDescent="0.25">
      <c r="AN575" s="36"/>
      <c r="AP575" s="4" t="s">
        <v>859</v>
      </c>
    </row>
    <row r="576" spans="40:42" x14ac:dyDescent="0.25">
      <c r="AN576" s="36"/>
      <c r="AP576" s="4" t="s">
        <v>859</v>
      </c>
    </row>
    <row r="577" spans="40:42" x14ac:dyDescent="0.25">
      <c r="AN577" s="36"/>
      <c r="AP577" s="4" t="s">
        <v>859</v>
      </c>
    </row>
    <row r="578" spans="40:42" x14ac:dyDescent="0.25">
      <c r="AN578" s="36"/>
      <c r="AP578" s="4" t="s">
        <v>859</v>
      </c>
    </row>
    <row r="579" spans="40:42" x14ac:dyDescent="0.25">
      <c r="AN579" s="36"/>
      <c r="AP579" s="4" t="s">
        <v>859</v>
      </c>
    </row>
    <row r="580" spans="40:42" x14ac:dyDescent="0.25">
      <c r="AN580" s="36"/>
      <c r="AP580" s="4" t="s">
        <v>859</v>
      </c>
    </row>
    <row r="581" spans="40:42" x14ac:dyDescent="0.25">
      <c r="AN581" s="36"/>
      <c r="AP581" s="4" t="s">
        <v>859</v>
      </c>
    </row>
    <row r="582" spans="40:42" x14ac:dyDescent="0.25">
      <c r="AN582" s="36"/>
      <c r="AP582" s="4" t="s">
        <v>859</v>
      </c>
    </row>
    <row r="583" spans="40:42" x14ac:dyDescent="0.25">
      <c r="AN583" s="36"/>
      <c r="AP583" s="4" t="s">
        <v>859</v>
      </c>
    </row>
    <row r="584" spans="40:42" x14ac:dyDescent="0.25">
      <c r="AN584" s="36"/>
      <c r="AP584" s="4" t="s">
        <v>859</v>
      </c>
    </row>
    <row r="585" spans="40:42" x14ac:dyDescent="0.25">
      <c r="AN585" s="36"/>
      <c r="AP585" s="4" t="s">
        <v>859</v>
      </c>
    </row>
    <row r="586" spans="40:42" x14ac:dyDescent="0.25">
      <c r="AN586" s="36"/>
      <c r="AP586" s="4" t="s">
        <v>859</v>
      </c>
    </row>
    <row r="587" spans="40:42" x14ac:dyDescent="0.25">
      <c r="AN587" s="36"/>
      <c r="AP587" s="4" t="s">
        <v>887</v>
      </c>
    </row>
    <row r="588" spans="40:42" x14ac:dyDescent="0.25">
      <c r="AN588" s="36"/>
      <c r="AP588" s="4" t="s">
        <v>887</v>
      </c>
    </row>
    <row r="589" spans="40:42" x14ac:dyDescent="0.25">
      <c r="AN589" s="36"/>
      <c r="AP589" s="4" t="s">
        <v>887</v>
      </c>
    </row>
    <row r="590" spans="40:42" x14ac:dyDescent="0.25">
      <c r="AN590" s="36"/>
      <c r="AP590" s="4" t="s">
        <v>887</v>
      </c>
    </row>
    <row r="591" spans="40:42" x14ac:dyDescent="0.25">
      <c r="AN591" s="36"/>
      <c r="AP591" s="4" t="s">
        <v>887</v>
      </c>
    </row>
    <row r="592" spans="40:42" x14ac:dyDescent="0.25">
      <c r="AN592" s="36"/>
      <c r="AP592" s="4" t="s">
        <v>887</v>
      </c>
    </row>
    <row r="593" spans="40:42" x14ac:dyDescent="0.25">
      <c r="AN593" s="36"/>
      <c r="AP593" s="4" t="s">
        <v>887</v>
      </c>
    </row>
    <row r="594" spans="40:42" x14ac:dyDescent="0.25">
      <c r="AN594" s="36"/>
      <c r="AP594" s="4" t="s">
        <v>887</v>
      </c>
    </row>
    <row r="595" spans="40:42" x14ac:dyDescent="0.25">
      <c r="AN595" s="36"/>
      <c r="AP595" s="4" t="s">
        <v>887</v>
      </c>
    </row>
    <row r="596" spans="40:42" x14ac:dyDescent="0.25">
      <c r="AN596" s="36"/>
      <c r="AP596" s="4" t="s">
        <v>887</v>
      </c>
    </row>
    <row r="597" spans="40:42" x14ac:dyDescent="0.25">
      <c r="AN597" s="36"/>
      <c r="AP597" s="4" t="s">
        <v>887</v>
      </c>
    </row>
    <row r="598" spans="40:42" x14ac:dyDescent="0.25">
      <c r="AN598" s="36"/>
      <c r="AP598" s="4" t="s">
        <v>887</v>
      </c>
    </row>
    <row r="599" spans="40:42" x14ac:dyDescent="0.25">
      <c r="AN599" s="36"/>
      <c r="AP599" s="4" t="s">
        <v>887</v>
      </c>
    </row>
    <row r="600" spans="40:42" x14ac:dyDescent="0.25">
      <c r="AN600" s="36"/>
      <c r="AP600" s="4" t="s">
        <v>887</v>
      </c>
    </row>
    <row r="601" spans="40:42" x14ac:dyDescent="0.25">
      <c r="AN601" s="36"/>
      <c r="AP601" s="4" t="s">
        <v>887</v>
      </c>
    </row>
    <row r="602" spans="40:42" x14ac:dyDescent="0.25">
      <c r="AN602" s="36"/>
      <c r="AP602" s="4" t="s">
        <v>887</v>
      </c>
    </row>
    <row r="603" spans="40:42" x14ac:dyDescent="0.25">
      <c r="AN603" s="36"/>
      <c r="AP603" s="4" t="s">
        <v>887</v>
      </c>
    </row>
    <row r="604" spans="40:42" x14ac:dyDescent="0.25">
      <c r="AN604" s="36"/>
      <c r="AP604" s="4" t="s">
        <v>906</v>
      </c>
    </row>
    <row r="605" spans="40:42" x14ac:dyDescent="0.25">
      <c r="AN605" s="36"/>
      <c r="AP605" s="4" t="s">
        <v>919</v>
      </c>
    </row>
    <row r="606" spans="40:42" x14ac:dyDescent="0.25">
      <c r="AN606" s="36"/>
      <c r="AP606" s="4" t="s">
        <v>919</v>
      </c>
    </row>
    <row r="607" spans="40:42" x14ac:dyDescent="0.25">
      <c r="AN607" s="36"/>
      <c r="AP607" s="4" t="s">
        <v>919</v>
      </c>
    </row>
    <row r="608" spans="40:42" x14ac:dyDescent="0.25">
      <c r="AN608" s="36"/>
      <c r="AP608" s="4" t="s">
        <v>926</v>
      </c>
    </row>
    <row r="609" spans="40:42" x14ac:dyDescent="0.25">
      <c r="AN609" s="36"/>
      <c r="AP609" s="4" t="s">
        <v>926</v>
      </c>
    </row>
    <row r="610" spans="40:42" x14ac:dyDescent="0.25">
      <c r="AN610" s="36"/>
      <c r="AP610" s="4" t="s">
        <v>926</v>
      </c>
    </row>
    <row r="611" spans="40:42" x14ac:dyDescent="0.25">
      <c r="AN611" s="36"/>
      <c r="AP611" s="4" t="s">
        <v>926</v>
      </c>
    </row>
    <row r="612" spans="40:42" x14ac:dyDescent="0.25">
      <c r="AN612" s="36"/>
      <c r="AP612" s="4" t="s">
        <v>926</v>
      </c>
    </row>
    <row r="613" spans="40:42" x14ac:dyDescent="0.25">
      <c r="AN613" s="36"/>
      <c r="AP613" s="4" t="s">
        <v>926</v>
      </c>
    </row>
    <row r="614" spans="40:42" x14ac:dyDescent="0.25">
      <c r="AN614" s="36"/>
      <c r="AP614" s="4" t="s">
        <v>926</v>
      </c>
    </row>
    <row r="615" spans="40:42" x14ac:dyDescent="0.25">
      <c r="AN615" s="36"/>
      <c r="AP615" s="4" t="s">
        <v>926</v>
      </c>
    </row>
    <row r="616" spans="40:42" x14ac:dyDescent="0.25">
      <c r="AN616" s="36"/>
      <c r="AP616" s="4" t="s">
        <v>938</v>
      </c>
    </row>
    <row r="617" spans="40:42" x14ac:dyDescent="0.25">
      <c r="AN617" s="36"/>
      <c r="AP617" s="4" t="s">
        <v>938</v>
      </c>
    </row>
    <row r="618" spans="40:42" x14ac:dyDescent="0.25">
      <c r="AN618" s="36"/>
      <c r="AP618" s="4" t="s">
        <v>938</v>
      </c>
    </row>
    <row r="619" spans="40:42" x14ac:dyDescent="0.25">
      <c r="AN619" s="36"/>
      <c r="AP619" s="4" t="s">
        <v>938</v>
      </c>
    </row>
    <row r="620" spans="40:42" x14ac:dyDescent="0.25">
      <c r="AN620" s="36"/>
      <c r="AP620" s="4" t="s">
        <v>938</v>
      </c>
    </row>
    <row r="621" spans="40:42" x14ac:dyDescent="0.25">
      <c r="AN621" s="36"/>
      <c r="AP621" s="4" t="s">
        <v>938</v>
      </c>
    </row>
    <row r="622" spans="40:42" x14ac:dyDescent="0.25">
      <c r="AN622" s="36"/>
      <c r="AP622" s="4" t="s">
        <v>938</v>
      </c>
    </row>
    <row r="623" spans="40:42" x14ac:dyDescent="0.25">
      <c r="AN623" s="36"/>
      <c r="AP623" s="4" t="s">
        <v>938</v>
      </c>
    </row>
    <row r="624" spans="40:42" x14ac:dyDescent="0.25">
      <c r="AN624" s="36"/>
      <c r="AP624" s="4" t="s">
        <v>938</v>
      </c>
    </row>
    <row r="625" spans="40:42" x14ac:dyDescent="0.25">
      <c r="AN625" s="36"/>
      <c r="AP625" s="4" t="s">
        <v>938</v>
      </c>
    </row>
    <row r="626" spans="40:42" x14ac:dyDescent="0.25">
      <c r="AN626" s="36"/>
      <c r="AP626" s="4" t="s">
        <v>938</v>
      </c>
    </row>
    <row r="627" spans="40:42" x14ac:dyDescent="0.25">
      <c r="AN627" s="36"/>
      <c r="AP627" s="4" t="s">
        <v>938</v>
      </c>
    </row>
    <row r="628" spans="40:42" x14ac:dyDescent="0.25">
      <c r="AN628" s="36"/>
      <c r="AP628" s="4" t="s">
        <v>938</v>
      </c>
    </row>
    <row r="629" spans="40:42" x14ac:dyDescent="0.25">
      <c r="AN629" s="36"/>
      <c r="AP629" s="4" t="s">
        <v>938</v>
      </c>
    </row>
    <row r="630" spans="40:42" x14ac:dyDescent="0.25">
      <c r="AN630" s="36"/>
      <c r="AP630" s="4" t="s">
        <v>938</v>
      </c>
    </row>
    <row r="631" spans="40:42" x14ac:dyDescent="0.25">
      <c r="AN631" s="36"/>
      <c r="AP631" s="4" t="s">
        <v>938</v>
      </c>
    </row>
    <row r="632" spans="40:42" x14ac:dyDescent="0.25">
      <c r="AN632" s="36"/>
      <c r="AP632" s="4" t="s">
        <v>938</v>
      </c>
    </row>
    <row r="633" spans="40:42" x14ac:dyDescent="0.25">
      <c r="AN633" s="36"/>
      <c r="AP633" s="4" t="s">
        <v>938</v>
      </c>
    </row>
    <row r="634" spans="40:42" x14ac:dyDescent="0.25">
      <c r="AN634" s="36"/>
      <c r="AP634" s="4" t="s">
        <v>960</v>
      </c>
    </row>
    <row r="635" spans="40:42" x14ac:dyDescent="0.25">
      <c r="AN635" s="36"/>
      <c r="AP635" s="4" t="s">
        <v>960</v>
      </c>
    </row>
    <row r="636" spans="40:42" x14ac:dyDescent="0.25">
      <c r="AN636" s="36"/>
      <c r="AP636" s="4" t="s">
        <v>960</v>
      </c>
    </row>
    <row r="637" spans="40:42" x14ac:dyDescent="0.25">
      <c r="AN637" s="36"/>
      <c r="AP637" s="4" t="s">
        <v>960</v>
      </c>
    </row>
    <row r="638" spans="40:42" x14ac:dyDescent="0.25">
      <c r="AN638" s="36"/>
      <c r="AP638" s="4" t="s">
        <v>960</v>
      </c>
    </row>
    <row r="639" spans="40:42" x14ac:dyDescent="0.25">
      <c r="AN639" s="36"/>
      <c r="AP639" s="4" t="s">
        <v>960</v>
      </c>
    </row>
    <row r="640" spans="40:42" x14ac:dyDescent="0.25">
      <c r="AN640" s="36"/>
      <c r="AP640" s="4" t="s">
        <v>960</v>
      </c>
    </row>
    <row r="641" spans="40:42" x14ac:dyDescent="0.25">
      <c r="AN641" s="36"/>
      <c r="AP641" s="4" t="s">
        <v>960</v>
      </c>
    </row>
    <row r="642" spans="40:42" x14ac:dyDescent="0.25">
      <c r="AN642" s="36"/>
      <c r="AP642" s="4" t="s">
        <v>967</v>
      </c>
    </row>
    <row r="643" spans="40:42" x14ac:dyDescent="0.25">
      <c r="AN643" s="36"/>
      <c r="AP643" s="4" t="s">
        <v>967</v>
      </c>
    </row>
    <row r="644" spans="40:42" x14ac:dyDescent="0.25">
      <c r="AN644" s="36"/>
      <c r="AP644" s="4" t="s">
        <v>967</v>
      </c>
    </row>
    <row r="645" spans="40:42" x14ac:dyDescent="0.25">
      <c r="AN645" s="36"/>
      <c r="AP645" s="4" t="s">
        <v>967</v>
      </c>
    </row>
    <row r="646" spans="40:42" x14ac:dyDescent="0.25">
      <c r="AN646" s="36"/>
      <c r="AP646" s="4" t="s">
        <v>967</v>
      </c>
    </row>
    <row r="647" spans="40:42" x14ac:dyDescent="0.25">
      <c r="AN647" s="36"/>
      <c r="AP647" s="4" t="s">
        <v>967</v>
      </c>
    </row>
    <row r="648" spans="40:42" x14ac:dyDescent="0.25">
      <c r="AN648" s="36"/>
      <c r="AP648" s="4" t="s">
        <v>967</v>
      </c>
    </row>
    <row r="649" spans="40:42" x14ac:dyDescent="0.25">
      <c r="AN649" s="36"/>
      <c r="AP649" s="4" t="s">
        <v>971</v>
      </c>
    </row>
    <row r="650" spans="40:42" x14ac:dyDescent="0.25">
      <c r="AN650" s="36"/>
      <c r="AP650" s="4" t="s">
        <v>971</v>
      </c>
    </row>
    <row r="651" spans="40:42" x14ac:dyDescent="0.25">
      <c r="AN651" s="36"/>
      <c r="AP651" s="4" t="s">
        <v>971</v>
      </c>
    </row>
    <row r="652" spans="40:42" x14ac:dyDescent="0.25">
      <c r="AN652" s="36"/>
      <c r="AP652" s="4" t="s">
        <v>982</v>
      </c>
    </row>
    <row r="653" spans="40:42" x14ac:dyDescent="0.25">
      <c r="AN653" s="36"/>
      <c r="AP653" s="4" t="s">
        <v>982</v>
      </c>
    </row>
    <row r="654" spans="40:42" x14ac:dyDescent="0.25">
      <c r="AN654" s="36"/>
      <c r="AP654" s="4" t="s">
        <v>982</v>
      </c>
    </row>
    <row r="655" spans="40:42" x14ac:dyDescent="0.25">
      <c r="AN655" s="36"/>
      <c r="AP655" s="4" t="s">
        <v>982</v>
      </c>
    </row>
    <row r="656" spans="40:42" x14ac:dyDescent="0.25">
      <c r="AN656" s="36"/>
      <c r="AP656" s="4" t="s">
        <v>982</v>
      </c>
    </row>
    <row r="657" spans="40:42" x14ac:dyDescent="0.25">
      <c r="AN657" s="36"/>
      <c r="AP657" s="4" t="s">
        <v>982</v>
      </c>
    </row>
    <row r="658" spans="40:42" x14ac:dyDescent="0.25">
      <c r="AN658" s="36"/>
      <c r="AP658" s="4" t="s">
        <v>982</v>
      </c>
    </row>
    <row r="659" spans="40:42" x14ac:dyDescent="0.25">
      <c r="AN659" s="36"/>
      <c r="AP659" s="4" t="s">
        <v>982</v>
      </c>
    </row>
    <row r="660" spans="40:42" x14ac:dyDescent="0.25">
      <c r="AN660" s="36"/>
      <c r="AP660" s="4" t="s">
        <v>982</v>
      </c>
    </row>
    <row r="661" spans="40:42" x14ac:dyDescent="0.25">
      <c r="AN661" s="36"/>
      <c r="AP661" s="4" t="s">
        <v>982</v>
      </c>
    </row>
    <row r="662" spans="40:42" x14ac:dyDescent="0.25">
      <c r="AN662" s="36"/>
      <c r="AP662" s="4" t="s">
        <v>982</v>
      </c>
    </row>
    <row r="663" spans="40:42" x14ac:dyDescent="0.25">
      <c r="AN663" s="36"/>
      <c r="AP663" s="4" t="s">
        <v>982</v>
      </c>
    </row>
    <row r="664" spans="40:42" x14ac:dyDescent="0.25">
      <c r="AN664" s="36"/>
      <c r="AP664" s="4" t="s">
        <v>982</v>
      </c>
    </row>
    <row r="665" spans="40:42" x14ac:dyDescent="0.25">
      <c r="AN665" s="36"/>
      <c r="AP665" s="4" t="s">
        <v>982</v>
      </c>
    </row>
    <row r="666" spans="40:42" x14ac:dyDescent="0.25">
      <c r="AN666" s="36"/>
      <c r="AP666" s="4" t="s">
        <v>982</v>
      </c>
    </row>
    <row r="667" spans="40:42" x14ac:dyDescent="0.25">
      <c r="AN667" s="36"/>
      <c r="AP667" s="4" t="s">
        <v>982</v>
      </c>
    </row>
    <row r="668" spans="40:42" x14ac:dyDescent="0.25">
      <c r="AN668" s="36"/>
      <c r="AP668" s="4" t="s">
        <v>982</v>
      </c>
    </row>
    <row r="669" spans="40:42" x14ac:dyDescent="0.25">
      <c r="AN669" s="36"/>
      <c r="AP669" s="4" t="s">
        <v>982</v>
      </c>
    </row>
    <row r="670" spans="40:42" x14ac:dyDescent="0.25">
      <c r="AN670" s="36"/>
      <c r="AP670" s="4" t="s">
        <v>982</v>
      </c>
    </row>
    <row r="671" spans="40:42" x14ac:dyDescent="0.25">
      <c r="AN671" s="36"/>
      <c r="AP671" s="4" t="s">
        <v>982</v>
      </c>
    </row>
    <row r="672" spans="40:42" x14ac:dyDescent="0.25">
      <c r="AN672" s="36"/>
      <c r="AP672" s="4" t="s">
        <v>982</v>
      </c>
    </row>
    <row r="673" spans="40:42" x14ac:dyDescent="0.25">
      <c r="AN673" s="36"/>
      <c r="AP673" s="4" t="s">
        <v>982</v>
      </c>
    </row>
    <row r="674" spans="40:42" x14ac:dyDescent="0.25">
      <c r="AN674" s="36"/>
      <c r="AP674" s="4" t="s">
        <v>982</v>
      </c>
    </row>
    <row r="675" spans="40:42" x14ac:dyDescent="0.25">
      <c r="AN675" s="36"/>
      <c r="AP675" s="4" t="s">
        <v>982</v>
      </c>
    </row>
    <row r="676" spans="40:42" x14ac:dyDescent="0.25">
      <c r="AN676" s="36"/>
      <c r="AP676" s="4" t="s">
        <v>982</v>
      </c>
    </row>
    <row r="677" spans="40:42" x14ac:dyDescent="0.25">
      <c r="AN677" s="36"/>
      <c r="AP677" s="4" t="s">
        <v>1004</v>
      </c>
    </row>
    <row r="678" spans="40:42" x14ac:dyDescent="0.25">
      <c r="AN678" s="36"/>
      <c r="AP678" s="4" t="s">
        <v>1004</v>
      </c>
    </row>
    <row r="679" spans="40:42" x14ac:dyDescent="0.25">
      <c r="AN679" s="36"/>
      <c r="AP679" s="4" t="s">
        <v>1004</v>
      </c>
    </row>
    <row r="680" spans="40:42" x14ac:dyDescent="0.25">
      <c r="AN680" s="36"/>
      <c r="AP680" s="4" t="s">
        <v>1004</v>
      </c>
    </row>
    <row r="681" spans="40:42" x14ac:dyDescent="0.25">
      <c r="AN681" s="36"/>
      <c r="AP681" s="4" t="s">
        <v>1004</v>
      </c>
    </row>
    <row r="682" spans="40:42" x14ac:dyDescent="0.25">
      <c r="AN682" s="36"/>
      <c r="AP682" s="4" t="s">
        <v>1004</v>
      </c>
    </row>
    <row r="683" spans="40:42" x14ac:dyDescent="0.25">
      <c r="AN683" s="36"/>
      <c r="AP683" s="4" t="s">
        <v>1004</v>
      </c>
    </row>
    <row r="684" spans="40:42" x14ac:dyDescent="0.25">
      <c r="AN684" s="36"/>
      <c r="AP684" s="4" t="s">
        <v>1004</v>
      </c>
    </row>
    <row r="685" spans="40:42" x14ac:dyDescent="0.25">
      <c r="AN685" s="36"/>
      <c r="AP685" s="4" t="s">
        <v>1004</v>
      </c>
    </row>
    <row r="686" spans="40:42" x14ac:dyDescent="0.25">
      <c r="AN686" s="36"/>
      <c r="AP686" s="4" t="s">
        <v>1004</v>
      </c>
    </row>
    <row r="687" spans="40:42" x14ac:dyDescent="0.25">
      <c r="AN687" s="36"/>
      <c r="AP687" s="4" t="s">
        <v>1004</v>
      </c>
    </row>
    <row r="688" spans="40:42" x14ac:dyDescent="0.25">
      <c r="AN688" s="36"/>
      <c r="AP688" s="4" t="s">
        <v>1004</v>
      </c>
    </row>
    <row r="689" spans="40:42" x14ac:dyDescent="0.25">
      <c r="AN689" s="36"/>
      <c r="AP689" s="4" t="s">
        <v>1004</v>
      </c>
    </row>
    <row r="690" spans="40:42" x14ac:dyDescent="0.25">
      <c r="AN690" s="36"/>
      <c r="AP690" s="4" t="s">
        <v>1004</v>
      </c>
    </row>
    <row r="691" spans="40:42" x14ac:dyDescent="0.25">
      <c r="AN691" s="36"/>
      <c r="AP691" s="4" t="s">
        <v>1004</v>
      </c>
    </row>
    <row r="692" spans="40:42" x14ac:dyDescent="0.25">
      <c r="AN692" s="36"/>
      <c r="AP692" s="4" t="s">
        <v>1004</v>
      </c>
    </row>
    <row r="693" spans="40:42" x14ac:dyDescent="0.25">
      <c r="AN693" s="36"/>
      <c r="AP693" s="4" t="s">
        <v>1004</v>
      </c>
    </row>
    <row r="694" spans="40:42" x14ac:dyDescent="0.25">
      <c r="AN694" s="36"/>
      <c r="AP694" s="4" t="s">
        <v>1004</v>
      </c>
    </row>
    <row r="695" spans="40:42" x14ac:dyDescent="0.25">
      <c r="AN695" s="36"/>
      <c r="AP695" s="4" t="s">
        <v>1004</v>
      </c>
    </row>
    <row r="696" spans="40:42" x14ac:dyDescent="0.25">
      <c r="AN696" s="36"/>
      <c r="AP696" s="4" t="s">
        <v>1004</v>
      </c>
    </row>
    <row r="697" spans="40:42" x14ac:dyDescent="0.25">
      <c r="AN697" s="36"/>
      <c r="AP697" s="4" t="s">
        <v>1004</v>
      </c>
    </row>
    <row r="698" spans="40:42" x14ac:dyDescent="0.25">
      <c r="AN698" s="36"/>
      <c r="AP698" s="4" t="s">
        <v>1004</v>
      </c>
    </row>
    <row r="699" spans="40:42" x14ac:dyDescent="0.25">
      <c r="AN699" s="36"/>
      <c r="AP699" s="4" t="s">
        <v>1014</v>
      </c>
    </row>
    <row r="700" spans="40:42" x14ac:dyDescent="0.25">
      <c r="AN700" s="36"/>
      <c r="AP700" s="4" t="s">
        <v>1014</v>
      </c>
    </row>
    <row r="701" spans="40:42" x14ac:dyDescent="0.25">
      <c r="AN701" s="36"/>
      <c r="AP701" s="4" t="s">
        <v>1014</v>
      </c>
    </row>
    <row r="702" spans="40:42" x14ac:dyDescent="0.25">
      <c r="AN702" s="36"/>
      <c r="AP702" s="4" t="s">
        <v>1014</v>
      </c>
    </row>
    <row r="703" spans="40:42" x14ac:dyDescent="0.25">
      <c r="AN703" s="36"/>
      <c r="AP703" s="4" t="s">
        <v>1014</v>
      </c>
    </row>
    <row r="704" spans="40:42" x14ac:dyDescent="0.25">
      <c r="AN704" s="36"/>
      <c r="AP704" s="4" t="s">
        <v>1014</v>
      </c>
    </row>
    <row r="705" spans="40:42" x14ac:dyDescent="0.25">
      <c r="AN705" s="36"/>
      <c r="AP705" s="4" t="s">
        <v>1014</v>
      </c>
    </row>
    <row r="706" spans="40:42" x14ac:dyDescent="0.25">
      <c r="AN706" s="36"/>
      <c r="AP706" s="4" t="s">
        <v>1014</v>
      </c>
    </row>
    <row r="707" spans="40:42" x14ac:dyDescent="0.25">
      <c r="AN707" s="36"/>
      <c r="AP707" s="4" t="s">
        <v>1014</v>
      </c>
    </row>
    <row r="708" spans="40:42" x14ac:dyDescent="0.25">
      <c r="AN708" s="36"/>
      <c r="AP708" s="4" t="s">
        <v>1016</v>
      </c>
    </row>
    <row r="709" spans="40:42" x14ac:dyDescent="0.25">
      <c r="AN709" s="36"/>
      <c r="AP709" s="4" t="s">
        <v>1016</v>
      </c>
    </row>
    <row r="710" spans="40:42" x14ac:dyDescent="0.25">
      <c r="AN710" s="36"/>
      <c r="AP710" s="4" t="s">
        <v>1016</v>
      </c>
    </row>
    <row r="711" spans="40:42" x14ac:dyDescent="0.25">
      <c r="AN711" s="36"/>
      <c r="AP711" s="4" t="s">
        <v>1016</v>
      </c>
    </row>
    <row r="712" spans="40:42" x14ac:dyDescent="0.25">
      <c r="AN712" s="36"/>
      <c r="AP712" s="4" t="s">
        <v>1029</v>
      </c>
    </row>
    <row r="713" spans="40:42" x14ac:dyDescent="0.25">
      <c r="AN713" s="36"/>
      <c r="AP713" s="4" t="s">
        <v>1029</v>
      </c>
    </row>
    <row r="714" spans="40:42" x14ac:dyDescent="0.25">
      <c r="AN714" s="36"/>
      <c r="AP714" s="4" t="s">
        <v>1029</v>
      </c>
    </row>
    <row r="715" spans="40:42" x14ac:dyDescent="0.25">
      <c r="AN715" s="36"/>
      <c r="AP715" s="4" t="s">
        <v>1029</v>
      </c>
    </row>
    <row r="716" spans="40:42" x14ac:dyDescent="0.25">
      <c r="AN716" s="36"/>
      <c r="AP716" s="4" t="s">
        <v>1029</v>
      </c>
    </row>
    <row r="717" spans="40:42" x14ac:dyDescent="0.25">
      <c r="AN717" s="36"/>
      <c r="AP717" s="4" t="s">
        <v>1029</v>
      </c>
    </row>
    <row r="718" spans="40:42" x14ac:dyDescent="0.25">
      <c r="AN718" s="36"/>
      <c r="AP718" s="4" t="s">
        <v>1029</v>
      </c>
    </row>
    <row r="719" spans="40:42" x14ac:dyDescent="0.25">
      <c r="AN719" s="36"/>
      <c r="AP719" s="4" t="s">
        <v>1029</v>
      </c>
    </row>
    <row r="720" spans="40:42" x14ac:dyDescent="0.25">
      <c r="AN720" s="36"/>
      <c r="AP720" s="4" t="s">
        <v>1029</v>
      </c>
    </row>
    <row r="721" spans="1:42" x14ac:dyDescent="0.25">
      <c r="AN721" s="36"/>
      <c r="AP721" s="4" t="s">
        <v>1029</v>
      </c>
    </row>
    <row r="722" spans="1:42" x14ac:dyDescent="0.25">
      <c r="AN722" s="36"/>
      <c r="AP722" s="4" t="s">
        <v>1029</v>
      </c>
    </row>
    <row r="723" spans="1:42" x14ac:dyDescent="0.25">
      <c r="AN723" s="36"/>
      <c r="AP723" s="4" t="s">
        <v>1029</v>
      </c>
    </row>
    <row r="724" spans="1:42" x14ac:dyDescent="0.25">
      <c r="AN724" s="36"/>
      <c r="AP724" s="4" t="s">
        <v>1029</v>
      </c>
    </row>
    <row r="725" spans="1:42" s="258" customFormat="1" x14ac:dyDescent="0.25">
      <c r="A725" s="257"/>
      <c r="D725" s="259"/>
      <c r="E725" s="259"/>
      <c r="F725" s="259"/>
      <c r="G725" s="260"/>
      <c r="K725" s="261"/>
      <c r="L725" s="262"/>
      <c r="M725" s="261"/>
      <c r="N725" s="261"/>
      <c r="O725" s="261"/>
      <c r="P725" s="261"/>
      <c r="Q725" s="263"/>
      <c r="R725" s="263"/>
      <c r="S725" s="262"/>
      <c r="T725" s="261"/>
      <c r="U725" s="261"/>
      <c r="V725" s="261"/>
      <c r="W725" s="264"/>
      <c r="X725" s="261"/>
      <c r="AN725" s="265"/>
      <c r="AP725" s="4" t="s">
        <v>1036</v>
      </c>
    </row>
    <row r="726" spans="1:42" x14ac:dyDescent="0.25">
      <c r="AN726" s="265"/>
      <c r="AP726" s="4" t="s">
        <v>1043</v>
      </c>
    </row>
    <row r="727" spans="1:42" x14ac:dyDescent="0.25">
      <c r="AN727" s="265"/>
      <c r="AP727" s="4" t="s">
        <v>1043</v>
      </c>
    </row>
    <row r="728" spans="1:42" x14ac:dyDescent="0.25">
      <c r="AN728" s="265"/>
      <c r="AP728" s="4" t="s">
        <v>1043</v>
      </c>
    </row>
    <row r="729" spans="1:42" x14ac:dyDescent="0.25">
      <c r="AN729" s="265"/>
      <c r="AP729" s="4" t="s">
        <v>1043</v>
      </c>
    </row>
    <row r="730" spans="1:42" x14ac:dyDescent="0.25">
      <c r="AN730" s="265"/>
      <c r="AP730" s="4" t="s">
        <v>1043</v>
      </c>
    </row>
    <row r="731" spans="1:42" x14ac:dyDescent="0.25">
      <c r="AN731" s="265"/>
      <c r="AP731" s="4" t="s">
        <v>1043</v>
      </c>
    </row>
    <row r="732" spans="1:42" x14ac:dyDescent="0.25">
      <c r="AN732" s="265"/>
      <c r="AP732" s="4" t="s">
        <v>1043</v>
      </c>
    </row>
    <row r="733" spans="1:42" x14ac:dyDescent="0.25">
      <c r="AN733" s="265"/>
      <c r="AP733" s="4" t="s">
        <v>1043</v>
      </c>
    </row>
    <row r="734" spans="1:42" x14ac:dyDescent="0.25">
      <c r="AN734" s="265"/>
      <c r="AP734" s="4" t="s">
        <v>1043</v>
      </c>
    </row>
    <row r="735" spans="1:42" x14ac:dyDescent="0.25">
      <c r="AN735" s="265"/>
      <c r="AP735" s="4" t="s">
        <v>1043</v>
      </c>
    </row>
    <row r="736" spans="1:42" x14ac:dyDescent="0.25">
      <c r="AN736" s="265"/>
      <c r="AP736" s="36" t="s">
        <v>1055</v>
      </c>
    </row>
    <row r="737" spans="40:42" x14ac:dyDescent="0.25">
      <c r="AN737" s="265"/>
      <c r="AP737" s="36" t="s">
        <v>1055</v>
      </c>
    </row>
    <row r="738" spans="40:42" x14ac:dyDescent="0.25">
      <c r="AN738" s="265"/>
      <c r="AP738" s="36" t="s">
        <v>1055</v>
      </c>
    </row>
    <row r="739" spans="40:42" x14ac:dyDescent="0.25">
      <c r="AN739" s="265"/>
      <c r="AP739" s="36" t="s">
        <v>1055</v>
      </c>
    </row>
    <row r="740" spans="40:42" x14ac:dyDescent="0.25">
      <c r="AN740" s="265"/>
      <c r="AP740" s="36" t="s">
        <v>1055</v>
      </c>
    </row>
    <row r="741" spans="40:42" x14ac:dyDescent="0.25">
      <c r="AN741" s="265"/>
      <c r="AP741" s="36" t="s">
        <v>1055</v>
      </c>
    </row>
    <row r="742" spans="40:42" x14ac:dyDescent="0.25">
      <c r="AN742" s="265"/>
      <c r="AP742" s="4" t="s">
        <v>1069</v>
      </c>
    </row>
    <row r="743" spans="40:42" x14ac:dyDescent="0.25">
      <c r="AN743" s="265"/>
      <c r="AP743" s="4" t="s">
        <v>1069</v>
      </c>
    </row>
    <row r="744" spans="40:42" x14ac:dyDescent="0.25">
      <c r="AN744" s="265"/>
      <c r="AP744" s="4" t="s">
        <v>1069</v>
      </c>
    </row>
    <row r="745" spans="40:42" x14ac:dyDescent="0.25">
      <c r="AN745" s="265"/>
      <c r="AP745" s="4" t="s">
        <v>1069</v>
      </c>
    </row>
    <row r="746" spans="40:42" x14ac:dyDescent="0.25">
      <c r="AN746" s="265"/>
      <c r="AP746" s="4" t="s">
        <v>1069</v>
      </c>
    </row>
    <row r="747" spans="40:42" x14ac:dyDescent="0.25">
      <c r="AN747" s="265"/>
      <c r="AP747" s="4" t="s">
        <v>1069</v>
      </c>
    </row>
    <row r="748" spans="40:42" x14ac:dyDescent="0.25">
      <c r="AN748" s="265"/>
      <c r="AP748" s="4" t="s">
        <v>1069</v>
      </c>
    </row>
    <row r="749" spans="40:42" x14ac:dyDescent="0.25">
      <c r="AN749" s="265"/>
      <c r="AP749" s="4" t="s">
        <v>1069</v>
      </c>
    </row>
    <row r="750" spans="40:42" x14ac:dyDescent="0.25">
      <c r="AN750" s="265"/>
      <c r="AP750" s="4" t="s">
        <v>1069</v>
      </c>
    </row>
    <row r="751" spans="40:42" x14ac:dyDescent="0.25">
      <c r="AN751" s="265"/>
      <c r="AP751" s="4" t="s">
        <v>1069</v>
      </c>
    </row>
    <row r="752" spans="40:42" x14ac:dyDescent="0.25">
      <c r="AN752" s="265"/>
      <c r="AP752" s="4" t="s">
        <v>1069</v>
      </c>
    </row>
    <row r="753" spans="40:42" x14ac:dyDescent="0.25">
      <c r="AN753" s="265"/>
      <c r="AP753" s="4" t="s">
        <v>1069</v>
      </c>
    </row>
    <row r="754" spans="40:42" x14ac:dyDescent="0.25">
      <c r="AN754" s="265"/>
      <c r="AP754" s="4" t="s">
        <v>1099</v>
      </c>
    </row>
    <row r="755" spans="40:42" x14ac:dyDescent="0.25">
      <c r="AN755" s="265"/>
      <c r="AP755" s="4" t="s">
        <v>1099</v>
      </c>
    </row>
    <row r="756" spans="40:42" x14ac:dyDescent="0.25">
      <c r="AN756" s="265"/>
      <c r="AP756" s="4" t="s">
        <v>1099</v>
      </c>
    </row>
    <row r="757" spans="40:42" x14ac:dyDescent="0.25">
      <c r="AN757" s="265"/>
      <c r="AP757" s="4" t="s">
        <v>1099</v>
      </c>
    </row>
    <row r="758" spans="40:42" x14ac:dyDescent="0.25">
      <c r="AN758" s="265"/>
      <c r="AP758" s="4" t="s">
        <v>1099</v>
      </c>
    </row>
    <row r="759" spans="40:42" x14ac:dyDescent="0.25">
      <c r="AN759" s="265"/>
      <c r="AP759" s="4" t="s">
        <v>1099</v>
      </c>
    </row>
    <row r="760" spans="40:42" x14ac:dyDescent="0.25">
      <c r="AN760" s="265"/>
      <c r="AP760" s="4" t="s">
        <v>1103</v>
      </c>
    </row>
    <row r="761" spans="40:42" x14ac:dyDescent="0.25">
      <c r="AN761" s="265"/>
      <c r="AP761" s="4" t="s">
        <v>1103</v>
      </c>
    </row>
    <row r="762" spans="40:42" x14ac:dyDescent="0.25">
      <c r="AN762" s="265"/>
      <c r="AP762" s="4" t="s">
        <v>1103</v>
      </c>
    </row>
    <row r="763" spans="40:42" x14ac:dyDescent="0.25">
      <c r="AN763" s="265"/>
      <c r="AP763" s="4" t="s">
        <v>1103</v>
      </c>
    </row>
    <row r="764" spans="40:42" x14ac:dyDescent="0.25">
      <c r="AN764" s="265"/>
      <c r="AP764" s="187" t="s">
        <v>1111</v>
      </c>
    </row>
    <row r="765" spans="40:42" x14ac:dyDescent="0.25">
      <c r="AN765" s="265"/>
      <c r="AP765" s="187" t="s">
        <v>1111</v>
      </c>
    </row>
    <row r="766" spans="40:42" x14ac:dyDescent="0.25">
      <c r="AN766" s="265"/>
      <c r="AP766" s="187" t="s">
        <v>1111</v>
      </c>
    </row>
    <row r="767" spans="40:42" x14ac:dyDescent="0.25">
      <c r="AN767" s="265"/>
      <c r="AP767" s="187" t="s">
        <v>1111</v>
      </c>
    </row>
    <row r="768" spans="40:42" x14ac:dyDescent="0.25">
      <c r="AN768" s="265"/>
      <c r="AP768" s="187" t="s">
        <v>1111</v>
      </c>
    </row>
    <row r="769" spans="40:42" x14ac:dyDescent="0.25">
      <c r="AN769" s="265"/>
      <c r="AP769" s="36" t="s">
        <v>1110</v>
      </c>
    </row>
    <row r="770" spans="40:42" x14ac:dyDescent="0.25">
      <c r="AN770" s="265"/>
      <c r="AP770" s="36" t="s">
        <v>1110</v>
      </c>
    </row>
    <row r="771" spans="40:42" x14ac:dyDescent="0.25">
      <c r="AN771" s="265"/>
      <c r="AP771" s="36" t="s">
        <v>1110</v>
      </c>
    </row>
    <row r="772" spans="40:42" x14ac:dyDescent="0.25">
      <c r="AN772" s="265"/>
      <c r="AP772" s="36" t="s">
        <v>1110</v>
      </c>
    </row>
    <row r="773" spans="40:42" x14ac:dyDescent="0.25">
      <c r="AN773" s="265"/>
      <c r="AP773" s="36" t="s">
        <v>1110</v>
      </c>
    </row>
    <row r="774" spans="40:42" x14ac:dyDescent="0.25">
      <c r="AN774" s="265"/>
      <c r="AP774" s="36" t="s">
        <v>1110</v>
      </c>
    </row>
    <row r="775" spans="40:42" x14ac:dyDescent="0.25">
      <c r="AN775" s="265"/>
      <c r="AP775" s="36" t="s">
        <v>1110</v>
      </c>
    </row>
    <row r="776" spans="40:42" x14ac:dyDescent="0.25">
      <c r="AN776" s="265"/>
      <c r="AP776" s="36" t="s">
        <v>1110</v>
      </c>
    </row>
    <row r="777" spans="40:42" x14ac:dyDescent="0.25">
      <c r="AN777" s="265"/>
      <c r="AP777" s="36" t="s">
        <v>1110</v>
      </c>
    </row>
    <row r="778" spans="40:42" x14ac:dyDescent="0.25">
      <c r="AN778" s="265"/>
      <c r="AP778" s="36" t="s">
        <v>1110</v>
      </c>
    </row>
    <row r="779" spans="40:42" x14ac:dyDescent="0.25">
      <c r="AN779" s="265"/>
      <c r="AP779" s="36" t="s">
        <v>1119</v>
      </c>
    </row>
    <row r="780" spans="40:42" x14ac:dyDescent="0.25">
      <c r="AN780" s="265"/>
      <c r="AP780" s="36" t="s">
        <v>1119</v>
      </c>
    </row>
    <row r="781" spans="40:42" x14ac:dyDescent="0.25">
      <c r="AN781" s="265"/>
      <c r="AP781" s="36" t="s">
        <v>1119</v>
      </c>
    </row>
    <row r="782" spans="40:42" x14ac:dyDescent="0.25">
      <c r="AN782" s="265"/>
      <c r="AP782" s="36" t="s">
        <v>1119</v>
      </c>
    </row>
    <row r="783" spans="40:42" x14ac:dyDescent="0.25">
      <c r="AN783" s="265"/>
      <c r="AP783" s="36" t="s">
        <v>1119</v>
      </c>
    </row>
    <row r="784" spans="40:42" x14ac:dyDescent="0.25">
      <c r="AN784" s="265"/>
      <c r="AP784" s="36" t="s">
        <v>1119</v>
      </c>
    </row>
    <row r="785" spans="40:42" x14ac:dyDescent="0.25">
      <c r="AN785" s="265"/>
      <c r="AP785" s="36" t="s">
        <v>1119</v>
      </c>
    </row>
    <row r="786" spans="40:42" x14ac:dyDescent="0.25">
      <c r="AN786" s="265"/>
      <c r="AP786" s="36" t="s">
        <v>1119</v>
      </c>
    </row>
    <row r="787" spans="40:42" x14ac:dyDescent="0.25">
      <c r="AN787" s="265"/>
      <c r="AP787" s="36" t="s">
        <v>1119</v>
      </c>
    </row>
    <row r="788" spans="40:42" x14ac:dyDescent="0.25">
      <c r="AN788" s="265"/>
      <c r="AP788" s="36" t="s">
        <v>1119</v>
      </c>
    </row>
    <row r="789" spans="40:42" x14ac:dyDescent="0.25">
      <c r="AN789" s="265"/>
      <c r="AP789" s="36" t="s">
        <v>1119</v>
      </c>
    </row>
    <row r="790" spans="40:42" x14ac:dyDescent="0.25">
      <c r="AN790" s="265"/>
      <c r="AP790" s="36" t="s">
        <v>1119</v>
      </c>
    </row>
    <row r="791" spans="40:42" x14ac:dyDescent="0.25">
      <c r="AN791" s="265"/>
      <c r="AP791" s="36" t="s">
        <v>1119</v>
      </c>
    </row>
    <row r="792" spans="40:42" x14ac:dyDescent="0.25">
      <c r="AN792" s="265"/>
      <c r="AP792" s="36" t="s">
        <v>1119</v>
      </c>
    </row>
    <row r="793" spans="40:42" x14ac:dyDescent="0.25">
      <c r="AN793" s="265"/>
      <c r="AP793" s="4" t="s">
        <v>1122</v>
      </c>
    </row>
    <row r="794" spans="40:42" x14ac:dyDescent="0.25">
      <c r="AN794" s="265"/>
      <c r="AP794" s="4" t="s">
        <v>1125</v>
      </c>
    </row>
    <row r="795" spans="40:42" x14ac:dyDescent="0.25">
      <c r="AN795" s="265"/>
      <c r="AP795" s="4" t="s">
        <v>1125</v>
      </c>
    </row>
    <row r="796" spans="40:42" x14ac:dyDescent="0.25">
      <c r="AN796" s="265"/>
      <c r="AP796" s="4" t="s">
        <v>1125</v>
      </c>
    </row>
    <row r="797" spans="40:42" x14ac:dyDescent="0.25">
      <c r="AN797" s="265"/>
      <c r="AP797" s="4" t="s">
        <v>1125</v>
      </c>
    </row>
    <row r="798" spans="40:42" x14ac:dyDescent="0.25">
      <c r="AN798" s="265"/>
      <c r="AP798" s="4" t="s">
        <v>1130</v>
      </c>
    </row>
    <row r="799" spans="40:42" x14ac:dyDescent="0.25">
      <c r="AN799" s="265"/>
      <c r="AP799" s="4" t="s">
        <v>1130</v>
      </c>
    </row>
    <row r="800" spans="40:42" x14ac:dyDescent="0.25">
      <c r="AN800" s="265"/>
      <c r="AP800" s="4" t="s">
        <v>1130</v>
      </c>
    </row>
    <row r="801" spans="40:42" x14ac:dyDescent="0.25">
      <c r="AN801" s="265"/>
      <c r="AP801" s="4" t="s">
        <v>1130</v>
      </c>
    </row>
    <row r="802" spans="40:42" x14ac:dyDescent="0.25">
      <c r="AN802" s="265"/>
      <c r="AP802" s="4" t="s">
        <v>1130</v>
      </c>
    </row>
    <row r="803" spans="40:42" x14ac:dyDescent="0.25">
      <c r="AN803" s="265"/>
      <c r="AP803" s="4" t="s">
        <v>1130</v>
      </c>
    </row>
    <row r="804" spans="40:42" x14ac:dyDescent="0.25">
      <c r="AN804" s="265"/>
      <c r="AP804" s="4" t="s">
        <v>1142</v>
      </c>
    </row>
    <row r="805" spans="40:42" x14ac:dyDescent="0.25">
      <c r="AN805" s="265"/>
      <c r="AP805" s="4" t="s">
        <v>1151</v>
      </c>
    </row>
    <row r="806" spans="40:42" x14ac:dyDescent="0.25">
      <c r="AN806" s="265"/>
      <c r="AP806" s="4" t="s">
        <v>1151</v>
      </c>
    </row>
    <row r="807" spans="40:42" x14ac:dyDescent="0.25">
      <c r="AN807" s="265"/>
      <c r="AP807" s="4" t="s">
        <v>1151</v>
      </c>
    </row>
    <row r="808" spans="40:42" x14ac:dyDescent="0.25">
      <c r="AN808" s="265"/>
      <c r="AP808" s="4" t="s">
        <v>1154</v>
      </c>
    </row>
    <row r="809" spans="40:42" x14ac:dyDescent="0.25">
      <c r="AN809" s="265"/>
      <c r="AP809" s="4" t="s">
        <v>1154</v>
      </c>
    </row>
    <row r="810" spans="40:42" x14ac:dyDescent="0.25">
      <c r="AN810" s="265"/>
      <c r="AP810" s="36" t="s">
        <v>1177</v>
      </c>
    </row>
    <row r="811" spans="40:42" x14ac:dyDescent="0.25">
      <c r="AN811" s="265"/>
      <c r="AP811" s="36" t="s">
        <v>1177</v>
      </c>
    </row>
    <row r="812" spans="40:42" x14ac:dyDescent="0.25">
      <c r="AN812" s="265"/>
      <c r="AP812" s="36" t="s">
        <v>1177</v>
      </c>
    </row>
    <row r="813" spans="40:42" x14ac:dyDescent="0.25">
      <c r="AN813" s="265"/>
      <c r="AP813" s="36" t="s">
        <v>1177</v>
      </c>
    </row>
    <row r="814" spans="40:42" x14ac:dyDescent="0.25">
      <c r="AN814" s="265"/>
      <c r="AP814" s="36" t="s">
        <v>1177</v>
      </c>
    </row>
    <row r="815" spans="40:42" x14ac:dyDescent="0.25">
      <c r="AN815" s="265"/>
      <c r="AP815" s="36" t="s">
        <v>1177</v>
      </c>
    </row>
    <row r="816" spans="40:42" x14ac:dyDescent="0.25">
      <c r="AN816" s="265"/>
      <c r="AP816" s="36" t="s">
        <v>1177</v>
      </c>
    </row>
    <row r="817" spans="40:42" x14ac:dyDescent="0.25">
      <c r="AN817" s="265"/>
      <c r="AP817" s="36" t="s">
        <v>1177</v>
      </c>
    </row>
    <row r="818" spans="40:42" x14ac:dyDescent="0.25">
      <c r="AN818" s="265"/>
      <c r="AP818" s="36" t="s">
        <v>1177</v>
      </c>
    </row>
    <row r="819" spans="40:42" x14ac:dyDescent="0.25">
      <c r="AN819" s="265"/>
      <c r="AP819" s="36" t="s">
        <v>1177</v>
      </c>
    </row>
    <row r="820" spans="40:42" x14ac:dyDescent="0.25">
      <c r="AN820" s="265"/>
      <c r="AP820" s="36" t="s">
        <v>1177</v>
      </c>
    </row>
    <row r="821" spans="40:42" x14ac:dyDescent="0.25">
      <c r="AN821" s="265"/>
      <c r="AP821" s="36" t="s">
        <v>1177</v>
      </c>
    </row>
    <row r="822" spans="40:42" x14ac:dyDescent="0.25">
      <c r="AN822" s="265"/>
      <c r="AP822" s="36" t="s">
        <v>1177</v>
      </c>
    </row>
    <row r="823" spans="40:42" x14ac:dyDescent="0.25">
      <c r="AN823" s="265"/>
      <c r="AP823" s="36" t="s">
        <v>1177</v>
      </c>
    </row>
    <row r="824" spans="40:42" x14ac:dyDescent="0.25">
      <c r="AN824" s="265"/>
      <c r="AP824" s="4" t="s">
        <v>1184</v>
      </c>
    </row>
    <row r="825" spans="40:42" x14ac:dyDescent="0.25">
      <c r="AN825" s="265"/>
      <c r="AP825" s="4" t="s">
        <v>1184</v>
      </c>
    </row>
    <row r="826" spans="40:42" x14ac:dyDescent="0.25">
      <c r="AN826" s="265"/>
      <c r="AP826" s="4" t="s">
        <v>1184</v>
      </c>
    </row>
    <row r="827" spans="40:42" x14ac:dyDescent="0.25">
      <c r="AN827" s="265"/>
      <c r="AP827" s="4" t="s">
        <v>1184</v>
      </c>
    </row>
    <row r="828" spans="40:42" x14ac:dyDescent="0.25">
      <c r="AN828" s="265"/>
      <c r="AP828" s="4" t="s">
        <v>1184</v>
      </c>
    </row>
    <row r="829" spans="40:42" x14ac:dyDescent="0.25">
      <c r="AN829" s="265"/>
      <c r="AP829" s="4" t="s">
        <v>1184</v>
      </c>
    </row>
    <row r="830" spans="40:42" x14ac:dyDescent="0.25">
      <c r="AN830" s="265"/>
      <c r="AP830" s="4" t="s">
        <v>1184</v>
      </c>
    </row>
    <row r="831" spans="40:42" x14ac:dyDescent="0.25">
      <c r="AN831" s="265"/>
      <c r="AP831" s="4" t="s">
        <v>1184</v>
      </c>
    </row>
    <row r="832" spans="40:42" x14ac:dyDescent="0.25">
      <c r="AN832" s="265"/>
      <c r="AP832" s="4" t="s">
        <v>1184</v>
      </c>
    </row>
    <row r="833" spans="40:42" x14ac:dyDescent="0.25">
      <c r="AN833" s="265"/>
      <c r="AP833" s="4" t="s">
        <v>1189</v>
      </c>
    </row>
    <row r="834" spans="40:42" x14ac:dyDescent="0.25">
      <c r="AN834" s="265"/>
      <c r="AP834" s="4" t="s">
        <v>1189</v>
      </c>
    </row>
    <row r="835" spans="40:42" x14ac:dyDescent="0.25">
      <c r="AN835" s="265"/>
      <c r="AP835" s="4" t="s">
        <v>1189</v>
      </c>
    </row>
    <row r="836" spans="40:42" x14ac:dyDescent="0.25">
      <c r="AN836" s="265"/>
      <c r="AP836" s="4" t="s">
        <v>1189</v>
      </c>
    </row>
    <row r="837" spans="40:42" x14ac:dyDescent="0.25">
      <c r="AN837" s="265"/>
      <c r="AP837" s="4" t="s">
        <v>1189</v>
      </c>
    </row>
    <row r="838" spans="40:42" x14ac:dyDescent="0.25">
      <c r="AN838" s="265"/>
      <c r="AP838" s="4" t="s">
        <v>1189</v>
      </c>
    </row>
    <row r="839" spans="40:42" x14ac:dyDescent="0.25">
      <c r="AN839" s="265"/>
      <c r="AP839" s="4" t="s">
        <v>1189</v>
      </c>
    </row>
    <row r="840" spans="40:42" x14ac:dyDescent="0.25">
      <c r="AN840" s="265"/>
      <c r="AP840" s="4" t="s">
        <v>1189</v>
      </c>
    </row>
    <row r="841" spans="40:42" x14ac:dyDescent="0.25">
      <c r="AN841" s="265"/>
      <c r="AP841" s="4" t="s">
        <v>1189</v>
      </c>
    </row>
    <row r="842" spans="40:42" x14ac:dyDescent="0.25">
      <c r="AN842" s="265"/>
      <c r="AP842" s="4" t="s">
        <v>1189</v>
      </c>
    </row>
    <row r="843" spans="40:42" x14ac:dyDescent="0.25">
      <c r="AN843" s="265"/>
      <c r="AP843" s="4" t="s">
        <v>1189</v>
      </c>
    </row>
    <row r="844" spans="40:42" x14ac:dyDescent="0.25">
      <c r="AN844" s="265"/>
      <c r="AP844" s="4" t="s">
        <v>1189</v>
      </c>
    </row>
    <row r="845" spans="40:42" x14ac:dyDescent="0.25">
      <c r="AN845" s="265"/>
      <c r="AP845" s="4" t="s">
        <v>1189</v>
      </c>
    </row>
    <row r="846" spans="40:42" x14ac:dyDescent="0.25">
      <c r="AN846" s="265"/>
      <c r="AP846" s="4" t="s">
        <v>1189</v>
      </c>
    </row>
    <row r="847" spans="40:42" x14ac:dyDescent="0.25">
      <c r="AN847" s="265"/>
      <c r="AP847" s="4" t="s">
        <v>1189</v>
      </c>
    </row>
    <row r="848" spans="40:42" x14ac:dyDescent="0.25">
      <c r="AN848" s="265"/>
      <c r="AP848" s="4" t="s">
        <v>1189</v>
      </c>
    </row>
    <row r="849" spans="40:42" x14ac:dyDescent="0.25">
      <c r="AN849" s="265"/>
      <c r="AP849" s="36" t="s">
        <v>1196</v>
      </c>
    </row>
    <row r="850" spans="40:42" x14ac:dyDescent="0.25">
      <c r="AN850" s="265"/>
      <c r="AP850" s="36" t="s">
        <v>1196</v>
      </c>
    </row>
    <row r="851" spans="40:42" x14ac:dyDescent="0.25">
      <c r="AN851" s="265"/>
      <c r="AP851" s="36" t="s">
        <v>1196</v>
      </c>
    </row>
    <row r="852" spans="40:42" x14ac:dyDescent="0.25">
      <c r="AN852" s="265"/>
      <c r="AP852" s="36" t="s">
        <v>1196</v>
      </c>
    </row>
    <row r="853" spans="40:42" x14ac:dyDescent="0.25">
      <c r="AN853" s="265"/>
      <c r="AP853" s="4" t="s">
        <v>1207</v>
      </c>
    </row>
    <row r="854" spans="40:42" x14ac:dyDescent="0.25">
      <c r="AN854" s="265"/>
      <c r="AP854" s="4" t="s">
        <v>1207</v>
      </c>
    </row>
    <row r="855" spans="40:42" x14ac:dyDescent="0.25">
      <c r="AN855" s="265"/>
      <c r="AP855" s="4" t="s">
        <v>1207</v>
      </c>
    </row>
    <row r="856" spans="40:42" x14ac:dyDescent="0.25">
      <c r="AN856" s="265"/>
      <c r="AP856" s="4" t="s">
        <v>1207</v>
      </c>
    </row>
    <row r="857" spans="40:42" x14ac:dyDescent="0.25">
      <c r="AN857" s="265"/>
      <c r="AP857" s="4" t="s">
        <v>1207</v>
      </c>
    </row>
    <row r="858" spans="40:42" x14ac:dyDescent="0.25">
      <c r="AN858" s="265"/>
      <c r="AP858" s="4" t="s">
        <v>1207</v>
      </c>
    </row>
    <row r="859" spans="40:42" x14ac:dyDescent="0.25">
      <c r="AN859" s="265"/>
      <c r="AP859" s="4" t="s">
        <v>1213</v>
      </c>
    </row>
    <row r="860" spans="40:42" x14ac:dyDescent="0.25">
      <c r="AN860" s="265"/>
      <c r="AP860" s="4" t="s">
        <v>1213</v>
      </c>
    </row>
    <row r="861" spans="40:42" x14ac:dyDescent="0.25">
      <c r="AN861" s="265"/>
      <c r="AP861" s="4" t="s">
        <v>1213</v>
      </c>
    </row>
    <row r="862" spans="40:42" x14ac:dyDescent="0.25">
      <c r="AN862" s="265"/>
      <c r="AP862" s="4" t="s">
        <v>1213</v>
      </c>
    </row>
    <row r="863" spans="40:42" x14ac:dyDescent="0.25">
      <c r="AN863" s="265"/>
      <c r="AP863" s="187" t="s">
        <v>1224</v>
      </c>
    </row>
    <row r="864" spans="40:42" x14ac:dyDescent="0.25">
      <c r="AN864" s="265"/>
      <c r="AP864" s="187" t="s">
        <v>1224</v>
      </c>
    </row>
    <row r="865" spans="40:42" x14ac:dyDescent="0.25">
      <c r="AN865" s="265"/>
      <c r="AP865" s="187" t="s">
        <v>1224</v>
      </c>
    </row>
    <row r="866" spans="40:42" x14ac:dyDescent="0.25">
      <c r="AN866" s="265"/>
      <c r="AP866" s="187" t="s">
        <v>1224</v>
      </c>
    </row>
    <row r="867" spans="40:42" x14ac:dyDescent="0.25">
      <c r="AN867" s="265"/>
      <c r="AP867" s="187" t="s">
        <v>1224</v>
      </c>
    </row>
    <row r="868" spans="40:42" x14ac:dyDescent="0.25">
      <c r="AN868" s="265"/>
      <c r="AP868" s="36" t="s">
        <v>1237</v>
      </c>
    </row>
    <row r="869" spans="40:42" x14ac:dyDescent="0.25">
      <c r="AN869" s="265"/>
      <c r="AP869" s="36" t="s">
        <v>1237</v>
      </c>
    </row>
    <row r="870" spans="40:42" x14ac:dyDescent="0.25">
      <c r="AN870" s="265"/>
      <c r="AP870" s="36" t="s">
        <v>1237</v>
      </c>
    </row>
    <row r="871" spans="40:42" x14ac:dyDescent="0.25">
      <c r="AN871" s="265"/>
      <c r="AP871" s="36" t="s">
        <v>1237</v>
      </c>
    </row>
    <row r="872" spans="40:42" x14ac:dyDescent="0.25">
      <c r="AN872" s="265"/>
      <c r="AP872" s="36" t="s">
        <v>1237</v>
      </c>
    </row>
    <row r="873" spans="40:42" x14ac:dyDescent="0.25">
      <c r="AN873" s="265"/>
      <c r="AP873" s="36" t="s">
        <v>1237</v>
      </c>
    </row>
    <row r="874" spans="40:42" x14ac:dyDescent="0.25">
      <c r="AN874" s="265"/>
      <c r="AP874" s="36" t="s">
        <v>1237</v>
      </c>
    </row>
    <row r="875" spans="40:42" x14ac:dyDescent="0.25">
      <c r="AN875" s="265"/>
      <c r="AP875" s="36" t="s">
        <v>1237</v>
      </c>
    </row>
    <row r="876" spans="40:42" x14ac:dyDescent="0.25">
      <c r="AN876" s="265"/>
      <c r="AP876" s="36" t="s">
        <v>1237</v>
      </c>
    </row>
    <row r="877" spans="40:42" x14ac:dyDescent="0.25">
      <c r="AN877" s="265"/>
      <c r="AP877" s="36" t="s">
        <v>1237</v>
      </c>
    </row>
    <row r="878" spans="40:42" x14ac:dyDescent="0.25">
      <c r="AN878" s="265"/>
      <c r="AP878" s="36" t="s">
        <v>1237</v>
      </c>
    </row>
    <row r="879" spans="40:42" x14ac:dyDescent="0.25">
      <c r="AN879" s="265"/>
      <c r="AP879" s="36" t="s">
        <v>1237</v>
      </c>
    </row>
    <row r="880" spans="40:42" x14ac:dyDescent="0.25">
      <c r="AN880" s="265"/>
      <c r="AP880" s="36" t="s">
        <v>1237</v>
      </c>
    </row>
    <row r="881" spans="40:42" x14ac:dyDescent="0.25">
      <c r="AN881" s="265"/>
      <c r="AP881" s="36" t="s">
        <v>1237</v>
      </c>
    </row>
    <row r="882" spans="40:42" x14ac:dyDescent="0.25">
      <c r="AN882" s="265"/>
      <c r="AP882" s="36" t="s">
        <v>1237</v>
      </c>
    </row>
    <row r="883" spans="40:42" x14ac:dyDescent="0.25">
      <c r="AN883" s="265"/>
      <c r="AP883" s="36" t="s">
        <v>1237</v>
      </c>
    </row>
    <row r="884" spans="40:42" x14ac:dyDescent="0.25">
      <c r="AN884" s="265"/>
      <c r="AP884" s="36" t="s">
        <v>1237</v>
      </c>
    </row>
    <row r="885" spans="40:42" x14ac:dyDescent="0.25">
      <c r="AN885" s="265"/>
      <c r="AP885" s="36" t="s">
        <v>1237</v>
      </c>
    </row>
    <row r="886" spans="40:42" x14ac:dyDescent="0.25">
      <c r="AN886" s="265"/>
      <c r="AP886" s="36" t="s">
        <v>1237</v>
      </c>
    </row>
    <row r="887" spans="40:42" x14ac:dyDescent="0.25">
      <c r="AN887" s="265"/>
      <c r="AP887" s="4" t="s">
        <v>1261</v>
      </c>
    </row>
    <row r="888" spans="40:42" x14ac:dyDescent="0.25">
      <c r="AN888" s="265"/>
      <c r="AP888" s="4" t="s">
        <v>1261</v>
      </c>
    </row>
    <row r="889" spans="40:42" x14ac:dyDescent="0.25">
      <c r="AN889" s="265"/>
      <c r="AP889" s="4" t="s">
        <v>1261</v>
      </c>
    </row>
    <row r="890" spans="40:42" x14ac:dyDescent="0.25">
      <c r="AN890" s="265"/>
      <c r="AP890" s="4" t="s">
        <v>1261</v>
      </c>
    </row>
    <row r="891" spans="40:42" x14ac:dyDescent="0.25">
      <c r="AN891" s="265"/>
      <c r="AP891" s="4" t="s">
        <v>1261</v>
      </c>
    </row>
    <row r="892" spans="40:42" x14ac:dyDescent="0.25">
      <c r="AN892" s="265"/>
      <c r="AP892" s="4" t="s">
        <v>1261</v>
      </c>
    </row>
    <row r="893" spans="40:42" x14ac:dyDescent="0.25">
      <c r="AN893" s="265"/>
      <c r="AP893" s="4" t="s">
        <v>1261</v>
      </c>
    </row>
    <row r="894" spans="40:42" x14ac:dyDescent="0.25">
      <c r="AN894" s="265"/>
      <c r="AP894" s="36" t="s">
        <v>1266</v>
      </c>
    </row>
    <row r="895" spans="40:42" x14ac:dyDescent="0.25">
      <c r="AN895" s="265"/>
      <c r="AP895" s="36" t="s">
        <v>1266</v>
      </c>
    </row>
    <row r="896" spans="40:42" x14ac:dyDescent="0.25">
      <c r="AN896" s="265"/>
      <c r="AP896" s="36" t="s">
        <v>1266</v>
      </c>
    </row>
    <row r="897" spans="40:42" x14ac:dyDescent="0.25">
      <c r="AN897" s="265"/>
      <c r="AP897" s="4" t="s">
        <v>1275</v>
      </c>
    </row>
    <row r="898" spans="40:42" x14ac:dyDescent="0.25">
      <c r="AN898" s="265"/>
      <c r="AP898" s="4" t="s">
        <v>1275</v>
      </c>
    </row>
    <row r="899" spans="40:42" x14ac:dyDescent="0.25">
      <c r="AN899" s="265"/>
      <c r="AP899" s="4" t="s">
        <v>1297</v>
      </c>
    </row>
    <row r="900" spans="40:42" x14ac:dyDescent="0.25">
      <c r="AN900" s="265"/>
      <c r="AP900" s="4" t="s">
        <v>1297</v>
      </c>
    </row>
    <row r="901" spans="40:42" x14ac:dyDescent="0.25">
      <c r="AN901" s="265"/>
      <c r="AP901" s="4" t="s">
        <v>1297</v>
      </c>
    </row>
    <row r="902" spans="40:42" x14ac:dyDescent="0.25">
      <c r="AN902" s="265"/>
      <c r="AP902" s="4" t="s">
        <v>1297</v>
      </c>
    </row>
    <row r="903" spans="40:42" x14ac:dyDescent="0.25">
      <c r="AN903" s="265"/>
      <c r="AP903" s="4" t="s">
        <v>1297</v>
      </c>
    </row>
    <row r="904" spans="40:42" x14ac:dyDescent="0.25">
      <c r="AN904" s="265"/>
      <c r="AP904" s="4" t="s">
        <v>1297</v>
      </c>
    </row>
    <row r="905" spans="40:42" x14ac:dyDescent="0.25">
      <c r="AN905" s="265"/>
      <c r="AP905" s="4" t="s">
        <v>1297</v>
      </c>
    </row>
    <row r="906" spans="40:42" x14ac:dyDescent="0.25">
      <c r="AN906" s="265"/>
      <c r="AP906" s="4" t="s">
        <v>1297</v>
      </c>
    </row>
    <row r="907" spans="40:42" x14ac:dyDescent="0.25">
      <c r="AN907" s="265"/>
      <c r="AP907" s="4" t="s">
        <v>1297</v>
      </c>
    </row>
    <row r="908" spans="40:42" x14ac:dyDescent="0.25">
      <c r="AN908" s="265"/>
      <c r="AP908" s="4" t="s">
        <v>1297</v>
      </c>
    </row>
    <row r="909" spans="40:42" x14ac:dyDescent="0.25">
      <c r="AN909" s="265"/>
      <c r="AP909" s="4" t="s">
        <v>1324</v>
      </c>
    </row>
    <row r="910" spans="40:42" x14ac:dyDescent="0.25">
      <c r="AN910" s="265"/>
      <c r="AP910" s="4" t="s">
        <v>1324</v>
      </c>
    </row>
    <row r="911" spans="40:42" x14ac:dyDescent="0.25">
      <c r="AN911" s="265"/>
      <c r="AP911" s="4" t="s">
        <v>1324</v>
      </c>
    </row>
    <row r="912" spans="40:42" x14ac:dyDescent="0.25">
      <c r="AN912" s="265"/>
      <c r="AP912" s="4" t="s">
        <v>1324</v>
      </c>
    </row>
    <row r="913" spans="40:42" x14ac:dyDescent="0.25">
      <c r="AN913" s="265"/>
      <c r="AP913" s="4" t="s">
        <v>1324</v>
      </c>
    </row>
    <row r="914" spans="40:42" x14ac:dyDescent="0.25">
      <c r="AN914" s="265"/>
      <c r="AP914" s="4" t="s">
        <v>1324</v>
      </c>
    </row>
    <row r="915" spans="40:42" x14ac:dyDescent="0.25">
      <c r="AN915" s="265"/>
      <c r="AP915" s="4" t="s">
        <v>1324</v>
      </c>
    </row>
    <row r="916" spans="40:42" x14ac:dyDescent="0.25">
      <c r="AN916" s="265"/>
      <c r="AP916" s="4" t="s">
        <v>1324</v>
      </c>
    </row>
    <row r="917" spans="40:42" x14ac:dyDescent="0.25">
      <c r="AN917" s="265"/>
      <c r="AP917" s="4" t="s">
        <v>1324</v>
      </c>
    </row>
    <row r="918" spans="40:42" x14ac:dyDescent="0.25">
      <c r="AN918" s="265"/>
      <c r="AP918" s="4" t="s">
        <v>1324</v>
      </c>
    </row>
    <row r="919" spans="40:42" x14ac:dyDescent="0.25">
      <c r="AN919" s="265"/>
      <c r="AP919" s="4" t="s">
        <v>1324</v>
      </c>
    </row>
    <row r="920" spans="40:42" x14ac:dyDescent="0.25">
      <c r="AN920" s="265"/>
      <c r="AP920" s="4" t="s">
        <v>1324</v>
      </c>
    </row>
    <row r="921" spans="40:42" x14ac:dyDescent="0.25">
      <c r="AN921" s="265"/>
      <c r="AP921" s="4" t="s">
        <v>1324</v>
      </c>
    </row>
    <row r="922" spans="40:42" x14ac:dyDescent="0.25">
      <c r="AN922" s="265"/>
      <c r="AP922" s="4" t="s">
        <v>1324</v>
      </c>
    </row>
    <row r="923" spans="40:42" x14ac:dyDescent="0.25">
      <c r="AN923" s="265"/>
      <c r="AP923" s="4" t="s">
        <v>1324</v>
      </c>
    </row>
    <row r="924" spans="40:42" x14ac:dyDescent="0.25">
      <c r="AN924" s="265"/>
      <c r="AP924" s="4" t="s">
        <v>1324</v>
      </c>
    </row>
    <row r="925" spans="40:42" x14ac:dyDescent="0.25">
      <c r="AN925" s="265"/>
      <c r="AP925" s="4" t="s">
        <v>1324</v>
      </c>
    </row>
    <row r="926" spans="40:42" x14ac:dyDescent="0.25">
      <c r="AN926" s="265"/>
      <c r="AP926" s="4" t="s">
        <v>1324</v>
      </c>
    </row>
    <row r="927" spans="40:42" x14ac:dyDescent="0.25">
      <c r="AN927" s="265"/>
      <c r="AP927" s="4" t="s">
        <v>1324</v>
      </c>
    </row>
    <row r="928" spans="40:42" x14ac:dyDescent="0.25">
      <c r="AN928" s="265"/>
      <c r="AP928" s="4" t="s">
        <v>1324</v>
      </c>
    </row>
    <row r="929" spans="40:42" x14ac:dyDescent="0.25">
      <c r="AN929" s="265"/>
      <c r="AP929" s="4" t="s">
        <v>1324</v>
      </c>
    </row>
    <row r="930" spans="40:42" x14ac:dyDescent="0.25">
      <c r="AN930" s="265"/>
      <c r="AP930" s="36" t="s">
        <v>1332</v>
      </c>
    </row>
    <row r="931" spans="40:42" x14ac:dyDescent="0.25">
      <c r="AN931" s="265"/>
      <c r="AP931" s="36" t="s">
        <v>1332</v>
      </c>
    </row>
    <row r="932" spans="40:42" x14ac:dyDescent="0.25">
      <c r="AN932" s="265"/>
      <c r="AP932" s="36" t="s">
        <v>1332</v>
      </c>
    </row>
    <row r="933" spans="40:42" x14ac:dyDescent="0.25">
      <c r="AN933" s="265"/>
      <c r="AP933" s="36" t="s">
        <v>1332</v>
      </c>
    </row>
    <row r="934" spans="40:42" x14ac:dyDescent="0.25">
      <c r="AN934" s="265"/>
      <c r="AP934" s="36" t="s">
        <v>1332</v>
      </c>
    </row>
    <row r="935" spans="40:42" x14ac:dyDescent="0.25">
      <c r="AN935" s="265"/>
      <c r="AP935" s="36" t="s">
        <v>1332</v>
      </c>
    </row>
    <row r="936" spans="40:42" x14ac:dyDescent="0.25">
      <c r="AN936" s="265"/>
      <c r="AP936" s="36" t="s">
        <v>1332</v>
      </c>
    </row>
  </sheetData>
  <autoFilter ref="A6:AR570" xr:uid="{00BC87AA-2677-4754-A771-FD982C703ECC}">
    <filterColumn colId="0">
      <filters blank="1">
        <dateGroupItem year="2025" month="2" dateTimeGrouping="month"/>
      </filters>
    </filterColumn>
    <filterColumn colId="3">
      <filters>
        <filter val="25708016"/>
        <filter val="25708018"/>
      </filters>
    </filterColumn>
  </autoFilter>
  <pageMargins left="0.7" right="0.7" top="0.75" bottom="0.75" header="0.3" footer="0.3"/>
  <pageSetup paperSize="9" scale="91" orientation="portrait" horizontalDpi="300" verticalDpi="300" r:id="rId1"/>
  <headerFooter>
    <oddFooter>&amp;C&amp;1#&amp;"Calibri"&amp;10&amp;K000000Sensient Technologies: Level 4 External</oddFooter>
  </headerFooter>
  <colBreaks count="1" manualBreakCount="1">
    <brk id="35" min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43BB-113A-4332-A2DA-8E497D87BE96}">
  <dimension ref="A1:XEY162"/>
  <sheetViews>
    <sheetView workbookViewId="0">
      <pane ySplit="6" topLeftCell="A53" activePane="bottomLeft" state="frozen"/>
      <selection pane="bottomLeft" activeCell="A77" sqref="A77"/>
    </sheetView>
  </sheetViews>
  <sheetFormatPr defaultRowHeight="15" x14ac:dyDescent="0.25"/>
  <cols>
    <col min="1" max="1" width="18.140625" style="6" bestFit="1" customWidth="1"/>
    <col min="2" max="2" width="13" style="4" bestFit="1" customWidth="1"/>
    <col min="3" max="3" width="13.140625" style="4" bestFit="1" customWidth="1"/>
    <col min="4" max="4" width="10.140625" style="4" bestFit="1" customWidth="1"/>
    <col min="5" max="5" width="17.5703125" style="4" bestFit="1" customWidth="1"/>
    <col min="6" max="6" width="8.42578125" style="4" bestFit="1" customWidth="1"/>
    <col min="7" max="7" width="11.85546875" style="31" bestFit="1" customWidth="1"/>
    <col min="8" max="8" width="17.85546875" style="4" bestFit="1" customWidth="1"/>
    <col min="9" max="9" width="9.140625" style="4"/>
    <col min="10" max="10" width="38" style="4" bestFit="1" customWidth="1"/>
    <col min="11" max="11" width="9.28515625" style="8" bestFit="1" customWidth="1"/>
    <col min="12" max="12" width="9.140625" style="8"/>
    <col min="13" max="13" width="9.28515625" style="8" bestFit="1" customWidth="1"/>
    <col min="14" max="14" width="13.42578125" style="8" bestFit="1" customWidth="1"/>
    <col min="15" max="16" width="18.140625" style="8" customWidth="1"/>
    <col min="17" max="18" width="9.28515625" style="8" bestFit="1" customWidth="1"/>
    <col min="19" max="19" width="9.140625" style="8"/>
    <col min="20" max="20" width="16.7109375" style="8" bestFit="1" customWidth="1"/>
    <col min="21" max="21" width="17.42578125" style="8" customWidth="1"/>
    <col min="22" max="22" width="16.42578125" style="8" bestFit="1" customWidth="1"/>
    <col min="23" max="23" width="9.28515625" style="12" bestFit="1" customWidth="1"/>
    <col min="24" max="24" width="32.28515625" style="8" bestFit="1" customWidth="1"/>
    <col min="25" max="26" width="9.140625" style="4"/>
    <col min="27" max="27" width="9.28515625" style="4" bestFit="1" customWidth="1"/>
    <col min="28" max="30" width="9.140625" style="4"/>
    <col min="31" max="31" width="9.28515625" style="4" bestFit="1" customWidth="1"/>
    <col min="32" max="39" width="9.140625" style="4"/>
    <col min="41" max="41" width="11.5703125" bestFit="1" customWidth="1"/>
    <col min="42" max="42" width="14" bestFit="1" customWidth="1"/>
    <col min="44" max="44" width="109.28515625" hidden="1" customWidth="1"/>
    <col min="45" max="45" width="9.140625" customWidth="1"/>
    <col min="46" max="46" width="9.28515625" customWidth="1"/>
    <col min="47" max="47" width="9.140625" customWidth="1"/>
  </cols>
  <sheetData>
    <row r="1" spans="1:48" s="74" customFormat="1" x14ac:dyDescent="0.25">
      <c r="A1" s="89"/>
      <c r="G1" s="90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80"/>
      <c r="X1" s="79"/>
    </row>
    <row r="2" spans="1:48" s="74" customFormat="1" x14ac:dyDescent="0.25">
      <c r="A2" s="89"/>
      <c r="G2" s="90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80"/>
      <c r="X2" s="79"/>
    </row>
    <row r="3" spans="1:48" s="74" customFormat="1" x14ac:dyDescent="0.25">
      <c r="A3" s="89"/>
      <c r="G3" s="90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80"/>
      <c r="X3" s="79"/>
    </row>
    <row r="4" spans="1:48" s="74" customFormat="1" x14ac:dyDescent="0.25">
      <c r="A4" s="89"/>
      <c r="G4" s="90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80"/>
      <c r="X4" s="79"/>
    </row>
    <row r="5" spans="1:48" s="74" customFormat="1" x14ac:dyDescent="0.25">
      <c r="A5" s="89" t="s">
        <v>230</v>
      </c>
      <c r="G5" s="90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80"/>
      <c r="X5" s="79"/>
    </row>
    <row r="6" spans="1:48" s="48" customFormat="1" x14ac:dyDescent="0.25">
      <c r="A6" s="83" t="s">
        <v>0</v>
      </c>
      <c r="B6" s="84" t="s">
        <v>1</v>
      </c>
      <c r="C6" s="84" t="s">
        <v>2</v>
      </c>
      <c r="D6" s="84" t="s">
        <v>4</v>
      </c>
      <c r="E6" s="84" t="s">
        <v>3</v>
      </c>
      <c r="F6" s="84" t="s">
        <v>5</v>
      </c>
      <c r="G6" s="85" t="s">
        <v>6</v>
      </c>
      <c r="H6" s="84" t="s">
        <v>7</v>
      </c>
      <c r="I6" s="84" t="s">
        <v>8</v>
      </c>
      <c r="J6" s="84" t="s">
        <v>9</v>
      </c>
      <c r="K6" s="86" t="s">
        <v>10</v>
      </c>
      <c r="L6" s="86" t="s">
        <v>11</v>
      </c>
      <c r="M6" s="86" t="s">
        <v>12</v>
      </c>
      <c r="N6" s="86" t="s">
        <v>13</v>
      </c>
      <c r="O6" s="86" t="s">
        <v>14</v>
      </c>
      <c r="P6" s="86" t="s">
        <v>15</v>
      </c>
      <c r="Q6" s="86" t="s">
        <v>16</v>
      </c>
      <c r="R6" s="86" t="s">
        <v>17</v>
      </c>
      <c r="S6" s="86" t="s">
        <v>18</v>
      </c>
      <c r="T6" s="86" t="s">
        <v>19</v>
      </c>
      <c r="U6" s="86" t="s">
        <v>20</v>
      </c>
      <c r="V6" s="86" t="s">
        <v>21</v>
      </c>
      <c r="W6" s="87" t="s">
        <v>22</v>
      </c>
      <c r="X6" s="86" t="s">
        <v>23</v>
      </c>
      <c r="Y6" s="84" t="s">
        <v>24</v>
      </c>
      <c r="Z6" s="84" t="s">
        <v>25</v>
      </c>
      <c r="AA6" s="86" t="s">
        <v>26</v>
      </c>
      <c r="AB6" s="84" t="s">
        <v>27</v>
      </c>
      <c r="AC6" s="84" t="s">
        <v>28</v>
      </c>
      <c r="AD6" s="86" t="s">
        <v>29</v>
      </c>
      <c r="AE6" s="86" t="s">
        <v>30</v>
      </c>
      <c r="AF6" s="86" t="s">
        <v>31</v>
      </c>
      <c r="AG6" s="84" t="s">
        <v>32</v>
      </c>
      <c r="AH6" s="84" t="s">
        <v>33</v>
      </c>
      <c r="AI6" s="84" t="s">
        <v>34</v>
      </c>
      <c r="AJ6" s="84" t="s">
        <v>35</v>
      </c>
      <c r="AK6" s="84" t="s">
        <v>36</v>
      </c>
      <c r="AL6" s="84" t="s">
        <v>37</v>
      </c>
      <c r="AM6" s="84" t="s">
        <v>38</v>
      </c>
      <c r="AN6" s="1" t="s">
        <v>276</v>
      </c>
      <c r="AO6" s="88" t="s">
        <v>63</v>
      </c>
      <c r="AP6" s="84" t="s">
        <v>697</v>
      </c>
      <c r="AQ6" s="84"/>
      <c r="AR6" s="88" t="s">
        <v>256</v>
      </c>
      <c r="AS6" s="84"/>
      <c r="AT6" s="312"/>
      <c r="AU6" s="312"/>
      <c r="AV6" s="312"/>
    </row>
    <row r="7" spans="1:48" s="206" customFormat="1" x14ac:dyDescent="0.25">
      <c r="A7" s="200">
        <v>45658</v>
      </c>
      <c r="B7" s="201" t="s">
        <v>40</v>
      </c>
      <c r="C7" s="201" t="s">
        <v>41</v>
      </c>
      <c r="D7" s="201">
        <v>25707931</v>
      </c>
      <c r="E7" s="202">
        <v>24106432</v>
      </c>
      <c r="F7" s="202" t="s">
        <v>202</v>
      </c>
      <c r="G7" s="203">
        <v>45674</v>
      </c>
      <c r="H7" s="201" t="s">
        <v>203</v>
      </c>
      <c r="I7" s="201" t="s">
        <v>204</v>
      </c>
      <c r="J7" s="201" t="s">
        <v>205</v>
      </c>
      <c r="K7" s="143">
        <v>100</v>
      </c>
      <c r="L7" s="143" t="s">
        <v>42</v>
      </c>
      <c r="M7" s="143">
        <v>100</v>
      </c>
      <c r="N7" s="143">
        <v>194624.96</v>
      </c>
      <c r="O7" s="143">
        <v>19462496</v>
      </c>
      <c r="P7" s="143">
        <v>19462496</v>
      </c>
      <c r="Q7" s="143">
        <v>0</v>
      </c>
      <c r="R7" s="143">
        <v>0</v>
      </c>
      <c r="S7" s="143" t="s">
        <v>43</v>
      </c>
      <c r="T7" s="143">
        <v>11764568.449999999</v>
      </c>
      <c r="U7" s="143">
        <v>11764568.449999999</v>
      </c>
      <c r="V7" s="143">
        <v>7697927.5499999998</v>
      </c>
      <c r="W7" s="144">
        <v>0.395526223871</v>
      </c>
      <c r="X7" s="143">
        <v>7697927.5499999998</v>
      </c>
      <c r="Y7" s="201" t="s">
        <v>101</v>
      </c>
      <c r="Z7" s="201" t="s">
        <v>46</v>
      </c>
      <c r="AA7" s="204">
        <v>2308688</v>
      </c>
      <c r="AB7" s="201" t="s">
        <v>206</v>
      </c>
      <c r="AC7" s="201" t="s">
        <v>56</v>
      </c>
      <c r="AD7" s="201" t="s">
        <v>103</v>
      </c>
      <c r="AE7" s="205">
        <v>0</v>
      </c>
      <c r="AF7" s="201" t="s">
        <v>207</v>
      </c>
      <c r="AG7" s="201" t="s">
        <v>101</v>
      </c>
      <c r="AH7" s="201" t="s">
        <v>46</v>
      </c>
      <c r="AI7" s="201" t="s">
        <v>101</v>
      </c>
      <c r="AJ7" s="201" t="s">
        <v>46</v>
      </c>
      <c r="AK7" s="201" t="s">
        <v>54</v>
      </c>
      <c r="AL7" s="201" t="s">
        <v>48</v>
      </c>
      <c r="AM7" s="201" t="s">
        <v>64</v>
      </c>
      <c r="AN7" s="206" t="str">
        <f>VLOOKUP(I7,Sheet1!A:D,4,FALSE)</f>
        <v>A320400</v>
      </c>
      <c r="AP7" s="206" t="s">
        <v>698</v>
      </c>
      <c r="AR7" s="206" t="s">
        <v>229</v>
      </c>
    </row>
    <row r="8" spans="1:48" s="206" customFormat="1" x14ac:dyDescent="0.25">
      <c r="A8" s="200">
        <v>45658</v>
      </c>
      <c r="B8" s="201" t="s">
        <v>40</v>
      </c>
      <c r="C8" s="201" t="s">
        <v>41</v>
      </c>
      <c r="D8" s="201">
        <v>25707932</v>
      </c>
      <c r="E8" s="202">
        <v>24106320</v>
      </c>
      <c r="F8" s="202" t="s">
        <v>208</v>
      </c>
      <c r="G8" s="203">
        <v>45674</v>
      </c>
      <c r="H8" s="201" t="s">
        <v>203</v>
      </c>
      <c r="I8" s="201" t="s">
        <v>209</v>
      </c>
      <c r="J8" s="201" t="s">
        <v>210</v>
      </c>
      <c r="K8" s="143">
        <v>8</v>
      </c>
      <c r="L8" s="143" t="s">
        <v>42</v>
      </c>
      <c r="M8" s="143">
        <v>8</v>
      </c>
      <c r="N8" s="143">
        <v>947800.59</v>
      </c>
      <c r="O8" s="143">
        <v>7582404.7199999997</v>
      </c>
      <c r="P8" s="143">
        <v>7582404.7199999997</v>
      </c>
      <c r="Q8" s="143">
        <v>0</v>
      </c>
      <c r="R8" s="143">
        <v>0</v>
      </c>
      <c r="S8" s="143" t="s">
        <v>43</v>
      </c>
      <c r="T8" s="143">
        <v>5361377.1900000004</v>
      </c>
      <c r="U8" s="143">
        <v>5361377.1900000004</v>
      </c>
      <c r="V8" s="143">
        <v>2221027.5299999998</v>
      </c>
      <c r="W8" s="144">
        <v>0.29291862041299999</v>
      </c>
      <c r="X8" s="143">
        <v>2221027.5299999998</v>
      </c>
      <c r="Y8" s="201" t="s">
        <v>101</v>
      </c>
      <c r="Z8" s="201" t="s">
        <v>46</v>
      </c>
      <c r="AA8" s="204">
        <v>15440</v>
      </c>
      <c r="AB8" s="201" t="s">
        <v>211</v>
      </c>
      <c r="AC8" s="201" t="s">
        <v>56</v>
      </c>
      <c r="AD8" s="201" t="s">
        <v>103</v>
      </c>
      <c r="AE8" s="205">
        <v>0</v>
      </c>
      <c r="AF8" s="201" t="s">
        <v>212</v>
      </c>
      <c r="AG8" s="201" t="s">
        <v>213</v>
      </c>
      <c r="AH8" s="201" t="s">
        <v>57</v>
      </c>
      <c r="AI8" s="201" t="s">
        <v>101</v>
      </c>
      <c r="AJ8" s="201" t="s">
        <v>46</v>
      </c>
      <c r="AK8" s="201" t="s">
        <v>54</v>
      </c>
      <c r="AL8" s="201" t="s">
        <v>48</v>
      </c>
      <c r="AM8" s="201" t="s">
        <v>64</v>
      </c>
      <c r="AN8" s="206" t="str">
        <f>VLOOKUP(I8,Sheet1!A:D,4,FALSE)</f>
        <v>A320400</v>
      </c>
      <c r="AP8" s="206" t="s">
        <v>699</v>
      </c>
      <c r="AR8" s="206" t="s">
        <v>229</v>
      </c>
    </row>
    <row r="9" spans="1:48" s="206" customFormat="1" x14ac:dyDescent="0.25">
      <c r="A9" s="200">
        <v>45658</v>
      </c>
      <c r="B9" s="201" t="s">
        <v>40</v>
      </c>
      <c r="C9" s="201" t="s">
        <v>41</v>
      </c>
      <c r="D9" s="201">
        <v>25707933</v>
      </c>
      <c r="E9" s="202">
        <v>24106321</v>
      </c>
      <c r="F9" s="202" t="s">
        <v>214</v>
      </c>
      <c r="G9" s="203">
        <v>45674</v>
      </c>
      <c r="H9" s="201" t="s">
        <v>203</v>
      </c>
      <c r="I9" s="201" t="s">
        <v>209</v>
      </c>
      <c r="J9" s="201" t="s">
        <v>210</v>
      </c>
      <c r="K9" s="143">
        <v>8</v>
      </c>
      <c r="L9" s="143" t="s">
        <v>42</v>
      </c>
      <c r="M9" s="143">
        <v>8</v>
      </c>
      <c r="N9" s="143">
        <v>947800.59</v>
      </c>
      <c r="O9" s="143">
        <v>7582404.7199999997</v>
      </c>
      <c r="P9" s="143">
        <v>7582404.7199999997</v>
      </c>
      <c r="Q9" s="143">
        <v>0</v>
      </c>
      <c r="R9" s="143">
        <v>0</v>
      </c>
      <c r="S9" s="143" t="s">
        <v>43</v>
      </c>
      <c r="T9" s="143">
        <v>5361377.1900000004</v>
      </c>
      <c r="U9" s="143">
        <v>5361377.1900000004</v>
      </c>
      <c r="V9" s="143">
        <v>2221027.5299999998</v>
      </c>
      <c r="W9" s="144">
        <v>0.29291862041299999</v>
      </c>
      <c r="X9" s="143">
        <v>2221027.5299999998</v>
      </c>
      <c r="Y9" s="201" t="s">
        <v>101</v>
      </c>
      <c r="Z9" s="201" t="s">
        <v>46</v>
      </c>
      <c r="AA9" s="204">
        <v>15440</v>
      </c>
      <c r="AB9" s="201" t="s">
        <v>211</v>
      </c>
      <c r="AC9" s="201" t="s">
        <v>56</v>
      </c>
      <c r="AD9" s="201" t="s">
        <v>103</v>
      </c>
      <c r="AE9" s="205">
        <v>0</v>
      </c>
      <c r="AF9" s="201" t="s">
        <v>212</v>
      </c>
      <c r="AG9" s="201" t="s">
        <v>213</v>
      </c>
      <c r="AH9" s="201" t="s">
        <v>57</v>
      </c>
      <c r="AI9" s="201" t="s">
        <v>101</v>
      </c>
      <c r="AJ9" s="201" t="s">
        <v>46</v>
      </c>
      <c r="AK9" s="201" t="s">
        <v>54</v>
      </c>
      <c r="AL9" s="201" t="s">
        <v>48</v>
      </c>
      <c r="AM9" s="201" t="s">
        <v>64</v>
      </c>
      <c r="AN9" s="206" t="str">
        <f>VLOOKUP(I9,Sheet1!A:D,4,FALSE)</f>
        <v>A320400</v>
      </c>
      <c r="AP9" s="206" t="s">
        <v>699</v>
      </c>
      <c r="AR9" s="206" t="s">
        <v>229</v>
      </c>
    </row>
    <row r="10" spans="1:48" s="206" customFormat="1" x14ac:dyDescent="0.25">
      <c r="A10" s="200">
        <v>45658</v>
      </c>
      <c r="B10" s="201" t="s">
        <v>40</v>
      </c>
      <c r="C10" s="201" t="s">
        <v>41</v>
      </c>
      <c r="D10" s="201">
        <v>25707934</v>
      </c>
      <c r="E10" s="202">
        <v>24106323</v>
      </c>
      <c r="F10" s="202" t="s">
        <v>215</v>
      </c>
      <c r="G10" s="203">
        <v>45674</v>
      </c>
      <c r="H10" s="201" t="s">
        <v>203</v>
      </c>
      <c r="I10" s="201" t="s">
        <v>216</v>
      </c>
      <c r="J10" s="201" t="s">
        <v>217</v>
      </c>
      <c r="K10" s="143">
        <v>40</v>
      </c>
      <c r="L10" s="143" t="s">
        <v>42</v>
      </c>
      <c r="M10" s="143">
        <v>40</v>
      </c>
      <c r="N10" s="143">
        <v>588514.26</v>
      </c>
      <c r="O10" s="143">
        <v>23540570.399999999</v>
      </c>
      <c r="P10" s="143">
        <v>23540570.399999999</v>
      </c>
      <c r="Q10" s="143">
        <v>0</v>
      </c>
      <c r="R10" s="143">
        <v>0</v>
      </c>
      <c r="S10" s="143" t="s">
        <v>43</v>
      </c>
      <c r="T10" s="143">
        <v>11665296.1</v>
      </c>
      <c r="U10" s="143">
        <v>11665296.1</v>
      </c>
      <c r="V10" s="143">
        <v>11875274.300000001</v>
      </c>
      <c r="W10" s="144">
        <v>0.50445992166700004</v>
      </c>
      <c r="X10" s="143">
        <v>11875274.300000001</v>
      </c>
      <c r="Y10" s="201" t="s">
        <v>101</v>
      </c>
      <c r="Z10" s="201" t="s">
        <v>46</v>
      </c>
      <c r="AA10" s="204">
        <v>2308688</v>
      </c>
      <c r="AB10" s="201" t="s">
        <v>206</v>
      </c>
      <c r="AC10" s="201" t="s">
        <v>56</v>
      </c>
      <c r="AD10" s="201" t="s">
        <v>103</v>
      </c>
      <c r="AE10" s="205">
        <v>0</v>
      </c>
      <c r="AF10" s="201" t="s">
        <v>212</v>
      </c>
      <c r="AG10" s="201" t="s">
        <v>101</v>
      </c>
      <c r="AH10" s="201" t="s">
        <v>46</v>
      </c>
      <c r="AI10" s="201" t="s">
        <v>101</v>
      </c>
      <c r="AJ10" s="201" t="s">
        <v>46</v>
      </c>
      <c r="AK10" s="201" t="s">
        <v>54</v>
      </c>
      <c r="AL10" s="201" t="s">
        <v>48</v>
      </c>
      <c r="AM10" s="201" t="s">
        <v>64</v>
      </c>
      <c r="AN10" s="206" t="str">
        <f>VLOOKUP(I10,Sheet1!A:D,4,FALSE)</f>
        <v>A320400</v>
      </c>
      <c r="AP10" s="206" t="s">
        <v>698</v>
      </c>
      <c r="AR10" s="206" t="s">
        <v>229</v>
      </c>
    </row>
    <row r="11" spans="1:48" s="206" customFormat="1" ht="12.75" customHeight="1" x14ac:dyDescent="0.25">
      <c r="A11" s="200">
        <v>45658</v>
      </c>
      <c r="B11" s="201" t="s">
        <v>40</v>
      </c>
      <c r="C11" s="201" t="s">
        <v>41</v>
      </c>
      <c r="D11" s="201">
        <v>25707935</v>
      </c>
      <c r="E11" s="202">
        <v>24106324</v>
      </c>
      <c r="F11" s="202" t="s">
        <v>218</v>
      </c>
      <c r="G11" s="203">
        <v>45674</v>
      </c>
      <c r="H11" s="201" t="s">
        <v>203</v>
      </c>
      <c r="I11" s="201" t="s">
        <v>216</v>
      </c>
      <c r="J11" s="201" t="s">
        <v>217</v>
      </c>
      <c r="K11" s="143">
        <v>40</v>
      </c>
      <c r="L11" s="143" t="s">
        <v>42</v>
      </c>
      <c r="M11" s="143">
        <v>40</v>
      </c>
      <c r="N11" s="143">
        <v>588514.26</v>
      </c>
      <c r="O11" s="143">
        <v>23540570.399999999</v>
      </c>
      <c r="P11" s="143">
        <v>23540570.399999999</v>
      </c>
      <c r="Q11" s="143">
        <v>0</v>
      </c>
      <c r="R11" s="143">
        <v>0</v>
      </c>
      <c r="S11" s="143" t="s">
        <v>43</v>
      </c>
      <c r="T11" s="143">
        <v>11665296.1</v>
      </c>
      <c r="U11" s="143">
        <v>11665296.1</v>
      </c>
      <c r="V11" s="143">
        <v>11875274.300000001</v>
      </c>
      <c r="W11" s="144">
        <v>0.50445992166700004</v>
      </c>
      <c r="X11" s="143">
        <v>11875274.300000001</v>
      </c>
      <c r="Y11" s="201" t="s">
        <v>101</v>
      </c>
      <c r="Z11" s="201" t="s">
        <v>46</v>
      </c>
      <c r="AA11" s="204">
        <v>15440</v>
      </c>
      <c r="AB11" s="201" t="s">
        <v>211</v>
      </c>
      <c r="AC11" s="201" t="s">
        <v>56</v>
      </c>
      <c r="AD11" s="201" t="s">
        <v>103</v>
      </c>
      <c r="AE11" s="205">
        <v>0</v>
      </c>
      <c r="AF11" s="201" t="s">
        <v>212</v>
      </c>
      <c r="AG11" s="201" t="s">
        <v>101</v>
      </c>
      <c r="AH11" s="201" t="s">
        <v>46</v>
      </c>
      <c r="AI11" s="201" t="s">
        <v>101</v>
      </c>
      <c r="AJ11" s="201" t="s">
        <v>46</v>
      </c>
      <c r="AK11" s="201" t="s">
        <v>54</v>
      </c>
      <c r="AL11" s="201" t="s">
        <v>48</v>
      </c>
      <c r="AM11" s="201" t="s">
        <v>64</v>
      </c>
      <c r="AN11" s="206" t="str">
        <f>VLOOKUP(I11,Sheet1!A:D,4,FALSE)</f>
        <v>A320400</v>
      </c>
      <c r="AP11" s="206" t="s">
        <v>699</v>
      </c>
      <c r="AR11" s="206" t="s">
        <v>229</v>
      </c>
    </row>
    <row r="12" spans="1:48" s="206" customFormat="1" ht="12.75" customHeight="1" x14ac:dyDescent="0.25">
      <c r="A12" s="200">
        <v>45658</v>
      </c>
      <c r="B12" s="201" t="s">
        <v>40</v>
      </c>
      <c r="C12" s="201" t="s">
        <v>41</v>
      </c>
      <c r="D12" s="201">
        <v>25707936</v>
      </c>
      <c r="E12" s="202">
        <v>24106429</v>
      </c>
      <c r="F12" s="202" t="s">
        <v>219</v>
      </c>
      <c r="G12" s="203">
        <v>45674</v>
      </c>
      <c r="H12" s="201" t="s">
        <v>203</v>
      </c>
      <c r="I12" s="201" t="s">
        <v>220</v>
      </c>
      <c r="J12" s="201" t="s">
        <v>221</v>
      </c>
      <c r="K12" s="143">
        <v>1</v>
      </c>
      <c r="L12" s="143" t="s">
        <v>42</v>
      </c>
      <c r="M12" s="143">
        <v>1</v>
      </c>
      <c r="N12" s="143">
        <v>6469057.8200000003</v>
      </c>
      <c r="O12" s="143">
        <v>6469057.8200000003</v>
      </c>
      <c r="P12" s="143">
        <v>6469057.8200000003</v>
      </c>
      <c r="Q12" s="143">
        <v>0</v>
      </c>
      <c r="R12" s="143">
        <v>0</v>
      </c>
      <c r="S12" s="143" t="s">
        <v>43</v>
      </c>
      <c r="T12" s="143">
        <v>2701386.54</v>
      </c>
      <c r="U12" s="143">
        <v>2701386.54</v>
      </c>
      <c r="V12" s="143">
        <v>3767671.28</v>
      </c>
      <c r="W12" s="144">
        <v>0.58241422241600005</v>
      </c>
      <c r="X12" s="143">
        <v>3767671.28</v>
      </c>
      <c r="Y12" s="201" t="s">
        <v>101</v>
      </c>
      <c r="Z12" s="201" t="s">
        <v>46</v>
      </c>
      <c r="AA12" s="204">
        <v>2308689</v>
      </c>
      <c r="AB12" s="201" t="s">
        <v>211</v>
      </c>
      <c r="AC12" s="201" t="s">
        <v>56</v>
      </c>
      <c r="AD12" s="201" t="s">
        <v>103</v>
      </c>
      <c r="AE12" s="205">
        <v>0</v>
      </c>
      <c r="AF12" s="201" t="s">
        <v>207</v>
      </c>
      <c r="AG12" s="201" t="s">
        <v>101</v>
      </c>
      <c r="AH12" s="201" t="s">
        <v>46</v>
      </c>
      <c r="AI12" s="201" t="s">
        <v>101</v>
      </c>
      <c r="AJ12" s="201" t="s">
        <v>46</v>
      </c>
      <c r="AK12" s="201" t="s">
        <v>54</v>
      </c>
      <c r="AL12" s="201" t="s">
        <v>48</v>
      </c>
      <c r="AM12" s="201" t="s">
        <v>64</v>
      </c>
      <c r="AN12" s="206" t="str">
        <f>VLOOKUP(I12,Sheet1!A:D,4,FALSE)</f>
        <v>A320400</v>
      </c>
      <c r="AP12" s="206" t="s">
        <v>699</v>
      </c>
      <c r="AR12" s="206" t="s">
        <v>229</v>
      </c>
    </row>
    <row r="13" spans="1:48" s="206" customFormat="1" ht="12.75" customHeight="1" x14ac:dyDescent="0.25">
      <c r="A13" s="200">
        <v>45658</v>
      </c>
      <c r="B13" s="201" t="s">
        <v>40</v>
      </c>
      <c r="C13" s="201" t="s">
        <v>41</v>
      </c>
      <c r="D13" s="201">
        <v>25707937</v>
      </c>
      <c r="E13" s="202">
        <v>24106430</v>
      </c>
      <c r="F13" s="202" t="s">
        <v>222</v>
      </c>
      <c r="G13" s="203">
        <v>45674</v>
      </c>
      <c r="H13" s="201" t="s">
        <v>203</v>
      </c>
      <c r="I13" s="201" t="s">
        <v>223</v>
      </c>
      <c r="J13" s="201" t="s">
        <v>224</v>
      </c>
      <c r="K13" s="143">
        <v>1</v>
      </c>
      <c r="L13" s="143" t="s">
        <v>42</v>
      </c>
      <c r="M13" s="143">
        <v>1</v>
      </c>
      <c r="N13" s="143">
        <v>10531202.560000001</v>
      </c>
      <c r="O13" s="143">
        <v>10531202.560000001</v>
      </c>
      <c r="P13" s="143">
        <v>10531202.560000001</v>
      </c>
      <c r="Q13" s="143">
        <v>0</v>
      </c>
      <c r="R13" s="143">
        <v>0</v>
      </c>
      <c r="S13" s="143" t="s">
        <v>43</v>
      </c>
      <c r="T13" s="143">
        <v>5421277.5199999996</v>
      </c>
      <c r="U13" s="143">
        <v>5421277.5199999996</v>
      </c>
      <c r="V13" s="143">
        <v>5109925.04</v>
      </c>
      <c r="W13" s="144">
        <v>0.48521761981900002</v>
      </c>
      <c r="X13" s="143">
        <v>5109925.04</v>
      </c>
      <c r="Y13" s="201" t="s">
        <v>101</v>
      </c>
      <c r="Z13" s="201" t="s">
        <v>46</v>
      </c>
      <c r="AA13" s="204">
        <v>2308689</v>
      </c>
      <c r="AB13" s="201" t="s">
        <v>211</v>
      </c>
      <c r="AC13" s="201" t="s">
        <v>56</v>
      </c>
      <c r="AD13" s="201" t="s">
        <v>103</v>
      </c>
      <c r="AE13" s="205">
        <v>0</v>
      </c>
      <c r="AF13" s="201" t="s">
        <v>207</v>
      </c>
      <c r="AG13" s="201" t="s">
        <v>101</v>
      </c>
      <c r="AH13" s="201" t="s">
        <v>46</v>
      </c>
      <c r="AI13" s="201" t="s">
        <v>101</v>
      </c>
      <c r="AJ13" s="201" t="s">
        <v>46</v>
      </c>
      <c r="AK13" s="201" t="s">
        <v>54</v>
      </c>
      <c r="AL13" s="201" t="s">
        <v>48</v>
      </c>
      <c r="AM13" s="201" t="s">
        <v>64</v>
      </c>
      <c r="AN13" s="206" t="str">
        <f>VLOOKUP(I13,Sheet1!A:D,4,FALSE)</f>
        <v>A320400</v>
      </c>
      <c r="AP13" s="206" t="s">
        <v>699</v>
      </c>
      <c r="AR13" s="206" t="s">
        <v>229</v>
      </c>
    </row>
    <row r="14" spans="1:48" s="206" customFormat="1" ht="12.75" customHeight="1" x14ac:dyDescent="0.25">
      <c r="A14" s="200">
        <v>45658</v>
      </c>
      <c r="B14" s="201" t="s">
        <v>40</v>
      </c>
      <c r="C14" s="201" t="s">
        <v>41</v>
      </c>
      <c r="D14" s="201">
        <v>25707938</v>
      </c>
      <c r="E14" s="202">
        <v>24106431</v>
      </c>
      <c r="F14" s="202" t="s">
        <v>225</v>
      </c>
      <c r="G14" s="203">
        <v>45674</v>
      </c>
      <c r="H14" s="201" t="s">
        <v>203</v>
      </c>
      <c r="I14" s="201" t="s">
        <v>226</v>
      </c>
      <c r="J14" s="201" t="s">
        <v>227</v>
      </c>
      <c r="K14" s="143">
        <v>500</v>
      </c>
      <c r="L14" s="143" t="s">
        <v>42</v>
      </c>
      <c r="M14" s="143">
        <v>500</v>
      </c>
      <c r="N14" s="143">
        <v>189721.02</v>
      </c>
      <c r="O14" s="143">
        <v>94860510</v>
      </c>
      <c r="P14" s="143">
        <v>94860510</v>
      </c>
      <c r="Q14" s="143">
        <v>0</v>
      </c>
      <c r="R14" s="143">
        <v>0</v>
      </c>
      <c r="S14" s="143" t="s">
        <v>43</v>
      </c>
      <c r="T14" s="143">
        <v>56762310.619999997</v>
      </c>
      <c r="U14" s="143">
        <v>56762310.619999997</v>
      </c>
      <c r="V14" s="143">
        <v>38098199.380000003</v>
      </c>
      <c r="W14" s="144">
        <v>0.401623387645</v>
      </c>
      <c r="X14" s="143">
        <v>38098199.380000003</v>
      </c>
      <c r="Y14" s="201" t="s">
        <v>101</v>
      </c>
      <c r="Z14" s="201" t="s">
        <v>46</v>
      </c>
      <c r="AA14" s="204">
        <v>2308688</v>
      </c>
      <c r="AB14" s="201" t="s">
        <v>206</v>
      </c>
      <c r="AC14" s="201" t="s">
        <v>56</v>
      </c>
      <c r="AD14" s="201" t="s">
        <v>103</v>
      </c>
      <c r="AE14" s="205">
        <v>0</v>
      </c>
      <c r="AF14" s="201" t="s">
        <v>212</v>
      </c>
      <c r="AG14" s="201" t="s">
        <v>213</v>
      </c>
      <c r="AH14" s="201" t="s">
        <v>57</v>
      </c>
      <c r="AI14" s="201" t="s">
        <v>101</v>
      </c>
      <c r="AJ14" s="201" t="s">
        <v>46</v>
      </c>
      <c r="AK14" s="201" t="s">
        <v>54</v>
      </c>
      <c r="AL14" s="201" t="s">
        <v>48</v>
      </c>
      <c r="AM14" s="201" t="s">
        <v>64</v>
      </c>
      <c r="AN14" s="206" t="str">
        <f>VLOOKUP(I14,Sheet1!A:D,4,FALSE)</f>
        <v>A320400</v>
      </c>
      <c r="AP14" s="206" t="s">
        <v>698</v>
      </c>
      <c r="AR14" s="206" t="s">
        <v>229</v>
      </c>
    </row>
    <row r="15" spans="1:48" s="206" customFormat="1" ht="12.75" customHeight="1" x14ac:dyDescent="0.25">
      <c r="A15" s="200">
        <v>45658</v>
      </c>
      <c r="B15" s="201" t="s">
        <v>40</v>
      </c>
      <c r="C15" s="201" t="s">
        <v>41</v>
      </c>
      <c r="D15" s="201">
        <v>25707939</v>
      </c>
      <c r="E15" s="202">
        <v>24106461</v>
      </c>
      <c r="F15" s="202" t="s">
        <v>228</v>
      </c>
      <c r="G15" s="203">
        <v>45674</v>
      </c>
      <c r="H15" s="201" t="s">
        <v>203</v>
      </c>
      <c r="I15" s="201" t="s">
        <v>220</v>
      </c>
      <c r="J15" s="201" t="s">
        <v>221</v>
      </c>
      <c r="K15" s="143">
        <v>1</v>
      </c>
      <c r="L15" s="143" t="s">
        <v>42</v>
      </c>
      <c r="M15" s="143">
        <v>1</v>
      </c>
      <c r="N15" s="143">
        <v>6469057.8200000003</v>
      </c>
      <c r="O15" s="143">
        <v>6469057.8200000003</v>
      </c>
      <c r="P15" s="143">
        <v>6469057.8200000003</v>
      </c>
      <c r="Q15" s="143">
        <v>0</v>
      </c>
      <c r="R15" s="143">
        <v>0</v>
      </c>
      <c r="S15" s="143" t="s">
        <v>43</v>
      </c>
      <c r="T15" s="143">
        <v>2701386.54</v>
      </c>
      <c r="U15" s="143">
        <v>2701386.54</v>
      </c>
      <c r="V15" s="143">
        <v>3767671.28</v>
      </c>
      <c r="W15" s="144">
        <v>0.58241422241600005</v>
      </c>
      <c r="X15" s="143">
        <v>3767671.28</v>
      </c>
      <c r="Y15" s="201" t="s">
        <v>101</v>
      </c>
      <c r="Z15" s="201" t="s">
        <v>46</v>
      </c>
      <c r="AA15" s="204">
        <v>2308689</v>
      </c>
      <c r="AB15" s="201" t="s">
        <v>211</v>
      </c>
      <c r="AC15" s="201" t="s">
        <v>56</v>
      </c>
      <c r="AD15" s="201" t="s">
        <v>103</v>
      </c>
      <c r="AE15" s="205">
        <v>0</v>
      </c>
      <c r="AF15" s="201" t="s">
        <v>207</v>
      </c>
      <c r="AG15" s="201" t="s">
        <v>101</v>
      </c>
      <c r="AH15" s="201" t="s">
        <v>46</v>
      </c>
      <c r="AI15" s="201" t="s">
        <v>101</v>
      </c>
      <c r="AJ15" s="201" t="s">
        <v>46</v>
      </c>
      <c r="AK15" s="201" t="s">
        <v>54</v>
      </c>
      <c r="AL15" s="201" t="s">
        <v>48</v>
      </c>
      <c r="AM15" s="201" t="s">
        <v>64</v>
      </c>
      <c r="AN15" s="206" t="str">
        <f>VLOOKUP(I15,Sheet1!A:D,4,FALSE)</f>
        <v>A320400</v>
      </c>
      <c r="AP15" s="206" t="s">
        <v>699</v>
      </c>
      <c r="AR15" s="206" t="s">
        <v>229</v>
      </c>
    </row>
    <row r="16" spans="1:48" s="206" customFormat="1" ht="12.75" customHeight="1" x14ac:dyDescent="0.25">
      <c r="A16" s="200">
        <v>45689</v>
      </c>
      <c r="B16" s="201" t="s">
        <v>40</v>
      </c>
      <c r="C16" s="201" t="s">
        <v>41</v>
      </c>
      <c r="D16" s="201">
        <v>25708003</v>
      </c>
      <c r="E16" s="202">
        <v>24106503</v>
      </c>
      <c r="F16" s="202" t="s">
        <v>764</v>
      </c>
      <c r="G16" s="203">
        <v>45701</v>
      </c>
      <c r="H16" s="201" t="s">
        <v>203</v>
      </c>
      <c r="I16" s="201" t="s">
        <v>474</v>
      </c>
      <c r="J16" s="201" t="s">
        <v>628</v>
      </c>
      <c r="K16" s="143">
        <v>100</v>
      </c>
      <c r="L16" s="143" t="s">
        <v>42</v>
      </c>
      <c r="M16" s="143">
        <v>100</v>
      </c>
      <c r="N16" s="143">
        <v>777548.09</v>
      </c>
      <c r="O16" s="143">
        <v>77754809</v>
      </c>
      <c r="P16" s="143">
        <v>77754809</v>
      </c>
      <c r="Q16" s="143">
        <v>0</v>
      </c>
      <c r="R16" s="143">
        <v>0</v>
      </c>
      <c r="S16" s="143" t="s">
        <v>43</v>
      </c>
      <c r="T16" s="143">
        <v>69782350.5</v>
      </c>
      <c r="U16" s="143">
        <v>69782350.5</v>
      </c>
      <c r="V16" s="143">
        <v>7972458.5</v>
      </c>
      <c r="W16" s="144">
        <v>0.102533317264</v>
      </c>
      <c r="X16" s="143">
        <v>7972458.5</v>
      </c>
      <c r="Y16" s="201" t="s">
        <v>101</v>
      </c>
      <c r="Z16" s="201" t="s">
        <v>46</v>
      </c>
      <c r="AA16" s="204">
        <v>2308688</v>
      </c>
      <c r="AB16" s="201" t="s">
        <v>206</v>
      </c>
      <c r="AC16" s="201" t="s">
        <v>56</v>
      </c>
      <c r="AD16" s="201" t="s">
        <v>103</v>
      </c>
      <c r="AE16" s="205">
        <v>0</v>
      </c>
      <c r="AF16" s="201" t="s">
        <v>207</v>
      </c>
      <c r="AG16" s="201" t="s">
        <v>101</v>
      </c>
      <c r="AH16" s="201" t="s">
        <v>46</v>
      </c>
      <c r="AI16" s="201" t="s">
        <v>101</v>
      </c>
      <c r="AJ16" s="201" t="s">
        <v>46</v>
      </c>
      <c r="AK16" s="201" t="s">
        <v>54</v>
      </c>
      <c r="AL16" s="201" t="s">
        <v>48</v>
      </c>
      <c r="AM16" s="201" t="s">
        <v>64</v>
      </c>
      <c r="AN16" s="206" t="str">
        <f>VLOOKUP(I16,Sheet1!A:D,4,FALSE)</f>
        <v>A320400</v>
      </c>
      <c r="AP16" s="206" t="s">
        <v>698</v>
      </c>
      <c r="AR16" s="206" t="s">
        <v>776</v>
      </c>
    </row>
    <row r="17" spans="1:16379" s="206" customFormat="1" ht="12.75" customHeight="1" x14ac:dyDescent="0.25">
      <c r="A17" s="200">
        <v>45689</v>
      </c>
      <c r="B17" s="201" t="s">
        <v>40</v>
      </c>
      <c r="C17" s="201" t="s">
        <v>41</v>
      </c>
      <c r="D17" s="201">
        <v>25708004</v>
      </c>
      <c r="E17" s="202">
        <v>24106505</v>
      </c>
      <c r="F17" s="202" t="s">
        <v>765</v>
      </c>
      <c r="G17" s="203">
        <v>45701</v>
      </c>
      <c r="H17" s="201" t="s">
        <v>203</v>
      </c>
      <c r="I17" s="201" t="s">
        <v>204</v>
      </c>
      <c r="J17" s="201" t="s">
        <v>205</v>
      </c>
      <c r="K17" s="143">
        <v>100</v>
      </c>
      <c r="L17" s="143" t="s">
        <v>42</v>
      </c>
      <c r="M17" s="143">
        <v>100</v>
      </c>
      <c r="N17" s="143">
        <v>200912.73</v>
      </c>
      <c r="O17" s="143">
        <v>20091273</v>
      </c>
      <c r="P17" s="143">
        <v>20091273</v>
      </c>
      <c r="Q17" s="143">
        <v>0</v>
      </c>
      <c r="R17" s="143">
        <v>0</v>
      </c>
      <c r="S17" s="143" t="s">
        <v>43</v>
      </c>
      <c r="T17" s="143">
        <v>11764568.449999999</v>
      </c>
      <c r="U17" s="143">
        <v>11764568.449999999</v>
      </c>
      <c r="V17" s="143">
        <v>8326704.5499999998</v>
      </c>
      <c r="W17" s="144">
        <v>0.41444385082000001</v>
      </c>
      <c r="X17" s="143">
        <v>8326704.5499999998</v>
      </c>
      <c r="Y17" s="201" t="s">
        <v>101</v>
      </c>
      <c r="Z17" s="201" t="s">
        <v>46</v>
      </c>
      <c r="AA17" s="204">
        <v>2308688</v>
      </c>
      <c r="AB17" s="201" t="s">
        <v>206</v>
      </c>
      <c r="AC17" s="201" t="s">
        <v>56</v>
      </c>
      <c r="AD17" s="201" t="s">
        <v>103</v>
      </c>
      <c r="AE17" s="205">
        <v>0</v>
      </c>
      <c r="AF17" s="201" t="s">
        <v>207</v>
      </c>
      <c r="AG17" s="201" t="s">
        <v>101</v>
      </c>
      <c r="AH17" s="201" t="s">
        <v>46</v>
      </c>
      <c r="AI17" s="201" t="s">
        <v>101</v>
      </c>
      <c r="AJ17" s="201" t="s">
        <v>46</v>
      </c>
      <c r="AK17" s="201" t="s">
        <v>54</v>
      </c>
      <c r="AL17" s="201" t="s">
        <v>48</v>
      </c>
      <c r="AM17" s="201" t="s">
        <v>64</v>
      </c>
      <c r="AN17" s="206" t="str">
        <f>VLOOKUP(I17,Sheet1!A:D,4,FALSE)</f>
        <v>A320400</v>
      </c>
      <c r="AP17" s="206" t="s">
        <v>698</v>
      </c>
      <c r="AR17" s="206" t="s">
        <v>776</v>
      </c>
    </row>
    <row r="18" spans="1:16379" s="206" customFormat="1" ht="12.75" customHeight="1" x14ac:dyDescent="0.25">
      <c r="A18" s="200">
        <v>45689</v>
      </c>
      <c r="B18" s="201" t="s">
        <v>40</v>
      </c>
      <c r="C18" s="201" t="s">
        <v>41</v>
      </c>
      <c r="D18" s="201">
        <v>25708005</v>
      </c>
      <c r="E18" s="202">
        <v>24106508</v>
      </c>
      <c r="F18" s="202" t="s">
        <v>766</v>
      </c>
      <c r="G18" s="203">
        <v>45701</v>
      </c>
      <c r="H18" s="201" t="s">
        <v>203</v>
      </c>
      <c r="I18" s="201" t="s">
        <v>226</v>
      </c>
      <c r="J18" s="201" t="s">
        <v>227</v>
      </c>
      <c r="K18" s="143">
        <v>500</v>
      </c>
      <c r="L18" s="143" t="s">
        <v>42</v>
      </c>
      <c r="M18" s="143">
        <v>500</v>
      </c>
      <c r="N18" s="143">
        <v>195850.36</v>
      </c>
      <c r="O18" s="143">
        <v>97925180</v>
      </c>
      <c r="P18" s="143">
        <v>97925180</v>
      </c>
      <c r="Q18" s="143">
        <v>0</v>
      </c>
      <c r="R18" s="143">
        <v>0</v>
      </c>
      <c r="S18" s="143" t="s">
        <v>43</v>
      </c>
      <c r="T18" s="143">
        <v>56656054.299999997</v>
      </c>
      <c r="U18" s="143">
        <v>56656054.299999997</v>
      </c>
      <c r="V18" s="143">
        <v>41269125.700000003</v>
      </c>
      <c r="W18" s="144">
        <v>0.42143528048599999</v>
      </c>
      <c r="X18" s="143">
        <v>41269125.700000003</v>
      </c>
      <c r="Y18" s="201" t="s">
        <v>101</v>
      </c>
      <c r="Z18" s="201" t="s">
        <v>46</v>
      </c>
      <c r="AA18" s="204">
        <v>2308688</v>
      </c>
      <c r="AB18" s="201" t="s">
        <v>206</v>
      </c>
      <c r="AC18" s="201" t="s">
        <v>56</v>
      </c>
      <c r="AD18" s="201" t="s">
        <v>103</v>
      </c>
      <c r="AE18" s="205">
        <v>0</v>
      </c>
      <c r="AF18" s="201" t="s">
        <v>212</v>
      </c>
      <c r="AG18" s="201" t="s">
        <v>213</v>
      </c>
      <c r="AH18" s="201" t="s">
        <v>57</v>
      </c>
      <c r="AI18" s="201" t="s">
        <v>101</v>
      </c>
      <c r="AJ18" s="201" t="s">
        <v>46</v>
      </c>
      <c r="AK18" s="201" t="s">
        <v>54</v>
      </c>
      <c r="AL18" s="201" t="s">
        <v>48</v>
      </c>
      <c r="AM18" s="201" t="s">
        <v>64</v>
      </c>
      <c r="AN18" s="206" t="str">
        <f>VLOOKUP(I18,Sheet1!A:D,4,FALSE)</f>
        <v>A320400</v>
      </c>
      <c r="AP18" s="206" t="s">
        <v>698</v>
      </c>
      <c r="AR18" s="206" t="s">
        <v>776</v>
      </c>
    </row>
    <row r="19" spans="1:16379" s="206" customFormat="1" ht="12.75" customHeight="1" x14ac:dyDescent="0.25">
      <c r="A19" s="200">
        <v>45689</v>
      </c>
      <c r="B19" s="201" t="s">
        <v>40</v>
      </c>
      <c r="C19" s="201" t="s">
        <v>41</v>
      </c>
      <c r="D19" s="201">
        <v>25708006</v>
      </c>
      <c r="E19" s="202">
        <v>24106509</v>
      </c>
      <c r="F19" s="202" t="s">
        <v>767</v>
      </c>
      <c r="G19" s="203">
        <v>45701</v>
      </c>
      <c r="H19" s="201" t="s">
        <v>203</v>
      </c>
      <c r="I19" s="201" t="s">
        <v>226</v>
      </c>
      <c r="J19" s="201" t="s">
        <v>227</v>
      </c>
      <c r="K19" s="143">
        <v>500</v>
      </c>
      <c r="L19" s="143" t="s">
        <v>42</v>
      </c>
      <c r="M19" s="143">
        <v>500</v>
      </c>
      <c r="N19" s="143">
        <v>195850.36</v>
      </c>
      <c r="O19" s="143">
        <v>97925180</v>
      </c>
      <c r="P19" s="143">
        <v>97925180</v>
      </c>
      <c r="Q19" s="143">
        <v>0</v>
      </c>
      <c r="R19" s="143">
        <v>0</v>
      </c>
      <c r="S19" s="143" t="s">
        <v>43</v>
      </c>
      <c r="T19" s="143">
        <v>56656054.299999997</v>
      </c>
      <c r="U19" s="143">
        <v>56656054.299999997</v>
      </c>
      <c r="V19" s="143">
        <v>41269125.700000003</v>
      </c>
      <c r="W19" s="144">
        <v>0.42143528048599999</v>
      </c>
      <c r="X19" s="143">
        <v>41269125.700000003</v>
      </c>
      <c r="Y19" s="201" t="s">
        <v>101</v>
      </c>
      <c r="Z19" s="201" t="s">
        <v>46</v>
      </c>
      <c r="AA19" s="204">
        <v>2308688</v>
      </c>
      <c r="AB19" s="201" t="s">
        <v>206</v>
      </c>
      <c r="AC19" s="201" t="s">
        <v>56</v>
      </c>
      <c r="AD19" s="201" t="s">
        <v>103</v>
      </c>
      <c r="AE19" s="205">
        <v>0</v>
      </c>
      <c r="AF19" s="201" t="s">
        <v>212</v>
      </c>
      <c r="AG19" s="201" t="s">
        <v>213</v>
      </c>
      <c r="AH19" s="201" t="s">
        <v>57</v>
      </c>
      <c r="AI19" s="201" t="s">
        <v>101</v>
      </c>
      <c r="AJ19" s="201" t="s">
        <v>46</v>
      </c>
      <c r="AK19" s="201" t="s">
        <v>54</v>
      </c>
      <c r="AL19" s="201" t="s">
        <v>48</v>
      </c>
      <c r="AM19" s="201" t="s">
        <v>64</v>
      </c>
      <c r="AN19" s="206" t="str">
        <f>VLOOKUP(I19,Sheet1!A:D,4,FALSE)</f>
        <v>A320400</v>
      </c>
      <c r="AP19" s="206" t="s">
        <v>698</v>
      </c>
      <c r="AR19" s="206" t="s">
        <v>776</v>
      </c>
    </row>
    <row r="20" spans="1:16379" s="206" customFormat="1" ht="12.75" customHeight="1" x14ac:dyDescent="0.25">
      <c r="A20" s="200">
        <v>45689</v>
      </c>
      <c r="B20" s="201" t="s">
        <v>40</v>
      </c>
      <c r="C20" s="201" t="s">
        <v>41</v>
      </c>
      <c r="D20" s="206">
        <v>25708007</v>
      </c>
      <c r="E20" s="202">
        <v>24106512</v>
      </c>
      <c r="F20" s="202" t="s">
        <v>768</v>
      </c>
      <c r="G20" s="203">
        <v>45701</v>
      </c>
      <c r="H20" s="201" t="s">
        <v>203</v>
      </c>
      <c r="I20" s="201" t="s">
        <v>216</v>
      </c>
      <c r="J20" s="201" t="s">
        <v>217</v>
      </c>
      <c r="K20" s="143">
        <v>40</v>
      </c>
      <c r="L20" s="143" t="s">
        <v>42</v>
      </c>
      <c r="M20" s="143">
        <v>40</v>
      </c>
      <c r="N20" s="143">
        <v>572680.38</v>
      </c>
      <c r="O20" s="143">
        <v>22907215.199999999</v>
      </c>
      <c r="P20" s="143">
        <v>22907215.199999999</v>
      </c>
      <c r="Q20" s="143">
        <v>0</v>
      </c>
      <c r="R20" s="143">
        <v>0</v>
      </c>
      <c r="S20" s="143" t="s">
        <v>43</v>
      </c>
      <c r="T20" s="143">
        <v>11665296.1</v>
      </c>
      <c r="U20" s="143">
        <v>11665296.1</v>
      </c>
      <c r="V20" s="143">
        <v>11241919.1</v>
      </c>
      <c r="W20" s="144">
        <v>0.49075887233900001</v>
      </c>
      <c r="X20" s="143">
        <v>11241919.1</v>
      </c>
      <c r="Y20" s="201" t="s">
        <v>101</v>
      </c>
      <c r="Z20" s="201" t="s">
        <v>46</v>
      </c>
      <c r="AA20" s="204">
        <v>2308688</v>
      </c>
      <c r="AB20" s="201" t="s">
        <v>206</v>
      </c>
      <c r="AC20" s="201" t="s">
        <v>56</v>
      </c>
      <c r="AD20" s="201" t="s">
        <v>103</v>
      </c>
      <c r="AE20" s="205">
        <v>0</v>
      </c>
      <c r="AF20" s="201" t="s">
        <v>212</v>
      </c>
      <c r="AG20" s="201" t="s">
        <v>101</v>
      </c>
      <c r="AH20" s="201" t="s">
        <v>46</v>
      </c>
      <c r="AI20" s="201" t="s">
        <v>101</v>
      </c>
      <c r="AJ20" s="201" t="s">
        <v>46</v>
      </c>
      <c r="AK20" s="201" t="s">
        <v>54</v>
      </c>
      <c r="AL20" s="201" t="s">
        <v>48</v>
      </c>
      <c r="AM20" s="201" t="s">
        <v>64</v>
      </c>
      <c r="AN20" s="206" t="str">
        <f>VLOOKUP(I20,Sheet1!A:D,4,FALSE)</f>
        <v>A320400</v>
      </c>
      <c r="AP20" s="206" t="s">
        <v>698</v>
      </c>
      <c r="AR20" s="206" t="s">
        <v>776</v>
      </c>
    </row>
    <row r="21" spans="1:16379" s="206" customFormat="1" ht="12.75" customHeight="1" x14ac:dyDescent="0.25">
      <c r="A21" s="200">
        <v>45689</v>
      </c>
      <c r="B21" s="201" t="s">
        <v>40</v>
      </c>
      <c r="C21" s="201" t="s">
        <v>41</v>
      </c>
      <c r="D21" s="202">
        <v>25708008</v>
      </c>
      <c r="E21" s="202">
        <v>24106514</v>
      </c>
      <c r="F21" s="202" t="s">
        <v>769</v>
      </c>
      <c r="G21" s="203">
        <v>45701</v>
      </c>
      <c r="H21" s="201" t="s">
        <v>203</v>
      </c>
      <c r="I21" s="201" t="s">
        <v>223</v>
      </c>
      <c r="J21" s="201" t="s">
        <v>224</v>
      </c>
      <c r="K21" s="143">
        <v>1</v>
      </c>
      <c r="L21" s="143" t="s">
        <v>42</v>
      </c>
      <c r="M21" s="143">
        <v>1</v>
      </c>
      <c r="N21" s="143">
        <v>10871435.279999999</v>
      </c>
      <c r="O21" s="143">
        <v>10871435.279999999</v>
      </c>
      <c r="P21" s="143">
        <v>10871435.279999999</v>
      </c>
      <c r="Q21" s="143">
        <v>0</v>
      </c>
      <c r="R21" s="143">
        <v>0</v>
      </c>
      <c r="S21" s="143" t="s">
        <v>43</v>
      </c>
      <c r="T21" s="143">
        <v>5380686.46</v>
      </c>
      <c r="U21" s="143">
        <v>5380686.46</v>
      </c>
      <c r="V21" s="143">
        <v>5490748.8200000003</v>
      </c>
      <c r="W21" s="144">
        <v>0.50506199766399995</v>
      </c>
      <c r="X21" s="143">
        <v>5490748.8200000003</v>
      </c>
      <c r="Y21" s="201" t="s">
        <v>101</v>
      </c>
      <c r="Z21" s="201" t="s">
        <v>46</v>
      </c>
      <c r="AA21" s="204">
        <v>2308689</v>
      </c>
      <c r="AB21" s="201" t="s">
        <v>211</v>
      </c>
      <c r="AC21" s="201" t="s">
        <v>56</v>
      </c>
      <c r="AD21" s="201" t="s">
        <v>103</v>
      </c>
      <c r="AE21" s="205">
        <v>0</v>
      </c>
      <c r="AF21" s="201" t="s">
        <v>207</v>
      </c>
      <c r="AG21" s="201" t="s">
        <v>101</v>
      </c>
      <c r="AH21" s="201" t="s">
        <v>46</v>
      </c>
      <c r="AI21" s="201" t="s">
        <v>101</v>
      </c>
      <c r="AJ21" s="201" t="s">
        <v>46</v>
      </c>
      <c r="AK21" s="201" t="s">
        <v>54</v>
      </c>
      <c r="AL21" s="201" t="s">
        <v>48</v>
      </c>
      <c r="AM21" s="201" t="s">
        <v>64</v>
      </c>
      <c r="AN21" s="206" t="str">
        <f>VLOOKUP(I21,Sheet1!A:D,4,FALSE)</f>
        <v>A320400</v>
      </c>
      <c r="AP21" s="206" t="s">
        <v>699</v>
      </c>
      <c r="AR21" s="206" t="s">
        <v>776</v>
      </c>
    </row>
    <row r="22" spans="1:16379" s="206" customFormat="1" ht="12.75" customHeight="1" x14ac:dyDescent="0.25">
      <c r="A22" s="200">
        <v>45689</v>
      </c>
      <c r="B22" s="201" t="s">
        <v>40</v>
      </c>
      <c r="C22" s="201" t="s">
        <v>41</v>
      </c>
      <c r="D22" s="202">
        <v>25708009</v>
      </c>
      <c r="E22" s="202">
        <v>24106516</v>
      </c>
      <c r="F22" s="202" t="s">
        <v>770</v>
      </c>
      <c r="G22" s="203">
        <v>45701</v>
      </c>
      <c r="H22" s="201" t="s">
        <v>203</v>
      </c>
      <c r="I22" s="201" t="s">
        <v>220</v>
      </c>
      <c r="J22" s="201" t="s">
        <v>221</v>
      </c>
      <c r="K22" s="143">
        <v>1</v>
      </c>
      <c r="L22" s="143" t="s">
        <v>42</v>
      </c>
      <c r="M22" s="143">
        <v>1</v>
      </c>
      <c r="N22" s="143">
        <v>6678054.3899999997</v>
      </c>
      <c r="O22" s="143">
        <v>6678054.3899999997</v>
      </c>
      <c r="P22" s="143">
        <v>6678054.3899999997</v>
      </c>
      <c r="Q22" s="143">
        <v>0</v>
      </c>
      <c r="R22" s="143">
        <v>0</v>
      </c>
      <c r="S22" s="143" t="s">
        <v>43</v>
      </c>
      <c r="T22" s="143">
        <v>2701386.54</v>
      </c>
      <c r="U22" s="143">
        <v>2701386.54</v>
      </c>
      <c r="V22" s="143">
        <v>3976667.85</v>
      </c>
      <c r="W22" s="144">
        <v>0.59548299815500005</v>
      </c>
      <c r="X22" s="143">
        <v>3976667.85</v>
      </c>
      <c r="Y22" s="201" t="s">
        <v>101</v>
      </c>
      <c r="Z22" s="201" t="s">
        <v>46</v>
      </c>
      <c r="AA22" s="204">
        <v>2308689</v>
      </c>
      <c r="AB22" s="201" t="s">
        <v>211</v>
      </c>
      <c r="AC22" s="201" t="s">
        <v>56</v>
      </c>
      <c r="AD22" s="201" t="s">
        <v>103</v>
      </c>
      <c r="AE22" s="205">
        <v>0</v>
      </c>
      <c r="AF22" s="201" t="s">
        <v>207</v>
      </c>
      <c r="AG22" s="201" t="s">
        <v>101</v>
      </c>
      <c r="AH22" s="201" t="s">
        <v>46</v>
      </c>
      <c r="AI22" s="201" t="s">
        <v>101</v>
      </c>
      <c r="AJ22" s="201" t="s">
        <v>46</v>
      </c>
      <c r="AK22" s="201" t="s">
        <v>54</v>
      </c>
      <c r="AL22" s="201" t="s">
        <v>48</v>
      </c>
      <c r="AM22" s="201" t="s">
        <v>64</v>
      </c>
      <c r="AN22" s="206" t="str">
        <f>VLOOKUP(I22,Sheet1!A:D,4,FALSE)</f>
        <v>A320400</v>
      </c>
      <c r="AP22" s="206" t="s">
        <v>699</v>
      </c>
      <c r="AR22" s="206" t="s">
        <v>776</v>
      </c>
    </row>
    <row r="23" spans="1:16379" s="206" customFormat="1" ht="12.75" customHeight="1" x14ac:dyDescent="0.25">
      <c r="A23" s="200">
        <v>45689</v>
      </c>
      <c r="B23" s="201" t="s">
        <v>40</v>
      </c>
      <c r="C23" s="201" t="s">
        <v>41</v>
      </c>
      <c r="D23" s="202">
        <v>25708010</v>
      </c>
      <c r="E23" s="202">
        <v>24106519</v>
      </c>
      <c r="F23" s="202" t="s">
        <v>771</v>
      </c>
      <c r="G23" s="203">
        <v>45701</v>
      </c>
      <c r="H23" s="201" t="s">
        <v>203</v>
      </c>
      <c r="I23" s="201" t="s">
        <v>204</v>
      </c>
      <c r="J23" s="201" t="s">
        <v>205</v>
      </c>
      <c r="K23" s="143">
        <v>100</v>
      </c>
      <c r="L23" s="143" t="s">
        <v>42</v>
      </c>
      <c r="M23" s="143">
        <v>100</v>
      </c>
      <c r="N23" s="143">
        <v>200912.73</v>
      </c>
      <c r="O23" s="143">
        <v>20091273</v>
      </c>
      <c r="P23" s="143">
        <v>20091273</v>
      </c>
      <c r="Q23" s="143">
        <v>0</v>
      </c>
      <c r="R23" s="143">
        <v>0</v>
      </c>
      <c r="S23" s="143" t="s">
        <v>43</v>
      </c>
      <c r="T23" s="143">
        <v>11764568.449999999</v>
      </c>
      <c r="U23" s="143">
        <v>11764568.449999999</v>
      </c>
      <c r="V23" s="143">
        <v>8326704.5499999998</v>
      </c>
      <c r="W23" s="144">
        <v>0.41444385082000001</v>
      </c>
      <c r="X23" s="143">
        <v>8326704.5499999998</v>
      </c>
      <c r="Y23" s="201" t="s">
        <v>101</v>
      </c>
      <c r="Z23" s="201" t="s">
        <v>46</v>
      </c>
      <c r="AA23" s="204">
        <v>15440</v>
      </c>
      <c r="AB23" s="201" t="s">
        <v>211</v>
      </c>
      <c r="AC23" s="201" t="s">
        <v>56</v>
      </c>
      <c r="AD23" s="201" t="s">
        <v>103</v>
      </c>
      <c r="AE23" s="205">
        <v>0</v>
      </c>
      <c r="AF23" s="201" t="s">
        <v>207</v>
      </c>
      <c r="AG23" s="201" t="s">
        <v>101</v>
      </c>
      <c r="AH23" s="201" t="s">
        <v>46</v>
      </c>
      <c r="AI23" s="201" t="s">
        <v>101</v>
      </c>
      <c r="AJ23" s="201" t="s">
        <v>46</v>
      </c>
      <c r="AK23" s="201" t="s">
        <v>54</v>
      </c>
      <c r="AL23" s="201" t="s">
        <v>48</v>
      </c>
      <c r="AM23" s="201" t="s">
        <v>64</v>
      </c>
      <c r="AN23" s="206" t="str">
        <f>VLOOKUP(I23,Sheet1!A:D,4,FALSE)</f>
        <v>A320400</v>
      </c>
      <c r="AP23" s="206" t="s">
        <v>699</v>
      </c>
      <c r="AR23" s="206" t="s">
        <v>776</v>
      </c>
    </row>
    <row r="24" spans="1:16379" s="206" customFormat="1" ht="12.75" customHeight="1" x14ac:dyDescent="0.25">
      <c r="A24" s="200">
        <v>45689</v>
      </c>
      <c r="B24" s="201" t="s">
        <v>40</v>
      </c>
      <c r="C24" s="201" t="s">
        <v>41</v>
      </c>
      <c r="D24" s="202">
        <v>25708011</v>
      </c>
      <c r="E24" s="202">
        <v>24106520</v>
      </c>
      <c r="F24" s="202" t="s">
        <v>772</v>
      </c>
      <c r="G24" s="203">
        <v>45701</v>
      </c>
      <c r="H24" s="201" t="s">
        <v>203</v>
      </c>
      <c r="I24" s="201" t="s">
        <v>204</v>
      </c>
      <c r="J24" s="201" t="s">
        <v>205</v>
      </c>
      <c r="K24" s="143">
        <v>100</v>
      </c>
      <c r="L24" s="143" t="s">
        <v>42</v>
      </c>
      <c r="M24" s="143">
        <v>100</v>
      </c>
      <c r="N24" s="143">
        <v>200912.73</v>
      </c>
      <c r="O24" s="143">
        <v>20091273</v>
      </c>
      <c r="P24" s="143">
        <v>20091273</v>
      </c>
      <c r="Q24" s="143">
        <v>0</v>
      </c>
      <c r="R24" s="143">
        <v>0</v>
      </c>
      <c r="S24" s="143" t="s">
        <v>43</v>
      </c>
      <c r="T24" s="143">
        <v>11764568.449999999</v>
      </c>
      <c r="U24" s="143">
        <v>11764568.449999999</v>
      </c>
      <c r="V24" s="143">
        <v>8326704.5499999998</v>
      </c>
      <c r="W24" s="144">
        <v>0.41444385082000001</v>
      </c>
      <c r="X24" s="143">
        <v>8326704.5499999998</v>
      </c>
      <c r="Y24" s="201" t="s">
        <v>101</v>
      </c>
      <c r="Z24" s="201" t="s">
        <v>46</v>
      </c>
      <c r="AA24" s="204">
        <v>15440</v>
      </c>
      <c r="AB24" s="201" t="s">
        <v>211</v>
      </c>
      <c r="AC24" s="201" t="s">
        <v>56</v>
      </c>
      <c r="AD24" s="201" t="s">
        <v>103</v>
      </c>
      <c r="AE24" s="205">
        <v>0</v>
      </c>
      <c r="AF24" s="201" t="s">
        <v>207</v>
      </c>
      <c r="AG24" s="201" t="s">
        <v>101</v>
      </c>
      <c r="AH24" s="201" t="s">
        <v>46</v>
      </c>
      <c r="AI24" s="201" t="s">
        <v>101</v>
      </c>
      <c r="AJ24" s="201" t="s">
        <v>46</v>
      </c>
      <c r="AK24" s="201" t="s">
        <v>54</v>
      </c>
      <c r="AL24" s="201" t="s">
        <v>48</v>
      </c>
      <c r="AM24" s="201" t="s">
        <v>64</v>
      </c>
      <c r="AN24" s="206" t="str">
        <f>VLOOKUP(I24,Sheet1!A:D,4,FALSE)</f>
        <v>A320400</v>
      </c>
      <c r="AP24" s="206" t="s">
        <v>699</v>
      </c>
      <c r="AR24" s="206" t="s">
        <v>776</v>
      </c>
    </row>
    <row r="25" spans="1:16379" s="206" customFormat="1" ht="12.75" customHeight="1" x14ac:dyDescent="0.25">
      <c r="A25" s="200">
        <v>45689</v>
      </c>
      <c r="B25" s="201" t="s">
        <v>40</v>
      </c>
      <c r="C25" s="201" t="s">
        <v>41</v>
      </c>
      <c r="D25" s="202">
        <v>25708012</v>
      </c>
      <c r="E25" s="202">
        <v>24106522</v>
      </c>
      <c r="F25" s="202" t="s">
        <v>773</v>
      </c>
      <c r="G25" s="203">
        <v>45701</v>
      </c>
      <c r="H25" s="201" t="s">
        <v>203</v>
      </c>
      <c r="I25" s="201" t="s">
        <v>226</v>
      </c>
      <c r="J25" s="201" t="s">
        <v>227</v>
      </c>
      <c r="K25" s="143">
        <v>500</v>
      </c>
      <c r="L25" s="143" t="s">
        <v>42</v>
      </c>
      <c r="M25" s="143">
        <v>500</v>
      </c>
      <c r="N25" s="143">
        <v>195850.36</v>
      </c>
      <c r="O25" s="143">
        <v>97925180</v>
      </c>
      <c r="P25" s="143">
        <v>97925180</v>
      </c>
      <c r="Q25" s="143">
        <v>0</v>
      </c>
      <c r="R25" s="143">
        <v>0</v>
      </c>
      <c r="S25" s="143" t="s">
        <v>43</v>
      </c>
      <c r="T25" s="143">
        <v>56656054.289999999</v>
      </c>
      <c r="U25" s="143">
        <v>56656054.289999999</v>
      </c>
      <c r="V25" s="143">
        <v>41269125.710000001</v>
      </c>
      <c r="W25" s="144">
        <v>0.42143528058800001</v>
      </c>
      <c r="X25" s="143">
        <v>41269125.710000001</v>
      </c>
      <c r="Y25" s="201" t="s">
        <v>101</v>
      </c>
      <c r="Z25" s="201" t="s">
        <v>46</v>
      </c>
      <c r="AA25" s="204">
        <v>15440</v>
      </c>
      <c r="AB25" s="201" t="s">
        <v>211</v>
      </c>
      <c r="AC25" s="201" t="s">
        <v>56</v>
      </c>
      <c r="AD25" s="201" t="s">
        <v>103</v>
      </c>
      <c r="AE25" s="205">
        <v>0</v>
      </c>
      <c r="AF25" s="201" t="s">
        <v>212</v>
      </c>
      <c r="AG25" s="201" t="s">
        <v>213</v>
      </c>
      <c r="AH25" s="201" t="s">
        <v>57</v>
      </c>
      <c r="AI25" s="201" t="s">
        <v>101</v>
      </c>
      <c r="AJ25" s="201" t="s">
        <v>46</v>
      </c>
      <c r="AK25" s="201" t="s">
        <v>54</v>
      </c>
      <c r="AL25" s="201" t="s">
        <v>48</v>
      </c>
      <c r="AM25" s="201" t="s">
        <v>64</v>
      </c>
      <c r="AN25" s="206" t="str">
        <f>VLOOKUP(I25,Sheet1!A:D,4,FALSE)</f>
        <v>A320400</v>
      </c>
      <c r="AP25" s="206" t="s">
        <v>699</v>
      </c>
      <c r="AR25" s="206" t="s">
        <v>776</v>
      </c>
    </row>
    <row r="26" spans="1:16379" s="206" customFormat="1" ht="12.75" customHeight="1" x14ac:dyDescent="0.25">
      <c r="A26" s="200">
        <v>45689</v>
      </c>
      <c r="B26" s="201" t="s">
        <v>40</v>
      </c>
      <c r="C26" s="201" t="s">
        <v>41</v>
      </c>
      <c r="D26" s="202">
        <v>25708013</v>
      </c>
      <c r="E26" s="202">
        <v>24106523</v>
      </c>
      <c r="F26" s="202" t="s">
        <v>774</v>
      </c>
      <c r="G26" s="203">
        <v>45701</v>
      </c>
      <c r="H26" s="201" t="s">
        <v>203</v>
      </c>
      <c r="I26" s="201" t="s">
        <v>226</v>
      </c>
      <c r="J26" s="201" t="s">
        <v>227</v>
      </c>
      <c r="K26" s="143">
        <v>500</v>
      </c>
      <c r="L26" s="143" t="s">
        <v>42</v>
      </c>
      <c r="M26" s="143">
        <v>500</v>
      </c>
      <c r="N26" s="143">
        <v>195850.36</v>
      </c>
      <c r="O26" s="143">
        <v>97925180</v>
      </c>
      <c r="P26" s="143">
        <v>97925180</v>
      </c>
      <c r="Q26" s="143">
        <v>0</v>
      </c>
      <c r="R26" s="143">
        <v>0</v>
      </c>
      <c r="S26" s="143" t="s">
        <v>43</v>
      </c>
      <c r="T26" s="143">
        <v>56656054.299999997</v>
      </c>
      <c r="U26" s="143">
        <v>56656054.299999997</v>
      </c>
      <c r="V26" s="143">
        <v>41269125.700000003</v>
      </c>
      <c r="W26" s="144">
        <v>0.42143528048599999</v>
      </c>
      <c r="X26" s="143">
        <v>41269125.700000003</v>
      </c>
      <c r="Y26" s="201" t="s">
        <v>101</v>
      </c>
      <c r="Z26" s="201" t="s">
        <v>46</v>
      </c>
      <c r="AA26" s="204">
        <v>15440</v>
      </c>
      <c r="AB26" s="201" t="s">
        <v>211</v>
      </c>
      <c r="AC26" s="201" t="s">
        <v>56</v>
      </c>
      <c r="AD26" s="201" t="s">
        <v>103</v>
      </c>
      <c r="AE26" s="205">
        <v>0</v>
      </c>
      <c r="AF26" s="201" t="s">
        <v>212</v>
      </c>
      <c r="AG26" s="201" t="s">
        <v>213</v>
      </c>
      <c r="AH26" s="201" t="s">
        <v>57</v>
      </c>
      <c r="AI26" s="201" t="s">
        <v>101</v>
      </c>
      <c r="AJ26" s="201" t="s">
        <v>46</v>
      </c>
      <c r="AK26" s="201" t="s">
        <v>54</v>
      </c>
      <c r="AL26" s="201" t="s">
        <v>48</v>
      </c>
      <c r="AM26" s="201" t="s">
        <v>64</v>
      </c>
      <c r="AN26" s="206" t="str">
        <f>VLOOKUP(I26,Sheet1!A:D,4,FALSE)</f>
        <v>A320400</v>
      </c>
      <c r="AP26" s="206" t="s">
        <v>699</v>
      </c>
      <c r="AR26" s="206" t="s">
        <v>776</v>
      </c>
    </row>
    <row r="27" spans="1:16379" s="206" customFormat="1" ht="12.75" customHeight="1" x14ac:dyDescent="0.25">
      <c r="A27" s="200">
        <v>45689</v>
      </c>
      <c r="B27" s="201" t="s">
        <v>40</v>
      </c>
      <c r="C27" s="201" t="s">
        <v>41</v>
      </c>
      <c r="D27" s="202">
        <v>25708014</v>
      </c>
      <c r="E27" s="202">
        <v>24106525</v>
      </c>
      <c r="F27" s="202" t="s">
        <v>775</v>
      </c>
      <c r="G27" s="203">
        <v>45701</v>
      </c>
      <c r="H27" s="201" t="s">
        <v>203</v>
      </c>
      <c r="I27" s="201" t="s">
        <v>216</v>
      </c>
      <c r="J27" s="201" t="s">
        <v>217</v>
      </c>
      <c r="K27" s="143">
        <v>40</v>
      </c>
      <c r="L27" s="143" t="s">
        <v>42</v>
      </c>
      <c r="M27" s="143">
        <v>40</v>
      </c>
      <c r="N27" s="143">
        <v>572680.38</v>
      </c>
      <c r="O27" s="143">
        <v>22907215.199999999</v>
      </c>
      <c r="P27" s="143">
        <v>22907215.199999999</v>
      </c>
      <c r="Q27" s="143">
        <v>0</v>
      </c>
      <c r="R27" s="143">
        <v>0</v>
      </c>
      <c r="S27" s="143" t="s">
        <v>43</v>
      </c>
      <c r="T27" s="143">
        <v>11665296.1</v>
      </c>
      <c r="U27" s="143">
        <v>11665296.1</v>
      </c>
      <c r="V27" s="143">
        <v>11241919.1</v>
      </c>
      <c r="W27" s="144">
        <v>0.49075887233900001</v>
      </c>
      <c r="X27" s="143">
        <v>11241919.1</v>
      </c>
      <c r="Y27" s="201" t="s">
        <v>101</v>
      </c>
      <c r="Z27" s="201" t="s">
        <v>46</v>
      </c>
      <c r="AA27" s="204">
        <v>15440</v>
      </c>
      <c r="AB27" s="201" t="s">
        <v>211</v>
      </c>
      <c r="AC27" s="201" t="s">
        <v>56</v>
      </c>
      <c r="AD27" s="201" t="s">
        <v>103</v>
      </c>
      <c r="AE27" s="205">
        <v>0</v>
      </c>
      <c r="AF27" s="201" t="s">
        <v>212</v>
      </c>
      <c r="AG27" s="201" t="s">
        <v>101</v>
      </c>
      <c r="AH27" s="201" t="s">
        <v>46</v>
      </c>
      <c r="AI27" s="201" t="s">
        <v>101</v>
      </c>
      <c r="AJ27" s="201" t="s">
        <v>46</v>
      </c>
      <c r="AK27" s="201" t="s">
        <v>54</v>
      </c>
      <c r="AL27" s="201" t="s">
        <v>48</v>
      </c>
      <c r="AM27" s="201" t="s">
        <v>64</v>
      </c>
      <c r="AN27" s="206" t="str">
        <f>VLOOKUP(I27,Sheet1!A:D,4,FALSE)</f>
        <v>A320400</v>
      </c>
      <c r="AP27" s="206" t="s">
        <v>699</v>
      </c>
      <c r="AR27" s="206" t="s">
        <v>776</v>
      </c>
    </row>
    <row r="28" spans="1:16379" s="206" customFormat="1" ht="12.75" customHeight="1" x14ac:dyDescent="0.25">
      <c r="A28" s="200">
        <v>45689</v>
      </c>
      <c r="B28" s="201" t="s">
        <v>40</v>
      </c>
      <c r="C28" s="201" t="s">
        <v>41</v>
      </c>
      <c r="D28" s="202">
        <v>25708026</v>
      </c>
      <c r="E28" s="202">
        <v>25106587</v>
      </c>
      <c r="F28" s="202" t="s">
        <v>811</v>
      </c>
      <c r="G28" s="203">
        <v>45712</v>
      </c>
      <c r="H28" s="201" t="s">
        <v>203</v>
      </c>
      <c r="I28" s="201" t="s">
        <v>403</v>
      </c>
      <c r="J28" s="201" t="s">
        <v>812</v>
      </c>
      <c r="K28" s="143">
        <v>3</v>
      </c>
      <c r="L28" s="143" t="s">
        <v>42</v>
      </c>
      <c r="M28" s="143">
        <v>3</v>
      </c>
      <c r="N28" s="143">
        <v>4170023</v>
      </c>
      <c r="O28" s="143">
        <v>12510069</v>
      </c>
      <c r="P28" s="143">
        <v>12510069</v>
      </c>
      <c r="Q28" s="143">
        <v>0</v>
      </c>
      <c r="R28" s="143">
        <v>0</v>
      </c>
      <c r="S28" s="143" t="s">
        <v>43</v>
      </c>
      <c r="T28" s="143">
        <v>7052701.4699999997</v>
      </c>
      <c r="U28" s="143">
        <v>7052701.4699999997</v>
      </c>
      <c r="V28" s="143">
        <v>5457367.5300000003</v>
      </c>
      <c r="W28" s="144">
        <v>0.436238003963</v>
      </c>
      <c r="X28" s="143">
        <v>5457367.5300000003</v>
      </c>
      <c r="Y28" s="201" t="s">
        <v>66</v>
      </c>
      <c r="Z28" s="201" t="s">
        <v>44</v>
      </c>
      <c r="AA28" s="204">
        <v>15191</v>
      </c>
      <c r="AB28" s="201" t="s">
        <v>813</v>
      </c>
      <c r="AC28" s="201" t="s">
        <v>56</v>
      </c>
      <c r="AD28" s="201" t="s">
        <v>77</v>
      </c>
      <c r="AE28" s="205">
        <v>0</v>
      </c>
      <c r="AF28" s="201" t="s">
        <v>72</v>
      </c>
      <c r="AG28" s="201" t="s">
        <v>69</v>
      </c>
      <c r="AH28" s="201" t="s">
        <v>46</v>
      </c>
      <c r="AI28" s="201" t="s">
        <v>69</v>
      </c>
      <c r="AJ28" s="201" t="s">
        <v>46</v>
      </c>
      <c r="AK28" s="201" t="s">
        <v>54</v>
      </c>
      <c r="AL28" s="201" t="s">
        <v>48</v>
      </c>
      <c r="AM28" s="201" t="s">
        <v>64</v>
      </c>
      <c r="AN28" s="206" t="str">
        <f>VLOOKUP(I28,Sheet1!A:D,4,FALSE)</f>
        <v>A320400</v>
      </c>
      <c r="AP28" s="206" t="s">
        <v>698</v>
      </c>
      <c r="AR28" s="206" t="s">
        <v>814</v>
      </c>
    </row>
    <row r="29" spans="1:16379" s="206" customFormat="1" ht="12.75" customHeight="1" x14ac:dyDescent="0.25">
      <c r="A29" s="200">
        <v>45717</v>
      </c>
      <c r="B29" s="201" t="s">
        <v>40</v>
      </c>
      <c r="C29" s="201" t="s">
        <v>41</v>
      </c>
      <c r="D29" s="202">
        <v>25708057</v>
      </c>
      <c r="E29" s="202">
        <v>24106513</v>
      </c>
      <c r="F29" s="202" t="s">
        <v>860</v>
      </c>
      <c r="G29" s="203">
        <v>45729</v>
      </c>
      <c r="H29" s="201" t="s">
        <v>203</v>
      </c>
      <c r="I29" s="201" t="s">
        <v>216</v>
      </c>
      <c r="J29" s="201" t="s">
        <v>861</v>
      </c>
      <c r="K29" s="143">
        <v>40</v>
      </c>
      <c r="L29" s="143" t="s">
        <v>42</v>
      </c>
      <c r="M29" s="143">
        <v>40</v>
      </c>
      <c r="N29" s="143">
        <v>572680.38</v>
      </c>
      <c r="O29" s="143">
        <v>22907215.199999999</v>
      </c>
      <c r="P29" s="143">
        <v>22907215.199999999</v>
      </c>
      <c r="Q29" s="143">
        <v>0</v>
      </c>
      <c r="R29" s="143">
        <v>0</v>
      </c>
      <c r="S29" s="143" t="s">
        <v>43</v>
      </c>
      <c r="T29" s="143">
        <v>11665296.1</v>
      </c>
      <c r="U29" s="143">
        <v>11665296.1</v>
      </c>
      <c r="V29" s="143">
        <v>11241919.1</v>
      </c>
      <c r="W29" s="144">
        <v>0.49075887233900001</v>
      </c>
      <c r="X29" s="143">
        <v>11241919.1</v>
      </c>
      <c r="Y29" s="201" t="s">
        <v>69</v>
      </c>
      <c r="Z29" s="201" t="s">
        <v>46</v>
      </c>
      <c r="AA29" s="204">
        <v>15440</v>
      </c>
      <c r="AB29" s="201" t="s">
        <v>862</v>
      </c>
      <c r="AC29" s="201" t="s">
        <v>56</v>
      </c>
      <c r="AD29" s="201" t="s">
        <v>77</v>
      </c>
      <c r="AE29" s="205">
        <v>0</v>
      </c>
      <c r="AF29" s="201" t="s">
        <v>124</v>
      </c>
      <c r="AG29" s="201" t="s">
        <v>69</v>
      </c>
      <c r="AH29" s="201" t="s">
        <v>46</v>
      </c>
      <c r="AI29" s="201" t="s">
        <v>69</v>
      </c>
      <c r="AJ29" s="201" t="s">
        <v>46</v>
      </c>
      <c r="AK29" s="201" t="s">
        <v>54</v>
      </c>
      <c r="AL29" s="201" t="s">
        <v>48</v>
      </c>
      <c r="AM29" s="201" t="s">
        <v>64</v>
      </c>
      <c r="AN29" s="206" t="str">
        <f>VLOOKUP(I29,Sheet1!A:D,4,FALSE)</f>
        <v>A320400</v>
      </c>
      <c r="AP29" s="206" t="s">
        <v>699</v>
      </c>
      <c r="AR29" s="206" t="s">
        <v>871</v>
      </c>
    </row>
    <row r="30" spans="1:16379" s="206" customFormat="1" ht="12.75" customHeight="1" x14ac:dyDescent="0.25">
      <c r="A30" s="200">
        <v>45717</v>
      </c>
      <c r="B30" s="201" t="s">
        <v>40</v>
      </c>
      <c r="C30" s="201" t="s">
        <v>41</v>
      </c>
      <c r="D30" s="201">
        <v>25708058</v>
      </c>
      <c r="E30" s="202">
        <v>24106515</v>
      </c>
      <c r="F30" s="202" t="s">
        <v>863</v>
      </c>
      <c r="G30" s="203">
        <v>45729</v>
      </c>
      <c r="H30" s="201" t="s">
        <v>203</v>
      </c>
      <c r="I30" s="201" t="s">
        <v>223</v>
      </c>
      <c r="J30" s="201" t="s">
        <v>864</v>
      </c>
      <c r="K30" s="143">
        <v>1</v>
      </c>
      <c r="L30" s="143" t="s">
        <v>42</v>
      </c>
      <c r="M30" s="143">
        <v>1</v>
      </c>
      <c r="N30" s="143">
        <v>10871435.279999999</v>
      </c>
      <c r="O30" s="143">
        <v>10871435.279999999</v>
      </c>
      <c r="P30" s="143">
        <v>10871435.279999999</v>
      </c>
      <c r="Q30" s="143">
        <v>0</v>
      </c>
      <c r="R30" s="143">
        <v>0</v>
      </c>
      <c r="S30" s="143" t="s">
        <v>43</v>
      </c>
      <c r="T30" s="143">
        <v>5380686.46</v>
      </c>
      <c r="U30" s="143">
        <v>5380686.46</v>
      </c>
      <c r="V30" s="143">
        <v>5490748.8200000003</v>
      </c>
      <c r="W30" s="144">
        <v>0.50506199766399995</v>
      </c>
      <c r="X30" s="143">
        <v>5490748.8200000003</v>
      </c>
      <c r="Y30" s="201" t="s">
        <v>69</v>
      </c>
      <c r="Z30" s="201" t="s">
        <v>46</v>
      </c>
      <c r="AA30" s="204">
        <v>2308689</v>
      </c>
      <c r="AB30" s="201" t="s">
        <v>862</v>
      </c>
      <c r="AC30" s="201" t="s">
        <v>56</v>
      </c>
      <c r="AD30" s="201" t="s">
        <v>77</v>
      </c>
      <c r="AE30" s="205">
        <v>0</v>
      </c>
      <c r="AF30" s="201" t="s">
        <v>72</v>
      </c>
      <c r="AG30" s="201" t="s">
        <v>69</v>
      </c>
      <c r="AH30" s="201" t="s">
        <v>46</v>
      </c>
      <c r="AI30" s="201" t="s">
        <v>69</v>
      </c>
      <c r="AJ30" s="201" t="s">
        <v>46</v>
      </c>
      <c r="AK30" s="201" t="s">
        <v>54</v>
      </c>
      <c r="AL30" s="201" t="s">
        <v>48</v>
      </c>
      <c r="AM30" s="201" t="s">
        <v>64</v>
      </c>
      <c r="AN30" s="206" t="str">
        <f>VLOOKUP(I30,Sheet1!A:D,4,FALSE)</f>
        <v>A320400</v>
      </c>
      <c r="AP30" s="206" t="s">
        <v>699</v>
      </c>
      <c r="AR30" s="206" t="s">
        <v>871</v>
      </c>
    </row>
    <row r="31" spans="1:16379" s="206" customFormat="1" ht="12.75" customHeight="1" x14ac:dyDescent="0.25">
      <c r="A31" s="200">
        <v>45717</v>
      </c>
      <c r="B31" s="201" t="s">
        <v>40</v>
      </c>
      <c r="C31" s="201" t="s">
        <v>41</v>
      </c>
      <c r="D31" s="201">
        <v>25708059</v>
      </c>
      <c r="E31" s="202">
        <v>24106517</v>
      </c>
      <c r="F31" s="202" t="s">
        <v>865</v>
      </c>
      <c r="G31" s="203">
        <v>45729</v>
      </c>
      <c r="H31" s="201" t="s">
        <v>203</v>
      </c>
      <c r="I31" s="201" t="s">
        <v>220</v>
      </c>
      <c r="J31" s="201" t="s">
        <v>866</v>
      </c>
      <c r="K31" s="143">
        <v>1</v>
      </c>
      <c r="L31" s="143" t="s">
        <v>42</v>
      </c>
      <c r="M31" s="143">
        <v>1</v>
      </c>
      <c r="N31" s="143">
        <v>6678054.3899999997</v>
      </c>
      <c r="O31" s="143">
        <v>6678054.3899999997</v>
      </c>
      <c r="P31" s="143">
        <v>6678054.3899999997</v>
      </c>
      <c r="Q31" s="143">
        <v>0</v>
      </c>
      <c r="R31" s="143">
        <v>0</v>
      </c>
      <c r="S31" s="143" t="s">
        <v>43</v>
      </c>
      <c r="T31" s="143">
        <v>2701386.54</v>
      </c>
      <c r="U31" s="143">
        <v>2701386.54</v>
      </c>
      <c r="V31" s="143">
        <v>3976667.85</v>
      </c>
      <c r="W31" s="144">
        <v>0.59548299815500005</v>
      </c>
      <c r="X31" s="143">
        <v>3976667.85</v>
      </c>
      <c r="Y31" s="201" t="s">
        <v>69</v>
      </c>
      <c r="Z31" s="201" t="s">
        <v>46</v>
      </c>
      <c r="AA31" s="204">
        <v>2308689</v>
      </c>
      <c r="AB31" s="201" t="s">
        <v>862</v>
      </c>
      <c r="AC31" s="201" t="s">
        <v>56</v>
      </c>
      <c r="AD31" s="201" t="s">
        <v>77</v>
      </c>
      <c r="AE31" s="205">
        <v>0</v>
      </c>
      <c r="AF31" s="201" t="s">
        <v>72</v>
      </c>
      <c r="AG31" s="201" t="s">
        <v>69</v>
      </c>
      <c r="AH31" s="201" t="s">
        <v>46</v>
      </c>
      <c r="AI31" s="201" t="s">
        <v>69</v>
      </c>
      <c r="AJ31" s="201" t="s">
        <v>46</v>
      </c>
      <c r="AK31" s="201" t="s">
        <v>54</v>
      </c>
      <c r="AL31" s="201" t="s">
        <v>48</v>
      </c>
      <c r="AM31" s="201" t="s">
        <v>64</v>
      </c>
      <c r="AN31" s="206" t="str">
        <f>VLOOKUP(I31,Sheet1!A:D,4,FALSE)</f>
        <v>A320400</v>
      </c>
      <c r="AP31" s="206" t="s">
        <v>699</v>
      </c>
      <c r="AR31" s="206" t="s">
        <v>871</v>
      </c>
    </row>
    <row r="32" spans="1:16379" s="147" customFormat="1" x14ac:dyDescent="0.25">
      <c r="A32" s="200">
        <v>45717</v>
      </c>
      <c r="B32" s="201" t="s">
        <v>40</v>
      </c>
      <c r="C32" s="201" t="s">
        <v>41</v>
      </c>
      <c r="D32" s="201">
        <v>25708060</v>
      </c>
      <c r="E32" s="202">
        <v>24106518</v>
      </c>
      <c r="F32" s="202" t="s">
        <v>867</v>
      </c>
      <c r="G32" s="203">
        <v>45729</v>
      </c>
      <c r="H32" s="201" t="s">
        <v>203</v>
      </c>
      <c r="I32" s="201" t="s">
        <v>209</v>
      </c>
      <c r="J32" s="201" t="s">
        <v>868</v>
      </c>
      <c r="K32" s="143">
        <v>16</v>
      </c>
      <c r="L32" s="143" t="s">
        <v>42</v>
      </c>
      <c r="M32" s="143">
        <v>16</v>
      </c>
      <c r="N32" s="143">
        <v>922300.17</v>
      </c>
      <c r="O32" s="143">
        <v>14756802.720000001</v>
      </c>
      <c r="P32" s="143">
        <v>14756802.720000001</v>
      </c>
      <c r="Q32" s="143">
        <v>0</v>
      </c>
      <c r="R32" s="143">
        <v>0</v>
      </c>
      <c r="S32" s="143" t="s">
        <v>43</v>
      </c>
      <c r="T32" s="143">
        <v>10722754.380000001</v>
      </c>
      <c r="U32" s="143">
        <v>10722754.380000001</v>
      </c>
      <c r="V32" s="143">
        <v>4034048.34</v>
      </c>
      <c r="W32" s="144">
        <v>0.27336872468500001</v>
      </c>
      <c r="X32" s="143">
        <v>4034048.34</v>
      </c>
      <c r="Y32" s="201" t="s">
        <v>69</v>
      </c>
      <c r="Z32" s="201" t="s">
        <v>46</v>
      </c>
      <c r="AA32" s="204">
        <v>15440</v>
      </c>
      <c r="AB32" s="201" t="s">
        <v>862</v>
      </c>
      <c r="AC32" s="201" t="s">
        <v>56</v>
      </c>
      <c r="AD32" s="201" t="s">
        <v>77</v>
      </c>
      <c r="AE32" s="205">
        <v>0</v>
      </c>
      <c r="AF32" s="201" t="s">
        <v>124</v>
      </c>
      <c r="AG32" s="201" t="s">
        <v>81</v>
      </c>
      <c r="AH32" s="201" t="s">
        <v>57</v>
      </c>
      <c r="AI32" s="201" t="s">
        <v>69</v>
      </c>
      <c r="AJ32" s="201" t="s">
        <v>46</v>
      </c>
      <c r="AK32" s="201" t="s">
        <v>54</v>
      </c>
      <c r="AL32" s="201" t="s">
        <v>48</v>
      </c>
      <c r="AM32" s="201" t="s">
        <v>64</v>
      </c>
      <c r="AN32" s="206" t="str">
        <f>VLOOKUP(I32,Sheet1!A:D,4,FALSE)</f>
        <v>A320400</v>
      </c>
      <c r="AO32" s="133"/>
      <c r="AP32" s="206" t="s">
        <v>699</v>
      </c>
      <c r="AQ32" s="206"/>
      <c r="AR32" s="206" t="s">
        <v>871</v>
      </c>
      <c r="AS32" s="206"/>
      <c r="AT32" s="206"/>
      <c r="AU32" s="206"/>
      <c r="AV32" s="206"/>
      <c r="AW32" s="206"/>
      <c r="AX32" s="206"/>
      <c r="AY32" s="206"/>
      <c r="AZ32" s="206"/>
      <c r="BA32" s="206"/>
      <c r="BB32" s="206"/>
      <c r="BC32" s="206"/>
      <c r="BD32" s="206"/>
      <c r="BE32" s="206"/>
      <c r="BF32" s="206"/>
      <c r="BG32" s="206"/>
      <c r="BH32" s="206"/>
      <c r="BI32" s="206"/>
      <c r="BJ32" s="206"/>
      <c r="BK32" s="206"/>
      <c r="BL32" s="206"/>
      <c r="BM32" s="206"/>
      <c r="BN32" s="206"/>
      <c r="BO32" s="206"/>
      <c r="BP32" s="206"/>
      <c r="BQ32" s="206"/>
      <c r="BR32" s="206"/>
      <c r="BS32" s="206"/>
      <c r="BT32" s="206"/>
      <c r="BU32" s="206"/>
      <c r="BV32" s="206"/>
      <c r="BW32" s="206"/>
      <c r="BX32" s="206"/>
      <c r="BY32" s="206"/>
      <c r="BZ32" s="206"/>
      <c r="CA32" s="206"/>
      <c r="CB32" s="206"/>
      <c r="CC32" s="206"/>
      <c r="CD32" s="206"/>
      <c r="CE32" s="206"/>
      <c r="CF32" s="206"/>
      <c r="CG32" s="206"/>
      <c r="CH32" s="206"/>
      <c r="CI32" s="206"/>
      <c r="CJ32" s="206"/>
      <c r="CK32" s="206"/>
      <c r="CL32" s="206"/>
      <c r="CM32" s="206"/>
      <c r="CN32" s="206"/>
      <c r="CO32" s="206"/>
      <c r="CP32" s="206"/>
      <c r="CQ32" s="206"/>
      <c r="CR32" s="206"/>
      <c r="CS32" s="206"/>
      <c r="CT32" s="206"/>
      <c r="CU32" s="206"/>
      <c r="CV32" s="206"/>
      <c r="CW32" s="206"/>
      <c r="CX32" s="206"/>
      <c r="CY32" s="206"/>
      <c r="CZ32" s="206"/>
      <c r="DA32" s="206"/>
      <c r="DB32" s="206"/>
      <c r="DC32" s="206"/>
      <c r="DD32" s="206"/>
      <c r="DE32" s="206"/>
      <c r="DF32" s="206"/>
      <c r="DG32" s="206"/>
      <c r="DH32" s="206"/>
      <c r="DI32" s="206"/>
      <c r="DJ32" s="206"/>
      <c r="DK32" s="206"/>
      <c r="DL32" s="206"/>
      <c r="DM32" s="206"/>
      <c r="DN32" s="206"/>
      <c r="DO32" s="206"/>
      <c r="DP32" s="206"/>
      <c r="DQ32" s="206"/>
      <c r="DR32" s="206"/>
      <c r="DS32" s="206"/>
      <c r="DT32" s="206"/>
      <c r="DU32" s="206"/>
      <c r="DV32" s="206"/>
      <c r="DW32" s="206"/>
      <c r="DX32" s="206"/>
      <c r="DY32" s="206"/>
      <c r="DZ32" s="206"/>
      <c r="EA32" s="206"/>
      <c r="EB32" s="206"/>
      <c r="EC32" s="206"/>
      <c r="ED32" s="206"/>
      <c r="EE32" s="206"/>
      <c r="EF32" s="206"/>
      <c r="EG32" s="206"/>
      <c r="EH32" s="206"/>
      <c r="EI32" s="206"/>
      <c r="EJ32" s="206"/>
      <c r="EK32" s="206"/>
      <c r="EL32" s="206"/>
      <c r="EM32" s="206"/>
      <c r="EN32" s="206"/>
      <c r="EO32" s="206"/>
      <c r="EP32" s="206"/>
      <c r="EQ32" s="206"/>
      <c r="ER32" s="206"/>
      <c r="ES32" s="206"/>
      <c r="ET32" s="206"/>
      <c r="EU32" s="206"/>
      <c r="EV32" s="206"/>
      <c r="EW32" s="206"/>
      <c r="EX32" s="206"/>
      <c r="EY32" s="206"/>
      <c r="EZ32" s="206"/>
      <c r="FA32" s="206"/>
      <c r="FB32" s="206"/>
      <c r="FC32" s="206"/>
      <c r="FD32" s="206"/>
      <c r="FE32" s="206"/>
      <c r="FF32" s="206"/>
      <c r="FG32" s="206"/>
      <c r="FH32" s="206"/>
      <c r="FI32" s="206"/>
      <c r="FJ32" s="206"/>
      <c r="FK32" s="206"/>
      <c r="FL32" s="206"/>
      <c r="FM32" s="206"/>
      <c r="FN32" s="206"/>
      <c r="FO32" s="206"/>
      <c r="FP32" s="206"/>
      <c r="FQ32" s="206"/>
      <c r="FR32" s="206"/>
      <c r="FS32" s="206"/>
      <c r="FT32" s="206"/>
      <c r="FU32" s="206"/>
      <c r="FV32" s="206"/>
      <c r="FW32" s="206"/>
      <c r="FX32" s="206"/>
      <c r="FY32" s="206"/>
      <c r="FZ32" s="206"/>
      <c r="GA32" s="206"/>
      <c r="GB32" s="206"/>
      <c r="GC32" s="206"/>
      <c r="GD32" s="206"/>
      <c r="GE32" s="206"/>
      <c r="GF32" s="206"/>
      <c r="GG32" s="206"/>
      <c r="GH32" s="206"/>
      <c r="GI32" s="206"/>
      <c r="GJ32" s="206"/>
      <c r="GK32" s="206"/>
      <c r="GL32" s="206"/>
      <c r="GM32" s="206"/>
      <c r="GN32" s="206"/>
      <c r="GO32" s="206"/>
      <c r="GP32" s="206"/>
      <c r="GQ32" s="206"/>
      <c r="GR32" s="206"/>
      <c r="GS32" s="206"/>
      <c r="GT32" s="206"/>
      <c r="GU32" s="206"/>
      <c r="GV32" s="206"/>
      <c r="GW32" s="206"/>
      <c r="GX32" s="206"/>
      <c r="GY32" s="206"/>
      <c r="GZ32" s="206"/>
      <c r="HA32" s="206"/>
      <c r="HB32" s="206"/>
      <c r="HC32" s="206"/>
      <c r="HD32" s="206"/>
      <c r="HE32" s="206"/>
      <c r="HF32" s="206"/>
      <c r="HG32" s="206"/>
      <c r="HH32" s="206"/>
      <c r="HI32" s="206"/>
      <c r="HJ32" s="206"/>
      <c r="HK32" s="206"/>
      <c r="HL32" s="206"/>
      <c r="HM32" s="206"/>
      <c r="HN32" s="206"/>
      <c r="HO32" s="206"/>
      <c r="HP32" s="206"/>
      <c r="HQ32" s="206"/>
      <c r="HR32" s="206"/>
      <c r="HS32" s="206"/>
      <c r="HT32" s="206"/>
      <c r="HU32" s="206"/>
      <c r="HV32" s="206"/>
      <c r="HW32" s="206"/>
      <c r="HX32" s="206"/>
      <c r="HY32" s="206"/>
      <c r="HZ32" s="206"/>
      <c r="IA32" s="206"/>
      <c r="IB32" s="206"/>
      <c r="IC32" s="206"/>
      <c r="ID32" s="206"/>
      <c r="IE32" s="206"/>
      <c r="IF32" s="206"/>
      <c r="IG32" s="206"/>
      <c r="IH32" s="206"/>
      <c r="II32" s="206"/>
      <c r="IJ32" s="206"/>
      <c r="IK32" s="206"/>
      <c r="IL32" s="206"/>
      <c r="IM32" s="206"/>
      <c r="IN32" s="206"/>
      <c r="IO32" s="206"/>
      <c r="IP32" s="206"/>
      <c r="IQ32" s="206"/>
      <c r="IR32" s="206"/>
      <c r="IS32" s="206"/>
      <c r="IT32" s="206"/>
      <c r="IU32" s="206"/>
      <c r="IV32" s="206"/>
      <c r="IW32" s="206"/>
      <c r="IX32" s="206"/>
      <c r="IY32" s="206"/>
      <c r="IZ32" s="206"/>
      <c r="JA32" s="206"/>
      <c r="JB32" s="206"/>
      <c r="JC32" s="206"/>
      <c r="JD32" s="206"/>
      <c r="JE32" s="206"/>
      <c r="JF32" s="206"/>
      <c r="JG32" s="206"/>
      <c r="JH32" s="206"/>
      <c r="JI32" s="206"/>
      <c r="JJ32" s="206"/>
      <c r="JK32" s="206"/>
      <c r="JL32" s="206"/>
      <c r="JM32" s="206"/>
      <c r="JN32" s="206"/>
      <c r="JO32" s="206"/>
      <c r="JP32" s="206"/>
      <c r="JQ32" s="206"/>
      <c r="JR32" s="206"/>
      <c r="JS32" s="206"/>
      <c r="JT32" s="206"/>
      <c r="JU32" s="206"/>
      <c r="JV32" s="206"/>
      <c r="JW32" s="206"/>
      <c r="JX32" s="206"/>
      <c r="JY32" s="206"/>
      <c r="JZ32" s="206"/>
      <c r="KA32" s="206"/>
      <c r="KB32" s="206"/>
      <c r="KC32" s="206"/>
      <c r="KD32" s="206"/>
      <c r="KE32" s="206"/>
      <c r="KF32" s="206"/>
      <c r="KG32" s="206"/>
      <c r="KH32" s="206"/>
      <c r="KI32" s="206"/>
      <c r="KJ32" s="206"/>
      <c r="KK32" s="206"/>
      <c r="KL32" s="206"/>
      <c r="KM32" s="206"/>
      <c r="KN32" s="206"/>
      <c r="KO32" s="206"/>
      <c r="KP32" s="206"/>
      <c r="KQ32" s="206"/>
      <c r="KR32" s="206"/>
      <c r="KS32" s="206"/>
      <c r="KT32" s="206"/>
      <c r="KU32" s="206"/>
      <c r="KV32" s="206"/>
      <c r="KW32" s="206"/>
      <c r="KX32" s="206"/>
      <c r="KY32" s="206"/>
      <c r="KZ32" s="206"/>
      <c r="LA32" s="206"/>
      <c r="LB32" s="206"/>
      <c r="LC32" s="206"/>
      <c r="LD32" s="206"/>
      <c r="LE32" s="206"/>
      <c r="LF32" s="206"/>
      <c r="LG32" s="206"/>
      <c r="LH32" s="206"/>
      <c r="LI32" s="206"/>
      <c r="LJ32" s="206"/>
      <c r="LK32" s="206"/>
      <c r="LL32" s="206"/>
      <c r="LM32" s="206"/>
      <c r="LN32" s="206"/>
      <c r="LO32" s="206"/>
      <c r="LP32" s="206"/>
      <c r="LQ32" s="206"/>
      <c r="LR32" s="206"/>
      <c r="LS32" s="206"/>
      <c r="LT32" s="206"/>
      <c r="LU32" s="206"/>
      <c r="LV32" s="206"/>
      <c r="LW32" s="206"/>
      <c r="LX32" s="206"/>
      <c r="LY32" s="206"/>
      <c r="LZ32" s="206"/>
      <c r="MA32" s="206"/>
      <c r="MB32" s="206"/>
      <c r="MC32" s="206"/>
      <c r="MD32" s="206"/>
      <c r="ME32" s="206"/>
      <c r="MF32" s="206"/>
      <c r="MG32" s="206"/>
      <c r="MH32" s="206"/>
      <c r="MI32" s="206"/>
      <c r="MJ32" s="206"/>
      <c r="MK32" s="206"/>
      <c r="ML32" s="206"/>
      <c r="MM32" s="206"/>
      <c r="MN32" s="206"/>
      <c r="MO32" s="206"/>
      <c r="MP32" s="206"/>
      <c r="MQ32" s="206"/>
      <c r="MR32" s="206"/>
      <c r="MS32" s="206"/>
      <c r="MT32" s="206"/>
      <c r="MU32" s="206"/>
      <c r="MV32" s="206"/>
      <c r="MW32" s="206"/>
      <c r="MX32" s="206"/>
      <c r="MY32" s="206"/>
      <c r="MZ32" s="206"/>
      <c r="NA32" s="206"/>
      <c r="NB32" s="206"/>
      <c r="NC32" s="206"/>
      <c r="ND32" s="206"/>
      <c r="NE32" s="206"/>
      <c r="NF32" s="206"/>
      <c r="NG32" s="206"/>
      <c r="NH32" s="206"/>
      <c r="NI32" s="206"/>
      <c r="NJ32" s="206"/>
      <c r="NK32" s="206"/>
      <c r="NL32" s="206"/>
      <c r="NM32" s="206"/>
      <c r="NN32" s="206"/>
      <c r="NO32" s="206"/>
      <c r="NP32" s="206"/>
      <c r="NQ32" s="206"/>
      <c r="NR32" s="206"/>
      <c r="NS32" s="206"/>
      <c r="NT32" s="206"/>
      <c r="NU32" s="206"/>
      <c r="NV32" s="206"/>
      <c r="NW32" s="206"/>
      <c r="NX32" s="206"/>
      <c r="NY32" s="206"/>
      <c r="NZ32" s="206"/>
      <c r="OA32" s="206"/>
      <c r="OB32" s="206"/>
      <c r="OC32" s="206"/>
      <c r="OD32" s="206"/>
      <c r="OE32" s="206"/>
      <c r="OF32" s="206"/>
      <c r="OG32" s="206"/>
      <c r="OH32" s="206"/>
      <c r="OI32" s="206"/>
      <c r="OJ32" s="206"/>
      <c r="OK32" s="206"/>
      <c r="OL32" s="206"/>
      <c r="OM32" s="206"/>
      <c r="ON32" s="206"/>
      <c r="OO32" s="206"/>
      <c r="OP32" s="206"/>
      <c r="OQ32" s="206"/>
      <c r="OR32" s="206"/>
      <c r="OS32" s="206"/>
      <c r="OT32" s="206"/>
      <c r="OU32" s="206"/>
      <c r="OV32" s="206"/>
      <c r="OW32" s="206"/>
      <c r="OX32" s="206"/>
      <c r="OY32" s="206"/>
      <c r="OZ32" s="206"/>
      <c r="PA32" s="206"/>
      <c r="PB32" s="206"/>
      <c r="PC32" s="206"/>
      <c r="PD32" s="206"/>
      <c r="PE32" s="206"/>
      <c r="PF32" s="206"/>
      <c r="PG32" s="206"/>
      <c r="PH32" s="206"/>
      <c r="PI32" s="206"/>
      <c r="PJ32" s="206"/>
      <c r="PK32" s="206"/>
      <c r="PL32" s="206"/>
      <c r="PM32" s="206"/>
      <c r="PN32" s="206"/>
      <c r="PO32" s="206"/>
      <c r="PP32" s="206"/>
      <c r="PQ32" s="206"/>
      <c r="PR32" s="206"/>
      <c r="PS32" s="206"/>
      <c r="PT32" s="206"/>
      <c r="PU32" s="206"/>
      <c r="PV32" s="206"/>
      <c r="PW32" s="206"/>
      <c r="PX32" s="206"/>
      <c r="PY32" s="206"/>
      <c r="PZ32" s="206"/>
      <c r="QA32" s="206"/>
      <c r="QB32" s="206"/>
      <c r="QC32" s="206"/>
      <c r="QD32" s="206"/>
      <c r="QE32" s="206"/>
      <c r="QF32" s="206"/>
      <c r="QG32" s="206"/>
      <c r="QH32" s="206"/>
      <c r="QI32" s="206"/>
      <c r="QJ32" s="206"/>
      <c r="QK32" s="206"/>
      <c r="QL32" s="206"/>
      <c r="QM32" s="206"/>
      <c r="QN32" s="206"/>
      <c r="QO32" s="206"/>
      <c r="QP32" s="206"/>
      <c r="QQ32" s="206"/>
      <c r="QR32" s="206"/>
      <c r="QS32" s="206"/>
      <c r="QT32" s="206"/>
      <c r="QU32" s="206"/>
      <c r="QV32" s="206"/>
      <c r="QW32" s="206"/>
      <c r="QX32" s="206"/>
      <c r="QY32" s="206"/>
      <c r="QZ32" s="206"/>
      <c r="RA32" s="206"/>
      <c r="RB32" s="206"/>
      <c r="RC32" s="206"/>
      <c r="RD32" s="206"/>
      <c r="RE32" s="206"/>
      <c r="RF32" s="206"/>
      <c r="RG32" s="206"/>
      <c r="RH32" s="206"/>
      <c r="RI32" s="206"/>
      <c r="RJ32" s="206"/>
      <c r="RK32" s="206"/>
      <c r="RL32" s="206"/>
      <c r="RM32" s="206"/>
      <c r="RN32" s="206"/>
      <c r="RO32" s="206"/>
      <c r="RP32" s="206"/>
      <c r="RQ32" s="206"/>
      <c r="RR32" s="206"/>
      <c r="RS32" s="206"/>
      <c r="RT32" s="206"/>
      <c r="RU32" s="206"/>
      <c r="RV32" s="206"/>
      <c r="RW32" s="206"/>
      <c r="RX32" s="206"/>
      <c r="RY32" s="206"/>
      <c r="RZ32" s="206"/>
      <c r="SA32" s="206"/>
      <c r="SB32" s="206"/>
      <c r="SC32" s="206"/>
      <c r="SD32" s="206"/>
      <c r="SE32" s="206"/>
      <c r="SF32" s="206"/>
      <c r="SG32" s="206"/>
      <c r="SH32" s="206"/>
      <c r="SI32" s="206"/>
      <c r="SJ32" s="206"/>
      <c r="SK32" s="206"/>
      <c r="SL32" s="206"/>
      <c r="SM32" s="206"/>
      <c r="SN32" s="206"/>
      <c r="SO32" s="206"/>
      <c r="SP32" s="206"/>
      <c r="SQ32" s="206"/>
      <c r="SR32" s="206"/>
      <c r="SS32" s="206"/>
      <c r="ST32" s="206"/>
      <c r="SU32" s="206"/>
      <c r="SV32" s="206"/>
      <c r="SW32" s="206"/>
      <c r="SX32" s="206"/>
      <c r="SY32" s="206"/>
      <c r="SZ32" s="206"/>
      <c r="TA32" s="206"/>
      <c r="TB32" s="206"/>
      <c r="TC32" s="206"/>
      <c r="TD32" s="206"/>
      <c r="TE32" s="206"/>
      <c r="TF32" s="206"/>
      <c r="TG32" s="206"/>
      <c r="TH32" s="206"/>
      <c r="TI32" s="206"/>
      <c r="TJ32" s="206"/>
      <c r="TK32" s="206"/>
      <c r="TL32" s="206"/>
      <c r="TM32" s="206"/>
      <c r="TN32" s="206"/>
      <c r="TO32" s="206"/>
      <c r="TP32" s="206"/>
      <c r="TQ32" s="206"/>
      <c r="TR32" s="206"/>
      <c r="TS32" s="206"/>
      <c r="TT32" s="206"/>
      <c r="TU32" s="206"/>
      <c r="TV32" s="206"/>
      <c r="TW32" s="206"/>
      <c r="TX32" s="206"/>
      <c r="TY32" s="206"/>
      <c r="TZ32" s="206"/>
      <c r="UA32" s="206"/>
      <c r="UB32" s="206"/>
      <c r="UC32" s="206"/>
      <c r="UD32" s="206"/>
      <c r="UE32" s="206"/>
      <c r="UF32" s="206"/>
      <c r="UG32" s="206"/>
      <c r="UH32" s="206"/>
      <c r="UI32" s="206"/>
      <c r="UJ32" s="206"/>
      <c r="UK32" s="206"/>
      <c r="UL32" s="206"/>
      <c r="UM32" s="206"/>
      <c r="UN32" s="206"/>
      <c r="UO32" s="206"/>
      <c r="UP32" s="206"/>
      <c r="UQ32" s="206"/>
      <c r="UR32" s="206"/>
      <c r="US32" s="206"/>
      <c r="UT32" s="206"/>
      <c r="UU32" s="206"/>
      <c r="UV32" s="206"/>
      <c r="UW32" s="206"/>
      <c r="UX32" s="206"/>
      <c r="UY32" s="206"/>
      <c r="UZ32" s="206"/>
      <c r="VA32" s="206"/>
      <c r="VB32" s="206"/>
      <c r="VC32" s="206"/>
      <c r="VD32" s="206"/>
      <c r="VE32" s="206"/>
      <c r="VF32" s="206"/>
      <c r="VG32" s="206"/>
      <c r="VH32" s="206"/>
      <c r="VI32" s="206"/>
      <c r="VJ32" s="206"/>
      <c r="VK32" s="206"/>
      <c r="VL32" s="206"/>
      <c r="VM32" s="206"/>
      <c r="VN32" s="206"/>
      <c r="VO32" s="206"/>
      <c r="VP32" s="206"/>
      <c r="VQ32" s="206"/>
      <c r="VR32" s="206"/>
      <c r="VS32" s="206"/>
      <c r="VT32" s="206"/>
      <c r="VU32" s="206"/>
      <c r="VV32" s="206"/>
      <c r="VW32" s="206"/>
      <c r="VX32" s="206"/>
      <c r="VY32" s="206"/>
      <c r="VZ32" s="206"/>
      <c r="WA32" s="206"/>
      <c r="WB32" s="206"/>
      <c r="WC32" s="206"/>
      <c r="WD32" s="206"/>
      <c r="WE32" s="206"/>
      <c r="WF32" s="206"/>
      <c r="WG32" s="206"/>
      <c r="WH32" s="206"/>
      <c r="WI32" s="206"/>
      <c r="WJ32" s="206"/>
      <c r="WK32" s="206"/>
      <c r="WL32" s="206"/>
      <c r="WM32" s="206"/>
      <c r="WN32" s="206"/>
      <c r="WO32" s="206"/>
      <c r="WP32" s="206"/>
      <c r="WQ32" s="206"/>
      <c r="WR32" s="206"/>
      <c r="WS32" s="206"/>
      <c r="WT32" s="206"/>
      <c r="WU32" s="206"/>
      <c r="WV32" s="206"/>
      <c r="WW32" s="206"/>
      <c r="WX32" s="206"/>
      <c r="WY32" s="206"/>
      <c r="WZ32" s="206"/>
      <c r="XA32" s="206"/>
      <c r="XB32" s="206"/>
      <c r="XC32" s="206"/>
      <c r="XD32" s="206"/>
      <c r="XE32" s="206"/>
      <c r="XF32" s="206"/>
      <c r="XG32" s="206"/>
      <c r="XH32" s="206"/>
      <c r="XI32" s="206"/>
      <c r="XJ32" s="206"/>
      <c r="XK32" s="206"/>
      <c r="XL32" s="206"/>
      <c r="XM32" s="206"/>
      <c r="XN32" s="206"/>
      <c r="XO32" s="206"/>
      <c r="XP32" s="206"/>
      <c r="XQ32" s="206"/>
      <c r="XR32" s="206"/>
      <c r="XS32" s="206"/>
      <c r="XT32" s="206"/>
      <c r="XU32" s="206"/>
      <c r="XV32" s="206"/>
      <c r="XW32" s="206"/>
      <c r="XX32" s="206"/>
      <c r="XY32" s="206"/>
      <c r="XZ32" s="206"/>
      <c r="YA32" s="206"/>
      <c r="YB32" s="206"/>
      <c r="YC32" s="206"/>
      <c r="YD32" s="206"/>
      <c r="YE32" s="206"/>
      <c r="YF32" s="206"/>
      <c r="YG32" s="206"/>
      <c r="YH32" s="206"/>
      <c r="YI32" s="206"/>
      <c r="YJ32" s="206"/>
      <c r="YK32" s="206"/>
      <c r="YL32" s="206"/>
      <c r="YM32" s="206"/>
      <c r="YN32" s="206"/>
      <c r="YO32" s="206"/>
      <c r="YP32" s="206"/>
      <c r="YQ32" s="206"/>
      <c r="YR32" s="206"/>
      <c r="YS32" s="206"/>
      <c r="YT32" s="206"/>
      <c r="YU32" s="206"/>
      <c r="YV32" s="206"/>
      <c r="YW32" s="206"/>
      <c r="YX32" s="206"/>
      <c r="YY32" s="206"/>
      <c r="YZ32" s="206"/>
      <c r="ZA32" s="206"/>
      <c r="ZB32" s="206"/>
      <c r="ZC32" s="206"/>
      <c r="ZD32" s="206"/>
      <c r="ZE32" s="206"/>
      <c r="ZF32" s="206"/>
      <c r="ZG32" s="206"/>
      <c r="ZH32" s="206"/>
      <c r="ZI32" s="206"/>
      <c r="ZJ32" s="206"/>
      <c r="ZK32" s="206"/>
      <c r="ZL32" s="206"/>
      <c r="ZM32" s="206"/>
      <c r="ZN32" s="206"/>
      <c r="ZO32" s="206"/>
      <c r="ZP32" s="206"/>
      <c r="ZQ32" s="206"/>
      <c r="ZR32" s="206"/>
      <c r="ZS32" s="206"/>
      <c r="ZT32" s="206"/>
      <c r="ZU32" s="206"/>
      <c r="ZV32" s="206"/>
      <c r="ZW32" s="206"/>
      <c r="ZX32" s="206"/>
      <c r="ZY32" s="206"/>
      <c r="ZZ32" s="206"/>
      <c r="AAA32" s="206"/>
      <c r="AAB32" s="206"/>
      <c r="AAC32" s="206"/>
      <c r="AAD32" s="206"/>
      <c r="AAE32" s="206"/>
      <c r="AAF32" s="206"/>
      <c r="AAG32" s="206"/>
      <c r="AAH32" s="206"/>
      <c r="AAI32" s="206"/>
      <c r="AAJ32" s="206"/>
      <c r="AAK32" s="206"/>
      <c r="AAL32" s="206"/>
      <c r="AAM32" s="206"/>
      <c r="AAN32" s="206"/>
      <c r="AAO32" s="206"/>
      <c r="AAP32" s="206"/>
      <c r="AAQ32" s="206"/>
      <c r="AAR32" s="206"/>
      <c r="AAS32" s="206"/>
      <c r="AAT32" s="206"/>
      <c r="AAU32" s="206"/>
      <c r="AAV32" s="206"/>
      <c r="AAW32" s="206"/>
      <c r="AAX32" s="206"/>
      <c r="AAY32" s="206"/>
      <c r="AAZ32" s="206"/>
      <c r="ABA32" s="206"/>
      <c r="ABB32" s="206"/>
      <c r="ABC32" s="206"/>
      <c r="ABD32" s="206"/>
      <c r="ABE32" s="206"/>
      <c r="ABF32" s="206"/>
      <c r="ABG32" s="206"/>
      <c r="ABH32" s="206"/>
      <c r="ABI32" s="206"/>
      <c r="ABJ32" s="206"/>
      <c r="ABK32" s="206"/>
      <c r="ABL32" s="206"/>
      <c r="ABM32" s="206"/>
      <c r="ABN32" s="206"/>
      <c r="ABO32" s="206"/>
      <c r="ABP32" s="206"/>
      <c r="ABQ32" s="206"/>
      <c r="ABR32" s="206"/>
      <c r="ABS32" s="206"/>
      <c r="ABT32" s="206"/>
      <c r="ABU32" s="206"/>
      <c r="ABV32" s="206"/>
      <c r="ABW32" s="206"/>
      <c r="ABX32" s="206"/>
      <c r="ABY32" s="206"/>
      <c r="ABZ32" s="206"/>
      <c r="ACA32" s="206"/>
      <c r="ACB32" s="206"/>
      <c r="ACC32" s="206"/>
      <c r="ACD32" s="206"/>
      <c r="ACE32" s="206"/>
      <c r="ACF32" s="206"/>
      <c r="ACG32" s="206"/>
      <c r="ACH32" s="206"/>
      <c r="ACI32" s="206"/>
      <c r="ACJ32" s="206"/>
      <c r="ACK32" s="206"/>
      <c r="ACL32" s="206"/>
      <c r="ACM32" s="206"/>
      <c r="ACN32" s="206"/>
      <c r="ACO32" s="206"/>
      <c r="ACP32" s="206"/>
      <c r="ACQ32" s="206"/>
      <c r="ACR32" s="206"/>
      <c r="ACS32" s="206"/>
      <c r="ACT32" s="206"/>
      <c r="ACU32" s="206"/>
      <c r="ACV32" s="206"/>
      <c r="ACW32" s="206"/>
      <c r="ACX32" s="206"/>
      <c r="ACY32" s="206"/>
      <c r="ACZ32" s="206"/>
      <c r="ADA32" s="206"/>
      <c r="ADB32" s="206"/>
      <c r="ADC32" s="206"/>
      <c r="ADD32" s="206"/>
      <c r="ADE32" s="206"/>
      <c r="ADF32" s="206"/>
      <c r="ADG32" s="206"/>
      <c r="ADH32" s="206"/>
      <c r="ADI32" s="206"/>
      <c r="ADJ32" s="206"/>
      <c r="ADK32" s="206"/>
      <c r="ADL32" s="206"/>
      <c r="ADM32" s="206"/>
      <c r="ADN32" s="206"/>
      <c r="ADO32" s="206"/>
      <c r="ADP32" s="206"/>
      <c r="ADQ32" s="206"/>
      <c r="ADR32" s="206"/>
      <c r="ADS32" s="206"/>
      <c r="ADT32" s="206"/>
      <c r="ADU32" s="206"/>
      <c r="ADV32" s="206"/>
      <c r="ADW32" s="206"/>
      <c r="ADX32" s="206"/>
      <c r="ADY32" s="206"/>
      <c r="ADZ32" s="206"/>
      <c r="AEA32" s="206"/>
      <c r="AEB32" s="206"/>
      <c r="AEC32" s="206"/>
      <c r="AED32" s="206"/>
      <c r="AEE32" s="206"/>
      <c r="AEF32" s="206"/>
      <c r="AEG32" s="206"/>
      <c r="AEH32" s="206"/>
      <c r="AEI32" s="206"/>
      <c r="AEJ32" s="206"/>
      <c r="AEK32" s="206"/>
      <c r="AEL32" s="206"/>
      <c r="AEM32" s="206"/>
      <c r="AEN32" s="206"/>
      <c r="AEO32" s="206"/>
      <c r="AEP32" s="206"/>
      <c r="AEQ32" s="206"/>
      <c r="AER32" s="206"/>
      <c r="AES32" s="206"/>
      <c r="AET32" s="206"/>
      <c r="AEU32" s="206"/>
      <c r="AEV32" s="206"/>
      <c r="AEW32" s="206"/>
      <c r="AEX32" s="206"/>
      <c r="AEY32" s="206"/>
      <c r="AEZ32" s="206"/>
      <c r="AFA32" s="206"/>
      <c r="AFB32" s="206"/>
      <c r="AFC32" s="206"/>
      <c r="AFD32" s="206"/>
      <c r="AFE32" s="206"/>
      <c r="AFF32" s="206"/>
      <c r="AFG32" s="206"/>
      <c r="AFH32" s="206"/>
      <c r="AFI32" s="206"/>
      <c r="AFJ32" s="206"/>
      <c r="AFK32" s="206"/>
      <c r="AFL32" s="206"/>
      <c r="AFM32" s="206"/>
      <c r="AFN32" s="206"/>
      <c r="AFO32" s="206"/>
      <c r="AFP32" s="206"/>
      <c r="AFQ32" s="206"/>
      <c r="AFR32" s="206"/>
      <c r="AFS32" s="206"/>
      <c r="AFT32" s="206"/>
      <c r="AFU32" s="206"/>
      <c r="AFV32" s="206"/>
      <c r="AFW32" s="206"/>
      <c r="AFX32" s="206"/>
      <c r="AFY32" s="206"/>
      <c r="AFZ32" s="206"/>
      <c r="AGA32" s="206"/>
      <c r="AGB32" s="206"/>
      <c r="AGC32" s="206"/>
      <c r="AGD32" s="206"/>
      <c r="AGE32" s="206"/>
      <c r="AGF32" s="206"/>
      <c r="AGG32" s="206"/>
      <c r="AGH32" s="206"/>
      <c r="AGI32" s="206"/>
      <c r="AGJ32" s="206"/>
      <c r="AGK32" s="206"/>
      <c r="AGL32" s="206"/>
      <c r="AGM32" s="206"/>
      <c r="AGN32" s="206"/>
      <c r="AGO32" s="206"/>
      <c r="AGP32" s="206"/>
      <c r="AGQ32" s="206"/>
      <c r="AGR32" s="206"/>
      <c r="AGS32" s="206"/>
      <c r="AGT32" s="206"/>
      <c r="AGU32" s="206"/>
      <c r="AGV32" s="206"/>
      <c r="AGW32" s="206"/>
      <c r="AGX32" s="206"/>
      <c r="AGY32" s="206"/>
      <c r="AGZ32" s="206"/>
      <c r="AHA32" s="206"/>
      <c r="AHB32" s="206"/>
      <c r="AHC32" s="206"/>
      <c r="AHD32" s="206"/>
      <c r="AHE32" s="206"/>
      <c r="AHF32" s="206"/>
      <c r="AHG32" s="206"/>
      <c r="AHH32" s="206"/>
      <c r="AHI32" s="206"/>
      <c r="AHJ32" s="206"/>
      <c r="AHK32" s="206"/>
      <c r="AHL32" s="206"/>
      <c r="AHM32" s="206"/>
      <c r="AHN32" s="206"/>
      <c r="AHO32" s="206"/>
      <c r="AHP32" s="206"/>
      <c r="AHQ32" s="206"/>
      <c r="AHR32" s="206"/>
      <c r="AHS32" s="206"/>
      <c r="AHT32" s="206"/>
      <c r="AHU32" s="206"/>
      <c r="AHV32" s="206"/>
      <c r="AHW32" s="206"/>
      <c r="AHX32" s="206"/>
      <c r="AHY32" s="206"/>
      <c r="AHZ32" s="206"/>
      <c r="AIA32" s="206"/>
      <c r="AIB32" s="206"/>
      <c r="AIC32" s="206"/>
      <c r="AID32" s="206"/>
      <c r="AIE32" s="206"/>
      <c r="AIF32" s="206"/>
      <c r="AIG32" s="206"/>
      <c r="AIH32" s="206"/>
      <c r="AII32" s="206"/>
      <c r="AIJ32" s="206"/>
      <c r="AIK32" s="206"/>
      <c r="AIL32" s="206"/>
      <c r="AIM32" s="206"/>
      <c r="AIN32" s="206"/>
      <c r="AIO32" s="206"/>
      <c r="AIP32" s="206"/>
      <c r="AIQ32" s="206"/>
      <c r="AIR32" s="206"/>
      <c r="AIS32" s="206"/>
      <c r="AIT32" s="206"/>
      <c r="AIU32" s="206"/>
      <c r="AIV32" s="206"/>
      <c r="AIW32" s="206"/>
      <c r="AIX32" s="206"/>
      <c r="AIY32" s="206"/>
      <c r="AIZ32" s="206"/>
      <c r="AJA32" s="206"/>
      <c r="AJB32" s="206"/>
      <c r="AJC32" s="206"/>
      <c r="AJD32" s="206"/>
      <c r="AJE32" s="206"/>
      <c r="AJF32" s="206"/>
      <c r="AJG32" s="206"/>
      <c r="AJH32" s="206"/>
      <c r="AJI32" s="206"/>
      <c r="AJJ32" s="206"/>
      <c r="AJK32" s="206"/>
      <c r="AJL32" s="206"/>
      <c r="AJM32" s="206"/>
      <c r="AJN32" s="206"/>
      <c r="AJO32" s="206"/>
      <c r="AJP32" s="206"/>
      <c r="AJQ32" s="206"/>
      <c r="AJR32" s="206"/>
      <c r="AJS32" s="206"/>
      <c r="AJT32" s="206"/>
      <c r="AJU32" s="206"/>
      <c r="AJV32" s="206"/>
      <c r="AJW32" s="206"/>
      <c r="AJX32" s="206"/>
      <c r="AJY32" s="206"/>
      <c r="AJZ32" s="206"/>
      <c r="AKA32" s="206"/>
      <c r="AKB32" s="206"/>
      <c r="AKC32" s="206"/>
      <c r="AKD32" s="206"/>
      <c r="AKE32" s="206"/>
      <c r="AKF32" s="206"/>
      <c r="AKG32" s="206"/>
      <c r="AKH32" s="206"/>
      <c r="AKI32" s="206"/>
      <c r="AKJ32" s="206"/>
      <c r="AKK32" s="206"/>
      <c r="AKL32" s="206"/>
      <c r="AKM32" s="206"/>
      <c r="AKN32" s="206"/>
      <c r="AKO32" s="206"/>
      <c r="AKP32" s="206"/>
      <c r="AKQ32" s="206"/>
      <c r="AKR32" s="206"/>
      <c r="AKS32" s="206"/>
      <c r="AKT32" s="206"/>
      <c r="AKU32" s="206"/>
      <c r="AKV32" s="206"/>
      <c r="AKW32" s="206"/>
      <c r="AKX32" s="206"/>
      <c r="AKY32" s="206"/>
      <c r="AKZ32" s="206"/>
      <c r="ALA32" s="206"/>
      <c r="ALB32" s="206"/>
      <c r="ALC32" s="206"/>
      <c r="ALD32" s="206"/>
      <c r="ALE32" s="206"/>
      <c r="ALF32" s="206"/>
      <c r="ALG32" s="206"/>
      <c r="ALH32" s="206"/>
      <c r="ALI32" s="206"/>
      <c r="ALJ32" s="206"/>
      <c r="ALK32" s="206"/>
      <c r="ALL32" s="206"/>
      <c r="ALM32" s="206"/>
      <c r="ALN32" s="206"/>
      <c r="ALO32" s="206"/>
      <c r="ALP32" s="206"/>
      <c r="ALQ32" s="206"/>
      <c r="ALR32" s="206"/>
      <c r="ALS32" s="206"/>
      <c r="ALT32" s="206"/>
      <c r="ALU32" s="206"/>
      <c r="ALV32" s="206"/>
      <c r="ALW32" s="206"/>
      <c r="ALX32" s="206"/>
      <c r="ALY32" s="206"/>
      <c r="ALZ32" s="206"/>
      <c r="AMA32" s="206"/>
      <c r="AMB32" s="206"/>
      <c r="AMC32" s="206"/>
      <c r="AMD32" s="206"/>
      <c r="AME32" s="206"/>
      <c r="AMF32" s="206"/>
      <c r="AMG32" s="206"/>
      <c r="AMH32" s="206"/>
      <c r="AMI32" s="206"/>
      <c r="AMJ32" s="206"/>
      <c r="AMK32" s="206"/>
      <c r="AML32" s="206"/>
      <c r="AMM32" s="206"/>
      <c r="AMN32" s="206"/>
      <c r="AMO32" s="206"/>
      <c r="AMP32" s="206"/>
      <c r="AMQ32" s="206"/>
      <c r="AMR32" s="206"/>
      <c r="AMS32" s="206"/>
      <c r="AMT32" s="206"/>
      <c r="AMU32" s="206"/>
      <c r="AMV32" s="206"/>
      <c r="AMW32" s="206"/>
      <c r="AMX32" s="206"/>
      <c r="AMY32" s="206"/>
      <c r="AMZ32" s="206"/>
      <c r="ANA32" s="206"/>
      <c r="ANB32" s="206"/>
      <c r="ANC32" s="206"/>
      <c r="AND32" s="206"/>
      <c r="ANE32" s="206"/>
      <c r="ANF32" s="206"/>
      <c r="ANG32" s="206"/>
      <c r="ANH32" s="206"/>
      <c r="ANI32" s="206"/>
      <c r="ANJ32" s="206"/>
      <c r="ANK32" s="206"/>
      <c r="ANL32" s="206"/>
      <c r="ANM32" s="206"/>
      <c r="ANN32" s="206"/>
      <c r="ANO32" s="206"/>
      <c r="ANP32" s="206"/>
      <c r="ANQ32" s="206"/>
      <c r="ANR32" s="206"/>
      <c r="ANS32" s="206"/>
      <c r="ANT32" s="206"/>
      <c r="ANU32" s="206"/>
      <c r="ANV32" s="206"/>
      <c r="ANW32" s="206"/>
      <c r="ANX32" s="206"/>
      <c r="ANY32" s="206"/>
      <c r="ANZ32" s="206"/>
      <c r="AOA32" s="206"/>
      <c r="AOB32" s="206"/>
      <c r="AOC32" s="206"/>
      <c r="AOD32" s="206"/>
      <c r="AOE32" s="206"/>
      <c r="AOF32" s="206"/>
      <c r="AOG32" s="206"/>
      <c r="AOH32" s="206"/>
      <c r="AOI32" s="206"/>
      <c r="AOJ32" s="206"/>
      <c r="AOK32" s="206"/>
      <c r="AOL32" s="206"/>
      <c r="AOM32" s="206"/>
      <c r="AON32" s="206"/>
      <c r="AOO32" s="206"/>
      <c r="AOP32" s="206"/>
      <c r="AOQ32" s="206"/>
      <c r="AOR32" s="206"/>
      <c r="AOS32" s="206"/>
      <c r="AOT32" s="206"/>
      <c r="AOU32" s="206"/>
      <c r="AOV32" s="206"/>
      <c r="AOW32" s="206"/>
      <c r="AOX32" s="206"/>
      <c r="AOY32" s="206"/>
      <c r="AOZ32" s="206"/>
      <c r="APA32" s="206"/>
      <c r="APB32" s="206"/>
      <c r="APC32" s="206"/>
      <c r="APD32" s="206"/>
      <c r="APE32" s="206"/>
      <c r="APF32" s="206"/>
      <c r="APG32" s="206"/>
      <c r="APH32" s="206"/>
      <c r="API32" s="206"/>
      <c r="APJ32" s="206"/>
      <c r="APK32" s="206"/>
      <c r="APL32" s="206"/>
      <c r="APM32" s="206"/>
      <c r="APN32" s="206"/>
      <c r="APO32" s="206"/>
      <c r="APP32" s="206"/>
      <c r="APQ32" s="206"/>
      <c r="APR32" s="206"/>
      <c r="APS32" s="206"/>
      <c r="APT32" s="206"/>
      <c r="APU32" s="206"/>
      <c r="APV32" s="206"/>
      <c r="APW32" s="206"/>
      <c r="APX32" s="206"/>
      <c r="APY32" s="206"/>
      <c r="APZ32" s="206"/>
      <c r="AQA32" s="206"/>
      <c r="AQB32" s="206"/>
      <c r="AQC32" s="206"/>
      <c r="AQD32" s="206"/>
      <c r="AQE32" s="206"/>
      <c r="AQF32" s="206"/>
      <c r="AQG32" s="206"/>
      <c r="AQH32" s="206"/>
      <c r="AQI32" s="206"/>
      <c r="AQJ32" s="206"/>
      <c r="AQK32" s="206"/>
      <c r="AQL32" s="206"/>
      <c r="AQM32" s="206"/>
      <c r="AQN32" s="206"/>
      <c r="AQO32" s="206"/>
      <c r="AQP32" s="206"/>
      <c r="AQQ32" s="206"/>
      <c r="AQR32" s="206"/>
      <c r="AQS32" s="206"/>
      <c r="AQT32" s="206"/>
      <c r="AQU32" s="206"/>
      <c r="AQV32" s="206"/>
      <c r="AQW32" s="206"/>
      <c r="AQX32" s="206"/>
      <c r="AQY32" s="206"/>
      <c r="AQZ32" s="206"/>
      <c r="ARA32" s="206"/>
      <c r="ARB32" s="206"/>
      <c r="ARC32" s="206"/>
      <c r="ARD32" s="206"/>
      <c r="ARE32" s="206"/>
      <c r="ARF32" s="206"/>
      <c r="ARG32" s="206"/>
      <c r="ARH32" s="206"/>
      <c r="ARI32" s="206"/>
      <c r="ARJ32" s="206"/>
      <c r="ARK32" s="206"/>
      <c r="ARL32" s="206"/>
      <c r="ARM32" s="206"/>
      <c r="ARN32" s="206"/>
      <c r="ARO32" s="206"/>
      <c r="ARP32" s="206"/>
      <c r="ARQ32" s="206"/>
      <c r="ARR32" s="206"/>
      <c r="ARS32" s="206"/>
      <c r="ART32" s="206"/>
      <c r="ARU32" s="206"/>
      <c r="ARV32" s="206"/>
      <c r="ARW32" s="206"/>
      <c r="ARX32" s="206"/>
      <c r="ARY32" s="206"/>
      <c r="ARZ32" s="206"/>
      <c r="ASA32" s="206"/>
      <c r="ASB32" s="206"/>
      <c r="ASC32" s="206"/>
      <c r="ASD32" s="206"/>
      <c r="ASE32" s="206"/>
      <c r="ASF32" s="206"/>
      <c r="ASG32" s="206"/>
      <c r="ASH32" s="206"/>
      <c r="ASI32" s="206"/>
      <c r="ASJ32" s="206"/>
      <c r="ASK32" s="206"/>
      <c r="ASL32" s="206"/>
      <c r="ASM32" s="206"/>
      <c r="ASN32" s="206"/>
      <c r="ASO32" s="206"/>
      <c r="ASP32" s="206"/>
      <c r="ASQ32" s="206"/>
      <c r="ASR32" s="206"/>
      <c r="ASS32" s="206"/>
      <c r="AST32" s="206"/>
      <c r="ASU32" s="206"/>
      <c r="ASV32" s="206"/>
      <c r="ASW32" s="206"/>
      <c r="ASX32" s="206"/>
      <c r="ASY32" s="206"/>
      <c r="ASZ32" s="206"/>
      <c r="ATA32" s="206"/>
      <c r="ATB32" s="206"/>
      <c r="ATC32" s="206"/>
      <c r="ATD32" s="206"/>
      <c r="ATE32" s="206"/>
      <c r="ATF32" s="206"/>
      <c r="ATG32" s="206"/>
      <c r="ATH32" s="206"/>
      <c r="ATI32" s="206"/>
      <c r="ATJ32" s="206"/>
      <c r="ATK32" s="206"/>
      <c r="ATL32" s="206"/>
      <c r="ATM32" s="206"/>
      <c r="ATN32" s="206"/>
      <c r="ATO32" s="206"/>
      <c r="ATP32" s="206"/>
      <c r="ATQ32" s="206"/>
      <c r="ATR32" s="206"/>
      <c r="ATS32" s="206"/>
      <c r="ATT32" s="206"/>
      <c r="ATU32" s="206"/>
      <c r="ATV32" s="206"/>
      <c r="ATW32" s="206"/>
      <c r="ATX32" s="206"/>
      <c r="ATY32" s="206"/>
      <c r="ATZ32" s="206"/>
      <c r="AUA32" s="206"/>
      <c r="AUB32" s="206"/>
      <c r="AUC32" s="206"/>
      <c r="AUD32" s="206"/>
      <c r="AUE32" s="206"/>
      <c r="AUF32" s="206"/>
      <c r="AUG32" s="206"/>
      <c r="AUH32" s="206"/>
      <c r="AUI32" s="206"/>
      <c r="AUJ32" s="206"/>
      <c r="AUK32" s="206"/>
      <c r="AUL32" s="206"/>
      <c r="AUM32" s="206"/>
      <c r="AUN32" s="206"/>
      <c r="AUO32" s="206"/>
      <c r="AUP32" s="206"/>
      <c r="AUQ32" s="206"/>
      <c r="AUR32" s="206"/>
      <c r="AUS32" s="206"/>
      <c r="AUT32" s="206"/>
      <c r="AUU32" s="206"/>
      <c r="AUV32" s="206"/>
      <c r="AUW32" s="206"/>
      <c r="AUX32" s="206"/>
      <c r="AUY32" s="206"/>
      <c r="AUZ32" s="206"/>
      <c r="AVA32" s="206"/>
      <c r="AVB32" s="206"/>
      <c r="AVC32" s="206"/>
      <c r="AVD32" s="206"/>
      <c r="AVE32" s="206"/>
      <c r="AVF32" s="206"/>
      <c r="AVG32" s="206"/>
      <c r="AVH32" s="206"/>
      <c r="AVI32" s="206"/>
      <c r="AVJ32" s="206"/>
      <c r="AVK32" s="206"/>
      <c r="AVL32" s="206"/>
      <c r="AVM32" s="206"/>
      <c r="AVN32" s="206"/>
      <c r="AVO32" s="206"/>
      <c r="AVP32" s="206"/>
      <c r="AVQ32" s="206"/>
      <c r="AVR32" s="206"/>
      <c r="AVS32" s="206"/>
      <c r="AVT32" s="206"/>
      <c r="AVU32" s="206"/>
      <c r="AVV32" s="206"/>
      <c r="AVW32" s="206"/>
      <c r="AVX32" s="206"/>
      <c r="AVY32" s="206"/>
      <c r="AVZ32" s="206"/>
      <c r="AWA32" s="206"/>
      <c r="AWB32" s="206"/>
      <c r="AWC32" s="206"/>
      <c r="AWD32" s="206"/>
      <c r="AWE32" s="206"/>
      <c r="AWF32" s="206"/>
      <c r="AWG32" s="206"/>
      <c r="AWH32" s="206"/>
      <c r="AWI32" s="206"/>
      <c r="AWJ32" s="206"/>
      <c r="AWK32" s="206"/>
      <c r="AWL32" s="206"/>
      <c r="AWM32" s="206"/>
      <c r="AWN32" s="206"/>
      <c r="AWO32" s="206"/>
      <c r="AWP32" s="206"/>
      <c r="AWQ32" s="206"/>
      <c r="AWR32" s="206"/>
      <c r="AWS32" s="206"/>
      <c r="AWT32" s="206"/>
      <c r="AWU32" s="206"/>
      <c r="AWV32" s="206"/>
      <c r="AWW32" s="206"/>
      <c r="AWX32" s="206"/>
      <c r="AWY32" s="206"/>
      <c r="AWZ32" s="206"/>
      <c r="AXA32" s="206"/>
      <c r="AXB32" s="206"/>
      <c r="AXC32" s="206"/>
      <c r="AXD32" s="206"/>
      <c r="AXE32" s="206"/>
      <c r="AXF32" s="206"/>
      <c r="AXG32" s="206"/>
      <c r="AXH32" s="206"/>
      <c r="AXI32" s="206"/>
      <c r="AXJ32" s="206"/>
      <c r="AXK32" s="206"/>
      <c r="AXL32" s="206"/>
      <c r="AXM32" s="206"/>
      <c r="AXN32" s="206"/>
      <c r="AXO32" s="206"/>
      <c r="AXP32" s="206"/>
      <c r="AXQ32" s="206"/>
      <c r="AXR32" s="206"/>
      <c r="AXS32" s="206"/>
      <c r="AXT32" s="206"/>
      <c r="AXU32" s="206"/>
      <c r="AXV32" s="206"/>
      <c r="AXW32" s="206"/>
      <c r="AXX32" s="206"/>
      <c r="AXY32" s="206"/>
      <c r="AXZ32" s="206"/>
      <c r="AYA32" s="206"/>
      <c r="AYB32" s="206"/>
      <c r="AYC32" s="206"/>
      <c r="AYD32" s="206"/>
      <c r="AYE32" s="206"/>
      <c r="AYF32" s="206"/>
      <c r="AYG32" s="206"/>
      <c r="AYH32" s="206"/>
      <c r="AYI32" s="206"/>
      <c r="AYJ32" s="206"/>
      <c r="AYK32" s="206"/>
      <c r="AYL32" s="206"/>
      <c r="AYM32" s="206"/>
      <c r="AYN32" s="206"/>
      <c r="AYO32" s="206"/>
      <c r="AYP32" s="206"/>
      <c r="AYQ32" s="206"/>
      <c r="AYR32" s="206"/>
      <c r="AYS32" s="206"/>
      <c r="AYT32" s="206"/>
      <c r="AYU32" s="206"/>
      <c r="AYV32" s="206"/>
      <c r="AYW32" s="206"/>
      <c r="AYX32" s="206"/>
      <c r="AYY32" s="206"/>
      <c r="AYZ32" s="206"/>
      <c r="AZA32" s="206"/>
      <c r="AZB32" s="206"/>
      <c r="AZC32" s="206"/>
      <c r="AZD32" s="206"/>
      <c r="AZE32" s="206"/>
      <c r="AZF32" s="206"/>
      <c r="AZG32" s="206"/>
      <c r="AZH32" s="206"/>
      <c r="AZI32" s="206"/>
      <c r="AZJ32" s="206"/>
      <c r="AZK32" s="206"/>
      <c r="AZL32" s="206"/>
      <c r="AZM32" s="206"/>
      <c r="AZN32" s="206"/>
      <c r="AZO32" s="206"/>
      <c r="AZP32" s="206"/>
      <c r="AZQ32" s="206"/>
      <c r="AZR32" s="206"/>
      <c r="AZS32" s="206"/>
      <c r="AZT32" s="206"/>
      <c r="AZU32" s="206"/>
      <c r="AZV32" s="206"/>
      <c r="AZW32" s="206"/>
      <c r="AZX32" s="206"/>
      <c r="AZY32" s="206"/>
      <c r="AZZ32" s="206"/>
      <c r="BAA32" s="206"/>
      <c r="BAB32" s="206"/>
      <c r="BAC32" s="206"/>
      <c r="BAD32" s="206"/>
      <c r="BAE32" s="206"/>
      <c r="BAF32" s="206"/>
      <c r="BAG32" s="206"/>
      <c r="BAH32" s="206"/>
      <c r="BAI32" s="206"/>
      <c r="BAJ32" s="206"/>
      <c r="BAK32" s="206"/>
      <c r="BAL32" s="206"/>
      <c r="BAM32" s="206"/>
      <c r="BAN32" s="206"/>
      <c r="BAO32" s="206"/>
      <c r="BAP32" s="206"/>
      <c r="BAQ32" s="206"/>
      <c r="BAR32" s="206"/>
      <c r="BAS32" s="206"/>
      <c r="BAT32" s="206"/>
      <c r="BAU32" s="206"/>
      <c r="BAV32" s="206"/>
      <c r="BAW32" s="206"/>
      <c r="BAX32" s="206"/>
      <c r="BAY32" s="206"/>
      <c r="BAZ32" s="206"/>
      <c r="BBA32" s="206"/>
      <c r="BBB32" s="206"/>
      <c r="BBC32" s="206"/>
      <c r="BBD32" s="206"/>
      <c r="BBE32" s="206"/>
      <c r="BBF32" s="206"/>
      <c r="BBG32" s="206"/>
      <c r="BBH32" s="206"/>
      <c r="BBI32" s="206"/>
      <c r="BBJ32" s="206"/>
      <c r="BBK32" s="206"/>
      <c r="BBL32" s="206"/>
      <c r="BBM32" s="206"/>
      <c r="BBN32" s="206"/>
      <c r="BBO32" s="206"/>
      <c r="BBP32" s="206"/>
      <c r="BBQ32" s="206"/>
      <c r="BBR32" s="206"/>
      <c r="BBS32" s="206"/>
      <c r="BBT32" s="206"/>
      <c r="BBU32" s="206"/>
      <c r="BBV32" s="206"/>
      <c r="BBW32" s="206"/>
      <c r="BBX32" s="206"/>
      <c r="BBY32" s="206"/>
      <c r="BBZ32" s="206"/>
      <c r="BCA32" s="206"/>
      <c r="BCB32" s="206"/>
      <c r="BCC32" s="206"/>
      <c r="BCD32" s="206"/>
      <c r="BCE32" s="206"/>
      <c r="BCF32" s="206"/>
      <c r="BCG32" s="206"/>
      <c r="BCH32" s="206"/>
      <c r="BCI32" s="206"/>
      <c r="BCJ32" s="206"/>
      <c r="BCK32" s="206"/>
      <c r="BCL32" s="206"/>
      <c r="BCM32" s="206"/>
      <c r="BCN32" s="206"/>
      <c r="BCO32" s="206"/>
      <c r="BCP32" s="206"/>
      <c r="BCQ32" s="206"/>
      <c r="BCR32" s="206"/>
      <c r="BCS32" s="206"/>
      <c r="BCT32" s="206"/>
      <c r="BCU32" s="206"/>
      <c r="BCV32" s="206"/>
      <c r="BCW32" s="206"/>
      <c r="BCX32" s="206"/>
      <c r="BCY32" s="206"/>
      <c r="BCZ32" s="206"/>
      <c r="BDA32" s="206"/>
      <c r="BDB32" s="206"/>
      <c r="BDC32" s="206"/>
      <c r="BDD32" s="206"/>
      <c r="BDE32" s="206"/>
      <c r="BDF32" s="206"/>
      <c r="BDG32" s="206"/>
      <c r="BDH32" s="206"/>
      <c r="BDI32" s="206"/>
      <c r="BDJ32" s="206"/>
      <c r="BDK32" s="206"/>
      <c r="BDL32" s="206"/>
      <c r="BDM32" s="206"/>
      <c r="BDN32" s="206"/>
      <c r="BDO32" s="206"/>
      <c r="BDP32" s="206"/>
      <c r="BDQ32" s="206"/>
      <c r="BDR32" s="206"/>
      <c r="BDS32" s="206"/>
      <c r="BDT32" s="206"/>
      <c r="BDU32" s="206"/>
      <c r="BDV32" s="206"/>
      <c r="BDW32" s="206"/>
      <c r="BDX32" s="206"/>
      <c r="BDY32" s="206"/>
      <c r="BDZ32" s="206"/>
      <c r="BEA32" s="206"/>
      <c r="BEB32" s="206"/>
      <c r="BEC32" s="206"/>
      <c r="BED32" s="206"/>
      <c r="BEE32" s="206"/>
      <c r="BEF32" s="206"/>
      <c r="BEG32" s="206"/>
      <c r="BEH32" s="206"/>
      <c r="BEI32" s="206"/>
      <c r="BEJ32" s="206"/>
      <c r="BEK32" s="206"/>
      <c r="BEL32" s="206"/>
      <c r="BEM32" s="206"/>
      <c r="BEN32" s="206"/>
      <c r="BEO32" s="206"/>
      <c r="BEP32" s="206"/>
      <c r="BEQ32" s="206"/>
      <c r="BER32" s="206"/>
      <c r="BES32" s="206"/>
      <c r="BET32" s="206"/>
      <c r="BEU32" s="206"/>
      <c r="BEV32" s="206"/>
      <c r="BEW32" s="206"/>
      <c r="BEX32" s="206"/>
      <c r="BEY32" s="206"/>
      <c r="BEZ32" s="206"/>
      <c r="BFA32" s="206"/>
      <c r="BFB32" s="206"/>
      <c r="BFC32" s="206"/>
      <c r="BFD32" s="206"/>
      <c r="BFE32" s="206"/>
      <c r="BFF32" s="206"/>
      <c r="BFG32" s="206"/>
      <c r="BFH32" s="206"/>
      <c r="BFI32" s="206"/>
      <c r="BFJ32" s="206"/>
      <c r="BFK32" s="206"/>
      <c r="BFL32" s="206"/>
      <c r="BFM32" s="206"/>
      <c r="BFN32" s="206"/>
      <c r="BFO32" s="206"/>
      <c r="BFP32" s="206"/>
      <c r="BFQ32" s="206"/>
      <c r="BFR32" s="206"/>
      <c r="BFS32" s="206"/>
      <c r="BFT32" s="206"/>
      <c r="BFU32" s="206"/>
      <c r="BFV32" s="206"/>
      <c r="BFW32" s="206"/>
      <c r="BFX32" s="206"/>
      <c r="BFY32" s="206"/>
      <c r="BFZ32" s="206"/>
      <c r="BGA32" s="206"/>
      <c r="BGB32" s="206"/>
      <c r="BGC32" s="206"/>
      <c r="BGD32" s="206"/>
      <c r="BGE32" s="206"/>
      <c r="BGF32" s="206"/>
      <c r="BGG32" s="206"/>
      <c r="BGH32" s="206"/>
      <c r="BGI32" s="206"/>
      <c r="BGJ32" s="206"/>
      <c r="BGK32" s="206"/>
      <c r="BGL32" s="206"/>
      <c r="BGM32" s="206"/>
      <c r="BGN32" s="206"/>
      <c r="BGO32" s="206"/>
      <c r="BGP32" s="206"/>
      <c r="BGQ32" s="206"/>
      <c r="BGR32" s="206"/>
      <c r="BGS32" s="206"/>
      <c r="BGT32" s="206"/>
      <c r="BGU32" s="206"/>
      <c r="BGV32" s="206"/>
      <c r="BGW32" s="206"/>
      <c r="BGX32" s="206"/>
      <c r="BGY32" s="206"/>
      <c r="BGZ32" s="206"/>
      <c r="BHA32" s="206"/>
      <c r="BHB32" s="206"/>
      <c r="BHC32" s="206"/>
      <c r="BHD32" s="206"/>
      <c r="BHE32" s="206"/>
      <c r="BHF32" s="206"/>
      <c r="BHG32" s="206"/>
      <c r="BHH32" s="206"/>
      <c r="BHI32" s="206"/>
      <c r="BHJ32" s="206"/>
      <c r="BHK32" s="206"/>
      <c r="BHL32" s="206"/>
      <c r="BHM32" s="206"/>
      <c r="BHN32" s="206"/>
      <c r="BHO32" s="206"/>
      <c r="BHP32" s="206"/>
      <c r="BHQ32" s="206"/>
      <c r="BHR32" s="206"/>
      <c r="BHS32" s="206"/>
      <c r="BHT32" s="206"/>
      <c r="BHU32" s="206"/>
      <c r="BHV32" s="206"/>
      <c r="BHW32" s="206"/>
      <c r="BHX32" s="206"/>
      <c r="BHY32" s="206"/>
      <c r="BHZ32" s="206"/>
      <c r="BIA32" s="206"/>
      <c r="BIB32" s="206"/>
      <c r="BIC32" s="206"/>
      <c r="BID32" s="206"/>
      <c r="BIE32" s="206"/>
      <c r="BIF32" s="206"/>
      <c r="BIG32" s="206"/>
      <c r="BIH32" s="206"/>
      <c r="BII32" s="206"/>
      <c r="BIJ32" s="206"/>
      <c r="BIK32" s="206"/>
      <c r="BIL32" s="206"/>
      <c r="BIM32" s="206"/>
      <c r="BIN32" s="206"/>
      <c r="BIO32" s="206"/>
      <c r="BIP32" s="206"/>
      <c r="BIQ32" s="206"/>
      <c r="BIR32" s="206"/>
      <c r="BIS32" s="206"/>
      <c r="BIT32" s="206"/>
      <c r="BIU32" s="206"/>
      <c r="BIV32" s="206"/>
      <c r="BIW32" s="206"/>
      <c r="BIX32" s="206"/>
      <c r="BIY32" s="206"/>
      <c r="BIZ32" s="206"/>
      <c r="BJA32" s="206"/>
      <c r="BJB32" s="206"/>
      <c r="BJC32" s="206"/>
      <c r="BJD32" s="206"/>
      <c r="BJE32" s="206"/>
      <c r="BJF32" s="206"/>
      <c r="BJG32" s="206"/>
      <c r="BJH32" s="206"/>
      <c r="BJI32" s="206"/>
      <c r="BJJ32" s="206"/>
      <c r="BJK32" s="206"/>
      <c r="BJL32" s="206"/>
      <c r="BJM32" s="206"/>
      <c r="BJN32" s="206"/>
      <c r="BJO32" s="206"/>
      <c r="BJP32" s="206"/>
      <c r="BJQ32" s="206"/>
      <c r="BJR32" s="206"/>
      <c r="BJS32" s="206"/>
      <c r="BJT32" s="206"/>
      <c r="BJU32" s="206"/>
      <c r="BJV32" s="206"/>
      <c r="BJW32" s="206"/>
      <c r="BJX32" s="206"/>
      <c r="BJY32" s="206"/>
      <c r="BJZ32" s="206"/>
      <c r="BKA32" s="206"/>
      <c r="BKB32" s="206"/>
      <c r="BKC32" s="206"/>
      <c r="BKD32" s="206"/>
      <c r="BKE32" s="206"/>
      <c r="BKF32" s="206"/>
      <c r="BKG32" s="206"/>
      <c r="BKH32" s="206"/>
      <c r="BKI32" s="206"/>
      <c r="BKJ32" s="206"/>
      <c r="BKK32" s="206"/>
      <c r="BKL32" s="206"/>
      <c r="BKM32" s="206"/>
      <c r="BKN32" s="206"/>
      <c r="BKO32" s="206"/>
      <c r="BKP32" s="206"/>
      <c r="BKQ32" s="206"/>
      <c r="BKR32" s="206"/>
      <c r="BKS32" s="206"/>
      <c r="BKT32" s="206"/>
      <c r="BKU32" s="206"/>
      <c r="BKV32" s="206"/>
      <c r="BKW32" s="206"/>
      <c r="BKX32" s="206"/>
      <c r="BKY32" s="206"/>
      <c r="BKZ32" s="206"/>
      <c r="BLA32" s="206"/>
      <c r="BLB32" s="206"/>
      <c r="BLC32" s="206"/>
      <c r="BLD32" s="206"/>
      <c r="BLE32" s="206"/>
      <c r="BLF32" s="206"/>
      <c r="BLG32" s="206"/>
      <c r="BLH32" s="206"/>
      <c r="BLI32" s="206"/>
      <c r="BLJ32" s="206"/>
      <c r="BLK32" s="206"/>
      <c r="BLL32" s="206"/>
      <c r="BLM32" s="206"/>
      <c r="BLN32" s="206"/>
      <c r="BLO32" s="206"/>
      <c r="BLP32" s="206"/>
      <c r="BLQ32" s="206"/>
      <c r="BLR32" s="206"/>
      <c r="BLS32" s="206"/>
      <c r="BLT32" s="206"/>
      <c r="BLU32" s="206"/>
      <c r="BLV32" s="206"/>
      <c r="BLW32" s="206"/>
      <c r="BLX32" s="206"/>
      <c r="BLY32" s="206"/>
      <c r="BLZ32" s="206"/>
      <c r="BMA32" s="206"/>
      <c r="BMB32" s="206"/>
      <c r="BMC32" s="206"/>
      <c r="BMD32" s="206"/>
      <c r="BME32" s="206"/>
      <c r="BMF32" s="206"/>
      <c r="BMG32" s="206"/>
      <c r="BMH32" s="206"/>
      <c r="BMI32" s="206"/>
      <c r="BMJ32" s="206"/>
      <c r="BMK32" s="206"/>
      <c r="BML32" s="206"/>
      <c r="BMM32" s="206"/>
      <c r="BMN32" s="206"/>
      <c r="BMO32" s="206"/>
      <c r="BMP32" s="206"/>
      <c r="BMQ32" s="206"/>
      <c r="BMR32" s="206"/>
      <c r="BMS32" s="206"/>
      <c r="BMT32" s="206"/>
      <c r="BMU32" s="206"/>
      <c r="BMV32" s="206"/>
      <c r="BMW32" s="206"/>
      <c r="BMX32" s="206"/>
      <c r="BMY32" s="206"/>
      <c r="BMZ32" s="206"/>
      <c r="BNA32" s="206"/>
      <c r="BNB32" s="206"/>
      <c r="BNC32" s="206"/>
      <c r="BND32" s="206"/>
      <c r="BNE32" s="206"/>
      <c r="BNF32" s="206"/>
      <c r="BNG32" s="206"/>
      <c r="BNH32" s="206"/>
      <c r="BNI32" s="206"/>
      <c r="BNJ32" s="206"/>
      <c r="BNK32" s="206"/>
      <c r="BNL32" s="206"/>
      <c r="BNM32" s="206"/>
      <c r="BNN32" s="206"/>
      <c r="BNO32" s="206"/>
      <c r="BNP32" s="206"/>
      <c r="BNQ32" s="206"/>
      <c r="BNR32" s="206"/>
      <c r="BNS32" s="206"/>
      <c r="BNT32" s="206"/>
      <c r="BNU32" s="206"/>
      <c r="BNV32" s="206"/>
      <c r="BNW32" s="206"/>
      <c r="BNX32" s="206"/>
      <c r="BNY32" s="206"/>
      <c r="BNZ32" s="206"/>
      <c r="BOA32" s="206"/>
      <c r="BOB32" s="206"/>
      <c r="BOC32" s="206"/>
      <c r="BOD32" s="206"/>
      <c r="BOE32" s="206"/>
      <c r="BOF32" s="206"/>
      <c r="BOG32" s="206"/>
      <c r="BOH32" s="206"/>
      <c r="BOI32" s="206"/>
      <c r="BOJ32" s="206"/>
      <c r="BOK32" s="206"/>
      <c r="BOL32" s="206"/>
      <c r="BOM32" s="206"/>
      <c r="BON32" s="206"/>
      <c r="BOO32" s="206"/>
      <c r="BOP32" s="206"/>
      <c r="BOQ32" s="206"/>
      <c r="BOR32" s="206"/>
      <c r="BOS32" s="206"/>
      <c r="BOT32" s="206"/>
      <c r="BOU32" s="206"/>
      <c r="BOV32" s="206"/>
      <c r="BOW32" s="206"/>
      <c r="BOX32" s="206"/>
      <c r="BOY32" s="206"/>
      <c r="BOZ32" s="206"/>
      <c r="BPA32" s="206"/>
      <c r="BPB32" s="206"/>
      <c r="BPC32" s="206"/>
      <c r="BPD32" s="206"/>
      <c r="BPE32" s="206"/>
      <c r="BPF32" s="206"/>
      <c r="BPG32" s="206"/>
      <c r="BPH32" s="206"/>
      <c r="BPI32" s="206"/>
      <c r="BPJ32" s="206"/>
      <c r="BPK32" s="206"/>
      <c r="BPL32" s="206"/>
      <c r="BPM32" s="206"/>
      <c r="BPN32" s="206"/>
      <c r="BPO32" s="206"/>
      <c r="BPP32" s="206"/>
      <c r="BPQ32" s="206"/>
      <c r="BPR32" s="206"/>
      <c r="BPS32" s="206"/>
      <c r="BPT32" s="206"/>
      <c r="BPU32" s="206"/>
      <c r="BPV32" s="206"/>
      <c r="BPW32" s="206"/>
      <c r="BPX32" s="206"/>
      <c r="BPY32" s="206"/>
      <c r="BPZ32" s="206"/>
      <c r="BQA32" s="206"/>
      <c r="BQB32" s="206"/>
      <c r="BQC32" s="206"/>
      <c r="BQD32" s="206"/>
      <c r="BQE32" s="206"/>
      <c r="BQF32" s="206"/>
      <c r="BQG32" s="206"/>
      <c r="BQH32" s="206"/>
      <c r="BQI32" s="206"/>
      <c r="BQJ32" s="206"/>
      <c r="BQK32" s="206"/>
      <c r="BQL32" s="206"/>
      <c r="BQM32" s="206"/>
      <c r="BQN32" s="206"/>
      <c r="BQO32" s="206"/>
      <c r="BQP32" s="206"/>
      <c r="BQQ32" s="206"/>
      <c r="BQR32" s="206"/>
      <c r="BQS32" s="206"/>
      <c r="BQT32" s="206"/>
      <c r="BQU32" s="206"/>
      <c r="BQV32" s="206"/>
      <c r="BQW32" s="206"/>
      <c r="BQX32" s="206"/>
      <c r="BQY32" s="206"/>
      <c r="BQZ32" s="206"/>
      <c r="BRA32" s="206"/>
      <c r="BRB32" s="206"/>
      <c r="BRC32" s="206"/>
      <c r="BRD32" s="206"/>
      <c r="BRE32" s="206"/>
      <c r="BRF32" s="206"/>
      <c r="BRG32" s="206"/>
      <c r="BRH32" s="206"/>
      <c r="BRI32" s="206"/>
      <c r="BRJ32" s="206"/>
      <c r="BRK32" s="206"/>
      <c r="BRL32" s="206"/>
      <c r="BRM32" s="206"/>
      <c r="BRN32" s="206"/>
      <c r="BRO32" s="206"/>
      <c r="BRP32" s="206"/>
      <c r="BRQ32" s="206"/>
      <c r="BRR32" s="206"/>
      <c r="BRS32" s="206"/>
      <c r="BRT32" s="206"/>
      <c r="BRU32" s="206"/>
      <c r="BRV32" s="206"/>
      <c r="BRW32" s="206"/>
      <c r="BRX32" s="206"/>
      <c r="BRY32" s="206"/>
      <c r="BRZ32" s="206"/>
      <c r="BSA32" s="206"/>
      <c r="BSB32" s="206"/>
      <c r="BSC32" s="206"/>
      <c r="BSD32" s="206"/>
      <c r="BSE32" s="206"/>
      <c r="BSF32" s="206"/>
      <c r="BSG32" s="206"/>
      <c r="BSH32" s="206"/>
      <c r="BSI32" s="206"/>
      <c r="BSJ32" s="206"/>
      <c r="BSK32" s="206"/>
      <c r="BSL32" s="206"/>
      <c r="BSM32" s="206"/>
      <c r="BSN32" s="206"/>
      <c r="BSO32" s="206"/>
      <c r="BSP32" s="206"/>
      <c r="BSQ32" s="206"/>
      <c r="BSR32" s="206"/>
      <c r="BSS32" s="206"/>
      <c r="BST32" s="206"/>
      <c r="BSU32" s="206"/>
      <c r="BSV32" s="206"/>
      <c r="BSW32" s="206"/>
      <c r="BSX32" s="206"/>
      <c r="BSY32" s="206"/>
      <c r="BSZ32" s="206"/>
      <c r="BTA32" s="206"/>
      <c r="BTB32" s="206"/>
      <c r="BTC32" s="206"/>
      <c r="BTD32" s="206"/>
      <c r="BTE32" s="206"/>
      <c r="BTF32" s="206"/>
      <c r="BTG32" s="206"/>
      <c r="BTH32" s="206"/>
      <c r="BTI32" s="206"/>
      <c r="BTJ32" s="206"/>
      <c r="BTK32" s="206"/>
      <c r="BTL32" s="206"/>
      <c r="BTM32" s="206"/>
      <c r="BTN32" s="206"/>
      <c r="BTO32" s="206"/>
      <c r="BTP32" s="206"/>
      <c r="BTQ32" s="206"/>
      <c r="BTR32" s="206"/>
      <c r="BTS32" s="206"/>
      <c r="BTT32" s="206"/>
      <c r="BTU32" s="206"/>
      <c r="BTV32" s="206"/>
      <c r="BTW32" s="206"/>
      <c r="BTX32" s="206"/>
      <c r="BTY32" s="206"/>
      <c r="BTZ32" s="206"/>
      <c r="BUA32" s="206"/>
      <c r="BUB32" s="206"/>
      <c r="BUC32" s="206"/>
      <c r="BUD32" s="206"/>
      <c r="BUE32" s="206"/>
      <c r="BUF32" s="206"/>
      <c r="BUG32" s="206"/>
      <c r="BUH32" s="206"/>
      <c r="BUI32" s="206"/>
      <c r="BUJ32" s="206"/>
      <c r="BUK32" s="206"/>
      <c r="BUL32" s="206"/>
      <c r="BUM32" s="206"/>
      <c r="BUN32" s="206"/>
      <c r="BUO32" s="206"/>
      <c r="BUP32" s="206"/>
      <c r="BUQ32" s="206"/>
      <c r="BUR32" s="206"/>
      <c r="BUS32" s="206"/>
      <c r="BUT32" s="206"/>
      <c r="BUU32" s="206"/>
      <c r="BUV32" s="206"/>
      <c r="BUW32" s="206"/>
      <c r="BUX32" s="206"/>
      <c r="BUY32" s="206"/>
      <c r="BUZ32" s="206"/>
      <c r="BVA32" s="206"/>
      <c r="BVB32" s="206"/>
      <c r="BVC32" s="206"/>
      <c r="BVD32" s="206"/>
      <c r="BVE32" s="206"/>
      <c r="BVF32" s="206"/>
      <c r="BVG32" s="206"/>
      <c r="BVH32" s="206"/>
      <c r="BVI32" s="206"/>
      <c r="BVJ32" s="206"/>
      <c r="BVK32" s="206"/>
      <c r="BVL32" s="206"/>
      <c r="BVM32" s="206"/>
      <c r="BVN32" s="206"/>
      <c r="BVO32" s="206"/>
      <c r="BVP32" s="206"/>
      <c r="BVQ32" s="206"/>
      <c r="BVR32" s="206"/>
      <c r="BVS32" s="206"/>
      <c r="BVT32" s="206"/>
      <c r="BVU32" s="206"/>
      <c r="BVV32" s="206"/>
      <c r="BVW32" s="206"/>
      <c r="BVX32" s="206"/>
      <c r="BVY32" s="206"/>
      <c r="BVZ32" s="206"/>
      <c r="BWA32" s="206"/>
      <c r="BWB32" s="206"/>
      <c r="BWC32" s="206"/>
      <c r="BWD32" s="206"/>
      <c r="BWE32" s="206"/>
      <c r="BWF32" s="206"/>
      <c r="BWG32" s="206"/>
      <c r="BWH32" s="206"/>
      <c r="BWI32" s="206"/>
      <c r="BWJ32" s="206"/>
      <c r="BWK32" s="206"/>
      <c r="BWL32" s="206"/>
      <c r="BWM32" s="206"/>
      <c r="BWN32" s="206"/>
      <c r="BWO32" s="206"/>
      <c r="BWP32" s="206"/>
      <c r="BWQ32" s="206"/>
      <c r="BWR32" s="206"/>
      <c r="BWS32" s="206"/>
      <c r="BWT32" s="206"/>
      <c r="BWU32" s="206"/>
      <c r="BWV32" s="206"/>
      <c r="BWW32" s="206"/>
      <c r="BWX32" s="206"/>
      <c r="BWY32" s="206"/>
      <c r="BWZ32" s="206"/>
      <c r="BXA32" s="206"/>
      <c r="BXB32" s="206"/>
      <c r="BXC32" s="206"/>
      <c r="BXD32" s="206"/>
      <c r="BXE32" s="206"/>
      <c r="BXF32" s="206"/>
      <c r="BXG32" s="206"/>
      <c r="BXH32" s="206"/>
      <c r="BXI32" s="206"/>
      <c r="BXJ32" s="206"/>
      <c r="BXK32" s="206"/>
      <c r="BXL32" s="206"/>
      <c r="BXM32" s="206"/>
      <c r="BXN32" s="206"/>
      <c r="BXO32" s="206"/>
      <c r="BXP32" s="206"/>
      <c r="BXQ32" s="206"/>
      <c r="BXR32" s="206"/>
      <c r="BXS32" s="206"/>
      <c r="BXT32" s="206"/>
      <c r="BXU32" s="206"/>
      <c r="BXV32" s="206"/>
      <c r="BXW32" s="206"/>
      <c r="BXX32" s="206"/>
      <c r="BXY32" s="206"/>
      <c r="BXZ32" s="206"/>
      <c r="BYA32" s="206"/>
      <c r="BYB32" s="206"/>
      <c r="BYC32" s="206"/>
      <c r="BYD32" s="206"/>
      <c r="BYE32" s="206"/>
      <c r="BYF32" s="206"/>
      <c r="BYG32" s="206"/>
      <c r="BYH32" s="206"/>
      <c r="BYI32" s="206"/>
      <c r="BYJ32" s="206"/>
      <c r="BYK32" s="206"/>
      <c r="BYL32" s="206"/>
      <c r="BYM32" s="206"/>
      <c r="BYN32" s="206"/>
      <c r="BYO32" s="206"/>
      <c r="BYP32" s="206"/>
      <c r="BYQ32" s="206"/>
      <c r="BYR32" s="206"/>
      <c r="BYS32" s="206"/>
      <c r="BYT32" s="206"/>
      <c r="BYU32" s="206"/>
      <c r="BYV32" s="206"/>
      <c r="BYW32" s="206"/>
      <c r="BYX32" s="206"/>
      <c r="BYY32" s="206"/>
      <c r="BYZ32" s="206"/>
      <c r="BZA32" s="206"/>
      <c r="BZB32" s="206"/>
      <c r="BZC32" s="206"/>
      <c r="BZD32" s="206"/>
      <c r="BZE32" s="206"/>
      <c r="BZF32" s="206"/>
      <c r="BZG32" s="206"/>
      <c r="BZH32" s="206"/>
      <c r="BZI32" s="206"/>
      <c r="BZJ32" s="206"/>
      <c r="BZK32" s="206"/>
      <c r="BZL32" s="206"/>
      <c r="BZM32" s="206"/>
      <c r="BZN32" s="206"/>
      <c r="BZO32" s="206"/>
      <c r="BZP32" s="206"/>
      <c r="BZQ32" s="206"/>
      <c r="BZR32" s="206"/>
      <c r="BZS32" s="206"/>
      <c r="BZT32" s="206"/>
      <c r="BZU32" s="206"/>
      <c r="BZV32" s="206"/>
      <c r="BZW32" s="206"/>
      <c r="BZX32" s="206"/>
      <c r="BZY32" s="206"/>
      <c r="BZZ32" s="206"/>
      <c r="CAA32" s="206"/>
      <c r="CAB32" s="206"/>
      <c r="CAC32" s="206"/>
      <c r="CAD32" s="206"/>
      <c r="CAE32" s="206"/>
      <c r="CAF32" s="206"/>
      <c r="CAG32" s="206"/>
      <c r="CAH32" s="206"/>
      <c r="CAI32" s="206"/>
      <c r="CAJ32" s="206"/>
      <c r="CAK32" s="206"/>
      <c r="CAL32" s="206"/>
      <c r="CAM32" s="206"/>
      <c r="CAN32" s="206"/>
      <c r="CAO32" s="206"/>
      <c r="CAP32" s="206"/>
      <c r="CAQ32" s="206"/>
      <c r="CAR32" s="206"/>
      <c r="CAS32" s="206"/>
      <c r="CAT32" s="206"/>
      <c r="CAU32" s="206"/>
      <c r="CAV32" s="206"/>
      <c r="CAW32" s="206"/>
      <c r="CAX32" s="206"/>
      <c r="CAY32" s="206"/>
      <c r="CAZ32" s="206"/>
      <c r="CBA32" s="206"/>
      <c r="CBB32" s="206"/>
      <c r="CBC32" s="206"/>
      <c r="CBD32" s="206"/>
      <c r="CBE32" s="206"/>
      <c r="CBF32" s="206"/>
      <c r="CBG32" s="206"/>
      <c r="CBH32" s="206"/>
      <c r="CBI32" s="206"/>
      <c r="CBJ32" s="206"/>
      <c r="CBK32" s="206"/>
      <c r="CBL32" s="206"/>
      <c r="CBM32" s="206"/>
      <c r="CBN32" s="206"/>
      <c r="CBO32" s="206"/>
      <c r="CBP32" s="206"/>
      <c r="CBQ32" s="206"/>
      <c r="CBR32" s="206"/>
      <c r="CBS32" s="206"/>
      <c r="CBT32" s="206"/>
      <c r="CBU32" s="206"/>
      <c r="CBV32" s="206"/>
      <c r="CBW32" s="206"/>
      <c r="CBX32" s="206"/>
      <c r="CBY32" s="206"/>
      <c r="CBZ32" s="206"/>
      <c r="CCA32" s="206"/>
      <c r="CCB32" s="206"/>
      <c r="CCC32" s="206"/>
      <c r="CCD32" s="206"/>
      <c r="CCE32" s="206"/>
      <c r="CCF32" s="206"/>
      <c r="CCG32" s="206"/>
      <c r="CCH32" s="206"/>
      <c r="CCI32" s="206"/>
      <c r="CCJ32" s="206"/>
      <c r="CCK32" s="206"/>
      <c r="CCL32" s="206"/>
      <c r="CCM32" s="206"/>
      <c r="CCN32" s="206"/>
      <c r="CCO32" s="206"/>
      <c r="CCP32" s="206"/>
      <c r="CCQ32" s="206"/>
      <c r="CCR32" s="206"/>
      <c r="CCS32" s="206"/>
      <c r="CCT32" s="206"/>
      <c r="CCU32" s="206"/>
      <c r="CCV32" s="206"/>
      <c r="CCW32" s="206"/>
      <c r="CCX32" s="206"/>
      <c r="CCY32" s="206"/>
      <c r="CCZ32" s="206"/>
      <c r="CDA32" s="206"/>
      <c r="CDB32" s="206"/>
      <c r="CDC32" s="206"/>
      <c r="CDD32" s="206"/>
      <c r="CDE32" s="206"/>
      <c r="CDF32" s="206"/>
      <c r="CDG32" s="206"/>
      <c r="CDH32" s="206"/>
      <c r="CDI32" s="206"/>
      <c r="CDJ32" s="206"/>
      <c r="CDK32" s="206"/>
      <c r="CDL32" s="206"/>
      <c r="CDM32" s="206"/>
      <c r="CDN32" s="206"/>
      <c r="CDO32" s="206"/>
      <c r="CDP32" s="206"/>
      <c r="CDQ32" s="206"/>
      <c r="CDR32" s="206"/>
      <c r="CDS32" s="206"/>
      <c r="CDT32" s="206"/>
      <c r="CDU32" s="206"/>
      <c r="CDV32" s="206"/>
      <c r="CDW32" s="206"/>
      <c r="CDX32" s="206"/>
      <c r="CDY32" s="206"/>
      <c r="CDZ32" s="206"/>
      <c r="CEA32" s="206"/>
      <c r="CEB32" s="206"/>
      <c r="CEC32" s="206"/>
      <c r="CED32" s="206"/>
      <c r="CEE32" s="206"/>
      <c r="CEF32" s="206"/>
      <c r="CEG32" s="206"/>
      <c r="CEH32" s="206"/>
      <c r="CEI32" s="206"/>
      <c r="CEJ32" s="206"/>
      <c r="CEK32" s="206"/>
      <c r="CEL32" s="206"/>
      <c r="CEM32" s="206"/>
      <c r="CEN32" s="206"/>
      <c r="CEO32" s="206"/>
      <c r="CEP32" s="206"/>
      <c r="CEQ32" s="206"/>
      <c r="CER32" s="206"/>
      <c r="CES32" s="206"/>
      <c r="CET32" s="206"/>
      <c r="CEU32" s="206"/>
      <c r="CEV32" s="206"/>
      <c r="CEW32" s="206"/>
      <c r="CEX32" s="206"/>
      <c r="CEY32" s="206"/>
      <c r="CEZ32" s="206"/>
      <c r="CFA32" s="206"/>
      <c r="CFB32" s="206"/>
      <c r="CFC32" s="206"/>
      <c r="CFD32" s="206"/>
      <c r="CFE32" s="206"/>
      <c r="CFF32" s="206"/>
      <c r="CFG32" s="206"/>
      <c r="CFH32" s="206"/>
      <c r="CFI32" s="206"/>
      <c r="CFJ32" s="206"/>
      <c r="CFK32" s="206"/>
      <c r="CFL32" s="206"/>
      <c r="CFM32" s="206"/>
      <c r="CFN32" s="206"/>
      <c r="CFO32" s="206"/>
      <c r="CFP32" s="206"/>
      <c r="CFQ32" s="206"/>
      <c r="CFR32" s="206"/>
      <c r="CFS32" s="206"/>
      <c r="CFT32" s="206"/>
      <c r="CFU32" s="206"/>
      <c r="CFV32" s="206"/>
      <c r="CFW32" s="206"/>
      <c r="CFX32" s="206"/>
      <c r="CFY32" s="206"/>
      <c r="CFZ32" s="206"/>
      <c r="CGA32" s="206"/>
      <c r="CGB32" s="206"/>
      <c r="CGC32" s="206"/>
      <c r="CGD32" s="206"/>
      <c r="CGE32" s="206"/>
      <c r="CGF32" s="206"/>
      <c r="CGG32" s="206"/>
      <c r="CGH32" s="206"/>
      <c r="CGI32" s="206"/>
      <c r="CGJ32" s="206"/>
      <c r="CGK32" s="206"/>
      <c r="CGL32" s="206"/>
      <c r="CGM32" s="206"/>
      <c r="CGN32" s="206"/>
      <c r="CGO32" s="206"/>
      <c r="CGP32" s="206"/>
      <c r="CGQ32" s="206"/>
      <c r="CGR32" s="206"/>
      <c r="CGS32" s="206"/>
      <c r="CGT32" s="206"/>
      <c r="CGU32" s="206"/>
      <c r="CGV32" s="206"/>
      <c r="CGW32" s="206"/>
      <c r="CGX32" s="206"/>
      <c r="CGY32" s="206"/>
      <c r="CGZ32" s="206"/>
      <c r="CHA32" s="206"/>
      <c r="CHB32" s="206"/>
      <c r="CHC32" s="206"/>
      <c r="CHD32" s="206"/>
      <c r="CHE32" s="206"/>
      <c r="CHF32" s="206"/>
      <c r="CHG32" s="206"/>
      <c r="CHH32" s="206"/>
      <c r="CHI32" s="206"/>
      <c r="CHJ32" s="206"/>
      <c r="CHK32" s="206"/>
      <c r="CHL32" s="206"/>
      <c r="CHM32" s="206"/>
      <c r="CHN32" s="206"/>
      <c r="CHO32" s="206"/>
      <c r="CHP32" s="206"/>
      <c r="CHQ32" s="206"/>
      <c r="CHR32" s="206"/>
      <c r="CHS32" s="206"/>
      <c r="CHT32" s="206"/>
      <c r="CHU32" s="206"/>
      <c r="CHV32" s="206"/>
      <c r="CHW32" s="206"/>
      <c r="CHX32" s="206"/>
      <c r="CHY32" s="206"/>
      <c r="CHZ32" s="206"/>
      <c r="CIA32" s="206"/>
      <c r="CIB32" s="206"/>
      <c r="CIC32" s="206"/>
      <c r="CID32" s="206"/>
      <c r="CIE32" s="206"/>
      <c r="CIF32" s="206"/>
      <c r="CIG32" s="206"/>
      <c r="CIH32" s="206"/>
      <c r="CII32" s="206"/>
      <c r="CIJ32" s="206"/>
      <c r="CIK32" s="206"/>
      <c r="CIL32" s="206"/>
      <c r="CIM32" s="206"/>
      <c r="CIN32" s="206"/>
      <c r="CIO32" s="206"/>
      <c r="CIP32" s="206"/>
      <c r="CIQ32" s="206"/>
      <c r="CIR32" s="206"/>
      <c r="CIS32" s="206"/>
      <c r="CIT32" s="206"/>
      <c r="CIU32" s="206"/>
      <c r="CIV32" s="206"/>
      <c r="CIW32" s="206"/>
      <c r="CIX32" s="206"/>
      <c r="CIY32" s="206"/>
      <c r="CIZ32" s="206"/>
      <c r="CJA32" s="206"/>
      <c r="CJB32" s="206"/>
      <c r="CJC32" s="206"/>
      <c r="CJD32" s="206"/>
      <c r="CJE32" s="206"/>
      <c r="CJF32" s="206"/>
      <c r="CJG32" s="206"/>
      <c r="CJH32" s="206"/>
      <c r="CJI32" s="206"/>
      <c r="CJJ32" s="206"/>
      <c r="CJK32" s="206"/>
      <c r="CJL32" s="206"/>
      <c r="CJM32" s="206"/>
      <c r="CJN32" s="206"/>
      <c r="CJO32" s="206"/>
      <c r="CJP32" s="206"/>
      <c r="CJQ32" s="206"/>
      <c r="CJR32" s="206"/>
      <c r="CJS32" s="206"/>
      <c r="CJT32" s="206"/>
      <c r="CJU32" s="206"/>
      <c r="CJV32" s="206"/>
      <c r="CJW32" s="206"/>
      <c r="CJX32" s="206"/>
      <c r="CJY32" s="206"/>
      <c r="CJZ32" s="206"/>
      <c r="CKA32" s="206"/>
      <c r="CKB32" s="206"/>
      <c r="CKC32" s="206"/>
      <c r="CKD32" s="206"/>
      <c r="CKE32" s="206"/>
      <c r="CKF32" s="206"/>
      <c r="CKG32" s="206"/>
      <c r="CKH32" s="206"/>
      <c r="CKI32" s="206"/>
      <c r="CKJ32" s="206"/>
      <c r="CKK32" s="206"/>
      <c r="CKL32" s="206"/>
      <c r="CKM32" s="206"/>
      <c r="CKN32" s="206"/>
      <c r="CKO32" s="206"/>
      <c r="CKP32" s="206"/>
      <c r="CKQ32" s="206"/>
      <c r="CKR32" s="206"/>
      <c r="CKS32" s="206"/>
      <c r="CKT32" s="206"/>
      <c r="CKU32" s="206"/>
      <c r="CKV32" s="206"/>
      <c r="CKW32" s="206"/>
      <c r="CKX32" s="206"/>
      <c r="CKY32" s="206"/>
      <c r="CKZ32" s="206"/>
      <c r="CLA32" s="206"/>
      <c r="CLB32" s="206"/>
      <c r="CLC32" s="206"/>
      <c r="CLD32" s="206"/>
      <c r="CLE32" s="206"/>
      <c r="CLF32" s="206"/>
      <c r="CLG32" s="206"/>
      <c r="CLH32" s="206"/>
      <c r="CLI32" s="206"/>
      <c r="CLJ32" s="206"/>
      <c r="CLK32" s="206"/>
      <c r="CLL32" s="206"/>
      <c r="CLM32" s="206"/>
      <c r="CLN32" s="206"/>
      <c r="CLO32" s="206"/>
      <c r="CLP32" s="206"/>
      <c r="CLQ32" s="206"/>
      <c r="CLR32" s="206"/>
      <c r="CLS32" s="206"/>
      <c r="CLT32" s="206"/>
      <c r="CLU32" s="206"/>
      <c r="CLV32" s="206"/>
      <c r="CLW32" s="206"/>
      <c r="CLX32" s="206"/>
      <c r="CLY32" s="206"/>
      <c r="CLZ32" s="206"/>
      <c r="CMA32" s="206"/>
      <c r="CMB32" s="206"/>
      <c r="CMC32" s="206"/>
      <c r="CMD32" s="206"/>
      <c r="CME32" s="206"/>
      <c r="CMF32" s="206"/>
      <c r="CMG32" s="206"/>
      <c r="CMH32" s="206"/>
      <c r="CMI32" s="206"/>
      <c r="CMJ32" s="206"/>
      <c r="CMK32" s="206"/>
      <c r="CML32" s="206"/>
      <c r="CMM32" s="206"/>
      <c r="CMN32" s="206"/>
      <c r="CMO32" s="206"/>
      <c r="CMP32" s="206"/>
      <c r="CMQ32" s="206"/>
      <c r="CMR32" s="206"/>
      <c r="CMS32" s="206"/>
      <c r="CMT32" s="206"/>
      <c r="CMU32" s="206"/>
      <c r="CMV32" s="206"/>
      <c r="CMW32" s="206"/>
      <c r="CMX32" s="206"/>
      <c r="CMY32" s="206"/>
      <c r="CMZ32" s="206"/>
      <c r="CNA32" s="206"/>
      <c r="CNB32" s="206"/>
      <c r="CNC32" s="206"/>
      <c r="CND32" s="206"/>
      <c r="CNE32" s="206"/>
      <c r="CNF32" s="206"/>
      <c r="CNG32" s="206"/>
      <c r="CNH32" s="206"/>
      <c r="CNI32" s="206"/>
      <c r="CNJ32" s="206"/>
      <c r="CNK32" s="206"/>
      <c r="CNL32" s="206"/>
      <c r="CNM32" s="206"/>
      <c r="CNN32" s="206"/>
      <c r="CNO32" s="206"/>
      <c r="CNP32" s="206"/>
      <c r="CNQ32" s="206"/>
      <c r="CNR32" s="206"/>
      <c r="CNS32" s="206"/>
      <c r="CNT32" s="206"/>
      <c r="CNU32" s="206"/>
      <c r="CNV32" s="206"/>
      <c r="CNW32" s="206"/>
      <c r="CNX32" s="206"/>
      <c r="CNY32" s="206"/>
      <c r="CNZ32" s="206"/>
      <c r="COA32" s="206"/>
      <c r="COB32" s="206"/>
      <c r="COC32" s="206"/>
      <c r="COD32" s="206"/>
      <c r="COE32" s="206"/>
      <c r="COF32" s="206"/>
      <c r="COG32" s="206"/>
      <c r="COH32" s="206"/>
      <c r="COI32" s="206"/>
      <c r="COJ32" s="206"/>
      <c r="COK32" s="206"/>
      <c r="COL32" s="206"/>
      <c r="COM32" s="206"/>
      <c r="CON32" s="206"/>
      <c r="COO32" s="206"/>
      <c r="COP32" s="206"/>
      <c r="COQ32" s="206"/>
      <c r="COR32" s="206"/>
      <c r="COS32" s="206"/>
      <c r="COT32" s="206"/>
      <c r="COU32" s="206"/>
      <c r="COV32" s="206"/>
      <c r="COW32" s="206"/>
      <c r="COX32" s="206"/>
      <c r="COY32" s="206"/>
      <c r="COZ32" s="206"/>
      <c r="CPA32" s="206"/>
      <c r="CPB32" s="206"/>
      <c r="CPC32" s="206"/>
      <c r="CPD32" s="206"/>
      <c r="CPE32" s="206"/>
      <c r="CPF32" s="206"/>
      <c r="CPG32" s="206"/>
      <c r="CPH32" s="206"/>
      <c r="CPI32" s="206"/>
      <c r="CPJ32" s="206"/>
      <c r="CPK32" s="206"/>
      <c r="CPL32" s="206"/>
      <c r="CPM32" s="206"/>
      <c r="CPN32" s="206"/>
      <c r="CPO32" s="206"/>
      <c r="CPP32" s="206"/>
      <c r="CPQ32" s="206"/>
      <c r="CPR32" s="206"/>
      <c r="CPS32" s="206"/>
      <c r="CPT32" s="206"/>
      <c r="CPU32" s="206"/>
      <c r="CPV32" s="206"/>
      <c r="CPW32" s="206"/>
      <c r="CPX32" s="206"/>
      <c r="CPY32" s="206"/>
      <c r="CPZ32" s="206"/>
      <c r="CQA32" s="206"/>
      <c r="CQB32" s="206"/>
      <c r="CQC32" s="206"/>
      <c r="CQD32" s="206"/>
      <c r="CQE32" s="206"/>
      <c r="CQF32" s="206"/>
      <c r="CQG32" s="206"/>
      <c r="CQH32" s="206"/>
      <c r="CQI32" s="206"/>
      <c r="CQJ32" s="206"/>
      <c r="CQK32" s="206"/>
      <c r="CQL32" s="206"/>
      <c r="CQM32" s="206"/>
      <c r="CQN32" s="206"/>
      <c r="CQO32" s="206"/>
      <c r="CQP32" s="206"/>
      <c r="CQQ32" s="206"/>
      <c r="CQR32" s="206"/>
      <c r="CQS32" s="206"/>
      <c r="CQT32" s="206"/>
      <c r="CQU32" s="206"/>
      <c r="CQV32" s="206"/>
      <c r="CQW32" s="206"/>
      <c r="CQX32" s="206"/>
      <c r="CQY32" s="206"/>
      <c r="CQZ32" s="206"/>
      <c r="CRA32" s="206"/>
      <c r="CRB32" s="206"/>
      <c r="CRC32" s="206"/>
      <c r="CRD32" s="206"/>
      <c r="CRE32" s="206"/>
      <c r="CRF32" s="206"/>
      <c r="CRG32" s="206"/>
      <c r="CRH32" s="206"/>
      <c r="CRI32" s="206"/>
      <c r="CRJ32" s="206"/>
      <c r="CRK32" s="206"/>
      <c r="CRL32" s="206"/>
      <c r="CRM32" s="206"/>
      <c r="CRN32" s="206"/>
      <c r="CRO32" s="206"/>
      <c r="CRP32" s="206"/>
      <c r="CRQ32" s="206"/>
      <c r="CRR32" s="206"/>
      <c r="CRS32" s="206"/>
      <c r="CRT32" s="206"/>
      <c r="CRU32" s="206"/>
      <c r="CRV32" s="206"/>
      <c r="CRW32" s="206"/>
      <c r="CRX32" s="206"/>
      <c r="CRY32" s="206"/>
      <c r="CRZ32" s="206"/>
      <c r="CSA32" s="206"/>
      <c r="CSB32" s="206"/>
      <c r="CSC32" s="206"/>
      <c r="CSD32" s="206"/>
      <c r="CSE32" s="206"/>
      <c r="CSF32" s="206"/>
      <c r="CSG32" s="206"/>
      <c r="CSH32" s="206"/>
      <c r="CSI32" s="206"/>
      <c r="CSJ32" s="206"/>
      <c r="CSK32" s="206"/>
      <c r="CSL32" s="206"/>
      <c r="CSM32" s="206"/>
      <c r="CSN32" s="206"/>
      <c r="CSO32" s="206"/>
      <c r="CSP32" s="206"/>
      <c r="CSQ32" s="206"/>
      <c r="CSR32" s="206"/>
      <c r="CSS32" s="206"/>
      <c r="CST32" s="206"/>
      <c r="CSU32" s="206"/>
      <c r="CSV32" s="206"/>
      <c r="CSW32" s="206"/>
      <c r="CSX32" s="206"/>
      <c r="CSY32" s="206"/>
      <c r="CSZ32" s="206"/>
      <c r="CTA32" s="206"/>
      <c r="CTB32" s="206"/>
      <c r="CTC32" s="206"/>
      <c r="CTD32" s="206"/>
      <c r="CTE32" s="206"/>
      <c r="CTF32" s="206"/>
      <c r="CTG32" s="206"/>
      <c r="CTH32" s="206"/>
      <c r="CTI32" s="206"/>
      <c r="CTJ32" s="206"/>
      <c r="CTK32" s="206"/>
      <c r="CTL32" s="206"/>
      <c r="CTM32" s="206"/>
      <c r="CTN32" s="206"/>
      <c r="CTO32" s="206"/>
      <c r="CTP32" s="206"/>
      <c r="CTQ32" s="206"/>
      <c r="CTR32" s="206"/>
      <c r="CTS32" s="206"/>
      <c r="CTT32" s="206"/>
      <c r="CTU32" s="206"/>
      <c r="CTV32" s="206"/>
      <c r="CTW32" s="206"/>
      <c r="CTX32" s="206"/>
      <c r="CTY32" s="206"/>
      <c r="CTZ32" s="206"/>
      <c r="CUA32" s="206"/>
      <c r="CUB32" s="206"/>
      <c r="CUC32" s="206"/>
      <c r="CUD32" s="206"/>
      <c r="CUE32" s="206"/>
      <c r="CUF32" s="206"/>
      <c r="CUG32" s="206"/>
      <c r="CUH32" s="206"/>
      <c r="CUI32" s="206"/>
      <c r="CUJ32" s="206"/>
      <c r="CUK32" s="206"/>
      <c r="CUL32" s="206"/>
      <c r="CUM32" s="206"/>
      <c r="CUN32" s="206"/>
      <c r="CUO32" s="206"/>
      <c r="CUP32" s="206"/>
      <c r="CUQ32" s="206"/>
      <c r="CUR32" s="206"/>
      <c r="CUS32" s="206"/>
      <c r="CUT32" s="206"/>
      <c r="CUU32" s="206"/>
      <c r="CUV32" s="206"/>
      <c r="CUW32" s="206"/>
      <c r="CUX32" s="206"/>
      <c r="CUY32" s="206"/>
      <c r="CUZ32" s="206"/>
      <c r="CVA32" s="206"/>
      <c r="CVB32" s="206"/>
      <c r="CVC32" s="206"/>
      <c r="CVD32" s="206"/>
      <c r="CVE32" s="206"/>
      <c r="CVF32" s="206"/>
      <c r="CVG32" s="206"/>
      <c r="CVH32" s="206"/>
      <c r="CVI32" s="206"/>
      <c r="CVJ32" s="206"/>
      <c r="CVK32" s="206"/>
      <c r="CVL32" s="206"/>
      <c r="CVM32" s="206"/>
      <c r="CVN32" s="206"/>
      <c r="CVO32" s="206"/>
      <c r="CVP32" s="206"/>
      <c r="CVQ32" s="206"/>
      <c r="CVR32" s="206"/>
      <c r="CVS32" s="206"/>
      <c r="CVT32" s="206"/>
      <c r="CVU32" s="206"/>
      <c r="CVV32" s="206"/>
      <c r="CVW32" s="206"/>
      <c r="CVX32" s="206"/>
      <c r="CVY32" s="206"/>
      <c r="CVZ32" s="206"/>
      <c r="CWA32" s="206"/>
      <c r="CWB32" s="206"/>
      <c r="CWC32" s="206"/>
      <c r="CWD32" s="206"/>
      <c r="CWE32" s="206"/>
      <c r="CWF32" s="206"/>
      <c r="CWG32" s="206"/>
      <c r="CWH32" s="206"/>
      <c r="CWI32" s="206"/>
      <c r="CWJ32" s="206"/>
      <c r="CWK32" s="206"/>
      <c r="CWL32" s="206"/>
      <c r="CWM32" s="206"/>
      <c r="CWN32" s="206"/>
      <c r="CWO32" s="206"/>
      <c r="CWP32" s="206"/>
      <c r="CWQ32" s="206"/>
      <c r="CWR32" s="206"/>
      <c r="CWS32" s="206"/>
      <c r="CWT32" s="206"/>
      <c r="CWU32" s="206"/>
      <c r="CWV32" s="206"/>
      <c r="CWW32" s="206"/>
      <c r="CWX32" s="206"/>
      <c r="CWY32" s="206"/>
      <c r="CWZ32" s="206"/>
      <c r="CXA32" s="206"/>
      <c r="CXB32" s="206"/>
      <c r="CXC32" s="206"/>
      <c r="CXD32" s="206"/>
      <c r="CXE32" s="206"/>
      <c r="CXF32" s="206"/>
      <c r="CXG32" s="206"/>
      <c r="CXH32" s="206"/>
      <c r="CXI32" s="206"/>
      <c r="CXJ32" s="206"/>
      <c r="CXK32" s="206"/>
      <c r="CXL32" s="206"/>
      <c r="CXM32" s="206"/>
      <c r="CXN32" s="206"/>
      <c r="CXO32" s="206"/>
      <c r="CXP32" s="206"/>
      <c r="CXQ32" s="206"/>
      <c r="CXR32" s="206"/>
      <c r="CXS32" s="206"/>
      <c r="CXT32" s="206"/>
      <c r="CXU32" s="206"/>
      <c r="CXV32" s="206"/>
      <c r="CXW32" s="206"/>
      <c r="CXX32" s="206"/>
      <c r="CXY32" s="206"/>
      <c r="CXZ32" s="206"/>
      <c r="CYA32" s="206"/>
      <c r="CYB32" s="206"/>
      <c r="CYC32" s="206"/>
      <c r="CYD32" s="206"/>
      <c r="CYE32" s="206"/>
      <c r="CYF32" s="206"/>
      <c r="CYG32" s="206"/>
      <c r="CYH32" s="206"/>
      <c r="CYI32" s="206"/>
      <c r="CYJ32" s="206"/>
      <c r="CYK32" s="206"/>
      <c r="CYL32" s="206"/>
      <c r="CYM32" s="206"/>
      <c r="CYN32" s="206"/>
      <c r="CYO32" s="206"/>
      <c r="CYP32" s="206"/>
      <c r="CYQ32" s="206"/>
      <c r="CYR32" s="206"/>
      <c r="CYS32" s="206"/>
      <c r="CYT32" s="206"/>
      <c r="CYU32" s="206"/>
      <c r="CYV32" s="206"/>
      <c r="CYW32" s="206"/>
      <c r="CYX32" s="206"/>
      <c r="CYY32" s="206"/>
      <c r="CYZ32" s="206"/>
      <c r="CZA32" s="206"/>
      <c r="CZB32" s="206"/>
      <c r="CZC32" s="206"/>
      <c r="CZD32" s="206"/>
      <c r="CZE32" s="206"/>
      <c r="CZF32" s="206"/>
      <c r="CZG32" s="206"/>
      <c r="CZH32" s="206"/>
      <c r="CZI32" s="206"/>
      <c r="CZJ32" s="206"/>
      <c r="CZK32" s="206"/>
      <c r="CZL32" s="206"/>
      <c r="CZM32" s="206"/>
      <c r="CZN32" s="206"/>
      <c r="CZO32" s="206"/>
      <c r="CZP32" s="206"/>
      <c r="CZQ32" s="206"/>
      <c r="CZR32" s="206"/>
      <c r="CZS32" s="206"/>
      <c r="CZT32" s="206"/>
      <c r="CZU32" s="206"/>
      <c r="CZV32" s="206"/>
      <c r="CZW32" s="206"/>
      <c r="CZX32" s="206"/>
      <c r="CZY32" s="206"/>
      <c r="CZZ32" s="206"/>
      <c r="DAA32" s="206"/>
      <c r="DAB32" s="206"/>
      <c r="DAC32" s="206"/>
      <c r="DAD32" s="206"/>
      <c r="DAE32" s="206"/>
      <c r="DAF32" s="206"/>
      <c r="DAG32" s="206"/>
      <c r="DAH32" s="206"/>
      <c r="DAI32" s="206"/>
      <c r="DAJ32" s="206"/>
      <c r="DAK32" s="206"/>
      <c r="DAL32" s="206"/>
      <c r="DAM32" s="206"/>
      <c r="DAN32" s="206"/>
      <c r="DAO32" s="206"/>
      <c r="DAP32" s="206"/>
      <c r="DAQ32" s="206"/>
      <c r="DAR32" s="206"/>
      <c r="DAS32" s="206"/>
      <c r="DAT32" s="206"/>
      <c r="DAU32" s="206"/>
      <c r="DAV32" s="206"/>
      <c r="DAW32" s="206"/>
      <c r="DAX32" s="206"/>
      <c r="DAY32" s="206"/>
      <c r="DAZ32" s="206"/>
      <c r="DBA32" s="206"/>
      <c r="DBB32" s="206"/>
      <c r="DBC32" s="206"/>
      <c r="DBD32" s="206"/>
      <c r="DBE32" s="206"/>
      <c r="DBF32" s="206"/>
      <c r="DBG32" s="206"/>
      <c r="DBH32" s="206"/>
      <c r="DBI32" s="206"/>
      <c r="DBJ32" s="206"/>
      <c r="DBK32" s="206"/>
      <c r="DBL32" s="206"/>
      <c r="DBM32" s="206"/>
      <c r="DBN32" s="206"/>
      <c r="DBO32" s="206"/>
      <c r="DBP32" s="206"/>
      <c r="DBQ32" s="206"/>
      <c r="DBR32" s="206"/>
      <c r="DBS32" s="206"/>
      <c r="DBT32" s="206"/>
      <c r="DBU32" s="206"/>
      <c r="DBV32" s="206"/>
      <c r="DBW32" s="206"/>
      <c r="DBX32" s="206"/>
      <c r="DBY32" s="206"/>
      <c r="DBZ32" s="206"/>
      <c r="DCA32" s="206"/>
      <c r="DCB32" s="206"/>
      <c r="DCC32" s="206"/>
      <c r="DCD32" s="206"/>
      <c r="DCE32" s="206"/>
      <c r="DCF32" s="206"/>
      <c r="DCG32" s="206"/>
      <c r="DCH32" s="206"/>
      <c r="DCI32" s="206"/>
      <c r="DCJ32" s="206"/>
      <c r="DCK32" s="206"/>
      <c r="DCL32" s="206"/>
      <c r="DCM32" s="206"/>
      <c r="DCN32" s="206"/>
      <c r="DCO32" s="206"/>
      <c r="DCP32" s="206"/>
      <c r="DCQ32" s="206"/>
      <c r="DCR32" s="206"/>
      <c r="DCS32" s="206"/>
      <c r="DCT32" s="206"/>
      <c r="DCU32" s="206"/>
      <c r="DCV32" s="206"/>
      <c r="DCW32" s="206"/>
      <c r="DCX32" s="206"/>
      <c r="DCY32" s="206"/>
      <c r="DCZ32" s="206"/>
      <c r="DDA32" s="206"/>
      <c r="DDB32" s="206"/>
      <c r="DDC32" s="206"/>
      <c r="DDD32" s="206"/>
      <c r="DDE32" s="206"/>
      <c r="DDF32" s="206"/>
      <c r="DDG32" s="206"/>
      <c r="DDH32" s="206"/>
      <c r="DDI32" s="206"/>
      <c r="DDJ32" s="206"/>
      <c r="DDK32" s="206"/>
      <c r="DDL32" s="206"/>
      <c r="DDM32" s="206"/>
      <c r="DDN32" s="206"/>
      <c r="DDO32" s="206"/>
      <c r="DDP32" s="206"/>
      <c r="DDQ32" s="206"/>
      <c r="DDR32" s="206"/>
      <c r="DDS32" s="206"/>
      <c r="DDT32" s="206"/>
      <c r="DDU32" s="206"/>
      <c r="DDV32" s="206"/>
      <c r="DDW32" s="206"/>
      <c r="DDX32" s="206"/>
      <c r="DDY32" s="206"/>
      <c r="DDZ32" s="206"/>
      <c r="DEA32" s="206"/>
      <c r="DEB32" s="206"/>
      <c r="DEC32" s="206"/>
      <c r="DED32" s="206"/>
      <c r="DEE32" s="206"/>
      <c r="DEF32" s="206"/>
      <c r="DEG32" s="206"/>
      <c r="DEH32" s="206"/>
      <c r="DEI32" s="206"/>
      <c r="DEJ32" s="206"/>
      <c r="DEK32" s="206"/>
      <c r="DEL32" s="206"/>
      <c r="DEM32" s="206"/>
      <c r="DEN32" s="206"/>
      <c r="DEO32" s="206"/>
      <c r="DEP32" s="206"/>
      <c r="DEQ32" s="206"/>
      <c r="DER32" s="206"/>
      <c r="DES32" s="206"/>
      <c r="DET32" s="206"/>
      <c r="DEU32" s="206"/>
      <c r="DEV32" s="206"/>
      <c r="DEW32" s="206"/>
      <c r="DEX32" s="206"/>
      <c r="DEY32" s="206"/>
      <c r="DEZ32" s="206"/>
      <c r="DFA32" s="206"/>
      <c r="DFB32" s="206"/>
      <c r="DFC32" s="206"/>
      <c r="DFD32" s="206"/>
      <c r="DFE32" s="206"/>
      <c r="DFF32" s="206"/>
      <c r="DFG32" s="206"/>
      <c r="DFH32" s="206"/>
      <c r="DFI32" s="206"/>
      <c r="DFJ32" s="206"/>
      <c r="DFK32" s="206"/>
      <c r="DFL32" s="206"/>
      <c r="DFM32" s="206"/>
      <c r="DFN32" s="206"/>
      <c r="DFO32" s="206"/>
      <c r="DFP32" s="206"/>
      <c r="DFQ32" s="206"/>
      <c r="DFR32" s="206"/>
      <c r="DFS32" s="206"/>
      <c r="DFT32" s="206"/>
      <c r="DFU32" s="206"/>
      <c r="DFV32" s="206"/>
      <c r="DFW32" s="206"/>
      <c r="DFX32" s="206"/>
      <c r="DFY32" s="206"/>
      <c r="DFZ32" s="206"/>
      <c r="DGA32" s="206"/>
      <c r="DGB32" s="206"/>
      <c r="DGC32" s="206"/>
      <c r="DGD32" s="206"/>
      <c r="DGE32" s="206"/>
      <c r="DGF32" s="206"/>
      <c r="DGG32" s="206"/>
      <c r="DGH32" s="206"/>
      <c r="DGI32" s="206"/>
      <c r="DGJ32" s="206"/>
      <c r="DGK32" s="206"/>
      <c r="DGL32" s="206"/>
      <c r="DGM32" s="206"/>
      <c r="DGN32" s="206"/>
      <c r="DGO32" s="206"/>
      <c r="DGP32" s="206"/>
      <c r="DGQ32" s="206"/>
      <c r="DGR32" s="206"/>
      <c r="DGS32" s="206"/>
      <c r="DGT32" s="206"/>
      <c r="DGU32" s="206"/>
      <c r="DGV32" s="206"/>
      <c r="DGW32" s="206"/>
      <c r="DGX32" s="206"/>
      <c r="DGY32" s="206"/>
      <c r="DGZ32" s="206"/>
      <c r="DHA32" s="206"/>
      <c r="DHB32" s="206"/>
      <c r="DHC32" s="206"/>
      <c r="DHD32" s="206"/>
      <c r="DHE32" s="206"/>
      <c r="DHF32" s="206"/>
      <c r="DHG32" s="206"/>
      <c r="DHH32" s="206"/>
      <c r="DHI32" s="206"/>
      <c r="DHJ32" s="206"/>
      <c r="DHK32" s="206"/>
      <c r="DHL32" s="206"/>
      <c r="DHM32" s="206"/>
      <c r="DHN32" s="206"/>
      <c r="DHO32" s="206"/>
      <c r="DHP32" s="206"/>
      <c r="DHQ32" s="206"/>
      <c r="DHR32" s="206"/>
      <c r="DHS32" s="206"/>
      <c r="DHT32" s="206"/>
      <c r="DHU32" s="206"/>
      <c r="DHV32" s="206"/>
      <c r="DHW32" s="206"/>
      <c r="DHX32" s="206"/>
      <c r="DHY32" s="206"/>
      <c r="DHZ32" s="206"/>
      <c r="DIA32" s="206"/>
      <c r="DIB32" s="206"/>
      <c r="DIC32" s="206"/>
      <c r="DID32" s="206"/>
      <c r="DIE32" s="206"/>
      <c r="DIF32" s="206"/>
      <c r="DIG32" s="206"/>
      <c r="DIH32" s="206"/>
      <c r="DII32" s="206"/>
      <c r="DIJ32" s="206"/>
      <c r="DIK32" s="206"/>
      <c r="DIL32" s="206"/>
      <c r="DIM32" s="206"/>
      <c r="DIN32" s="206"/>
      <c r="DIO32" s="206"/>
      <c r="DIP32" s="206"/>
      <c r="DIQ32" s="206"/>
      <c r="DIR32" s="206"/>
      <c r="DIS32" s="206"/>
      <c r="DIT32" s="206"/>
      <c r="DIU32" s="206"/>
      <c r="DIV32" s="206"/>
      <c r="DIW32" s="206"/>
      <c r="DIX32" s="206"/>
      <c r="DIY32" s="206"/>
      <c r="DIZ32" s="206"/>
      <c r="DJA32" s="206"/>
      <c r="DJB32" s="206"/>
      <c r="DJC32" s="206"/>
      <c r="DJD32" s="206"/>
      <c r="DJE32" s="206"/>
      <c r="DJF32" s="206"/>
      <c r="DJG32" s="206"/>
      <c r="DJH32" s="206"/>
      <c r="DJI32" s="206"/>
      <c r="DJJ32" s="206"/>
      <c r="DJK32" s="206"/>
      <c r="DJL32" s="206"/>
      <c r="DJM32" s="206"/>
      <c r="DJN32" s="206"/>
      <c r="DJO32" s="206"/>
      <c r="DJP32" s="206"/>
      <c r="DJQ32" s="206"/>
      <c r="DJR32" s="206"/>
      <c r="DJS32" s="206"/>
      <c r="DJT32" s="206"/>
      <c r="DJU32" s="206"/>
      <c r="DJV32" s="206"/>
      <c r="DJW32" s="206"/>
      <c r="DJX32" s="206"/>
      <c r="DJY32" s="206"/>
      <c r="DJZ32" s="206"/>
      <c r="DKA32" s="206"/>
      <c r="DKB32" s="206"/>
      <c r="DKC32" s="206"/>
      <c r="DKD32" s="206"/>
      <c r="DKE32" s="206"/>
      <c r="DKF32" s="206"/>
      <c r="DKG32" s="206"/>
      <c r="DKH32" s="206"/>
      <c r="DKI32" s="206"/>
      <c r="DKJ32" s="206"/>
      <c r="DKK32" s="206"/>
      <c r="DKL32" s="206"/>
      <c r="DKM32" s="206"/>
      <c r="DKN32" s="206"/>
      <c r="DKO32" s="206"/>
      <c r="DKP32" s="206"/>
      <c r="DKQ32" s="206"/>
      <c r="DKR32" s="206"/>
      <c r="DKS32" s="206"/>
      <c r="DKT32" s="206"/>
      <c r="DKU32" s="206"/>
      <c r="DKV32" s="206"/>
      <c r="DKW32" s="206"/>
      <c r="DKX32" s="206"/>
      <c r="DKY32" s="206"/>
      <c r="DKZ32" s="206"/>
      <c r="DLA32" s="206"/>
      <c r="DLB32" s="206"/>
      <c r="DLC32" s="206"/>
      <c r="DLD32" s="206"/>
      <c r="DLE32" s="206"/>
      <c r="DLF32" s="206"/>
      <c r="DLG32" s="206"/>
      <c r="DLH32" s="206"/>
      <c r="DLI32" s="206"/>
      <c r="DLJ32" s="206"/>
      <c r="DLK32" s="206"/>
      <c r="DLL32" s="206"/>
      <c r="DLM32" s="206"/>
      <c r="DLN32" s="206"/>
      <c r="DLO32" s="206"/>
      <c r="DLP32" s="206"/>
      <c r="DLQ32" s="206"/>
      <c r="DLR32" s="206"/>
      <c r="DLS32" s="206"/>
      <c r="DLT32" s="206"/>
      <c r="DLU32" s="206"/>
      <c r="DLV32" s="206"/>
      <c r="DLW32" s="206"/>
      <c r="DLX32" s="206"/>
      <c r="DLY32" s="206"/>
      <c r="DLZ32" s="206"/>
      <c r="DMA32" s="206"/>
      <c r="DMB32" s="206"/>
      <c r="DMC32" s="206"/>
      <c r="DMD32" s="206"/>
      <c r="DME32" s="206"/>
      <c r="DMF32" s="206"/>
      <c r="DMG32" s="206"/>
      <c r="DMH32" s="206"/>
      <c r="DMI32" s="206"/>
      <c r="DMJ32" s="206"/>
      <c r="DMK32" s="206"/>
      <c r="DML32" s="206"/>
      <c r="DMM32" s="206"/>
      <c r="DMN32" s="206"/>
      <c r="DMO32" s="206"/>
      <c r="DMP32" s="206"/>
      <c r="DMQ32" s="206"/>
      <c r="DMR32" s="206"/>
      <c r="DMS32" s="206"/>
      <c r="DMT32" s="206"/>
      <c r="DMU32" s="206"/>
      <c r="DMV32" s="206"/>
      <c r="DMW32" s="206"/>
      <c r="DMX32" s="206"/>
      <c r="DMY32" s="206"/>
      <c r="DMZ32" s="206"/>
      <c r="DNA32" s="206"/>
      <c r="DNB32" s="206"/>
      <c r="DNC32" s="206"/>
      <c r="DND32" s="206"/>
      <c r="DNE32" s="206"/>
      <c r="DNF32" s="206"/>
      <c r="DNG32" s="206"/>
      <c r="DNH32" s="206"/>
      <c r="DNI32" s="206"/>
      <c r="DNJ32" s="206"/>
      <c r="DNK32" s="206"/>
      <c r="DNL32" s="206"/>
      <c r="DNM32" s="206"/>
      <c r="DNN32" s="206"/>
      <c r="DNO32" s="206"/>
      <c r="DNP32" s="206"/>
      <c r="DNQ32" s="206"/>
      <c r="DNR32" s="206"/>
      <c r="DNS32" s="206"/>
      <c r="DNT32" s="206"/>
      <c r="DNU32" s="206"/>
      <c r="DNV32" s="206"/>
      <c r="DNW32" s="206"/>
      <c r="DNX32" s="206"/>
      <c r="DNY32" s="206"/>
      <c r="DNZ32" s="206"/>
      <c r="DOA32" s="206"/>
      <c r="DOB32" s="206"/>
      <c r="DOC32" s="206"/>
      <c r="DOD32" s="206"/>
      <c r="DOE32" s="206"/>
      <c r="DOF32" s="206"/>
      <c r="DOG32" s="206"/>
      <c r="DOH32" s="206"/>
      <c r="DOI32" s="206"/>
      <c r="DOJ32" s="206"/>
      <c r="DOK32" s="206"/>
      <c r="DOL32" s="206"/>
      <c r="DOM32" s="206"/>
      <c r="DON32" s="206"/>
      <c r="DOO32" s="206"/>
      <c r="DOP32" s="206"/>
      <c r="DOQ32" s="206"/>
      <c r="DOR32" s="206"/>
      <c r="DOS32" s="206"/>
      <c r="DOT32" s="206"/>
      <c r="DOU32" s="206"/>
      <c r="DOV32" s="206"/>
      <c r="DOW32" s="206"/>
      <c r="DOX32" s="206"/>
      <c r="DOY32" s="206"/>
      <c r="DOZ32" s="206"/>
      <c r="DPA32" s="206"/>
      <c r="DPB32" s="206"/>
      <c r="DPC32" s="206"/>
      <c r="DPD32" s="206"/>
      <c r="DPE32" s="206"/>
      <c r="DPF32" s="206"/>
      <c r="DPG32" s="206"/>
      <c r="DPH32" s="206"/>
      <c r="DPI32" s="206"/>
      <c r="DPJ32" s="206"/>
      <c r="DPK32" s="206"/>
      <c r="DPL32" s="206"/>
      <c r="DPM32" s="206"/>
      <c r="DPN32" s="206"/>
      <c r="DPO32" s="206"/>
      <c r="DPP32" s="206"/>
      <c r="DPQ32" s="206"/>
      <c r="DPR32" s="206"/>
      <c r="DPS32" s="206"/>
      <c r="DPT32" s="206"/>
      <c r="DPU32" s="206"/>
      <c r="DPV32" s="206"/>
      <c r="DPW32" s="206"/>
      <c r="DPX32" s="206"/>
      <c r="DPY32" s="206"/>
      <c r="DPZ32" s="206"/>
      <c r="DQA32" s="206"/>
      <c r="DQB32" s="206"/>
      <c r="DQC32" s="206"/>
      <c r="DQD32" s="206"/>
      <c r="DQE32" s="206"/>
      <c r="DQF32" s="206"/>
      <c r="DQG32" s="206"/>
      <c r="DQH32" s="206"/>
      <c r="DQI32" s="206"/>
      <c r="DQJ32" s="206"/>
      <c r="DQK32" s="206"/>
      <c r="DQL32" s="206"/>
      <c r="DQM32" s="206"/>
      <c r="DQN32" s="206"/>
      <c r="DQO32" s="206"/>
      <c r="DQP32" s="206"/>
      <c r="DQQ32" s="206"/>
      <c r="DQR32" s="206"/>
      <c r="DQS32" s="206"/>
      <c r="DQT32" s="206"/>
      <c r="DQU32" s="206"/>
      <c r="DQV32" s="206"/>
      <c r="DQW32" s="206"/>
      <c r="DQX32" s="206"/>
      <c r="DQY32" s="206"/>
      <c r="DQZ32" s="206"/>
      <c r="DRA32" s="206"/>
      <c r="DRB32" s="206"/>
      <c r="DRC32" s="206"/>
      <c r="DRD32" s="206"/>
      <c r="DRE32" s="206"/>
      <c r="DRF32" s="206"/>
      <c r="DRG32" s="206"/>
      <c r="DRH32" s="206"/>
      <c r="DRI32" s="206"/>
      <c r="DRJ32" s="206"/>
      <c r="DRK32" s="206"/>
      <c r="DRL32" s="206"/>
      <c r="DRM32" s="206"/>
      <c r="DRN32" s="206"/>
      <c r="DRO32" s="206"/>
      <c r="DRP32" s="206"/>
      <c r="DRQ32" s="206"/>
      <c r="DRR32" s="206"/>
      <c r="DRS32" s="206"/>
      <c r="DRT32" s="206"/>
      <c r="DRU32" s="206"/>
      <c r="DRV32" s="206"/>
      <c r="DRW32" s="206"/>
      <c r="DRX32" s="206"/>
      <c r="DRY32" s="206"/>
      <c r="DRZ32" s="206"/>
      <c r="DSA32" s="206"/>
      <c r="DSB32" s="206"/>
      <c r="DSC32" s="206"/>
      <c r="DSD32" s="206"/>
      <c r="DSE32" s="206"/>
      <c r="DSF32" s="206"/>
      <c r="DSG32" s="206"/>
      <c r="DSH32" s="206"/>
      <c r="DSI32" s="206"/>
      <c r="DSJ32" s="206"/>
      <c r="DSK32" s="206"/>
      <c r="DSL32" s="206"/>
      <c r="DSM32" s="206"/>
      <c r="DSN32" s="206"/>
      <c r="DSO32" s="206"/>
      <c r="DSP32" s="206"/>
      <c r="DSQ32" s="206"/>
      <c r="DSR32" s="206"/>
      <c r="DSS32" s="206"/>
      <c r="DST32" s="206"/>
      <c r="DSU32" s="206"/>
      <c r="DSV32" s="206"/>
      <c r="DSW32" s="206"/>
      <c r="DSX32" s="206"/>
      <c r="DSY32" s="206"/>
      <c r="DSZ32" s="206"/>
      <c r="DTA32" s="206"/>
      <c r="DTB32" s="206"/>
      <c r="DTC32" s="206"/>
      <c r="DTD32" s="206"/>
      <c r="DTE32" s="206"/>
      <c r="DTF32" s="206"/>
      <c r="DTG32" s="206"/>
      <c r="DTH32" s="206"/>
      <c r="DTI32" s="206"/>
      <c r="DTJ32" s="206"/>
      <c r="DTK32" s="206"/>
      <c r="DTL32" s="206"/>
      <c r="DTM32" s="206"/>
      <c r="DTN32" s="206"/>
      <c r="DTO32" s="206"/>
      <c r="DTP32" s="206"/>
      <c r="DTQ32" s="206"/>
      <c r="DTR32" s="206"/>
      <c r="DTS32" s="206"/>
      <c r="DTT32" s="206"/>
      <c r="DTU32" s="206"/>
      <c r="DTV32" s="206"/>
      <c r="DTW32" s="206"/>
      <c r="DTX32" s="206"/>
      <c r="DTY32" s="206"/>
      <c r="DTZ32" s="206"/>
      <c r="DUA32" s="206"/>
      <c r="DUB32" s="206"/>
      <c r="DUC32" s="206"/>
      <c r="DUD32" s="206"/>
      <c r="DUE32" s="206"/>
      <c r="DUF32" s="206"/>
      <c r="DUG32" s="206"/>
      <c r="DUH32" s="206"/>
      <c r="DUI32" s="206"/>
      <c r="DUJ32" s="206"/>
      <c r="DUK32" s="206"/>
      <c r="DUL32" s="206"/>
      <c r="DUM32" s="206"/>
      <c r="DUN32" s="206"/>
      <c r="DUO32" s="206"/>
      <c r="DUP32" s="206"/>
      <c r="DUQ32" s="206"/>
      <c r="DUR32" s="206"/>
      <c r="DUS32" s="206"/>
      <c r="DUT32" s="206"/>
      <c r="DUU32" s="206"/>
      <c r="DUV32" s="206"/>
      <c r="DUW32" s="206"/>
      <c r="DUX32" s="206"/>
      <c r="DUY32" s="206"/>
      <c r="DUZ32" s="206"/>
      <c r="DVA32" s="206"/>
      <c r="DVB32" s="206"/>
      <c r="DVC32" s="206"/>
      <c r="DVD32" s="206"/>
      <c r="DVE32" s="206"/>
      <c r="DVF32" s="206"/>
      <c r="DVG32" s="206"/>
      <c r="DVH32" s="206"/>
      <c r="DVI32" s="206"/>
      <c r="DVJ32" s="206"/>
      <c r="DVK32" s="206"/>
      <c r="DVL32" s="206"/>
      <c r="DVM32" s="206"/>
      <c r="DVN32" s="206"/>
      <c r="DVO32" s="206"/>
      <c r="DVP32" s="206"/>
      <c r="DVQ32" s="206"/>
      <c r="DVR32" s="206"/>
      <c r="DVS32" s="206"/>
      <c r="DVT32" s="206"/>
      <c r="DVU32" s="206"/>
      <c r="DVV32" s="206"/>
      <c r="DVW32" s="206"/>
      <c r="DVX32" s="206"/>
      <c r="DVY32" s="206"/>
      <c r="DVZ32" s="206"/>
      <c r="DWA32" s="206"/>
      <c r="DWB32" s="206"/>
      <c r="DWC32" s="206"/>
      <c r="DWD32" s="206"/>
      <c r="DWE32" s="206"/>
      <c r="DWF32" s="206"/>
      <c r="DWG32" s="206"/>
      <c r="DWH32" s="206"/>
      <c r="DWI32" s="206"/>
      <c r="DWJ32" s="206"/>
      <c r="DWK32" s="206"/>
      <c r="DWL32" s="206"/>
      <c r="DWM32" s="206"/>
      <c r="DWN32" s="206"/>
      <c r="DWO32" s="206"/>
      <c r="DWP32" s="206"/>
      <c r="DWQ32" s="206"/>
      <c r="DWR32" s="206"/>
      <c r="DWS32" s="206"/>
      <c r="DWT32" s="206"/>
      <c r="DWU32" s="206"/>
      <c r="DWV32" s="206"/>
      <c r="DWW32" s="206"/>
      <c r="DWX32" s="206"/>
      <c r="DWY32" s="206"/>
      <c r="DWZ32" s="206"/>
      <c r="DXA32" s="206"/>
      <c r="DXB32" s="206"/>
      <c r="DXC32" s="206"/>
      <c r="DXD32" s="206"/>
      <c r="DXE32" s="206"/>
      <c r="DXF32" s="206"/>
      <c r="DXG32" s="206"/>
      <c r="DXH32" s="206"/>
      <c r="DXI32" s="206"/>
      <c r="DXJ32" s="206"/>
      <c r="DXK32" s="206"/>
      <c r="DXL32" s="206"/>
      <c r="DXM32" s="206"/>
      <c r="DXN32" s="206"/>
      <c r="DXO32" s="206"/>
      <c r="DXP32" s="206"/>
      <c r="DXQ32" s="206"/>
      <c r="DXR32" s="206"/>
      <c r="DXS32" s="206"/>
      <c r="DXT32" s="206"/>
      <c r="DXU32" s="206"/>
      <c r="DXV32" s="206"/>
      <c r="DXW32" s="206"/>
      <c r="DXX32" s="206"/>
      <c r="DXY32" s="206"/>
      <c r="DXZ32" s="206"/>
      <c r="DYA32" s="206"/>
      <c r="DYB32" s="206"/>
      <c r="DYC32" s="206"/>
      <c r="DYD32" s="206"/>
      <c r="DYE32" s="206"/>
      <c r="DYF32" s="206"/>
      <c r="DYG32" s="206"/>
      <c r="DYH32" s="206"/>
      <c r="DYI32" s="206"/>
      <c r="DYJ32" s="206"/>
      <c r="DYK32" s="206"/>
      <c r="DYL32" s="206"/>
      <c r="DYM32" s="206"/>
      <c r="DYN32" s="206"/>
      <c r="DYO32" s="206"/>
      <c r="DYP32" s="206"/>
      <c r="DYQ32" s="206"/>
      <c r="DYR32" s="206"/>
      <c r="DYS32" s="206"/>
      <c r="DYT32" s="206"/>
      <c r="DYU32" s="206"/>
      <c r="DYV32" s="206"/>
      <c r="DYW32" s="206"/>
      <c r="DYX32" s="206"/>
      <c r="DYY32" s="206"/>
      <c r="DYZ32" s="206"/>
      <c r="DZA32" s="206"/>
      <c r="DZB32" s="206"/>
      <c r="DZC32" s="206"/>
      <c r="DZD32" s="206"/>
      <c r="DZE32" s="206"/>
      <c r="DZF32" s="206"/>
      <c r="DZG32" s="206"/>
      <c r="DZH32" s="206"/>
      <c r="DZI32" s="206"/>
      <c r="DZJ32" s="206"/>
      <c r="DZK32" s="206"/>
      <c r="DZL32" s="206"/>
      <c r="DZM32" s="206"/>
      <c r="DZN32" s="206"/>
      <c r="DZO32" s="206"/>
      <c r="DZP32" s="206"/>
      <c r="DZQ32" s="206"/>
      <c r="DZR32" s="206"/>
      <c r="DZS32" s="206"/>
      <c r="DZT32" s="206"/>
      <c r="DZU32" s="206"/>
      <c r="DZV32" s="206"/>
      <c r="DZW32" s="206"/>
      <c r="DZX32" s="206"/>
      <c r="DZY32" s="206"/>
      <c r="DZZ32" s="206"/>
      <c r="EAA32" s="206"/>
      <c r="EAB32" s="206"/>
      <c r="EAC32" s="206"/>
      <c r="EAD32" s="206"/>
      <c r="EAE32" s="206"/>
      <c r="EAF32" s="206"/>
      <c r="EAG32" s="206"/>
      <c r="EAH32" s="206"/>
      <c r="EAI32" s="206"/>
      <c r="EAJ32" s="206"/>
      <c r="EAK32" s="206"/>
      <c r="EAL32" s="206"/>
      <c r="EAM32" s="206"/>
      <c r="EAN32" s="206"/>
      <c r="EAO32" s="206"/>
      <c r="EAP32" s="206"/>
      <c r="EAQ32" s="206"/>
      <c r="EAR32" s="206"/>
      <c r="EAS32" s="206"/>
      <c r="EAT32" s="206"/>
      <c r="EAU32" s="206"/>
      <c r="EAV32" s="206"/>
      <c r="EAW32" s="206"/>
      <c r="EAX32" s="206"/>
      <c r="EAY32" s="206"/>
      <c r="EAZ32" s="206"/>
      <c r="EBA32" s="206"/>
      <c r="EBB32" s="206"/>
      <c r="EBC32" s="206"/>
      <c r="EBD32" s="206"/>
      <c r="EBE32" s="206"/>
      <c r="EBF32" s="206"/>
      <c r="EBG32" s="206"/>
      <c r="EBH32" s="206"/>
      <c r="EBI32" s="206"/>
      <c r="EBJ32" s="206"/>
      <c r="EBK32" s="206"/>
      <c r="EBL32" s="206"/>
      <c r="EBM32" s="206"/>
      <c r="EBN32" s="206"/>
      <c r="EBO32" s="206"/>
      <c r="EBP32" s="206"/>
      <c r="EBQ32" s="206"/>
      <c r="EBR32" s="206"/>
      <c r="EBS32" s="206"/>
      <c r="EBT32" s="206"/>
      <c r="EBU32" s="206"/>
      <c r="EBV32" s="206"/>
      <c r="EBW32" s="206"/>
      <c r="EBX32" s="206"/>
      <c r="EBY32" s="206"/>
      <c r="EBZ32" s="206"/>
      <c r="ECA32" s="206"/>
      <c r="ECB32" s="206"/>
      <c r="ECC32" s="206"/>
      <c r="ECD32" s="206"/>
      <c r="ECE32" s="206"/>
      <c r="ECF32" s="206"/>
      <c r="ECG32" s="206"/>
      <c r="ECH32" s="206"/>
      <c r="ECI32" s="206"/>
      <c r="ECJ32" s="206"/>
      <c r="ECK32" s="206"/>
      <c r="ECL32" s="206"/>
      <c r="ECM32" s="206"/>
      <c r="ECN32" s="206"/>
      <c r="ECO32" s="206"/>
      <c r="ECP32" s="206"/>
      <c r="ECQ32" s="206"/>
      <c r="ECR32" s="206"/>
      <c r="ECS32" s="206"/>
      <c r="ECT32" s="206"/>
      <c r="ECU32" s="206"/>
      <c r="ECV32" s="206"/>
      <c r="ECW32" s="206"/>
      <c r="ECX32" s="206"/>
      <c r="ECY32" s="206"/>
      <c r="ECZ32" s="206"/>
      <c r="EDA32" s="206"/>
      <c r="EDB32" s="206"/>
      <c r="EDC32" s="206"/>
      <c r="EDD32" s="206"/>
      <c r="EDE32" s="206"/>
      <c r="EDF32" s="206"/>
      <c r="EDG32" s="206"/>
      <c r="EDH32" s="206"/>
      <c r="EDI32" s="206"/>
      <c r="EDJ32" s="206"/>
      <c r="EDK32" s="206"/>
      <c r="EDL32" s="206"/>
      <c r="EDM32" s="206"/>
      <c r="EDN32" s="206"/>
      <c r="EDO32" s="206"/>
      <c r="EDP32" s="206"/>
      <c r="EDQ32" s="206"/>
      <c r="EDR32" s="206"/>
      <c r="EDS32" s="206"/>
      <c r="EDT32" s="206"/>
      <c r="EDU32" s="206"/>
      <c r="EDV32" s="206"/>
      <c r="EDW32" s="206"/>
      <c r="EDX32" s="206"/>
      <c r="EDY32" s="206"/>
      <c r="EDZ32" s="206"/>
      <c r="EEA32" s="206"/>
      <c r="EEB32" s="206"/>
      <c r="EEC32" s="206"/>
      <c r="EED32" s="206"/>
      <c r="EEE32" s="206"/>
      <c r="EEF32" s="206"/>
      <c r="EEG32" s="206"/>
      <c r="EEH32" s="206"/>
      <c r="EEI32" s="206"/>
      <c r="EEJ32" s="206"/>
      <c r="EEK32" s="206"/>
      <c r="EEL32" s="206"/>
      <c r="EEM32" s="206"/>
      <c r="EEN32" s="206"/>
      <c r="EEO32" s="206"/>
      <c r="EEP32" s="206"/>
      <c r="EEQ32" s="206"/>
      <c r="EER32" s="206"/>
      <c r="EES32" s="206"/>
      <c r="EET32" s="206"/>
      <c r="EEU32" s="206"/>
      <c r="EEV32" s="206"/>
      <c r="EEW32" s="206"/>
      <c r="EEX32" s="206"/>
      <c r="EEY32" s="206"/>
      <c r="EEZ32" s="206"/>
      <c r="EFA32" s="206"/>
      <c r="EFB32" s="206"/>
      <c r="EFC32" s="206"/>
      <c r="EFD32" s="206"/>
      <c r="EFE32" s="206"/>
      <c r="EFF32" s="206"/>
      <c r="EFG32" s="206"/>
      <c r="EFH32" s="206"/>
      <c r="EFI32" s="206"/>
      <c r="EFJ32" s="206"/>
      <c r="EFK32" s="206"/>
      <c r="EFL32" s="206"/>
      <c r="EFM32" s="206"/>
      <c r="EFN32" s="206"/>
      <c r="EFO32" s="206"/>
      <c r="EFP32" s="206"/>
      <c r="EFQ32" s="206"/>
      <c r="EFR32" s="206"/>
      <c r="EFS32" s="206"/>
      <c r="EFT32" s="206"/>
      <c r="EFU32" s="206"/>
      <c r="EFV32" s="206"/>
      <c r="EFW32" s="206"/>
      <c r="EFX32" s="206"/>
      <c r="EFY32" s="206"/>
      <c r="EFZ32" s="206"/>
      <c r="EGA32" s="206"/>
      <c r="EGB32" s="206"/>
      <c r="EGC32" s="206"/>
      <c r="EGD32" s="206"/>
      <c r="EGE32" s="206"/>
      <c r="EGF32" s="206"/>
      <c r="EGG32" s="206"/>
      <c r="EGH32" s="206"/>
      <c r="EGI32" s="206"/>
      <c r="EGJ32" s="206"/>
      <c r="EGK32" s="206"/>
      <c r="EGL32" s="206"/>
      <c r="EGM32" s="206"/>
      <c r="EGN32" s="206"/>
      <c r="EGO32" s="206"/>
      <c r="EGP32" s="206"/>
      <c r="EGQ32" s="206"/>
      <c r="EGR32" s="206"/>
      <c r="EGS32" s="206"/>
      <c r="EGT32" s="206"/>
      <c r="EGU32" s="206"/>
      <c r="EGV32" s="206"/>
      <c r="EGW32" s="206"/>
      <c r="EGX32" s="206"/>
      <c r="EGY32" s="206"/>
      <c r="EGZ32" s="206"/>
      <c r="EHA32" s="206"/>
      <c r="EHB32" s="206"/>
      <c r="EHC32" s="206"/>
      <c r="EHD32" s="206"/>
      <c r="EHE32" s="206"/>
      <c r="EHF32" s="206"/>
      <c r="EHG32" s="206"/>
      <c r="EHH32" s="206"/>
      <c r="EHI32" s="206"/>
      <c r="EHJ32" s="206"/>
      <c r="EHK32" s="206"/>
      <c r="EHL32" s="206"/>
      <c r="EHM32" s="206"/>
      <c r="EHN32" s="206"/>
      <c r="EHO32" s="206"/>
      <c r="EHP32" s="206"/>
      <c r="EHQ32" s="206"/>
      <c r="EHR32" s="206"/>
      <c r="EHS32" s="206"/>
      <c r="EHT32" s="206"/>
      <c r="EHU32" s="206"/>
      <c r="EHV32" s="206"/>
      <c r="EHW32" s="206"/>
      <c r="EHX32" s="206"/>
      <c r="EHY32" s="206"/>
      <c r="EHZ32" s="206"/>
      <c r="EIA32" s="206"/>
      <c r="EIB32" s="206"/>
      <c r="EIC32" s="206"/>
      <c r="EID32" s="206"/>
      <c r="EIE32" s="206"/>
      <c r="EIF32" s="206"/>
      <c r="EIG32" s="206"/>
      <c r="EIH32" s="206"/>
      <c r="EII32" s="206"/>
      <c r="EIJ32" s="206"/>
      <c r="EIK32" s="206"/>
      <c r="EIL32" s="206"/>
      <c r="EIM32" s="206"/>
      <c r="EIN32" s="206"/>
      <c r="EIO32" s="206"/>
      <c r="EIP32" s="206"/>
      <c r="EIQ32" s="206"/>
      <c r="EIR32" s="206"/>
      <c r="EIS32" s="206"/>
      <c r="EIT32" s="206"/>
      <c r="EIU32" s="206"/>
      <c r="EIV32" s="206"/>
      <c r="EIW32" s="206"/>
      <c r="EIX32" s="206"/>
      <c r="EIY32" s="206"/>
      <c r="EIZ32" s="206"/>
      <c r="EJA32" s="206"/>
      <c r="EJB32" s="206"/>
      <c r="EJC32" s="206"/>
      <c r="EJD32" s="206"/>
      <c r="EJE32" s="206"/>
      <c r="EJF32" s="206"/>
      <c r="EJG32" s="206"/>
      <c r="EJH32" s="206"/>
      <c r="EJI32" s="206"/>
      <c r="EJJ32" s="206"/>
      <c r="EJK32" s="206"/>
      <c r="EJL32" s="206"/>
      <c r="EJM32" s="206"/>
      <c r="EJN32" s="206"/>
      <c r="EJO32" s="206"/>
      <c r="EJP32" s="206"/>
      <c r="EJQ32" s="206"/>
      <c r="EJR32" s="206"/>
      <c r="EJS32" s="206"/>
      <c r="EJT32" s="206"/>
      <c r="EJU32" s="206"/>
      <c r="EJV32" s="206"/>
      <c r="EJW32" s="206"/>
      <c r="EJX32" s="206"/>
      <c r="EJY32" s="206"/>
      <c r="EJZ32" s="206"/>
      <c r="EKA32" s="206"/>
      <c r="EKB32" s="206"/>
      <c r="EKC32" s="206"/>
      <c r="EKD32" s="206"/>
      <c r="EKE32" s="206"/>
      <c r="EKF32" s="206"/>
      <c r="EKG32" s="206"/>
      <c r="EKH32" s="206"/>
      <c r="EKI32" s="206"/>
      <c r="EKJ32" s="206"/>
      <c r="EKK32" s="206"/>
      <c r="EKL32" s="206"/>
      <c r="EKM32" s="206"/>
      <c r="EKN32" s="206"/>
      <c r="EKO32" s="206"/>
      <c r="EKP32" s="206"/>
      <c r="EKQ32" s="206"/>
      <c r="EKR32" s="206"/>
      <c r="EKS32" s="206"/>
      <c r="EKT32" s="206"/>
      <c r="EKU32" s="206"/>
      <c r="EKV32" s="206"/>
      <c r="EKW32" s="206"/>
      <c r="EKX32" s="206"/>
      <c r="EKY32" s="206"/>
      <c r="EKZ32" s="206"/>
      <c r="ELA32" s="206"/>
      <c r="ELB32" s="206"/>
      <c r="ELC32" s="206"/>
      <c r="ELD32" s="206"/>
      <c r="ELE32" s="206"/>
      <c r="ELF32" s="206"/>
      <c r="ELG32" s="206"/>
      <c r="ELH32" s="206"/>
      <c r="ELI32" s="206"/>
      <c r="ELJ32" s="206"/>
      <c r="ELK32" s="206"/>
      <c r="ELL32" s="206"/>
      <c r="ELM32" s="206"/>
      <c r="ELN32" s="206"/>
      <c r="ELO32" s="206"/>
      <c r="ELP32" s="206"/>
      <c r="ELQ32" s="206"/>
      <c r="ELR32" s="206"/>
      <c r="ELS32" s="206"/>
      <c r="ELT32" s="206"/>
      <c r="ELU32" s="206"/>
      <c r="ELV32" s="206"/>
      <c r="ELW32" s="206"/>
      <c r="ELX32" s="206"/>
      <c r="ELY32" s="206"/>
      <c r="ELZ32" s="206"/>
      <c r="EMA32" s="206"/>
      <c r="EMB32" s="206"/>
      <c r="EMC32" s="206"/>
      <c r="EMD32" s="206"/>
      <c r="EME32" s="206"/>
      <c r="EMF32" s="206"/>
      <c r="EMG32" s="206"/>
      <c r="EMH32" s="206"/>
      <c r="EMI32" s="206"/>
      <c r="EMJ32" s="206"/>
      <c r="EMK32" s="206"/>
      <c r="EML32" s="206"/>
      <c r="EMM32" s="206"/>
      <c r="EMN32" s="206"/>
      <c r="EMO32" s="206"/>
      <c r="EMP32" s="206"/>
      <c r="EMQ32" s="206"/>
      <c r="EMR32" s="206"/>
      <c r="EMS32" s="206"/>
      <c r="EMT32" s="206"/>
      <c r="EMU32" s="206"/>
      <c r="EMV32" s="206"/>
      <c r="EMW32" s="206"/>
      <c r="EMX32" s="206"/>
      <c r="EMY32" s="206"/>
      <c r="EMZ32" s="206"/>
      <c r="ENA32" s="206"/>
      <c r="ENB32" s="206"/>
      <c r="ENC32" s="206"/>
      <c r="END32" s="206"/>
      <c r="ENE32" s="206"/>
      <c r="ENF32" s="206"/>
      <c r="ENG32" s="206"/>
      <c r="ENH32" s="206"/>
      <c r="ENI32" s="206"/>
      <c r="ENJ32" s="206"/>
      <c r="ENK32" s="206"/>
      <c r="ENL32" s="206"/>
      <c r="ENM32" s="206"/>
      <c r="ENN32" s="206"/>
      <c r="ENO32" s="206"/>
      <c r="ENP32" s="206"/>
      <c r="ENQ32" s="206"/>
      <c r="ENR32" s="206"/>
      <c r="ENS32" s="206"/>
      <c r="ENT32" s="206"/>
      <c r="ENU32" s="206"/>
      <c r="ENV32" s="206"/>
      <c r="ENW32" s="206"/>
      <c r="ENX32" s="206"/>
      <c r="ENY32" s="206"/>
      <c r="ENZ32" s="206"/>
      <c r="EOA32" s="206"/>
      <c r="EOB32" s="206"/>
      <c r="EOC32" s="206"/>
      <c r="EOD32" s="206"/>
      <c r="EOE32" s="206"/>
      <c r="EOF32" s="206"/>
      <c r="EOG32" s="206"/>
      <c r="EOH32" s="206"/>
      <c r="EOI32" s="206"/>
      <c r="EOJ32" s="206"/>
      <c r="EOK32" s="206"/>
      <c r="EOL32" s="206"/>
      <c r="EOM32" s="206"/>
      <c r="EON32" s="206"/>
      <c r="EOO32" s="206"/>
      <c r="EOP32" s="206"/>
      <c r="EOQ32" s="206"/>
      <c r="EOR32" s="206"/>
      <c r="EOS32" s="206"/>
      <c r="EOT32" s="206"/>
      <c r="EOU32" s="206"/>
      <c r="EOV32" s="206"/>
      <c r="EOW32" s="206"/>
      <c r="EOX32" s="206"/>
      <c r="EOY32" s="206"/>
      <c r="EOZ32" s="206"/>
      <c r="EPA32" s="206"/>
      <c r="EPB32" s="206"/>
      <c r="EPC32" s="206"/>
      <c r="EPD32" s="206"/>
      <c r="EPE32" s="206"/>
      <c r="EPF32" s="206"/>
      <c r="EPG32" s="206"/>
      <c r="EPH32" s="206"/>
      <c r="EPI32" s="206"/>
      <c r="EPJ32" s="206"/>
      <c r="EPK32" s="206"/>
      <c r="EPL32" s="206"/>
      <c r="EPM32" s="206"/>
      <c r="EPN32" s="206"/>
      <c r="EPO32" s="206"/>
      <c r="EPP32" s="206"/>
      <c r="EPQ32" s="206"/>
      <c r="EPR32" s="206"/>
      <c r="EPS32" s="206"/>
      <c r="EPT32" s="206"/>
      <c r="EPU32" s="206"/>
      <c r="EPV32" s="206"/>
      <c r="EPW32" s="206"/>
      <c r="EPX32" s="206"/>
      <c r="EPY32" s="206"/>
      <c r="EPZ32" s="206"/>
      <c r="EQA32" s="206"/>
      <c r="EQB32" s="206"/>
      <c r="EQC32" s="206"/>
      <c r="EQD32" s="206"/>
      <c r="EQE32" s="206"/>
      <c r="EQF32" s="206"/>
      <c r="EQG32" s="206"/>
      <c r="EQH32" s="206"/>
      <c r="EQI32" s="206"/>
      <c r="EQJ32" s="206"/>
      <c r="EQK32" s="206"/>
      <c r="EQL32" s="206"/>
      <c r="EQM32" s="206"/>
      <c r="EQN32" s="206"/>
      <c r="EQO32" s="206"/>
      <c r="EQP32" s="206"/>
      <c r="EQQ32" s="206"/>
      <c r="EQR32" s="206"/>
      <c r="EQS32" s="206"/>
      <c r="EQT32" s="206"/>
      <c r="EQU32" s="206"/>
      <c r="EQV32" s="206"/>
      <c r="EQW32" s="206"/>
      <c r="EQX32" s="206"/>
      <c r="EQY32" s="206"/>
      <c r="EQZ32" s="206"/>
      <c r="ERA32" s="206"/>
      <c r="ERB32" s="206"/>
      <c r="ERC32" s="206"/>
      <c r="ERD32" s="206"/>
      <c r="ERE32" s="206"/>
      <c r="ERF32" s="206"/>
      <c r="ERG32" s="206"/>
      <c r="ERH32" s="206"/>
      <c r="ERI32" s="206"/>
      <c r="ERJ32" s="206"/>
      <c r="ERK32" s="206"/>
      <c r="ERL32" s="206"/>
      <c r="ERM32" s="206"/>
      <c r="ERN32" s="206"/>
      <c r="ERO32" s="206"/>
      <c r="ERP32" s="206"/>
      <c r="ERQ32" s="206"/>
      <c r="ERR32" s="206"/>
      <c r="ERS32" s="206"/>
      <c r="ERT32" s="206"/>
      <c r="ERU32" s="206"/>
      <c r="ERV32" s="206"/>
      <c r="ERW32" s="206"/>
      <c r="ERX32" s="206"/>
      <c r="ERY32" s="206"/>
      <c r="ERZ32" s="206"/>
      <c r="ESA32" s="206"/>
      <c r="ESB32" s="206"/>
      <c r="ESC32" s="206"/>
      <c r="ESD32" s="206"/>
      <c r="ESE32" s="206"/>
      <c r="ESF32" s="206"/>
      <c r="ESG32" s="206"/>
      <c r="ESH32" s="206"/>
      <c r="ESI32" s="206"/>
      <c r="ESJ32" s="206"/>
      <c r="ESK32" s="206"/>
      <c r="ESL32" s="206"/>
      <c r="ESM32" s="206"/>
      <c r="ESN32" s="206"/>
      <c r="ESO32" s="206"/>
      <c r="ESP32" s="206"/>
      <c r="ESQ32" s="206"/>
      <c r="ESR32" s="206"/>
      <c r="ESS32" s="206"/>
      <c r="EST32" s="206"/>
      <c r="ESU32" s="206"/>
      <c r="ESV32" s="206"/>
      <c r="ESW32" s="206"/>
      <c r="ESX32" s="206"/>
      <c r="ESY32" s="206"/>
      <c r="ESZ32" s="206"/>
      <c r="ETA32" s="206"/>
      <c r="ETB32" s="206"/>
      <c r="ETC32" s="206"/>
      <c r="ETD32" s="206"/>
      <c r="ETE32" s="206"/>
      <c r="ETF32" s="206"/>
      <c r="ETG32" s="206"/>
      <c r="ETH32" s="206"/>
      <c r="ETI32" s="206"/>
      <c r="ETJ32" s="206"/>
      <c r="ETK32" s="206"/>
      <c r="ETL32" s="206"/>
      <c r="ETM32" s="206"/>
      <c r="ETN32" s="206"/>
      <c r="ETO32" s="206"/>
      <c r="ETP32" s="206"/>
      <c r="ETQ32" s="206"/>
      <c r="ETR32" s="206"/>
      <c r="ETS32" s="206"/>
      <c r="ETT32" s="206"/>
      <c r="ETU32" s="206"/>
      <c r="ETV32" s="206"/>
      <c r="ETW32" s="206"/>
      <c r="ETX32" s="206"/>
      <c r="ETY32" s="206"/>
      <c r="ETZ32" s="206"/>
      <c r="EUA32" s="206"/>
      <c r="EUB32" s="206"/>
      <c r="EUC32" s="206"/>
      <c r="EUD32" s="206"/>
      <c r="EUE32" s="206"/>
      <c r="EUF32" s="206"/>
      <c r="EUG32" s="206"/>
      <c r="EUH32" s="206"/>
      <c r="EUI32" s="206"/>
      <c r="EUJ32" s="206"/>
      <c r="EUK32" s="206"/>
      <c r="EUL32" s="206"/>
      <c r="EUM32" s="206"/>
      <c r="EUN32" s="206"/>
      <c r="EUO32" s="206"/>
      <c r="EUP32" s="206"/>
      <c r="EUQ32" s="206"/>
      <c r="EUR32" s="206"/>
      <c r="EUS32" s="206"/>
      <c r="EUT32" s="206"/>
      <c r="EUU32" s="206"/>
      <c r="EUV32" s="206"/>
      <c r="EUW32" s="206"/>
      <c r="EUX32" s="206"/>
      <c r="EUY32" s="206"/>
      <c r="EUZ32" s="206"/>
      <c r="EVA32" s="206"/>
      <c r="EVB32" s="206"/>
      <c r="EVC32" s="206"/>
      <c r="EVD32" s="206"/>
      <c r="EVE32" s="206"/>
      <c r="EVF32" s="206"/>
      <c r="EVG32" s="206"/>
      <c r="EVH32" s="206"/>
      <c r="EVI32" s="206"/>
      <c r="EVJ32" s="206"/>
      <c r="EVK32" s="206"/>
      <c r="EVL32" s="206"/>
      <c r="EVM32" s="206"/>
      <c r="EVN32" s="206"/>
      <c r="EVO32" s="206"/>
      <c r="EVP32" s="206"/>
      <c r="EVQ32" s="206"/>
      <c r="EVR32" s="206"/>
      <c r="EVS32" s="206"/>
      <c r="EVT32" s="206"/>
      <c r="EVU32" s="206"/>
      <c r="EVV32" s="206"/>
      <c r="EVW32" s="206"/>
      <c r="EVX32" s="206"/>
      <c r="EVY32" s="206"/>
      <c r="EVZ32" s="206"/>
      <c r="EWA32" s="206"/>
      <c r="EWB32" s="206"/>
      <c r="EWC32" s="206"/>
      <c r="EWD32" s="206"/>
      <c r="EWE32" s="206"/>
      <c r="EWF32" s="206"/>
      <c r="EWG32" s="206"/>
      <c r="EWH32" s="206"/>
      <c r="EWI32" s="206"/>
      <c r="EWJ32" s="206"/>
      <c r="EWK32" s="206"/>
      <c r="EWL32" s="206"/>
      <c r="EWM32" s="206"/>
      <c r="EWN32" s="206"/>
      <c r="EWO32" s="206"/>
      <c r="EWP32" s="206"/>
      <c r="EWQ32" s="206"/>
      <c r="EWR32" s="206"/>
      <c r="EWS32" s="206"/>
      <c r="EWT32" s="206"/>
      <c r="EWU32" s="206"/>
      <c r="EWV32" s="206"/>
      <c r="EWW32" s="206"/>
      <c r="EWX32" s="206"/>
      <c r="EWY32" s="206"/>
      <c r="EWZ32" s="206"/>
      <c r="EXA32" s="206"/>
      <c r="EXB32" s="206"/>
      <c r="EXC32" s="206"/>
      <c r="EXD32" s="206"/>
      <c r="EXE32" s="206"/>
      <c r="EXF32" s="206"/>
      <c r="EXG32" s="206"/>
      <c r="EXH32" s="206"/>
      <c r="EXI32" s="206"/>
      <c r="EXJ32" s="206"/>
      <c r="EXK32" s="206"/>
      <c r="EXL32" s="206"/>
      <c r="EXM32" s="206"/>
      <c r="EXN32" s="206"/>
      <c r="EXO32" s="206"/>
      <c r="EXP32" s="206"/>
      <c r="EXQ32" s="206"/>
      <c r="EXR32" s="206"/>
      <c r="EXS32" s="206"/>
      <c r="EXT32" s="206"/>
      <c r="EXU32" s="206"/>
      <c r="EXV32" s="206"/>
      <c r="EXW32" s="206"/>
      <c r="EXX32" s="206"/>
      <c r="EXY32" s="206"/>
      <c r="EXZ32" s="206"/>
      <c r="EYA32" s="206"/>
      <c r="EYB32" s="206"/>
      <c r="EYC32" s="206"/>
      <c r="EYD32" s="206"/>
      <c r="EYE32" s="206"/>
      <c r="EYF32" s="206"/>
      <c r="EYG32" s="206"/>
      <c r="EYH32" s="206"/>
      <c r="EYI32" s="206"/>
      <c r="EYJ32" s="206"/>
      <c r="EYK32" s="206"/>
      <c r="EYL32" s="206"/>
      <c r="EYM32" s="206"/>
      <c r="EYN32" s="206"/>
      <c r="EYO32" s="206"/>
      <c r="EYP32" s="206"/>
      <c r="EYQ32" s="206"/>
      <c r="EYR32" s="206"/>
      <c r="EYS32" s="206"/>
      <c r="EYT32" s="206"/>
      <c r="EYU32" s="206"/>
      <c r="EYV32" s="206"/>
      <c r="EYW32" s="206"/>
      <c r="EYX32" s="206"/>
      <c r="EYY32" s="206"/>
      <c r="EYZ32" s="206"/>
      <c r="EZA32" s="206"/>
      <c r="EZB32" s="206"/>
      <c r="EZC32" s="206"/>
      <c r="EZD32" s="206"/>
      <c r="EZE32" s="206"/>
      <c r="EZF32" s="206"/>
      <c r="EZG32" s="206"/>
      <c r="EZH32" s="206"/>
      <c r="EZI32" s="206"/>
      <c r="EZJ32" s="206"/>
      <c r="EZK32" s="206"/>
      <c r="EZL32" s="206"/>
      <c r="EZM32" s="206"/>
      <c r="EZN32" s="206"/>
      <c r="EZO32" s="206"/>
      <c r="EZP32" s="206"/>
      <c r="EZQ32" s="206"/>
      <c r="EZR32" s="206"/>
      <c r="EZS32" s="206"/>
      <c r="EZT32" s="206"/>
      <c r="EZU32" s="206"/>
      <c r="EZV32" s="206"/>
      <c r="EZW32" s="206"/>
      <c r="EZX32" s="206"/>
      <c r="EZY32" s="206"/>
      <c r="EZZ32" s="206"/>
      <c r="FAA32" s="206"/>
      <c r="FAB32" s="206"/>
      <c r="FAC32" s="206"/>
      <c r="FAD32" s="206"/>
      <c r="FAE32" s="206"/>
      <c r="FAF32" s="206"/>
      <c r="FAG32" s="206"/>
      <c r="FAH32" s="206"/>
      <c r="FAI32" s="206"/>
      <c r="FAJ32" s="206"/>
      <c r="FAK32" s="206"/>
      <c r="FAL32" s="206"/>
      <c r="FAM32" s="206"/>
      <c r="FAN32" s="206"/>
      <c r="FAO32" s="206"/>
      <c r="FAP32" s="206"/>
      <c r="FAQ32" s="206"/>
      <c r="FAR32" s="206"/>
      <c r="FAS32" s="206"/>
      <c r="FAT32" s="206"/>
      <c r="FAU32" s="206"/>
      <c r="FAV32" s="206"/>
      <c r="FAW32" s="206"/>
      <c r="FAX32" s="206"/>
      <c r="FAY32" s="206"/>
      <c r="FAZ32" s="206"/>
      <c r="FBA32" s="206"/>
      <c r="FBB32" s="206"/>
      <c r="FBC32" s="206"/>
      <c r="FBD32" s="206"/>
      <c r="FBE32" s="206"/>
      <c r="FBF32" s="206"/>
      <c r="FBG32" s="206"/>
      <c r="FBH32" s="206"/>
      <c r="FBI32" s="206"/>
      <c r="FBJ32" s="206"/>
      <c r="FBK32" s="206"/>
      <c r="FBL32" s="206"/>
      <c r="FBM32" s="206"/>
      <c r="FBN32" s="206"/>
      <c r="FBO32" s="206"/>
      <c r="FBP32" s="206"/>
      <c r="FBQ32" s="206"/>
      <c r="FBR32" s="206"/>
      <c r="FBS32" s="206"/>
      <c r="FBT32" s="206"/>
      <c r="FBU32" s="206"/>
      <c r="FBV32" s="206"/>
      <c r="FBW32" s="206"/>
      <c r="FBX32" s="206"/>
      <c r="FBY32" s="206"/>
      <c r="FBZ32" s="206"/>
      <c r="FCA32" s="206"/>
      <c r="FCB32" s="206"/>
      <c r="FCC32" s="206"/>
      <c r="FCD32" s="206"/>
      <c r="FCE32" s="206"/>
      <c r="FCF32" s="206"/>
      <c r="FCG32" s="206"/>
      <c r="FCH32" s="206"/>
      <c r="FCI32" s="206"/>
      <c r="FCJ32" s="206"/>
      <c r="FCK32" s="206"/>
      <c r="FCL32" s="206"/>
      <c r="FCM32" s="206"/>
      <c r="FCN32" s="206"/>
      <c r="FCO32" s="206"/>
      <c r="FCP32" s="206"/>
      <c r="FCQ32" s="206"/>
      <c r="FCR32" s="206"/>
      <c r="FCS32" s="206"/>
      <c r="FCT32" s="206"/>
      <c r="FCU32" s="206"/>
      <c r="FCV32" s="206"/>
      <c r="FCW32" s="206"/>
      <c r="FCX32" s="206"/>
      <c r="FCY32" s="206"/>
      <c r="FCZ32" s="206"/>
      <c r="FDA32" s="206"/>
      <c r="FDB32" s="206"/>
      <c r="FDC32" s="206"/>
      <c r="FDD32" s="206"/>
      <c r="FDE32" s="206"/>
      <c r="FDF32" s="206"/>
      <c r="FDG32" s="206"/>
      <c r="FDH32" s="206"/>
      <c r="FDI32" s="206"/>
      <c r="FDJ32" s="206"/>
      <c r="FDK32" s="206"/>
      <c r="FDL32" s="206"/>
      <c r="FDM32" s="206"/>
      <c r="FDN32" s="206"/>
      <c r="FDO32" s="206"/>
      <c r="FDP32" s="206"/>
      <c r="FDQ32" s="206"/>
      <c r="FDR32" s="206"/>
      <c r="FDS32" s="206"/>
      <c r="FDT32" s="206"/>
      <c r="FDU32" s="206"/>
      <c r="FDV32" s="206"/>
      <c r="FDW32" s="206"/>
      <c r="FDX32" s="206"/>
      <c r="FDY32" s="206"/>
      <c r="FDZ32" s="206"/>
      <c r="FEA32" s="206"/>
      <c r="FEB32" s="206"/>
      <c r="FEC32" s="206"/>
      <c r="FED32" s="206"/>
      <c r="FEE32" s="206"/>
      <c r="FEF32" s="206"/>
      <c r="FEG32" s="206"/>
      <c r="FEH32" s="206"/>
      <c r="FEI32" s="206"/>
      <c r="FEJ32" s="206"/>
      <c r="FEK32" s="206"/>
      <c r="FEL32" s="206"/>
      <c r="FEM32" s="206"/>
      <c r="FEN32" s="206"/>
      <c r="FEO32" s="206"/>
      <c r="FEP32" s="206"/>
      <c r="FEQ32" s="206"/>
      <c r="FER32" s="206"/>
      <c r="FES32" s="206"/>
      <c r="FET32" s="206"/>
      <c r="FEU32" s="206"/>
      <c r="FEV32" s="206"/>
      <c r="FEW32" s="206"/>
      <c r="FEX32" s="206"/>
      <c r="FEY32" s="206"/>
      <c r="FEZ32" s="206"/>
      <c r="FFA32" s="206"/>
      <c r="FFB32" s="206"/>
      <c r="FFC32" s="206"/>
      <c r="FFD32" s="206"/>
      <c r="FFE32" s="206"/>
      <c r="FFF32" s="206"/>
      <c r="FFG32" s="206"/>
      <c r="FFH32" s="206"/>
      <c r="FFI32" s="206"/>
      <c r="FFJ32" s="206"/>
      <c r="FFK32" s="206"/>
      <c r="FFL32" s="206"/>
      <c r="FFM32" s="206"/>
      <c r="FFN32" s="206"/>
      <c r="FFO32" s="206"/>
      <c r="FFP32" s="206"/>
      <c r="FFQ32" s="206"/>
      <c r="FFR32" s="206"/>
      <c r="FFS32" s="206"/>
      <c r="FFT32" s="206"/>
      <c r="FFU32" s="206"/>
      <c r="FFV32" s="206"/>
      <c r="FFW32" s="206"/>
      <c r="FFX32" s="206"/>
      <c r="FFY32" s="206"/>
      <c r="FFZ32" s="206"/>
      <c r="FGA32" s="206"/>
      <c r="FGB32" s="206"/>
      <c r="FGC32" s="206"/>
      <c r="FGD32" s="206"/>
      <c r="FGE32" s="206"/>
      <c r="FGF32" s="206"/>
      <c r="FGG32" s="206"/>
      <c r="FGH32" s="206"/>
      <c r="FGI32" s="206"/>
      <c r="FGJ32" s="206"/>
      <c r="FGK32" s="206"/>
      <c r="FGL32" s="206"/>
      <c r="FGM32" s="206"/>
      <c r="FGN32" s="206"/>
      <c r="FGO32" s="206"/>
      <c r="FGP32" s="206"/>
      <c r="FGQ32" s="206"/>
      <c r="FGR32" s="206"/>
      <c r="FGS32" s="206"/>
      <c r="FGT32" s="206"/>
      <c r="FGU32" s="206"/>
      <c r="FGV32" s="206"/>
      <c r="FGW32" s="206"/>
      <c r="FGX32" s="206"/>
      <c r="FGY32" s="206"/>
      <c r="FGZ32" s="206"/>
      <c r="FHA32" s="206"/>
      <c r="FHB32" s="206"/>
      <c r="FHC32" s="206"/>
      <c r="FHD32" s="206"/>
      <c r="FHE32" s="206"/>
      <c r="FHF32" s="206"/>
      <c r="FHG32" s="206"/>
      <c r="FHH32" s="206"/>
      <c r="FHI32" s="206"/>
      <c r="FHJ32" s="206"/>
      <c r="FHK32" s="206"/>
      <c r="FHL32" s="206"/>
      <c r="FHM32" s="206"/>
      <c r="FHN32" s="206"/>
      <c r="FHO32" s="206"/>
      <c r="FHP32" s="206"/>
      <c r="FHQ32" s="206"/>
      <c r="FHR32" s="206"/>
      <c r="FHS32" s="206"/>
      <c r="FHT32" s="206"/>
      <c r="FHU32" s="206"/>
      <c r="FHV32" s="206"/>
      <c r="FHW32" s="206"/>
      <c r="FHX32" s="206"/>
      <c r="FHY32" s="206"/>
      <c r="FHZ32" s="206"/>
      <c r="FIA32" s="206"/>
      <c r="FIB32" s="206"/>
      <c r="FIC32" s="206"/>
      <c r="FID32" s="206"/>
      <c r="FIE32" s="206"/>
      <c r="FIF32" s="206"/>
      <c r="FIG32" s="206"/>
      <c r="FIH32" s="206"/>
      <c r="FII32" s="206"/>
      <c r="FIJ32" s="206"/>
      <c r="FIK32" s="206"/>
      <c r="FIL32" s="206"/>
      <c r="FIM32" s="206"/>
      <c r="FIN32" s="206"/>
      <c r="FIO32" s="206"/>
      <c r="FIP32" s="206"/>
      <c r="FIQ32" s="206"/>
      <c r="FIR32" s="206"/>
      <c r="FIS32" s="206"/>
      <c r="FIT32" s="206"/>
      <c r="FIU32" s="206"/>
      <c r="FIV32" s="206"/>
      <c r="FIW32" s="206"/>
      <c r="FIX32" s="206"/>
      <c r="FIY32" s="206"/>
      <c r="FIZ32" s="206"/>
      <c r="FJA32" s="206"/>
      <c r="FJB32" s="206"/>
      <c r="FJC32" s="206"/>
      <c r="FJD32" s="206"/>
      <c r="FJE32" s="206"/>
      <c r="FJF32" s="206"/>
      <c r="FJG32" s="206"/>
      <c r="FJH32" s="206"/>
      <c r="FJI32" s="206"/>
      <c r="FJJ32" s="206"/>
      <c r="FJK32" s="206"/>
      <c r="FJL32" s="206"/>
      <c r="FJM32" s="206"/>
      <c r="FJN32" s="206"/>
      <c r="FJO32" s="206"/>
      <c r="FJP32" s="206"/>
      <c r="FJQ32" s="206"/>
      <c r="FJR32" s="206"/>
      <c r="FJS32" s="206"/>
      <c r="FJT32" s="206"/>
      <c r="FJU32" s="206"/>
      <c r="FJV32" s="206"/>
      <c r="FJW32" s="206"/>
      <c r="FJX32" s="206"/>
      <c r="FJY32" s="206"/>
      <c r="FJZ32" s="206"/>
      <c r="FKA32" s="206"/>
      <c r="FKB32" s="206"/>
      <c r="FKC32" s="206"/>
      <c r="FKD32" s="206"/>
      <c r="FKE32" s="206"/>
      <c r="FKF32" s="206"/>
      <c r="FKG32" s="206"/>
      <c r="FKH32" s="206"/>
      <c r="FKI32" s="206"/>
      <c r="FKJ32" s="206"/>
      <c r="FKK32" s="206"/>
      <c r="FKL32" s="206"/>
      <c r="FKM32" s="206"/>
      <c r="FKN32" s="206"/>
      <c r="FKO32" s="206"/>
      <c r="FKP32" s="206"/>
      <c r="FKQ32" s="206"/>
      <c r="FKR32" s="206"/>
      <c r="FKS32" s="206"/>
      <c r="FKT32" s="206"/>
      <c r="FKU32" s="206"/>
      <c r="FKV32" s="206"/>
      <c r="FKW32" s="206"/>
      <c r="FKX32" s="206"/>
      <c r="FKY32" s="206"/>
      <c r="FKZ32" s="206"/>
      <c r="FLA32" s="206"/>
      <c r="FLB32" s="206"/>
      <c r="FLC32" s="206"/>
      <c r="FLD32" s="206"/>
      <c r="FLE32" s="206"/>
      <c r="FLF32" s="206"/>
      <c r="FLG32" s="206"/>
      <c r="FLH32" s="206"/>
      <c r="FLI32" s="206"/>
      <c r="FLJ32" s="206"/>
      <c r="FLK32" s="206"/>
      <c r="FLL32" s="206"/>
      <c r="FLM32" s="206"/>
      <c r="FLN32" s="206"/>
      <c r="FLO32" s="206"/>
      <c r="FLP32" s="206"/>
      <c r="FLQ32" s="206"/>
      <c r="FLR32" s="206"/>
      <c r="FLS32" s="206"/>
      <c r="FLT32" s="206"/>
      <c r="FLU32" s="206"/>
      <c r="FLV32" s="206"/>
      <c r="FLW32" s="206"/>
      <c r="FLX32" s="206"/>
      <c r="FLY32" s="206"/>
      <c r="FLZ32" s="206"/>
      <c r="FMA32" s="206"/>
      <c r="FMB32" s="206"/>
      <c r="FMC32" s="206"/>
      <c r="FMD32" s="206"/>
      <c r="FME32" s="206"/>
      <c r="FMF32" s="206"/>
      <c r="FMG32" s="206"/>
      <c r="FMH32" s="206"/>
      <c r="FMI32" s="206"/>
      <c r="FMJ32" s="206"/>
      <c r="FMK32" s="206"/>
      <c r="FML32" s="206"/>
      <c r="FMM32" s="206"/>
      <c r="FMN32" s="206"/>
      <c r="FMO32" s="206"/>
      <c r="FMP32" s="206"/>
      <c r="FMQ32" s="206"/>
      <c r="FMR32" s="206"/>
      <c r="FMS32" s="206"/>
      <c r="FMT32" s="206"/>
      <c r="FMU32" s="206"/>
      <c r="FMV32" s="206"/>
      <c r="FMW32" s="206"/>
      <c r="FMX32" s="206"/>
      <c r="FMY32" s="206"/>
      <c r="FMZ32" s="206"/>
      <c r="FNA32" s="206"/>
      <c r="FNB32" s="206"/>
      <c r="FNC32" s="206"/>
      <c r="FND32" s="206"/>
      <c r="FNE32" s="206"/>
      <c r="FNF32" s="206"/>
      <c r="FNG32" s="206"/>
      <c r="FNH32" s="206"/>
      <c r="FNI32" s="206"/>
      <c r="FNJ32" s="206"/>
      <c r="FNK32" s="206"/>
      <c r="FNL32" s="206"/>
      <c r="FNM32" s="206"/>
      <c r="FNN32" s="206"/>
      <c r="FNO32" s="206"/>
      <c r="FNP32" s="206"/>
      <c r="FNQ32" s="206"/>
      <c r="FNR32" s="206"/>
      <c r="FNS32" s="206"/>
      <c r="FNT32" s="206"/>
      <c r="FNU32" s="206"/>
      <c r="FNV32" s="206"/>
      <c r="FNW32" s="206"/>
      <c r="FNX32" s="206"/>
      <c r="FNY32" s="206"/>
      <c r="FNZ32" s="206"/>
      <c r="FOA32" s="206"/>
      <c r="FOB32" s="206"/>
      <c r="FOC32" s="206"/>
      <c r="FOD32" s="206"/>
      <c r="FOE32" s="206"/>
      <c r="FOF32" s="206"/>
      <c r="FOG32" s="206"/>
      <c r="FOH32" s="206"/>
      <c r="FOI32" s="206"/>
      <c r="FOJ32" s="206"/>
      <c r="FOK32" s="206"/>
      <c r="FOL32" s="206"/>
      <c r="FOM32" s="206"/>
      <c r="FON32" s="206"/>
      <c r="FOO32" s="206"/>
      <c r="FOP32" s="206"/>
      <c r="FOQ32" s="206"/>
      <c r="FOR32" s="206"/>
      <c r="FOS32" s="206"/>
      <c r="FOT32" s="206"/>
      <c r="FOU32" s="206"/>
      <c r="FOV32" s="206"/>
      <c r="FOW32" s="206"/>
      <c r="FOX32" s="206"/>
      <c r="FOY32" s="206"/>
      <c r="FOZ32" s="206"/>
      <c r="FPA32" s="206"/>
      <c r="FPB32" s="206"/>
      <c r="FPC32" s="206"/>
      <c r="FPD32" s="206"/>
      <c r="FPE32" s="206"/>
      <c r="FPF32" s="206"/>
      <c r="FPG32" s="206"/>
      <c r="FPH32" s="206"/>
      <c r="FPI32" s="206"/>
      <c r="FPJ32" s="206"/>
      <c r="FPK32" s="206"/>
      <c r="FPL32" s="206"/>
      <c r="FPM32" s="206"/>
      <c r="FPN32" s="206"/>
      <c r="FPO32" s="206"/>
      <c r="FPP32" s="206"/>
      <c r="FPQ32" s="206"/>
      <c r="FPR32" s="206"/>
      <c r="FPS32" s="206"/>
      <c r="FPT32" s="206"/>
      <c r="FPU32" s="206"/>
      <c r="FPV32" s="206"/>
      <c r="FPW32" s="206"/>
      <c r="FPX32" s="206"/>
      <c r="FPY32" s="206"/>
      <c r="FPZ32" s="206"/>
      <c r="FQA32" s="206"/>
      <c r="FQB32" s="206"/>
      <c r="FQC32" s="206"/>
      <c r="FQD32" s="206"/>
      <c r="FQE32" s="206"/>
      <c r="FQF32" s="206"/>
      <c r="FQG32" s="206"/>
      <c r="FQH32" s="206"/>
      <c r="FQI32" s="206"/>
      <c r="FQJ32" s="206"/>
      <c r="FQK32" s="206"/>
      <c r="FQL32" s="206"/>
      <c r="FQM32" s="206"/>
      <c r="FQN32" s="206"/>
      <c r="FQO32" s="206"/>
      <c r="FQP32" s="206"/>
      <c r="FQQ32" s="206"/>
      <c r="FQR32" s="206"/>
      <c r="FQS32" s="206"/>
      <c r="FQT32" s="206"/>
      <c r="FQU32" s="206"/>
      <c r="FQV32" s="206"/>
      <c r="FQW32" s="206"/>
      <c r="FQX32" s="206"/>
      <c r="FQY32" s="206"/>
      <c r="FQZ32" s="206"/>
      <c r="FRA32" s="206"/>
      <c r="FRB32" s="206"/>
      <c r="FRC32" s="206"/>
      <c r="FRD32" s="206"/>
      <c r="FRE32" s="206"/>
      <c r="FRF32" s="206"/>
      <c r="FRG32" s="206"/>
      <c r="FRH32" s="206"/>
      <c r="FRI32" s="206"/>
      <c r="FRJ32" s="206"/>
      <c r="FRK32" s="206"/>
      <c r="FRL32" s="206"/>
      <c r="FRM32" s="206"/>
      <c r="FRN32" s="206"/>
      <c r="FRO32" s="206"/>
      <c r="FRP32" s="206"/>
      <c r="FRQ32" s="206"/>
      <c r="FRR32" s="206"/>
      <c r="FRS32" s="206"/>
      <c r="FRT32" s="206"/>
      <c r="FRU32" s="206"/>
      <c r="FRV32" s="206"/>
      <c r="FRW32" s="206"/>
      <c r="FRX32" s="206"/>
      <c r="FRY32" s="206"/>
      <c r="FRZ32" s="206"/>
      <c r="FSA32" s="206"/>
      <c r="FSB32" s="206"/>
      <c r="FSC32" s="206"/>
      <c r="FSD32" s="206"/>
      <c r="FSE32" s="206"/>
      <c r="FSF32" s="206"/>
      <c r="FSG32" s="206"/>
      <c r="FSH32" s="206"/>
      <c r="FSI32" s="206"/>
      <c r="FSJ32" s="206"/>
      <c r="FSK32" s="206"/>
      <c r="FSL32" s="206"/>
      <c r="FSM32" s="206"/>
      <c r="FSN32" s="206"/>
      <c r="FSO32" s="206"/>
      <c r="FSP32" s="206"/>
      <c r="FSQ32" s="206"/>
      <c r="FSR32" s="206"/>
      <c r="FSS32" s="206"/>
      <c r="FST32" s="206"/>
      <c r="FSU32" s="206"/>
      <c r="FSV32" s="206"/>
      <c r="FSW32" s="206"/>
      <c r="FSX32" s="206"/>
      <c r="FSY32" s="206"/>
      <c r="FSZ32" s="206"/>
      <c r="FTA32" s="206"/>
      <c r="FTB32" s="206"/>
      <c r="FTC32" s="206"/>
      <c r="FTD32" s="206"/>
      <c r="FTE32" s="206"/>
      <c r="FTF32" s="206"/>
      <c r="FTG32" s="206"/>
      <c r="FTH32" s="206"/>
      <c r="FTI32" s="206"/>
      <c r="FTJ32" s="206"/>
      <c r="FTK32" s="206"/>
      <c r="FTL32" s="206"/>
      <c r="FTM32" s="206"/>
      <c r="FTN32" s="206"/>
      <c r="FTO32" s="206"/>
      <c r="FTP32" s="206"/>
      <c r="FTQ32" s="206"/>
      <c r="FTR32" s="206"/>
      <c r="FTS32" s="206"/>
      <c r="FTT32" s="206"/>
      <c r="FTU32" s="206"/>
      <c r="FTV32" s="206"/>
      <c r="FTW32" s="206"/>
      <c r="FTX32" s="206"/>
      <c r="FTY32" s="206"/>
      <c r="FTZ32" s="206"/>
      <c r="FUA32" s="206"/>
      <c r="FUB32" s="206"/>
      <c r="FUC32" s="206"/>
      <c r="FUD32" s="206"/>
      <c r="FUE32" s="206"/>
      <c r="FUF32" s="206"/>
      <c r="FUG32" s="206"/>
      <c r="FUH32" s="206"/>
      <c r="FUI32" s="206"/>
      <c r="FUJ32" s="206"/>
      <c r="FUK32" s="206"/>
      <c r="FUL32" s="206"/>
      <c r="FUM32" s="206"/>
      <c r="FUN32" s="206"/>
      <c r="FUO32" s="206"/>
      <c r="FUP32" s="206"/>
      <c r="FUQ32" s="206"/>
      <c r="FUR32" s="206"/>
      <c r="FUS32" s="206"/>
      <c r="FUT32" s="206"/>
      <c r="FUU32" s="206"/>
      <c r="FUV32" s="206"/>
      <c r="FUW32" s="206"/>
      <c r="FUX32" s="206"/>
      <c r="FUY32" s="206"/>
      <c r="FUZ32" s="206"/>
      <c r="FVA32" s="206"/>
      <c r="FVB32" s="206"/>
      <c r="FVC32" s="206"/>
      <c r="FVD32" s="206"/>
      <c r="FVE32" s="206"/>
      <c r="FVF32" s="206"/>
      <c r="FVG32" s="206"/>
      <c r="FVH32" s="206"/>
      <c r="FVI32" s="206"/>
      <c r="FVJ32" s="206"/>
      <c r="FVK32" s="206"/>
      <c r="FVL32" s="206"/>
      <c r="FVM32" s="206"/>
      <c r="FVN32" s="206"/>
      <c r="FVO32" s="206"/>
      <c r="FVP32" s="206"/>
      <c r="FVQ32" s="206"/>
      <c r="FVR32" s="206"/>
      <c r="FVS32" s="206"/>
      <c r="FVT32" s="206"/>
      <c r="FVU32" s="206"/>
      <c r="FVV32" s="206"/>
      <c r="FVW32" s="206"/>
      <c r="FVX32" s="206"/>
      <c r="FVY32" s="206"/>
      <c r="FVZ32" s="206"/>
      <c r="FWA32" s="206"/>
      <c r="FWB32" s="206"/>
      <c r="FWC32" s="206"/>
      <c r="FWD32" s="206"/>
      <c r="FWE32" s="206"/>
      <c r="FWF32" s="206"/>
      <c r="FWG32" s="206"/>
      <c r="FWH32" s="206"/>
      <c r="FWI32" s="206"/>
      <c r="FWJ32" s="206"/>
      <c r="FWK32" s="206"/>
      <c r="FWL32" s="206"/>
      <c r="FWM32" s="206"/>
      <c r="FWN32" s="206"/>
      <c r="FWO32" s="206"/>
      <c r="FWP32" s="206"/>
      <c r="FWQ32" s="206"/>
      <c r="FWR32" s="206"/>
      <c r="FWS32" s="206"/>
      <c r="FWT32" s="206"/>
      <c r="FWU32" s="206"/>
      <c r="FWV32" s="206"/>
      <c r="FWW32" s="206"/>
      <c r="FWX32" s="206"/>
      <c r="FWY32" s="206"/>
      <c r="FWZ32" s="206"/>
      <c r="FXA32" s="206"/>
      <c r="FXB32" s="206"/>
      <c r="FXC32" s="206"/>
      <c r="FXD32" s="206"/>
      <c r="FXE32" s="206"/>
      <c r="FXF32" s="206"/>
      <c r="FXG32" s="206"/>
      <c r="FXH32" s="206"/>
      <c r="FXI32" s="206"/>
      <c r="FXJ32" s="206"/>
      <c r="FXK32" s="206"/>
      <c r="FXL32" s="206"/>
      <c r="FXM32" s="206"/>
      <c r="FXN32" s="206"/>
      <c r="FXO32" s="206"/>
      <c r="FXP32" s="206"/>
      <c r="FXQ32" s="206"/>
      <c r="FXR32" s="206"/>
      <c r="FXS32" s="206"/>
      <c r="FXT32" s="206"/>
      <c r="FXU32" s="206"/>
      <c r="FXV32" s="206"/>
      <c r="FXW32" s="206"/>
      <c r="FXX32" s="206"/>
      <c r="FXY32" s="206"/>
      <c r="FXZ32" s="206"/>
      <c r="FYA32" s="206"/>
      <c r="FYB32" s="206"/>
      <c r="FYC32" s="206"/>
      <c r="FYD32" s="206"/>
      <c r="FYE32" s="206"/>
      <c r="FYF32" s="206"/>
      <c r="FYG32" s="206"/>
      <c r="FYH32" s="206"/>
      <c r="FYI32" s="206"/>
      <c r="FYJ32" s="206"/>
      <c r="FYK32" s="206"/>
      <c r="FYL32" s="206"/>
      <c r="FYM32" s="206"/>
      <c r="FYN32" s="206"/>
      <c r="FYO32" s="206"/>
      <c r="FYP32" s="206"/>
      <c r="FYQ32" s="206"/>
      <c r="FYR32" s="206"/>
      <c r="FYS32" s="206"/>
      <c r="FYT32" s="206"/>
      <c r="FYU32" s="206"/>
      <c r="FYV32" s="206"/>
      <c r="FYW32" s="206"/>
      <c r="FYX32" s="206"/>
      <c r="FYY32" s="206"/>
      <c r="FYZ32" s="206"/>
      <c r="FZA32" s="206"/>
      <c r="FZB32" s="206"/>
      <c r="FZC32" s="206"/>
      <c r="FZD32" s="206"/>
      <c r="FZE32" s="206"/>
      <c r="FZF32" s="206"/>
      <c r="FZG32" s="206"/>
      <c r="FZH32" s="206"/>
      <c r="FZI32" s="206"/>
      <c r="FZJ32" s="206"/>
      <c r="FZK32" s="206"/>
      <c r="FZL32" s="206"/>
      <c r="FZM32" s="206"/>
      <c r="FZN32" s="206"/>
      <c r="FZO32" s="206"/>
      <c r="FZP32" s="206"/>
      <c r="FZQ32" s="206"/>
      <c r="FZR32" s="206"/>
      <c r="FZS32" s="206"/>
      <c r="FZT32" s="206"/>
      <c r="FZU32" s="206"/>
      <c r="FZV32" s="206"/>
      <c r="FZW32" s="206"/>
      <c r="FZX32" s="206"/>
      <c r="FZY32" s="206"/>
      <c r="FZZ32" s="206"/>
      <c r="GAA32" s="206"/>
      <c r="GAB32" s="206"/>
      <c r="GAC32" s="206"/>
      <c r="GAD32" s="206"/>
      <c r="GAE32" s="206"/>
      <c r="GAF32" s="206"/>
      <c r="GAG32" s="206"/>
      <c r="GAH32" s="206"/>
      <c r="GAI32" s="206"/>
      <c r="GAJ32" s="206"/>
      <c r="GAK32" s="206"/>
      <c r="GAL32" s="206"/>
      <c r="GAM32" s="206"/>
      <c r="GAN32" s="206"/>
      <c r="GAO32" s="206"/>
      <c r="GAP32" s="206"/>
      <c r="GAQ32" s="206"/>
      <c r="GAR32" s="206"/>
      <c r="GAS32" s="206"/>
      <c r="GAT32" s="206"/>
      <c r="GAU32" s="206"/>
      <c r="GAV32" s="206"/>
      <c r="GAW32" s="206"/>
      <c r="GAX32" s="206"/>
      <c r="GAY32" s="206"/>
      <c r="GAZ32" s="206"/>
      <c r="GBA32" s="206"/>
      <c r="GBB32" s="206"/>
      <c r="GBC32" s="206"/>
      <c r="GBD32" s="206"/>
      <c r="GBE32" s="206"/>
      <c r="GBF32" s="206"/>
      <c r="GBG32" s="206"/>
      <c r="GBH32" s="206"/>
      <c r="GBI32" s="206"/>
      <c r="GBJ32" s="206"/>
      <c r="GBK32" s="206"/>
      <c r="GBL32" s="206"/>
      <c r="GBM32" s="206"/>
      <c r="GBN32" s="206"/>
      <c r="GBO32" s="206"/>
      <c r="GBP32" s="206"/>
      <c r="GBQ32" s="206"/>
      <c r="GBR32" s="206"/>
      <c r="GBS32" s="206"/>
      <c r="GBT32" s="206"/>
      <c r="GBU32" s="206"/>
      <c r="GBV32" s="206"/>
      <c r="GBW32" s="206"/>
      <c r="GBX32" s="206"/>
      <c r="GBY32" s="206"/>
      <c r="GBZ32" s="206"/>
      <c r="GCA32" s="206"/>
      <c r="GCB32" s="206"/>
      <c r="GCC32" s="206"/>
      <c r="GCD32" s="206"/>
      <c r="GCE32" s="206"/>
      <c r="GCF32" s="206"/>
      <c r="GCG32" s="206"/>
      <c r="GCH32" s="206"/>
      <c r="GCI32" s="206"/>
      <c r="GCJ32" s="206"/>
      <c r="GCK32" s="206"/>
      <c r="GCL32" s="206"/>
      <c r="GCM32" s="206"/>
      <c r="GCN32" s="206"/>
      <c r="GCO32" s="206"/>
      <c r="GCP32" s="206"/>
      <c r="GCQ32" s="206"/>
      <c r="GCR32" s="206"/>
      <c r="GCS32" s="206"/>
      <c r="GCT32" s="206"/>
      <c r="GCU32" s="206"/>
      <c r="GCV32" s="206"/>
      <c r="GCW32" s="206"/>
      <c r="GCX32" s="206"/>
      <c r="GCY32" s="206"/>
      <c r="GCZ32" s="206"/>
      <c r="GDA32" s="206"/>
      <c r="GDB32" s="206"/>
      <c r="GDC32" s="206"/>
      <c r="GDD32" s="206"/>
      <c r="GDE32" s="206"/>
      <c r="GDF32" s="206"/>
      <c r="GDG32" s="206"/>
      <c r="GDH32" s="206"/>
      <c r="GDI32" s="206"/>
      <c r="GDJ32" s="206"/>
      <c r="GDK32" s="206"/>
      <c r="GDL32" s="206"/>
      <c r="GDM32" s="206"/>
      <c r="GDN32" s="206"/>
      <c r="GDO32" s="206"/>
      <c r="GDP32" s="206"/>
      <c r="GDQ32" s="206"/>
      <c r="GDR32" s="206"/>
      <c r="GDS32" s="206"/>
      <c r="GDT32" s="206"/>
      <c r="GDU32" s="206"/>
      <c r="GDV32" s="206"/>
      <c r="GDW32" s="206"/>
      <c r="GDX32" s="206"/>
      <c r="GDY32" s="206"/>
      <c r="GDZ32" s="206"/>
      <c r="GEA32" s="206"/>
      <c r="GEB32" s="206"/>
      <c r="GEC32" s="206"/>
      <c r="GED32" s="206"/>
      <c r="GEE32" s="206"/>
      <c r="GEF32" s="206"/>
      <c r="GEG32" s="206"/>
      <c r="GEH32" s="206"/>
      <c r="GEI32" s="206"/>
      <c r="GEJ32" s="206"/>
      <c r="GEK32" s="206"/>
      <c r="GEL32" s="206"/>
      <c r="GEM32" s="206"/>
      <c r="GEN32" s="206"/>
      <c r="GEO32" s="206"/>
      <c r="GEP32" s="206"/>
      <c r="GEQ32" s="206"/>
      <c r="GER32" s="206"/>
      <c r="GES32" s="206"/>
      <c r="GET32" s="206"/>
      <c r="GEU32" s="206"/>
      <c r="GEV32" s="206"/>
      <c r="GEW32" s="206"/>
      <c r="GEX32" s="206"/>
      <c r="GEY32" s="206"/>
      <c r="GEZ32" s="206"/>
      <c r="GFA32" s="206"/>
      <c r="GFB32" s="206"/>
      <c r="GFC32" s="206"/>
      <c r="GFD32" s="206"/>
      <c r="GFE32" s="206"/>
      <c r="GFF32" s="206"/>
      <c r="GFG32" s="206"/>
      <c r="GFH32" s="206"/>
      <c r="GFI32" s="206"/>
      <c r="GFJ32" s="206"/>
      <c r="GFK32" s="206"/>
      <c r="GFL32" s="206"/>
      <c r="GFM32" s="206"/>
      <c r="GFN32" s="206"/>
      <c r="GFO32" s="206"/>
      <c r="GFP32" s="206"/>
      <c r="GFQ32" s="206"/>
      <c r="GFR32" s="206"/>
      <c r="GFS32" s="206"/>
      <c r="GFT32" s="206"/>
      <c r="GFU32" s="206"/>
      <c r="GFV32" s="206"/>
      <c r="GFW32" s="206"/>
      <c r="GFX32" s="206"/>
      <c r="GFY32" s="206"/>
      <c r="GFZ32" s="206"/>
      <c r="GGA32" s="206"/>
      <c r="GGB32" s="206"/>
      <c r="GGC32" s="206"/>
      <c r="GGD32" s="206"/>
      <c r="GGE32" s="206"/>
      <c r="GGF32" s="206"/>
      <c r="GGG32" s="206"/>
      <c r="GGH32" s="206"/>
      <c r="GGI32" s="206"/>
      <c r="GGJ32" s="206"/>
      <c r="GGK32" s="206"/>
      <c r="GGL32" s="206"/>
      <c r="GGM32" s="206"/>
      <c r="GGN32" s="206"/>
      <c r="GGO32" s="206"/>
      <c r="GGP32" s="206"/>
      <c r="GGQ32" s="206"/>
      <c r="GGR32" s="206"/>
      <c r="GGS32" s="206"/>
      <c r="GGT32" s="206"/>
      <c r="GGU32" s="206"/>
      <c r="GGV32" s="206"/>
      <c r="GGW32" s="206"/>
      <c r="GGX32" s="206"/>
      <c r="GGY32" s="206"/>
      <c r="GGZ32" s="206"/>
      <c r="GHA32" s="206"/>
      <c r="GHB32" s="206"/>
      <c r="GHC32" s="206"/>
      <c r="GHD32" s="206"/>
      <c r="GHE32" s="206"/>
      <c r="GHF32" s="206"/>
      <c r="GHG32" s="206"/>
      <c r="GHH32" s="206"/>
      <c r="GHI32" s="206"/>
      <c r="GHJ32" s="206"/>
      <c r="GHK32" s="206"/>
      <c r="GHL32" s="206"/>
      <c r="GHM32" s="206"/>
      <c r="GHN32" s="206"/>
      <c r="GHO32" s="206"/>
      <c r="GHP32" s="206"/>
      <c r="GHQ32" s="206"/>
      <c r="GHR32" s="206"/>
      <c r="GHS32" s="206"/>
      <c r="GHT32" s="206"/>
      <c r="GHU32" s="206"/>
      <c r="GHV32" s="206"/>
      <c r="GHW32" s="206"/>
      <c r="GHX32" s="206"/>
      <c r="GHY32" s="206"/>
      <c r="GHZ32" s="206"/>
      <c r="GIA32" s="206"/>
      <c r="GIB32" s="206"/>
      <c r="GIC32" s="206"/>
      <c r="GID32" s="206"/>
      <c r="GIE32" s="206"/>
      <c r="GIF32" s="206"/>
      <c r="GIG32" s="206"/>
      <c r="GIH32" s="206"/>
      <c r="GII32" s="206"/>
      <c r="GIJ32" s="206"/>
      <c r="GIK32" s="206"/>
      <c r="GIL32" s="206"/>
      <c r="GIM32" s="206"/>
      <c r="GIN32" s="206"/>
      <c r="GIO32" s="206"/>
      <c r="GIP32" s="206"/>
      <c r="GIQ32" s="206"/>
      <c r="GIR32" s="206"/>
      <c r="GIS32" s="206"/>
      <c r="GIT32" s="206"/>
      <c r="GIU32" s="206"/>
      <c r="GIV32" s="206"/>
      <c r="GIW32" s="206"/>
      <c r="GIX32" s="206"/>
      <c r="GIY32" s="206"/>
      <c r="GIZ32" s="206"/>
      <c r="GJA32" s="206"/>
      <c r="GJB32" s="206"/>
      <c r="GJC32" s="206"/>
      <c r="GJD32" s="206"/>
      <c r="GJE32" s="206"/>
      <c r="GJF32" s="206"/>
      <c r="GJG32" s="206"/>
      <c r="GJH32" s="206"/>
      <c r="GJI32" s="206"/>
      <c r="GJJ32" s="206"/>
      <c r="GJK32" s="206"/>
      <c r="GJL32" s="206"/>
      <c r="GJM32" s="206"/>
      <c r="GJN32" s="206"/>
      <c r="GJO32" s="206"/>
      <c r="GJP32" s="206"/>
      <c r="GJQ32" s="206"/>
      <c r="GJR32" s="206"/>
      <c r="GJS32" s="206"/>
      <c r="GJT32" s="206"/>
      <c r="GJU32" s="206"/>
      <c r="GJV32" s="206"/>
      <c r="GJW32" s="206"/>
      <c r="GJX32" s="206"/>
      <c r="GJY32" s="206"/>
      <c r="GJZ32" s="206"/>
      <c r="GKA32" s="206"/>
      <c r="GKB32" s="206"/>
      <c r="GKC32" s="206"/>
      <c r="GKD32" s="206"/>
      <c r="GKE32" s="206"/>
      <c r="GKF32" s="206"/>
      <c r="GKG32" s="206"/>
      <c r="GKH32" s="206"/>
      <c r="GKI32" s="206"/>
      <c r="GKJ32" s="206"/>
      <c r="GKK32" s="206"/>
      <c r="GKL32" s="206"/>
      <c r="GKM32" s="206"/>
      <c r="GKN32" s="206"/>
      <c r="GKO32" s="206"/>
      <c r="GKP32" s="206"/>
      <c r="GKQ32" s="206"/>
      <c r="GKR32" s="206"/>
      <c r="GKS32" s="206"/>
      <c r="GKT32" s="206"/>
      <c r="GKU32" s="206"/>
      <c r="GKV32" s="206"/>
      <c r="GKW32" s="206"/>
      <c r="GKX32" s="206"/>
      <c r="GKY32" s="206"/>
      <c r="GKZ32" s="206"/>
      <c r="GLA32" s="206"/>
      <c r="GLB32" s="206"/>
      <c r="GLC32" s="206"/>
      <c r="GLD32" s="206"/>
      <c r="GLE32" s="206"/>
      <c r="GLF32" s="206"/>
      <c r="GLG32" s="206"/>
      <c r="GLH32" s="206"/>
      <c r="GLI32" s="206"/>
      <c r="GLJ32" s="206"/>
      <c r="GLK32" s="206"/>
      <c r="GLL32" s="206"/>
      <c r="GLM32" s="206"/>
      <c r="GLN32" s="206"/>
      <c r="GLO32" s="206"/>
      <c r="GLP32" s="206"/>
      <c r="GLQ32" s="206"/>
      <c r="GLR32" s="206"/>
      <c r="GLS32" s="206"/>
      <c r="GLT32" s="206"/>
      <c r="GLU32" s="206"/>
      <c r="GLV32" s="206"/>
      <c r="GLW32" s="206"/>
      <c r="GLX32" s="206"/>
      <c r="GLY32" s="206"/>
      <c r="GLZ32" s="206"/>
      <c r="GMA32" s="206"/>
      <c r="GMB32" s="206"/>
      <c r="GMC32" s="206"/>
      <c r="GMD32" s="206"/>
      <c r="GME32" s="206"/>
      <c r="GMF32" s="206"/>
      <c r="GMG32" s="206"/>
      <c r="GMH32" s="206"/>
      <c r="GMI32" s="206"/>
      <c r="GMJ32" s="206"/>
      <c r="GMK32" s="206"/>
      <c r="GML32" s="206"/>
      <c r="GMM32" s="206"/>
      <c r="GMN32" s="206"/>
      <c r="GMO32" s="206"/>
      <c r="GMP32" s="206"/>
      <c r="GMQ32" s="206"/>
      <c r="GMR32" s="206"/>
      <c r="GMS32" s="206"/>
      <c r="GMT32" s="206"/>
      <c r="GMU32" s="206"/>
      <c r="GMV32" s="206"/>
      <c r="GMW32" s="206"/>
      <c r="GMX32" s="206"/>
      <c r="GMY32" s="206"/>
      <c r="GMZ32" s="206"/>
      <c r="GNA32" s="206"/>
      <c r="GNB32" s="206"/>
      <c r="GNC32" s="206"/>
      <c r="GND32" s="206"/>
      <c r="GNE32" s="206"/>
      <c r="GNF32" s="206"/>
      <c r="GNG32" s="206"/>
      <c r="GNH32" s="206"/>
      <c r="GNI32" s="206"/>
      <c r="GNJ32" s="206"/>
      <c r="GNK32" s="206"/>
      <c r="GNL32" s="206"/>
      <c r="GNM32" s="206"/>
      <c r="GNN32" s="206"/>
      <c r="GNO32" s="206"/>
      <c r="GNP32" s="206"/>
      <c r="GNQ32" s="206"/>
      <c r="GNR32" s="206"/>
      <c r="GNS32" s="206"/>
      <c r="GNT32" s="206"/>
      <c r="GNU32" s="206"/>
      <c r="GNV32" s="206"/>
      <c r="GNW32" s="206"/>
      <c r="GNX32" s="206"/>
      <c r="GNY32" s="206"/>
      <c r="GNZ32" s="206"/>
      <c r="GOA32" s="206"/>
      <c r="GOB32" s="206"/>
      <c r="GOC32" s="206"/>
      <c r="GOD32" s="206"/>
      <c r="GOE32" s="206"/>
      <c r="GOF32" s="206"/>
      <c r="GOG32" s="206"/>
      <c r="GOH32" s="206"/>
      <c r="GOI32" s="206"/>
      <c r="GOJ32" s="206"/>
      <c r="GOK32" s="206"/>
      <c r="GOL32" s="206"/>
      <c r="GOM32" s="206"/>
      <c r="GON32" s="206"/>
      <c r="GOO32" s="206"/>
      <c r="GOP32" s="206"/>
      <c r="GOQ32" s="206"/>
      <c r="GOR32" s="206"/>
      <c r="GOS32" s="206"/>
      <c r="GOT32" s="206"/>
      <c r="GOU32" s="206"/>
      <c r="GOV32" s="206"/>
      <c r="GOW32" s="206"/>
      <c r="GOX32" s="206"/>
      <c r="GOY32" s="206"/>
      <c r="GOZ32" s="206"/>
      <c r="GPA32" s="206"/>
      <c r="GPB32" s="206"/>
      <c r="GPC32" s="206"/>
      <c r="GPD32" s="206"/>
      <c r="GPE32" s="206"/>
      <c r="GPF32" s="206"/>
      <c r="GPG32" s="206"/>
      <c r="GPH32" s="206"/>
      <c r="GPI32" s="206"/>
      <c r="GPJ32" s="206"/>
      <c r="GPK32" s="206"/>
      <c r="GPL32" s="206"/>
      <c r="GPM32" s="206"/>
      <c r="GPN32" s="206"/>
      <c r="GPO32" s="206"/>
      <c r="GPP32" s="206"/>
      <c r="GPQ32" s="206"/>
      <c r="GPR32" s="206"/>
      <c r="GPS32" s="206"/>
      <c r="GPT32" s="206"/>
      <c r="GPU32" s="206"/>
      <c r="GPV32" s="206"/>
      <c r="GPW32" s="206"/>
      <c r="GPX32" s="206"/>
      <c r="GPY32" s="206"/>
      <c r="GPZ32" s="206"/>
      <c r="GQA32" s="206"/>
      <c r="GQB32" s="206"/>
      <c r="GQC32" s="206"/>
      <c r="GQD32" s="206"/>
      <c r="GQE32" s="206"/>
      <c r="GQF32" s="206"/>
      <c r="GQG32" s="206"/>
      <c r="GQH32" s="206"/>
      <c r="GQI32" s="206"/>
      <c r="GQJ32" s="206"/>
      <c r="GQK32" s="206"/>
      <c r="GQL32" s="206"/>
      <c r="GQM32" s="206"/>
      <c r="GQN32" s="206"/>
      <c r="GQO32" s="206"/>
      <c r="GQP32" s="206"/>
      <c r="GQQ32" s="206"/>
      <c r="GQR32" s="206"/>
      <c r="GQS32" s="206"/>
      <c r="GQT32" s="206"/>
      <c r="GQU32" s="206"/>
      <c r="GQV32" s="206"/>
      <c r="GQW32" s="206"/>
      <c r="GQX32" s="206"/>
      <c r="GQY32" s="206"/>
      <c r="GQZ32" s="206"/>
      <c r="GRA32" s="206"/>
      <c r="GRB32" s="206"/>
      <c r="GRC32" s="206"/>
      <c r="GRD32" s="206"/>
      <c r="GRE32" s="206"/>
      <c r="GRF32" s="206"/>
      <c r="GRG32" s="206"/>
      <c r="GRH32" s="206"/>
      <c r="GRI32" s="206"/>
      <c r="GRJ32" s="206"/>
      <c r="GRK32" s="206"/>
      <c r="GRL32" s="206"/>
      <c r="GRM32" s="206"/>
      <c r="GRN32" s="206"/>
      <c r="GRO32" s="206"/>
      <c r="GRP32" s="206"/>
      <c r="GRQ32" s="206"/>
      <c r="GRR32" s="206"/>
      <c r="GRS32" s="206"/>
      <c r="GRT32" s="206"/>
      <c r="GRU32" s="206"/>
      <c r="GRV32" s="206"/>
      <c r="GRW32" s="206"/>
      <c r="GRX32" s="206"/>
      <c r="GRY32" s="206"/>
      <c r="GRZ32" s="206"/>
      <c r="GSA32" s="206"/>
      <c r="GSB32" s="206"/>
      <c r="GSC32" s="206"/>
      <c r="GSD32" s="206"/>
      <c r="GSE32" s="206"/>
      <c r="GSF32" s="206"/>
      <c r="GSG32" s="206"/>
      <c r="GSH32" s="206"/>
      <c r="GSI32" s="206"/>
      <c r="GSJ32" s="206"/>
      <c r="GSK32" s="206"/>
      <c r="GSL32" s="206"/>
      <c r="GSM32" s="206"/>
      <c r="GSN32" s="206"/>
      <c r="GSO32" s="206"/>
      <c r="GSP32" s="206"/>
      <c r="GSQ32" s="206"/>
      <c r="GSR32" s="206"/>
      <c r="GSS32" s="206"/>
      <c r="GST32" s="206"/>
      <c r="GSU32" s="206"/>
      <c r="GSV32" s="206"/>
      <c r="GSW32" s="206"/>
      <c r="GSX32" s="206"/>
      <c r="GSY32" s="206"/>
      <c r="GSZ32" s="206"/>
      <c r="GTA32" s="206"/>
      <c r="GTB32" s="206"/>
      <c r="GTC32" s="206"/>
      <c r="GTD32" s="206"/>
      <c r="GTE32" s="206"/>
      <c r="GTF32" s="206"/>
      <c r="GTG32" s="206"/>
      <c r="GTH32" s="206"/>
      <c r="GTI32" s="206"/>
      <c r="GTJ32" s="206"/>
      <c r="GTK32" s="206"/>
      <c r="GTL32" s="206"/>
      <c r="GTM32" s="206"/>
      <c r="GTN32" s="206"/>
      <c r="GTO32" s="206"/>
      <c r="GTP32" s="206"/>
      <c r="GTQ32" s="206"/>
      <c r="GTR32" s="206"/>
      <c r="GTS32" s="206"/>
      <c r="GTT32" s="206"/>
      <c r="GTU32" s="206"/>
      <c r="GTV32" s="206"/>
      <c r="GTW32" s="206"/>
      <c r="GTX32" s="206"/>
      <c r="GTY32" s="206"/>
      <c r="GTZ32" s="206"/>
      <c r="GUA32" s="206"/>
      <c r="GUB32" s="206"/>
      <c r="GUC32" s="206"/>
      <c r="GUD32" s="206"/>
      <c r="GUE32" s="206"/>
      <c r="GUF32" s="206"/>
      <c r="GUG32" s="206"/>
      <c r="GUH32" s="206"/>
      <c r="GUI32" s="206"/>
      <c r="GUJ32" s="206"/>
      <c r="GUK32" s="206"/>
      <c r="GUL32" s="206"/>
      <c r="GUM32" s="206"/>
      <c r="GUN32" s="206"/>
      <c r="GUO32" s="206"/>
      <c r="GUP32" s="206"/>
      <c r="GUQ32" s="206"/>
      <c r="GUR32" s="206"/>
      <c r="GUS32" s="206"/>
      <c r="GUT32" s="206"/>
      <c r="GUU32" s="206"/>
      <c r="GUV32" s="206"/>
      <c r="GUW32" s="206"/>
      <c r="GUX32" s="206"/>
      <c r="GUY32" s="206"/>
      <c r="GUZ32" s="206"/>
      <c r="GVA32" s="206"/>
      <c r="GVB32" s="206"/>
      <c r="GVC32" s="206"/>
      <c r="GVD32" s="206"/>
      <c r="GVE32" s="206"/>
      <c r="GVF32" s="206"/>
      <c r="GVG32" s="206"/>
      <c r="GVH32" s="206"/>
      <c r="GVI32" s="206"/>
      <c r="GVJ32" s="206"/>
      <c r="GVK32" s="206"/>
      <c r="GVL32" s="206"/>
      <c r="GVM32" s="206"/>
      <c r="GVN32" s="206"/>
      <c r="GVO32" s="206"/>
      <c r="GVP32" s="206"/>
      <c r="GVQ32" s="206"/>
      <c r="GVR32" s="206"/>
      <c r="GVS32" s="206"/>
      <c r="GVT32" s="206"/>
      <c r="GVU32" s="206"/>
      <c r="GVV32" s="206"/>
      <c r="GVW32" s="206"/>
      <c r="GVX32" s="206"/>
      <c r="GVY32" s="206"/>
      <c r="GVZ32" s="206"/>
      <c r="GWA32" s="206"/>
      <c r="GWB32" s="206"/>
      <c r="GWC32" s="206"/>
      <c r="GWD32" s="206"/>
      <c r="GWE32" s="206"/>
      <c r="GWF32" s="206"/>
      <c r="GWG32" s="206"/>
      <c r="GWH32" s="206"/>
      <c r="GWI32" s="206"/>
      <c r="GWJ32" s="206"/>
      <c r="GWK32" s="206"/>
      <c r="GWL32" s="206"/>
      <c r="GWM32" s="206"/>
      <c r="GWN32" s="206"/>
      <c r="GWO32" s="206"/>
      <c r="GWP32" s="206"/>
      <c r="GWQ32" s="206"/>
      <c r="GWR32" s="206"/>
      <c r="GWS32" s="206"/>
      <c r="GWT32" s="206"/>
      <c r="GWU32" s="206"/>
      <c r="GWV32" s="206"/>
      <c r="GWW32" s="206"/>
      <c r="GWX32" s="206"/>
      <c r="GWY32" s="206"/>
      <c r="GWZ32" s="206"/>
      <c r="GXA32" s="206"/>
      <c r="GXB32" s="206"/>
      <c r="GXC32" s="206"/>
      <c r="GXD32" s="206"/>
      <c r="GXE32" s="206"/>
      <c r="GXF32" s="206"/>
      <c r="GXG32" s="206"/>
      <c r="GXH32" s="206"/>
      <c r="GXI32" s="206"/>
      <c r="GXJ32" s="206"/>
      <c r="GXK32" s="206"/>
      <c r="GXL32" s="206"/>
      <c r="GXM32" s="206"/>
      <c r="GXN32" s="206"/>
      <c r="GXO32" s="206"/>
      <c r="GXP32" s="206"/>
      <c r="GXQ32" s="206"/>
      <c r="GXR32" s="206"/>
      <c r="GXS32" s="206"/>
      <c r="GXT32" s="206"/>
      <c r="GXU32" s="206"/>
      <c r="GXV32" s="206"/>
      <c r="GXW32" s="206"/>
      <c r="GXX32" s="206"/>
      <c r="GXY32" s="206"/>
      <c r="GXZ32" s="206"/>
      <c r="GYA32" s="206"/>
      <c r="GYB32" s="206"/>
      <c r="GYC32" s="206"/>
      <c r="GYD32" s="206"/>
      <c r="GYE32" s="206"/>
      <c r="GYF32" s="206"/>
      <c r="GYG32" s="206"/>
      <c r="GYH32" s="206"/>
      <c r="GYI32" s="206"/>
      <c r="GYJ32" s="206"/>
      <c r="GYK32" s="206"/>
      <c r="GYL32" s="206"/>
      <c r="GYM32" s="206"/>
      <c r="GYN32" s="206"/>
      <c r="GYO32" s="206"/>
      <c r="GYP32" s="206"/>
      <c r="GYQ32" s="206"/>
      <c r="GYR32" s="206"/>
      <c r="GYS32" s="206"/>
      <c r="GYT32" s="206"/>
      <c r="GYU32" s="206"/>
      <c r="GYV32" s="206"/>
      <c r="GYW32" s="206"/>
      <c r="GYX32" s="206"/>
      <c r="GYY32" s="206"/>
      <c r="GYZ32" s="206"/>
      <c r="GZA32" s="206"/>
      <c r="GZB32" s="206"/>
      <c r="GZC32" s="206"/>
      <c r="GZD32" s="206"/>
      <c r="GZE32" s="206"/>
      <c r="GZF32" s="206"/>
      <c r="GZG32" s="206"/>
      <c r="GZH32" s="206"/>
      <c r="GZI32" s="206"/>
      <c r="GZJ32" s="206"/>
      <c r="GZK32" s="206"/>
      <c r="GZL32" s="206"/>
      <c r="GZM32" s="206"/>
      <c r="GZN32" s="206"/>
      <c r="GZO32" s="206"/>
      <c r="GZP32" s="206"/>
      <c r="GZQ32" s="206"/>
      <c r="GZR32" s="206"/>
      <c r="GZS32" s="206"/>
      <c r="GZT32" s="206"/>
      <c r="GZU32" s="206"/>
      <c r="GZV32" s="206"/>
      <c r="GZW32" s="206"/>
      <c r="GZX32" s="206"/>
      <c r="GZY32" s="206"/>
      <c r="GZZ32" s="206"/>
      <c r="HAA32" s="206"/>
      <c r="HAB32" s="206"/>
      <c r="HAC32" s="206"/>
      <c r="HAD32" s="206"/>
      <c r="HAE32" s="206"/>
      <c r="HAF32" s="206"/>
      <c r="HAG32" s="206"/>
      <c r="HAH32" s="206"/>
      <c r="HAI32" s="206"/>
      <c r="HAJ32" s="206"/>
      <c r="HAK32" s="206"/>
      <c r="HAL32" s="206"/>
      <c r="HAM32" s="206"/>
      <c r="HAN32" s="206"/>
      <c r="HAO32" s="206"/>
      <c r="HAP32" s="206"/>
      <c r="HAQ32" s="206"/>
      <c r="HAR32" s="206"/>
      <c r="HAS32" s="206"/>
      <c r="HAT32" s="206"/>
      <c r="HAU32" s="206"/>
      <c r="HAV32" s="206"/>
      <c r="HAW32" s="206"/>
      <c r="HAX32" s="206"/>
      <c r="HAY32" s="206"/>
      <c r="HAZ32" s="206"/>
      <c r="HBA32" s="206"/>
      <c r="HBB32" s="206"/>
      <c r="HBC32" s="206"/>
      <c r="HBD32" s="206"/>
      <c r="HBE32" s="206"/>
      <c r="HBF32" s="206"/>
      <c r="HBG32" s="206"/>
      <c r="HBH32" s="206"/>
      <c r="HBI32" s="206"/>
      <c r="HBJ32" s="206"/>
      <c r="HBK32" s="206"/>
      <c r="HBL32" s="206"/>
      <c r="HBM32" s="206"/>
      <c r="HBN32" s="206"/>
      <c r="HBO32" s="206"/>
      <c r="HBP32" s="206"/>
      <c r="HBQ32" s="206"/>
      <c r="HBR32" s="206"/>
      <c r="HBS32" s="206"/>
      <c r="HBT32" s="206"/>
      <c r="HBU32" s="206"/>
      <c r="HBV32" s="206"/>
      <c r="HBW32" s="206"/>
      <c r="HBX32" s="206"/>
      <c r="HBY32" s="206"/>
      <c r="HBZ32" s="206"/>
      <c r="HCA32" s="206"/>
      <c r="HCB32" s="206"/>
      <c r="HCC32" s="206"/>
      <c r="HCD32" s="206"/>
      <c r="HCE32" s="206"/>
      <c r="HCF32" s="206"/>
      <c r="HCG32" s="206"/>
      <c r="HCH32" s="206"/>
      <c r="HCI32" s="206"/>
      <c r="HCJ32" s="206"/>
      <c r="HCK32" s="206"/>
      <c r="HCL32" s="206"/>
      <c r="HCM32" s="206"/>
      <c r="HCN32" s="206"/>
      <c r="HCO32" s="206"/>
      <c r="HCP32" s="206"/>
      <c r="HCQ32" s="206"/>
      <c r="HCR32" s="206"/>
      <c r="HCS32" s="206"/>
      <c r="HCT32" s="206"/>
      <c r="HCU32" s="206"/>
      <c r="HCV32" s="206"/>
      <c r="HCW32" s="206"/>
      <c r="HCX32" s="206"/>
      <c r="HCY32" s="206"/>
      <c r="HCZ32" s="206"/>
      <c r="HDA32" s="206"/>
      <c r="HDB32" s="206"/>
      <c r="HDC32" s="206"/>
      <c r="HDD32" s="206"/>
      <c r="HDE32" s="206"/>
      <c r="HDF32" s="206"/>
      <c r="HDG32" s="206"/>
      <c r="HDH32" s="206"/>
      <c r="HDI32" s="206"/>
      <c r="HDJ32" s="206"/>
      <c r="HDK32" s="206"/>
      <c r="HDL32" s="206"/>
      <c r="HDM32" s="206"/>
      <c r="HDN32" s="206"/>
      <c r="HDO32" s="206"/>
      <c r="HDP32" s="206"/>
      <c r="HDQ32" s="206"/>
      <c r="HDR32" s="206"/>
      <c r="HDS32" s="206"/>
      <c r="HDT32" s="206"/>
      <c r="HDU32" s="206"/>
      <c r="HDV32" s="206"/>
      <c r="HDW32" s="206"/>
      <c r="HDX32" s="206"/>
      <c r="HDY32" s="206"/>
      <c r="HDZ32" s="206"/>
      <c r="HEA32" s="206"/>
      <c r="HEB32" s="206"/>
      <c r="HEC32" s="206"/>
      <c r="HED32" s="206"/>
      <c r="HEE32" s="206"/>
      <c r="HEF32" s="206"/>
      <c r="HEG32" s="206"/>
      <c r="HEH32" s="206"/>
      <c r="HEI32" s="206"/>
      <c r="HEJ32" s="206"/>
      <c r="HEK32" s="206"/>
      <c r="HEL32" s="206"/>
      <c r="HEM32" s="206"/>
      <c r="HEN32" s="206"/>
      <c r="HEO32" s="206"/>
      <c r="HEP32" s="206"/>
      <c r="HEQ32" s="206"/>
      <c r="HER32" s="206"/>
      <c r="HES32" s="206"/>
      <c r="HET32" s="206"/>
      <c r="HEU32" s="206"/>
      <c r="HEV32" s="206"/>
      <c r="HEW32" s="206"/>
      <c r="HEX32" s="206"/>
      <c r="HEY32" s="206"/>
      <c r="HEZ32" s="206"/>
      <c r="HFA32" s="206"/>
      <c r="HFB32" s="206"/>
      <c r="HFC32" s="206"/>
      <c r="HFD32" s="206"/>
      <c r="HFE32" s="206"/>
      <c r="HFF32" s="206"/>
      <c r="HFG32" s="206"/>
      <c r="HFH32" s="206"/>
      <c r="HFI32" s="206"/>
      <c r="HFJ32" s="206"/>
      <c r="HFK32" s="206"/>
      <c r="HFL32" s="206"/>
      <c r="HFM32" s="206"/>
      <c r="HFN32" s="206"/>
      <c r="HFO32" s="206"/>
      <c r="HFP32" s="206"/>
      <c r="HFQ32" s="206"/>
      <c r="HFR32" s="206"/>
      <c r="HFS32" s="206"/>
      <c r="HFT32" s="206"/>
      <c r="HFU32" s="206"/>
      <c r="HFV32" s="206"/>
      <c r="HFW32" s="206"/>
      <c r="HFX32" s="206"/>
      <c r="HFY32" s="206"/>
      <c r="HFZ32" s="206"/>
      <c r="HGA32" s="206"/>
      <c r="HGB32" s="206"/>
      <c r="HGC32" s="206"/>
      <c r="HGD32" s="206"/>
      <c r="HGE32" s="206"/>
      <c r="HGF32" s="206"/>
      <c r="HGG32" s="206"/>
      <c r="HGH32" s="206"/>
      <c r="HGI32" s="206"/>
      <c r="HGJ32" s="206"/>
      <c r="HGK32" s="206"/>
      <c r="HGL32" s="206"/>
      <c r="HGM32" s="206"/>
      <c r="HGN32" s="206"/>
      <c r="HGO32" s="206"/>
      <c r="HGP32" s="206"/>
      <c r="HGQ32" s="206"/>
      <c r="HGR32" s="206"/>
      <c r="HGS32" s="206"/>
      <c r="HGT32" s="206"/>
      <c r="HGU32" s="206"/>
      <c r="HGV32" s="206"/>
      <c r="HGW32" s="206"/>
      <c r="HGX32" s="206"/>
      <c r="HGY32" s="206"/>
      <c r="HGZ32" s="206"/>
      <c r="HHA32" s="206"/>
      <c r="HHB32" s="206"/>
      <c r="HHC32" s="206"/>
      <c r="HHD32" s="206"/>
      <c r="HHE32" s="206"/>
      <c r="HHF32" s="206"/>
      <c r="HHG32" s="206"/>
      <c r="HHH32" s="206"/>
      <c r="HHI32" s="206"/>
      <c r="HHJ32" s="206"/>
      <c r="HHK32" s="206"/>
      <c r="HHL32" s="206"/>
      <c r="HHM32" s="206"/>
      <c r="HHN32" s="206"/>
      <c r="HHO32" s="206"/>
      <c r="HHP32" s="206"/>
      <c r="HHQ32" s="206"/>
      <c r="HHR32" s="206"/>
      <c r="HHS32" s="206"/>
      <c r="HHT32" s="206"/>
      <c r="HHU32" s="206"/>
      <c r="HHV32" s="206"/>
      <c r="HHW32" s="206"/>
      <c r="HHX32" s="206"/>
      <c r="HHY32" s="206"/>
      <c r="HHZ32" s="206"/>
      <c r="HIA32" s="206"/>
      <c r="HIB32" s="206"/>
      <c r="HIC32" s="206"/>
      <c r="HID32" s="206"/>
      <c r="HIE32" s="206"/>
      <c r="HIF32" s="206"/>
      <c r="HIG32" s="206"/>
      <c r="HIH32" s="206"/>
      <c r="HII32" s="206"/>
      <c r="HIJ32" s="206"/>
      <c r="HIK32" s="206"/>
      <c r="HIL32" s="206"/>
      <c r="HIM32" s="206"/>
      <c r="HIN32" s="206"/>
      <c r="HIO32" s="206"/>
      <c r="HIP32" s="206"/>
      <c r="HIQ32" s="206"/>
      <c r="HIR32" s="206"/>
      <c r="HIS32" s="206"/>
      <c r="HIT32" s="206"/>
      <c r="HIU32" s="206"/>
      <c r="HIV32" s="206"/>
      <c r="HIW32" s="206"/>
      <c r="HIX32" s="206"/>
      <c r="HIY32" s="206"/>
      <c r="HIZ32" s="206"/>
      <c r="HJA32" s="206"/>
      <c r="HJB32" s="206"/>
      <c r="HJC32" s="206"/>
      <c r="HJD32" s="206"/>
      <c r="HJE32" s="206"/>
      <c r="HJF32" s="206"/>
      <c r="HJG32" s="206"/>
      <c r="HJH32" s="206"/>
      <c r="HJI32" s="206"/>
      <c r="HJJ32" s="206"/>
      <c r="HJK32" s="206"/>
      <c r="HJL32" s="206"/>
      <c r="HJM32" s="206"/>
      <c r="HJN32" s="206"/>
      <c r="HJO32" s="206"/>
      <c r="HJP32" s="206"/>
      <c r="HJQ32" s="206"/>
      <c r="HJR32" s="206"/>
      <c r="HJS32" s="206"/>
      <c r="HJT32" s="206"/>
      <c r="HJU32" s="206"/>
      <c r="HJV32" s="206"/>
      <c r="HJW32" s="206"/>
      <c r="HJX32" s="206"/>
      <c r="HJY32" s="206"/>
      <c r="HJZ32" s="206"/>
      <c r="HKA32" s="206"/>
      <c r="HKB32" s="206"/>
      <c r="HKC32" s="206"/>
      <c r="HKD32" s="206"/>
      <c r="HKE32" s="206"/>
      <c r="HKF32" s="206"/>
      <c r="HKG32" s="206"/>
      <c r="HKH32" s="206"/>
      <c r="HKI32" s="206"/>
      <c r="HKJ32" s="206"/>
      <c r="HKK32" s="206"/>
      <c r="HKL32" s="206"/>
      <c r="HKM32" s="206"/>
      <c r="HKN32" s="206"/>
      <c r="HKO32" s="206"/>
      <c r="HKP32" s="206"/>
      <c r="HKQ32" s="206"/>
      <c r="HKR32" s="206"/>
      <c r="HKS32" s="206"/>
      <c r="HKT32" s="206"/>
      <c r="HKU32" s="206"/>
      <c r="HKV32" s="206"/>
      <c r="HKW32" s="206"/>
      <c r="HKX32" s="206"/>
      <c r="HKY32" s="206"/>
      <c r="HKZ32" s="206"/>
      <c r="HLA32" s="206"/>
      <c r="HLB32" s="206"/>
      <c r="HLC32" s="206"/>
      <c r="HLD32" s="206"/>
      <c r="HLE32" s="206"/>
      <c r="HLF32" s="206"/>
      <c r="HLG32" s="206"/>
      <c r="HLH32" s="206"/>
      <c r="HLI32" s="206"/>
      <c r="HLJ32" s="206"/>
      <c r="HLK32" s="206"/>
      <c r="HLL32" s="206"/>
      <c r="HLM32" s="206"/>
      <c r="HLN32" s="206"/>
      <c r="HLO32" s="206"/>
      <c r="HLP32" s="206"/>
      <c r="HLQ32" s="206"/>
      <c r="HLR32" s="206"/>
      <c r="HLS32" s="206"/>
      <c r="HLT32" s="206"/>
      <c r="HLU32" s="206"/>
      <c r="HLV32" s="206"/>
      <c r="HLW32" s="206"/>
      <c r="HLX32" s="206"/>
      <c r="HLY32" s="206"/>
      <c r="HLZ32" s="206"/>
      <c r="HMA32" s="206"/>
      <c r="HMB32" s="206"/>
      <c r="HMC32" s="206"/>
      <c r="HMD32" s="206"/>
      <c r="HME32" s="206"/>
      <c r="HMF32" s="206"/>
      <c r="HMG32" s="206"/>
      <c r="HMH32" s="206"/>
      <c r="HMI32" s="206"/>
      <c r="HMJ32" s="206"/>
      <c r="HMK32" s="206"/>
      <c r="HML32" s="206"/>
      <c r="HMM32" s="206"/>
      <c r="HMN32" s="206"/>
      <c r="HMO32" s="206"/>
      <c r="HMP32" s="206"/>
      <c r="HMQ32" s="206"/>
      <c r="HMR32" s="206"/>
      <c r="HMS32" s="206"/>
      <c r="HMT32" s="206"/>
      <c r="HMU32" s="206"/>
      <c r="HMV32" s="206"/>
      <c r="HMW32" s="206"/>
      <c r="HMX32" s="206"/>
      <c r="HMY32" s="206"/>
      <c r="HMZ32" s="206"/>
      <c r="HNA32" s="206"/>
      <c r="HNB32" s="206"/>
      <c r="HNC32" s="206"/>
      <c r="HND32" s="206"/>
      <c r="HNE32" s="206"/>
      <c r="HNF32" s="206"/>
      <c r="HNG32" s="206"/>
      <c r="HNH32" s="206"/>
      <c r="HNI32" s="206"/>
      <c r="HNJ32" s="206"/>
      <c r="HNK32" s="206"/>
      <c r="HNL32" s="206"/>
      <c r="HNM32" s="206"/>
      <c r="HNN32" s="206"/>
      <c r="HNO32" s="206"/>
      <c r="HNP32" s="206"/>
      <c r="HNQ32" s="206"/>
      <c r="HNR32" s="206"/>
      <c r="HNS32" s="206"/>
      <c r="HNT32" s="206"/>
      <c r="HNU32" s="206"/>
      <c r="HNV32" s="206"/>
      <c r="HNW32" s="206"/>
      <c r="HNX32" s="206"/>
      <c r="HNY32" s="206"/>
      <c r="HNZ32" s="206"/>
      <c r="HOA32" s="206"/>
      <c r="HOB32" s="206"/>
      <c r="HOC32" s="206"/>
      <c r="HOD32" s="206"/>
      <c r="HOE32" s="206"/>
      <c r="HOF32" s="206"/>
      <c r="HOG32" s="206"/>
      <c r="HOH32" s="206"/>
      <c r="HOI32" s="206"/>
      <c r="HOJ32" s="206"/>
      <c r="HOK32" s="206"/>
      <c r="HOL32" s="206"/>
      <c r="HOM32" s="206"/>
      <c r="HON32" s="206"/>
      <c r="HOO32" s="206"/>
      <c r="HOP32" s="206"/>
      <c r="HOQ32" s="206"/>
      <c r="HOR32" s="206"/>
      <c r="HOS32" s="206"/>
      <c r="HOT32" s="206"/>
      <c r="HOU32" s="206"/>
      <c r="HOV32" s="206"/>
      <c r="HOW32" s="206"/>
      <c r="HOX32" s="206"/>
      <c r="HOY32" s="206"/>
      <c r="HOZ32" s="206"/>
      <c r="HPA32" s="206"/>
      <c r="HPB32" s="206"/>
      <c r="HPC32" s="206"/>
      <c r="HPD32" s="206"/>
      <c r="HPE32" s="206"/>
      <c r="HPF32" s="206"/>
      <c r="HPG32" s="206"/>
      <c r="HPH32" s="206"/>
      <c r="HPI32" s="206"/>
      <c r="HPJ32" s="206"/>
      <c r="HPK32" s="206"/>
      <c r="HPL32" s="206"/>
      <c r="HPM32" s="206"/>
      <c r="HPN32" s="206"/>
      <c r="HPO32" s="206"/>
      <c r="HPP32" s="206"/>
      <c r="HPQ32" s="206"/>
      <c r="HPR32" s="206"/>
      <c r="HPS32" s="206"/>
      <c r="HPT32" s="206"/>
      <c r="HPU32" s="206"/>
      <c r="HPV32" s="206"/>
      <c r="HPW32" s="206"/>
      <c r="HPX32" s="206"/>
      <c r="HPY32" s="206"/>
      <c r="HPZ32" s="206"/>
      <c r="HQA32" s="206"/>
      <c r="HQB32" s="206"/>
      <c r="HQC32" s="206"/>
      <c r="HQD32" s="206"/>
      <c r="HQE32" s="206"/>
      <c r="HQF32" s="206"/>
      <c r="HQG32" s="206"/>
      <c r="HQH32" s="206"/>
      <c r="HQI32" s="206"/>
      <c r="HQJ32" s="206"/>
      <c r="HQK32" s="206"/>
      <c r="HQL32" s="206"/>
      <c r="HQM32" s="206"/>
      <c r="HQN32" s="206"/>
      <c r="HQO32" s="206"/>
      <c r="HQP32" s="206"/>
      <c r="HQQ32" s="206"/>
      <c r="HQR32" s="206"/>
      <c r="HQS32" s="206"/>
      <c r="HQT32" s="206"/>
      <c r="HQU32" s="206"/>
      <c r="HQV32" s="206"/>
      <c r="HQW32" s="206"/>
      <c r="HQX32" s="206"/>
      <c r="HQY32" s="206"/>
      <c r="HQZ32" s="206"/>
      <c r="HRA32" s="206"/>
      <c r="HRB32" s="206"/>
      <c r="HRC32" s="206"/>
      <c r="HRD32" s="206"/>
      <c r="HRE32" s="206"/>
      <c r="HRF32" s="206"/>
      <c r="HRG32" s="206"/>
      <c r="HRH32" s="206"/>
      <c r="HRI32" s="206"/>
      <c r="HRJ32" s="206"/>
      <c r="HRK32" s="206"/>
      <c r="HRL32" s="206"/>
      <c r="HRM32" s="206"/>
      <c r="HRN32" s="206"/>
      <c r="HRO32" s="206"/>
      <c r="HRP32" s="206"/>
      <c r="HRQ32" s="206"/>
      <c r="HRR32" s="206"/>
      <c r="HRS32" s="206"/>
      <c r="HRT32" s="206"/>
      <c r="HRU32" s="206"/>
      <c r="HRV32" s="206"/>
      <c r="HRW32" s="206"/>
      <c r="HRX32" s="206"/>
      <c r="HRY32" s="206"/>
      <c r="HRZ32" s="206"/>
      <c r="HSA32" s="206"/>
      <c r="HSB32" s="206"/>
      <c r="HSC32" s="206"/>
      <c r="HSD32" s="206"/>
      <c r="HSE32" s="206"/>
      <c r="HSF32" s="206"/>
      <c r="HSG32" s="206"/>
      <c r="HSH32" s="206"/>
      <c r="HSI32" s="206"/>
      <c r="HSJ32" s="206"/>
      <c r="HSK32" s="206"/>
      <c r="HSL32" s="206"/>
      <c r="HSM32" s="206"/>
      <c r="HSN32" s="206"/>
      <c r="HSO32" s="206"/>
      <c r="HSP32" s="206"/>
      <c r="HSQ32" s="206"/>
      <c r="HSR32" s="206"/>
      <c r="HSS32" s="206"/>
      <c r="HST32" s="206"/>
      <c r="HSU32" s="206"/>
      <c r="HSV32" s="206"/>
      <c r="HSW32" s="206"/>
      <c r="HSX32" s="206"/>
      <c r="HSY32" s="206"/>
      <c r="HSZ32" s="206"/>
      <c r="HTA32" s="206"/>
      <c r="HTB32" s="206"/>
      <c r="HTC32" s="206"/>
      <c r="HTD32" s="206"/>
      <c r="HTE32" s="206"/>
      <c r="HTF32" s="206"/>
      <c r="HTG32" s="206"/>
      <c r="HTH32" s="206"/>
      <c r="HTI32" s="206"/>
      <c r="HTJ32" s="206"/>
      <c r="HTK32" s="206"/>
      <c r="HTL32" s="206"/>
      <c r="HTM32" s="206"/>
      <c r="HTN32" s="206"/>
      <c r="HTO32" s="206"/>
      <c r="HTP32" s="206"/>
      <c r="HTQ32" s="206"/>
      <c r="HTR32" s="206"/>
      <c r="HTS32" s="206"/>
      <c r="HTT32" s="206"/>
      <c r="HTU32" s="206"/>
      <c r="HTV32" s="206"/>
      <c r="HTW32" s="206"/>
      <c r="HTX32" s="206"/>
      <c r="HTY32" s="206"/>
      <c r="HTZ32" s="206"/>
      <c r="HUA32" s="206"/>
      <c r="HUB32" s="206"/>
      <c r="HUC32" s="206"/>
      <c r="HUD32" s="206"/>
      <c r="HUE32" s="206"/>
      <c r="HUF32" s="206"/>
      <c r="HUG32" s="206"/>
      <c r="HUH32" s="206"/>
      <c r="HUI32" s="206"/>
      <c r="HUJ32" s="206"/>
      <c r="HUK32" s="206"/>
      <c r="HUL32" s="206"/>
      <c r="HUM32" s="206"/>
      <c r="HUN32" s="206"/>
      <c r="HUO32" s="206"/>
      <c r="HUP32" s="206"/>
      <c r="HUQ32" s="206"/>
      <c r="HUR32" s="206"/>
      <c r="HUS32" s="206"/>
      <c r="HUT32" s="206"/>
      <c r="HUU32" s="206"/>
      <c r="HUV32" s="206"/>
      <c r="HUW32" s="206"/>
      <c r="HUX32" s="206"/>
      <c r="HUY32" s="206"/>
      <c r="HUZ32" s="206"/>
      <c r="HVA32" s="206"/>
      <c r="HVB32" s="206"/>
      <c r="HVC32" s="206"/>
      <c r="HVD32" s="206"/>
      <c r="HVE32" s="206"/>
      <c r="HVF32" s="206"/>
      <c r="HVG32" s="206"/>
      <c r="HVH32" s="206"/>
      <c r="HVI32" s="206"/>
      <c r="HVJ32" s="206"/>
      <c r="HVK32" s="206"/>
      <c r="HVL32" s="206"/>
      <c r="HVM32" s="206"/>
      <c r="HVN32" s="206"/>
      <c r="HVO32" s="206"/>
      <c r="HVP32" s="206"/>
      <c r="HVQ32" s="206"/>
      <c r="HVR32" s="206"/>
      <c r="HVS32" s="206"/>
      <c r="HVT32" s="206"/>
      <c r="HVU32" s="206"/>
      <c r="HVV32" s="206"/>
      <c r="HVW32" s="206"/>
      <c r="HVX32" s="206"/>
      <c r="HVY32" s="206"/>
      <c r="HVZ32" s="206"/>
      <c r="HWA32" s="206"/>
      <c r="HWB32" s="206"/>
      <c r="HWC32" s="206"/>
      <c r="HWD32" s="206"/>
      <c r="HWE32" s="206"/>
      <c r="HWF32" s="206"/>
      <c r="HWG32" s="206"/>
      <c r="HWH32" s="206"/>
      <c r="HWI32" s="206"/>
      <c r="HWJ32" s="206"/>
      <c r="HWK32" s="206"/>
      <c r="HWL32" s="206"/>
      <c r="HWM32" s="206"/>
      <c r="HWN32" s="206"/>
      <c r="HWO32" s="206"/>
      <c r="HWP32" s="206"/>
      <c r="HWQ32" s="206"/>
      <c r="HWR32" s="206"/>
      <c r="HWS32" s="206"/>
      <c r="HWT32" s="206"/>
      <c r="HWU32" s="206"/>
      <c r="HWV32" s="206"/>
      <c r="HWW32" s="206"/>
      <c r="HWX32" s="206"/>
      <c r="HWY32" s="206"/>
      <c r="HWZ32" s="206"/>
      <c r="HXA32" s="206"/>
      <c r="HXB32" s="206"/>
      <c r="HXC32" s="206"/>
      <c r="HXD32" s="206"/>
      <c r="HXE32" s="206"/>
      <c r="HXF32" s="206"/>
      <c r="HXG32" s="206"/>
      <c r="HXH32" s="206"/>
      <c r="HXI32" s="206"/>
      <c r="HXJ32" s="206"/>
      <c r="HXK32" s="206"/>
      <c r="HXL32" s="206"/>
      <c r="HXM32" s="206"/>
      <c r="HXN32" s="206"/>
      <c r="HXO32" s="206"/>
      <c r="HXP32" s="206"/>
      <c r="HXQ32" s="206"/>
      <c r="HXR32" s="206"/>
      <c r="HXS32" s="206"/>
      <c r="HXT32" s="206"/>
      <c r="HXU32" s="206"/>
      <c r="HXV32" s="206"/>
      <c r="HXW32" s="206"/>
      <c r="HXX32" s="206"/>
      <c r="HXY32" s="206"/>
      <c r="HXZ32" s="206"/>
      <c r="HYA32" s="206"/>
      <c r="HYB32" s="206"/>
      <c r="HYC32" s="206"/>
      <c r="HYD32" s="206"/>
      <c r="HYE32" s="206"/>
      <c r="HYF32" s="206"/>
      <c r="HYG32" s="206"/>
      <c r="HYH32" s="206"/>
      <c r="HYI32" s="206"/>
      <c r="HYJ32" s="206"/>
      <c r="HYK32" s="206"/>
      <c r="HYL32" s="206"/>
      <c r="HYM32" s="206"/>
      <c r="HYN32" s="206"/>
      <c r="HYO32" s="206"/>
      <c r="HYP32" s="206"/>
      <c r="HYQ32" s="206"/>
      <c r="HYR32" s="206"/>
      <c r="HYS32" s="206"/>
      <c r="HYT32" s="206"/>
      <c r="HYU32" s="206"/>
      <c r="HYV32" s="206"/>
      <c r="HYW32" s="206"/>
      <c r="HYX32" s="206"/>
      <c r="HYY32" s="206"/>
      <c r="HYZ32" s="206"/>
      <c r="HZA32" s="206"/>
      <c r="HZB32" s="206"/>
      <c r="HZC32" s="206"/>
      <c r="HZD32" s="206"/>
      <c r="HZE32" s="206"/>
      <c r="HZF32" s="206"/>
      <c r="HZG32" s="206"/>
      <c r="HZH32" s="206"/>
      <c r="HZI32" s="206"/>
      <c r="HZJ32" s="206"/>
      <c r="HZK32" s="206"/>
      <c r="HZL32" s="206"/>
      <c r="HZM32" s="206"/>
      <c r="HZN32" s="206"/>
      <c r="HZO32" s="206"/>
      <c r="HZP32" s="206"/>
      <c r="HZQ32" s="206"/>
      <c r="HZR32" s="206"/>
      <c r="HZS32" s="206"/>
      <c r="HZT32" s="206"/>
      <c r="HZU32" s="206"/>
      <c r="HZV32" s="206"/>
      <c r="HZW32" s="206"/>
      <c r="HZX32" s="206"/>
      <c r="HZY32" s="206"/>
      <c r="HZZ32" s="206"/>
      <c r="IAA32" s="206"/>
      <c r="IAB32" s="206"/>
      <c r="IAC32" s="206"/>
      <c r="IAD32" s="206"/>
      <c r="IAE32" s="206"/>
      <c r="IAF32" s="206"/>
      <c r="IAG32" s="206"/>
      <c r="IAH32" s="206"/>
      <c r="IAI32" s="206"/>
      <c r="IAJ32" s="206"/>
      <c r="IAK32" s="206"/>
      <c r="IAL32" s="206"/>
      <c r="IAM32" s="206"/>
      <c r="IAN32" s="206"/>
      <c r="IAO32" s="206"/>
      <c r="IAP32" s="206"/>
      <c r="IAQ32" s="206"/>
      <c r="IAR32" s="206"/>
      <c r="IAS32" s="206"/>
      <c r="IAT32" s="206"/>
      <c r="IAU32" s="206"/>
      <c r="IAV32" s="206"/>
      <c r="IAW32" s="206"/>
      <c r="IAX32" s="206"/>
      <c r="IAY32" s="206"/>
      <c r="IAZ32" s="206"/>
      <c r="IBA32" s="206"/>
      <c r="IBB32" s="206"/>
      <c r="IBC32" s="206"/>
      <c r="IBD32" s="206"/>
      <c r="IBE32" s="206"/>
      <c r="IBF32" s="206"/>
      <c r="IBG32" s="206"/>
      <c r="IBH32" s="206"/>
      <c r="IBI32" s="206"/>
      <c r="IBJ32" s="206"/>
      <c r="IBK32" s="206"/>
      <c r="IBL32" s="206"/>
      <c r="IBM32" s="206"/>
      <c r="IBN32" s="206"/>
      <c r="IBO32" s="206"/>
      <c r="IBP32" s="206"/>
      <c r="IBQ32" s="206"/>
      <c r="IBR32" s="206"/>
      <c r="IBS32" s="206"/>
      <c r="IBT32" s="206"/>
      <c r="IBU32" s="206"/>
      <c r="IBV32" s="206"/>
      <c r="IBW32" s="206"/>
      <c r="IBX32" s="206"/>
      <c r="IBY32" s="206"/>
      <c r="IBZ32" s="206"/>
      <c r="ICA32" s="206"/>
      <c r="ICB32" s="206"/>
      <c r="ICC32" s="206"/>
      <c r="ICD32" s="206"/>
      <c r="ICE32" s="206"/>
      <c r="ICF32" s="206"/>
      <c r="ICG32" s="206"/>
      <c r="ICH32" s="206"/>
      <c r="ICI32" s="206"/>
      <c r="ICJ32" s="206"/>
      <c r="ICK32" s="206"/>
      <c r="ICL32" s="206"/>
      <c r="ICM32" s="206"/>
      <c r="ICN32" s="206"/>
      <c r="ICO32" s="206"/>
      <c r="ICP32" s="206"/>
      <c r="ICQ32" s="206"/>
      <c r="ICR32" s="206"/>
      <c r="ICS32" s="206"/>
      <c r="ICT32" s="206"/>
      <c r="ICU32" s="206"/>
      <c r="ICV32" s="206"/>
      <c r="ICW32" s="206"/>
      <c r="ICX32" s="206"/>
      <c r="ICY32" s="206"/>
      <c r="ICZ32" s="206"/>
      <c r="IDA32" s="206"/>
      <c r="IDB32" s="206"/>
      <c r="IDC32" s="206"/>
      <c r="IDD32" s="206"/>
      <c r="IDE32" s="206"/>
      <c r="IDF32" s="206"/>
      <c r="IDG32" s="206"/>
      <c r="IDH32" s="206"/>
      <c r="IDI32" s="206"/>
      <c r="IDJ32" s="206"/>
      <c r="IDK32" s="206"/>
      <c r="IDL32" s="206"/>
      <c r="IDM32" s="206"/>
      <c r="IDN32" s="206"/>
      <c r="IDO32" s="206"/>
      <c r="IDP32" s="206"/>
      <c r="IDQ32" s="206"/>
      <c r="IDR32" s="206"/>
      <c r="IDS32" s="206"/>
      <c r="IDT32" s="206"/>
      <c r="IDU32" s="206"/>
      <c r="IDV32" s="206"/>
      <c r="IDW32" s="206"/>
      <c r="IDX32" s="206"/>
      <c r="IDY32" s="206"/>
      <c r="IDZ32" s="206"/>
      <c r="IEA32" s="206"/>
      <c r="IEB32" s="206"/>
      <c r="IEC32" s="206"/>
      <c r="IED32" s="206"/>
      <c r="IEE32" s="206"/>
      <c r="IEF32" s="206"/>
      <c r="IEG32" s="206"/>
      <c r="IEH32" s="206"/>
      <c r="IEI32" s="206"/>
      <c r="IEJ32" s="206"/>
      <c r="IEK32" s="206"/>
      <c r="IEL32" s="206"/>
      <c r="IEM32" s="206"/>
      <c r="IEN32" s="206"/>
      <c r="IEO32" s="206"/>
      <c r="IEP32" s="206"/>
      <c r="IEQ32" s="206"/>
      <c r="IER32" s="206"/>
      <c r="IES32" s="206"/>
      <c r="IET32" s="206"/>
      <c r="IEU32" s="206"/>
      <c r="IEV32" s="206"/>
      <c r="IEW32" s="206"/>
      <c r="IEX32" s="206"/>
      <c r="IEY32" s="206"/>
      <c r="IEZ32" s="206"/>
      <c r="IFA32" s="206"/>
      <c r="IFB32" s="206"/>
      <c r="IFC32" s="206"/>
      <c r="IFD32" s="206"/>
      <c r="IFE32" s="206"/>
      <c r="IFF32" s="206"/>
      <c r="IFG32" s="206"/>
      <c r="IFH32" s="206"/>
      <c r="IFI32" s="206"/>
      <c r="IFJ32" s="206"/>
      <c r="IFK32" s="206"/>
      <c r="IFL32" s="206"/>
      <c r="IFM32" s="206"/>
      <c r="IFN32" s="206"/>
      <c r="IFO32" s="206"/>
      <c r="IFP32" s="206"/>
      <c r="IFQ32" s="206"/>
      <c r="IFR32" s="206"/>
      <c r="IFS32" s="206"/>
      <c r="IFT32" s="206"/>
      <c r="IFU32" s="206"/>
      <c r="IFV32" s="206"/>
      <c r="IFW32" s="206"/>
      <c r="IFX32" s="206"/>
      <c r="IFY32" s="206"/>
      <c r="IFZ32" s="206"/>
      <c r="IGA32" s="206"/>
      <c r="IGB32" s="206"/>
      <c r="IGC32" s="206"/>
      <c r="IGD32" s="206"/>
      <c r="IGE32" s="206"/>
      <c r="IGF32" s="206"/>
      <c r="IGG32" s="206"/>
      <c r="IGH32" s="206"/>
      <c r="IGI32" s="206"/>
      <c r="IGJ32" s="206"/>
      <c r="IGK32" s="206"/>
      <c r="IGL32" s="206"/>
      <c r="IGM32" s="206"/>
      <c r="IGN32" s="206"/>
      <c r="IGO32" s="206"/>
      <c r="IGP32" s="206"/>
      <c r="IGQ32" s="206"/>
      <c r="IGR32" s="206"/>
      <c r="IGS32" s="206"/>
      <c r="IGT32" s="206"/>
      <c r="IGU32" s="206"/>
      <c r="IGV32" s="206"/>
      <c r="IGW32" s="206"/>
      <c r="IGX32" s="206"/>
      <c r="IGY32" s="206"/>
      <c r="IGZ32" s="206"/>
      <c r="IHA32" s="206"/>
      <c r="IHB32" s="206"/>
      <c r="IHC32" s="206"/>
      <c r="IHD32" s="206"/>
      <c r="IHE32" s="206"/>
      <c r="IHF32" s="206"/>
      <c r="IHG32" s="206"/>
      <c r="IHH32" s="206"/>
      <c r="IHI32" s="206"/>
      <c r="IHJ32" s="206"/>
      <c r="IHK32" s="206"/>
      <c r="IHL32" s="206"/>
      <c r="IHM32" s="206"/>
      <c r="IHN32" s="206"/>
      <c r="IHO32" s="206"/>
      <c r="IHP32" s="206"/>
      <c r="IHQ32" s="206"/>
      <c r="IHR32" s="206"/>
      <c r="IHS32" s="206"/>
      <c r="IHT32" s="206"/>
      <c r="IHU32" s="206"/>
      <c r="IHV32" s="206"/>
      <c r="IHW32" s="206"/>
      <c r="IHX32" s="206"/>
      <c r="IHY32" s="206"/>
      <c r="IHZ32" s="206"/>
      <c r="IIA32" s="206"/>
      <c r="IIB32" s="206"/>
      <c r="IIC32" s="206"/>
      <c r="IID32" s="206"/>
      <c r="IIE32" s="206"/>
      <c r="IIF32" s="206"/>
      <c r="IIG32" s="206"/>
      <c r="IIH32" s="206"/>
      <c r="III32" s="206"/>
      <c r="IIJ32" s="206"/>
      <c r="IIK32" s="206"/>
      <c r="IIL32" s="206"/>
      <c r="IIM32" s="206"/>
      <c r="IIN32" s="206"/>
      <c r="IIO32" s="206"/>
      <c r="IIP32" s="206"/>
      <c r="IIQ32" s="206"/>
      <c r="IIR32" s="206"/>
      <c r="IIS32" s="206"/>
      <c r="IIT32" s="206"/>
      <c r="IIU32" s="206"/>
      <c r="IIV32" s="206"/>
      <c r="IIW32" s="206"/>
      <c r="IIX32" s="206"/>
      <c r="IIY32" s="206"/>
      <c r="IIZ32" s="206"/>
      <c r="IJA32" s="206"/>
      <c r="IJB32" s="206"/>
      <c r="IJC32" s="206"/>
      <c r="IJD32" s="206"/>
      <c r="IJE32" s="206"/>
      <c r="IJF32" s="206"/>
      <c r="IJG32" s="206"/>
      <c r="IJH32" s="206"/>
      <c r="IJI32" s="206"/>
      <c r="IJJ32" s="206"/>
      <c r="IJK32" s="206"/>
      <c r="IJL32" s="206"/>
      <c r="IJM32" s="206"/>
      <c r="IJN32" s="206"/>
      <c r="IJO32" s="206"/>
      <c r="IJP32" s="206"/>
      <c r="IJQ32" s="206"/>
      <c r="IJR32" s="206"/>
      <c r="IJS32" s="206"/>
      <c r="IJT32" s="206"/>
      <c r="IJU32" s="206"/>
      <c r="IJV32" s="206"/>
      <c r="IJW32" s="206"/>
      <c r="IJX32" s="206"/>
      <c r="IJY32" s="206"/>
      <c r="IJZ32" s="206"/>
      <c r="IKA32" s="206"/>
      <c r="IKB32" s="206"/>
      <c r="IKC32" s="206"/>
      <c r="IKD32" s="206"/>
      <c r="IKE32" s="206"/>
      <c r="IKF32" s="206"/>
      <c r="IKG32" s="206"/>
      <c r="IKH32" s="206"/>
      <c r="IKI32" s="206"/>
      <c r="IKJ32" s="206"/>
      <c r="IKK32" s="206"/>
      <c r="IKL32" s="206"/>
      <c r="IKM32" s="206"/>
      <c r="IKN32" s="206"/>
      <c r="IKO32" s="206"/>
      <c r="IKP32" s="206"/>
      <c r="IKQ32" s="206"/>
      <c r="IKR32" s="206"/>
      <c r="IKS32" s="206"/>
      <c r="IKT32" s="206"/>
      <c r="IKU32" s="206"/>
      <c r="IKV32" s="206"/>
      <c r="IKW32" s="206"/>
      <c r="IKX32" s="206"/>
      <c r="IKY32" s="206"/>
      <c r="IKZ32" s="206"/>
      <c r="ILA32" s="206"/>
      <c r="ILB32" s="206"/>
      <c r="ILC32" s="206"/>
      <c r="ILD32" s="206"/>
      <c r="ILE32" s="206"/>
      <c r="ILF32" s="206"/>
      <c r="ILG32" s="206"/>
      <c r="ILH32" s="206"/>
      <c r="ILI32" s="206"/>
      <c r="ILJ32" s="206"/>
      <c r="ILK32" s="206"/>
      <c r="ILL32" s="206"/>
      <c r="ILM32" s="206"/>
      <c r="ILN32" s="206"/>
      <c r="ILO32" s="206"/>
      <c r="ILP32" s="206"/>
      <c r="ILQ32" s="206"/>
      <c r="ILR32" s="206"/>
      <c r="ILS32" s="206"/>
      <c r="ILT32" s="206"/>
      <c r="ILU32" s="206"/>
      <c r="ILV32" s="206"/>
      <c r="ILW32" s="206"/>
      <c r="ILX32" s="206"/>
      <c r="ILY32" s="206"/>
      <c r="ILZ32" s="206"/>
      <c r="IMA32" s="206"/>
      <c r="IMB32" s="206"/>
      <c r="IMC32" s="206"/>
      <c r="IMD32" s="206"/>
      <c r="IME32" s="206"/>
      <c r="IMF32" s="206"/>
      <c r="IMG32" s="206"/>
      <c r="IMH32" s="206"/>
      <c r="IMI32" s="206"/>
      <c r="IMJ32" s="206"/>
      <c r="IMK32" s="206"/>
      <c r="IML32" s="206"/>
      <c r="IMM32" s="206"/>
      <c r="IMN32" s="206"/>
      <c r="IMO32" s="206"/>
      <c r="IMP32" s="206"/>
      <c r="IMQ32" s="206"/>
      <c r="IMR32" s="206"/>
      <c r="IMS32" s="206"/>
      <c r="IMT32" s="206"/>
      <c r="IMU32" s="206"/>
      <c r="IMV32" s="206"/>
      <c r="IMW32" s="206"/>
      <c r="IMX32" s="206"/>
      <c r="IMY32" s="206"/>
      <c r="IMZ32" s="206"/>
      <c r="INA32" s="206"/>
      <c r="INB32" s="206"/>
      <c r="INC32" s="206"/>
      <c r="IND32" s="206"/>
      <c r="INE32" s="206"/>
      <c r="INF32" s="206"/>
      <c r="ING32" s="206"/>
      <c r="INH32" s="206"/>
      <c r="INI32" s="206"/>
      <c r="INJ32" s="206"/>
      <c r="INK32" s="206"/>
      <c r="INL32" s="206"/>
      <c r="INM32" s="206"/>
      <c r="INN32" s="206"/>
      <c r="INO32" s="206"/>
      <c r="INP32" s="206"/>
      <c r="INQ32" s="206"/>
      <c r="INR32" s="206"/>
      <c r="INS32" s="206"/>
      <c r="INT32" s="206"/>
      <c r="INU32" s="206"/>
      <c r="INV32" s="206"/>
      <c r="INW32" s="206"/>
      <c r="INX32" s="206"/>
      <c r="INY32" s="206"/>
      <c r="INZ32" s="206"/>
      <c r="IOA32" s="206"/>
      <c r="IOB32" s="206"/>
      <c r="IOC32" s="206"/>
      <c r="IOD32" s="206"/>
      <c r="IOE32" s="206"/>
      <c r="IOF32" s="206"/>
      <c r="IOG32" s="206"/>
      <c r="IOH32" s="206"/>
      <c r="IOI32" s="206"/>
      <c r="IOJ32" s="206"/>
      <c r="IOK32" s="206"/>
      <c r="IOL32" s="206"/>
      <c r="IOM32" s="206"/>
      <c r="ION32" s="206"/>
      <c r="IOO32" s="206"/>
      <c r="IOP32" s="206"/>
      <c r="IOQ32" s="206"/>
      <c r="IOR32" s="206"/>
      <c r="IOS32" s="206"/>
      <c r="IOT32" s="206"/>
      <c r="IOU32" s="206"/>
      <c r="IOV32" s="206"/>
      <c r="IOW32" s="206"/>
      <c r="IOX32" s="206"/>
      <c r="IOY32" s="206"/>
      <c r="IOZ32" s="206"/>
      <c r="IPA32" s="206"/>
      <c r="IPB32" s="206"/>
      <c r="IPC32" s="206"/>
      <c r="IPD32" s="206"/>
      <c r="IPE32" s="206"/>
      <c r="IPF32" s="206"/>
      <c r="IPG32" s="206"/>
      <c r="IPH32" s="206"/>
      <c r="IPI32" s="206"/>
      <c r="IPJ32" s="206"/>
      <c r="IPK32" s="206"/>
      <c r="IPL32" s="206"/>
      <c r="IPM32" s="206"/>
      <c r="IPN32" s="206"/>
      <c r="IPO32" s="206"/>
      <c r="IPP32" s="206"/>
      <c r="IPQ32" s="206"/>
      <c r="IPR32" s="206"/>
      <c r="IPS32" s="206"/>
      <c r="IPT32" s="206"/>
      <c r="IPU32" s="206"/>
      <c r="IPV32" s="206"/>
      <c r="IPW32" s="206"/>
      <c r="IPX32" s="206"/>
      <c r="IPY32" s="206"/>
      <c r="IPZ32" s="206"/>
      <c r="IQA32" s="206"/>
      <c r="IQB32" s="206"/>
      <c r="IQC32" s="206"/>
      <c r="IQD32" s="206"/>
      <c r="IQE32" s="206"/>
      <c r="IQF32" s="206"/>
      <c r="IQG32" s="206"/>
      <c r="IQH32" s="206"/>
      <c r="IQI32" s="206"/>
      <c r="IQJ32" s="206"/>
      <c r="IQK32" s="206"/>
      <c r="IQL32" s="206"/>
      <c r="IQM32" s="206"/>
      <c r="IQN32" s="206"/>
      <c r="IQO32" s="206"/>
      <c r="IQP32" s="206"/>
      <c r="IQQ32" s="206"/>
      <c r="IQR32" s="206"/>
      <c r="IQS32" s="206"/>
      <c r="IQT32" s="206"/>
      <c r="IQU32" s="206"/>
      <c r="IQV32" s="206"/>
      <c r="IQW32" s="206"/>
      <c r="IQX32" s="206"/>
      <c r="IQY32" s="206"/>
      <c r="IQZ32" s="206"/>
      <c r="IRA32" s="206"/>
      <c r="IRB32" s="206"/>
      <c r="IRC32" s="206"/>
      <c r="IRD32" s="206"/>
      <c r="IRE32" s="206"/>
      <c r="IRF32" s="206"/>
      <c r="IRG32" s="206"/>
      <c r="IRH32" s="206"/>
      <c r="IRI32" s="206"/>
      <c r="IRJ32" s="206"/>
      <c r="IRK32" s="206"/>
      <c r="IRL32" s="206"/>
      <c r="IRM32" s="206"/>
      <c r="IRN32" s="206"/>
      <c r="IRO32" s="206"/>
      <c r="IRP32" s="206"/>
      <c r="IRQ32" s="206"/>
      <c r="IRR32" s="206"/>
      <c r="IRS32" s="206"/>
      <c r="IRT32" s="206"/>
      <c r="IRU32" s="206"/>
      <c r="IRV32" s="206"/>
      <c r="IRW32" s="206"/>
      <c r="IRX32" s="206"/>
      <c r="IRY32" s="206"/>
      <c r="IRZ32" s="206"/>
      <c r="ISA32" s="206"/>
      <c r="ISB32" s="206"/>
      <c r="ISC32" s="206"/>
      <c r="ISD32" s="206"/>
      <c r="ISE32" s="206"/>
      <c r="ISF32" s="206"/>
      <c r="ISG32" s="206"/>
      <c r="ISH32" s="206"/>
      <c r="ISI32" s="206"/>
      <c r="ISJ32" s="206"/>
      <c r="ISK32" s="206"/>
      <c r="ISL32" s="206"/>
      <c r="ISM32" s="206"/>
      <c r="ISN32" s="206"/>
      <c r="ISO32" s="206"/>
      <c r="ISP32" s="206"/>
      <c r="ISQ32" s="206"/>
      <c r="ISR32" s="206"/>
      <c r="ISS32" s="206"/>
      <c r="IST32" s="206"/>
      <c r="ISU32" s="206"/>
      <c r="ISV32" s="206"/>
      <c r="ISW32" s="206"/>
      <c r="ISX32" s="206"/>
      <c r="ISY32" s="206"/>
      <c r="ISZ32" s="206"/>
      <c r="ITA32" s="206"/>
      <c r="ITB32" s="206"/>
      <c r="ITC32" s="206"/>
      <c r="ITD32" s="206"/>
      <c r="ITE32" s="206"/>
      <c r="ITF32" s="206"/>
      <c r="ITG32" s="206"/>
      <c r="ITH32" s="206"/>
      <c r="ITI32" s="206"/>
      <c r="ITJ32" s="206"/>
      <c r="ITK32" s="206"/>
      <c r="ITL32" s="206"/>
      <c r="ITM32" s="206"/>
      <c r="ITN32" s="206"/>
      <c r="ITO32" s="206"/>
      <c r="ITP32" s="206"/>
      <c r="ITQ32" s="206"/>
      <c r="ITR32" s="206"/>
      <c r="ITS32" s="206"/>
      <c r="ITT32" s="206"/>
      <c r="ITU32" s="206"/>
      <c r="ITV32" s="206"/>
      <c r="ITW32" s="206"/>
      <c r="ITX32" s="206"/>
      <c r="ITY32" s="206"/>
      <c r="ITZ32" s="206"/>
      <c r="IUA32" s="206"/>
      <c r="IUB32" s="206"/>
      <c r="IUC32" s="206"/>
      <c r="IUD32" s="206"/>
      <c r="IUE32" s="206"/>
      <c r="IUF32" s="206"/>
      <c r="IUG32" s="206"/>
      <c r="IUH32" s="206"/>
      <c r="IUI32" s="206"/>
      <c r="IUJ32" s="206"/>
      <c r="IUK32" s="206"/>
      <c r="IUL32" s="206"/>
      <c r="IUM32" s="206"/>
      <c r="IUN32" s="206"/>
      <c r="IUO32" s="206"/>
      <c r="IUP32" s="206"/>
      <c r="IUQ32" s="206"/>
      <c r="IUR32" s="206"/>
      <c r="IUS32" s="206"/>
      <c r="IUT32" s="206"/>
      <c r="IUU32" s="206"/>
      <c r="IUV32" s="206"/>
      <c r="IUW32" s="206"/>
      <c r="IUX32" s="206"/>
      <c r="IUY32" s="206"/>
      <c r="IUZ32" s="206"/>
      <c r="IVA32" s="206"/>
      <c r="IVB32" s="206"/>
      <c r="IVC32" s="206"/>
      <c r="IVD32" s="206"/>
      <c r="IVE32" s="206"/>
      <c r="IVF32" s="206"/>
      <c r="IVG32" s="206"/>
      <c r="IVH32" s="206"/>
      <c r="IVI32" s="206"/>
      <c r="IVJ32" s="206"/>
      <c r="IVK32" s="206"/>
      <c r="IVL32" s="206"/>
      <c r="IVM32" s="206"/>
      <c r="IVN32" s="206"/>
      <c r="IVO32" s="206"/>
      <c r="IVP32" s="206"/>
      <c r="IVQ32" s="206"/>
      <c r="IVR32" s="206"/>
      <c r="IVS32" s="206"/>
      <c r="IVT32" s="206"/>
      <c r="IVU32" s="206"/>
      <c r="IVV32" s="206"/>
      <c r="IVW32" s="206"/>
      <c r="IVX32" s="206"/>
      <c r="IVY32" s="206"/>
      <c r="IVZ32" s="206"/>
      <c r="IWA32" s="206"/>
      <c r="IWB32" s="206"/>
      <c r="IWC32" s="206"/>
      <c r="IWD32" s="206"/>
      <c r="IWE32" s="206"/>
      <c r="IWF32" s="206"/>
      <c r="IWG32" s="206"/>
      <c r="IWH32" s="206"/>
      <c r="IWI32" s="206"/>
      <c r="IWJ32" s="206"/>
      <c r="IWK32" s="206"/>
      <c r="IWL32" s="206"/>
      <c r="IWM32" s="206"/>
      <c r="IWN32" s="206"/>
      <c r="IWO32" s="206"/>
      <c r="IWP32" s="206"/>
      <c r="IWQ32" s="206"/>
      <c r="IWR32" s="206"/>
      <c r="IWS32" s="206"/>
      <c r="IWT32" s="206"/>
      <c r="IWU32" s="206"/>
      <c r="IWV32" s="206"/>
      <c r="IWW32" s="206"/>
      <c r="IWX32" s="206"/>
      <c r="IWY32" s="206"/>
      <c r="IWZ32" s="206"/>
      <c r="IXA32" s="206"/>
      <c r="IXB32" s="206"/>
      <c r="IXC32" s="206"/>
      <c r="IXD32" s="206"/>
      <c r="IXE32" s="206"/>
      <c r="IXF32" s="206"/>
      <c r="IXG32" s="206"/>
      <c r="IXH32" s="206"/>
      <c r="IXI32" s="206"/>
      <c r="IXJ32" s="206"/>
      <c r="IXK32" s="206"/>
      <c r="IXL32" s="206"/>
      <c r="IXM32" s="206"/>
      <c r="IXN32" s="206"/>
      <c r="IXO32" s="206"/>
      <c r="IXP32" s="206"/>
      <c r="IXQ32" s="206"/>
      <c r="IXR32" s="206"/>
      <c r="IXS32" s="206"/>
      <c r="IXT32" s="206"/>
      <c r="IXU32" s="206"/>
      <c r="IXV32" s="206"/>
      <c r="IXW32" s="206"/>
      <c r="IXX32" s="206"/>
      <c r="IXY32" s="206"/>
      <c r="IXZ32" s="206"/>
      <c r="IYA32" s="206"/>
      <c r="IYB32" s="206"/>
      <c r="IYC32" s="206"/>
      <c r="IYD32" s="206"/>
      <c r="IYE32" s="206"/>
      <c r="IYF32" s="206"/>
      <c r="IYG32" s="206"/>
      <c r="IYH32" s="206"/>
      <c r="IYI32" s="206"/>
      <c r="IYJ32" s="206"/>
      <c r="IYK32" s="206"/>
      <c r="IYL32" s="206"/>
      <c r="IYM32" s="206"/>
      <c r="IYN32" s="206"/>
      <c r="IYO32" s="206"/>
      <c r="IYP32" s="206"/>
      <c r="IYQ32" s="206"/>
      <c r="IYR32" s="206"/>
      <c r="IYS32" s="206"/>
      <c r="IYT32" s="206"/>
      <c r="IYU32" s="206"/>
      <c r="IYV32" s="206"/>
      <c r="IYW32" s="206"/>
      <c r="IYX32" s="206"/>
      <c r="IYY32" s="206"/>
      <c r="IYZ32" s="206"/>
      <c r="IZA32" s="206"/>
      <c r="IZB32" s="206"/>
      <c r="IZC32" s="206"/>
      <c r="IZD32" s="206"/>
      <c r="IZE32" s="206"/>
      <c r="IZF32" s="206"/>
      <c r="IZG32" s="206"/>
      <c r="IZH32" s="206"/>
      <c r="IZI32" s="206"/>
      <c r="IZJ32" s="206"/>
      <c r="IZK32" s="206"/>
      <c r="IZL32" s="206"/>
      <c r="IZM32" s="206"/>
      <c r="IZN32" s="206"/>
      <c r="IZO32" s="206"/>
      <c r="IZP32" s="206"/>
      <c r="IZQ32" s="206"/>
      <c r="IZR32" s="206"/>
      <c r="IZS32" s="206"/>
      <c r="IZT32" s="206"/>
      <c r="IZU32" s="206"/>
      <c r="IZV32" s="206"/>
      <c r="IZW32" s="206"/>
      <c r="IZX32" s="206"/>
      <c r="IZY32" s="206"/>
      <c r="IZZ32" s="206"/>
      <c r="JAA32" s="206"/>
      <c r="JAB32" s="206"/>
      <c r="JAC32" s="206"/>
      <c r="JAD32" s="206"/>
      <c r="JAE32" s="206"/>
      <c r="JAF32" s="206"/>
      <c r="JAG32" s="206"/>
      <c r="JAH32" s="206"/>
      <c r="JAI32" s="206"/>
      <c r="JAJ32" s="206"/>
      <c r="JAK32" s="206"/>
      <c r="JAL32" s="206"/>
      <c r="JAM32" s="206"/>
      <c r="JAN32" s="206"/>
      <c r="JAO32" s="206"/>
      <c r="JAP32" s="206"/>
      <c r="JAQ32" s="206"/>
      <c r="JAR32" s="206"/>
      <c r="JAS32" s="206"/>
      <c r="JAT32" s="206"/>
      <c r="JAU32" s="206"/>
      <c r="JAV32" s="206"/>
      <c r="JAW32" s="206"/>
      <c r="JAX32" s="206"/>
      <c r="JAY32" s="206"/>
      <c r="JAZ32" s="206"/>
      <c r="JBA32" s="206"/>
      <c r="JBB32" s="206"/>
      <c r="JBC32" s="206"/>
      <c r="JBD32" s="206"/>
      <c r="JBE32" s="206"/>
      <c r="JBF32" s="206"/>
      <c r="JBG32" s="206"/>
      <c r="JBH32" s="206"/>
      <c r="JBI32" s="206"/>
      <c r="JBJ32" s="206"/>
      <c r="JBK32" s="206"/>
      <c r="JBL32" s="206"/>
      <c r="JBM32" s="206"/>
      <c r="JBN32" s="206"/>
      <c r="JBO32" s="206"/>
      <c r="JBP32" s="206"/>
      <c r="JBQ32" s="206"/>
      <c r="JBR32" s="206"/>
      <c r="JBS32" s="206"/>
      <c r="JBT32" s="206"/>
      <c r="JBU32" s="206"/>
      <c r="JBV32" s="206"/>
      <c r="JBW32" s="206"/>
      <c r="JBX32" s="206"/>
      <c r="JBY32" s="206"/>
      <c r="JBZ32" s="206"/>
      <c r="JCA32" s="206"/>
      <c r="JCB32" s="206"/>
      <c r="JCC32" s="206"/>
      <c r="JCD32" s="206"/>
      <c r="JCE32" s="206"/>
      <c r="JCF32" s="206"/>
      <c r="JCG32" s="206"/>
      <c r="JCH32" s="206"/>
      <c r="JCI32" s="206"/>
      <c r="JCJ32" s="206"/>
      <c r="JCK32" s="206"/>
      <c r="JCL32" s="206"/>
      <c r="JCM32" s="206"/>
      <c r="JCN32" s="206"/>
      <c r="JCO32" s="206"/>
      <c r="JCP32" s="206"/>
      <c r="JCQ32" s="206"/>
      <c r="JCR32" s="206"/>
      <c r="JCS32" s="206"/>
      <c r="JCT32" s="206"/>
      <c r="JCU32" s="206"/>
      <c r="JCV32" s="206"/>
      <c r="JCW32" s="206"/>
      <c r="JCX32" s="206"/>
      <c r="JCY32" s="206"/>
      <c r="JCZ32" s="206"/>
      <c r="JDA32" s="206"/>
      <c r="JDB32" s="206"/>
      <c r="JDC32" s="206"/>
      <c r="JDD32" s="206"/>
      <c r="JDE32" s="206"/>
      <c r="JDF32" s="206"/>
      <c r="JDG32" s="206"/>
      <c r="JDH32" s="206"/>
      <c r="JDI32" s="206"/>
      <c r="JDJ32" s="206"/>
      <c r="JDK32" s="206"/>
      <c r="JDL32" s="206"/>
      <c r="JDM32" s="206"/>
      <c r="JDN32" s="206"/>
      <c r="JDO32" s="206"/>
      <c r="JDP32" s="206"/>
      <c r="JDQ32" s="206"/>
      <c r="JDR32" s="206"/>
      <c r="JDS32" s="206"/>
      <c r="JDT32" s="206"/>
      <c r="JDU32" s="206"/>
      <c r="JDV32" s="206"/>
      <c r="JDW32" s="206"/>
      <c r="JDX32" s="206"/>
      <c r="JDY32" s="206"/>
      <c r="JDZ32" s="206"/>
      <c r="JEA32" s="206"/>
      <c r="JEB32" s="206"/>
      <c r="JEC32" s="206"/>
      <c r="JED32" s="206"/>
      <c r="JEE32" s="206"/>
      <c r="JEF32" s="206"/>
      <c r="JEG32" s="206"/>
      <c r="JEH32" s="206"/>
      <c r="JEI32" s="206"/>
      <c r="JEJ32" s="206"/>
      <c r="JEK32" s="206"/>
      <c r="JEL32" s="206"/>
      <c r="JEM32" s="206"/>
      <c r="JEN32" s="206"/>
      <c r="JEO32" s="206"/>
      <c r="JEP32" s="206"/>
      <c r="JEQ32" s="206"/>
      <c r="JER32" s="206"/>
      <c r="JES32" s="206"/>
      <c r="JET32" s="206"/>
      <c r="JEU32" s="206"/>
      <c r="JEV32" s="206"/>
      <c r="JEW32" s="206"/>
      <c r="JEX32" s="206"/>
      <c r="JEY32" s="206"/>
      <c r="JEZ32" s="206"/>
      <c r="JFA32" s="206"/>
      <c r="JFB32" s="206"/>
      <c r="JFC32" s="206"/>
      <c r="JFD32" s="206"/>
      <c r="JFE32" s="206"/>
      <c r="JFF32" s="206"/>
      <c r="JFG32" s="206"/>
      <c r="JFH32" s="206"/>
      <c r="JFI32" s="206"/>
      <c r="JFJ32" s="206"/>
      <c r="JFK32" s="206"/>
      <c r="JFL32" s="206"/>
      <c r="JFM32" s="206"/>
      <c r="JFN32" s="206"/>
      <c r="JFO32" s="206"/>
      <c r="JFP32" s="206"/>
      <c r="JFQ32" s="206"/>
      <c r="JFR32" s="206"/>
      <c r="JFS32" s="206"/>
      <c r="JFT32" s="206"/>
      <c r="JFU32" s="206"/>
      <c r="JFV32" s="206"/>
      <c r="JFW32" s="206"/>
      <c r="JFX32" s="206"/>
      <c r="JFY32" s="206"/>
      <c r="JFZ32" s="206"/>
      <c r="JGA32" s="206"/>
      <c r="JGB32" s="206"/>
      <c r="JGC32" s="206"/>
      <c r="JGD32" s="206"/>
      <c r="JGE32" s="206"/>
      <c r="JGF32" s="206"/>
      <c r="JGG32" s="206"/>
      <c r="JGH32" s="206"/>
      <c r="JGI32" s="206"/>
      <c r="JGJ32" s="206"/>
      <c r="JGK32" s="206"/>
      <c r="JGL32" s="206"/>
      <c r="JGM32" s="206"/>
      <c r="JGN32" s="206"/>
      <c r="JGO32" s="206"/>
      <c r="JGP32" s="206"/>
      <c r="JGQ32" s="206"/>
      <c r="JGR32" s="206"/>
      <c r="JGS32" s="206"/>
      <c r="JGT32" s="206"/>
      <c r="JGU32" s="206"/>
      <c r="JGV32" s="206"/>
      <c r="JGW32" s="206"/>
      <c r="JGX32" s="206"/>
      <c r="JGY32" s="206"/>
      <c r="JGZ32" s="206"/>
      <c r="JHA32" s="206"/>
      <c r="JHB32" s="206"/>
      <c r="JHC32" s="206"/>
      <c r="JHD32" s="206"/>
      <c r="JHE32" s="206"/>
      <c r="JHF32" s="206"/>
      <c r="JHG32" s="206"/>
      <c r="JHH32" s="206"/>
      <c r="JHI32" s="206"/>
      <c r="JHJ32" s="206"/>
      <c r="JHK32" s="206"/>
      <c r="JHL32" s="206"/>
      <c r="JHM32" s="206"/>
      <c r="JHN32" s="206"/>
      <c r="JHO32" s="206"/>
      <c r="JHP32" s="206"/>
      <c r="JHQ32" s="206"/>
      <c r="JHR32" s="206"/>
      <c r="JHS32" s="206"/>
      <c r="JHT32" s="206"/>
      <c r="JHU32" s="206"/>
      <c r="JHV32" s="206"/>
      <c r="JHW32" s="206"/>
      <c r="JHX32" s="206"/>
      <c r="JHY32" s="206"/>
      <c r="JHZ32" s="206"/>
      <c r="JIA32" s="206"/>
      <c r="JIB32" s="206"/>
      <c r="JIC32" s="206"/>
      <c r="JID32" s="206"/>
      <c r="JIE32" s="206"/>
      <c r="JIF32" s="206"/>
      <c r="JIG32" s="206"/>
      <c r="JIH32" s="206"/>
      <c r="JII32" s="206"/>
      <c r="JIJ32" s="206"/>
      <c r="JIK32" s="206"/>
      <c r="JIL32" s="206"/>
      <c r="JIM32" s="206"/>
      <c r="JIN32" s="206"/>
      <c r="JIO32" s="206"/>
      <c r="JIP32" s="206"/>
      <c r="JIQ32" s="206"/>
      <c r="JIR32" s="206"/>
      <c r="JIS32" s="206"/>
      <c r="JIT32" s="206"/>
      <c r="JIU32" s="206"/>
      <c r="JIV32" s="206"/>
      <c r="JIW32" s="206"/>
      <c r="JIX32" s="206"/>
      <c r="JIY32" s="206"/>
      <c r="JIZ32" s="206"/>
      <c r="JJA32" s="206"/>
      <c r="JJB32" s="206"/>
      <c r="JJC32" s="206"/>
      <c r="JJD32" s="206"/>
      <c r="JJE32" s="206"/>
      <c r="JJF32" s="206"/>
      <c r="JJG32" s="206"/>
      <c r="JJH32" s="206"/>
      <c r="JJI32" s="206"/>
      <c r="JJJ32" s="206"/>
      <c r="JJK32" s="206"/>
      <c r="JJL32" s="206"/>
      <c r="JJM32" s="206"/>
      <c r="JJN32" s="206"/>
      <c r="JJO32" s="206"/>
      <c r="JJP32" s="206"/>
      <c r="JJQ32" s="206"/>
      <c r="JJR32" s="206"/>
      <c r="JJS32" s="206"/>
      <c r="JJT32" s="206"/>
      <c r="JJU32" s="206"/>
      <c r="JJV32" s="206"/>
      <c r="JJW32" s="206"/>
      <c r="JJX32" s="206"/>
      <c r="JJY32" s="206"/>
      <c r="JJZ32" s="206"/>
      <c r="JKA32" s="206"/>
      <c r="JKB32" s="206"/>
      <c r="JKC32" s="206"/>
      <c r="JKD32" s="206"/>
      <c r="JKE32" s="206"/>
      <c r="JKF32" s="206"/>
      <c r="JKG32" s="206"/>
      <c r="JKH32" s="206"/>
      <c r="JKI32" s="206"/>
      <c r="JKJ32" s="206"/>
      <c r="JKK32" s="206"/>
      <c r="JKL32" s="206"/>
      <c r="JKM32" s="206"/>
      <c r="JKN32" s="206"/>
      <c r="JKO32" s="206"/>
      <c r="JKP32" s="206"/>
      <c r="JKQ32" s="206"/>
      <c r="JKR32" s="206"/>
      <c r="JKS32" s="206"/>
      <c r="JKT32" s="206"/>
      <c r="JKU32" s="206"/>
      <c r="JKV32" s="206"/>
      <c r="JKW32" s="206"/>
      <c r="JKX32" s="206"/>
      <c r="JKY32" s="206"/>
      <c r="JKZ32" s="206"/>
      <c r="JLA32" s="206"/>
      <c r="JLB32" s="206"/>
      <c r="JLC32" s="206"/>
      <c r="JLD32" s="206"/>
      <c r="JLE32" s="206"/>
      <c r="JLF32" s="206"/>
      <c r="JLG32" s="206"/>
      <c r="JLH32" s="206"/>
      <c r="JLI32" s="206"/>
      <c r="JLJ32" s="206"/>
      <c r="JLK32" s="206"/>
      <c r="JLL32" s="206"/>
      <c r="JLM32" s="206"/>
      <c r="JLN32" s="206"/>
      <c r="JLO32" s="206"/>
      <c r="JLP32" s="206"/>
      <c r="JLQ32" s="206"/>
      <c r="JLR32" s="206"/>
      <c r="JLS32" s="206"/>
      <c r="JLT32" s="206"/>
      <c r="JLU32" s="206"/>
      <c r="JLV32" s="206"/>
      <c r="JLW32" s="206"/>
      <c r="JLX32" s="206"/>
      <c r="JLY32" s="206"/>
      <c r="JLZ32" s="206"/>
      <c r="JMA32" s="206"/>
      <c r="JMB32" s="206"/>
      <c r="JMC32" s="206"/>
      <c r="JMD32" s="206"/>
      <c r="JME32" s="206"/>
      <c r="JMF32" s="206"/>
      <c r="JMG32" s="206"/>
      <c r="JMH32" s="206"/>
      <c r="JMI32" s="206"/>
      <c r="JMJ32" s="206"/>
      <c r="JMK32" s="206"/>
      <c r="JML32" s="206"/>
      <c r="JMM32" s="206"/>
      <c r="JMN32" s="206"/>
      <c r="JMO32" s="206"/>
      <c r="JMP32" s="206"/>
      <c r="JMQ32" s="206"/>
      <c r="JMR32" s="206"/>
      <c r="JMS32" s="206"/>
      <c r="JMT32" s="206"/>
      <c r="JMU32" s="206"/>
      <c r="JMV32" s="206"/>
      <c r="JMW32" s="206"/>
      <c r="JMX32" s="206"/>
      <c r="JMY32" s="206"/>
      <c r="JMZ32" s="206"/>
      <c r="JNA32" s="206"/>
      <c r="JNB32" s="206"/>
      <c r="JNC32" s="206"/>
      <c r="JND32" s="206"/>
      <c r="JNE32" s="206"/>
      <c r="JNF32" s="206"/>
      <c r="JNG32" s="206"/>
      <c r="JNH32" s="206"/>
      <c r="JNI32" s="206"/>
      <c r="JNJ32" s="206"/>
      <c r="JNK32" s="206"/>
      <c r="JNL32" s="206"/>
      <c r="JNM32" s="206"/>
      <c r="JNN32" s="206"/>
      <c r="JNO32" s="206"/>
      <c r="JNP32" s="206"/>
      <c r="JNQ32" s="206"/>
      <c r="JNR32" s="206"/>
      <c r="JNS32" s="206"/>
      <c r="JNT32" s="206"/>
      <c r="JNU32" s="206"/>
      <c r="JNV32" s="206"/>
      <c r="JNW32" s="206"/>
      <c r="JNX32" s="206"/>
      <c r="JNY32" s="206"/>
      <c r="JNZ32" s="206"/>
      <c r="JOA32" s="206"/>
      <c r="JOB32" s="206"/>
      <c r="JOC32" s="206"/>
      <c r="JOD32" s="206"/>
      <c r="JOE32" s="206"/>
      <c r="JOF32" s="206"/>
      <c r="JOG32" s="206"/>
      <c r="JOH32" s="206"/>
      <c r="JOI32" s="206"/>
      <c r="JOJ32" s="206"/>
      <c r="JOK32" s="206"/>
      <c r="JOL32" s="206"/>
      <c r="JOM32" s="206"/>
      <c r="JON32" s="206"/>
      <c r="JOO32" s="206"/>
      <c r="JOP32" s="206"/>
      <c r="JOQ32" s="206"/>
      <c r="JOR32" s="206"/>
      <c r="JOS32" s="206"/>
      <c r="JOT32" s="206"/>
      <c r="JOU32" s="206"/>
      <c r="JOV32" s="206"/>
      <c r="JOW32" s="206"/>
      <c r="JOX32" s="206"/>
      <c r="JOY32" s="206"/>
      <c r="JOZ32" s="206"/>
      <c r="JPA32" s="206"/>
      <c r="JPB32" s="206"/>
      <c r="JPC32" s="206"/>
      <c r="JPD32" s="206"/>
      <c r="JPE32" s="206"/>
      <c r="JPF32" s="206"/>
      <c r="JPG32" s="206"/>
      <c r="JPH32" s="206"/>
      <c r="JPI32" s="206"/>
      <c r="JPJ32" s="206"/>
      <c r="JPK32" s="206"/>
      <c r="JPL32" s="206"/>
      <c r="JPM32" s="206"/>
      <c r="JPN32" s="206"/>
      <c r="JPO32" s="206"/>
      <c r="JPP32" s="206"/>
      <c r="JPQ32" s="206"/>
      <c r="JPR32" s="206"/>
      <c r="JPS32" s="206"/>
      <c r="JPT32" s="206"/>
      <c r="JPU32" s="206"/>
      <c r="JPV32" s="206"/>
      <c r="JPW32" s="206"/>
      <c r="JPX32" s="206"/>
      <c r="JPY32" s="206"/>
      <c r="JPZ32" s="206"/>
      <c r="JQA32" s="206"/>
      <c r="JQB32" s="206"/>
      <c r="JQC32" s="206"/>
      <c r="JQD32" s="206"/>
      <c r="JQE32" s="206"/>
      <c r="JQF32" s="206"/>
      <c r="JQG32" s="206"/>
      <c r="JQH32" s="206"/>
      <c r="JQI32" s="206"/>
      <c r="JQJ32" s="206"/>
      <c r="JQK32" s="206"/>
      <c r="JQL32" s="206"/>
      <c r="JQM32" s="206"/>
      <c r="JQN32" s="206"/>
      <c r="JQO32" s="206"/>
      <c r="JQP32" s="206"/>
      <c r="JQQ32" s="206"/>
      <c r="JQR32" s="206"/>
      <c r="JQS32" s="206"/>
      <c r="JQT32" s="206"/>
      <c r="JQU32" s="206"/>
      <c r="JQV32" s="206"/>
      <c r="JQW32" s="206"/>
      <c r="JQX32" s="206"/>
      <c r="JQY32" s="206"/>
      <c r="JQZ32" s="206"/>
      <c r="JRA32" s="206"/>
      <c r="JRB32" s="206"/>
      <c r="JRC32" s="206"/>
      <c r="JRD32" s="206"/>
      <c r="JRE32" s="206"/>
      <c r="JRF32" s="206"/>
      <c r="JRG32" s="206"/>
      <c r="JRH32" s="206"/>
      <c r="JRI32" s="206"/>
      <c r="JRJ32" s="206"/>
      <c r="JRK32" s="206"/>
      <c r="JRL32" s="206"/>
      <c r="JRM32" s="206"/>
      <c r="JRN32" s="206"/>
      <c r="JRO32" s="206"/>
      <c r="JRP32" s="206"/>
      <c r="JRQ32" s="206"/>
      <c r="JRR32" s="206"/>
      <c r="JRS32" s="206"/>
      <c r="JRT32" s="206"/>
      <c r="JRU32" s="206"/>
      <c r="JRV32" s="206"/>
      <c r="JRW32" s="206"/>
      <c r="JRX32" s="206"/>
      <c r="JRY32" s="206"/>
      <c r="JRZ32" s="206"/>
      <c r="JSA32" s="206"/>
      <c r="JSB32" s="206"/>
      <c r="JSC32" s="206"/>
      <c r="JSD32" s="206"/>
      <c r="JSE32" s="206"/>
      <c r="JSF32" s="206"/>
      <c r="JSG32" s="206"/>
      <c r="JSH32" s="206"/>
      <c r="JSI32" s="206"/>
      <c r="JSJ32" s="206"/>
      <c r="JSK32" s="206"/>
      <c r="JSL32" s="206"/>
      <c r="JSM32" s="206"/>
      <c r="JSN32" s="206"/>
      <c r="JSO32" s="206"/>
      <c r="JSP32" s="206"/>
      <c r="JSQ32" s="206"/>
      <c r="JSR32" s="206"/>
      <c r="JSS32" s="206"/>
      <c r="JST32" s="206"/>
      <c r="JSU32" s="206"/>
      <c r="JSV32" s="206"/>
      <c r="JSW32" s="206"/>
      <c r="JSX32" s="206"/>
      <c r="JSY32" s="206"/>
      <c r="JSZ32" s="206"/>
      <c r="JTA32" s="206"/>
      <c r="JTB32" s="206"/>
      <c r="JTC32" s="206"/>
      <c r="JTD32" s="206"/>
      <c r="JTE32" s="206"/>
      <c r="JTF32" s="206"/>
      <c r="JTG32" s="206"/>
      <c r="JTH32" s="206"/>
      <c r="JTI32" s="206"/>
      <c r="JTJ32" s="206"/>
      <c r="JTK32" s="206"/>
      <c r="JTL32" s="206"/>
      <c r="JTM32" s="206"/>
      <c r="JTN32" s="206"/>
      <c r="JTO32" s="206"/>
      <c r="JTP32" s="206"/>
      <c r="JTQ32" s="206"/>
      <c r="JTR32" s="206"/>
      <c r="JTS32" s="206"/>
      <c r="JTT32" s="206"/>
      <c r="JTU32" s="206"/>
      <c r="JTV32" s="206"/>
      <c r="JTW32" s="206"/>
      <c r="JTX32" s="206"/>
      <c r="JTY32" s="206"/>
      <c r="JTZ32" s="206"/>
      <c r="JUA32" s="206"/>
      <c r="JUB32" s="206"/>
      <c r="JUC32" s="206"/>
      <c r="JUD32" s="206"/>
      <c r="JUE32" s="206"/>
      <c r="JUF32" s="206"/>
      <c r="JUG32" s="206"/>
      <c r="JUH32" s="206"/>
      <c r="JUI32" s="206"/>
      <c r="JUJ32" s="206"/>
      <c r="JUK32" s="206"/>
      <c r="JUL32" s="206"/>
      <c r="JUM32" s="206"/>
      <c r="JUN32" s="206"/>
      <c r="JUO32" s="206"/>
      <c r="JUP32" s="206"/>
      <c r="JUQ32" s="206"/>
      <c r="JUR32" s="206"/>
      <c r="JUS32" s="206"/>
      <c r="JUT32" s="206"/>
      <c r="JUU32" s="206"/>
      <c r="JUV32" s="206"/>
      <c r="JUW32" s="206"/>
      <c r="JUX32" s="206"/>
      <c r="JUY32" s="206"/>
      <c r="JUZ32" s="206"/>
      <c r="JVA32" s="206"/>
      <c r="JVB32" s="206"/>
      <c r="JVC32" s="206"/>
      <c r="JVD32" s="206"/>
      <c r="JVE32" s="206"/>
      <c r="JVF32" s="206"/>
      <c r="JVG32" s="206"/>
      <c r="JVH32" s="206"/>
      <c r="JVI32" s="206"/>
      <c r="JVJ32" s="206"/>
      <c r="JVK32" s="206"/>
      <c r="JVL32" s="206"/>
      <c r="JVM32" s="206"/>
      <c r="JVN32" s="206"/>
      <c r="JVO32" s="206"/>
      <c r="JVP32" s="206"/>
      <c r="JVQ32" s="206"/>
      <c r="JVR32" s="206"/>
      <c r="JVS32" s="206"/>
      <c r="JVT32" s="206"/>
      <c r="JVU32" s="206"/>
      <c r="JVV32" s="206"/>
      <c r="JVW32" s="206"/>
      <c r="JVX32" s="206"/>
      <c r="JVY32" s="206"/>
      <c r="JVZ32" s="206"/>
      <c r="JWA32" s="206"/>
      <c r="JWB32" s="206"/>
      <c r="JWC32" s="206"/>
      <c r="JWD32" s="206"/>
      <c r="JWE32" s="206"/>
      <c r="JWF32" s="206"/>
      <c r="JWG32" s="206"/>
      <c r="JWH32" s="206"/>
      <c r="JWI32" s="206"/>
      <c r="JWJ32" s="206"/>
      <c r="JWK32" s="206"/>
      <c r="JWL32" s="206"/>
      <c r="JWM32" s="206"/>
      <c r="JWN32" s="206"/>
      <c r="JWO32" s="206"/>
      <c r="JWP32" s="206"/>
      <c r="JWQ32" s="206"/>
      <c r="JWR32" s="206"/>
      <c r="JWS32" s="206"/>
      <c r="JWT32" s="206"/>
      <c r="JWU32" s="206"/>
      <c r="JWV32" s="206"/>
      <c r="JWW32" s="206"/>
      <c r="JWX32" s="206"/>
      <c r="JWY32" s="206"/>
      <c r="JWZ32" s="206"/>
      <c r="JXA32" s="206"/>
      <c r="JXB32" s="206"/>
      <c r="JXC32" s="206"/>
      <c r="JXD32" s="206"/>
      <c r="JXE32" s="206"/>
      <c r="JXF32" s="206"/>
      <c r="JXG32" s="206"/>
      <c r="JXH32" s="206"/>
      <c r="JXI32" s="206"/>
      <c r="JXJ32" s="206"/>
      <c r="JXK32" s="206"/>
      <c r="JXL32" s="206"/>
      <c r="JXM32" s="206"/>
      <c r="JXN32" s="206"/>
      <c r="JXO32" s="206"/>
      <c r="JXP32" s="206"/>
      <c r="JXQ32" s="206"/>
      <c r="JXR32" s="206"/>
      <c r="JXS32" s="206"/>
      <c r="JXT32" s="206"/>
      <c r="JXU32" s="206"/>
      <c r="JXV32" s="206"/>
      <c r="JXW32" s="206"/>
      <c r="JXX32" s="206"/>
      <c r="JXY32" s="206"/>
      <c r="JXZ32" s="206"/>
      <c r="JYA32" s="206"/>
      <c r="JYB32" s="206"/>
      <c r="JYC32" s="206"/>
      <c r="JYD32" s="206"/>
      <c r="JYE32" s="206"/>
      <c r="JYF32" s="206"/>
      <c r="JYG32" s="206"/>
      <c r="JYH32" s="206"/>
      <c r="JYI32" s="206"/>
      <c r="JYJ32" s="206"/>
      <c r="JYK32" s="206"/>
      <c r="JYL32" s="206"/>
      <c r="JYM32" s="206"/>
      <c r="JYN32" s="206"/>
      <c r="JYO32" s="206"/>
      <c r="JYP32" s="206"/>
      <c r="JYQ32" s="206"/>
      <c r="JYR32" s="206"/>
      <c r="JYS32" s="206"/>
      <c r="JYT32" s="206"/>
      <c r="JYU32" s="206"/>
      <c r="JYV32" s="206"/>
      <c r="JYW32" s="206"/>
      <c r="JYX32" s="206"/>
      <c r="JYY32" s="206"/>
      <c r="JYZ32" s="206"/>
      <c r="JZA32" s="206"/>
      <c r="JZB32" s="206"/>
      <c r="JZC32" s="206"/>
      <c r="JZD32" s="206"/>
      <c r="JZE32" s="206"/>
      <c r="JZF32" s="206"/>
      <c r="JZG32" s="206"/>
      <c r="JZH32" s="206"/>
      <c r="JZI32" s="206"/>
      <c r="JZJ32" s="206"/>
      <c r="JZK32" s="206"/>
      <c r="JZL32" s="206"/>
      <c r="JZM32" s="206"/>
      <c r="JZN32" s="206"/>
      <c r="JZO32" s="206"/>
      <c r="JZP32" s="206"/>
      <c r="JZQ32" s="206"/>
      <c r="JZR32" s="206"/>
      <c r="JZS32" s="206"/>
      <c r="JZT32" s="206"/>
      <c r="JZU32" s="206"/>
      <c r="JZV32" s="206"/>
      <c r="JZW32" s="206"/>
      <c r="JZX32" s="206"/>
      <c r="JZY32" s="206"/>
      <c r="JZZ32" s="206"/>
      <c r="KAA32" s="206"/>
      <c r="KAB32" s="206"/>
      <c r="KAC32" s="206"/>
      <c r="KAD32" s="206"/>
      <c r="KAE32" s="206"/>
      <c r="KAF32" s="206"/>
      <c r="KAG32" s="206"/>
      <c r="KAH32" s="206"/>
      <c r="KAI32" s="206"/>
      <c r="KAJ32" s="206"/>
      <c r="KAK32" s="206"/>
      <c r="KAL32" s="206"/>
      <c r="KAM32" s="206"/>
      <c r="KAN32" s="206"/>
      <c r="KAO32" s="206"/>
      <c r="KAP32" s="206"/>
      <c r="KAQ32" s="206"/>
      <c r="KAR32" s="206"/>
      <c r="KAS32" s="206"/>
      <c r="KAT32" s="206"/>
      <c r="KAU32" s="206"/>
      <c r="KAV32" s="206"/>
      <c r="KAW32" s="206"/>
      <c r="KAX32" s="206"/>
      <c r="KAY32" s="206"/>
      <c r="KAZ32" s="206"/>
      <c r="KBA32" s="206"/>
      <c r="KBB32" s="206"/>
      <c r="KBC32" s="206"/>
      <c r="KBD32" s="206"/>
      <c r="KBE32" s="206"/>
      <c r="KBF32" s="206"/>
      <c r="KBG32" s="206"/>
      <c r="KBH32" s="206"/>
      <c r="KBI32" s="206"/>
      <c r="KBJ32" s="206"/>
      <c r="KBK32" s="206"/>
      <c r="KBL32" s="206"/>
      <c r="KBM32" s="206"/>
      <c r="KBN32" s="206"/>
      <c r="KBO32" s="206"/>
      <c r="KBP32" s="206"/>
      <c r="KBQ32" s="206"/>
      <c r="KBR32" s="206"/>
      <c r="KBS32" s="206"/>
      <c r="KBT32" s="206"/>
      <c r="KBU32" s="206"/>
      <c r="KBV32" s="206"/>
      <c r="KBW32" s="206"/>
      <c r="KBX32" s="206"/>
      <c r="KBY32" s="206"/>
      <c r="KBZ32" s="206"/>
      <c r="KCA32" s="206"/>
      <c r="KCB32" s="206"/>
      <c r="KCC32" s="206"/>
      <c r="KCD32" s="206"/>
      <c r="KCE32" s="206"/>
      <c r="KCF32" s="206"/>
      <c r="KCG32" s="206"/>
      <c r="KCH32" s="206"/>
      <c r="KCI32" s="206"/>
      <c r="KCJ32" s="206"/>
      <c r="KCK32" s="206"/>
      <c r="KCL32" s="206"/>
      <c r="KCM32" s="206"/>
      <c r="KCN32" s="206"/>
      <c r="KCO32" s="206"/>
      <c r="KCP32" s="206"/>
      <c r="KCQ32" s="206"/>
      <c r="KCR32" s="206"/>
      <c r="KCS32" s="206"/>
      <c r="KCT32" s="206"/>
      <c r="KCU32" s="206"/>
      <c r="KCV32" s="206"/>
      <c r="KCW32" s="206"/>
      <c r="KCX32" s="206"/>
      <c r="KCY32" s="206"/>
      <c r="KCZ32" s="206"/>
      <c r="KDA32" s="206"/>
      <c r="KDB32" s="206"/>
      <c r="KDC32" s="206"/>
      <c r="KDD32" s="206"/>
      <c r="KDE32" s="206"/>
      <c r="KDF32" s="206"/>
      <c r="KDG32" s="206"/>
      <c r="KDH32" s="206"/>
      <c r="KDI32" s="206"/>
      <c r="KDJ32" s="206"/>
      <c r="KDK32" s="206"/>
      <c r="KDL32" s="206"/>
      <c r="KDM32" s="206"/>
      <c r="KDN32" s="206"/>
      <c r="KDO32" s="206"/>
      <c r="KDP32" s="206"/>
      <c r="KDQ32" s="206"/>
      <c r="KDR32" s="206"/>
      <c r="KDS32" s="206"/>
      <c r="KDT32" s="206"/>
      <c r="KDU32" s="206"/>
      <c r="KDV32" s="206"/>
      <c r="KDW32" s="206"/>
      <c r="KDX32" s="206"/>
      <c r="KDY32" s="206"/>
      <c r="KDZ32" s="206"/>
      <c r="KEA32" s="206"/>
      <c r="KEB32" s="206"/>
      <c r="KEC32" s="206"/>
      <c r="KED32" s="206"/>
      <c r="KEE32" s="206"/>
      <c r="KEF32" s="206"/>
      <c r="KEG32" s="206"/>
      <c r="KEH32" s="206"/>
      <c r="KEI32" s="206"/>
      <c r="KEJ32" s="206"/>
      <c r="KEK32" s="206"/>
      <c r="KEL32" s="206"/>
      <c r="KEM32" s="206"/>
      <c r="KEN32" s="206"/>
      <c r="KEO32" s="206"/>
      <c r="KEP32" s="206"/>
      <c r="KEQ32" s="206"/>
      <c r="KER32" s="206"/>
      <c r="KES32" s="206"/>
      <c r="KET32" s="206"/>
      <c r="KEU32" s="206"/>
      <c r="KEV32" s="206"/>
      <c r="KEW32" s="206"/>
      <c r="KEX32" s="206"/>
      <c r="KEY32" s="206"/>
      <c r="KEZ32" s="206"/>
      <c r="KFA32" s="206"/>
      <c r="KFB32" s="206"/>
      <c r="KFC32" s="206"/>
      <c r="KFD32" s="206"/>
      <c r="KFE32" s="206"/>
      <c r="KFF32" s="206"/>
      <c r="KFG32" s="206"/>
      <c r="KFH32" s="206"/>
      <c r="KFI32" s="206"/>
      <c r="KFJ32" s="206"/>
      <c r="KFK32" s="206"/>
      <c r="KFL32" s="206"/>
      <c r="KFM32" s="206"/>
      <c r="KFN32" s="206"/>
      <c r="KFO32" s="206"/>
      <c r="KFP32" s="206"/>
      <c r="KFQ32" s="206"/>
      <c r="KFR32" s="206"/>
      <c r="KFS32" s="206"/>
      <c r="KFT32" s="206"/>
      <c r="KFU32" s="206"/>
      <c r="KFV32" s="206"/>
      <c r="KFW32" s="206"/>
      <c r="KFX32" s="206"/>
      <c r="KFY32" s="206"/>
      <c r="KFZ32" s="206"/>
      <c r="KGA32" s="206"/>
      <c r="KGB32" s="206"/>
      <c r="KGC32" s="206"/>
      <c r="KGD32" s="206"/>
      <c r="KGE32" s="206"/>
      <c r="KGF32" s="206"/>
      <c r="KGG32" s="206"/>
      <c r="KGH32" s="206"/>
      <c r="KGI32" s="206"/>
      <c r="KGJ32" s="206"/>
      <c r="KGK32" s="206"/>
      <c r="KGL32" s="206"/>
      <c r="KGM32" s="206"/>
      <c r="KGN32" s="206"/>
      <c r="KGO32" s="206"/>
      <c r="KGP32" s="206"/>
      <c r="KGQ32" s="206"/>
      <c r="KGR32" s="206"/>
      <c r="KGS32" s="206"/>
      <c r="KGT32" s="206"/>
      <c r="KGU32" s="206"/>
      <c r="KGV32" s="206"/>
      <c r="KGW32" s="206"/>
      <c r="KGX32" s="206"/>
      <c r="KGY32" s="206"/>
      <c r="KGZ32" s="206"/>
      <c r="KHA32" s="206"/>
      <c r="KHB32" s="206"/>
      <c r="KHC32" s="206"/>
      <c r="KHD32" s="206"/>
      <c r="KHE32" s="206"/>
      <c r="KHF32" s="206"/>
      <c r="KHG32" s="206"/>
      <c r="KHH32" s="206"/>
      <c r="KHI32" s="206"/>
      <c r="KHJ32" s="206"/>
      <c r="KHK32" s="206"/>
      <c r="KHL32" s="206"/>
      <c r="KHM32" s="206"/>
      <c r="KHN32" s="206"/>
      <c r="KHO32" s="206"/>
      <c r="KHP32" s="206"/>
      <c r="KHQ32" s="206"/>
      <c r="KHR32" s="206"/>
      <c r="KHS32" s="206"/>
      <c r="KHT32" s="206"/>
      <c r="KHU32" s="206"/>
      <c r="KHV32" s="206"/>
      <c r="KHW32" s="206"/>
      <c r="KHX32" s="206"/>
      <c r="KHY32" s="206"/>
      <c r="KHZ32" s="206"/>
      <c r="KIA32" s="206"/>
      <c r="KIB32" s="206"/>
      <c r="KIC32" s="206"/>
      <c r="KID32" s="206"/>
      <c r="KIE32" s="206"/>
      <c r="KIF32" s="206"/>
      <c r="KIG32" s="206"/>
      <c r="KIH32" s="206"/>
      <c r="KII32" s="206"/>
      <c r="KIJ32" s="206"/>
      <c r="KIK32" s="206"/>
      <c r="KIL32" s="206"/>
      <c r="KIM32" s="206"/>
      <c r="KIN32" s="206"/>
      <c r="KIO32" s="206"/>
      <c r="KIP32" s="206"/>
      <c r="KIQ32" s="206"/>
      <c r="KIR32" s="206"/>
      <c r="KIS32" s="206"/>
      <c r="KIT32" s="206"/>
      <c r="KIU32" s="206"/>
      <c r="KIV32" s="206"/>
      <c r="KIW32" s="206"/>
      <c r="KIX32" s="206"/>
      <c r="KIY32" s="206"/>
      <c r="KIZ32" s="206"/>
      <c r="KJA32" s="206"/>
      <c r="KJB32" s="206"/>
      <c r="KJC32" s="206"/>
      <c r="KJD32" s="206"/>
      <c r="KJE32" s="206"/>
      <c r="KJF32" s="206"/>
      <c r="KJG32" s="206"/>
      <c r="KJH32" s="206"/>
      <c r="KJI32" s="206"/>
      <c r="KJJ32" s="206"/>
      <c r="KJK32" s="206"/>
      <c r="KJL32" s="206"/>
      <c r="KJM32" s="206"/>
      <c r="KJN32" s="206"/>
      <c r="KJO32" s="206"/>
      <c r="KJP32" s="206"/>
      <c r="KJQ32" s="206"/>
      <c r="KJR32" s="206"/>
      <c r="KJS32" s="206"/>
      <c r="KJT32" s="206"/>
      <c r="KJU32" s="206"/>
      <c r="KJV32" s="206"/>
      <c r="KJW32" s="206"/>
      <c r="KJX32" s="206"/>
      <c r="KJY32" s="206"/>
      <c r="KJZ32" s="206"/>
      <c r="KKA32" s="206"/>
      <c r="KKB32" s="206"/>
      <c r="KKC32" s="206"/>
      <c r="KKD32" s="206"/>
      <c r="KKE32" s="206"/>
      <c r="KKF32" s="206"/>
      <c r="KKG32" s="206"/>
      <c r="KKH32" s="206"/>
      <c r="KKI32" s="206"/>
      <c r="KKJ32" s="206"/>
      <c r="KKK32" s="206"/>
      <c r="KKL32" s="206"/>
      <c r="KKM32" s="206"/>
      <c r="KKN32" s="206"/>
      <c r="KKO32" s="206"/>
      <c r="KKP32" s="206"/>
      <c r="KKQ32" s="206"/>
      <c r="KKR32" s="206"/>
      <c r="KKS32" s="206"/>
      <c r="KKT32" s="206"/>
      <c r="KKU32" s="206"/>
      <c r="KKV32" s="206"/>
      <c r="KKW32" s="206"/>
      <c r="KKX32" s="206"/>
      <c r="KKY32" s="206"/>
      <c r="KKZ32" s="206"/>
      <c r="KLA32" s="206"/>
      <c r="KLB32" s="206"/>
      <c r="KLC32" s="206"/>
      <c r="KLD32" s="206"/>
      <c r="KLE32" s="206"/>
      <c r="KLF32" s="206"/>
      <c r="KLG32" s="206"/>
      <c r="KLH32" s="206"/>
      <c r="KLI32" s="206"/>
      <c r="KLJ32" s="206"/>
      <c r="KLK32" s="206"/>
      <c r="KLL32" s="206"/>
      <c r="KLM32" s="206"/>
      <c r="KLN32" s="206"/>
      <c r="KLO32" s="206"/>
      <c r="KLP32" s="206"/>
      <c r="KLQ32" s="206"/>
      <c r="KLR32" s="206"/>
      <c r="KLS32" s="206"/>
      <c r="KLT32" s="206"/>
      <c r="KLU32" s="206"/>
      <c r="KLV32" s="206"/>
      <c r="KLW32" s="206"/>
      <c r="KLX32" s="206"/>
      <c r="KLY32" s="206"/>
      <c r="KLZ32" s="206"/>
      <c r="KMA32" s="206"/>
      <c r="KMB32" s="206"/>
      <c r="KMC32" s="206"/>
      <c r="KMD32" s="206"/>
      <c r="KME32" s="206"/>
      <c r="KMF32" s="206"/>
      <c r="KMG32" s="206"/>
      <c r="KMH32" s="206"/>
      <c r="KMI32" s="206"/>
      <c r="KMJ32" s="206"/>
      <c r="KMK32" s="206"/>
      <c r="KML32" s="206"/>
      <c r="KMM32" s="206"/>
      <c r="KMN32" s="206"/>
      <c r="KMO32" s="206"/>
      <c r="KMP32" s="206"/>
      <c r="KMQ32" s="206"/>
      <c r="KMR32" s="206"/>
      <c r="KMS32" s="206"/>
      <c r="KMT32" s="206"/>
      <c r="KMU32" s="206"/>
      <c r="KMV32" s="206"/>
      <c r="KMW32" s="206"/>
      <c r="KMX32" s="206"/>
      <c r="KMY32" s="206"/>
      <c r="KMZ32" s="206"/>
      <c r="KNA32" s="206"/>
      <c r="KNB32" s="206"/>
      <c r="KNC32" s="206"/>
      <c r="KND32" s="206"/>
      <c r="KNE32" s="206"/>
      <c r="KNF32" s="206"/>
      <c r="KNG32" s="206"/>
      <c r="KNH32" s="206"/>
      <c r="KNI32" s="206"/>
      <c r="KNJ32" s="206"/>
      <c r="KNK32" s="206"/>
      <c r="KNL32" s="206"/>
      <c r="KNM32" s="206"/>
      <c r="KNN32" s="206"/>
      <c r="KNO32" s="206"/>
      <c r="KNP32" s="206"/>
      <c r="KNQ32" s="206"/>
      <c r="KNR32" s="206"/>
      <c r="KNS32" s="206"/>
      <c r="KNT32" s="206"/>
      <c r="KNU32" s="206"/>
      <c r="KNV32" s="206"/>
      <c r="KNW32" s="206"/>
      <c r="KNX32" s="206"/>
      <c r="KNY32" s="206"/>
      <c r="KNZ32" s="206"/>
      <c r="KOA32" s="206"/>
      <c r="KOB32" s="206"/>
      <c r="KOC32" s="206"/>
      <c r="KOD32" s="206"/>
      <c r="KOE32" s="206"/>
      <c r="KOF32" s="206"/>
      <c r="KOG32" s="206"/>
      <c r="KOH32" s="206"/>
      <c r="KOI32" s="206"/>
      <c r="KOJ32" s="206"/>
      <c r="KOK32" s="206"/>
      <c r="KOL32" s="206"/>
      <c r="KOM32" s="206"/>
      <c r="KON32" s="206"/>
      <c r="KOO32" s="206"/>
      <c r="KOP32" s="206"/>
      <c r="KOQ32" s="206"/>
      <c r="KOR32" s="206"/>
      <c r="KOS32" s="206"/>
      <c r="KOT32" s="206"/>
      <c r="KOU32" s="206"/>
      <c r="KOV32" s="206"/>
      <c r="KOW32" s="206"/>
      <c r="KOX32" s="206"/>
      <c r="KOY32" s="206"/>
      <c r="KOZ32" s="206"/>
      <c r="KPA32" s="206"/>
      <c r="KPB32" s="206"/>
      <c r="KPC32" s="206"/>
      <c r="KPD32" s="206"/>
      <c r="KPE32" s="206"/>
      <c r="KPF32" s="206"/>
      <c r="KPG32" s="206"/>
      <c r="KPH32" s="206"/>
      <c r="KPI32" s="206"/>
      <c r="KPJ32" s="206"/>
      <c r="KPK32" s="206"/>
      <c r="KPL32" s="206"/>
      <c r="KPM32" s="206"/>
      <c r="KPN32" s="206"/>
      <c r="KPO32" s="206"/>
      <c r="KPP32" s="206"/>
      <c r="KPQ32" s="206"/>
      <c r="KPR32" s="206"/>
      <c r="KPS32" s="206"/>
      <c r="KPT32" s="206"/>
      <c r="KPU32" s="206"/>
      <c r="KPV32" s="206"/>
      <c r="KPW32" s="206"/>
      <c r="KPX32" s="206"/>
      <c r="KPY32" s="206"/>
      <c r="KPZ32" s="206"/>
      <c r="KQA32" s="206"/>
      <c r="KQB32" s="206"/>
      <c r="KQC32" s="206"/>
      <c r="KQD32" s="206"/>
      <c r="KQE32" s="206"/>
      <c r="KQF32" s="206"/>
      <c r="KQG32" s="206"/>
      <c r="KQH32" s="206"/>
      <c r="KQI32" s="206"/>
      <c r="KQJ32" s="206"/>
      <c r="KQK32" s="206"/>
      <c r="KQL32" s="206"/>
      <c r="KQM32" s="206"/>
      <c r="KQN32" s="206"/>
      <c r="KQO32" s="206"/>
      <c r="KQP32" s="206"/>
      <c r="KQQ32" s="206"/>
      <c r="KQR32" s="206"/>
      <c r="KQS32" s="206"/>
      <c r="KQT32" s="206"/>
      <c r="KQU32" s="206"/>
      <c r="KQV32" s="206"/>
      <c r="KQW32" s="206"/>
      <c r="KQX32" s="206"/>
      <c r="KQY32" s="206"/>
      <c r="KQZ32" s="206"/>
      <c r="KRA32" s="206"/>
      <c r="KRB32" s="206"/>
      <c r="KRC32" s="206"/>
      <c r="KRD32" s="206"/>
      <c r="KRE32" s="206"/>
      <c r="KRF32" s="206"/>
      <c r="KRG32" s="206"/>
      <c r="KRH32" s="206"/>
      <c r="KRI32" s="206"/>
      <c r="KRJ32" s="206"/>
      <c r="KRK32" s="206"/>
      <c r="KRL32" s="206"/>
      <c r="KRM32" s="206"/>
      <c r="KRN32" s="206"/>
      <c r="KRO32" s="206"/>
      <c r="KRP32" s="206"/>
      <c r="KRQ32" s="206"/>
      <c r="KRR32" s="206"/>
      <c r="KRS32" s="206"/>
      <c r="KRT32" s="206"/>
      <c r="KRU32" s="206"/>
      <c r="KRV32" s="206"/>
      <c r="KRW32" s="206"/>
      <c r="KRX32" s="206"/>
      <c r="KRY32" s="206"/>
      <c r="KRZ32" s="206"/>
      <c r="KSA32" s="206"/>
      <c r="KSB32" s="206"/>
      <c r="KSC32" s="206"/>
      <c r="KSD32" s="206"/>
      <c r="KSE32" s="206"/>
      <c r="KSF32" s="206"/>
      <c r="KSG32" s="206"/>
      <c r="KSH32" s="206"/>
      <c r="KSI32" s="206"/>
      <c r="KSJ32" s="206"/>
      <c r="KSK32" s="206"/>
      <c r="KSL32" s="206"/>
      <c r="KSM32" s="206"/>
      <c r="KSN32" s="206"/>
      <c r="KSO32" s="206"/>
      <c r="KSP32" s="206"/>
      <c r="KSQ32" s="206"/>
      <c r="KSR32" s="206"/>
      <c r="KSS32" s="206"/>
      <c r="KST32" s="206"/>
      <c r="KSU32" s="206"/>
      <c r="KSV32" s="206"/>
      <c r="KSW32" s="206"/>
      <c r="KSX32" s="206"/>
      <c r="KSY32" s="206"/>
      <c r="KSZ32" s="206"/>
      <c r="KTA32" s="206"/>
      <c r="KTB32" s="206"/>
      <c r="KTC32" s="206"/>
      <c r="KTD32" s="206"/>
      <c r="KTE32" s="206"/>
      <c r="KTF32" s="206"/>
      <c r="KTG32" s="206"/>
      <c r="KTH32" s="206"/>
      <c r="KTI32" s="206"/>
      <c r="KTJ32" s="206"/>
      <c r="KTK32" s="206"/>
      <c r="KTL32" s="206"/>
      <c r="KTM32" s="206"/>
      <c r="KTN32" s="206"/>
      <c r="KTO32" s="206"/>
      <c r="KTP32" s="206"/>
      <c r="KTQ32" s="206"/>
      <c r="KTR32" s="206"/>
      <c r="KTS32" s="206"/>
      <c r="KTT32" s="206"/>
      <c r="KTU32" s="206"/>
      <c r="KTV32" s="206"/>
      <c r="KTW32" s="206"/>
      <c r="KTX32" s="206"/>
      <c r="KTY32" s="206"/>
      <c r="KTZ32" s="206"/>
      <c r="KUA32" s="206"/>
      <c r="KUB32" s="206"/>
      <c r="KUC32" s="206"/>
      <c r="KUD32" s="206"/>
      <c r="KUE32" s="206"/>
      <c r="KUF32" s="206"/>
      <c r="KUG32" s="206"/>
      <c r="KUH32" s="206"/>
      <c r="KUI32" s="206"/>
      <c r="KUJ32" s="206"/>
      <c r="KUK32" s="206"/>
      <c r="KUL32" s="206"/>
      <c r="KUM32" s="206"/>
      <c r="KUN32" s="206"/>
      <c r="KUO32" s="206"/>
      <c r="KUP32" s="206"/>
      <c r="KUQ32" s="206"/>
      <c r="KUR32" s="206"/>
      <c r="KUS32" s="206"/>
      <c r="KUT32" s="206"/>
      <c r="KUU32" s="206"/>
      <c r="KUV32" s="206"/>
      <c r="KUW32" s="206"/>
      <c r="KUX32" s="206"/>
      <c r="KUY32" s="206"/>
      <c r="KUZ32" s="206"/>
      <c r="KVA32" s="206"/>
      <c r="KVB32" s="206"/>
      <c r="KVC32" s="206"/>
      <c r="KVD32" s="206"/>
      <c r="KVE32" s="206"/>
      <c r="KVF32" s="206"/>
      <c r="KVG32" s="206"/>
      <c r="KVH32" s="206"/>
      <c r="KVI32" s="206"/>
      <c r="KVJ32" s="206"/>
      <c r="KVK32" s="206"/>
      <c r="KVL32" s="206"/>
      <c r="KVM32" s="206"/>
      <c r="KVN32" s="206"/>
      <c r="KVO32" s="206"/>
      <c r="KVP32" s="206"/>
      <c r="KVQ32" s="206"/>
      <c r="KVR32" s="206"/>
      <c r="KVS32" s="206"/>
      <c r="KVT32" s="206"/>
      <c r="KVU32" s="206"/>
      <c r="KVV32" s="206"/>
      <c r="KVW32" s="206"/>
      <c r="KVX32" s="206"/>
      <c r="KVY32" s="206"/>
      <c r="KVZ32" s="206"/>
      <c r="KWA32" s="206"/>
      <c r="KWB32" s="206"/>
      <c r="KWC32" s="206"/>
      <c r="KWD32" s="206"/>
      <c r="KWE32" s="206"/>
      <c r="KWF32" s="206"/>
      <c r="KWG32" s="206"/>
      <c r="KWH32" s="206"/>
      <c r="KWI32" s="206"/>
      <c r="KWJ32" s="206"/>
      <c r="KWK32" s="206"/>
      <c r="KWL32" s="206"/>
      <c r="KWM32" s="206"/>
      <c r="KWN32" s="206"/>
      <c r="KWO32" s="206"/>
      <c r="KWP32" s="206"/>
      <c r="KWQ32" s="206"/>
      <c r="KWR32" s="206"/>
      <c r="KWS32" s="206"/>
      <c r="KWT32" s="206"/>
      <c r="KWU32" s="206"/>
      <c r="KWV32" s="206"/>
      <c r="KWW32" s="206"/>
      <c r="KWX32" s="206"/>
      <c r="KWY32" s="206"/>
      <c r="KWZ32" s="206"/>
      <c r="KXA32" s="206"/>
      <c r="KXB32" s="206"/>
      <c r="KXC32" s="206"/>
      <c r="KXD32" s="206"/>
      <c r="KXE32" s="206"/>
      <c r="KXF32" s="206"/>
      <c r="KXG32" s="206"/>
      <c r="KXH32" s="206"/>
      <c r="KXI32" s="206"/>
      <c r="KXJ32" s="206"/>
      <c r="KXK32" s="206"/>
      <c r="KXL32" s="206"/>
      <c r="KXM32" s="206"/>
      <c r="KXN32" s="206"/>
      <c r="KXO32" s="206"/>
      <c r="KXP32" s="206"/>
      <c r="KXQ32" s="206"/>
      <c r="KXR32" s="206"/>
      <c r="KXS32" s="206"/>
      <c r="KXT32" s="206"/>
      <c r="KXU32" s="206"/>
      <c r="KXV32" s="206"/>
      <c r="KXW32" s="206"/>
      <c r="KXX32" s="206"/>
      <c r="KXY32" s="206"/>
      <c r="KXZ32" s="206"/>
      <c r="KYA32" s="206"/>
      <c r="KYB32" s="206"/>
      <c r="KYC32" s="206"/>
      <c r="KYD32" s="206"/>
      <c r="KYE32" s="206"/>
      <c r="KYF32" s="206"/>
      <c r="KYG32" s="206"/>
      <c r="KYH32" s="206"/>
      <c r="KYI32" s="206"/>
      <c r="KYJ32" s="206"/>
      <c r="KYK32" s="206"/>
      <c r="KYL32" s="206"/>
      <c r="KYM32" s="206"/>
      <c r="KYN32" s="206"/>
      <c r="KYO32" s="206"/>
      <c r="KYP32" s="206"/>
      <c r="KYQ32" s="206"/>
      <c r="KYR32" s="206"/>
      <c r="KYS32" s="206"/>
      <c r="KYT32" s="206"/>
      <c r="KYU32" s="206"/>
      <c r="KYV32" s="206"/>
      <c r="KYW32" s="206"/>
      <c r="KYX32" s="206"/>
      <c r="KYY32" s="206"/>
      <c r="KYZ32" s="206"/>
      <c r="KZA32" s="206"/>
      <c r="KZB32" s="206"/>
      <c r="KZC32" s="206"/>
      <c r="KZD32" s="206"/>
      <c r="KZE32" s="206"/>
      <c r="KZF32" s="206"/>
      <c r="KZG32" s="206"/>
      <c r="KZH32" s="206"/>
      <c r="KZI32" s="206"/>
      <c r="KZJ32" s="206"/>
      <c r="KZK32" s="206"/>
      <c r="KZL32" s="206"/>
      <c r="KZM32" s="206"/>
      <c r="KZN32" s="206"/>
      <c r="KZO32" s="206"/>
      <c r="KZP32" s="206"/>
      <c r="KZQ32" s="206"/>
      <c r="KZR32" s="206"/>
      <c r="KZS32" s="206"/>
      <c r="KZT32" s="206"/>
      <c r="KZU32" s="206"/>
      <c r="KZV32" s="206"/>
      <c r="KZW32" s="206"/>
      <c r="KZX32" s="206"/>
      <c r="KZY32" s="206"/>
      <c r="KZZ32" s="206"/>
      <c r="LAA32" s="206"/>
      <c r="LAB32" s="206"/>
      <c r="LAC32" s="206"/>
      <c r="LAD32" s="206"/>
      <c r="LAE32" s="206"/>
      <c r="LAF32" s="206"/>
      <c r="LAG32" s="206"/>
      <c r="LAH32" s="206"/>
      <c r="LAI32" s="206"/>
      <c r="LAJ32" s="206"/>
      <c r="LAK32" s="206"/>
      <c r="LAL32" s="206"/>
      <c r="LAM32" s="206"/>
      <c r="LAN32" s="206"/>
      <c r="LAO32" s="206"/>
      <c r="LAP32" s="206"/>
      <c r="LAQ32" s="206"/>
      <c r="LAR32" s="206"/>
      <c r="LAS32" s="206"/>
      <c r="LAT32" s="206"/>
      <c r="LAU32" s="206"/>
      <c r="LAV32" s="206"/>
      <c r="LAW32" s="206"/>
      <c r="LAX32" s="206"/>
      <c r="LAY32" s="206"/>
      <c r="LAZ32" s="206"/>
      <c r="LBA32" s="206"/>
      <c r="LBB32" s="206"/>
      <c r="LBC32" s="206"/>
      <c r="LBD32" s="206"/>
      <c r="LBE32" s="206"/>
      <c r="LBF32" s="206"/>
      <c r="LBG32" s="206"/>
      <c r="LBH32" s="206"/>
      <c r="LBI32" s="206"/>
      <c r="LBJ32" s="206"/>
      <c r="LBK32" s="206"/>
      <c r="LBL32" s="206"/>
      <c r="LBM32" s="206"/>
      <c r="LBN32" s="206"/>
      <c r="LBO32" s="206"/>
      <c r="LBP32" s="206"/>
      <c r="LBQ32" s="206"/>
      <c r="LBR32" s="206"/>
      <c r="LBS32" s="206"/>
      <c r="LBT32" s="206"/>
      <c r="LBU32" s="206"/>
      <c r="LBV32" s="206"/>
      <c r="LBW32" s="206"/>
      <c r="LBX32" s="206"/>
      <c r="LBY32" s="206"/>
      <c r="LBZ32" s="206"/>
      <c r="LCA32" s="206"/>
      <c r="LCB32" s="206"/>
      <c r="LCC32" s="206"/>
      <c r="LCD32" s="206"/>
      <c r="LCE32" s="206"/>
      <c r="LCF32" s="206"/>
      <c r="LCG32" s="206"/>
      <c r="LCH32" s="206"/>
      <c r="LCI32" s="206"/>
      <c r="LCJ32" s="206"/>
      <c r="LCK32" s="206"/>
      <c r="LCL32" s="206"/>
      <c r="LCM32" s="206"/>
      <c r="LCN32" s="206"/>
      <c r="LCO32" s="206"/>
      <c r="LCP32" s="206"/>
      <c r="LCQ32" s="206"/>
      <c r="LCR32" s="206"/>
      <c r="LCS32" s="206"/>
      <c r="LCT32" s="206"/>
      <c r="LCU32" s="206"/>
      <c r="LCV32" s="206"/>
      <c r="LCW32" s="206"/>
      <c r="LCX32" s="206"/>
      <c r="LCY32" s="206"/>
      <c r="LCZ32" s="206"/>
      <c r="LDA32" s="206"/>
      <c r="LDB32" s="206"/>
      <c r="LDC32" s="206"/>
      <c r="LDD32" s="206"/>
      <c r="LDE32" s="206"/>
      <c r="LDF32" s="206"/>
      <c r="LDG32" s="206"/>
      <c r="LDH32" s="206"/>
      <c r="LDI32" s="206"/>
      <c r="LDJ32" s="206"/>
      <c r="LDK32" s="206"/>
      <c r="LDL32" s="206"/>
      <c r="LDM32" s="206"/>
      <c r="LDN32" s="206"/>
      <c r="LDO32" s="206"/>
      <c r="LDP32" s="206"/>
      <c r="LDQ32" s="206"/>
      <c r="LDR32" s="206"/>
      <c r="LDS32" s="206"/>
      <c r="LDT32" s="206"/>
      <c r="LDU32" s="206"/>
      <c r="LDV32" s="206"/>
      <c r="LDW32" s="206"/>
      <c r="LDX32" s="206"/>
      <c r="LDY32" s="206"/>
      <c r="LDZ32" s="206"/>
      <c r="LEA32" s="206"/>
      <c r="LEB32" s="206"/>
      <c r="LEC32" s="206"/>
      <c r="LED32" s="206"/>
      <c r="LEE32" s="206"/>
      <c r="LEF32" s="206"/>
      <c r="LEG32" s="206"/>
      <c r="LEH32" s="206"/>
      <c r="LEI32" s="206"/>
      <c r="LEJ32" s="206"/>
      <c r="LEK32" s="206"/>
      <c r="LEL32" s="206"/>
      <c r="LEM32" s="206"/>
      <c r="LEN32" s="206"/>
      <c r="LEO32" s="206"/>
      <c r="LEP32" s="206"/>
      <c r="LEQ32" s="206"/>
      <c r="LER32" s="206"/>
      <c r="LES32" s="206"/>
      <c r="LET32" s="206"/>
      <c r="LEU32" s="206"/>
      <c r="LEV32" s="206"/>
      <c r="LEW32" s="206"/>
      <c r="LEX32" s="206"/>
      <c r="LEY32" s="206"/>
      <c r="LEZ32" s="206"/>
      <c r="LFA32" s="206"/>
      <c r="LFB32" s="206"/>
      <c r="LFC32" s="206"/>
      <c r="LFD32" s="206"/>
      <c r="LFE32" s="206"/>
      <c r="LFF32" s="206"/>
      <c r="LFG32" s="206"/>
      <c r="LFH32" s="206"/>
      <c r="LFI32" s="206"/>
      <c r="LFJ32" s="206"/>
      <c r="LFK32" s="206"/>
      <c r="LFL32" s="206"/>
      <c r="LFM32" s="206"/>
      <c r="LFN32" s="206"/>
      <c r="LFO32" s="206"/>
      <c r="LFP32" s="206"/>
      <c r="LFQ32" s="206"/>
      <c r="LFR32" s="206"/>
      <c r="LFS32" s="206"/>
      <c r="LFT32" s="206"/>
      <c r="LFU32" s="206"/>
      <c r="LFV32" s="206"/>
      <c r="LFW32" s="206"/>
      <c r="LFX32" s="206"/>
      <c r="LFY32" s="206"/>
      <c r="LFZ32" s="206"/>
      <c r="LGA32" s="206"/>
      <c r="LGB32" s="206"/>
      <c r="LGC32" s="206"/>
      <c r="LGD32" s="206"/>
      <c r="LGE32" s="206"/>
      <c r="LGF32" s="206"/>
      <c r="LGG32" s="206"/>
      <c r="LGH32" s="206"/>
      <c r="LGI32" s="206"/>
      <c r="LGJ32" s="206"/>
      <c r="LGK32" s="206"/>
      <c r="LGL32" s="206"/>
      <c r="LGM32" s="206"/>
      <c r="LGN32" s="206"/>
      <c r="LGO32" s="206"/>
      <c r="LGP32" s="206"/>
      <c r="LGQ32" s="206"/>
      <c r="LGR32" s="206"/>
      <c r="LGS32" s="206"/>
      <c r="LGT32" s="206"/>
      <c r="LGU32" s="206"/>
      <c r="LGV32" s="206"/>
      <c r="LGW32" s="206"/>
      <c r="LGX32" s="206"/>
      <c r="LGY32" s="206"/>
      <c r="LGZ32" s="206"/>
      <c r="LHA32" s="206"/>
      <c r="LHB32" s="206"/>
      <c r="LHC32" s="206"/>
      <c r="LHD32" s="206"/>
      <c r="LHE32" s="206"/>
      <c r="LHF32" s="206"/>
      <c r="LHG32" s="206"/>
      <c r="LHH32" s="206"/>
      <c r="LHI32" s="206"/>
      <c r="LHJ32" s="206"/>
      <c r="LHK32" s="206"/>
      <c r="LHL32" s="206"/>
      <c r="LHM32" s="206"/>
      <c r="LHN32" s="206"/>
      <c r="LHO32" s="206"/>
      <c r="LHP32" s="206"/>
      <c r="LHQ32" s="206"/>
      <c r="LHR32" s="206"/>
      <c r="LHS32" s="206"/>
      <c r="LHT32" s="206"/>
      <c r="LHU32" s="206"/>
      <c r="LHV32" s="206"/>
      <c r="LHW32" s="206"/>
      <c r="LHX32" s="206"/>
      <c r="LHY32" s="206"/>
      <c r="LHZ32" s="206"/>
      <c r="LIA32" s="206"/>
      <c r="LIB32" s="206"/>
      <c r="LIC32" s="206"/>
      <c r="LID32" s="206"/>
      <c r="LIE32" s="206"/>
      <c r="LIF32" s="206"/>
      <c r="LIG32" s="206"/>
      <c r="LIH32" s="206"/>
      <c r="LII32" s="206"/>
      <c r="LIJ32" s="206"/>
      <c r="LIK32" s="206"/>
      <c r="LIL32" s="206"/>
      <c r="LIM32" s="206"/>
      <c r="LIN32" s="206"/>
      <c r="LIO32" s="206"/>
      <c r="LIP32" s="206"/>
      <c r="LIQ32" s="206"/>
      <c r="LIR32" s="206"/>
      <c r="LIS32" s="206"/>
      <c r="LIT32" s="206"/>
      <c r="LIU32" s="206"/>
      <c r="LIV32" s="206"/>
      <c r="LIW32" s="206"/>
      <c r="LIX32" s="206"/>
      <c r="LIY32" s="206"/>
      <c r="LIZ32" s="206"/>
      <c r="LJA32" s="206"/>
      <c r="LJB32" s="206"/>
      <c r="LJC32" s="206"/>
      <c r="LJD32" s="206"/>
      <c r="LJE32" s="206"/>
      <c r="LJF32" s="206"/>
      <c r="LJG32" s="206"/>
      <c r="LJH32" s="206"/>
      <c r="LJI32" s="206"/>
      <c r="LJJ32" s="206"/>
      <c r="LJK32" s="206"/>
      <c r="LJL32" s="206"/>
      <c r="LJM32" s="206"/>
      <c r="LJN32" s="206"/>
      <c r="LJO32" s="206"/>
      <c r="LJP32" s="206"/>
      <c r="LJQ32" s="206"/>
      <c r="LJR32" s="206"/>
      <c r="LJS32" s="206"/>
      <c r="LJT32" s="206"/>
      <c r="LJU32" s="206"/>
      <c r="LJV32" s="206"/>
      <c r="LJW32" s="206"/>
      <c r="LJX32" s="206"/>
      <c r="LJY32" s="206"/>
      <c r="LJZ32" s="206"/>
      <c r="LKA32" s="206"/>
      <c r="LKB32" s="206"/>
      <c r="LKC32" s="206"/>
      <c r="LKD32" s="206"/>
      <c r="LKE32" s="206"/>
      <c r="LKF32" s="206"/>
      <c r="LKG32" s="206"/>
      <c r="LKH32" s="206"/>
      <c r="LKI32" s="206"/>
      <c r="LKJ32" s="206"/>
      <c r="LKK32" s="206"/>
      <c r="LKL32" s="206"/>
      <c r="LKM32" s="206"/>
      <c r="LKN32" s="206"/>
      <c r="LKO32" s="206"/>
      <c r="LKP32" s="206"/>
      <c r="LKQ32" s="206"/>
      <c r="LKR32" s="206"/>
      <c r="LKS32" s="206"/>
      <c r="LKT32" s="206"/>
      <c r="LKU32" s="206"/>
      <c r="LKV32" s="206"/>
      <c r="LKW32" s="206"/>
      <c r="LKX32" s="206"/>
      <c r="LKY32" s="206"/>
      <c r="LKZ32" s="206"/>
      <c r="LLA32" s="206"/>
      <c r="LLB32" s="206"/>
      <c r="LLC32" s="206"/>
      <c r="LLD32" s="206"/>
      <c r="LLE32" s="206"/>
      <c r="LLF32" s="206"/>
      <c r="LLG32" s="206"/>
      <c r="LLH32" s="206"/>
      <c r="LLI32" s="206"/>
      <c r="LLJ32" s="206"/>
      <c r="LLK32" s="206"/>
      <c r="LLL32" s="206"/>
      <c r="LLM32" s="206"/>
      <c r="LLN32" s="206"/>
      <c r="LLO32" s="206"/>
      <c r="LLP32" s="206"/>
      <c r="LLQ32" s="206"/>
      <c r="LLR32" s="206"/>
      <c r="LLS32" s="206"/>
      <c r="LLT32" s="206"/>
      <c r="LLU32" s="206"/>
      <c r="LLV32" s="206"/>
      <c r="LLW32" s="206"/>
      <c r="LLX32" s="206"/>
      <c r="LLY32" s="206"/>
      <c r="LLZ32" s="206"/>
      <c r="LMA32" s="206"/>
      <c r="LMB32" s="206"/>
      <c r="LMC32" s="206"/>
      <c r="LMD32" s="206"/>
      <c r="LME32" s="206"/>
      <c r="LMF32" s="206"/>
      <c r="LMG32" s="206"/>
      <c r="LMH32" s="206"/>
      <c r="LMI32" s="206"/>
      <c r="LMJ32" s="206"/>
      <c r="LMK32" s="206"/>
      <c r="LML32" s="206"/>
      <c r="LMM32" s="206"/>
      <c r="LMN32" s="206"/>
      <c r="LMO32" s="206"/>
      <c r="LMP32" s="206"/>
      <c r="LMQ32" s="206"/>
      <c r="LMR32" s="206"/>
      <c r="LMS32" s="206"/>
      <c r="LMT32" s="206"/>
      <c r="LMU32" s="206"/>
      <c r="LMV32" s="206"/>
      <c r="LMW32" s="206"/>
      <c r="LMX32" s="206"/>
      <c r="LMY32" s="206"/>
      <c r="LMZ32" s="206"/>
      <c r="LNA32" s="206"/>
      <c r="LNB32" s="206"/>
      <c r="LNC32" s="206"/>
      <c r="LND32" s="206"/>
      <c r="LNE32" s="206"/>
      <c r="LNF32" s="206"/>
      <c r="LNG32" s="206"/>
      <c r="LNH32" s="206"/>
      <c r="LNI32" s="206"/>
      <c r="LNJ32" s="206"/>
      <c r="LNK32" s="206"/>
      <c r="LNL32" s="206"/>
      <c r="LNM32" s="206"/>
      <c r="LNN32" s="206"/>
      <c r="LNO32" s="206"/>
      <c r="LNP32" s="206"/>
      <c r="LNQ32" s="206"/>
      <c r="LNR32" s="206"/>
      <c r="LNS32" s="206"/>
      <c r="LNT32" s="206"/>
      <c r="LNU32" s="206"/>
      <c r="LNV32" s="206"/>
      <c r="LNW32" s="206"/>
      <c r="LNX32" s="206"/>
      <c r="LNY32" s="206"/>
      <c r="LNZ32" s="206"/>
      <c r="LOA32" s="206"/>
      <c r="LOB32" s="206"/>
      <c r="LOC32" s="206"/>
      <c r="LOD32" s="206"/>
      <c r="LOE32" s="206"/>
      <c r="LOF32" s="206"/>
      <c r="LOG32" s="206"/>
      <c r="LOH32" s="206"/>
      <c r="LOI32" s="206"/>
      <c r="LOJ32" s="206"/>
      <c r="LOK32" s="206"/>
      <c r="LOL32" s="206"/>
      <c r="LOM32" s="206"/>
      <c r="LON32" s="206"/>
      <c r="LOO32" s="206"/>
      <c r="LOP32" s="206"/>
      <c r="LOQ32" s="206"/>
      <c r="LOR32" s="206"/>
      <c r="LOS32" s="206"/>
      <c r="LOT32" s="206"/>
      <c r="LOU32" s="206"/>
      <c r="LOV32" s="206"/>
      <c r="LOW32" s="206"/>
      <c r="LOX32" s="206"/>
      <c r="LOY32" s="206"/>
      <c r="LOZ32" s="206"/>
      <c r="LPA32" s="206"/>
      <c r="LPB32" s="206"/>
      <c r="LPC32" s="206"/>
      <c r="LPD32" s="206"/>
      <c r="LPE32" s="206"/>
      <c r="LPF32" s="206"/>
      <c r="LPG32" s="206"/>
      <c r="LPH32" s="206"/>
      <c r="LPI32" s="206"/>
      <c r="LPJ32" s="206"/>
      <c r="LPK32" s="206"/>
      <c r="LPL32" s="206"/>
      <c r="LPM32" s="206"/>
      <c r="LPN32" s="206"/>
      <c r="LPO32" s="206"/>
      <c r="LPP32" s="206"/>
      <c r="LPQ32" s="206"/>
      <c r="LPR32" s="206"/>
      <c r="LPS32" s="206"/>
      <c r="LPT32" s="206"/>
      <c r="LPU32" s="206"/>
      <c r="LPV32" s="206"/>
      <c r="LPW32" s="206"/>
      <c r="LPX32" s="206"/>
      <c r="LPY32" s="206"/>
      <c r="LPZ32" s="206"/>
      <c r="LQA32" s="206"/>
      <c r="LQB32" s="206"/>
      <c r="LQC32" s="206"/>
      <c r="LQD32" s="206"/>
      <c r="LQE32" s="206"/>
      <c r="LQF32" s="206"/>
      <c r="LQG32" s="206"/>
      <c r="LQH32" s="206"/>
      <c r="LQI32" s="206"/>
      <c r="LQJ32" s="206"/>
      <c r="LQK32" s="206"/>
      <c r="LQL32" s="206"/>
      <c r="LQM32" s="206"/>
      <c r="LQN32" s="206"/>
      <c r="LQO32" s="206"/>
      <c r="LQP32" s="206"/>
      <c r="LQQ32" s="206"/>
      <c r="LQR32" s="206"/>
      <c r="LQS32" s="206"/>
      <c r="LQT32" s="206"/>
      <c r="LQU32" s="206"/>
      <c r="LQV32" s="206"/>
      <c r="LQW32" s="206"/>
      <c r="LQX32" s="206"/>
      <c r="LQY32" s="206"/>
      <c r="LQZ32" s="206"/>
      <c r="LRA32" s="206"/>
      <c r="LRB32" s="206"/>
      <c r="LRC32" s="206"/>
      <c r="LRD32" s="206"/>
      <c r="LRE32" s="206"/>
      <c r="LRF32" s="206"/>
      <c r="LRG32" s="206"/>
      <c r="LRH32" s="206"/>
      <c r="LRI32" s="206"/>
      <c r="LRJ32" s="206"/>
      <c r="LRK32" s="206"/>
      <c r="LRL32" s="206"/>
      <c r="LRM32" s="206"/>
      <c r="LRN32" s="206"/>
      <c r="LRO32" s="206"/>
      <c r="LRP32" s="206"/>
      <c r="LRQ32" s="206"/>
      <c r="LRR32" s="206"/>
      <c r="LRS32" s="206"/>
      <c r="LRT32" s="206"/>
      <c r="LRU32" s="206"/>
      <c r="LRV32" s="206"/>
      <c r="LRW32" s="206"/>
      <c r="LRX32" s="206"/>
      <c r="LRY32" s="206"/>
      <c r="LRZ32" s="206"/>
      <c r="LSA32" s="206"/>
      <c r="LSB32" s="206"/>
      <c r="LSC32" s="206"/>
      <c r="LSD32" s="206"/>
      <c r="LSE32" s="206"/>
      <c r="LSF32" s="206"/>
      <c r="LSG32" s="206"/>
      <c r="LSH32" s="206"/>
      <c r="LSI32" s="206"/>
      <c r="LSJ32" s="206"/>
      <c r="LSK32" s="206"/>
      <c r="LSL32" s="206"/>
      <c r="LSM32" s="206"/>
      <c r="LSN32" s="206"/>
      <c r="LSO32" s="206"/>
      <c r="LSP32" s="206"/>
      <c r="LSQ32" s="206"/>
      <c r="LSR32" s="206"/>
      <c r="LSS32" s="206"/>
      <c r="LST32" s="206"/>
      <c r="LSU32" s="206"/>
      <c r="LSV32" s="206"/>
      <c r="LSW32" s="206"/>
      <c r="LSX32" s="206"/>
      <c r="LSY32" s="206"/>
      <c r="LSZ32" s="206"/>
      <c r="LTA32" s="206"/>
      <c r="LTB32" s="206"/>
      <c r="LTC32" s="206"/>
      <c r="LTD32" s="206"/>
      <c r="LTE32" s="206"/>
      <c r="LTF32" s="206"/>
      <c r="LTG32" s="206"/>
      <c r="LTH32" s="206"/>
      <c r="LTI32" s="206"/>
      <c r="LTJ32" s="206"/>
      <c r="LTK32" s="206"/>
      <c r="LTL32" s="206"/>
      <c r="LTM32" s="206"/>
      <c r="LTN32" s="206"/>
      <c r="LTO32" s="206"/>
      <c r="LTP32" s="206"/>
      <c r="LTQ32" s="206"/>
      <c r="LTR32" s="206"/>
      <c r="LTS32" s="206"/>
      <c r="LTT32" s="206"/>
      <c r="LTU32" s="206"/>
      <c r="LTV32" s="206"/>
      <c r="LTW32" s="206"/>
      <c r="LTX32" s="206"/>
      <c r="LTY32" s="206"/>
      <c r="LTZ32" s="206"/>
      <c r="LUA32" s="206"/>
      <c r="LUB32" s="206"/>
      <c r="LUC32" s="206"/>
      <c r="LUD32" s="206"/>
      <c r="LUE32" s="206"/>
      <c r="LUF32" s="206"/>
      <c r="LUG32" s="206"/>
      <c r="LUH32" s="206"/>
      <c r="LUI32" s="206"/>
      <c r="LUJ32" s="206"/>
      <c r="LUK32" s="206"/>
      <c r="LUL32" s="206"/>
      <c r="LUM32" s="206"/>
      <c r="LUN32" s="206"/>
      <c r="LUO32" s="206"/>
      <c r="LUP32" s="206"/>
      <c r="LUQ32" s="206"/>
      <c r="LUR32" s="206"/>
      <c r="LUS32" s="206"/>
      <c r="LUT32" s="206"/>
      <c r="LUU32" s="206"/>
      <c r="LUV32" s="206"/>
      <c r="LUW32" s="206"/>
      <c r="LUX32" s="206"/>
      <c r="LUY32" s="206"/>
      <c r="LUZ32" s="206"/>
      <c r="LVA32" s="206"/>
      <c r="LVB32" s="206"/>
      <c r="LVC32" s="206"/>
      <c r="LVD32" s="206"/>
      <c r="LVE32" s="206"/>
      <c r="LVF32" s="206"/>
      <c r="LVG32" s="206"/>
      <c r="LVH32" s="206"/>
      <c r="LVI32" s="206"/>
      <c r="LVJ32" s="206"/>
      <c r="LVK32" s="206"/>
      <c r="LVL32" s="206"/>
      <c r="LVM32" s="206"/>
      <c r="LVN32" s="206"/>
      <c r="LVO32" s="206"/>
      <c r="LVP32" s="206"/>
      <c r="LVQ32" s="206"/>
      <c r="LVR32" s="206"/>
      <c r="LVS32" s="206"/>
      <c r="LVT32" s="206"/>
      <c r="LVU32" s="206"/>
      <c r="LVV32" s="206"/>
      <c r="LVW32" s="206"/>
      <c r="LVX32" s="206"/>
      <c r="LVY32" s="206"/>
      <c r="LVZ32" s="206"/>
      <c r="LWA32" s="206"/>
      <c r="LWB32" s="206"/>
      <c r="LWC32" s="206"/>
      <c r="LWD32" s="206"/>
      <c r="LWE32" s="206"/>
      <c r="LWF32" s="206"/>
      <c r="LWG32" s="206"/>
      <c r="LWH32" s="206"/>
      <c r="LWI32" s="206"/>
      <c r="LWJ32" s="206"/>
      <c r="LWK32" s="206"/>
      <c r="LWL32" s="206"/>
      <c r="LWM32" s="206"/>
      <c r="LWN32" s="206"/>
      <c r="LWO32" s="206"/>
      <c r="LWP32" s="206"/>
      <c r="LWQ32" s="206"/>
      <c r="LWR32" s="206"/>
      <c r="LWS32" s="206"/>
      <c r="LWT32" s="206"/>
      <c r="LWU32" s="206"/>
      <c r="LWV32" s="206"/>
      <c r="LWW32" s="206"/>
      <c r="LWX32" s="206"/>
      <c r="LWY32" s="206"/>
      <c r="LWZ32" s="206"/>
      <c r="LXA32" s="206"/>
      <c r="LXB32" s="206"/>
      <c r="LXC32" s="206"/>
      <c r="LXD32" s="206"/>
      <c r="LXE32" s="206"/>
      <c r="LXF32" s="206"/>
      <c r="LXG32" s="206"/>
      <c r="LXH32" s="206"/>
      <c r="LXI32" s="206"/>
      <c r="LXJ32" s="206"/>
      <c r="LXK32" s="206"/>
      <c r="LXL32" s="206"/>
      <c r="LXM32" s="206"/>
      <c r="LXN32" s="206"/>
      <c r="LXO32" s="206"/>
      <c r="LXP32" s="206"/>
      <c r="LXQ32" s="206"/>
      <c r="LXR32" s="206"/>
      <c r="LXS32" s="206"/>
      <c r="LXT32" s="206"/>
      <c r="LXU32" s="206"/>
      <c r="LXV32" s="206"/>
      <c r="LXW32" s="206"/>
      <c r="LXX32" s="206"/>
      <c r="LXY32" s="206"/>
      <c r="LXZ32" s="206"/>
      <c r="LYA32" s="206"/>
      <c r="LYB32" s="206"/>
      <c r="LYC32" s="206"/>
      <c r="LYD32" s="206"/>
      <c r="LYE32" s="206"/>
      <c r="LYF32" s="206"/>
      <c r="LYG32" s="206"/>
      <c r="LYH32" s="206"/>
      <c r="LYI32" s="206"/>
      <c r="LYJ32" s="206"/>
      <c r="LYK32" s="206"/>
      <c r="LYL32" s="206"/>
      <c r="LYM32" s="206"/>
      <c r="LYN32" s="206"/>
      <c r="LYO32" s="206"/>
      <c r="LYP32" s="206"/>
      <c r="LYQ32" s="206"/>
      <c r="LYR32" s="206"/>
      <c r="LYS32" s="206"/>
      <c r="LYT32" s="206"/>
      <c r="LYU32" s="206"/>
      <c r="LYV32" s="206"/>
      <c r="LYW32" s="206"/>
      <c r="LYX32" s="206"/>
      <c r="LYY32" s="206"/>
      <c r="LYZ32" s="206"/>
      <c r="LZA32" s="206"/>
      <c r="LZB32" s="206"/>
      <c r="LZC32" s="206"/>
      <c r="LZD32" s="206"/>
      <c r="LZE32" s="206"/>
      <c r="LZF32" s="206"/>
      <c r="LZG32" s="206"/>
      <c r="LZH32" s="206"/>
      <c r="LZI32" s="206"/>
      <c r="LZJ32" s="206"/>
      <c r="LZK32" s="206"/>
      <c r="LZL32" s="206"/>
      <c r="LZM32" s="206"/>
      <c r="LZN32" s="206"/>
      <c r="LZO32" s="206"/>
      <c r="LZP32" s="206"/>
      <c r="LZQ32" s="206"/>
      <c r="LZR32" s="206"/>
      <c r="LZS32" s="206"/>
      <c r="LZT32" s="206"/>
      <c r="LZU32" s="206"/>
      <c r="LZV32" s="206"/>
      <c r="LZW32" s="206"/>
      <c r="LZX32" s="206"/>
      <c r="LZY32" s="206"/>
      <c r="LZZ32" s="206"/>
      <c r="MAA32" s="206"/>
      <c r="MAB32" s="206"/>
      <c r="MAC32" s="206"/>
      <c r="MAD32" s="206"/>
      <c r="MAE32" s="206"/>
      <c r="MAF32" s="206"/>
      <c r="MAG32" s="206"/>
      <c r="MAH32" s="206"/>
      <c r="MAI32" s="206"/>
      <c r="MAJ32" s="206"/>
      <c r="MAK32" s="206"/>
      <c r="MAL32" s="206"/>
      <c r="MAM32" s="206"/>
      <c r="MAN32" s="206"/>
      <c r="MAO32" s="206"/>
      <c r="MAP32" s="206"/>
      <c r="MAQ32" s="206"/>
      <c r="MAR32" s="206"/>
      <c r="MAS32" s="206"/>
      <c r="MAT32" s="206"/>
      <c r="MAU32" s="206"/>
      <c r="MAV32" s="206"/>
      <c r="MAW32" s="206"/>
      <c r="MAX32" s="206"/>
      <c r="MAY32" s="206"/>
      <c r="MAZ32" s="206"/>
      <c r="MBA32" s="206"/>
      <c r="MBB32" s="206"/>
      <c r="MBC32" s="206"/>
      <c r="MBD32" s="206"/>
      <c r="MBE32" s="206"/>
      <c r="MBF32" s="206"/>
      <c r="MBG32" s="206"/>
      <c r="MBH32" s="206"/>
      <c r="MBI32" s="206"/>
      <c r="MBJ32" s="206"/>
      <c r="MBK32" s="206"/>
      <c r="MBL32" s="206"/>
      <c r="MBM32" s="206"/>
      <c r="MBN32" s="206"/>
      <c r="MBO32" s="206"/>
      <c r="MBP32" s="206"/>
      <c r="MBQ32" s="206"/>
      <c r="MBR32" s="206"/>
      <c r="MBS32" s="206"/>
      <c r="MBT32" s="206"/>
      <c r="MBU32" s="206"/>
      <c r="MBV32" s="206"/>
      <c r="MBW32" s="206"/>
      <c r="MBX32" s="206"/>
      <c r="MBY32" s="206"/>
      <c r="MBZ32" s="206"/>
      <c r="MCA32" s="206"/>
      <c r="MCB32" s="206"/>
      <c r="MCC32" s="206"/>
      <c r="MCD32" s="206"/>
      <c r="MCE32" s="206"/>
      <c r="MCF32" s="206"/>
      <c r="MCG32" s="206"/>
      <c r="MCH32" s="206"/>
      <c r="MCI32" s="206"/>
      <c r="MCJ32" s="206"/>
      <c r="MCK32" s="206"/>
      <c r="MCL32" s="206"/>
      <c r="MCM32" s="206"/>
      <c r="MCN32" s="206"/>
      <c r="MCO32" s="206"/>
      <c r="MCP32" s="206"/>
      <c r="MCQ32" s="206"/>
      <c r="MCR32" s="206"/>
      <c r="MCS32" s="206"/>
      <c r="MCT32" s="206"/>
      <c r="MCU32" s="206"/>
      <c r="MCV32" s="206"/>
      <c r="MCW32" s="206"/>
      <c r="MCX32" s="206"/>
      <c r="MCY32" s="206"/>
      <c r="MCZ32" s="206"/>
      <c r="MDA32" s="206"/>
      <c r="MDB32" s="206"/>
      <c r="MDC32" s="206"/>
      <c r="MDD32" s="206"/>
      <c r="MDE32" s="206"/>
      <c r="MDF32" s="206"/>
      <c r="MDG32" s="206"/>
      <c r="MDH32" s="206"/>
      <c r="MDI32" s="206"/>
      <c r="MDJ32" s="206"/>
      <c r="MDK32" s="206"/>
      <c r="MDL32" s="206"/>
      <c r="MDM32" s="206"/>
      <c r="MDN32" s="206"/>
      <c r="MDO32" s="206"/>
      <c r="MDP32" s="206"/>
      <c r="MDQ32" s="206"/>
      <c r="MDR32" s="206"/>
      <c r="MDS32" s="206"/>
      <c r="MDT32" s="206"/>
      <c r="MDU32" s="206"/>
      <c r="MDV32" s="206"/>
      <c r="MDW32" s="206"/>
      <c r="MDX32" s="206"/>
      <c r="MDY32" s="206"/>
      <c r="MDZ32" s="206"/>
      <c r="MEA32" s="206"/>
      <c r="MEB32" s="206"/>
      <c r="MEC32" s="206"/>
      <c r="MED32" s="206"/>
      <c r="MEE32" s="206"/>
      <c r="MEF32" s="206"/>
      <c r="MEG32" s="206"/>
      <c r="MEH32" s="206"/>
      <c r="MEI32" s="206"/>
      <c r="MEJ32" s="206"/>
      <c r="MEK32" s="206"/>
      <c r="MEL32" s="206"/>
      <c r="MEM32" s="206"/>
      <c r="MEN32" s="206"/>
      <c r="MEO32" s="206"/>
      <c r="MEP32" s="206"/>
      <c r="MEQ32" s="206"/>
      <c r="MER32" s="206"/>
      <c r="MES32" s="206"/>
      <c r="MET32" s="206"/>
      <c r="MEU32" s="206"/>
      <c r="MEV32" s="206"/>
      <c r="MEW32" s="206"/>
      <c r="MEX32" s="206"/>
      <c r="MEY32" s="206"/>
      <c r="MEZ32" s="206"/>
      <c r="MFA32" s="206"/>
      <c r="MFB32" s="206"/>
      <c r="MFC32" s="206"/>
      <c r="MFD32" s="206"/>
      <c r="MFE32" s="206"/>
      <c r="MFF32" s="206"/>
      <c r="MFG32" s="206"/>
      <c r="MFH32" s="206"/>
      <c r="MFI32" s="206"/>
      <c r="MFJ32" s="206"/>
      <c r="MFK32" s="206"/>
      <c r="MFL32" s="206"/>
      <c r="MFM32" s="206"/>
      <c r="MFN32" s="206"/>
      <c r="MFO32" s="206"/>
      <c r="MFP32" s="206"/>
      <c r="MFQ32" s="206"/>
      <c r="MFR32" s="206"/>
      <c r="MFS32" s="206"/>
      <c r="MFT32" s="206"/>
      <c r="MFU32" s="206"/>
      <c r="MFV32" s="206"/>
      <c r="MFW32" s="206"/>
      <c r="MFX32" s="206"/>
      <c r="MFY32" s="206"/>
      <c r="MFZ32" s="206"/>
      <c r="MGA32" s="206"/>
      <c r="MGB32" s="206"/>
      <c r="MGC32" s="206"/>
      <c r="MGD32" s="206"/>
      <c r="MGE32" s="206"/>
      <c r="MGF32" s="206"/>
      <c r="MGG32" s="206"/>
      <c r="MGH32" s="206"/>
      <c r="MGI32" s="206"/>
      <c r="MGJ32" s="206"/>
      <c r="MGK32" s="206"/>
      <c r="MGL32" s="206"/>
      <c r="MGM32" s="206"/>
      <c r="MGN32" s="206"/>
      <c r="MGO32" s="206"/>
      <c r="MGP32" s="206"/>
      <c r="MGQ32" s="206"/>
      <c r="MGR32" s="206"/>
      <c r="MGS32" s="206"/>
      <c r="MGT32" s="206"/>
      <c r="MGU32" s="206"/>
      <c r="MGV32" s="206"/>
      <c r="MGW32" s="206"/>
      <c r="MGX32" s="206"/>
      <c r="MGY32" s="206"/>
      <c r="MGZ32" s="206"/>
      <c r="MHA32" s="206"/>
      <c r="MHB32" s="206"/>
      <c r="MHC32" s="206"/>
      <c r="MHD32" s="206"/>
      <c r="MHE32" s="206"/>
      <c r="MHF32" s="206"/>
      <c r="MHG32" s="206"/>
      <c r="MHH32" s="206"/>
      <c r="MHI32" s="206"/>
      <c r="MHJ32" s="206"/>
      <c r="MHK32" s="206"/>
      <c r="MHL32" s="206"/>
      <c r="MHM32" s="206"/>
      <c r="MHN32" s="206"/>
      <c r="MHO32" s="206"/>
      <c r="MHP32" s="206"/>
      <c r="MHQ32" s="206"/>
      <c r="MHR32" s="206"/>
      <c r="MHS32" s="206"/>
      <c r="MHT32" s="206"/>
      <c r="MHU32" s="206"/>
      <c r="MHV32" s="206"/>
      <c r="MHW32" s="206"/>
      <c r="MHX32" s="206"/>
      <c r="MHY32" s="206"/>
      <c r="MHZ32" s="206"/>
      <c r="MIA32" s="206"/>
      <c r="MIB32" s="206"/>
      <c r="MIC32" s="206"/>
      <c r="MID32" s="206"/>
      <c r="MIE32" s="206"/>
      <c r="MIF32" s="206"/>
      <c r="MIG32" s="206"/>
      <c r="MIH32" s="206"/>
      <c r="MII32" s="206"/>
      <c r="MIJ32" s="206"/>
      <c r="MIK32" s="206"/>
      <c r="MIL32" s="206"/>
      <c r="MIM32" s="206"/>
      <c r="MIN32" s="206"/>
      <c r="MIO32" s="206"/>
      <c r="MIP32" s="206"/>
      <c r="MIQ32" s="206"/>
      <c r="MIR32" s="206"/>
      <c r="MIS32" s="206"/>
      <c r="MIT32" s="206"/>
      <c r="MIU32" s="206"/>
      <c r="MIV32" s="206"/>
      <c r="MIW32" s="206"/>
      <c r="MIX32" s="206"/>
      <c r="MIY32" s="206"/>
      <c r="MIZ32" s="206"/>
      <c r="MJA32" s="206"/>
      <c r="MJB32" s="206"/>
      <c r="MJC32" s="206"/>
      <c r="MJD32" s="206"/>
      <c r="MJE32" s="206"/>
      <c r="MJF32" s="206"/>
      <c r="MJG32" s="206"/>
      <c r="MJH32" s="206"/>
      <c r="MJI32" s="206"/>
      <c r="MJJ32" s="206"/>
      <c r="MJK32" s="206"/>
      <c r="MJL32" s="206"/>
      <c r="MJM32" s="206"/>
      <c r="MJN32" s="206"/>
      <c r="MJO32" s="206"/>
      <c r="MJP32" s="206"/>
      <c r="MJQ32" s="206"/>
      <c r="MJR32" s="206"/>
      <c r="MJS32" s="206"/>
      <c r="MJT32" s="206"/>
      <c r="MJU32" s="206"/>
      <c r="MJV32" s="206"/>
      <c r="MJW32" s="206"/>
      <c r="MJX32" s="206"/>
      <c r="MJY32" s="206"/>
      <c r="MJZ32" s="206"/>
      <c r="MKA32" s="206"/>
      <c r="MKB32" s="206"/>
      <c r="MKC32" s="206"/>
      <c r="MKD32" s="206"/>
      <c r="MKE32" s="206"/>
      <c r="MKF32" s="206"/>
      <c r="MKG32" s="206"/>
      <c r="MKH32" s="206"/>
      <c r="MKI32" s="206"/>
      <c r="MKJ32" s="206"/>
      <c r="MKK32" s="206"/>
      <c r="MKL32" s="206"/>
      <c r="MKM32" s="206"/>
      <c r="MKN32" s="206"/>
      <c r="MKO32" s="206"/>
      <c r="MKP32" s="206"/>
      <c r="MKQ32" s="206"/>
      <c r="MKR32" s="206"/>
      <c r="MKS32" s="206"/>
      <c r="MKT32" s="206"/>
      <c r="MKU32" s="206"/>
      <c r="MKV32" s="206"/>
      <c r="MKW32" s="206"/>
      <c r="MKX32" s="206"/>
      <c r="MKY32" s="206"/>
      <c r="MKZ32" s="206"/>
      <c r="MLA32" s="206"/>
      <c r="MLB32" s="206"/>
      <c r="MLC32" s="206"/>
      <c r="MLD32" s="206"/>
      <c r="MLE32" s="206"/>
      <c r="MLF32" s="206"/>
      <c r="MLG32" s="206"/>
      <c r="MLH32" s="206"/>
      <c r="MLI32" s="206"/>
      <c r="MLJ32" s="206"/>
      <c r="MLK32" s="206"/>
      <c r="MLL32" s="206"/>
      <c r="MLM32" s="206"/>
      <c r="MLN32" s="206"/>
      <c r="MLO32" s="206"/>
      <c r="MLP32" s="206"/>
      <c r="MLQ32" s="206"/>
      <c r="MLR32" s="206"/>
      <c r="MLS32" s="206"/>
      <c r="MLT32" s="206"/>
      <c r="MLU32" s="206"/>
      <c r="MLV32" s="206"/>
      <c r="MLW32" s="206"/>
      <c r="MLX32" s="206"/>
      <c r="MLY32" s="206"/>
      <c r="MLZ32" s="206"/>
      <c r="MMA32" s="206"/>
      <c r="MMB32" s="206"/>
      <c r="MMC32" s="206"/>
      <c r="MMD32" s="206"/>
      <c r="MME32" s="206"/>
      <c r="MMF32" s="206"/>
      <c r="MMG32" s="206"/>
      <c r="MMH32" s="206"/>
      <c r="MMI32" s="206"/>
      <c r="MMJ32" s="206"/>
      <c r="MMK32" s="206"/>
      <c r="MML32" s="206"/>
      <c r="MMM32" s="206"/>
      <c r="MMN32" s="206"/>
      <c r="MMO32" s="206"/>
      <c r="MMP32" s="206"/>
      <c r="MMQ32" s="206"/>
      <c r="MMR32" s="206"/>
      <c r="MMS32" s="206"/>
      <c r="MMT32" s="206"/>
      <c r="MMU32" s="206"/>
      <c r="MMV32" s="206"/>
      <c r="MMW32" s="206"/>
      <c r="MMX32" s="206"/>
      <c r="MMY32" s="206"/>
      <c r="MMZ32" s="206"/>
      <c r="MNA32" s="206"/>
      <c r="MNB32" s="206"/>
      <c r="MNC32" s="206"/>
      <c r="MND32" s="206"/>
      <c r="MNE32" s="206"/>
      <c r="MNF32" s="206"/>
      <c r="MNG32" s="206"/>
      <c r="MNH32" s="206"/>
      <c r="MNI32" s="206"/>
      <c r="MNJ32" s="206"/>
      <c r="MNK32" s="206"/>
      <c r="MNL32" s="206"/>
      <c r="MNM32" s="206"/>
      <c r="MNN32" s="206"/>
      <c r="MNO32" s="206"/>
      <c r="MNP32" s="206"/>
      <c r="MNQ32" s="206"/>
      <c r="MNR32" s="206"/>
      <c r="MNS32" s="206"/>
      <c r="MNT32" s="206"/>
      <c r="MNU32" s="206"/>
      <c r="MNV32" s="206"/>
      <c r="MNW32" s="206"/>
      <c r="MNX32" s="206"/>
      <c r="MNY32" s="206"/>
      <c r="MNZ32" s="206"/>
      <c r="MOA32" s="206"/>
      <c r="MOB32" s="206"/>
      <c r="MOC32" s="206"/>
      <c r="MOD32" s="206"/>
      <c r="MOE32" s="206"/>
      <c r="MOF32" s="206"/>
      <c r="MOG32" s="206"/>
      <c r="MOH32" s="206"/>
      <c r="MOI32" s="206"/>
      <c r="MOJ32" s="206"/>
      <c r="MOK32" s="206"/>
      <c r="MOL32" s="206"/>
      <c r="MOM32" s="206"/>
      <c r="MON32" s="206"/>
      <c r="MOO32" s="206"/>
      <c r="MOP32" s="206"/>
      <c r="MOQ32" s="206"/>
      <c r="MOR32" s="206"/>
      <c r="MOS32" s="206"/>
      <c r="MOT32" s="206"/>
      <c r="MOU32" s="206"/>
      <c r="MOV32" s="206"/>
      <c r="MOW32" s="206"/>
      <c r="MOX32" s="206"/>
      <c r="MOY32" s="206"/>
      <c r="MOZ32" s="206"/>
      <c r="MPA32" s="206"/>
      <c r="MPB32" s="206"/>
      <c r="MPC32" s="206"/>
      <c r="MPD32" s="206"/>
      <c r="MPE32" s="206"/>
      <c r="MPF32" s="206"/>
      <c r="MPG32" s="206"/>
      <c r="MPH32" s="206"/>
      <c r="MPI32" s="206"/>
      <c r="MPJ32" s="206"/>
      <c r="MPK32" s="206"/>
      <c r="MPL32" s="206"/>
      <c r="MPM32" s="206"/>
      <c r="MPN32" s="206"/>
      <c r="MPO32" s="206"/>
      <c r="MPP32" s="206"/>
      <c r="MPQ32" s="206"/>
      <c r="MPR32" s="206"/>
      <c r="MPS32" s="206"/>
      <c r="MPT32" s="206"/>
      <c r="MPU32" s="206"/>
      <c r="MPV32" s="206"/>
      <c r="MPW32" s="206"/>
      <c r="MPX32" s="206"/>
      <c r="MPY32" s="206"/>
      <c r="MPZ32" s="206"/>
      <c r="MQA32" s="206"/>
      <c r="MQB32" s="206"/>
      <c r="MQC32" s="206"/>
      <c r="MQD32" s="206"/>
      <c r="MQE32" s="206"/>
      <c r="MQF32" s="206"/>
      <c r="MQG32" s="206"/>
      <c r="MQH32" s="206"/>
      <c r="MQI32" s="206"/>
      <c r="MQJ32" s="206"/>
      <c r="MQK32" s="206"/>
      <c r="MQL32" s="206"/>
      <c r="MQM32" s="206"/>
      <c r="MQN32" s="206"/>
      <c r="MQO32" s="206"/>
      <c r="MQP32" s="206"/>
      <c r="MQQ32" s="206"/>
      <c r="MQR32" s="206"/>
      <c r="MQS32" s="206"/>
      <c r="MQT32" s="206"/>
      <c r="MQU32" s="206"/>
      <c r="MQV32" s="206"/>
      <c r="MQW32" s="206"/>
      <c r="MQX32" s="206"/>
      <c r="MQY32" s="206"/>
      <c r="MQZ32" s="206"/>
      <c r="MRA32" s="206"/>
      <c r="MRB32" s="206"/>
      <c r="MRC32" s="206"/>
      <c r="MRD32" s="206"/>
      <c r="MRE32" s="206"/>
      <c r="MRF32" s="206"/>
      <c r="MRG32" s="206"/>
      <c r="MRH32" s="206"/>
      <c r="MRI32" s="206"/>
      <c r="MRJ32" s="206"/>
      <c r="MRK32" s="206"/>
      <c r="MRL32" s="206"/>
      <c r="MRM32" s="206"/>
      <c r="MRN32" s="206"/>
      <c r="MRO32" s="206"/>
      <c r="MRP32" s="206"/>
      <c r="MRQ32" s="206"/>
      <c r="MRR32" s="206"/>
      <c r="MRS32" s="206"/>
      <c r="MRT32" s="206"/>
      <c r="MRU32" s="206"/>
      <c r="MRV32" s="206"/>
      <c r="MRW32" s="206"/>
      <c r="MRX32" s="206"/>
      <c r="MRY32" s="206"/>
      <c r="MRZ32" s="206"/>
      <c r="MSA32" s="206"/>
      <c r="MSB32" s="206"/>
      <c r="MSC32" s="206"/>
      <c r="MSD32" s="206"/>
      <c r="MSE32" s="206"/>
      <c r="MSF32" s="206"/>
      <c r="MSG32" s="206"/>
      <c r="MSH32" s="206"/>
      <c r="MSI32" s="206"/>
      <c r="MSJ32" s="206"/>
      <c r="MSK32" s="206"/>
      <c r="MSL32" s="206"/>
      <c r="MSM32" s="206"/>
      <c r="MSN32" s="206"/>
      <c r="MSO32" s="206"/>
      <c r="MSP32" s="206"/>
      <c r="MSQ32" s="206"/>
      <c r="MSR32" s="206"/>
      <c r="MSS32" s="206"/>
      <c r="MST32" s="206"/>
      <c r="MSU32" s="206"/>
      <c r="MSV32" s="206"/>
      <c r="MSW32" s="206"/>
      <c r="MSX32" s="206"/>
      <c r="MSY32" s="206"/>
      <c r="MSZ32" s="206"/>
      <c r="MTA32" s="206"/>
      <c r="MTB32" s="206"/>
      <c r="MTC32" s="206"/>
      <c r="MTD32" s="206"/>
      <c r="MTE32" s="206"/>
      <c r="MTF32" s="206"/>
      <c r="MTG32" s="206"/>
      <c r="MTH32" s="206"/>
      <c r="MTI32" s="206"/>
      <c r="MTJ32" s="206"/>
      <c r="MTK32" s="206"/>
      <c r="MTL32" s="206"/>
      <c r="MTM32" s="206"/>
      <c r="MTN32" s="206"/>
      <c r="MTO32" s="206"/>
      <c r="MTP32" s="206"/>
      <c r="MTQ32" s="206"/>
      <c r="MTR32" s="206"/>
      <c r="MTS32" s="206"/>
      <c r="MTT32" s="206"/>
      <c r="MTU32" s="206"/>
      <c r="MTV32" s="206"/>
      <c r="MTW32" s="206"/>
      <c r="MTX32" s="206"/>
      <c r="MTY32" s="206"/>
      <c r="MTZ32" s="206"/>
      <c r="MUA32" s="206"/>
      <c r="MUB32" s="206"/>
      <c r="MUC32" s="206"/>
      <c r="MUD32" s="206"/>
      <c r="MUE32" s="206"/>
      <c r="MUF32" s="206"/>
      <c r="MUG32" s="206"/>
      <c r="MUH32" s="206"/>
      <c r="MUI32" s="206"/>
      <c r="MUJ32" s="206"/>
      <c r="MUK32" s="206"/>
      <c r="MUL32" s="206"/>
      <c r="MUM32" s="206"/>
      <c r="MUN32" s="206"/>
      <c r="MUO32" s="206"/>
      <c r="MUP32" s="206"/>
      <c r="MUQ32" s="206"/>
      <c r="MUR32" s="206"/>
      <c r="MUS32" s="206"/>
      <c r="MUT32" s="206"/>
      <c r="MUU32" s="206"/>
      <c r="MUV32" s="206"/>
      <c r="MUW32" s="206"/>
      <c r="MUX32" s="206"/>
      <c r="MUY32" s="206"/>
      <c r="MUZ32" s="206"/>
      <c r="MVA32" s="206"/>
      <c r="MVB32" s="206"/>
      <c r="MVC32" s="206"/>
      <c r="MVD32" s="206"/>
      <c r="MVE32" s="206"/>
      <c r="MVF32" s="206"/>
      <c r="MVG32" s="206"/>
      <c r="MVH32" s="206"/>
      <c r="MVI32" s="206"/>
      <c r="MVJ32" s="206"/>
      <c r="MVK32" s="206"/>
      <c r="MVL32" s="206"/>
      <c r="MVM32" s="206"/>
      <c r="MVN32" s="206"/>
      <c r="MVO32" s="206"/>
      <c r="MVP32" s="206"/>
      <c r="MVQ32" s="206"/>
      <c r="MVR32" s="206"/>
      <c r="MVS32" s="206"/>
      <c r="MVT32" s="206"/>
      <c r="MVU32" s="206"/>
      <c r="MVV32" s="206"/>
      <c r="MVW32" s="206"/>
      <c r="MVX32" s="206"/>
      <c r="MVY32" s="206"/>
      <c r="MVZ32" s="206"/>
      <c r="MWA32" s="206"/>
      <c r="MWB32" s="206"/>
      <c r="MWC32" s="206"/>
      <c r="MWD32" s="206"/>
      <c r="MWE32" s="206"/>
      <c r="MWF32" s="206"/>
      <c r="MWG32" s="206"/>
      <c r="MWH32" s="206"/>
      <c r="MWI32" s="206"/>
      <c r="MWJ32" s="206"/>
      <c r="MWK32" s="206"/>
      <c r="MWL32" s="206"/>
      <c r="MWM32" s="206"/>
      <c r="MWN32" s="206"/>
      <c r="MWO32" s="206"/>
      <c r="MWP32" s="206"/>
      <c r="MWQ32" s="206"/>
      <c r="MWR32" s="206"/>
      <c r="MWS32" s="206"/>
      <c r="MWT32" s="206"/>
      <c r="MWU32" s="206"/>
      <c r="MWV32" s="206"/>
      <c r="MWW32" s="206"/>
      <c r="MWX32" s="206"/>
      <c r="MWY32" s="206"/>
      <c r="MWZ32" s="206"/>
      <c r="MXA32" s="206"/>
      <c r="MXB32" s="206"/>
      <c r="MXC32" s="206"/>
      <c r="MXD32" s="206"/>
      <c r="MXE32" s="206"/>
      <c r="MXF32" s="206"/>
      <c r="MXG32" s="206"/>
      <c r="MXH32" s="206"/>
      <c r="MXI32" s="206"/>
      <c r="MXJ32" s="206"/>
      <c r="MXK32" s="206"/>
      <c r="MXL32" s="206"/>
      <c r="MXM32" s="206"/>
      <c r="MXN32" s="206"/>
      <c r="MXO32" s="206"/>
      <c r="MXP32" s="206"/>
      <c r="MXQ32" s="206"/>
      <c r="MXR32" s="206"/>
      <c r="MXS32" s="206"/>
      <c r="MXT32" s="206"/>
      <c r="MXU32" s="206"/>
      <c r="MXV32" s="206"/>
      <c r="MXW32" s="206"/>
      <c r="MXX32" s="206"/>
      <c r="MXY32" s="206"/>
      <c r="MXZ32" s="206"/>
      <c r="MYA32" s="206"/>
      <c r="MYB32" s="206"/>
      <c r="MYC32" s="206"/>
      <c r="MYD32" s="206"/>
      <c r="MYE32" s="206"/>
      <c r="MYF32" s="206"/>
      <c r="MYG32" s="206"/>
      <c r="MYH32" s="206"/>
      <c r="MYI32" s="206"/>
      <c r="MYJ32" s="206"/>
      <c r="MYK32" s="206"/>
      <c r="MYL32" s="206"/>
      <c r="MYM32" s="206"/>
      <c r="MYN32" s="206"/>
      <c r="MYO32" s="206"/>
      <c r="MYP32" s="206"/>
      <c r="MYQ32" s="206"/>
      <c r="MYR32" s="206"/>
      <c r="MYS32" s="206"/>
      <c r="MYT32" s="206"/>
      <c r="MYU32" s="206"/>
      <c r="MYV32" s="206"/>
      <c r="MYW32" s="206"/>
      <c r="MYX32" s="206"/>
      <c r="MYY32" s="206"/>
      <c r="MYZ32" s="206"/>
      <c r="MZA32" s="206"/>
      <c r="MZB32" s="206"/>
      <c r="MZC32" s="206"/>
      <c r="MZD32" s="206"/>
      <c r="MZE32" s="206"/>
      <c r="MZF32" s="206"/>
      <c r="MZG32" s="206"/>
      <c r="MZH32" s="206"/>
      <c r="MZI32" s="206"/>
      <c r="MZJ32" s="206"/>
      <c r="MZK32" s="206"/>
      <c r="MZL32" s="206"/>
      <c r="MZM32" s="206"/>
      <c r="MZN32" s="206"/>
      <c r="MZO32" s="206"/>
      <c r="MZP32" s="206"/>
      <c r="MZQ32" s="206"/>
      <c r="MZR32" s="206"/>
      <c r="MZS32" s="206"/>
      <c r="MZT32" s="206"/>
      <c r="MZU32" s="206"/>
      <c r="MZV32" s="206"/>
      <c r="MZW32" s="206"/>
      <c r="MZX32" s="206"/>
      <c r="MZY32" s="206"/>
      <c r="MZZ32" s="206"/>
      <c r="NAA32" s="206"/>
      <c r="NAB32" s="206"/>
      <c r="NAC32" s="206"/>
      <c r="NAD32" s="206"/>
      <c r="NAE32" s="206"/>
      <c r="NAF32" s="206"/>
      <c r="NAG32" s="206"/>
      <c r="NAH32" s="206"/>
      <c r="NAI32" s="206"/>
      <c r="NAJ32" s="206"/>
      <c r="NAK32" s="206"/>
      <c r="NAL32" s="206"/>
      <c r="NAM32" s="206"/>
      <c r="NAN32" s="206"/>
      <c r="NAO32" s="206"/>
      <c r="NAP32" s="206"/>
      <c r="NAQ32" s="206"/>
      <c r="NAR32" s="206"/>
      <c r="NAS32" s="206"/>
      <c r="NAT32" s="206"/>
      <c r="NAU32" s="206"/>
      <c r="NAV32" s="206"/>
      <c r="NAW32" s="206"/>
      <c r="NAX32" s="206"/>
      <c r="NAY32" s="206"/>
      <c r="NAZ32" s="206"/>
      <c r="NBA32" s="206"/>
      <c r="NBB32" s="206"/>
      <c r="NBC32" s="206"/>
      <c r="NBD32" s="206"/>
      <c r="NBE32" s="206"/>
      <c r="NBF32" s="206"/>
      <c r="NBG32" s="206"/>
      <c r="NBH32" s="206"/>
      <c r="NBI32" s="206"/>
      <c r="NBJ32" s="206"/>
      <c r="NBK32" s="206"/>
      <c r="NBL32" s="206"/>
      <c r="NBM32" s="206"/>
      <c r="NBN32" s="206"/>
      <c r="NBO32" s="206"/>
      <c r="NBP32" s="206"/>
      <c r="NBQ32" s="206"/>
      <c r="NBR32" s="206"/>
      <c r="NBS32" s="206"/>
      <c r="NBT32" s="206"/>
      <c r="NBU32" s="206"/>
      <c r="NBV32" s="206"/>
      <c r="NBW32" s="206"/>
      <c r="NBX32" s="206"/>
      <c r="NBY32" s="206"/>
      <c r="NBZ32" s="206"/>
      <c r="NCA32" s="206"/>
      <c r="NCB32" s="206"/>
      <c r="NCC32" s="206"/>
      <c r="NCD32" s="206"/>
      <c r="NCE32" s="206"/>
      <c r="NCF32" s="206"/>
      <c r="NCG32" s="206"/>
      <c r="NCH32" s="206"/>
      <c r="NCI32" s="206"/>
      <c r="NCJ32" s="206"/>
      <c r="NCK32" s="206"/>
      <c r="NCL32" s="206"/>
      <c r="NCM32" s="206"/>
      <c r="NCN32" s="206"/>
      <c r="NCO32" s="206"/>
      <c r="NCP32" s="206"/>
      <c r="NCQ32" s="206"/>
      <c r="NCR32" s="206"/>
      <c r="NCS32" s="206"/>
      <c r="NCT32" s="206"/>
      <c r="NCU32" s="206"/>
      <c r="NCV32" s="206"/>
      <c r="NCW32" s="206"/>
      <c r="NCX32" s="206"/>
      <c r="NCY32" s="206"/>
      <c r="NCZ32" s="206"/>
      <c r="NDA32" s="206"/>
      <c r="NDB32" s="206"/>
      <c r="NDC32" s="206"/>
      <c r="NDD32" s="206"/>
      <c r="NDE32" s="206"/>
      <c r="NDF32" s="206"/>
      <c r="NDG32" s="206"/>
      <c r="NDH32" s="206"/>
      <c r="NDI32" s="206"/>
      <c r="NDJ32" s="206"/>
      <c r="NDK32" s="206"/>
      <c r="NDL32" s="206"/>
      <c r="NDM32" s="206"/>
      <c r="NDN32" s="206"/>
      <c r="NDO32" s="206"/>
      <c r="NDP32" s="206"/>
      <c r="NDQ32" s="206"/>
      <c r="NDR32" s="206"/>
      <c r="NDS32" s="206"/>
      <c r="NDT32" s="206"/>
      <c r="NDU32" s="206"/>
      <c r="NDV32" s="206"/>
      <c r="NDW32" s="206"/>
      <c r="NDX32" s="206"/>
      <c r="NDY32" s="206"/>
      <c r="NDZ32" s="206"/>
      <c r="NEA32" s="206"/>
      <c r="NEB32" s="206"/>
      <c r="NEC32" s="206"/>
      <c r="NED32" s="206"/>
      <c r="NEE32" s="206"/>
      <c r="NEF32" s="206"/>
      <c r="NEG32" s="206"/>
      <c r="NEH32" s="206"/>
      <c r="NEI32" s="206"/>
      <c r="NEJ32" s="206"/>
      <c r="NEK32" s="206"/>
      <c r="NEL32" s="206"/>
      <c r="NEM32" s="206"/>
      <c r="NEN32" s="206"/>
      <c r="NEO32" s="206"/>
      <c r="NEP32" s="206"/>
      <c r="NEQ32" s="206"/>
      <c r="NER32" s="206"/>
      <c r="NES32" s="206"/>
      <c r="NET32" s="206"/>
      <c r="NEU32" s="206"/>
      <c r="NEV32" s="206"/>
      <c r="NEW32" s="206"/>
      <c r="NEX32" s="206"/>
      <c r="NEY32" s="206"/>
      <c r="NEZ32" s="206"/>
      <c r="NFA32" s="206"/>
      <c r="NFB32" s="206"/>
      <c r="NFC32" s="206"/>
      <c r="NFD32" s="206"/>
      <c r="NFE32" s="206"/>
      <c r="NFF32" s="206"/>
      <c r="NFG32" s="206"/>
      <c r="NFH32" s="206"/>
      <c r="NFI32" s="206"/>
      <c r="NFJ32" s="206"/>
      <c r="NFK32" s="206"/>
      <c r="NFL32" s="206"/>
      <c r="NFM32" s="206"/>
      <c r="NFN32" s="206"/>
      <c r="NFO32" s="206"/>
      <c r="NFP32" s="206"/>
      <c r="NFQ32" s="206"/>
      <c r="NFR32" s="206"/>
      <c r="NFS32" s="206"/>
      <c r="NFT32" s="206"/>
      <c r="NFU32" s="206"/>
      <c r="NFV32" s="206"/>
      <c r="NFW32" s="206"/>
      <c r="NFX32" s="206"/>
      <c r="NFY32" s="206"/>
      <c r="NFZ32" s="206"/>
      <c r="NGA32" s="206"/>
      <c r="NGB32" s="206"/>
      <c r="NGC32" s="206"/>
      <c r="NGD32" s="206"/>
      <c r="NGE32" s="206"/>
      <c r="NGF32" s="206"/>
      <c r="NGG32" s="206"/>
      <c r="NGH32" s="206"/>
      <c r="NGI32" s="206"/>
      <c r="NGJ32" s="206"/>
      <c r="NGK32" s="206"/>
      <c r="NGL32" s="206"/>
      <c r="NGM32" s="206"/>
      <c r="NGN32" s="206"/>
      <c r="NGO32" s="206"/>
      <c r="NGP32" s="206"/>
      <c r="NGQ32" s="206"/>
      <c r="NGR32" s="206"/>
      <c r="NGS32" s="206"/>
      <c r="NGT32" s="206"/>
      <c r="NGU32" s="206"/>
      <c r="NGV32" s="206"/>
      <c r="NGW32" s="206"/>
      <c r="NGX32" s="206"/>
      <c r="NGY32" s="206"/>
      <c r="NGZ32" s="206"/>
      <c r="NHA32" s="206"/>
      <c r="NHB32" s="206"/>
      <c r="NHC32" s="206"/>
      <c r="NHD32" s="206"/>
      <c r="NHE32" s="206"/>
      <c r="NHF32" s="206"/>
      <c r="NHG32" s="206"/>
      <c r="NHH32" s="206"/>
      <c r="NHI32" s="206"/>
      <c r="NHJ32" s="206"/>
      <c r="NHK32" s="206"/>
      <c r="NHL32" s="206"/>
      <c r="NHM32" s="206"/>
      <c r="NHN32" s="206"/>
      <c r="NHO32" s="206"/>
      <c r="NHP32" s="206"/>
      <c r="NHQ32" s="206"/>
      <c r="NHR32" s="206"/>
      <c r="NHS32" s="206"/>
      <c r="NHT32" s="206"/>
      <c r="NHU32" s="206"/>
      <c r="NHV32" s="206"/>
      <c r="NHW32" s="206"/>
      <c r="NHX32" s="206"/>
      <c r="NHY32" s="206"/>
      <c r="NHZ32" s="206"/>
      <c r="NIA32" s="206"/>
      <c r="NIB32" s="206"/>
      <c r="NIC32" s="206"/>
      <c r="NID32" s="206"/>
      <c r="NIE32" s="206"/>
      <c r="NIF32" s="206"/>
      <c r="NIG32" s="206"/>
      <c r="NIH32" s="206"/>
      <c r="NII32" s="206"/>
      <c r="NIJ32" s="206"/>
      <c r="NIK32" s="206"/>
      <c r="NIL32" s="206"/>
      <c r="NIM32" s="206"/>
      <c r="NIN32" s="206"/>
      <c r="NIO32" s="206"/>
      <c r="NIP32" s="206"/>
      <c r="NIQ32" s="206"/>
      <c r="NIR32" s="206"/>
      <c r="NIS32" s="206"/>
      <c r="NIT32" s="206"/>
      <c r="NIU32" s="206"/>
      <c r="NIV32" s="206"/>
      <c r="NIW32" s="206"/>
      <c r="NIX32" s="206"/>
      <c r="NIY32" s="206"/>
      <c r="NIZ32" s="206"/>
      <c r="NJA32" s="206"/>
      <c r="NJB32" s="206"/>
      <c r="NJC32" s="206"/>
      <c r="NJD32" s="206"/>
      <c r="NJE32" s="206"/>
      <c r="NJF32" s="206"/>
      <c r="NJG32" s="206"/>
      <c r="NJH32" s="206"/>
      <c r="NJI32" s="206"/>
      <c r="NJJ32" s="206"/>
      <c r="NJK32" s="206"/>
      <c r="NJL32" s="206"/>
      <c r="NJM32" s="206"/>
      <c r="NJN32" s="206"/>
      <c r="NJO32" s="206"/>
      <c r="NJP32" s="206"/>
      <c r="NJQ32" s="206"/>
      <c r="NJR32" s="206"/>
      <c r="NJS32" s="206"/>
      <c r="NJT32" s="206"/>
      <c r="NJU32" s="206"/>
      <c r="NJV32" s="206"/>
      <c r="NJW32" s="206"/>
      <c r="NJX32" s="206"/>
      <c r="NJY32" s="206"/>
      <c r="NJZ32" s="206"/>
      <c r="NKA32" s="206"/>
      <c r="NKB32" s="206"/>
      <c r="NKC32" s="206"/>
      <c r="NKD32" s="206"/>
      <c r="NKE32" s="206"/>
      <c r="NKF32" s="206"/>
      <c r="NKG32" s="206"/>
      <c r="NKH32" s="206"/>
      <c r="NKI32" s="206"/>
      <c r="NKJ32" s="206"/>
      <c r="NKK32" s="206"/>
      <c r="NKL32" s="206"/>
      <c r="NKM32" s="206"/>
      <c r="NKN32" s="206"/>
      <c r="NKO32" s="206"/>
      <c r="NKP32" s="206"/>
      <c r="NKQ32" s="206"/>
      <c r="NKR32" s="206"/>
      <c r="NKS32" s="206"/>
      <c r="NKT32" s="206"/>
      <c r="NKU32" s="206"/>
      <c r="NKV32" s="206"/>
      <c r="NKW32" s="206"/>
      <c r="NKX32" s="206"/>
      <c r="NKY32" s="206"/>
      <c r="NKZ32" s="206"/>
      <c r="NLA32" s="206"/>
      <c r="NLB32" s="206"/>
      <c r="NLC32" s="206"/>
      <c r="NLD32" s="206"/>
      <c r="NLE32" s="206"/>
      <c r="NLF32" s="206"/>
      <c r="NLG32" s="206"/>
      <c r="NLH32" s="206"/>
      <c r="NLI32" s="206"/>
      <c r="NLJ32" s="206"/>
      <c r="NLK32" s="206"/>
      <c r="NLL32" s="206"/>
      <c r="NLM32" s="206"/>
      <c r="NLN32" s="206"/>
      <c r="NLO32" s="206"/>
      <c r="NLP32" s="206"/>
      <c r="NLQ32" s="206"/>
      <c r="NLR32" s="206"/>
      <c r="NLS32" s="206"/>
      <c r="NLT32" s="206"/>
      <c r="NLU32" s="206"/>
      <c r="NLV32" s="206"/>
      <c r="NLW32" s="206"/>
      <c r="NLX32" s="206"/>
      <c r="NLY32" s="206"/>
      <c r="NLZ32" s="206"/>
      <c r="NMA32" s="206"/>
      <c r="NMB32" s="206"/>
      <c r="NMC32" s="206"/>
      <c r="NMD32" s="206"/>
      <c r="NME32" s="206"/>
      <c r="NMF32" s="206"/>
      <c r="NMG32" s="206"/>
      <c r="NMH32" s="206"/>
      <c r="NMI32" s="206"/>
      <c r="NMJ32" s="206"/>
      <c r="NMK32" s="206"/>
      <c r="NML32" s="206"/>
      <c r="NMM32" s="206"/>
      <c r="NMN32" s="206"/>
      <c r="NMO32" s="206"/>
      <c r="NMP32" s="206"/>
      <c r="NMQ32" s="206"/>
      <c r="NMR32" s="206"/>
      <c r="NMS32" s="206"/>
      <c r="NMT32" s="206"/>
      <c r="NMU32" s="206"/>
      <c r="NMV32" s="206"/>
      <c r="NMW32" s="206"/>
      <c r="NMX32" s="206"/>
      <c r="NMY32" s="206"/>
      <c r="NMZ32" s="206"/>
      <c r="NNA32" s="206"/>
      <c r="NNB32" s="206"/>
      <c r="NNC32" s="206"/>
      <c r="NND32" s="206"/>
      <c r="NNE32" s="206"/>
      <c r="NNF32" s="206"/>
      <c r="NNG32" s="206"/>
      <c r="NNH32" s="206"/>
      <c r="NNI32" s="206"/>
      <c r="NNJ32" s="206"/>
      <c r="NNK32" s="206"/>
      <c r="NNL32" s="206"/>
      <c r="NNM32" s="206"/>
      <c r="NNN32" s="206"/>
      <c r="NNO32" s="206"/>
      <c r="NNP32" s="206"/>
      <c r="NNQ32" s="206"/>
      <c r="NNR32" s="206"/>
      <c r="NNS32" s="206"/>
      <c r="NNT32" s="206"/>
      <c r="NNU32" s="206"/>
      <c r="NNV32" s="206"/>
      <c r="NNW32" s="206"/>
      <c r="NNX32" s="206"/>
      <c r="NNY32" s="206"/>
      <c r="NNZ32" s="206"/>
      <c r="NOA32" s="206"/>
      <c r="NOB32" s="206"/>
      <c r="NOC32" s="206"/>
      <c r="NOD32" s="206"/>
      <c r="NOE32" s="206"/>
      <c r="NOF32" s="206"/>
      <c r="NOG32" s="206"/>
      <c r="NOH32" s="206"/>
      <c r="NOI32" s="206"/>
      <c r="NOJ32" s="206"/>
      <c r="NOK32" s="206"/>
      <c r="NOL32" s="206"/>
      <c r="NOM32" s="206"/>
      <c r="NON32" s="206"/>
      <c r="NOO32" s="206"/>
      <c r="NOP32" s="206"/>
      <c r="NOQ32" s="206"/>
      <c r="NOR32" s="206"/>
      <c r="NOS32" s="206"/>
      <c r="NOT32" s="206"/>
      <c r="NOU32" s="206"/>
      <c r="NOV32" s="206"/>
      <c r="NOW32" s="206"/>
      <c r="NOX32" s="206"/>
      <c r="NOY32" s="206"/>
      <c r="NOZ32" s="206"/>
      <c r="NPA32" s="206"/>
      <c r="NPB32" s="206"/>
      <c r="NPC32" s="206"/>
      <c r="NPD32" s="206"/>
      <c r="NPE32" s="206"/>
      <c r="NPF32" s="206"/>
      <c r="NPG32" s="206"/>
      <c r="NPH32" s="206"/>
      <c r="NPI32" s="206"/>
      <c r="NPJ32" s="206"/>
      <c r="NPK32" s="206"/>
      <c r="NPL32" s="206"/>
      <c r="NPM32" s="206"/>
      <c r="NPN32" s="206"/>
      <c r="NPO32" s="206"/>
      <c r="NPP32" s="206"/>
      <c r="NPQ32" s="206"/>
      <c r="NPR32" s="206"/>
      <c r="NPS32" s="206"/>
      <c r="NPT32" s="206"/>
      <c r="NPU32" s="206"/>
      <c r="NPV32" s="206"/>
      <c r="NPW32" s="206"/>
      <c r="NPX32" s="206"/>
      <c r="NPY32" s="206"/>
      <c r="NPZ32" s="206"/>
      <c r="NQA32" s="206"/>
      <c r="NQB32" s="206"/>
      <c r="NQC32" s="206"/>
      <c r="NQD32" s="206"/>
      <c r="NQE32" s="206"/>
      <c r="NQF32" s="206"/>
      <c r="NQG32" s="206"/>
      <c r="NQH32" s="206"/>
      <c r="NQI32" s="206"/>
      <c r="NQJ32" s="206"/>
      <c r="NQK32" s="206"/>
      <c r="NQL32" s="206"/>
      <c r="NQM32" s="206"/>
      <c r="NQN32" s="206"/>
      <c r="NQO32" s="206"/>
      <c r="NQP32" s="206"/>
      <c r="NQQ32" s="206"/>
      <c r="NQR32" s="206"/>
      <c r="NQS32" s="206"/>
      <c r="NQT32" s="206"/>
      <c r="NQU32" s="206"/>
      <c r="NQV32" s="206"/>
      <c r="NQW32" s="206"/>
      <c r="NQX32" s="206"/>
      <c r="NQY32" s="206"/>
      <c r="NQZ32" s="206"/>
      <c r="NRA32" s="206"/>
      <c r="NRB32" s="206"/>
      <c r="NRC32" s="206"/>
      <c r="NRD32" s="206"/>
      <c r="NRE32" s="206"/>
      <c r="NRF32" s="206"/>
      <c r="NRG32" s="206"/>
      <c r="NRH32" s="206"/>
      <c r="NRI32" s="206"/>
      <c r="NRJ32" s="206"/>
      <c r="NRK32" s="206"/>
      <c r="NRL32" s="206"/>
      <c r="NRM32" s="206"/>
      <c r="NRN32" s="206"/>
      <c r="NRO32" s="206"/>
      <c r="NRP32" s="206"/>
      <c r="NRQ32" s="206"/>
      <c r="NRR32" s="206"/>
      <c r="NRS32" s="206"/>
      <c r="NRT32" s="206"/>
      <c r="NRU32" s="206"/>
      <c r="NRV32" s="206"/>
      <c r="NRW32" s="206"/>
      <c r="NRX32" s="206"/>
      <c r="NRY32" s="206"/>
      <c r="NRZ32" s="206"/>
      <c r="NSA32" s="206"/>
      <c r="NSB32" s="206"/>
      <c r="NSC32" s="206"/>
      <c r="NSD32" s="206"/>
      <c r="NSE32" s="206"/>
      <c r="NSF32" s="206"/>
      <c r="NSG32" s="206"/>
      <c r="NSH32" s="206"/>
      <c r="NSI32" s="206"/>
      <c r="NSJ32" s="206"/>
      <c r="NSK32" s="206"/>
      <c r="NSL32" s="206"/>
      <c r="NSM32" s="206"/>
      <c r="NSN32" s="206"/>
      <c r="NSO32" s="206"/>
      <c r="NSP32" s="206"/>
      <c r="NSQ32" s="206"/>
      <c r="NSR32" s="206"/>
      <c r="NSS32" s="206"/>
      <c r="NST32" s="206"/>
      <c r="NSU32" s="206"/>
      <c r="NSV32" s="206"/>
      <c r="NSW32" s="206"/>
      <c r="NSX32" s="206"/>
      <c r="NSY32" s="206"/>
      <c r="NSZ32" s="206"/>
      <c r="NTA32" s="206"/>
      <c r="NTB32" s="206"/>
      <c r="NTC32" s="206"/>
      <c r="NTD32" s="206"/>
      <c r="NTE32" s="206"/>
      <c r="NTF32" s="206"/>
      <c r="NTG32" s="206"/>
      <c r="NTH32" s="206"/>
      <c r="NTI32" s="206"/>
      <c r="NTJ32" s="206"/>
      <c r="NTK32" s="206"/>
      <c r="NTL32" s="206"/>
      <c r="NTM32" s="206"/>
      <c r="NTN32" s="206"/>
      <c r="NTO32" s="206"/>
      <c r="NTP32" s="206"/>
      <c r="NTQ32" s="206"/>
      <c r="NTR32" s="206"/>
      <c r="NTS32" s="206"/>
      <c r="NTT32" s="206"/>
      <c r="NTU32" s="206"/>
      <c r="NTV32" s="206"/>
      <c r="NTW32" s="206"/>
      <c r="NTX32" s="206"/>
      <c r="NTY32" s="206"/>
      <c r="NTZ32" s="206"/>
      <c r="NUA32" s="206"/>
      <c r="NUB32" s="206"/>
      <c r="NUC32" s="206"/>
      <c r="NUD32" s="206"/>
      <c r="NUE32" s="206"/>
      <c r="NUF32" s="206"/>
      <c r="NUG32" s="206"/>
      <c r="NUH32" s="206"/>
      <c r="NUI32" s="206"/>
      <c r="NUJ32" s="206"/>
      <c r="NUK32" s="206"/>
      <c r="NUL32" s="206"/>
      <c r="NUM32" s="206"/>
      <c r="NUN32" s="206"/>
      <c r="NUO32" s="206"/>
      <c r="NUP32" s="206"/>
      <c r="NUQ32" s="206"/>
      <c r="NUR32" s="206"/>
      <c r="NUS32" s="206"/>
      <c r="NUT32" s="206"/>
      <c r="NUU32" s="206"/>
      <c r="NUV32" s="206"/>
      <c r="NUW32" s="206"/>
      <c r="NUX32" s="206"/>
      <c r="NUY32" s="206"/>
      <c r="NUZ32" s="206"/>
      <c r="NVA32" s="206"/>
      <c r="NVB32" s="206"/>
      <c r="NVC32" s="206"/>
      <c r="NVD32" s="206"/>
      <c r="NVE32" s="206"/>
      <c r="NVF32" s="206"/>
      <c r="NVG32" s="206"/>
      <c r="NVH32" s="206"/>
      <c r="NVI32" s="206"/>
      <c r="NVJ32" s="206"/>
      <c r="NVK32" s="206"/>
      <c r="NVL32" s="206"/>
      <c r="NVM32" s="206"/>
      <c r="NVN32" s="206"/>
      <c r="NVO32" s="206"/>
      <c r="NVP32" s="206"/>
      <c r="NVQ32" s="206"/>
      <c r="NVR32" s="206"/>
      <c r="NVS32" s="206"/>
      <c r="NVT32" s="206"/>
      <c r="NVU32" s="206"/>
      <c r="NVV32" s="206"/>
      <c r="NVW32" s="206"/>
      <c r="NVX32" s="206"/>
      <c r="NVY32" s="206"/>
      <c r="NVZ32" s="206"/>
      <c r="NWA32" s="206"/>
      <c r="NWB32" s="206"/>
      <c r="NWC32" s="206"/>
      <c r="NWD32" s="206"/>
      <c r="NWE32" s="206"/>
      <c r="NWF32" s="206"/>
      <c r="NWG32" s="206"/>
      <c r="NWH32" s="206"/>
      <c r="NWI32" s="206"/>
      <c r="NWJ32" s="206"/>
      <c r="NWK32" s="206"/>
      <c r="NWL32" s="206"/>
      <c r="NWM32" s="206"/>
      <c r="NWN32" s="206"/>
      <c r="NWO32" s="206"/>
      <c r="NWP32" s="206"/>
      <c r="NWQ32" s="206"/>
      <c r="NWR32" s="206"/>
      <c r="NWS32" s="206"/>
      <c r="NWT32" s="206"/>
      <c r="NWU32" s="206"/>
      <c r="NWV32" s="206"/>
      <c r="NWW32" s="206"/>
      <c r="NWX32" s="206"/>
      <c r="NWY32" s="206"/>
      <c r="NWZ32" s="206"/>
      <c r="NXA32" s="206"/>
      <c r="NXB32" s="206"/>
      <c r="NXC32" s="206"/>
      <c r="NXD32" s="206"/>
      <c r="NXE32" s="206"/>
      <c r="NXF32" s="206"/>
      <c r="NXG32" s="206"/>
      <c r="NXH32" s="206"/>
      <c r="NXI32" s="206"/>
      <c r="NXJ32" s="206"/>
      <c r="NXK32" s="206"/>
      <c r="NXL32" s="206"/>
      <c r="NXM32" s="206"/>
      <c r="NXN32" s="206"/>
      <c r="NXO32" s="206"/>
      <c r="NXP32" s="206"/>
      <c r="NXQ32" s="206"/>
      <c r="NXR32" s="206"/>
      <c r="NXS32" s="206"/>
      <c r="NXT32" s="206"/>
      <c r="NXU32" s="206"/>
      <c r="NXV32" s="206"/>
      <c r="NXW32" s="206"/>
      <c r="NXX32" s="206"/>
      <c r="NXY32" s="206"/>
      <c r="NXZ32" s="206"/>
      <c r="NYA32" s="206"/>
      <c r="NYB32" s="206"/>
      <c r="NYC32" s="206"/>
      <c r="NYD32" s="206"/>
      <c r="NYE32" s="206"/>
      <c r="NYF32" s="206"/>
      <c r="NYG32" s="206"/>
      <c r="NYH32" s="206"/>
      <c r="NYI32" s="206"/>
      <c r="NYJ32" s="206"/>
      <c r="NYK32" s="206"/>
      <c r="NYL32" s="206"/>
      <c r="NYM32" s="206"/>
      <c r="NYN32" s="206"/>
      <c r="NYO32" s="206"/>
      <c r="NYP32" s="206"/>
      <c r="NYQ32" s="206"/>
      <c r="NYR32" s="206"/>
      <c r="NYS32" s="206"/>
      <c r="NYT32" s="206"/>
      <c r="NYU32" s="206"/>
      <c r="NYV32" s="206"/>
      <c r="NYW32" s="206"/>
      <c r="NYX32" s="206"/>
      <c r="NYY32" s="206"/>
      <c r="NYZ32" s="206"/>
      <c r="NZA32" s="206"/>
      <c r="NZB32" s="206"/>
      <c r="NZC32" s="206"/>
      <c r="NZD32" s="206"/>
      <c r="NZE32" s="206"/>
      <c r="NZF32" s="206"/>
      <c r="NZG32" s="206"/>
      <c r="NZH32" s="206"/>
      <c r="NZI32" s="206"/>
      <c r="NZJ32" s="206"/>
      <c r="NZK32" s="206"/>
      <c r="NZL32" s="206"/>
      <c r="NZM32" s="206"/>
      <c r="NZN32" s="206"/>
      <c r="NZO32" s="206"/>
      <c r="NZP32" s="206"/>
      <c r="NZQ32" s="206"/>
      <c r="NZR32" s="206"/>
      <c r="NZS32" s="206"/>
      <c r="NZT32" s="206"/>
      <c r="NZU32" s="206"/>
      <c r="NZV32" s="206"/>
      <c r="NZW32" s="206"/>
      <c r="NZX32" s="206"/>
      <c r="NZY32" s="206"/>
      <c r="NZZ32" s="206"/>
      <c r="OAA32" s="206"/>
      <c r="OAB32" s="206"/>
      <c r="OAC32" s="206"/>
      <c r="OAD32" s="206"/>
      <c r="OAE32" s="206"/>
      <c r="OAF32" s="206"/>
      <c r="OAG32" s="206"/>
      <c r="OAH32" s="206"/>
      <c r="OAI32" s="206"/>
      <c r="OAJ32" s="206"/>
      <c r="OAK32" s="206"/>
      <c r="OAL32" s="206"/>
      <c r="OAM32" s="206"/>
      <c r="OAN32" s="206"/>
      <c r="OAO32" s="206"/>
      <c r="OAP32" s="206"/>
      <c r="OAQ32" s="206"/>
      <c r="OAR32" s="206"/>
      <c r="OAS32" s="206"/>
      <c r="OAT32" s="206"/>
      <c r="OAU32" s="206"/>
      <c r="OAV32" s="206"/>
      <c r="OAW32" s="206"/>
      <c r="OAX32" s="206"/>
      <c r="OAY32" s="206"/>
      <c r="OAZ32" s="206"/>
      <c r="OBA32" s="206"/>
      <c r="OBB32" s="206"/>
      <c r="OBC32" s="206"/>
      <c r="OBD32" s="206"/>
      <c r="OBE32" s="206"/>
      <c r="OBF32" s="206"/>
      <c r="OBG32" s="206"/>
      <c r="OBH32" s="206"/>
      <c r="OBI32" s="206"/>
      <c r="OBJ32" s="206"/>
      <c r="OBK32" s="206"/>
      <c r="OBL32" s="206"/>
      <c r="OBM32" s="206"/>
      <c r="OBN32" s="206"/>
      <c r="OBO32" s="206"/>
      <c r="OBP32" s="206"/>
      <c r="OBQ32" s="206"/>
      <c r="OBR32" s="206"/>
      <c r="OBS32" s="206"/>
      <c r="OBT32" s="206"/>
      <c r="OBU32" s="206"/>
      <c r="OBV32" s="206"/>
      <c r="OBW32" s="206"/>
      <c r="OBX32" s="206"/>
      <c r="OBY32" s="206"/>
      <c r="OBZ32" s="206"/>
      <c r="OCA32" s="206"/>
      <c r="OCB32" s="206"/>
      <c r="OCC32" s="206"/>
      <c r="OCD32" s="206"/>
      <c r="OCE32" s="206"/>
      <c r="OCF32" s="206"/>
      <c r="OCG32" s="206"/>
      <c r="OCH32" s="206"/>
      <c r="OCI32" s="206"/>
      <c r="OCJ32" s="206"/>
      <c r="OCK32" s="206"/>
      <c r="OCL32" s="206"/>
      <c r="OCM32" s="206"/>
      <c r="OCN32" s="206"/>
      <c r="OCO32" s="206"/>
      <c r="OCP32" s="206"/>
      <c r="OCQ32" s="206"/>
      <c r="OCR32" s="206"/>
      <c r="OCS32" s="206"/>
      <c r="OCT32" s="206"/>
      <c r="OCU32" s="206"/>
      <c r="OCV32" s="206"/>
      <c r="OCW32" s="206"/>
      <c r="OCX32" s="206"/>
      <c r="OCY32" s="206"/>
      <c r="OCZ32" s="206"/>
      <c r="ODA32" s="206"/>
      <c r="ODB32" s="206"/>
      <c r="ODC32" s="206"/>
      <c r="ODD32" s="206"/>
      <c r="ODE32" s="206"/>
      <c r="ODF32" s="206"/>
      <c r="ODG32" s="206"/>
      <c r="ODH32" s="206"/>
      <c r="ODI32" s="206"/>
      <c r="ODJ32" s="206"/>
      <c r="ODK32" s="206"/>
      <c r="ODL32" s="206"/>
      <c r="ODM32" s="206"/>
      <c r="ODN32" s="206"/>
      <c r="ODO32" s="206"/>
      <c r="ODP32" s="206"/>
      <c r="ODQ32" s="206"/>
      <c r="ODR32" s="206"/>
      <c r="ODS32" s="206"/>
      <c r="ODT32" s="206"/>
      <c r="ODU32" s="206"/>
      <c r="ODV32" s="206"/>
      <c r="ODW32" s="206"/>
      <c r="ODX32" s="206"/>
      <c r="ODY32" s="206"/>
      <c r="ODZ32" s="206"/>
      <c r="OEA32" s="206"/>
      <c r="OEB32" s="206"/>
      <c r="OEC32" s="206"/>
      <c r="OED32" s="206"/>
      <c r="OEE32" s="206"/>
      <c r="OEF32" s="206"/>
      <c r="OEG32" s="206"/>
      <c r="OEH32" s="206"/>
      <c r="OEI32" s="206"/>
      <c r="OEJ32" s="206"/>
      <c r="OEK32" s="206"/>
      <c r="OEL32" s="206"/>
      <c r="OEM32" s="206"/>
      <c r="OEN32" s="206"/>
      <c r="OEO32" s="206"/>
      <c r="OEP32" s="206"/>
      <c r="OEQ32" s="206"/>
      <c r="OER32" s="206"/>
      <c r="OES32" s="206"/>
      <c r="OET32" s="206"/>
      <c r="OEU32" s="206"/>
      <c r="OEV32" s="206"/>
      <c r="OEW32" s="206"/>
      <c r="OEX32" s="206"/>
      <c r="OEY32" s="206"/>
      <c r="OEZ32" s="206"/>
      <c r="OFA32" s="206"/>
      <c r="OFB32" s="206"/>
      <c r="OFC32" s="206"/>
      <c r="OFD32" s="206"/>
      <c r="OFE32" s="206"/>
      <c r="OFF32" s="206"/>
      <c r="OFG32" s="206"/>
      <c r="OFH32" s="206"/>
      <c r="OFI32" s="206"/>
      <c r="OFJ32" s="206"/>
      <c r="OFK32" s="206"/>
      <c r="OFL32" s="206"/>
      <c r="OFM32" s="206"/>
      <c r="OFN32" s="206"/>
      <c r="OFO32" s="206"/>
      <c r="OFP32" s="206"/>
      <c r="OFQ32" s="206"/>
      <c r="OFR32" s="206"/>
      <c r="OFS32" s="206"/>
      <c r="OFT32" s="206"/>
      <c r="OFU32" s="206"/>
      <c r="OFV32" s="206"/>
      <c r="OFW32" s="206"/>
      <c r="OFX32" s="206"/>
      <c r="OFY32" s="206"/>
      <c r="OFZ32" s="206"/>
      <c r="OGA32" s="206"/>
      <c r="OGB32" s="206"/>
      <c r="OGC32" s="206"/>
      <c r="OGD32" s="206"/>
      <c r="OGE32" s="206"/>
      <c r="OGF32" s="206"/>
      <c r="OGG32" s="206"/>
      <c r="OGH32" s="206"/>
      <c r="OGI32" s="206"/>
      <c r="OGJ32" s="206"/>
      <c r="OGK32" s="206"/>
      <c r="OGL32" s="206"/>
      <c r="OGM32" s="206"/>
      <c r="OGN32" s="206"/>
      <c r="OGO32" s="206"/>
      <c r="OGP32" s="206"/>
      <c r="OGQ32" s="206"/>
      <c r="OGR32" s="206"/>
      <c r="OGS32" s="206"/>
      <c r="OGT32" s="206"/>
      <c r="OGU32" s="206"/>
      <c r="OGV32" s="206"/>
      <c r="OGW32" s="206"/>
      <c r="OGX32" s="206"/>
      <c r="OGY32" s="206"/>
      <c r="OGZ32" s="206"/>
      <c r="OHA32" s="206"/>
      <c r="OHB32" s="206"/>
      <c r="OHC32" s="206"/>
      <c r="OHD32" s="206"/>
      <c r="OHE32" s="206"/>
      <c r="OHF32" s="206"/>
      <c r="OHG32" s="206"/>
      <c r="OHH32" s="206"/>
      <c r="OHI32" s="206"/>
      <c r="OHJ32" s="206"/>
      <c r="OHK32" s="206"/>
      <c r="OHL32" s="206"/>
      <c r="OHM32" s="206"/>
      <c r="OHN32" s="206"/>
      <c r="OHO32" s="206"/>
      <c r="OHP32" s="206"/>
      <c r="OHQ32" s="206"/>
      <c r="OHR32" s="206"/>
      <c r="OHS32" s="206"/>
      <c r="OHT32" s="206"/>
      <c r="OHU32" s="206"/>
      <c r="OHV32" s="206"/>
      <c r="OHW32" s="206"/>
      <c r="OHX32" s="206"/>
      <c r="OHY32" s="206"/>
      <c r="OHZ32" s="206"/>
      <c r="OIA32" s="206"/>
      <c r="OIB32" s="206"/>
      <c r="OIC32" s="206"/>
      <c r="OID32" s="206"/>
      <c r="OIE32" s="206"/>
      <c r="OIF32" s="206"/>
      <c r="OIG32" s="206"/>
      <c r="OIH32" s="206"/>
      <c r="OII32" s="206"/>
      <c r="OIJ32" s="206"/>
      <c r="OIK32" s="206"/>
      <c r="OIL32" s="206"/>
      <c r="OIM32" s="206"/>
      <c r="OIN32" s="206"/>
      <c r="OIO32" s="206"/>
      <c r="OIP32" s="206"/>
      <c r="OIQ32" s="206"/>
      <c r="OIR32" s="206"/>
      <c r="OIS32" s="206"/>
      <c r="OIT32" s="206"/>
      <c r="OIU32" s="206"/>
      <c r="OIV32" s="206"/>
      <c r="OIW32" s="206"/>
      <c r="OIX32" s="206"/>
      <c r="OIY32" s="206"/>
      <c r="OIZ32" s="206"/>
      <c r="OJA32" s="206"/>
      <c r="OJB32" s="206"/>
      <c r="OJC32" s="206"/>
      <c r="OJD32" s="206"/>
      <c r="OJE32" s="206"/>
      <c r="OJF32" s="206"/>
      <c r="OJG32" s="206"/>
      <c r="OJH32" s="206"/>
      <c r="OJI32" s="206"/>
      <c r="OJJ32" s="206"/>
      <c r="OJK32" s="206"/>
      <c r="OJL32" s="206"/>
      <c r="OJM32" s="206"/>
      <c r="OJN32" s="206"/>
      <c r="OJO32" s="206"/>
      <c r="OJP32" s="206"/>
      <c r="OJQ32" s="206"/>
      <c r="OJR32" s="206"/>
      <c r="OJS32" s="206"/>
      <c r="OJT32" s="206"/>
      <c r="OJU32" s="206"/>
      <c r="OJV32" s="206"/>
      <c r="OJW32" s="206"/>
      <c r="OJX32" s="206"/>
      <c r="OJY32" s="206"/>
      <c r="OJZ32" s="206"/>
      <c r="OKA32" s="206"/>
      <c r="OKB32" s="206"/>
      <c r="OKC32" s="206"/>
      <c r="OKD32" s="206"/>
      <c r="OKE32" s="206"/>
      <c r="OKF32" s="206"/>
      <c r="OKG32" s="206"/>
      <c r="OKH32" s="206"/>
      <c r="OKI32" s="206"/>
      <c r="OKJ32" s="206"/>
      <c r="OKK32" s="206"/>
      <c r="OKL32" s="206"/>
      <c r="OKM32" s="206"/>
      <c r="OKN32" s="206"/>
      <c r="OKO32" s="206"/>
      <c r="OKP32" s="206"/>
      <c r="OKQ32" s="206"/>
      <c r="OKR32" s="206"/>
      <c r="OKS32" s="206"/>
      <c r="OKT32" s="206"/>
      <c r="OKU32" s="206"/>
      <c r="OKV32" s="206"/>
      <c r="OKW32" s="206"/>
      <c r="OKX32" s="206"/>
      <c r="OKY32" s="206"/>
      <c r="OKZ32" s="206"/>
      <c r="OLA32" s="206"/>
      <c r="OLB32" s="206"/>
      <c r="OLC32" s="206"/>
      <c r="OLD32" s="206"/>
      <c r="OLE32" s="206"/>
      <c r="OLF32" s="206"/>
      <c r="OLG32" s="206"/>
      <c r="OLH32" s="206"/>
      <c r="OLI32" s="206"/>
      <c r="OLJ32" s="206"/>
      <c r="OLK32" s="206"/>
      <c r="OLL32" s="206"/>
      <c r="OLM32" s="206"/>
      <c r="OLN32" s="206"/>
      <c r="OLO32" s="206"/>
      <c r="OLP32" s="206"/>
      <c r="OLQ32" s="206"/>
      <c r="OLR32" s="206"/>
      <c r="OLS32" s="206"/>
      <c r="OLT32" s="206"/>
      <c r="OLU32" s="206"/>
      <c r="OLV32" s="206"/>
      <c r="OLW32" s="206"/>
      <c r="OLX32" s="206"/>
      <c r="OLY32" s="206"/>
      <c r="OLZ32" s="206"/>
      <c r="OMA32" s="206"/>
      <c r="OMB32" s="206"/>
      <c r="OMC32" s="206"/>
      <c r="OMD32" s="206"/>
      <c r="OME32" s="206"/>
      <c r="OMF32" s="206"/>
      <c r="OMG32" s="206"/>
      <c r="OMH32" s="206"/>
      <c r="OMI32" s="206"/>
      <c r="OMJ32" s="206"/>
      <c r="OMK32" s="206"/>
      <c r="OML32" s="206"/>
      <c r="OMM32" s="206"/>
      <c r="OMN32" s="206"/>
      <c r="OMO32" s="206"/>
      <c r="OMP32" s="206"/>
      <c r="OMQ32" s="206"/>
      <c r="OMR32" s="206"/>
      <c r="OMS32" s="206"/>
      <c r="OMT32" s="206"/>
      <c r="OMU32" s="206"/>
      <c r="OMV32" s="206"/>
      <c r="OMW32" s="206"/>
      <c r="OMX32" s="206"/>
      <c r="OMY32" s="206"/>
      <c r="OMZ32" s="206"/>
      <c r="ONA32" s="206"/>
      <c r="ONB32" s="206"/>
      <c r="ONC32" s="206"/>
      <c r="OND32" s="206"/>
      <c r="ONE32" s="206"/>
      <c r="ONF32" s="206"/>
      <c r="ONG32" s="206"/>
      <c r="ONH32" s="206"/>
      <c r="ONI32" s="206"/>
      <c r="ONJ32" s="206"/>
      <c r="ONK32" s="206"/>
      <c r="ONL32" s="206"/>
      <c r="ONM32" s="206"/>
      <c r="ONN32" s="206"/>
      <c r="ONO32" s="206"/>
      <c r="ONP32" s="206"/>
      <c r="ONQ32" s="206"/>
      <c r="ONR32" s="206"/>
      <c r="ONS32" s="206"/>
      <c r="ONT32" s="206"/>
      <c r="ONU32" s="206"/>
      <c r="ONV32" s="206"/>
      <c r="ONW32" s="206"/>
      <c r="ONX32" s="206"/>
      <c r="ONY32" s="206"/>
      <c r="ONZ32" s="206"/>
      <c r="OOA32" s="206"/>
      <c r="OOB32" s="206"/>
      <c r="OOC32" s="206"/>
      <c r="OOD32" s="206"/>
      <c r="OOE32" s="206"/>
      <c r="OOF32" s="206"/>
      <c r="OOG32" s="206"/>
      <c r="OOH32" s="206"/>
      <c r="OOI32" s="206"/>
      <c r="OOJ32" s="206"/>
      <c r="OOK32" s="206"/>
      <c r="OOL32" s="206"/>
      <c r="OOM32" s="206"/>
      <c r="OON32" s="206"/>
      <c r="OOO32" s="206"/>
      <c r="OOP32" s="206"/>
      <c r="OOQ32" s="206"/>
      <c r="OOR32" s="206"/>
      <c r="OOS32" s="206"/>
      <c r="OOT32" s="206"/>
      <c r="OOU32" s="206"/>
      <c r="OOV32" s="206"/>
      <c r="OOW32" s="206"/>
      <c r="OOX32" s="206"/>
      <c r="OOY32" s="206"/>
      <c r="OOZ32" s="206"/>
      <c r="OPA32" s="206"/>
      <c r="OPB32" s="206"/>
      <c r="OPC32" s="206"/>
      <c r="OPD32" s="206"/>
      <c r="OPE32" s="206"/>
      <c r="OPF32" s="206"/>
      <c r="OPG32" s="206"/>
      <c r="OPH32" s="206"/>
      <c r="OPI32" s="206"/>
      <c r="OPJ32" s="206"/>
      <c r="OPK32" s="206"/>
      <c r="OPL32" s="206"/>
      <c r="OPM32" s="206"/>
      <c r="OPN32" s="206"/>
      <c r="OPO32" s="206"/>
      <c r="OPP32" s="206"/>
      <c r="OPQ32" s="206"/>
      <c r="OPR32" s="206"/>
      <c r="OPS32" s="206"/>
      <c r="OPT32" s="206"/>
      <c r="OPU32" s="206"/>
      <c r="OPV32" s="206"/>
      <c r="OPW32" s="206"/>
      <c r="OPX32" s="206"/>
      <c r="OPY32" s="206"/>
      <c r="OPZ32" s="206"/>
      <c r="OQA32" s="206"/>
      <c r="OQB32" s="206"/>
      <c r="OQC32" s="206"/>
      <c r="OQD32" s="206"/>
      <c r="OQE32" s="206"/>
      <c r="OQF32" s="206"/>
      <c r="OQG32" s="206"/>
      <c r="OQH32" s="206"/>
      <c r="OQI32" s="206"/>
      <c r="OQJ32" s="206"/>
      <c r="OQK32" s="206"/>
      <c r="OQL32" s="206"/>
      <c r="OQM32" s="206"/>
      <c r="OQN32" s="206"/>
      <c r="OQO32" s="206"/>
      <c r="OQP32" s="206"/>
      <c r="OQQ32" s="206"/>
      <c r="OQR32" s="206"/>
      <c r="OQS32" s="206"/>
      <c r="OQT32" s="206"/>
      <c r="OQU32" s="206"/>
      <c r="OQV32" s="206"/>
      <c r="OQW32" s="206"/>
      <c r="OQX32" s="206"/>
      <c r="OQY32" s="206"/>
      <c r="OQZ32" s="206"/>
      <c r="ORA32" s="206"/>
      <c r="ORB32" s="206"/>
      <c r="ORC32" s="206"/>
      <c r="ORD32" s="206"/>
      <c r="ORE32" s="206"/>
      <c r="ORF32" s="206"/>
      <c r="ORG32" s="206"/>
      <c r="ORH32" s="206"/>
      <c r="ORI32" s="206"/>
      <c r="ORJ32" s="206"/>
      <c r="ORK32" s="206"/>
      <c r="ORL32" s="206"/>
      <c r="ORM32" s="206"/>
      <c r="ORN32" s="206"/>
      <c r="ORO32" s="206"/>
      <c r="ORP32" s="206"/>
      <c r="ORQ32" s="206"/>
      <c r="ORR32" s="206"/>
      <c r="ORS32" s="206"/>
      <c r="ORT32" s="206"/>
      <c r="ORU32" s="206"/>
      <c r="ORV32" s="206"/>
      <c r="ORW32" s="206"/>
      <c r="ORX32" s="206"/>
      <c r="ORY32" s="206"/>
      <c r="ORZ32" s="206"/>
      <c r="OSA32" s="206"/>
      <c r="OSB32" s="206"/>
      <c r="OSC32" s="206"/>
      <c r="OSD32" s="206"/>
      <c r="OSE32" s="206"/>
      <c r="OSF32" s="206"/>
      <c r="OSG32" s="206"/>
      <c r="OSH32" s="206"/>
      <c r="OSI32" s="206"/>
      <c r="OSJ32" s="206"/>
      <c r="OSK32" s="206"/>
      <c r="OSL32" s="206"/>
      <c r="OSM32" s="206"/>
      <c r="OSN32" s="206"/>
      <c r="OSO32" s="206"/>
      <c r="OSP32" s="206"/>
      <c r="OSQ32" s="206"/>
      <c r="OSR32" s="206"/>
      <c r="OSS32" s="206"/>
      <c r="OST32" s="206"/>
      <c r="OSU32" s="206"/>
      <c r="OSV32" s="206"/>
      <c r="OSW32" s="206"/>
      <c r="OSX32" s="206"/>
      <c r="OSY32" s="206"/>
      <c r="OSZ32" s="206"/>
      <c r="OTA32" s="206"/>
      <c r="OTB32" s="206"/>
      <c r="OTC32" s="206"/>
      <c r="OTD32" s="206"/>
      <c r="OTE32" s="206"/>
      <c r="OTF32" s="206"/>
      <c r="OTG32" s="206"/>
      <c r="OTH32" s="206"/>
      <c r="OTI32" s="206"/>
      <c r="OTJ32" s="206"/>
      <c r="OTK32" s="206"/>
      <c r="OTL32" s="206"/>
      <c r="OTM32" s="206"/>
      <c r="OTN32" s="206"/>
      <c r="OTO32" s="206"/>
      <c r="OTP32" s="206"/>
      <c r="OTQ32" s="206"/>
      <c r="OTR32" s="206"/>
      <c r="OTS32" s="206"/>
      <c r="OTT32" s="206"/>
      <c r="OTU32" s="206"/>
      <c r="OTV32" s="206"/>
      <c r="OTW32" s="206"/>
      <c r="OTX32" s="206"/>
      <c r="OTY32" s="206"/>
      <c r="OTZ32" s="206"/>
      <c r="OUA32" s="206"/>
      <c r="OUB32" s="206"/>
      <c r="OUC32" s="206"/>
      <c r="OUD32" s="206"/>
      <c r="OUE32" s="206"/>
      <c r="OUF32" s="206"/>
      <c r="OUG32" s="206"/>
      <c r="OUH32" s="206"/>
      <c r="OUI32" s="206"/>
      <c r="OUJ32" s="206"/>
      <c r="OUK32" s="206"/>
      <c r="OUL32" s="206"/>
      <c r="OUM32" s="206"/>
      <c r="OUN32" s="206"/>
      <c r="OUO32" s="206"/>
      <c r="OUP32" s="206"/>
      <c r="OUQ32" s="206"/>
      <c r="OUR32" s="206"/>
      <c r="OUS32" s="206"/>
      <c r="OUT32" s="206"/>
      <c r="OUU32" s="206"/>
      <c r="OUV32" s="206"/>
      <c r="OUW32" s="206"/>
      <c r="OUX32" s="206"/>
      <c r="OUY32" s="206"/>
      <c r="OUZ32" s="206"/>
      <c r="OVA32" s="206"/>
      <c r="OVB32" s="206"/>
      <c r="OVC32" s="206"/>
      <c r="OVD32" s="206"/>
      <c r="OVE32" s="206"/>
      <c r="OVF32" s="206"/>
      <c r="OVG32" s="206"/>
      <c r="OVH32" s="206"/>
      <c r="OVI32" s="206"/>
      <c r="OVJ32" s="206"/>
      <c r="OVK32" s="206"/>
      <c r="OVL32" s="206"/>
      <c r="OVM32" s="206"/>
      <c r="OVN32" s="206"/>
      <c r="OVO32" s="206"/>
      <c r="OVP32" s="206"/>
      <c r="OVQ32" s="206"/>
      <c r="OVR32" s="206"/>
      <c r="OVS32" s="206"/>
      <c r="OVT32" s="206"/>
      <c r="OVU32" s="206"/>
      <c r="OVV32" s="206"/>
      <c r="OVW32" s="206"/>
      <c r="OVX32" s="206"/>
      <c r="OVY32" s="206"/>
      <c r="OVZ32" s="206"/>
      <c r="OWA32" s="206"/>
      <c r="OWB32" s="206"/>
      <c r="OWC32" s="206"/>
      <c r="OWD32" s="206"/>
      <c r="OWE32" s="206"/>
      <c r="OWF32" s="206"/>
      <c r="OWG32" s="206"/>
      <c r="OWH32" s="206"/>
      <c r="OWI32" s="206"/>
      <c r="OWJ32" s="206"/>
      <c r="OWK32" s="206"/>
      <c r="OWL32" s="206"/>
      <c r="OWM32" s="206"/>
      <c r="OWN32" s="206"/>
      <c r="OWO32" s="206"/>
      <c r="OWP32" s="206"/>
      <c r="OWQ32" s="206"/>
      <c r="OWR32" s="206"/>
      <c r="OWS32" s="206"/>
      <c r="OWT32" s="206"/>
      <c r="OWU32" s="206"/>
      <c r="OWV32" s="206"/>
      <c r="OWW32" s="206"/>
      <c r="OWX32" s="206"/>
      <c r="OWY32" s="206"/>
      <c r="OWZ32" s="206"/>
      <c r="OXA32" s="206"/>
      <c r="OXB32" s="206"/>
      <c r="OXC32" s="206"/>
      <c r="OXD32" s="206"/>
      <c r="OXE32" s="206"/>
      <c r="OXF32" s="206"/>
      <c r="OXG32" s="206"/>
      <c r="OXH32" s="206"/>
      <c r="OXI32" s="206"/>
      <c r="OXJ32" s="206"/>
      <c r="OXK32" s="206"/>
      <c r="OXL32" s="206"/>
      <c r="OXM32" s="206"/>
      <c r="OXN32" s="206"/>
      <c r="OXO32" s="206"/>
      <c r="OXP32" s="206"/>
      <c r="OXQ32" s="206"/>
      <c r="OXR32" s="206"/>
      <c r="OXS32" s="206"/>
      <c r="OXT32" s="206"/>
      <c r="OXU32" s="206"/>
      <c r="OXV32" s="206"/>
      <c r="OXW32" s="206"/>
      <c r="OXX32" s="206"/>
      <c r="OXY32" s="206"/>
      <c r="OXZ32" s="206"/>
      <c r="OYA32" s="206"/>
      <c r="OYB32" s="206"/>
      <c r="OYC32" s="206"/>
      <c r="OYD32" s="206"/>
      <c r="OYE32" s="206"/>
      <c r="OYF32" s="206"/>
      <c r="OYG32" s="206"/>
      <c r="OYH32" s="206"/>
      <c r="OYI32" s="206"/>
      <c r="OYJ32" s="206"/>
      <c r="OYK32" s="206"/>
      <c r="OYL32" s="206"/>
      <c r="OYM32" s="206"/>
      <c r="OYN32" s="206"/>
      <c r="OYO32" s="206"/>
      <c r="OYP32" s="206"/>
      <c r="OYQ32" s="206"/>
      <c r="OYR32" s="206"/>
      <c r="OYS32" s="206"/>
      <c r="OYT32" s="206"/>
      <c r="OYU32" s="206"/>
      <c r="OYV32" s="206"/>
      <c r="OYW32" s="206"/>
      <c r="OYX32" s="206"/>
      <c r="OYY32" s="206"/>
      <c r="OYZ32" s="206"/>
      <c r="OZA32" s="206"/>
      <c r="OZB32" s="206"/>
      <c r="OZC32" s="206"/>
      <c r="OZD32" s="206"/>
      <c r="OZE32" s="206"/>
      <c r="OZF32" s="206"/>
      <c r="OZG32" s="206"/>
      <c r="OZH32" s="206"/>
      <c r="OZI32" s="206"/>
      <c r="OZJ32" s="206"/>
      <c r="OZK32" s="206"/>
      <c r="OZL32" s="206"/>
      <c r="OZM32" s="206"/>
      <c r="OZN32" s="206"/>
      <c r="OZO32" s="206"/>
      <c r="OZP32" s="206"/>
      <c r="OZQ32" s="206"/>
      <c r="OZR32" s="206"/>
      <c r="OZS32" s="206"/>
      <c r="OZT32" s="206"/>
      <c r="OZU32" s="206"/>
      <c r="OZV32" s="206"/>
      <c r="OZW32" s="206"/>
      <c r="OZX32" s="206"/>
      <c r="OZY32" s="206"/>
      <c r="OZZ32" s="206"/>
      <c r="PAA32" s="206"/>
      <c r="PAB32" s="206"/>
      <c r="PAC32" s="206"/>
      <c r="PAD32" s="206"/>
      <c r="PAE32" s="206"/>
      <c r="PAF32" s="206"/>
      <c r="PAG32" s="206"/>
      <c r="PAH32" s="206"/>
      <c r="PAI32" s="206"/>
      <c r="PAJ32" s="206"/>
      <c r="PAK32" s="206"/>
      <c r="PAL32" s="206"/>
      <c r="PAM32" s="206"/>
      <c r="PAN32" s="206"/>
      <c r="PAO32" s="206"/>
      <c r="PAP32" s="206"/>
      <c r="PAQ32" s="206"/>
      <c r="PAR32" s="206"/>
      <c r="PAS32" s="206"/>
      <c r="PAT32" s="206"/>
      <c r="PAU32" s="206"/>
      <c r="PAV32" s="206"/>
      <c r="PAW32" s="206"/>
      <c r="PAX32" s="206"/>
      <c r="PAY32" s="206"/>
      <c r="PAZ32" s="206"/>
      <c r="PBA32" s="206"/>
      <c r="PBB32" s="206"/>
      <c r="PBC32" s="206"/>
      <c r="PBD32" s="206"/>
      <c r="PBE32" s="206"/>
      <c r="PBF32" s="206"/>
      <c r="PBG32" s="206"/>
      <c r="PBH32" s="206"/>
      <c r="PBI32" s="206"/>
      <c r="PBJ32" s="206"/>
      <c r="PBK32" s="206"/>
      <c r="PBL32" s="206"/>
      <c r="PBM32" s="206"/>
      <c r="PBN32" s="206"/>
      <c r="PBO32" s="206"/>
      <c r="PBP32" s="206"/>
      <c r="PBQ32" s="206"/>
      <c r="PBR32" s="206"/>
      <c r="PBS32" s="206"/>
      <c r="PBT32" s="206"/>
      <c r="PBU32" s="206"/>
      <c r="PBV32" s="206"/>
      <c r="PBW32" s="206"/>
      <c r="PBX32" s="206"/>
      <c r="PBY32" s="206"/>
      <c r="PBZ32" s="206"/>
      <c r="PCA32" s="206"/>
      <c r="PCB32" s="206"/>
      <c r="PCC32" s="206"/>
      <c r="PCD32" s="206"/>
      <c r="PCE32" s="206"/>
      <c r="PCF32" s="206"/>
      <c r="PCG32" s="206"/>
      <c r="PCH32" s="206"/>
      <c r="PCI32" s="206"/>
      <c r="PCJ32" s="206"/>
      <c r="PCK32" s="206"/>
      <c r="PCL32" s="206"/>
      <c r="PCM32" s="206"/>
      <c r="PCN32" s="206"/>
      <c r="PCO32" s="206"/>
      <c r="PCP32" s="206"/>
      <c r="PCQ32" s="206"/>
      <c r="PCR32" s="206"/>
      <c r="PCS32" s="206"/>
      <c r="PCT32" s="206"/>
      <c r="PCU32" s="206"/>
      <c r="PCV32" s="206"/>
      <c r="PCW32" s="206"/>
      <c r="PCX32" s="206"/>
      <c r="PCY32" s="206"/>
      <c r="PCZ32" s="206"/>
      <c r="PDA32" s="206"/>
      <c r="PDB32" s="206"/>
      <c r="PDC32" s="206"/>
      <c r="PDD32" s="206"/>
      <c r="PDE32" s="206"/>
      <c r="PDF32" s="206"/>
      <c r="PDG32" s="206"/>
      <c r="PDH32" s="206"/>
      <c r="PDI32" s="206"/>
      <c r="PDJ32" s="206"/>
      <c r="PDK32" s="206"/>
      <c r="PDL32" s="206"/>
      <c r="PDM32" s="206"/>
      <c r="PDN32" s="206"/>
      <c r="PDO32" s="206"/>
      <c r="PDP32" s="206"/>
      <c r="PDQ32" s="206"/>
      <c r="PDR32" s="206"/>
      <c r="PDS32" s="206"/>
      <c r="PDT32" s="206"/>
      <c r="PDU32" s="206"/>
      <c r="PDV32" s="206"/>
      <c r="PDW32" s="206"/>
      <c r="PDX32" s="206"/>
      <c r="PDY32" s="206"/>
      <c r="PDZ32" s="206"/>
      <c r="PEA32" s="206"/>
      <c r="PEB32" s="206"/>
      <c r="PEC32" s="206"/>
      <c r="PED32" s="206"/>
      <c r="PEE32" s="206"/>
      <c r="PEF32" s="206"/>
      <c r="PEG32" s="206"/>
      <c r="PEH32" s="206"/>
      <c r="PEI32" s="206"/>
      <c r="PEJ32" s="206"/>
      <c r="PEK32" s="206"/>
      <c r="PEL32" s="206"/>
      <c r="PEM32" s="206"/>
      <c r="PEN32" s="206"/>
      <c r="PEO32" s="206"/>
      <c r="PEP32" s="206"/>
      <c r="PEQ32" s="206"/>
      <c r="PER32" s="206"/>
      <c r="PES32" s="206"/>
      <c r="PET32" s="206"/>
      <c r="PEU32" s="206"/>
      <c r="PEV32" s="206"/>
      <c r="PEW32" s="206"/>
      <c r="PEX32" s="206"/>
      <c r="PEY32" s="206"/>
      <c r="PEZ32" s="206"/>
      <c r="PFA32" s="206"/>
      <c r="PFB32" s="206"/>
      <c r="PFC32" s="206"/>
      <c r="PFD32" s="206"/>
      <c r="PFE32" s="206"/>
      <c r="PFF32" s="206"/>
      <c r="PFG32" s="206"/>
      <c r="PFH32" s="206"/>
      <c r="PFI32" s="206"/>
      <c r="PFJ32" s="206"/>
      <c r="PFK32" s="206"/>
      <c r="PFL32" s="206"/>
      <c r="PFM32" s="206"/>
      <c r="PFN32" s="206"/>
      <c r="PFO32" s="206"/>
      <c r="PFP32" s="206"/>
      <c r="PFQ32" s="206"/>
      <c r="PFR32" s="206"/>
      <c r="PFS32" s="206"/>
      <c r="PFT32" s="206"/>
      <c r="PFU32" s="206"/>
      <c r="PFV32" s="206"/>
      <c r="PFW32" s="206"/>
      <c r="PFX32" s="206"/>
      <c r="PFY32" s="206"/>
      <c r="PFZ32" s="206"/>
      <c r="PGA32" s="206"/>
      <c r="PGB32" s="206"/>
      <c r="PGC32" s="206"/>
      <c r="PGD32" s="206"/>
      <c r="PGE32" s="206"/>
      <c r="PGF32" s="206"/>
      <c r="PGG32" s="206"/>
      <c r="PGH32" s="206"/>
      <c r="PGI32" s="206"/>
      <c r="PGJ32" s="206"/>
      <c r="PGK32" s="206"/>
      <c r="PGL32" s="206"/>
      <c r="PGM32" s="206"/>
      <c r="PGN32" s="206"/>
      <c r="PGO32" s="206"/>
      <c r="PGP32" s="206"/>
      <c r="PGQ32" s="206"/>
      <c r="PGR32" s="206"/>
      <c r="PGS32" s="206"/>
      <c r="PGT32" s="206"/>
      <c r="PGU32" s="206"/>
      <c r="PGV32" s="206"/>
      <c r="PGW32" s="206"/>
      <c r="PGX32" s="206"/>
      <c r="PGY32" s="206"/>
      <c r="PGZ32" s="206"/>
      <c r="PHA32" s="206"/>
      <c r="PHB32" s="206"/>
      <c r="PHC32" s="206"/>
      <c r="PHD32" s="206"/>
      <c r="PHE32" s="206"/>
      <c r="PHF32" s="206"/>
      <c r="PHG32" s="206"/>
      <c r="PHH32" s="206"/>
      <c r="PHI32" s="206"/>
      <c r="PHJ32" s="206"/>
      <c r="PHK32" s="206"/>
      <c r="PHL32" s="206"/>
      <c r="PHM32" s="206"/>
      <c r="PHN32" s="206"/>
      <c r="PHO32" s="206"/>
      <c r="PHP32" s="206"/>
      <c r="PHQ32" s="206"/>
      <c r="PHR32" s="206"/>
      <c r="PHS32" s="206"/>
      <c r="PHT32" s="206"/>
      <c r="PHU32" s="206"/>
      <c r="PHV32" s="206"/>
      <c r="PHW32" s="206"/>
      <c r="PHX32" s="206"/>
      <c r="PHY32" s="206"/>
      <c r="PHZ32" s="206"/>
      <c r="PIA32" s="206"/>
      <c r="PIB32" s="206"/>
      <c r="PIC32" s="206"/>
      <c r="PID32" s="206"/>
      <c r="PIE32" s="206"/>
      <c r="PIF32" s="206"/>
      <c r="PIG32" s="206"/>
      <c r="PIH32" s="206"/>
      <c r="PII32" s="206"/>
      <c r="PIJ32" s="206"/>
      <c r="PIK32" s="206"/>
      <c r="PIL32" s="206"/>
      <c r="PIM32" s="206"/>
      <c r="PIN32" s="206"/>
      <c r="PIO32" s="206"/>
      <c r="PIP32" s="206"/>
      <c r="PIQ32" s="206"/>
      <c r="PIR32" s="206"/>
      <c r="PIS32" s="206"/>
      <c r="PIT32" s="206"/>
      <c r="PIU32" s="206"/>
      <c r="PIV32" s="206"/>
      <c r="PIW32" s="206"/>
      <c r="PIX32" s="206"/>
      <c r="PIY32" s="206"/>
      <c r="PIZ32" s="206"/>
      <c r="PJA32" s="206"/>
      <c r="PJB32" s="206"/>
      <c r="PJC32" s="206"/>
      <c r="PJD32" s="206"/>
      <c r="PJE32" s="206"/>
      <c r="PJF32" s="206"/>
      <c r="PJG32" s="206"/>
      <c r="PJH32" s="206"/>
      <c r="PJI32" s="206"/>
      <c r="PJJ32" s="206"/>
      <c r="PJK32" s="206"/>
      <c r="PJL32" s="206"/>
      <c r="PJM32" s="206"/>
      <c r="PJN32" s="206"/>
      <c r="PJO32" s="206"/>
      <c r="PJP32" s="206"/>
      <c r="PJQ32" s="206"/>
      <c r="PJR32" s="206"/>
      <c r="PJS32" s="206"/>
      <c r="PJT32" s="206"/>
      <c r="PJU32" s="206"/>
      <c r="PJV32" s="206"/>
      <c r="PJW32" s="206"/>
      <c r="PJX32" s="206"/>
      <c r="PJY32" s="206"/>
      <c r="PJZ32" s="206"/>
      <c r="PKA32" s="206"/>
      <c r="PKB32" s="206"/>
      <c r="PKC32" s="206"/>
      <c r="PKD32" s="206"/>
      <c r="PKE32" s="206"/>
      <c r="PKF32" s="206"/>
      <c r="PKG32" s="206"/>
      <c r="PKH32" s="206"/>
      <c r="PKI32" s="206"/>
      <c r="PKJ32" s="206"/>
      <c r="PKK32" s="206"/>
      <c r="PKL32" s="206"/>
      <c r="PKM32" s="206"/>
      <c r="PKN32" s="206"/>
      <c r="PKO32" s="206"/>
      <c r="PKP32" s="206"/>
      <c r="PKQ32" s="206"/>
      <c r="PKR32" s="206"/>
      <c r="PKS32" s="206"/>
      <c r="PKT32" s="206"/>
      <c r="PKU32" s="206"/>
      <c r="PKV32" s="206"/>
      <c r="PKW32" s="206"/>
      <c r="PKX32" s="206"/>
      <c r="PKY32" s="206"/>
      <c r="PKZ32" s="206"/>
      <c r="PLA32" s="206"/>
      <c r="PLB32" s="206"/>
      <c r="PLC32" s="206"/>
      <c r="PLD32" s="206"/>
      <c r="PLE32" s="206"/>
      <c r="PLF32" s="206"/>
      <c r="PLG32" s="206"/>
      <c r="PLH32" s="206"/>
      <c r="PLI32" s="206"/>
      <c r="PLJ32" s="206"/>
      <c r="PLK32" s="206"/>
      <c r="PLL32" s="206"/>
      <c r="PLM32" s="206"/>
      <c r="PLN32" s="206"/>
      <c r="PLO32" s="206"/>
      <c r="PLP32" s="206"/>
      <c r="PLQ32" s="206"/>
      <c r="PLR32" s="206"/>
      <c r="PLS32" s="206"/>
      <c r="PLT32" s="206"/>
      <c r="PLU32" s="206"/>
      <c r="PLV32" s="206"/>
      <c r="PLW32" s="206"/>
      <c r="PLX32" s="206"/>
      <c r="PLY32" s="206"/>
      <c r="PLZ32" s="206"/>
      <c r="PMA32" s="206"/>
      <c r="PMB32" s="206"/>
      <c r="PMC32" s="206"/>
      <c r="PMD32" s="206"/>
      <c r="PME32" s="206"/>
      <c r="PMF32" s="206"/>
      <c r="PMG32" s="206"/>
      <c r="PMH32" s="206"/>
      <c r="PMI32" s="206"/>
      <c r="PMJ32" s="206"/>
      <c r="PMK32" s="206"/>
      <c r="PML32" s="206"/>
      <c r="PMM32" s="206"/>
      <c r="PMN32" s="206"/>
      <c r="PMO32" s="206"/>
      <c r="PMP32" s="206"/>
      <c r="PMQ32" s="206"/>
      <c r="PMR32" s="206"/>
      <c r="PMS32" s="206"/>
      <c r="PMT32" s="206"/>
      <c r="PMU32" s="206"/>
      <c r="PMV32" s="206"/>
      <c r="PMW32" s="206"/>
      <c r="PMX32" s="206"/>
      <c r="PMY32" s="206"/>
      <c r="PMZ32" s="206"/>
      <c r="PNA32" s="206"/>
      <c r="PNB32" s="206"/>
      <c r="PNC32" s="206"/>
      <c r="PND32" s="206"/>
      <c r="PNE32" s="206"/>
      <c r="PNF32" s="206"/>
      <c r="PNG32" s="206"/>
      <c r="PNH32" s="206"/>
      <c r="PNI32" s="206"/>
      <c r="PNJ32" s="206"/>
      <c r="PNK32" s="206"/>
      <c r="PNL32" s="206"/>
      <c r="PNM32" s="206"/>
      <c r="PNN32" s="206"/>
      <c r="PNO32" s="206"/>
      <c r="PNP32" s="206"/>
      <c r="PNQ32" s="206"/>
      <c r="PNR32" s="206"/>
      <c r="PNS32" s="206"/>
      <c r="PNT32" s="206"/>
      <c r="PNU32" s="206"/>
      <c r="PNV32" s="206"/>
      <c r="PNW32" s="206"/>
      <c r="PNX32" s="206"/>
      <c r="PNY32" s="206"/>
      <c r="PNZ32" s="206"/>
      <c r="POA32" s="206"/>
      <c r="POB32" s="206"/>
      <c r="POC32" s="206"/>
      <c r="POD32" s="206"/>
      <c r="POE32" s="206"/>
      <c r="POF32" s="206"/>
      <c r="POG32" s="206"/>
      <c r="POH32" s="206"/>
      <c r="POI32" s="206"/>
      <c r="POJ32" s="206"/>
      <c r="POK32" s="206"/>
      <c r="POL32" s="206"/>
      <c r="POM32" s="206"/>
      <c r="PON32" s="206"/>
      <c r="POO32" s="206"/>
      <c r="POP32" s="206"/>
      <c r="POQ32" s="206"/>
      <c r="POR32" s="206"/>
      <c r="POS32" s="206"/>
      <c r="POT32" s="206"/>
      <c r="POU32" s="206"/>
      <c r="POV32" s="206"/>
      <c r="POW32" s="206"/>
      <c r="POX32" s="206"/>
      <c r="POY32" s="206"/>
      <c r="POZ32" s="206"/>
      <c r="PPA32" s="206"/>
      <c r="PPB32" s="206"/>
      <c r="PPC32" s="206"/>
      <c r="PPD32" s="206"/>
      <c r="PPE32" s="206"/>
      <c r="PPF32" s="206"/>
      <c r="PPG32" s="206"/>
      <c r="PPH32" s="206"/>
      <c r="PPI32" s="206"/>
      <c r="PPJ32" s="206"/>
      <c r="PPK32" s="206"/>
      <c r="PPL32" s="206"/>
      <c r="PPM32" s="206"/>
      <c r="PPN32" s="206"/>
      <c r="PPO32" s="206"/>
      <c r="PPP32" s="206"/>
      <c r="PPQ32" s="206"/>
      <c r="PPR32" s="206"/>
      <c r="PPS32" s="206"/>
      <c r="PPT32" s="206"/>
      <c r="PPU32" s="206"/>
      <c r="PPV32" s="206"/>
      <c r="PPW32" s="206"/>
      <c r="PPX32" s="206"/>
      <c r="PPY32" s="206"/>
      <c r="PPZ32" s="206"/>
      <c r="PQA32" s="206"/>
      <c r="PQB32" s="206"/>
      <c r="PQC32" s="206"/>
      <c r="PQD32" s="206"/>
      <c r="PQE32" s="206"/>
      <c r="PQF32" s="206"/>
      <c r="PQG32" s="206"/>
      <c r="PQH32" s="206"/>
      <c r="PQI32" s="206"/>
      <c r="PQJ32" s="206"/>
      <c r="PQK32" s="206"/>
      <c r="PQL32" s="206"/>
      <c r="PQM32" s="206"/>
      <c r="PQN32" s="206"/>
      <c r="PQO32" s="206"/>
      <c r="PQP32" s="206"/>
      <c r="PQQ32" s="206"/>
      <c r="PQR32" s="206"/>
      <c r="PQS32" s="206"/>
      <c r="PQT32" s="206"/>
      <c r="PQU32" s="206"/>
      <c r="PQV32" s="206"/>
      <c r="PQW32" s="206"/>
      <c r="PQX32" s="206"/>
      <c r="PQY32" s="206"/>
      <c r="PQZ32" s="206"/>
      <c r="PRA32" s="206"/>
      <c r="PRB32" s="206"/>
      <c r="PRC32" s="206"/>
      <c r="PRD32" s="206"/>
      <c r="PRE32" s="206"/>
      <c r="PRF32" s="206"/>
      <c r="PRG32" s="206"/>
      <c r="PRH32" s="206"/>
      <c r="PRI32" s="206"/>
      <c r="PRJ32" s="206"/>
      <c r="PRK32" s="206"/>
      <c r="PRL32" s="206"/>
      <c r="PRM32" s="206"/>
      <c r="PRN32" s="206"/>
      <c r="PRO32" s="206"/>
      <c r="PRP32" s="206"/>
      <c r="PRQ32" s="206"/>
      <c r="PRR32" s="206"/>
      <c r="PRS32" s="206"/>
      <c r="PRT32" s="206"/>
      <c r="PRU32" s="206"/>
      <c r="PRV32" s="206"/>
      <c r="PRW32" s="206"/>
      <c r="PRX32" s="206"/>
      <c r="PRY32" s="206"/>
      <c r="PRZ32" s="206"/>
      <c r="PSA32" s="206"/>
      <c r="PSB32" s="206"/>
      <c r="PSC32" s="206"/>
      <c r="PSD32" s="206"/>
      <c r="PSE32" s="206"/>
      <c r="PSF32" s="206"/>
      <c r="PSG32" s="206"/>
      <c r="PSH32" s="206"/>
      <c r="PSI32" s="206"/>
      <c r="PSJ32" s="206"/>
      <c r="PSK32" s="206"/>
      <c r="PSL32" s="206"/>
      <c r="PSM32" s="206"/>
      <c r="PSN32" s="206"/>
      <c r="PSO32" s="206"/>
      <c r="PSP32" s="206"/>
      <c r="PSQ32" s="206"/>
      <c r="PSR32" s="206"/>
      <c r="PSS32" s="206"/>
      <c r="PST32" s="206"/>
      <c r="PSU32" s="206"/>
      <c r="PSV32" s="206"/>
      <c r="PSW32" s="206"/>
      <c r="PSX32" s="206"/>
      <c r="PSY32" s="206"/>
      <c r="PSZ32" s="206"/>
      <c r="PTA32" s="206"/>
      <c r="PTB32" s="206"/>
      <c r="PTC32" s="206"/>
      <c r="PTD32" s="206"/>
      <c r="PTE32" s="206"/>
      <c r="PTF32" s="206"/>
      <c r="PTG32" s="206"/>
      <c r="PTH32" s="206"/>
      <c r="PTI32" s="206"/>
      <c r="PTJ32" s="206"/>
      <c r="PTK32" s="206"/>
      <c r="PTL32" s="206"/>
      <c r="PTM32" s="206"/>
      <c r="PTN32" s="206"/>
      <c r="PTO32" s="206"/>
      <c r="PTP32" s="206"/>
      <c r="PTQ32" s="206"/>
      <c r="PTR32" s="206"/>
      <c r="PTS32" s="206"/>
      <c r="PTT32" s="206"/>
      <c r="PTU32" s="206"/>
      <c r="PTV32" s="206"/>
      <c r="PTW32" s="206"/>
      <c r="PTX32" s="206"/>
      <c r="PTY32" s="206"/>
      <c r="PTZ32" s="206"/>
      <c r="PUA32" s="206"/>
      <c r="PUB32" s="206"/>
      <c r="PUC32" s="206"/>
      <c r="PUD32" s="206"/>
      <c r="PUE32" s="206"/>
      <c r="PUF32" s="206"/>
      <c r="PUG32" s="206"/>
      <c r="PUH32" s="206"/>
      <c r="PUI32" s="206"/>
      <c r="PUJ32" s="206"/>
      <c r="PUK32" s="206"/>
      <c r="PUL32" s="206"/>
      <c r="PUM32" s="206"/>
      <c r="PUN32" s="206"/>
      <c r="PUO32" s="206"/>
      <c r="PUP32" s="206"/>
      <c r="PUQ32" s="206"/>
      <c r="PUR32" s="206"/>
      <c r="PUS32" s="206"/>
      <c r="PUT32" s="206"/>
      <c r="PUU32" s="206"/>
      <c r="PUV32" s="206"/>
      <c r="PUW32" s="206"/>
      <c r="PUX32" s="206"/>
      <c r="PUY32" s="206"/>
      <c r="PUZ32" s="206"/>
      <c r="PVA32" s="206"/>
      <c r="PVB32" s="206"/>
      <c r="PVC32" s="206"/>
      <c r="PVD32" s="206"/>
      <c r="PVE32" s="206"/>
      <c r="PVF32" s="206"/>
      <c r="PVG32" s="206"/>
      <c r="PVH32" s="206"/>
      <c r="PVI32" s="206"/>
      <c r="PVJ32" s="206"/>
      <c r="PVK32" s="206"/>
      <c r="PVL32" s="206"/>
      <c r="PVM32" s="206"/>
      <c r="PVN32" s="206"/>
      <c r="PVO32" s="206"/>
      <c r="PVP32" s="206"/>
      <c r="PVQ32" s="206"/>
      <c r="PVR32" s="206"/>
      <c r="PVS32" s="206"/>
      <c r="PVT32" s="206"/>
      <c r="PVU32" s="206"/>
      <c r="PVV32" s="206"/>
      <c r="PVW32" s="206"/>
      <c r="PVX32" s="206"/>
      <c r="PVY32" s="206"/>
      <c r="PVZ32" s="206"/>
      <c r="PWA32" s="206"/>
      <c r="PWB32" s="206"/>
      <c r="PWC32" s="206"/>
      <c r="PWD32" s="206"/>
      <c r="PWE32" s="206"/>
      <c r="PWF32" s="206"/>
      <c r="PWG32" s="206"/>
      <c r="PWH32" s="206"/>
      <c r="PWI32" s="206"/>
      <c r="PWJ32" s="206"/>
      <c r="PWK32" s="206"/>
      <c r="PWL32" s="206"/>
      <c r="PWM32" s="206"/>
      <c r="PWN32" s="206"/>
      <c r="PWO32" s="206"/>
      <c r="PWP32" s="206"/>
      <c r="PWQ32" s="206"/>
      <c r="PWR32" s="206"/>
      <c r="PWS32" s="206"/>
      <c r="PWT32" s="206"/>
      <c r="PWU32" s="206"/>
      <c r="PWV32" s="206"/>
      <c r="PWW32" s="206"/>
      <c r="PWX32" s="206"/>
      <c r="PWY32" s="206"/>
      <c r="PWZ32" s="206"/>
      <c r="PXA32" s="206"/>
      <c r="PXB32" s="206"/>
      <c r="PXC32" s="206"/>
      <c r="PXD32" s="206"/>
      <c r="PXE32" s="206"/>
      <c r="PXF32" s="206"/>
      <c r="PXG32" s="206"/>
      <c r="PXH32" s="206"/>
      <c r="PXI32" s="206"/>
      <c r="PXJ32" s="206"/>
      <c r="PXK32" s="206"/>
      <c r="PXL32" s="206"/>
      <c r="PXM32" s="206"/>
      <c r="PXN32" s="206"/>
      <c r="PXO32" s="206"/>
      <c r="PXP32" s="206"/>
      <c r="PXQ32" s="206"/>
      <c r="PXR32" s="206"/>
      <c r="PXS32" s="206"/>
      <c r="PXT32" s="206"/>
      <c r="PXU32" s="206"/>
      <c r="PXV32" s="206"/>
      <c r="PXW32" s="206"/>
      <c r="PXX32" s="206"/>
      <c r="PXY32" s="206"/>
      <c r="PXZ32" s="206"/>
      <c r="PYA32" s="206"/>
      <c r="PYB32" s="206"/>
      <c r="PYC32" s="206"/>
      <c r="PYD32" s="206"/>
      <c r="PYE32" s="206"/>
      <c r="PYF32" s="206"/>
      <c r="PYG32" s="206"/>
      <c r="PYH32" s="206"/>
      <c r="PYI32" s="206"/>
      <c r="PYJ32" s="206"/>
      <c r="PYK32" s="206"/>
      <c r="PYL32" s="206"/>
      <c r="PYM32" s="206"/>
      <c r="PYN32" s="206"/>
      <c r="PYO32" s="206"/>
      <c r="PYP32" s="206"/>
      <c r="PYQ32" s="206"/>
      <c r="PYR32" s="206"/>
      <c r="PYS32" s="206"/>
      <c r="PYT32" s="206"/>
      <c r="PYU32" s="206"/>
      <c r="PYV32" s="206"/>
      <c r="PYW32" s="206"/>
      <c r="PYX32" s="206"/>
      <c r="PYY32" s="206"/>
      <c r="PYZ32" s="206"/>
      <c r="PZA32" s="206"/>
      <c r="PZB32" s="206"/>
      <c r="PZC32" s="206"/>
      <c r="PZD32" s="206"/>
      <c r="PZE32" s="206"/>
      <c r="PZF32" s="206"/>
      <c r="PZG32" s="206"/>
      <c r="PZH32" s="206"/>
      <c r="PZI32" s="206"/>
      <c r="PZJ32" s="206"/>
      <c r="PZK32" s="206"/>
      <c r="PZL32" s="206"/>
      <c r="PZM32" s="206"/>
      <c r="PZN32" s="206"/>
      <c r="PZO32" s="206"/>
      <c r="PZP32" s="206"/>
      <c r="PZQ32" s="206"/>
      <c r="PZR32" s="206"/>
      <c r="PZS32" s="206"/>
      <c r="PZT32" s="206"/>
      <c r="PZU32" s="206"/>
      <c r="PZV32" s="206"/>
      <c r="PZW32" s="206"/>
      <c r="PZX32" s="206"/>
      <c r="PZY32" s="206"/>
      <c r="PZZ32" s="206"/>
      <c r="QAA32" s="206"/>
      <c r="QAB32" s="206"/>
      <c r="QAC32" s="206"/>
      <c r="QAD32" s="206"/>
      <c r="QAE32" s="206"/>
      <c r="QAF32" s="206"/>
      <c r="QAG32" s="206"/>
      <c r="QAH32" s="206"/>
      <c r="QAI32" s="206"/>
      <c r="QAJ32" s="206"/>
      <c r="QAK32" s="206"/>
      <c r="QAL32" s="206"/>
      <c r="QAM32" s="206"/>
      <c r="QAN32" s="206"/>
      <c r="QAO32" s="206"/>
      <c r="QAP32" s="206"/>
      <c r="QAQ32" s="206"/>
      <c r="QAR32" s="206"/>
      <c r="QAS32" s="206"/>
      <c r="QAT32" s="206"/>
      <c r="QAU32" s="206"/>
      <c r="QAV32" s="206"/>
      <c r="QAW32" s="206"/>
      <c r="QAX32" s="206"/>
      <c r="QAY32" s="206"/>
      <c r="QAZ32" s="206"/>
      <c r="QBA32" s="206"/>
      <c r="QBB32" s="206"/>
      <c r="QBC32" s="206"/>
      <c r="QBD32" s="206"/>
      <c r="QBE32" s="206"/>
      <c r="QBF32" s="206"/>
      <c r="QBG32" s="206"/>
      <c r="QBH32" s="206"/>
      <c r="QBI32" s="206"/>
      <c r="QBJ32" s="206"/>
      <c r="QBK32" s="206"/>
      <c r="QBL32" s="206"/>
      <c r="QBM32" s="206"/>
      <c r="QBN32" s="206"/>
      <c r="QBO32" s="206"/>
      <c r="QBP32" s="206"/>
      <c r="QBQ32" s="206"/>
      <c r="QBR32" s="206"/>
      <c r="QBS32" s="206"/>
      <c r="QBT32" s="206"/>
      <c r="QBU32" s="206"/>
      <c r="QBV32" s="206"/>
      <c r="QBW32" s="206"/>
      <c r="QBX32" s="206"/>
      <c r="QBY32" s="206"/>
      <c r="QBZ32" s="206"/>
      <c r="QCA32" s="206"/>
      <c r="QCB32" s="206"/>
      <c r="QCC32" s="206"/>
      <c r="QCD32" s="206"/>
      <c r="QCE32" s="206"/>
      <c r="QCF32" s="206"/>
      <c r="QCG32" s="206"/>
      <c r="QCH32" s="206"/>
      <c r="QCI32" s="206"/>
      <c r="QCJ32" s="206"/>
      <c r="QCK32" s="206"/>
      <c r="QCL32" s="206"/>
      <c r="QCM32" s="206"/>
      <c r="QCN32" s="206"/>
      <c r="QCO32" s="206"/>
      <c r="QCP32" s="206"/>
      <c r="QCQ32" s="206"/>
      <c r="QCR32" s="206"/>
      <c r="QCS32" s="206"/>
      <c r="QCT32" s="206"/>
      <c r="QCU32" s="206"/>
      <c r="QCV32" s="206"/>
      <c r="QCW32" s="206"/>
      <c r="QCX32" s="206"/>
      <c r="QCY32" s="206"/>
      <c r="QCZ32" s="206"/>
      <c r="QDA32" s="206"/>
      <c r="QDB32" s="206"/>
      <c r="QDC32" s="206"/>
      <c r="QDD32" s="206"/>
      <c r="QDE32" s="206"/>
      <c r="QDF32" s="206"/>
      <c r="QDG32" s="206"/>
      <c r="QDH32" s="206"/>
      <c r="QDI32" s="206"/>
      <c r="QDJ32" s="206"/>
      <c r="QDK32" s="206"/>
      <c r="QDL32" s="206"/>
      <c r="QDM32" s="206"/>
      <c r="QDN32" s="206"/>
      <c r="QDO32" s="206"/>
      <c r="QDP32" s="206"/>
      <c r="QDQ32" s="206"/>
      <c r="QDR32" s="206"/>
      <c r="QDS32" s="206"/>
      <c r="QDT32" s="206"/>
      <c r="QDU32" s="206"/>
      <c r="QDV32" s="206"/>
      <c r="QDW32" s="206"/>
      <c r="QDX32" s="206"/>
      <c r="QDY32" s="206"/>
      <c r="QDZ32" s="206"/>
      <c r="QEA32" s="206"/>
      <c r="QEB32" s="206"/>
      <c r="QEC32" s="206"/>
      <c r="QED32" s="206"/>
      <c r="QEE32" s="206"/>
      <c r="QEF32" s="206"/>
      <c r="QEG32" s="206"/>
      <c r="QEH32" s="206"/>
      <c r="QEI32" s="206"/>
      <c r="QEJ32" s="206"/>
      <c r="QEK32" s="206"/>
      <c r="QEL32" s="206"/>
      <c r="QEM32" s="206"/>
      <c r="QEN32" s="206"/>
      <c r="QEO32" s="206"/>
      <c r="QEP32" s="206"/>
      <c r="QEQ32" s="206"/>
      <c r="QER32" s="206"/>
      <c r="QES32" s="206"/>
      <c r="QET32" s="206"/>
      <c r="QEU32" s="206"/>
      <c r="QEV32" s="206"/>
      <c r="QEW32" s="206"/>
      <c r="QEX32" s="206"/>
      <c r="QEY32" s="206"/>
      <c r="QEZ32" s="206"/>
      <c r="QFA32" s="206"/>
      <c r="QFB32" s="206"/>
      <c r="QFC32" s="206"/>
      <c r="QFD32" s="206"/>
      <c r="QFE32" s="206"/>
      <c r="QFF32" s="206"/>
      <c r="QFG32" s="206"/>
      <c r="QFH32" s="206"/>
      <c r="QFI32" s="206"/>
      <c r="QFJ32" s="206"/>
      <c r="QFK32" s="206"/>
      <c r="QFL32" s="206"/>
      <c r="QFM32" s="206"/>
      <c r="QFN32" s="206"/>
      <c r="QFO32" s="206"/>
      <c r="QFP32" s="206"/>
      <c r="QFQ32" s="206"/>
      <c r="QFR32" s="206"/>
      <c r="QFS32" s="206"/>
      <c r="QFT32" s="206"/>
      <c r="QFU32" s="206"/>
      <c r="QFV32" s="206"/>
      <c r="QFW32" s="206"/>
      <c r="QFX32" s="206"/>
      <c r="QFY32" s="206"/>
      <c r="QFZ32" s="206"/>
      <c r="QGA32" s="206"/>
      <c r="QGB32" s="206"/>
      <c r="QGC32" s="206"/>
      <c r="QGD32" s="206"/>
      <c r="QGE32" s="206"/>
      <c r="QGF32" s="206"/>
      <c r="QGG32" s="206"/>
      <c r="QGH32" s="206"/>
      <c r="QGI32" s="206"/>
      <c r="QGJ32" s="206"/>
      <c r="QGK32" s="206"/>
      <c r="QGL32" s="206"/>
      <c r="QGM32" s="206"/>
      <c r="QGN32" s="206"/>
      <c r="QGO32" s="206"/>
      <c r="QGP32" s="206"/>
      <c r="QGQ32" s="206"/>
      <c r="QGR32" s="206"/>
      <c r="QGS32" s="206"/>
      <c r="QGT32" s="206"/>
      <c r="QGU32" s="206"/>
      <c r="QGV32" s="206"/>
      <c r="QGW32" s="206"/>
      <c r="QGX32" s="206"/>
      <c r="QGY32" s="206"/>
      <c r="QGZ32" s="206"/>
      <c r="QHA32" s="206"/>
      <c r="QHB32" s="206"/>
      <c r="QHC32" s="206"/>
      <c r="QHD32" s="206"/>
      <c r="QHE32" s="206"/>
      <c r="QHF32" s="206"/>
      <c r="QHG32" s="206"/>
      <c r="QHH32" s="206"/>
      <c r="QHI32" s="206"/>
      <c r="QHJ32" s="206"/>
      <c r="QHK32" s="206"/>
      <c r="QHL32" s="206"/>
      <c r="QHM32" s="206"/>
      <c r="QHN32" s="206"/>
      <c r="QHO32" s="206"/>
      <c r="QHP32" s="206"/>
      <c r="QHQ32" s="206"/>
      <c r="QHR32" s="206"/>
      <c r="QHS32" s="206"/>
      <c r="QHT32" s="206"/>
      <c r="QHU32" s="206"/>
      <c r="QHV32" s="206"/>
      <c r="QHW32" s="206"/>
      <c r="QHX32" s="206"/>
      <c r="QHY32" s="206"/>
      <c r="QHZ32" s="206"/>
      <c r="QIA32" s="206"/>
      <c r="QIB32" s="206"/>
      <c r="QIC32" s="206"/>
      <c r="QID32" s="206"/>
      <c r="QIE32" s="206"/>
      <c r="QIF32" s="206"/>
      <c r="QIG32" s="206"/>
      <c r="QIH32" s="206"/>
      <c r="QII32" s="206"/>
      <c r="QIJ32" s="206"/>
      <c r="QIK32" s="206"/>
      <c r="QIL32" s="206"/>
      <c r="QIM32" s="206"/>
      <c r="QIN32" s="206"/>
      <c r="QIO32" s="206"/>
      <c r="QIP32" s="206"/>
      <c r="QIQ32" s="206"/>
      <c r="QIR32" s="206"/>
      <c r="QIS32" s="206"/>
      <c r="QIT32" s="206"/>
      <c r="QIU32" s="206"/>
      <c r="QIV32" s="206"/>
      <c r="QIW32" s="206"/>
      <c r="QIX32" s="206"/>
      <c r="QIY32" s="206"/>
      <c r="QIZ32" s="206"/>
      <c r="QJA32" s="206"/>
      <c r="QJB32" s="206"/>
      <c r="QJC32" s="206"/>
      <c r="QJD32" s="206"/>
      <c r="QJE32" s="206"/>
      <c r="QJF32" s="206"/>
      <c r="QJG32" s="206"/>
      <c r="QJH32" s="206"/>
      <c r="QJI32" s="206"/>
      <c r="QJJ32" s="206"/>
      <c r="QJK32" s="206"/>
      <c r="QJL32" s="206"/>
      <c r="QJM32" s="206"/>
      <c r="QJN32" s="206"/>
      <c r="QJO32" s="206"/>
      <c r="QJP32" s="206"/>
      <c r="QJQ32" s="206"/>
      <c r="QJR32" s="206"/>
      <c r="QJS32" s="206"/>
      <c r="QJT32" s="206"/>
      <c r="QJU32" s="206"/>
      <c r="QJV32" s="206"/>
      <c r="QJW32" s="206"/>
      <c r="QJX32" s="206"/>
      <c r="QJY32" s="206"/>
      <c r="QJZ32" s="206"/>
      <c r="QKA32" s="206"/>
      <c r="QKB32" s="206"/>
      <c r="QKC32" s="206"/>
      <c r="QKD32" s="206"/>
      <c r="QKE32" s="206"/>
      <c r="QKF32" s="206"/>
      <c r="QKG32" s="206"/>
      <c r="QKH32" s="206"/>
      <c r="QKI32" s="206"/>
      <c r="QKJ32" s="206"/>
      <c r="QKK32" s="206"/>
      <c r="QKL32" s="206"/>
      <c r="QKM32" s="206"/>
      <c r="QKN32" s="206"/>
      <c r="QKO32" s="206"/>
      <c r="QKP32" s="206"/>
      <c r="QKQ32" s="206"/>
      <c r="QKR32" s="206"/>
      <c r="QKS32" s="206"/>
      <c r="QKT32" s="206"/>
      <c r="QKU32" s="206"/>
      <c r="QKV32" s="206"/>
      <c r="QKW32" s="206"/>
      <c r="QKX32" s="206"/>
      <c r="QKY32" s="206"/>
      <c r="QKZ32" s="206"/>
      <c r="QLA32" s="206"/>
      <c r="QLB32" s="206"/>
      <c r="QLC32" s="206"/>
      <c r="QLD32" s="206"/>
      <c r="QLE32" s="206"/>
      <c r="QLF32" s="206"/>
      <c r="QLG32" s="206"/>
      <c r="QLH32" s="206"/>
      <c r="QLI32" s="206"/>
      <c r="QLJ32" s="206"/>
      <c r="QLK32" s="206"/>
      <c r="QLL32" s="206"/>
      <c r="QLM32" s="206"/>
      <c r="QLN32" s="206"/>
      <c r="QLO32" s="206"/>
      <c r="QLP32" s="206"/>
      <c r="QLQ32" s="206"/>
      <c r="QLR32" s="206"/>
      <c r="QLS32" s="206"/>
      <c r="QLT32" s="206"/>
      <c r="QLU32" s="206"/>
      <c r="QLV32" s="206"/>
      <c r="QLW32" s="206"/>
      <c r="QLX32" s="206"/>
      <c r="QLY32" s="206"/>
      <c r="QLZ32" s="206"/>
      <c r="QMA32" s="206"/>
      <c r="QMB32" s="206"/>
      <c r="QMC32" s="206"/>
      <c r="QMD32" s="206"/>
      <c r="QME32" s="206"/>
      <c r="QMF32" s="206"/>
      <c r="QMG32" s="206"/>
      <c r="QMH32" s="206"/>
      <c r="QMI32" s="206"/>
      <c r="QMJ32" s="206"/>
      <c r="QMK32" s="206"/>
      <c r="QML32" s="206"/>
      <c r="QMM32" s="206"/>
      <c r="QMN32" s="206"/>
      <c r="QMO32" s="206"/>
      <c r="QMP32" s="206"/>
      <c r="QMQ32" s="206"/>
      <c r="QMR32" s="206"/>
      <c r="QMS32" s="206"/>
      <c r="QMT32" s="206"/>
      <c r="QMU32" s="206"/>
      <c r="QMV32" s="206"/>
      <c r="QMW32" s="206"/>
      <c r="QMX32" s="206"/>
      <c r="QMY32" s="206"/>
      <c r="QMZ32" s="206"/>
      <c r="QNA32" s="206"/>
      <c r="QNB32" s="206"/>
      <c r="QNC32" s="206"/>
      <c r="QND32" s="206"/>
      <c r="QNE32" s="206"/>
      <c r="QNF32" s="206"/>
      <c r="QNG32" s="206"/>
      <c r="QNH32" s="206"/>
      <c r="QNI32" s="206"/>
      <c r="QNJ32" s="206"/>
      <c r="QNK32" s="206"/>
      <c r="QNL32" s="206"/>
      <c r="QNM32" s="206"/>
      <c r="QNN32" s="206"/>
      <c r="QNO32" s="206"/>
      <c r="QNP32" s="206"/>
      <c r="QNQ32" s="206"/>
      <c r="QNR32" s="206"/>
      <c r="QNS32" s="206"/>
      <c r="QNT32" s="206"/>
      <c r="QNU32" s="206"/>
      <c r="QNV32" s="206"/>
      <c r="QNW32" s="206"/>
      <c r="QNX32" s="206"/>
      <c r="QNY32" s="206"/>
      <c r="QNZ32" s="206"/>
      <c r="QOA32" s="206"/>
      <c r="QOB32" s="206"/>
      <c r="QOC32" s="206"/>
      <c r="QOD32" s="206"/>
      <c r="QOE32" s="206"/>
      <c r="QOF32" s="206"/>
      <c r="QOG32" s="206"/>
      <c r="QOH32" s="206"/>
      <c r="QOI32" s="206"/>
      <c r="QOJ32" s="206"/>
      <c r="QOK32" s="206"/>
      <c r="QOL32" s="206"/>
      <c r="QOM32" s="206"/>
      <c r="QON32" s="206"/>
      <c r="QOO32" s="206"/>
      <c r="QOP32" s="206"/>
      <c r="QOQ32" s="206"/>
      <c r="QOR32" s="206"/>
      <c r="QOS32" s="206"/>
      <c r="QOT32" s="206"/>
      <c r="QOU32" s="206"/>
      <c r="QOV32" s="206"/>
      <c r="QOW32" s="206"/>
      <c r="QOX32" s="206"/>
      <c r="QOY32" s="206"/>
      <c r="QOZ32" s="206"/>
      <c r="QPA32" s="206"/>
      <c r="QPB32" s="206"/>
      <c r="QPC32" s="206"/>
      <c r="QPD32" s="206"/>
      <c r="QPE32" s="206"/>
      <c r="QPF32" s="206"/>
      <c r="QPG32" s="206"/>
      <c r="QPH32" s="206"/>
      <c r="QPI32" s="206"/>
      <c r="QPJ32" s="206"/>
      <c r="QPK32" s="206"/>
      <c r="QPL32" s="206"/>
      <c r="QPM32" s="206"/>
      <c r="QPN32" s="206"/>
      <c r="QPO32" s="206"/>
      <c r="QPP32" s="206"/>
      <c r="QPQ32" s="206"/>
      <c r="QPR32" s="206"/>
      <c r="QPS32" s="206"/>
      <c r="QPT32" s="206"/>
      <c r="QPU32" s="206"/>
      <c r="QPV32" s="206"/>
      <c r="QPW32" s="206"/>
      <c r="QPX32" s="206"/>
      <c r="QPY32" s="206"/>
      <c r="QPZ32" s="206"/>
      <c r="QQA32" s="206"/>
      <c r="QQB32" s="206"/>
      <c r="QQC32" s="206"/>
      <c r="QQD32" s="206"/>
      <c r="QQE32" s="206"/>
      <c r="QQF32" s="206"/>
      <c r="QQG32" s="206"/>
      <c r="QQH32" s="206"/>
      <c r="QQI32" s="206"/>
      <c r="QQJ32" s="206"/>
      <c r="QQK32" s="206"/>
      <c r="QQL32" s="206"/>
      <c r="QQM32" s="206"/>
      <c r="QQN32" s="206"/>
      <c r="QQO32" s="206"/>
      <c r="QQP32" s="206"/>
      <c r="QQQ32" s="206"/>
      <c r="QQR32" s="206"/>
      <c r="QQS32" s="206"/>
      <c r="QQT32" s="206"/>
      <c r="QQU32" s="206"/>
      <c r="QQV32" s="206"/>
      <c r="QQW32" s="206"/>
      <c r="QQX32" s="206"/>
      <c r="QQY32" s="206"/>
      <c r="QQZ32" s="206"/>
      <c r="QRA32" s="206"/>
      <c r="QRB32" s="206"/>
      <c r="QRC32" s="206"/>
      <c r="QRD32" s="206"/>
      <c r="QRE32" s="206"/>
      <c r="QRF32" s="206"/>
      <c r="QRG32" s="206"/>
      <c r="QRH32" s="206"/>
      <c r="QRI32" s="206"/>
      <c r="QRJ32" s="206"/>
      <c r="QRK32" s="206"/>
      <c r="QRL32" s="206"/>
      <c r="QRM32" s="206"/>
      <c r="QRN32" s="206"/>
      <c r="QRO32" s="206"/>
      <c r="QRP32" s="206"/>
      <c r="QRQ32" s="206"/>
      <c r="QRR32" s="206"/>
      <c r="QRS32" s="206"/>
      <c r="QRT32" s="206"/>
      <c r="QRU32" s="206"/>
      <c r="QRV32" s="206"/>
      <c r="QRW32" s="206"/>
      <c r="QRX32" s="206"/>
      <c r="QRY32" s="206"/>
      <c r="QRZ32" s="206"/>
      <c r="QSA32" s="206"/>
      <c r="QSB32" s="206"/>
      <c r="QSC32" s="206"/>
      <c r="QSD32" s="206"/>
      <c r="QSE32" s="206"/>
      <c r="QSF32" s="206"/>
      <c r="QSG32" s="206"/>
      <c r="QSH32" s="206"/>
      <c r="QSI32" s="206"/>
      <c r="QSJ32" s="206"/>
      <c r="QSK32" s="206"/>
      <c r="QSL32" s="206"/>
      <c r="QSM32" s="206"/>
      <c r="QSN32" s="206"/>
      <c r="QSO32" s="206"/>
      <c r="QSP32" s="206"/>
      <c r="QSQ32" s="206"/>
      <c r="QSR32" s="206"/>
      <c r="QSS32" s="206"/>
      <c r="QST32" s="206"/>
      <c r="QSU32" s="206"/>
      <c r="QSV32" s="206"/>
      <c r="QSW32" s="206"/>
      <c r="QSX32" s="206"/>
      <c r="QSY32" s="206"/>
      <c r="QSZ32" s="206"/>
      <c r="QTA32" s="206"/>
      <c r="QTB32" s="206"/>
      <c r="QTC32" s="206"/>
      <c r="QTD32" s="206"/>
      <c r="QTE32" s="206"/>
      <c r="QTF32" s="206"/>
      <c r="QTG32" s="206"/>
      <c r="QTH32" s="206"/>
      <c r="QTI32" s="206"/>
      <c r="QTJ32" s="206"/>
      <c r="QTK32" s="206"/>
      <c r="QTL32" s="206"/>
      <c r="QTM32" s="206"/>
      <c r="QTN32" s="206"/>
      <c r="QTO32" s="206"/>
      <c r="QTP32" s="206"/>
      <c r="QTQ32" s="206"/>
      <c r="QTR32" s="206"/>
      <c r="QTS32" s="206"/>
      <c r="QTT32" s="206"/>
      <c r="QTU32" s="206"/>
      <c r="QTV32" s="206"/>
      <c r="QTW32" s="206"/>
      <c r="QTX32" s="206"/>
      <c r="QTY32" s="206"/>
      <c r="QTZ32" s="206"/>
      <c r="QUA32" s="206"/>
      <c r="QUB32" s="206"/>
      <c r="QUC32" s="206"/>
      <c r="QUD32" s="206"/>
      <c r="QUE32" s="206"/>
      <c r="QUF32" s="206"/>
      <c r="QUG32" s="206"/>
      <c r="QUH32" s="206"/>
      <c r="QUI32" s="206"/>
      <c r="QUJ32" s="206"/>
      <c r="QUK32" s="206"/>
      <c r="QUL32" s="206"/>
      <c r="QUM32" s="206"/>
      <c r="QUN32" s="206"/>
      <c r="QUO32" s="206"/>
      <c r="QUP32" s="206"/>
      <c r="QUQ32" s="206"/>
      <c r="QUR32" s="206"/>
      <c r="QUS32" s="206"/>
      <c r="QUT32" s="206"/>
      <c r="QUU32" s="206"/>
      <c r="QUV32" s="206"/>
      <c r="QUW32" s="206"/>
      <c r="QUX32" s="206"/>
      <c r="QUY32" s="206"/>
      <c r="QUZ32" s="206"/>
      <c r="QVA32" s="206"/>
      <c r="QVB32" s="206"/>
      <c r="QVC32" s="206"/>
      <c r="QVD32" s="206"/>
      <c r="QVE32" s="206"/>
      <c r="QVF32" s="206"/>
      <c r="QVG32" s="206"/>
      <c r="QVH32" s="206"/>
      <c r="QVI32" s="206"/>
      <c r="QVJ32" s="206"/>
      <c r="QVK32" s="206"/>
      <c r="QVL32" s="206"/>
      <c r="QVM32" s="206"/>
      <c r="QVN32" s="206"/>
      <c r="QVO32" s="206"/>
      <c r="QVP32" s="206"/>
      <c r="QVQ32" s="206"/>
      <c r="QVR32" s="206"/>
      <c r="QVS32" s="206"/>
      <c r="QVT32" s="206"/>
      <c r="QVU32" s="206"/>
      <c r="QVV32" s="206"/>
      <c r="QVW32" s="206"/>
      <c r="QVX32" s="206"/>
      <c r="QVY32" s="206"/>
      <c r="QVZ32" s="206"/>
      <c r="QWA32" s="206"/>
      <c r="QWB32" s="206"/>
      <c r="QWC32" s="206"/>
      <c r="QWD32" s="206"/>
      <c r="QWE32" s="206"/>
      <c r="QWF32" s="206"/>
      <c r="QWG32" s="206"/>
      <c r="QWH32" s="206"/>
      <c r="QWI32" s="206"/>
      <c r="QWJ32" s="206"/>
      <c r="QWK32" s="206"/>
      <c r="QWL32" s="206"/>
      <c r="QWM32" s="206"/>
      <c r="QWN32" s="206"/>
      <c r="QWO32" s="206"/>
      <c r="QWP32" s="206"/>
      <c r="QWQ32" s="206"/>
      <c r="QWR32" s="206"/>
      <c r="QWS32" s="206"/>
      <c r="QWT32" s="206"/>
      <c r="QWU32" s="206"/>
      <c r="QWV32" s="206"/>
      <c r="QWW32" s="206"/>
      <c r="QWX32" s="206"/>
      <c r="QWY32" s="206"/>
      <c r="QWZ32" s="206"/>
      <c r="QXA32" s="206"/>
      <c r="QXB32" s="206"/>
      <c r="QXC32" s="206"/>
      <c r="QXD32" s="206"/>
      <c r="QXE32" s="206"/>
      <c r="QXF32" s="206"/>
      <c r="QXG32" s="206"/>
      <c r="QXH32" s="206"/>
      <c r="QXI32" s="206"/>
      <c r="QXJ32" s="206"/>
      <c r="QXK32" s="206"/>
      <c r="QXL32" s="206"/>
      <c r="QXM32" s="206"/>
      <c r="QXN32" s="206"/>
      <c r="QXO32" s="206"/>
      <c r="QXP32" s="206"/>
      <c r="QXQ32" s="206"/>
      <c r="QXR32" s="206"/>
      <c r="QXS32" s="206"/>
      <c r="QXT32" s="206"/>
      <c r="QXU32" s="206"/>
      <c r="QXV32" s="206"/>
      <c r="QXW32" s="206"/>
      <c r="QXX32" s="206"/>
      <c r="QXY32" s="206"/>
      <c r="QXZ32" s="206"/>
      <c r="QYA32" s="206"/>
      <c r="QYB32" s="206"/>
      <c r="QYC32" s="206"/>
      <c r="QYD32" s="206"/>
      <c r="QYE32" s="206"/>
      <c r="QYF32" s="206"/>
      <c r="QYG32" s="206"/>
      <c r="QYH32" s="206"/>
      <c r="QYI32" s="206"/>
      <c r="QYJ32" s="206"/>
      <c r="QYK32" s="206"/>
      <c r="QYL32" s="206"/>
      <c r="QYM32" s="206"/>
      <c r="QYN32" s="206"/>
      <c r="QYO32" s="206"/>
      <c r="QYP32" s="206"/>
      <c r="QYQ32" s="206"/>
      <c r="QYR32" s="206"/>
      <c r="QYS32" s="206"/>
      <c r="QYT32" s="206"/>
      <c r="QYU32" s="206"/>
      <c r="QYV32" s="206"/>
      <c r="QYW32" s="206"/>
      <c r="QYX32" s="206"/>
      <c r="QYY32" s="206"/>
      <c r="QYZ32" s="206"/>
      <c r="QZA32" s="206"/>
      <c r="QZB32" s="206"/>
      <c r="QZC32" s="206"/>
      <c r="QZD32" s="206"/>
      <c r="QZE32" s="206"/>
      <c r="QZF32" s="206"/>
      <c r="QZG32" s="206"/>
      <c r="QZH32" s="206"/>
      <c r="QZI32" s="206"/>
      <c r="QZJ32" s="206"/>
      <c r="QZK32" s="206"/>
      <c r="QZL32" s="206"/>
      <c r="QZM32" s="206"/>
      <c r="QZN32" s="206"/>
      <c r="QZO32" s="206"/>
      <c r="QZP32" s="206"/>
      <c r="QZQ32" s="206"/>
      <c r="QZR32" s="206"/>
      <c r="QZS32" s="206"/>
      <c r="QZT32" s="206"/>
      <c r="QZU32" s="206"/>
      <c r="QZV32" s="206"/>
      <c r="QZW32" s="206"/>
      <c r="QZX32" s="206"/>
      <c r="QZY32" s="206"/>
      <c r="QZZ32" s="206"/>
      <c r="RAA32" s="206"/>
      <c r="RAB32" s="206"/>
      <c r="RAC32" s="206"/>
      <c r="RAD32" s="206"/>
      <c r="RAE32" s="206"/>
      <c r="RAF32" s="206"/>
      <c r="RAG32" s="206"/>
      <c r="RAH32" s="206"/>
      <c r="RAI32" s="206"/>
      <c r="RAJ32" s="206"/>
      <c r="RAK32" s="206"/>
      <c r="RAL32" s="206"/>
      <c r="RAM32" s="206"/>
      <c r="RAN32" s="206"/>
      <c r="RAO32" s="206"/>
      <c r="RAP32" s="206"/>
      <c r="RAQ32" s="206"/>
      <c r="RAR32" s="206"/>
      <c r="RAS32" s="206"/>
      <c r="RAT32" s="206"/>
      <c r="RAU32" s="206"/>
      <c r="RAV32" s="206"/>
      <c r="RAW32" s="206"/>
      <c r="RAX32" s="206"/>
      <c r="RAY32" s="206"/>
      <c r="RAZ32" s="206"/>
      <c r="RBA32" s="206"/>
      <c r="RBB32" s="206"/>
      <c r="RBC32" s="206"/>
      <c r="RBD32" s="206"/>
      <c r="RBE32" s="206"/>
      <c r="RBF32" s="206"/>
      <c r="RBG32" s="206"/>
      <c r="RBH32" s="206"/>
      <c r="RBI32" s="206"/>
      <c r="RBJ32" s="206"/>
      <c r="RBK32" s="206"/>
      <c r="RBL32" s="206"/>
      <c r="RBM32" s="206"/>
      <c r="RBN32" s="206"/>
      <c r="RBO32" s="206"/>
      <c r="RBP32" s="206"/>
      <c r="RBQ32" s="206"/>
      <c r="RBR32" s="206"/>
      <c r="RBS32" s="206"/>
      <c r="RBT32" s="206"/>
      <c r="RBU32" s="206"/>
      <c r="RBV32" s="206"/>
      <c r="RBW32" s="206"/>
      <c r="RBX32" s="206"/>
      <c r="RBY32" s="206"/>
      <c r="RBZ32" s="206"/>
      <c r="RCA32" s="206"/>
      <c r="RCB32" s="206"/>
      <c r="RCC32" s="206"/>
      <c r="RCD32" s="206"/>
      <c r="RCE32" s="206"/>
      <c r="RCF32" s="206"/>
      <c r="RCG32" s="206"/>
      <c r="RCH32" s="206"/>
      <c r="RCI32" s="206"/>
      <c r="RCJ32" s="206"/>
      <c r="RCK32" s="206"/>
      <c r="RCL32" s="206"/>
      <c r="RCM32" s="206"/>
      <c r="RCN32" s="206"/>
      <c r="RCO32" s="206"/>
      <c r="RCP32" s="206"/>
      <c r="RCQ32" s="206"/>
      <c r="RCR32" s="206"/>
      <c r="RCS32" s="206"/>
      <c r="RCT32" s="206"/>
      <c r="RCU32" s="206"/>
      <c r="RCV32" s="206"/>
      <c r="RCW32" s="206"/>
      <c r="RCX32" s="206"/>
      <c r="RCY32" s="206"/>
      <c r="RCZ32" s="206"/>
      <c r="RDA32" s="206"/>
      <c r="RDB32" s="206"/>
      <c r="RDC32" s="206"/>
      <c r="RDD32" s="206"/>
      <c r="RDE32" s="206"/>
      <c r="RDF32" s="206"/>
      <c r="RDG32" s="206"/>
      <c r="RDH32" s="206"/>
      <c r="RDI32" s="206"/>
      <c r="RDJ32" s="206"/>
      <c r="RDK32" s="206"/>
      <c r="RDL32" s="206"/>
      <c r="RDM32" s="206"/>
      <c r="RDN32" s="206"/>
      <c r="RDO32" s="206"/>
      <c r="RDP32" s="206"/>
      <c r="RDQ32" s="206"/>
      <c r="RDR32" s="206"/>
      <c r="RDS32" s="206"/>
      <c r="RDT32" s="206"/>
      <c r="RDU32" s="206"/>
      <c r="RDV32" s="206"/>
      <c r="RDW32" s="206"/>
      <c r="RDX32" s="206"/>
      <c r="RDY32" s="206"/>
      <c r="RDZ32" s="206"/>
      <c r="REA32" s="206"/>
      <c r="REB32" s="206"/>
      <c r="REC32" s="206"/>
      <c r="RED32" s="206"/>
      <c r="REE32" s="206"/>
      <c r="REF32" s="206"/>
      <c r="REG32" s="206"/>
      <c r="REH32" s="206"/>
      <c r="REI32" s="206"/>
      <c r="REJ32" s="206"/>
      <c r="REK32" s="206"/>
      <c r="REL32" s="206"/>
      <c r="REM32" s="206"/>
      <c r="REN32" s="206"/>
      <c r="REO32" s="206"/>
      <c r="REP32" s="206"/>
      <c r="REQ32" s="206"/>
      <c r="RER32" s="206"/>
      <c r="RES32" s="206"/>
      <c r="RET32" s="206"/>
      <c r="REU32" s="206"/>
      <c r="REV32" s="206"/>
      <c r="REW32" s="206"/>
      <c r="REX32" s="206"/>
      <c r="REY32" s="206"/>
      <c r="REZ32" s="206"/>
      <c r="RFA32" s="206"/>
      <c r="RFB32" s="206"/>
      <c r="RFC32" s="206"/>
      <c r="RFD32" s="206"/>
      <c r="RFE32" s="206"/>
      <c r="RFF32" s="206"/>
      <c r="RFG32" s="206"/>
      <c r="RFH32" s="206"/>
      <c r="RFI32" s="206"/>
      <c r="RFJ32" s="206"/>
      <c r="RFK32" s="206"/>
      <c r="RFL32" s="206"/>
      <c r="RFM32" s="206"/>
      <c r="RFN32" s="206"/>
      <c r="RFO32" s="206"/>
      <c r="RFP32" s="206"/>
      <c r="RFQ32" s="206"/>
      <c r="RFR32" s="206"/>
      <c r="RFS32" s="206"/>
      <c r="RFT32" s="206"/>
      <c r="RFU32" s="206"/>
      <c r="RFV32" s="206"/>
      <c r="RFW32" s="206"/>
      <c r="RFX32" s="206"/>
      <c r="RFY32" s="206"/>
      <c r="RFZ32" s="206"/>
      <c r="RGA32" s="206"/>
      <c r="RGB32" s="206"/>
      <c r="RGC32" s="206"/>
      <c r="RGD32" s="206"/>
      <c r="RGE32" s="206"/>
      <c r="RGF32" s="206"/>
      <c r="RGG32" s="206"/>
      <c r="RGH32" s="206"/>
      <c r="RGI32" s="206"/>
      <c r="RGJ32" s="206"/>
      <c r="RGK32" s="206"/>
      <c r="RGL32" s="206"/>
      <c r="RGM32" s="206"/>
      <c r="RGN32" s="206"/>
      <c r="RGO32" s="206"/>
      <c r="RGP32" s="206"/>
      <c r="RGQ32" s="206"/>
      <c r="RGR32" s="206"/>
      <c r="RGS32" s="206"/>
      <c r="RGT32" s="206"/>
      <c r="RGU32" s="206"/>
      <c r="RGV32" s="206"/>
      <c r="RGW32" s="206"/>
      <c r="RGX32" s="206"/>
      <c r="RGY32" s="206"/>
      <c r="RGZ32" s="206"/>
      <c r="RHA32" s="206"/>
      <c r="RHB32" s="206"/>
      <c r="RHC32" s="206"/>
      <c r="RHD32" s="206"/>
      <c r="RHE32" s="206"/>
      <c r="RHF32" s="206"/>
      <c r="RHG32" s="206"/>
      <c r="RHH32" s="206"/>
      <c r="RHI32" s="206"/>
      <c r="RHJ32" s="206"/>
      <c r="RHK32" s="206"/>
      <c r="RHL32" s="206"/>
      <c r="RHM32" s="206"/>
      <c r="RHN32" s="206"/>
      <c r="RHO32" s="206"/>
      <c r="RHP32" s="206"/>
      <c r="RHQ32" s="206"/>
      <c r="RHR32" s="206"/>
      <c r="RHS32" s="206"/>
      <c r="RHT32" s="206"/>
      <c r="RHU32" s="206"/>
      <c r="RHV32" s="206"/>
      <c r="RHW32" s="206"/>
      <c r="RHX32" s="206"/>
      <c r="RHY32" s="206"/>
      <c r="RHZ32" s="206"/>
      <c r="RIA32" s="206"/>
      <c r="RIB32" s="206"/>
      <c r="RIC32" s="206"/>
      <c r="RID32" s="206"/>
      <c r="RIE32" s="206"/>
      <c r="RIF32" s="206"/>
      <c r="RIG32" s="206"/>
      <c r="RIH32" s="206"/>
      <c r="RII32" s="206"/>
      <c r="RIJ32" s="206"/>
      <c r="RIK32" s="206"/>
      <c r="RIL32" s="206"/>
      <c r="RIM32" s="206"/>
      <c r="RIN32" s="206"/>
      <c r="RIO32" s="206"/>
      <c r="RIP32" s="206"/>
      <c r="RIQ32" s="206"/>
      <c r="RIR32" s="206"/>
      <c r="RIS32" s="206"/>
      <c r="RIT32" s="206"/>
      <c r="RIU32" s="206"/>
      <c r="RIV32" s="206"/>
      <c r="RIW32" s="206"/>
      <c r="RIX32" s="206"/>
      <c r="RIY32" s="206"/>
      <c r="RIZ32" s="206"/>
      <c r="RJA32" s="206"/>
      <c r="RJB32" s="206"/>
      <c r="RJC32" s="206"/>
      <c r="RJD32" s="206"/>
      <c r="RJE32" s="206"/>
      <c r="RJF32" s="206"/>
      <c r="RJG32" s="206"/>
      <c r="RJH32" s="206"/>
      <c r="RJI32" s="206"/>
      <c r="RJJ32" s="206"/>
      <c r="RJK32" s="206"/>
      <c r="RJL32" s="206"/>
      <c r="RJM32" s="206"/>
      <c r="RJN32" s="206"/>
      <c r="RJO32" s="206"/>
      <c r="RJP32" s="206"/>
      <c r="RJQ32" s="206"/>
      <c r="RJR32" s="206"/>
      <c r="RJS32" s="206"/>
      <c r="RJT32" s="206"/>
      <c r="RJU32" s="206"/>
      <c r="RJV32" s="206"/>
      <c r="RJW32" s="206"/>
      <c r="RJX32" s="206"/>
      <c r="RJY32" s="206"/>
      <c r="RJZ32" s="206"/>
      <c r="RKA32" s="206"/>
      <c r="RKB32" s="206"/>
      <c r="RKC32" s="206"/>
      <c r="RKD32" s="206"/>
      <c r="RKE32" s="206"/>
      <c r="RKF32" s="206"/>
      <c r="RKG32" s="206"/>
      <c r="RKH32" s="206"/>
      <c r="RKI32" s="206"/>
      <c r="RKJ32" s="206"/>
      <c r="RKK32" s="206"/>
      <c r="RKL32" s="206"/>
      <c r="RKM32" s="206"/>
      <c r="RKN32" s="206"/>
      <c r="RKO32" s="206"/>
      <c r="RKP32" s="206"/>
      <c r="RKQ32" s="206"/>
      <c r="RKR32" s="206"/>
      <c r="RKS32" s="206"/>
      <c r="RKT32" s="206"/>
      <c r="RKU32" s="206"/>
      <c r="RKV32" s="206"/>
      <c r="RKW32" s="206"/>
      <c r="RKX32" s="206"/>
      <c r="RKY32" s="206"/>
      <c r="RKZ32" s="206"/>
      <c r="RLA32" s="206"/>
      <c r="RLB32" s="206"/>
      <c r="RLC32" s="206"/>
      <c r="RLD32" s="206"/>
      <c r="RLE32" s="206"/>
      <c r="RLF32" s="206"/>
      <c r="RLG32" s="206"/>
      <c r="RLH32" s="206"/>
      <c r="RLI32" s="206"/>
      <c r="RLJ32" s="206"/>
      <c r="RLK32" s="206"/>
      <c r="RLL32" s="206"/>
      <c r="RLM32" s="206"/>
      <c r="RLN32" s="206"/>
      <c r="RLO32" s="206"/>
      <c r="RLP32" s="206"/>
      <c r="RLQ32" s="206"/>
      <c r="RLR32" s="206"/>
      <c r="RLS32" s="206"/>
      <c r="RLT32" s="206"/>
      <c r="RLU32" s="206"/>
      <c r="RLV32" s="206"/>
      <c r="RLW32" s="206"/>
      <c r="RLX32" s="206"/>
      <c r="RLY32" s="206"/>
      <c r="RLZ32" s="206"/>
      <c r="RMA32" s="206"/>
      <c r="RMB32" s="206"/>
      <c r="RMC32" s="206"/>
      <c r="RMD32" s="206"/>
      <c r="RME32" s="206"/>
      <c r="RMF32" s="206"/>
      <c r="RMG32" s="206"/>
      <c r="RMH32" s="206"/>
      <c r="RMI32" s="206"/>
      <c r="RMJ32" s="206"/>
      <c r="RMK32" s="206"/>
      <c r="RML32" s="206"/>
      <c r="RMM32" s="206"/>
      <c r="RMN32" s="206"/>
      <c r="RMO32" s="206"/>
      <c r="RMP32" s="206"/>
      <c r="RMQ32" s="206"/>
      <c r="RMR32" s="206"/>
      <c r="RMS32" s="206"/>
      <c r="RMT32" s="206"/>
      <c r="RMU32" s="206"/>
      <c r="RMV32" s="206"/>
      <c r="RMW32" s="206"/>
      <c r="RMX32" s="206"/>
      <c r="RMY32" s="206"/>
      <c r="RMZ32" s="206"/>
      <c r="RNA32" s="206"/>
      <c r="RNB32" s="206"/>
      <c r="RNC32" s="206"/>
      <c r="RND32" s="206"/>
      <c r="RNE32" s="206"/>
      <c r="RNF32" s="206"/>
      <c r="RNG32" s="206"/>
      <c r="RNH32" s="206"/>
      <c r="RNI32" s="206"/>
      <c r="RNJ32" s="206"/>
      <c r="RNK32" s="206"/>
      <c r="RNL32" s="206"/>
      <c r="RNM32" s="206"/>
      <c r="RNN32" s="206"/>
      <c r="RNO32" s="206"/>
      <c r="RNP32" s="206"/>
      <c r="RNQ32" s="206"/>
      <c r="RNR32" s="206"/>
      <c r="RNS32" s="206"/>
      <c r="RNT32" s="206"/>
      <c r="RNU32" s="206"/>
      <c r="RNV32" s="206"/>
      <c r="RNW32" s="206"/>
      <c r="RNX32" s="206"/>
      <c r="RNY32" s="206"/>
      <c r="RNZ32" s="206"/>
      <c r="ROA32" s="206"/>
      <c r="ROB32" s="206"/>
      <c r="ROC32" s="206"/>
      <c r="ROD32" s="206"/>
      <c r="ROE32" s="206"/>
      <c r="ROF32" s="206"/>
      <c r="ROG32" s="206"/>
      <c r="ROH32" s="206"/>
      <c r="ROI32" s="206"/>
      <c r="ROJ32" s="206"/>
      <c r="ROK32" s="206"/>
      <c r="ROL32" s="206"/>
      <c r="ROM32" s="206"/>
      <c r="RON32" s="206"/>
      <c r="ROO32" s="206"/>
      <c r="ROP32" s="206"/>
      <c r="ROQ32" s="206"/>
      <c r="ROR32" s="206"/>
      <c r="ROS32" s="206"/>
      <c r="ROT32" s="206"/>
      <c r="ROU32" s="206"/>
      <c r="ROV32" s="206"/>
      <c r="ROW32" s="206"/>
      <c r="ROX32" s="206"/>
      <c r="ROY32" s="206"/>
      <c r="ROZ32" s="206"/>
      <c r="RPA32" s="206"/>
      <c r="RPB32" s="206"/>
      <c r="RPC32" s="206"/>
      <c r="RPD32" s="206"/>
      <c r="RPE32" s="206"/>
      <c r="RPF32" s="206"/>
      <c r="RPG32" s="206"/>
      <c r="RPH32" s="206"/>
      <c r="RPI32" s="206"/>
      <c r="RPJ32" s="206"/>
      <c r="RPK32" s="206"/>
      <c r="RPL32" s="206"/>
      <c r="RPM32" s="206"/>
      <c r="RPN32" s="206"/>
      <c r="RPO32" s="206"/>
      <c r="RPP32" s="206"/>
      <c r="RPQ32" s="206"/>
      <c r="RPR32" s="206"/>
      <c r="RPS32" s="206"/>
      <c r="RPT32" s="206"/>
      <c r="RPU32" s="206"/>
      <c r="RPV32" s="206"/>
      <c r="RPW32" s="206"/>
      <c r="RPX32" s="206"/>
      <c r="RPY32" s="206"/>
      <c r="RPZ32" s="206"/>
      <c r="RQA32" s="206"/>
      <c r="RQB32" s="206"/>
      <c r="RQC32" s="206"/>
      <c r="RQD32" s="206"/>
      <c r="RQE32" s="206"/>
      <c r="RQF32" s="206"/>
      <c r="RQG32" s="206"/>
      <c r="RQH32" s="206"/>
      <c r="RQI32" s="206"/>
      <c r="RQJ32" s="206"/>
      <c r="RQK32" s="206"/>
      <c r="RQL32" s="206"/>
      <c r="RQM32" s="206"/>
      <c r="RQN32" s="206"/>
      <c r="RQO32" s="206"/>
      <c r="RQP32" s="206"/>
      <c r="RQQ32" s="206"/>
      <c r="RQR32" s="206"/>
      <c r="RQS32" s="206"/>
      <c r="RQT32" s="206"/>
      <c r="RQU32" s="206"/>
      <c r="RQV32" s="206"/>
      <c r="RQW32" s="206"/>
      <c r="RQX32" s="206"/>
      <c r="RQY32" s="206"/>
      <c r="RQZ32" s="206"/>
      <c r="RRA32" s="206"/>
      <c r="RRB32" s="206"/>
      <c r="RRC32" s="206"/>
      <c r="RRD32" s="206"/>
      <c r="RRE32" s="206"/>
      <c r="RRF32" s="206"/>
      <c r="RRG32" s="206"/>
      <c r="RRH32" s="206"/>
      <c r="RRI32" s="206"/>
      <c r="RRJ32" s="206"/>
      <c r="RRK32" s="206"/>
      <c r="RRL32" s="206"/>
      <c r="RRM32" s="206"/>
      <c r="RRN32" s="206"/>
      <c r="RRO32" s="206"/>
      <c r="RRP32" s="206"/>
      <c r="RRQ32" s="206"/>
      <c r="RRR32" s="206"/>
      <c r="RRS32" s="206"/>
      <c r="RRT32" s="206"/>
      <c r="RRU32" s="206"/>
      <c r="RRV32" s="206"/>
      <c r="RRW32" s="206"/>
      <c r="RRX32" s="206"/>
      <c r="RRY32" s="206"/>
      <c r="RRZ32" s="206"/>
      <c r="RSA32" s="206"/>
      <c r="RSB32" s="206"/>
      <c r="RSC32" s="206"/>
      <c r="RSD32" s="206"/>
      <c r="RSE32" s="206"/>
      <c r="RSF32" s="206"/>
      <c r="RSG32" s="206"/>
      <c r="RSH32" s="206"/>
      <c r="RSI32" s="206"/>
      <c r="RSJ32" s="206"/>
      <c r="RSK32" s="206"/>
      <c r="RSL32" s="206"/>
      <c r="RSM32" s="206"/>
      <c r="RSN32" s="206"/>
      <c r="RSO32" s="206"/>
      <c r="RSP32" s="206"/>
      <c r="RSQ32" s="206"/>
      <c r="RSR32" s="206"/>
      <c r="RSS32" s="206"/>
      <c r="RST32" s="206"/>
      <c r="RSU32" s="206"/>
      <c r="RSV32" s="206"/>
      <c r="RSW32" s="206"/>
      <c r="RSX32" s="206"/>
      <c r="RSY32" s="206"/>
      <c r="RSZ32" s="206"/>
      <c r="RTA32" s="206"/>
      <c r="RTB32" s="206"/>
      <c r="RTC32" s="206"/>
      <c r="RTD32" s="206"/>
      <c r="RTE32" s="206"/>
      <c r="RTF32" s="206"/>
      <c r="RTG32" s="206"/>
      <c r="RTH32" s="206"/>
      <c r="RTI32" s="206"/>
      <c r="RTJ32" s="206"/>
      <c r="RTK32" s="206"/>
      <c r="RTL32" s="206"/>
      <c r="RTM32" s="206"/>
      <c r="RTN32" s="206"/>
      <c r="RTO32" s="206"/>
      <c r="RTP32" s="206"/>
      <c r="RTQ32" s="206"/>
      <c r="RTR32" s="206"/>
      <c r="RTS32" s="206"/>
      <c r="RTT32" s="206"/>
      <c r="RTU32" s="206"/>
      <c r="RTV32" s="206"/>
      <c r="RTW32" s="206"/>
      <c r="RTX32" s="206"/>
      <c r="RTY32" s="206"/>
      <c r="RTZ32" s="206"/>
      <c r="RUA32" s="206"/>
      <c r="RUB32" s="206"/>
      <c r="RUC32" s="206"/>
      <c r="RUD32" s="206"/>
      <c r="RUE32" s="206"/>
      <c r="RUF32" s="206"/>
      <c r="RUG32" s="206"/>
      <c r="RUH32" s="206"/>
      <c r="RUI32" s="206"/>
      <c r="RUJ32" s="206"/>
      <c r="RUK32" s="206"/>
      <c r="RUL32" s="206"/>
      <c r="RUM32" s="206"/>
      <c r="RUN32" s="206"/>
      <c r="RUO32" s="206"/>
      <c r="RUP32" s="206"/>
      <c r="RUQ32" s="206"/>
      <c r="RUR32" s="206"/>
      <c r="RUS32" s="206"/>
      <c r="RUT32" s="206"/>
      <c r="RUU32" s="206"/>
      <c r="RUV32" s="206"/>
      <c r="RUW32" s="206"/>
      <c r="RUX32" s="206"/>
      <c r="RUY32" s="206"/>
      <c r="RUZ32" s="206"/>
      <c r="RVA32" s="206"/>
      <c r="RVB32" s="206"/>
      <c r="RVC32" s="206"/>
      <c r="RVD32" s="206"/>
      <c r="RVE32" s="206"/>
      <c r="RVF32" s="206"/>
      <c r="RVG32" s="206"/>
      <c r="RVH32" s="206"/>
      <c r="RVI32" s="206"/>
      <c r="RVJ32" s="206"/>
      <c r="RVK32" s="206"/>
      <c r="RVL32" s="206"/>
      <c r="RVM32" s="206"/>
      <c r="RVN32" s="206"/>
      <c r="RVO32" s="206"/>
      <c r="RVP32" s="206"/>
      <c r="RVQ32" s="206"/>
      <c r="RVR32" s="206"/>
      <c r="RVS32" s="206"/>
      <c r="RVT32" s="206"/>
      <c r="RVU32" s="206"/>
      <c r="RVV32" s="206"/>
      <c r="RVW32" s="206"/>
      <c r="RVX32" s="206"/>
      <c r="RVY32" s="206"/>
      <c r="RVZ32" s="206"/>
      <c r="RWA32" s="206"/>
      <c r="RWB32" s="206"/>
      <c r="RWC32" s="206"/>
      <c r="RWD32" s="206"/>
      <c r="RWE32" s="206"/>
      <c r="RWF32" s="206"/>
      <c r="RWG32" s="206"/>
      <c r="RWH32" s="206"/>
      <c r="RWI32" s="206"/>
      <c r="RWJ32" s="206"/>
      <c r="RWK32" s="206"/>
      <c r="RWL32" s="206"/>
      <c r="RWM32" s="206"/>
      <c r="RWN32" s="206"/>
      <c r="RWO32" s="206"/>
      <c r="RWP32" s="206"/>
      <c r="RWQ32" s="206"/>
      <c r="RWR32" s="206"/>
      <c r="RWS32" s="206"/>
      <c r="RWT32" s="206"/>
      <c r="RWU32" s="206"/>
      <c r="RWV32" s="206"/>
      <c r="RWW32" s="206"/>
      <c r="RWX32" s="206"/>
      <c r="RWY32" s="206"/>
      <c r="RWZ32" s="206"/>
      <c r="RXA32" s="206"/>
      <c r="RXB32" s="206"/>
      <c r="RXC32" s="206"/>
      <c r="RXD32" s="206"/>
      <c r="RXE32" s="206"/>
      <c r="RXF32" s="206"/>
      <c r="RXG32" s="206"/>
      <c r="RXH32" s="206"/>
      <c r="RXI32" s="206"/>
      <c r="RXJ32" s="206"/>
      <c r="RXK32" s="206"/>
      <c r="RXL32" s="206"/>
      <c r="RXM32" s="206"/>
      <c r="RXN32" s="206"/>
      <c r="RXO32" s="206"/>
      <c r="RXP32" s="206"/>
      <c r="RXQ32" s="206"/>
      <c r="RXR32" s="206"/>
      <c r="RXS32" s="206"/>
      <c r="RXT32" s="206"/>
      <c r="RXU32" s="206"/>
      <c r="RXV32" s="206"/>
      <c r="RXW32" s="206"/>
      <c r="RXX32" s="206"/>
      <c r="RXY32" s="206"/>
      <c r="RXZ32" s="206"/>
      <c r="RYA32" s="206"/>
      <c r="RYB32" s="206"/>
      <c r="RYC32" s="206"/>
      <c r="RYD32" s="206"/>
      <c r="RYE32" s="206"/>
      <c r="RYF32" s="206"/>
      <c r="RYG32" s="206"/>
      <c r="RYH32" s="206"/>
      <c r="RYI32" s="206"/>
      <c r="RYJ32" s="206"/>
      <c r="RYK32" s="206"/>
      <c r="RYL32" s="206"/>
      <c r="RYM32" s="206"/>
      <c r="RYN32" s="206"/>
      <c r="RYO32" s="206"/>
      <c r="RYP32" s="206"/>
      <c r="RYQ32" s="206"/>
      <c r="RYR32" s="206"/>
      <c r="RYS32" s="206"/>
      <c r="RYT32" s="206"/>
      <c r="RYU32" s="206"/>
      <c r="RYV32" s="206"/>
      <c r="RYW32" s="206"/>
      <c r="RYX32" s="206"/>
      <c r="RYY32" s="206"/>
      <c r="RYZ32" s="206"/>
      <c r="RZA32" s="206"/>
      <c r="RZB32" s="206"/>
      <c r="RZC32" s="206"/>
      <c r="RZD32" s="206"/>
      <c r="RZE32" s="206"/>
      <c r="RZF32" s="206"/>
      <c r="RZG32" s="206"/>
      <c r="RZH32" s="206"/>
      <c r="RZI32" s="206"/>
      <c r="RZJ32" s="206"/>
      <c r="RZK32" s="206"/>
      <c r="RZL32" s="206"/>
      <c r="RZM32" s="206"/>
      <c r="RZN32" s="206"/>
      <c r="RZO32" s="206"/>
      <c r="RZP32" s="206"/>
      <c r="RZQ32" s="206"/>
      <c r="RZR32" s="206"/>
      <c r="RZS32" s="206"/>
      <c r="RZT32" s="206"/>
      <c r="RZU32" s="206"/>
      <c r="RZV32" s="206"/>
      <c r="RZW32" s="206"/>
      <c r="RZX32" s="206"/>
      <c r="RZY32" s="206"/>
      <c r="RZZ32" s="206"/>
      <c r="SAA32" s="206"/>
      <c r="SAB32" s="206"/>
      <c r="SAC32" s="206"/>
      <c r="SAD32" s="206"/>
      <c r="SAE32" s="206"/>
      <c r="SAF32" s="206"/>
      <c r="SAG32" s="206"/>
      <c r="SAH32" s="206"/>
      <c r="SAI32" s="206"/>
      <c r="SAJ32" s="206"/>
      <c r="SAK32" s="206"/>
      <c r="SAL32" s="206"/>
      <c r="SAM32" s="206"/>
      <c r="SAN32" s="206"/>
      <c r="SAO32" s="206"/>
      <c r="SAP32" s="206"/>
      <c r="SAQ32" s="206"/>
      <c r="SAR32" s="206"/>
      <c r="SAS32" s="206"/>
      <c r="SAT32" s="206"/>
      <c r="SAU32" s="206"/>
      <c r="SAV32" s="206"/>
      <c r="SAW32" s="206"/>
      <c r="SAX32" s="206"/>
      <c r="SAY32" s="206"/>
      <c r="SAZ32" s="206"/>
      <c r="SBA32" s="206"/>
      <c r="SBB32" s="206"/>
      <c r="SBC32" s="206"/>
      <c r="SBD32" s="206"/>
      <c r="SBE32" s="206"/>
      <c r="SBF32" s="206"/>
      <c r="SBG32" s="206"/>
      <c r="SBH32" s="206"/>
      <c r="SBI32" s="206"/>
      <c r="SBJ32" s="206"/>
      <c r="SBK32" s="206"/>
      <c r="SBL32" s="206"/>
      <c r="SBM32" s="206"/>
      <c r="SBN32" s="206"/>
      <c r="SBO32" s="206"/>
      <c r="SBP32" s="206"/>
      <c r="SBQ32" s="206"/>
      <c r="SBR32" s="206"/>
      <c r="SBS32" s="206"/>
      <c r="SBT32" s="206"/>
      <c r="SBU32" s="206"/>
      <c r="SBV32" s="206"/>
      <c r="SBW32" s="206"/>
      <c r="SBX32" s="206"/>
      <c r="SBY32" s="206"/>
      <c r="SBZ32" s="206"/>
      <c r="SCA32" s="206"/>
      <c r="SCB32" s="206"/>
      <c r="SCC32" s="206"/>
      <c r="SCD32" s="206"/>
      <c r="SCE32" s="206"/>
      <c r="SCF32" s="206"/>
      <c r="SCG32" s="206"/>
      <c r="SCH32" s="206"/>
      <c r="SCI32" s="206"/>
      <c r="SCJ32" s="206"/>
      <c r="SCK32" s="206"/>
      <c r="SCL32" s="206"/>
      <c r="SCM32" s="206"/>
      <c r="SCN32" s="206"/>
      <c r="SCO32" s="206"/>
      <c r="SCP32" s="206"/>
      <c r="SCQ32" s="206"/>
      <c r="SCR32" s="206"/>
      <c r="SCS32" s="206"/>
      <c r="SCT32" s="206"/>
      <c r="SCU32" s="206"/>
      <c r="SCV32" s="206"/>
      <c r="SCW32" s="206"/>
      <c r="SCX32" s="206"/>
      <c r="SCY32" s="206"/>
      <c r="SCZ32" s="206"/>
      <c r="SDA32" s="206"/>
      <c r="SDB32" s="206"/>
      <c r="SDC32" s="206"/>
      <c r="SDD32" s="206"/>
      <c r="SDE32" s="206"/>
      <c r="SDF32" s="206"/>
      <c r="SDG32" s="206"/>
      <c r="SDH32" s="206"/>
      <c r="SDI32" s="206"/>
      <c r="SDJ32" s="206"/>
      <c r="SDK32" s="206"/>
      <c r="SDL32" s="206"/>
      <c r="SDM32" s="206"/>
      <c r="SDN32" s="206"/>
      <c r="SDO32" s="206"/>
      <c r="SDP32" s="206"/>
      <c r="SDQ32" s="206"/>
      <c r="SDR32" s="206"/>
      <c r="SDS32" s="206"/>
      <c r="SDT32" s="206"/>
      <c r="SDU32" s="206"/>
      <c r="SDV32" s="206"/>
      <c r="SDW32" s="206"/>
      <c r="SDX32" s="206"/>
      <c r="SDY32" s="206"/>
      <c r="SDZ32" s="206"/>
      <c r="SEA32" s="206"/>
      <c r="SEB32" s="206"/>
      <c r="SEC32" s="206"/>
      <c r="SED32" s="206"/>
      <c r="SEE32" s="206"/>
      <c r="SEF32" s="206"/>
      <c r="SEG32" s="206"/>
      <c r="SEH32" s="206"/>
      <c r="SEI32" s="206"/>
      <c r="SEJ32" s="206"/>
      <c r="SEK32" s="206"/>
      <c r="SEL32" s="206"/>
      <c r="SEM32" s="206"/>
      <c r="SEN32" s="206"/>
      <c r="SEO32" s="206"/>
      <c r="SEP32" s="206"/>
      <c r="SEQ32" s="206"/>
      <c r="SER32" s="206"/>
      <c r="SES32" s="206"/>
      <c r="SET32" s="206"/>
      <c r="SEU32" s="206"/>
      <c r="SEV32" s="206"/>
      <c r="SEW32" s="206"/>
      <c r="SEX32" s="206"/>
      <c r="SEY32" s="206"/>
      <c r="SEZ32" s="206"/>
      <c r="SFA32" s="206"/>
      <c r="SFB32" s="206"/>
      <c r="SFC32" s="206"/>
      <c r="SFD32" s="206"/>
      <c r="SFE32" s="206"/>
      <c r="SFF32" s="206"/>
      <c r="SFG32" s="206"/>
      <c r="SFH32" s="206"/>
      <c r="SFI32" s="206"/>
      <c r="SFJ32" s="206"/>
      <c r="SFK32" s="206"/>
      <c r="SFL32" s="206"/>
      <c r="SFM32" s="206"/>
      <c r="SFN32" s="206"/>
      <c r="SFO32" s="206"/>
      <c r="SFP32" s="206"/>
      <c r="SFQ32" s="206"/>
      <c r="SFR32" s="206"/>
      <c r="SFS32" s="206"/>
      <c r="SFT32" s="206"/>
      <c r="SFU32" s="206"/>
      <c r="SFV32" s="206"/>
      <c r="SFW32" s="206"/>
      <c r="SFX32" s="206"/>
      <c r="SFY32" s="206"/>
      <c r="SFZ32" s="206"/>
      <c r="SGA32" s="206"/>
      <c r="SGB32" s="206"/>
      <c r="SGC32" s="206"/>
      <c r="SGD32" s="206"/>
      <c r="SGE32" s="206"/>
      <c r="SGF32" s="206"/>
      <c r="SGG32" s="206"/>
      <c r="SGH32" s="206"/>
      <c r="SGI32" s="206"/>
      <c r="SGJ32" s="206"/>
      <c r="SGK32" s="206"/>
      <c r="SGL32" s="206"/>
      <c r="SGM32" s="206"/>
      <c r="SGN32" s="206"/>
      <c r="SGO32" s="206"/>
      <c r="SGP32" s="206"/>
      <c r="SGQ32" s="206"/>
      <c r="SGR32" s="206"/>
      <c r="SGS32" s="206"/>
      <c r="SGT32" s="206"/>
      <c r="SGU32" s="206"/>
      <c r="SGV32" s="206"/>
      <c r="SGW32" s="206"/>
      <c r="SGX32" s="206"/>
      <c r="SGY32" s="206"/>
      <c r="SGZ32" s="206"/>
      <c r="SHA32" s="206"/>
      <c r="SHB32" s="206"/>
      <c r="SHC32" s="206"/>
      <c r="SHD32" s="206"/>
      <c r="SHE32" s="206"/>
      <c r="SHF32" s="206"/>
      <c r="SHG32" s="206"/>
      <c r="SHH32" s="206"/>
      <c r="SHI32" s="206"/>
      <c r="SHJ32" s="206"/>
      <c r="SHK32" s="206"/>
      <c r="SHL32" s="206"/>
      <c r="SHM32" s="206"/>
      <c r="SHN32" s="206"/>
      <c r="SHO32" s="206"/>
      <c r="SHP32" s="206"/>
      <c r="SHQ32" s="206"/>
      <c r="SHR32" s="206"/>
      <c r="SHS32" s="206"/>
      <c r="SHT32" s="206"/>
      <c r="SHU32" s="206"/>
      <c r="SHV32" s="206"/>
      <c r="SHW32" s="206"/>
      <c r="SHX32" s="206"/>
      <c r="SHY32" s="206"/>
      <c r="SHZ32" s="206"/>
      <c r="SIA32" s="206"/>
      <c r="SIB32" s="206"/>
      <c r="SIC32" s="206"/>
      <c r="SID32" s="206"/>
      <c r="SIE32" s="206"/>
      <c r="SIF32" s="206"/>
      <c r="SIG32" s="206"/>
      <c r="SIH32" s="206"/>
      <c r="SII32" s="206"/>
      <c r="SIJ32" s="206"/>
      <c r="SIK32" s="206"/>
      <c r="SIL32" s="206"/>
      <c r="SIM32" s="206"/>
      <c r="SIN32" s="206"/>
      <c r="SIO32" s="206"/>
      <c r="SIP32" s="206"/>
      <c r="SIQ32" s="206"/>
      <c r="SIR32" s="206"/>
      <c r="SIS32" s="206"/>
      <c r="SIT32" s="206"/>
      <c r="SIU32" s="206"/>
      <c r="SIV32" s="206"/>
      <c r="SIW32" s="206"/>
      <c r="SIX32" s="206"/>
      <c r="SIY32" s="206"/>
      <c r="SIZ32" s="206"/>
      <c r="SJA32" s="206"/>
      <c r="SJB32" s="206"/>
      <c r="SJC32" s="206"/>
      <c r="SJD32" s="206"/>
      <c r="SJE32" s="206"/>
      <c r="SJF32" s="206"/>
      <c r="SJG32" s="206"/>
      <c r="SJH32" s="206"/>
      <c r="SJI32" s="206"/>
      <c r="SJJ32" s="206"/>
      <c r="SJK32" s="206"/>
      <c r="SJL32" s="206"/>
      <c r="SJM32" s="206"/>
      <c r="SJN32" s="206"/>
      <c r="SJO32" s="206"/>
      <c r="SJP32" s="206"/>
      <c r="SJQ32" s="206"/>
      <c r="SJR32" s="206"/>
      <c r="SJS32" s="206"/>
      <c r="SJT32" s="206"/>
      <c r="SJU32" s="206"/>
      <c r="SJV32" s="206"/>
      <c r="SJW32" s="206"/>
      <c r="SJX32" s="206"/>
      <c r="SJY32" s="206"/>
      <c r="SJZ32" s="206"/>
      <c r="SKA32" s="206"/>
      <c r="SKB32" s="206"/>
      <c r="SKC32" s="206"/>
      <c r="SKD32" s="206"/>
      <c r="SKE32" s="206"/>
      <c r="SKF32" s="206"/>
      <c r="SKG32" s="206"/>
      <c r="SKH32" s="206"/>
      <c r="SKI32" s="206"/>
      <c r="SKJ32" s="206"/>
      <c r="SKK32" s="206"/>
      <c r="SKL32" s="206"/>
      <c r="SKM32" s="206"/>
      <c r="SKN32" s="206"/>
      <c r="SKO32" s="206"/>
      <c r="SKP32" s="206"/>
      <c r="SKQ32" s="206"/>
      <c r="SKR32" s="206"/>
      <c r="SKS32" s="206"/>
      <c r="SKT32" s="206"/>
      <c r="SKU32" s="206"/>
      <c r="SKV32" s="206"/>
      <c r="SKW32" s="206"/>
      <c r="SKX32" s="206"/>
      <c r="SKY32" s="206"/>
      <c r="SKZ32" s="206"/>
      <c r="SLA32" s="206"/>
      <c r="SLB32" s="206"/>
      <c r="SLC32" s="206"/>
      <c r="SLD32" s="206"/>
      <c r="SLE32" s="206"/>
      <c r="SLF32" s="206"/>
      <c r="SLG32" s="206"/>
      <c r="SLH32" s="206"/>
      <c r="SLI32" s="206"/>
      <c r="SLJ32" s="206"/>
      <c r="SLK32" s="206"/>
      <c r="SLL32" s="206"/>
      <c r="SLM32" s="206"/>
      <c r="SLN32" s="206"/>
      <c r="SLO32" s="206"/>
      <c r="SLP32" s="206"/>
      <c r="SLQ32" s="206"/>
      <c r="SLR32" s="206"/>
      <c r="SLS32" s="206"/>
      <c r="SLT32" s="206"/>
      <c r="SLU32" s="206"/>
      <c r="SLV32" s="206"/>
      <c r="SLW32" s="206"/>
      <c r="SLX32" s="206"/>
      <c r="SLY32" s="206"/>
      <c r="SLZ32" s="206"/>
      <c r="SMA32" s="206"/>
      <c r="SMB32" s="206"/>
      <c r="SMC32" s="206"/>
      <c r="SMD32" s="206"/>
      <c r="SME32" s="206"/>
      <c r="SMF32" s="206"/>
      <c r="SMG32" s="206"/>
      <c r="SMH32" s="206"/>
      <c r="SMI32" s="206"/>
      <c r="SMJ32" s="206"/>
      <c r="SMK32" s="206"/>
      <c r="SML32" s="206"/>
      <c r="SMM32" s="206"/>
      <c r="SMN32" s="206"/>
      <c r="SMO32" s="206"/>
      <c r="SMP32" s="206"/>
      <c r="SMQ32" s="206"/>
      <c r="SMR32" s="206"/>
      <c r="SMS32" s="206"/>
      <c r="SMT32" s="206"/>
      <c r="SMU32" s="206"/>
      <c r="SMV32" s="206"/>
      <c r="SMW32" s="206"/>
      <c r="SMX32" s="206"/>
      <c r="SMY32" s="206"/>
      <c r="SMZ32" s="206"/>
      <c r="SNA32" s="206"/>
      <c r="SNB32" s="206"/>
      <c r="SNC32" s="206"/>
      <c r="SND32" s="206"/>
      <c r="SNE32" s="206"/>
      <c r="SNF32" s="206"/>
      <c r="SNG32" s="206"/>
      <c r="SNH32" s="206"/>
      <c r="SNI32" s="206"/>
      <c r="SNJ32" s="206"/>
      <c r="SNK32" s="206"/>
      <c r="SNL32" s="206"/>
      <c r="SNM32" s="206"/>
      <c r="SNN32" s="206"/>
      <c r="SNO32" s="206"/>
      <c r="SNP32" s="206"/>
      <c r="SNQ32" s="206"/>
      <c r="SNR32" s="206"/>
      <c r="SNS32" s="206"/>
      <c r="SNT32" s="206"/>
      <c r="SNU32" s="206"/>
      <c r="SNV32" s="206"/>
      <c r="SNW32" s="206"/>
      <c r="SNX32" s="206"/>
      <c r="SNY32" s="206"/>
      <c r="SNZ32" s="206"/>
      <c r="SOA32" s="206"/>
      <c r="SOB32" s="206"/>
      <c r="SOC32" s="206"/>
      <c r="SOD32" s="206"/>
      <c r="SOE32" s="206"/>
      <c r="SOF32" s="206"/>
      <c r="SOG32" s="206"/>
      <c r="SOH32" s="206"/>
      <c r="SOI32" s="206"/>
      <c r="SOJ32" s="206"/>
      <c r="SOK32" s="206"/>
      <c r="SOL32" s="206"/>
      <c r="SOM32" s="206"/>
      <c r="SON32" s="206"/>
      <c r="SOO32" s="206"/>
      <c r="SOP32" s="206"/>
      <c r="SOQ32" s="206"/>
      <c r="SOR32" s="206"/>
      <c r="SOS32" s="206"/>
      <c r="SOT32" s="206"/>
      <c r="SOU32" s="206"/>
      <c r="SOV32" s="206"/>
      <c r="SOW32" s="206"/>
      <c r="SOX32" s="206"/>
      <c r="SOY32" s="206"/>
      <c r="SOZ32" s="206"/>
      <c r="SPA32" s="206"/>
      <c r="SPB32" s="206"/>
      <c r="SPC32" s="206"/>
      <c r="SPD32" s="206"/>
      <c r="SPE32" s="206"/>
      <c r="SPF32" s="206"/>
      <c r="SPG32" s="206"/>
      <c r="SPH32" s="206"/>
      <c r="SPI32" s="206"/>
      <c r="SPJ32" s="206"/>
      <c r="SPK32" s="206"/>
      <c r="SPL32" s="206"/>
      <c r="SPM32" s="206"/>
      <c r="SPN32" s="206"/>
      <c r="SPO32" s="206"/>
      <c r="SPP32" s="206"/>
      <c r="SPQ32" s="206"/>
      <c r="SPR32" s="206"/>
      <c r="SPS32" s="206"/>
      <c r="SPT32" s="206"/>
      <c r="SPU32" s="206"/>
      <c r="SPV32" s="206"/>
      <c r="SPW32" s="206"/>
      <c r="SPX32" s="206"/>
      <c r="SPY32" s="206"/>
      <c r="SPZ32" s="206"/>
      <c r="SQA32" s="206"/>
      <c r="SQB32" s="206"/>
      <c r="SQC32" s="206"/>
      <c r="SQD32" s="206"/>
      <c r="SQE32" s="206"/>
      <c r="SQF32" s="206"/>
      <c r="SQG32" s="206"/>
      <c r="SQH32" s="206"/>
      <c r="SQI32" s="206"/>
      <c r="SQJ32" s="206"/>
      <c r="SQK32" s="206"/>
      <c r="SQL32" s="206"/>
      <c r="SQM32" s="206"/>
      <c r="SQN32" s="206"/>
      <c r="SQO32" s="206"/>
      <c r="SQP32" s="206"/>
      <c r="SQQ32" s="206"/>
      <c r="SQR32" s="206"/>
      <c r="SQS32" s="206"/>
      <c r="SQT32" s="206"/>
      <c r="SQU32" s="206"/>
      <c r="SQV32" s="206"/>
      <c r="SQW32" s="206"/>
      <c r="SQX32" s="206"/>
      <c r="SQY32" s="206"/>
      <c r="SQZ32" s="206"/>
      <c r="SRA32" s="206"/>
      <c r="SRB32" s="206"/>
      <c r="SRC32" s="206"/>
      <c r="SRD32" s="206"/>
      <c r="SRE32" s="206"/>
      <c r="SRF32" s="206"/>
      <c r="SRG32" s="206"/>
      <c r="SRH32" s="206"/>
      <c r="SRI32" s="206"/>
      <c r="SRJ32" s="206"/>
      <c r="SRK32" s="206"/>
      <c r="SRL32" s="206"/>
      <c r="SRM32" s="206"/>
      <c r="SRN32" s="206"/>
      <c r="SRO32" s="206"/>
      <c r="SRP32" s="206"/>
      <c r="SRQ32" s="206"/>
      <c r="SRR32" s="206"/>
      <c r="SRS32" s="206"/>
      <c r="SRT32" s="206"/>
      <c r="SRU32" s="206"/>
      <c r="SRV32" s="206"/>
      <c r="SRW32" s="206"/>
      <c r="SRX32" s="206"/>
      <c r="SRY32" s="206"/>
      <c r="SRZ32" s="206"/>
      <c r="SSA32" s="206"/>
      <c r="SSB32" s="206"/>
      <c r="SSC32" s="206"/>
      <c r="SSD32" s="206"/>
      <c r="SSE32" s="206"/>
      <c r="SSF32" s="206"/>
      <c r="SSG32" s="206"/>
      <c r="SSH32" s="206"/>
      <c r="SSI32" s="206"/>
      <c r="SSJ32" s="206"/>
      <c r="SSK32" s="206"/>
      <c r="SSL32" s="206"/>
      <c r="SSM32" s="206"/>
      <c r="SSN32" s="206"/>
      <c r="SSO32" s="206"/>
      <c r="SSP32" s="206"/>
      <c r="SSQ32" s="206"/>
      <c r="SSR32" s="206"/>
      <c r="SSS32" s="206"/>
      <c r="SST32" s="206"/>
      <c r="SSU32" s="206"/>
      <c r="SSV32" s="206"/>
      <c r="SSW32" s="206"/>
      <c r="SSX32" s="206"/>
      <c r="SSY32" s="206"/>
      <c r="SSZ32" s="206"/>
      <c r="STA32" s="206"/>
      <c r="STB32" s="206"/>
      <c r="STC32" s="206"/>
      <c r="STD32" s="206"/>
      <c r="STE32" s="206"/>
      <c r="STF32" s="206"/>
      <c r="STG32" s="206"/>
      <c r="STH32" s="206"/>
      <c r="STI32" s="206"/>
      <c r="STJ32" s="206"/>
      <c r="STK32" s="206"/>
      <c r="STL32" s="206"/>
      <c r="STM32" s="206"/>
      <c r="STN32" s="206"/>
      <c r="STO32" s="206"/>
      <c r="STP32" s="206"/>
      <c r="STQ32" s="206"/>
      <c r="STR32" s="206"/>
      <c r="STS32" s="206"/>
      <c r="STT32" s="206"/>
      <c r="STU32" s="206"/>
      <c r="STV32" s="206"/>
      <c r="STW32" s="206"/>
      <c r="STX32" s="206"/>
      <c r="STY32" s="206"/>
      <c r="STZ32" s="206"/>
      <c r="SUA32" s="206"/>
      <c r="SUB32" s="206"/>
      <c r="SUC32" s="206"/>
      <c r="SUD32" s="206"/>
      <c r="SUE32" s="206"/>
      <c r="SUF32" s="206"/>
      <c r="SUG32" s="206"/>
      <c r="SUH32" s="206"/>
      <c r="SUI32" s="206"/>
      <c r="SUJ32" s="206"/>
      <c r="SUK32" s="206"/>
      <c r="SUL32" s="206"/>
      <c r="SUM32" s="206"/>
      <c r="SUN32" s="206"/>
      <c r="SUO32" s="206"/>
      <c r="SUP32" s="206"/>
      <c r="SUQ32" s="206"/>
      <c r="SUR32" s="206"/>
      <c r="SUS32" s="206"/>
      <c r="SUT32" s="206"/>
      <c r="SUU32" s="206"/>
      <c r="SUV32" s="206"/>
      <c r="SUW32" s="206"/>
      <c r="SUX32" s="206"/>
      <c r="SUY32" s="206"/>
      <c r="SUZ32" s="206"/>
      <c r="SVA32" s="206"/>
      <c r="SVB32" s="206"/>
      <c r="SVC32" s="206"/>
      <c r="SVD32" s="206"/>
      <c r="SVE32" s="206"/>
      <c r="SVF32" s="206"/>
      <c r="SVG32" s="206"/>
      <c r="SVH32" s="206"/>
      <c r="SVI32" s="206"/>
      <c r="SVJ32" s="206"/>
      <c r="SVK32" s="206"/>
      <c r="SVL32" s="206"/>
      <c r="SVM32" s="206"/>
      <c r="SVN32" s="206"/>
      <c r="SVO32" s="206"/>
      <c r="SVP32" s="206"/>
      <c r="SVQ32" s="206"/>
      <c r="SVR32" s="206"/>
      <c r="SVS32" s="206"/>
      <c r="SVT32" s="206"/>
      <c r="SVU32" s="206"/>
      <c r="SVV32" s="206"/>
      <c r="SVW32" s="206"/>
      <c r="SVX32" s="206"/>
      <c r="SVY32" s="206"/>
      <c r="SVZ32" s="206"/>
      <c r="SWA32" s="206"/>
      <c r="SWB32" s="206"/>
      <c r="SWC32" s="206"/>
      <c r="SWD32" s="206"/>
      <c r="SWE32" s="206"/>
      <c r="SWF32" s="206"/>
      <c r="SWG32" s="206"/>
      <c r="SWH32" s="206"/>
      <c r="SWI32" s="206"/>
      <c r="SWJ32" s="206"/>
      <c r="SWK32" s="206"/>
      <c r="SWL32" s="206"/>
      <c r="SWM32" s="206"/>
      <c r="SWN32" s="206"/>
      <c r="SWO32" s="206"/>
      <c r="SWP32" s="206"/>
      <c r="SWQ32" s="206"/>
      <c r="SWR32" s="206"/>
      <c r="SWS32" s="206"/>
      <c r="SWT32" s="206"/>
      <c r="SWU32" s="206"/>
      <c r="SWV32" s="206"/>
      <c r="SWW32" s="206"/>
      <c r="SWX32" s="206"/>
      <c r="SWY32" s="206"/>
      <c r="SWZ32" s="206"/>
      <c r="SXA32" s="206"/>
      <c r="SXB32" s="206"/>
      <c r="SXC32" s="206"/>
      <c r="SXD32" s="206"/>
      <c r="SXE32" s="206"/>
      <c r="SXF32" s="206"/>
      <c r="SXG32" s="206"/>
      <c r="SXH32" s="206"/>
      <c r="SXI32" s="206"/>
      <c r="SXJ32" s="206"/>
      <c r="SXK32" s="206"/>
      <c r="SXL32" s="206"/>
      <c r="SXM32" s="206"/>
      <c r="SXN32" s="206"/>
      <c r="SXO32" s="206"/>
      <c r="SXP32" s="206"/>
      <c r="SXQ32" s="206"/>
      <c r="SXR32" s="206"/>
      <c r="SXS32" s="206"/>
      <c r="SXT32" s="206"/>
      <c r="SXU32" s="206"/>
      <c r="SXV32" s="206"/>
      <c r="SXW32" s="206"/>
      <c r="SXX32" s="206"/>
      <c r="SXY32" s="206"/>
      <c r="SXZ32" s="206"/>
      <c r="SYA32" s="206"/>
      <c r="SYB32" s="206"/>
      <c r="SYC32" s="206"/>
      <c r="SYD32" s="206"/>
      <c r="SYE32" s="206"/>
      <c r="SYF32" s="206"/>
      <c r="SYG32" s="206"/>
      <c r="SYH32" s="206"/>
      <c r="SYI32" s="206"/>
      <c r="SYJ32" s="206"/>
      <c r="SYK32" s="206"/>
      <c r="SYL32" s="206"/>
      <c r="SYM32" s="206"/>
      <c r="SYN32" s="206"/>
      <c r="SYO32" s="206"/>
      <c r="SYP32" s="206"/>
      <c r="SYQ32" s="206"/>
      <c r="SYR32" s="206"/>
      <c r="SYS32" s="206"/>
      <c r="SYT32" s="206"/>
      <c r="SYU32" s="206"/>
      <c r="SYV32" s="206"/>
      <c r="SYW32" s="206"/>
      <c r="SYX32" s="206"/>
      <c r="SYY32" s="206"/>
      <c r="SYZ32" s="206"/>
      <c r="SZA32" s="206"/>
      <c r="SZB32" s="206"/>
      <c r="SZC32" s="206"/>
      <c r="SZD32" s="206"/>
      <c r="SZE32" s="206"/>
      <c r="SZF32" s="206"/>
      <c r="SZG32" s="206"/>
      <c r="SZH32" s="206"/>
      <c r="SZI32" s="206"/>
      <c r="SZJ32" s="206"/>
      <c r="SZK32" s="206"/>
      <c r="SZL32" s="206"/>
      <c r="SZM32" s="206"/>
      <c r="SZN32" s="206"/>
      <c r="SZO32" s="206"/>
      <c r="SZP32" s="206"/>
      <c r="SZQ32" s="206"/>
      <c r="SZR32" s="206"/>
      <c r="SZS32" s="206"/>
      <c r="SZT32" s="206"/>
      <c r="SZU32" s="206"/>
      <c r="SZV32" s="206"/>
      <c r="SZW32" s="206"/>
      <c r="SZX32" s="206"/>
      <c r="SZY32" s="206"/>
      <c r="SZZ32" s="206"/>
      <c r="TAA32" s="206"/>
      <c r="TAB32" s="206"/>
      <c r="TAC32" s="206"/>
      <c r="TAD32" s="206"/>
      <c r="TAE32" s="206"/>
      <c r="TAF32" s="206"/>
      <c r="TAG32" s="206"/>
      <c r="TAH32" s="206"/>
      <c r="TAI32" s="206"/>
      <c r="TAJ32" s="206"/>
      <c r="TAK32" s="206"/>
      <c r="TAL32" s="206"/>
      <c r="TAM32" s="206"/>
      <c r="TAN32" s="206"/>
      <c r="TAO32" s="206"/>
      <c r="TAP32" s="206"/>
      <c r="TAQ32" s="206"/>
      <c r="TAR32" s="206"/>
      <c r="TAS32" s="206"/>
      <c r="TAT32" s="206"/>
      <c r="TAU32" s="206"/>
      <c r="TAV32" s="206"/>
      <c r="TAW32" s="206"/>
      <c r="TAX32" s="206"/>
      <c r="TAY32" s="206"/>
      <c r="TAZ32" s="206"/>
      <c r="TBA32" s="206"/>
      <c r="TBB32" s="206"/>
      <c r="TBC32" s="206"/>
      <c r="TBD32" s="206"/>
      <c r="TBE32" s="206"/>
      <c r="TBF32" s="206"/>
      <c r="TBG32" s="206"/>
      <c r="TBH32" s="206"/>
      <c r="TBI32" s="206"/>
      <c r="TBJ32" s="206"/>
      <c r="TBK32" s="206"/>
      <c r="TBL32" s="206"/>
      <c r="TBM32" s="206"/>
      <c r="TBN32" s="206"/>
      <c r="TBO32" s="206"/>
      <c r="TBP32" s="206"/>
      <c r="TBQ32" s="206"/>
      <c r="TBR32" s="206"/>
      <c r="TBS32" s="206"/>
      <c r="TBT32" s="206"/>
      <c r="TBU32" s="206"/>
      <c r="TBV32" s="206"/>
      <c r="TBW32" s="206"/>
      <c r="TBX32" s="206"/>
      <c r="TBY32" s="206"/>
      <c r="TBZ32" s="206"/>
      <c r="TCA32" s="206"/>
      <c r="TCB32" s="206"/>
      <c r="TCC32" s="206"/>
      <c r="TCD32" s="206"/>
      <c r="TCE32" s="206"/>
      <c r="TCF32" s="206"/>
      <c r="TCG32" s="206"/>
      <c r="TCH32" s="206"/>
      <c r="TCI32" s="206"/>
      <c r="TCJ32" s="206"/>
      <c r="TCK32" s="206"/>
      <c r="TCL32" s="206"/>
      <c r="TCM32" s="206"/>
      <c r="TCN32" s="206"/>
      <c r="TCO32" s="206"/>
      <c r="TCP32" s="206"/>
      <c r="TCQ32" s="206"/>
      <c r="TCR32" s="206"/>
      <c r="TCS32" s="206"/>
      <c r="TCT32" s="206"/>
      <c r="TCU32" s="206"/>
      <c r="TCV32" s="206"/>
      <c r="TCW32" s="206"/>
      <c r="TCX32" s="206"/>
      <c r="TCY32" s="206"/>
      <c r="TCZ32" s="206"/>
      <c r="TDA32" s="206"/>
      <c r="TDB32" s="206"/>
      <c r="TDC32" s="206"/>
      <c r="TDD32" s="206"/>
      <c r="TDE32" s="206"/>
      <c r="TDF32" s="206"/>
      <c r="TDG32" s="206"/>
      <c r="TDH32" s="206"/>
      <c r="TDI32" s="206"/>
      <c r="TDJ32" s="206"/>
      <c r="TDK32" s="206"/>
      <c r="TDL32" s="206"/>
      <c r="TDM32" s="206"/>
      <c r="TDN32" s="206"/>
      <c r="TDO32" s="206"/>
      <c r="TDP32" s="206"/>
      <c r="TDQ32" s="206"/>
      <c r="TDR32" s="206"/>
      <c r="TDS32" s="206"/>
      <c r="TDT32" s="206"/>
      <c r="TDU32" s="206"/>
      <c r="TDV32" s="206"/>
      <c r="TDW32" s="206"/>
      <c r="TDX32" s="206"/>
      <c r="TDY32" s="206"/>
      <c r="TDZ32" s="206"/>
      <c r="TEA32" s="206"/>
      <c r="TEB32" s="206"/>
      <c r="TEC32" s="206"/>
      <c r="TED32" s="206"/>
      <c r="TEE32" s="206"/>
      <c r="TEF32" s="206"/>
      <c r="TEG32" s="206"/>
      <c r="TEH32" s="206"/>
      <c r="TEI32" s="206"/>
      <c r="TEJ32" s="206"/>
      <c r="TEK32" s="206"/>
      <c r="TEL32" s="206"/>
      <c r="TEM32" s="206"/>
      <c r="TEN32" s="206"/>
      <c r="TEO32" s="206"/>
      <c r="TEP32" s="206"/>
      <c r="TEQ32" s="206"/>
      <c r="TER32" s="206"/>
      <c r="TES32" s="206"/>
      <c r="TET32" s="206"/>
      <c r="TEU32" s="206"/>
      <c r="TEV32" s="206"/>
      <c r="TEW32" s="206"/>
      <c r="TEX32" s="206"/>
      <c r="TEY32" s="206"/>
      <c r="TEZ32" s="206"/>
      <c r="TFA32" s="206"/>
      <c r="TFB32" s="206"/>
      <c r="TFC32" s="206"/>
      <c r="TFD32" s="206"/>
      <c r="TFE32" s="206"/>
      <c r="TFF32" s="206"/>
      <c r="TFG32" s="206"/>
      <c r="TFH32" s="206"/>
      <c r="TFI32" s="206"/>
      <c r="TFJ32" s="206"/>
      <c r="TFK32" s="206"/>
      <c r="TFL32" s="206"/>
      <c r="TFM32" s="206"/>
      <c r="TFN32" s="206"/>
      <c r="TFO32" s="206"/>
      <c r="TFP32" s="206"/>
      <c r="TFQ32" s="206"/>
      <c r="TFR32" s="206"/>
      <c r="TFS32" s="206"/>
      <c r="TFT32" s="206"/>
      <c r="TFU32" s="206"/>
      <c r="TFV32" s="206"/>
      <c r="TFW32" s="206"/>
      <c r="TFX32" s="206"/>
      <c r="TFY32" s="206"/>
      <c r="TFZ32" s="206"/>
      <c r="TGA32" s="206"/>
      <c r="TGB32" s="206"/>
      <c r="TGC32" s="206"/>
      <c r="TGD32" s="206"/>
      <c r="TGE32" s="206"/>
      <c r="TGF32" s="206"/>
      <c r="TGG32" s="206"/>
      <c r="TGH32" s="206"/>
      <c r="TGI32" s="206"/>
      <c r="TGJ32" s="206"/>
      <c r="TGK32" s="206"/>
      <c r="TGL32" s="206"/>
      <c r="TGM32" s="206"/>
      <c r="TGN32" s="206"/>
      <c r="TGO32" s="206"/>
      <c r="TGP32" s="206"/>
      <c r="TGQ32" s="206"/>
      <c r="TGR32" s="206"/>
      <c r="TGS32" s="206"/>
      <c r="TGT32" s="206"/>
      <c r="TGU32" s="206"/>
      <c r="TGV32" s="206"/>
      <c r="TGW32" s="206"/>
      <c r="TGX32" s="206"/>
      <c r="TGY32" s="206"/>
      <c r="TGZ32" s="206"/>
      <c r="THA32" s="206"/>
      <c r="THB32" s="206"/>
      <c r="THC32" s="206"/>
      <c r="THD32" s="206"/>
      <c r="THE32" s="206"/>
      <c r="THF32" s="206"/>
      <c r="THG32" s="206"/>
      <c r="THH32" s="206"/>
      <c r="THI32" s="206"/>
      <c r="THJ32" s="206"/>
      <c r="THK32" s="206"/>
      <c r="THL32" s="206"/>
      <c r="THM32" s="206"/>
      <c r="THN32" s="206"/>
      <c r="THO32" s="206"/>
      <c r="THP32" s="206"/>
      <c r="THQ32" s="206"/>
      <c r="THR32" s="206"/>
      <c r="THS32" s="206"/>
      <c r="THT32" s="206"/>
      <c r="THU32" s="206"/>
      <c r="THV32" s="206"/>
      <c r="THW32" s="206"/>
      <c r="THX32" s="206"/>
      <c r="THY32" s="206"/>
      <c r="THZ32" s="206"/>
      <c r="TIA32" s="206"/>
      <c r="TIB32" s="206"/>
      <c r="TIC32" s="206"/>
      <c r="TID32" s="206"/>
      <c r="TIE32" s="206"/>
      <c r="TIF32" s="206"/>
      <c r="TIG32" s="206"/>
      <c r="TIH32" s="206"/>
      <c r="TII32" s="206"/>
      <c r="TIJ32" s="206"/>
      <c r="TIK32" s="206"/>
      <c r="TIL32" s="206"/>
      <c r="TIM32" s="206"/>
      <c r="TIN32" s="206"/>
      <c r="TIO32" s="206"/>
      <c r="TIP32" s="206"/>
      <c r="TIQ32" s="206"/>
      <c r="TIR32" s="206"/>
      <c r="TIS32" s="206"/>
      <c r="TIT32" s="206"/>
      <c r="TIU32" s="206"/>
      <c r="TIV32" s="206"/>
      <c r="TIW32" s="206"/>
      <c r="TIX32" s="206"/>
      <c r="TIY32" s="206"/>
      <c r="TIZ32" s="206"/>
      <c r="TJA32" s="206"/>
      <c r="TJB32" s="206"/>
      <c r="TJC32" s="206"/>
      <c r="TJD32" s="206"/>
      <c r="TJE32" s="206"/>
      <c r="TJF32" s="206"/>
      <c r="TJG32" s="206"/>
      <c r="TJH32" s="206"/>
      <c r="TJI32" s="206"/>
      <c r="TJJ32" s="206"/>
      <c r="TJK32" s="206"/>
      <c r="TJL32" s="206"/>
      <c r="TJM32" s="206"/>
      <c r="TJN32" s="206"/>
      <c r="TJO32" s="206"/>
      <c r="TJP32" s="206"/>
      <c r="TJQ32" s="206"/>
      <c r="TJR32" s="206"/>
      <c r="TJS32" s="206"/>
      <c r="TJT32" s="206"/>
      <c r="TJU32" s="206"/>
      <c r="TJV32" s="206"/>
      <c r="TJW32" s="206"/>
      <c r="TJX32" s="206"/>
      <c r="TJY32" s="206"/>
      <c r="TJZ32" s="206"/>
      <c r="TKA32" s="206"/>
      <c r="TKB32" s="206"/>
      <c r="TKC32" s="206"/>
      <c r="TKD32" s="206"/>
      <c r="TKE32" s="206"/>
      <c r="TKF32" s="206"/>
      <c r="TKG32" s="206"/>
      <c r="TKH32" s="206"/>
      <c r="TKI32" s="206"/>
      <c r="TKJ32" s="206"/>
      <c r="TKK32" s="206"/>
      <c r="TKL32" s="206"/>
      <c r="TKM32" s="206"/>
      <c r="TKN32" s="206"/>
      <c r="TKO32" s="206"/>
      <c r="TKP32" s="206"/>
      <c r="TKQ32" s="206"/>
      <c r="TKR32" s="206"/>
      <c r="TKS32" s="206"/>
      <c r="TKT32" s="206"/>
      <c r="TKU32" s="206"/>
      <c r="TKV32" s="206"/>
      <c r="TKW32" s="206"/>
      <c r="TKX32" s="206"/>
      <c r="TKY32" s="206"/>
      <c r="TKZ32" s="206"/>
      <c r="TLA32" s="206"/>
      <c r="TLB32" s="206"/>
      <c r="TLC32" s="206"/>
      <c r="TLD32" s="206"/>
      <c r="TLE32" s="206"/>
      <c r="TLF32" s="206"/>
      <c r="TLG32" s="206"/>
      <c r="TLH32" s="206"/>
      <c r="TLI32" s="206"/>
      <c r="TLJ32" s="206"/>
      <c r="TLK32" s="206"/>
      <c r="TLL32" s="206"/>
      <c r="TLM32" s="206"/>
      <c r="TLN32" s="206"/>
      <c r="TLO32" s="206"/>
      <c r="TLP32" s="206"/>
      <c r="TLQ32" s="206"/>
      <c r="TLR32" s="206"/>
      <c r="TLS32" s="206"/>
      <c r="TLT32" s="206"/>
      <c r="TLU32" s="206"/>
      <c r="TLV32" s="206"/>
      <c r="TLW32" s="206"/>
      <c r="TLX32" s="206"/>
      <c r="TLY32" s="206"/>
      <c r="TLZ32" s="206"/>
      <c r="TMA32" s="206"/>
      <c r="TMB32" s="206"/>
      <c r="TMC32" s="206"/>
      <c r="TMD32" s="206"/>
      <c r="TME32" s="206"/>
      <c r="TMF32" s="206"/>
      <c r="TMG32" s="206"/>
      <c r="TMH32" s="206"/>
      <c r="TMI32" s="206"/>
      <c r="TMJ32" s="206"/>
      <c r="TMK32" s="206"/>
      <c r="TML32" s="206"/>
      <c r="TMM32" s="206"/>
      <c r="TMN32" s="206"/>
      <c r="TMO32" s="206"/>
      <c r="TMP32" s="206"/>
      <c r="TMQ32" s="206"/>
      <c r="TMR32" s="206"/>
      <c r="TMS32" s="206"/>
      <c r="TMT32" s="206"/>
      <c r="TMU32" s="206"/>
      <c r="TMV32" s="206"/>
      <c r="TMW32" s="206"/>
      <c r="TMX32" s="206"/>
      <c r="TMY32" s="206"/>
      <c r="TMZ32" s="206"/>
      <c r="TNA32" s="206"/>
      <c r="TNB32" s="206"/>
      <c r="TNC32" s="206"/>
      <c r="TND32" s="206"/>
      <c r="TNE32" s="206"/>
      <c r="TNF32" s="206"/>
      <c r="TNG32" s="206"/>
      <c r="TNH32" s="206"/>
      <c r="TNI32" s="206"/>
      <c r="TNJ32" s="206"/>
      <c r="TNK32" s="206"/>
      <c r="TNL32" s="206"/>
      <c r="TNM32" s="206"/>
      <c r="TNN32" s="206"/>
      <c r="TNO32" s="206"/>
      <c r="TNP32" s="206"/>
      <c r="TNQ32" s="206"/>
      <c r="TNR32" s="206"/>
      <c r="TNS32" s="206"/>
      <c r="TNT32" s="206"/>
      <c r="TNU32" s="206"/>
      <c r="TNV32" s="206"/>
      <c r="TNW32" s="206"/>
      <c r="TNX32" s="206"/>
      <c r="TNY32" s="206"/>
      <c r="TNZ32" s="206"/>
      <c r="TOA32" s="206"/>
      <c r="TOB32" s="206"/>
      <c r="TOC32" s="206"/>
      <c r="TOD32" s="206"/>
      <c r="TOE32" s="206"/>
      <c r="TOF32" s="206"/>
      <c r="TOG32" s="206"/>
      <c r="TOH32" s="206"/>
      <c r="TOI32" s="206"/>
      <c r="TOJ32" s="206"/>
      <c r="TOK32" s="206"/>
      <c r="TOL32" s="206"/>
      <c r="TOM32" s="206"/>
      <c r="TON32" s="206"/>
      <c r="TOO32" s="206"/>
      <c r="TOP32" s="206"/>
      <c r="TOQ32" s="206"/>
      <c r="TOR32" s="206"/>
      <c r="TOS32" s="206"/>
      <c r="TOT32" s="206"/>
      <c r="TOU32" s="206"/>
      <c r="TOV32" s="206"/>
      <c r="TOW32" s="206"/>
      <c r="TOX32" s="206"/>
      <c r="TOY32" s="206"/>
      <c r="TOZ32" s="206"/>
      <c r="TPA32" s="206"/>
      <c r="TPB32" s="206"/>
      <c r="TPC32" s="206"/>
      <c r="TPD32" s="206"/>
      <c r="TPE32" s="206"/>
      <c r="TPF32" s="206"/>
      <c r="TPG32" s="206"/>
      <c r="TPH32" s="206"/>
      <c r="TPI32" s="206"/>
      <c r="TPJ32" s="206"/>
      <c r="TPK32" s="206"/>
      <c r="TPL32" s="206"/>
      <c r="TPM32" s="206"/>
      <c r="TPN32" s="206"/>
      <c r="TPO32" s="206"/>
      <c r="TPP32" s="206"/>
      <c r="TPQ32" s="206"/>
      <c r="TPR32" s="206"/>
      <c r="TPS32" s="206"/>
      <c r="TPT32" s="206"/>
      <c r="TPU32" s="206"/>
      <c r="TPV32" s="206"/>
      <c r="TPW32" s="206"/>
      <c r="TPX32" s="206"/>
      <c r="TPY32" s="206"/>
      <c r="TPZ32" s="206"/>
      <c r="TQA32" s="206"/>
      <c r="TQB32" s="206"/>
      <c r="TQC32" s="206"/>
      <c r="TQD32" s="206"/>
      <c r="TQE32" s="206"/>
      <c r="TQF32" s="206"/>
      <c r="TQG32" s="206"/>
      <c r="TQH32" s="206"/>
      <c r="TQI32" s="206"/>
      <c r="TQJ32" s="206"/>
      <c r="TQK32" s="206"/>
      <c r="TQL32" s="206"/>
      <c r="TQM32" s="206"/>
      <c r="TQN32" s="206"/>
      <c r="TQO32" s="206"/>
      <c r="TQP32" s="206"/>
      <c r="TQQ32" s="206"/>
      <c r="TQR32" s="206"/>
      <c r="TQS32" s="206"/>
      <c r="TQT32" s="206"/>
      <c r="TQU32" s="206"/>
      <c r="TQV32" s="206"/>
      <c r="TQW32" s="206"/>
      <c r="TQX32" s="206"/>
      <c r="TQY32" s="206"/>
      <c r="TQZ32" s="206"/>
      <c r="TRA32" s="206"/>
      <c r="TRB32" s="206"/>
      <c r="TRC32" s="206"/>
      <c r="TRD32" s="206"/>
      <c r="TRE32" s="206"/>
      <c r="TRF32" s="206"/>
      <c r="TRG32" s="206"/>
      <c r="TRH32" s="206"/>
      <c r="TRI32" s="206"/>
      <c r="TRJ32" s="206"/>
      <c r="TRK32" s="206"/>
      <c r="TRL32" s="206"/>
      <c r="TRM32" s="206"/>
      <c r="TRN32" s="206"/>
      <c r="TRO32" s="206"/>
      <c r="TRP32" s="206"/>
      <c r="TRQ32" s="206"/>
      <c r="TRR32" s="206"/>
      <c r="TRS32" s="206"/>
      <c r="TRT32" s="206"/>
      <c r="TRU32" s="206"/>
      <c r="TRV32" s="206"/>
      <c r="TRW32" s="206"/>
      <c r="TRX32" s="206"/>
      <c r="TRY32" s="206"/>
      <c r="TRZ32" s="206"/>
      <c r="TSA32" s="206"/>
      <c r="TSB32" s="206"/>
      <c r="TSC32" s="206"/>
      <c r="TSD32" s="206"/>
      <c r="TSE32" s="206"/>
      <c r="TSF32" s="206"/>
      <c r="TSG32" s="206"/>
      <c r="TSH32" s="206"/>
      <c r="TSI32" s="206"/>
      <c r="TSJ32" s="206"/>
      <c r="TSK32" s="206"/>
      <c r="TSL32" s="206"/>
      <c r="TSM32" s="206"/>
      <c r="TSN32" s="206"/>
      <c r="TSO32" s="206"/>
      <c r="TSP32" s="206"/>
      <c r="TSQ32" s="206"/>
      <c r="TSR32" s="206"/>
      <c r="TSS32" s="206"/>
      <c r="TST32" s="206"/>
      <c r="TSU32" s="206"/>
      <c r="TSV32" s="206"/>
      <c r="TSW32" s="206"/>
      <c r="TSX32" s="206"/>
      <c r="TSY32" s="206"/>
      <c r="TSZ32" s="206"/>
      <c r="TTA32" s="206"/>
      <c r="TTB32" s="206"/>
      <c r="TTC32" s="206"/>
      <c r="TTD32" s="206"/>
      <c r="TTE32" s="206"/>
      <c r="TTF32" s="206"/>
      <c r="TTG32" s="206"/>
      <c r="TTH32" s="206"/>
      <c r="TTI32" s="206"/>
      <c r="TTJ32" s="206"/>
      <c r="TTK32" s="206"/>
      <c r="TTL32" s="206"/>
      <c r="TTM32" s="206"/>
      <c r="TTN32" s="206"/>
      <c r="TTO32" s="206"/>
      <c r="TTP32" s="206"/>
      <c r="TTQ32" s="206"/>
      <c r="TTR32" s="206"/>
      <c r="TTS32" s="206"/>
      <c r="TTT32" s="206"/>
      <c r="TTU32" s="206"/>
      <c r="TTV32" s="206"/>
      <c r="TTW32" s="206"/>
      <c r="TTX32" s="206"/>
      <c r="TTY32" s="206"/>
      <c r="TTZ32" s="206"/>
      <c r="TUA32" s="206"/>
      <c r="TUB32" s="206"/>
      <c r="TUC32" s="206"/>
      <c r="TUD32" s="206"/>
      <c r="TUE32" s="206"/>
      <c r="TUF32" s="206"/>
      <c r="TUG32" s="206"/>
      <c r="TUH32" s="206"/>
      <c r="TUI32" s="206"/>
      <c r="TUJ32" s="206"/>
      <c r="TUK32" s="206"/>
      <c r="TUL32" s="206"/>
      <c r="TUM32" s="206"/>
      <c r="TUN32" s="206"/>
      <c r="TUO32" s="206"/>
      <c r="TUP32" s="206"/>
      <c r="TUQ32" s="206"/>
      <c r="TUR32" s="206"/>
      <c r="TUS32" s="206"/>
      <c r="TUT32" s="206"/>
      <c r="TUU32" s="206"/>
      <c r="TUV32" s="206"/>
      <c r="TUW32" s="206"/>
      <c r="TUX32" s="206"/>
      <c r="TUY32" s="206"/>
      <c r="TUZ32" s="206"/>
      <c r="TVA32" s="206"/>
      <c r="TVB32" s="206"/>
      <c r="TVC32" s="206"/>
      <c r="TVD32" s="206"/>
      <c r="TVE32" s="206"/>
      <c r="TVF32" s="206"/>
      <c r="TVG32" s="206"/>
      <c r="TVH32" s="206"/>
      <c r="TVI32" s="206"/>
      <c r="TVJ32" s="206"/>
      <c r="TVK32" s="206"/>
      <c r="TVL32" s="206"/>
      <c r="TVM32" s="206"/>
      <c r="TVN32" s="206"/>
      <c r="TVO32" s="206"/>
      <c r="TVP32" s="206"/>
      <c r="TVQ32" s="206"/>
      <c r="TVR32" s="206"/>
      <c r="TVS32" s="206"/>
      <c r="TVT32" s="206"/>
      <c r="TVU32" s="206"/>
      <c r="TVV32" s="206"/>
      <c r="TVW32" s="206"/>
      <c r="TVX32" s="206"/>
      <c r="TVY32" s="206"/>
      <c r="TVZ32" s="206"/>
      <c r="TWA32" s="206"/>
      <c r="TWB32" s="206"/>
      <c r="TWC32" s="206"/>
      <c r="TWD32" s="206"/>
      <c r="TWE32" s="206"/>
      <c r="TWF32" s="206"/>
      <c r="TWG32" s="206"/>
      <c r="TWH32" s="206"/>
      <c r="TWI32" s="206"/>
      <c r="TWJ32" s="206"/>
      <c r="TWK32" s="206"/>
      <c r="TWL32" s="206"/>
      <c r="TWM32" s="206"/>
      <c r="TWN32" s="206"/>
      <c r="TWO32" s="206"/>
      <c r="TWP32" s="206"/>
      <c r="TWQ32" s="206"/>
      <c r="TWR32" s="206"/>
      <c r="TWS32" s="206"/>
      <c r="TWT32" s="206"/>
      <c r="TWU32" s="206"/>
      <c r="TWV32" s="206"/>
      <c r="TWW32" s="206"/>
      <c r="TWX32" s="206"/>
      <c r="TWY32" s="206"/>
      <c r="TWZ32" s="206"/>
      <c r="TXA32" s="206"/>
      <c r="TXB32" s="206"/>
      <c r="TXC32" s="206"/>
      <c r="TXD32" s="206"/>
      <c r="TXE32" s="206"/>
      <c r="TXF32" s="206"/>
      <c r="TXG32" s="206"/>
      <c r="TXH32" s="206"/>
      <c r="TXI32" s="206"/>
      <c r="TXJ32" s="206"/>
      <c r="TXK32" s="206"/>
      <c r="TXL32" s="206"/>
      <c r="TXM32" s="206"/>
      <c r="TXN32" s="206"/>
      <c r="TXO32" s="206"/>
      <c r="TXP32" s="206"/>
      <c r="TXQ32" s="206"/>
      <c r="TXR32" s="206"/>
      <c r="TXS32" s="206"/>
      <c r="TXT32" s="206"/>
      <c r="TXU32" s="206"/>
      <c r="TXV32" s="206"/>
      <c r="TXW32" s="206"/>
      <c r="TXX32" s="206"/>
      <c r="TXY32" s="206"/>
      <c r="TXZ32" s="206"/>
      <c r="TYA32" s="206"/>
      <c r="TYB32" s="206"/>
      <c r="TYC32" s="206"/>
      <c r="TYD32" s="206"/>
      <c r="TYE32" s="206"/>
      <c r="TYF32" s="206"/>
      <c r="TYG32" s="206"/>
      <c r="TYH32" s="206"/>
      <c r="TYI32" s="206"/>
      <c r="TYJ32" s="206"/>
      <c r="TYK32" s="206"/>
      <c r="TYL32" s="206"/>
      <c r="TYM32" s="206"/>
      <c r="TYN32" s="206"/>
      <c r="TYO32" s="206"/>
      <c r="TYP32" s="206"/>
      <c r="TYQ32" s="206"/>
      <c r="TYR32" s="206"/>
      <c r="TYS32" s="206"/>
      <c r="TYT32" s="206"/>
      <c r="TYU32" s="206"/>
      <c r="TYV32" s="206"/>
      <c r="TYW32" s="206"/>
      <c r="TYX32" s="206"/>
      <c r="TYY32" s="206"/>
      <c r="TYZ32" s="206"/>
      <c r="TZA32" s="206"/>
      <c r="TZB32" s="206"/>
      <c r="TZC32" s="206"/>
      <c r="TZD32" s="206"/>
      <c r="TZE32" s="206"/>
      <c r="TZF32" s="206"/>
      <c r="TZG32" s="206"/>
      <c r="TZH32" s="206"/>
      <c r="TZI32" s="206"/>
      <c r="TZJ32" s="206"/>
      <c r="TZK32" s="206"/>
      <c r="TZL32" s="206"/>
      <c r="TZM32" s="206"/>
      <c r="TZN32" s="206"/>
      <c r="TZO32" s="206"/>
      <c r="TZP32" s="206"/>
      <c r="TZQ32" s="206"/>
      <c r="TZR32" s="206"/>
      <c r="TZS32" s="206"/>
      <c r="TZT32" s="206"/>
      <c r="TZU32" s="206"/>
      <c r="TZV32" s="206"/>
      <c r="TZW32" s="206"/>
      <c r="TZX32" s="206"/>
      <c r="TZY32" s="206"/>
      <c r="TZZ32" s="206"/>
      <c r="UAA32" s="206"/>
      <c r="UAB32" s="206"/>
      <c r="UAC32" s="206"/>
      <c r="UAD32" s="206"/>
      <c r="UAE32" s="206"/>
      <c r="UAF32" s="206"/>
      <c r="UAG32" s="206"/>
      <c r="UAH32" s="206"/>
      <c r="UAI32" s="206"/>
      <c r="UAJ32" s="206"/>
      <c r="UAK32" s="206"/>
      <c r="UAL32" s="206"/>
      <c r="UAM32" s="206"/>
      <c r="UAN32" s="206"/>
      <c r="UAO32" s="206"/>
      <c r="UAP32" s="206"/>
      <c r="UAQ32" s="206"/>
      <c r="UAR32" s="206"/>
      <c r="UAS32" s="206"/>
      <c r="UAT32" s="206"/>
      <c r="UAU32" s="206"/>
      <c r="UAV32" s="206"/>
      <c r="UAW32" s="206"/>
      <c r="UAX32" s="206"/>
      <c r="UAY32" s="206"/>
      <c r="UAZ32" s="206"/>
      <c r="UBA32" s="206"/>
      <c r="UBB32" s="206"/>
      <c r="UBC32" s="206"/>
      <c r="UBD32" s="206"/>
      <c r="UBE32" s="206"/>
      <c r="UBF32" s="206"/>
      <c r="UBG32" s="206"/>
      <c r="UBH32" s="206"/>
      <c r="UBI32" s="206"/>
      <c r="UBJ32" s="206"/>
      <c r="UBK32" s="206"/>
      <c r="UBL32" s="206"/>
      <c r="UBM32" s="206"/>
      <c r="UBN32" s="206"/>
      <c r="UBO32" s="206"/>
      <c r="UBP32" s="206"/>
      <c r="UBQ32" s="206"/>
      <c r="UBR32" s="206"/>
      <c r="UBS32" s="206"/>
      <c r="UBT32" s="206"/>
      <c r="UBU32" s="206"/>
      <c r="UBV32" s="206"/>
      <c r="UBW32" s="206"/>
      <c r="UBX32" s="206"/>
      <c r="UBY32" s="206"/>
      <c r="UBZ32" s="206"/>
      <c r="UCA32" s="206"/>
      <c r="UCB32" s="206"/>
      <c r="UCC32" s="206"/>
      <c r="UCD32" s="206"/>
      <c r="UCE32" s="206"/>
      <c r="UCF32" s="206"/>
      <c r="UCG32" s="206"/>
      <c r="UCH32" s="206"/>
      <c r="UCI32" s="206"/>
      <c r="UCJ32" s="206"/>
      <c r="UCK32" s="206"/>
      <c r="UCL32" s="206"/>
      <c r="UCM32" s="206"/>
      <c r="UCN32" s="206"/>
      <c r="UCO32" s="206"/>
      <c r="UCP32" s="206"/>
      <c r="UCQ32" s="206"/>
      <c r="UCR32" s="206"/>
      <c r="UCS32" s="206"/>
      <c r="UCT32" s="206"/>
      <c r="UCU32" s="206"/>
      <c r="UCV32" s="206"/>
      <c r="UCW32" s="206"/>
      <c r="UCX32" s="206"/>
      <c r="UCY32" s="206"/>
      <c r="UCZ32" s="206"/>
      <c r="UDA32" s="206"/>
      <c r="UDB32" s="206"/>
      <c r="UDC32" s="206"/>
      <c r="UDD32" s="206"/>
      <c r="UDE32" s="206"/>
      <c r="UDF32" s="206"/>
      <c r="UDG32" s="206"/>
      <c r="UDH32" s="206"/>
      <c r="UDI32" s="206"/>
      <c r="UDJ32" s="206"/>
      <c r="UDK32" s="206"/>
      <c r="UDL32" s="206"/>
      <c r="UDM32" s="206"/>
      <c r="UDN32" s="206"/>
      <c r="UDO32" s="206"/>
      <c r="UDP32" s="206"/>
      <c r="UDQ32" s="206"/>
      <c r="UDR32" s="206"/>
      <c r="UDS32" s="206"/>
      <c r="UDT32" s="206"/>
      <c r="UDU32" s="206"/>
      <c r="UDV32" s="206"/>
      <c r="UDW32" s="206"/>
      <c r="UDX32" s="206"/>
      <c r="UDY32" s="206"/>
      <c r="UDZ32" s="206"/>
      <c r="UEA32" s="206"/>
      <c r="UEB32" s="206"/>
      <c r="UEC32" s="206"/>
      <c r="UED32" s="206"/>
      <c r="UEE32" s="206"/>
      <c r="UEF32" s="206"/>
      <c r="UEG32" s="206"/>
      <c r="UEH32" s="206"/>
      <c r="UEI32" s="206"/>
      <c r="UEJ32" s="206"/>
      <c r="UEK32" s="206"/>
      <c r="UEL32" s="206"/>
      <c r="UEM32" s="206"/>
      <c r="UEN32" s="206"/>
      <c r="UEO32" s="206"/>
      <c r="UEP32" s="206"/>
      <c r="UEQ32" s="206"/>
      <c r="UER32" s="206"/>
      <c r="UES32" s="206"/>
      <c r="UET32" s="206"/>
      <c r="UEU32" s="206"/>
      <c r="UEV32" s="206"/>
      <c r="UEW32" s="206"/>
      <c r="UEX32" s="206"/>
      <c r="UEY32" s="206"/>
      <c r="UEZ32" s="206"/>
      <c r="UFA32" s="206"/>
      <c r="UFB32" s="206"/>
      <c r="UFC32" s="206"/>
      <c r="UFD32" s="206"/>
      <c r="UFE32" s="206"/>
      <c r="UFF32" s="206"/>
      <c r="UFG32" s="206"/>
      <c r="UFH32" s="206"/>
      <c r="UFI32" s="206"/>
      <c r="UFJ32" s="206"/>
      <c r="UFK32" s="206"/>
      <c r="UFL32" s="206"/>
      <c r="UFM32" s="206"/>
      <c r="UFN32" s="206"/>
      <c r="UFO32" s="206"/>
      <c r="UFP32" s="206"/>
      <c r="UFQ32" s="206"/>
      <c r="UFR32" s="206"/>
      <c r="UFS32" s="206"/>
      <c r="UFT32" s="206"/>
      <c r="UFU32" s="206"/>
      <c r="UFV32" s="206"/>
      <c r="UFW32" s="206"/>
      <c r="UFX32" s="206"/>
      <c r="UFY32" s="206"/>
      <c r="UFZ32" s="206"/>
      <c r="UGA32" s="206"/>
      <c r="UGB32" s="206"/>
      <c r="UGC32" s="206"/>
      <c r="UGD32" s="206"/>
      <c r="UGE32" s="206"/>
      <c r="UGF32" s="206"/>
      <c r="UGG32" s="206"/>
      <c r="UGH32" s="206"/>
      <c r="UGI32" s="206"/>
      <c r="UGJ32" s="206"/>
      <c r="UGK32" s="206"/>
      <c r="UGL32" s="206"/>
      <c r="UGM32" s="206"/>
      <c r="UGN32" s="206"/>
      <c r="UGO32" s="206"/>
      <c r="UGP32" s="206"/>
      <c r="UGQ32" s="206"/>
      <c r="UGR32" s="206"/>
      <c r="UGS32" s="206"/>
      <c r="UGT32" s="206"/>
      <c r="UGU32" s="206"/>
      <c r="UGV32" s="206"/>
      <c r="UGW32" s="206"/>
      <c r="UGX32" s="206"/>
      <c r="UGY32" s="206"/>
      <c r="UGZ32" s="206"/>
      <c r="UHA32" s="206"/>
      <c r="UHB32" s="206"/>
      <c r="UHC32" s="206"/>
      <c r="UHD32" s="206"/>
      <c r="UHE32" s="206"/>
      <c r="UHF32" s="206"/>
      <c r="UHG32" s="206"/>
      <c r="UHH32" s="206"/>
      <c r="UHI32" s="206"/>
      <c r="UHJ32" s="206"/>
      <c r="UHK32" s="206"/>
      <c r="UHL32" s="206"/>
      <c r="UHM32" s="206"/>
      <c r="UHN32" s="206"/>
      <c r="UHO32" s="206"/>
      <c r="UHP32" s="206"/>
      <c r="UHQ32" s="206"/>
      <c r="UHR32" s="206"/>
      <c r="UHS32" s="206"/>
      <c r="UHT32" s="206"/>
      <c r="UHU32" s="206"/>
      <c r="UHV32" s="206"/>
      <c r="UHW32" s="206"/>
      <c r="UHX32" s="206"/>
      <c r="UHY32" s="206"/>
      <c r="UHZ32" s="206"/>
      <c r="UIA32" s="206"/>
      <c r="UIB32" s="206"/>
      <c r="UIC32" s="206"/>
      <c r="UID32" s="206"/>
      <c r="UIE32" s="206"/>
      <c r="UIF32" s="206"/>
      <c r="UIG32" s="206"/>
      <c r="UIH32" s="206"/>
      <c r="UII32" s="206"/>
      <c r="UIJ32" s="206"/>
      <c r="UIK32" s="206"/>
      <c r="UIL32" s="206"/>
      <c r="UIM32" s="206"/>
      <c r="UIN32" s="206"/>
      <c r="UIO32" s="206"/>
      <c r="UIP32" s="206"/>
      <c r="UIQ32" s="206"/>
      <c r="UIR32" s="206"/>
      <c r="UIS32" s="206"/>
      <c r="UIT32" s="206"/>
      <c r="UIU32" s="206"/>
      <c r="UIV32" s="206"/>
      <c r="UIW32" s="206"/>
      <c r="UIX32" s="206"/>
      <c r="UIY32" s="206"/>
      <c r="UIZ32" s="206"/>
      <c r="UJA32" s="206"/>
      <c r="UJB32" s="206"/>
      <c r="UJC32" s="206"/>
      <c r="UJD32" s="206"/>
      <c r="UJE32" s="206"/>
      <c r="UJF32" s="206"/>
      <c r="UJG32" s="206"/>
      <c r="UJH32" s="206"/>
      <c r="UJI32" s="206"/>
      <c r="UJJ32" s="206"/>
      <c r="UJK32" s="206"/>
      <c r="UJL32" s="206"/>
      <c r="UJM32" s="206"/>
      <c r="UJN32" s="206"/>
      <c r="UJO32" s="206"/>
      <c r="UJP32" s="206"/>
      <c r="UJQ32" s="206"/>
      <c r="UJR32" s="206"/>
      <c r="UJS32" s="206"/>
      <c r="UJT32" s="206"/>
      <c r="UJU32" s="206"/>
      <c r="UJV32" s="206"/>
      <c r="UJW32" s="206"/>
      <c r="UJX32" s="206"/>
      <c r="UJY32" s="206"/>
      <c r="UJZ32" s="206"/>
      <c r="UKA32" s="206"/>
      <c r="UKB32" s="206"/>
      <c r="UKC32" s="206"/>
      <c r="UKD32" s="206"/>
      <c r="UKE32" s="206"/>
      <c r="UKF32" s="206"/>
      <c r="UKG32" s="206"/>
      <c r="UKH32" s="206"/>
      <c r="UKI32" s="206"/>
      <c r="UKJ32" s="206"/>
      <c r="UKK32" s="206"/>
      <c r="UKL32" s="206"/>
      <c r="UKM32" s="206"/>
      <c r="UKN32" s="206"/>
      <c r="UKO32" s="206"/>
      <c r="UKP32" s="206"/>
      <c r="UKQ32" s="206"/>
      <c r="UKR32" s="206"/>
      <c r="UKS32" s="206"/>
      <c r="UKT32" s="206"/>
      <c r="UKU32" s="206"/>
      <c r="UKV32" s="206"/>
      <c r="UKW32" s="206"/>
      <c r="UKX32" s="206"/>
      <c r="UKY32" s="206"/>
      <c r="UKZ32" s="206"/>
      <c r="ULA32" s="206"/>
      <c r="ULB32" s="206"/>
      <c r="ULC32" s="206"/>
      <c r="ULD32" s="206"/>
      <c r="ULE32" s="206"/>
      <c r="ULF32" s="206"/>
      <c r="ULG32" s="206"/>
      <c r="ULH32" s="206"/>
      <c r="ULI32" s="206"/>
      <c r="ULJ32" s="206"/>
      <c r="ULK32" s="206"/>
      <c r="ULL32" s="206"/>
      <c r="ULM32" s="206"/>
      <c r="ULN32" s="206"/>
      <c r="ULO32" s="206"/>
      <c r="ULP32" s="206"/>
      <c r="ULQ32" s="206"/>
      <c r="ULR32" s="206"/>
      <c r="ULS32" s="206"/>
      <c r="ULT32" s="206"/>
      <c r="ULU32" s="206"/>
      <c r="ULV32" s="206"/>
      <c r="ULW32" s="206"/>
      <c r="ULX32" s="206"/>
      <c r="ULY32" s="206"/>
      <c r="ULZ32" s="206"/>
      <c r="UMA32" s="206"/>
      <c r="UMB32" s="206"/>
      <c r="UMC32" s="206"/>
      <c r="UMD32" s="206"/>
      <c r="UME32" s="206"/>
      <c r="UMF32" s="206"/>
      <c r="UMG32" s="206"/>
      <c r="UMH32" s="206"/>
      <c r="UMI32" s="206"/>
      <c r="UMJ32" s="206"/>
      <c r="UMK32" s="206"/>
      <c r="UML32" s="206"/>
      <c r="UMM32" s="206"/>
      <c r="UMN32" s="206"/>
      <c r="UMO32" s="206"/>
      <c r="UMP32" s="206"/>
      <c r="UMQ32" s="206"/>
      <c r="UMR32" s="206"/>
      <c r="UMS32" s="206"/>
      <c r="UMT32" s="206"/>
      <c r="UMU32" s="206"/>
      <c r="UMV32" s="206"/>
      <c r="UMW32" s="206"/>
      <c r="UMX32" s="206"/>
      <c r="UMY32" s="206"/>
      <c r="UMZ32" s="206"/>
      <c r="UNA32" s="206"/>
      <c r="UNB32" s="206"/>
      <c r="UNC32" s="206"/>
      <c r="UND32" s="206"/>
      <c r="UNE32" s="206"/>
      <c r="UNF32" s="206"/>
      <c r="UNG32" s="206"/>
      <c r="UNH32" s="206"/>
      <c r="UNI32" s="206"/>
      <c r="UNJ32" s="206"/>
      <c r="UNK32" s="206"/>
      <c r="UNL32" s="206"/>
      <c r="UNM32" s="206"/>
      <c r="UNN32" s="206"/>
      <c r="UNO32" s="206"/>
      <c r="UNP32" s="206"/>
      <c r="UNQ32" s="206"/>
      <c r="UNR32" s="206"/>
      <c r="UNS32" s="206"/>
      <c r="UNT32" s="206"/>
      <c r="UNU32" s="206"/>
      <c r="UNV32" s="206"/>
      <c r="UNW32" s="206"/>
      <c r="UNX32" s="206"/>
      <c r="UNY32" s="206"/>
      <c r="UNZ32" s="206"/>
      <c r="UOA32" s="206"/>
      <c r="UOB32" s="206"/>
      <c r="UOC32" s="206"/>
      <c r="UOD32" s="206"/>
      <c r="UOE32" s="206"/>
      <c r="UOF32" s="206"/>
      <c r="UOG32" s="206"/>
      <c r="UOH32" s="206"/>
      <c r="UOI32" s="206"/>
      <c r="UOJ32" s="206"/>
      <c r="UOK32" s="206"/>
      <c r="UOL32" s="206"/>
      <c r="UOM32" s="206"/>
      <c r="UON32" s="206"/>
      <c r="UOO32" s="206"/>
      <c r="UOP32" s="206"/>
      <c r="UOQ32" s="206"/>
      <c r="UOR32" s="206"/>
      <c r="UOS32" s="206"/>
      <c r="UOT32" s="206"/>
      <c r="UOU32" s="206"/>
      <c r="UOV32" s="206"/>
      <c r="UOW32" s="206"/>
      <c r="UOX32" s="206"/>
      <c r="UOY32" s="206"/>
      <c r="UOZ32" s="206"/>
      <c r="UPA32" s="206"/>
      <c r="UPB32" s="206"/>
      <c r="UPC32" s="206"/>
      <c r="UPD32" s="206"/>
      <c r="UPE32" s="206"/>
      <c r="UPF32" s="206"/>
      <c r="UPG32" s="206"/>
      <c r="UPH32" s="206"/>
      <c r="UPI32" s="206"/>
      <c r="UPJ32" s="206"/>
      <c r="UPK32" s="206"/>
      <c r="UPL32" s="206"/>
      <c r="UPM32" s="206"/>
      <c r="UPN32" s="206"/>
      <c r="UPO32" s="206"/>
      <c r="UPP32" s="206"/>
      <c r="UPQ32" s="206"/>
      <c r="UPR32" s="206"/>
      <c r="UPS32" s="206"/>
      <c r="UPT32" s="206"/>
      <c r="UPU32" s="206"/>
      <c r="UPV32" s="206"/>
      <c r="UPW32" s="206"/>
      <c r="UPX32" s="206"/>
      <c r="UPY32" s="206"/>
      <c r="UPZ32" s="206"/>
      <c r="UQA32" s="206"/>
      <c r="UQB32" s="206"/>
      <c r="UQC32" s="206"/>
      <c r="UQD32" s="206"/>
      <c r="UQE32" s="206"/>
      <c r="UQF32" s="206"/>
      <c r="UQG32" s="206"/>
      <c r="UQH32" s="206"/>
      <c r="UQI32" s="206"/>
      <c r="UQJ32" s="206"/>
      <c r="UQK32" s="206"/>
      <c r="UQL32" s="206"/>
      <c r="UQM32" s="206"/>
      <c r="UQN32" s="206"/>
      <c r="UQO32" s="206"/>
      <c r="UQP32" s="206"/>
      <c r="UQQ32" s="206"/>
      <c r="UQR32" s="206"/>
      <c r="UQS32" s="206"/>
      <c r="UQT32" s="206"/>
      <c r="UQU32" s="206"/>
      <c r="UQV32" s="206"/>
      <c r="UQW32" s="206"/>
      <c r="UQX32" s="206"/>
      <c r="UQY32" s="206"/>
      <c r="UQZ32" s="206"/>
      <c r="URA32" s="206"/>
      <c r="URB32" s="206"/>
      <c r="URC32" s="206"/>
      <c r="URD32" s="206"/>
      <c r="URE32" s="206"/>
      <c r="URF32" s="206"/>
      <c r="URG32" s="206"/>
      <c r="URH32" s="206"/>
      <c r="URI32" s="206"/>
      <c r="URJ32" s="206"/>
      <c r="URK32" s="206"/>
      <c r="URL32" s="206"/>
      <c r="URM32" s="206"/>
      <c r="URN32" s="206"/>
      <c r="URO32" s="206"/>
      <c r="URP32" s="206"/>
      <c r="URQ32" s="206"/>
      <c r="URR32" s="206"/>
      <c r="URS32" s="206"/>
      <c r="URT32" s="206"/>
      <c r="URU32" s="206"/>
      <c r="URV32" s="206"/>
      <c r="URW32" s="206"/>
      <c r="URX32" s="206"/>
      <c r="URY32" s="206"/>
      <c r="URZ32" s="206"/>
      <c r="USA32" s="206"/>
      <c r="USB32" s="206"/>
      <c r="USC32" s="206"/>
      <c r="USD32" s="206"/>
      <c r="USE32" s="206"/>
      <c r="USF32" s="206"/>
      <c r="USG32" s="206"/>
      <c r="USH32" s="206"/>
      <c r="USI32" s="206"/>
      <c r="USJ32" s="206"/>
      <c r="USK32" s="206"/>
      <c r="USL32" s="206"/>
      <c r="USM32" s="206"/>
      <c r="USN32" s="206"/>
      <c r="USO32" s="206"/>
      <c r="USP32" s="206"/>
      <c r="USQ32" s="206"/>
      <c r="USR32" s="206"/>
      <c r="USS32" s="206"/>
      <c r="UST32" s="206"/>
      <c r="USU32" s="206"/>
      <c r="USV32" s="206"/>
      <c r="USW32" s="206"/>
      <c r="USX32" s="206"/>
      <c r="USY32" s="206"/>
      <c r="USZ32" s="206"/>
      <c r="UTA32" s="206"/>
      <c r="UTB32" s="206"/>
      <c r="UTC32" s="206"/>
      <c r="UTD32" s="206"/>
      <c r="UTE32" s="206"/>
      <c r="UTF32" s="206"/>
      <c r="UTG32" s="206"/>
      <c r="UTH32" s="206"/>
      <c r="UTI32" s="206"/>
      <c r="UTJ32" s="206"/>
      <c r="UTK32" s="206"/>
      <c r="UTL32" s="206"/>
      <c r="UTM32" s="206"/>
      <c r="UTN32" s="206"/>
      <c r="UTO32" s="206"/>
      <c r="UTP32" s="206"/>
      <c r="UTQ32" s="206"/>
      <c r="UTR32" s="206"/>
      <c r="UTS32" s="206"/>
      <c r="UTT32" s="206"/>
      <c r="UTU32" s="206"/>
      <c r="UTV32" s="206"/>
      <c r="UTW32" s="206"/>
      <c r="UTX32" s="206"/>
      <c r="UTY32" s="206"/>
      <c r="UTZ32" s="206"/>
      <c r="UUA32" s="206"/>
      <c r="UUB32" s="206"/>
      <c r="UUC32" s="206"/>
      <c r="UUD32" s="206"/>
      <c r="UUE32" s="206"/>
      <c r="UUF32" s="206"/>
      <c r="UUG32" s="206"/>
      <c r="UUH32" s="206"/>
      <c r="UUI32" s="206"/>
      <c r="UUJ32" s="206"/>
      <c r="UUK32" s="206"/>
      <c r="UUL32" s="206"/>
      <c r="UUM32" s="206"/>
      <c r="UUN32" s="206"/>
      <c r="UUO32" s="206"/>
      <c r="UUP32" s="206"/>
      <c r="UUQ32" s="206"/>
      <c r="UUR32" s="206"/>
      <c r="UUS32" s="206"/>
      <c r="UUT32" s="206"/>
      <c r="UUU32" s="206"/>
      <c r="UUV32" s="206"/>
      <c r="UUW32" s="206"/>
      <c r="UUX32" s="206"/>
      <c r="UUY32" s="206"/>
      <c r="UUZ32" s="206"/>
      <c r="UVA32" s="206"/>
      <c r="UVB32" s="206"/>
      <c r="UVC32" s="206"/>
      <c r="UVD32" s="206"/>
      <c r="UVE32" s="206"/>
      <c r="UVF32" s="206"/>
      <c r="UVG32" s="206"/>
      <c r="UVH32" s="206"/>
      <c r="UVI32" s="206"/>
      <c r="UVJ32" s="206"/>
      <c r="UVK32" s="206"/>
      <c r="UVL32" s="206"/>
      <c r="UVM32" s="206"/>
      <c r="UVN32" s="206"/>
      <c r="UVO32" s="206"/>
      <c r="UVP32" s="206"/>
      <c r="UVQ32" s="206"/>
      <c r="UVR32" s="206"/>
      <c r="UVS32" s="206"/>
      <c r="UVT32" s="206"/>
      <c r="UVU32" s="206"/>
      <c r="UVV32" s="206"/>
      <c r="UVW32" s="206"/>
      <c r="UVX32" s="206"/>
      <c r="UVY32" s="206"/>
      <c r="UVZ32" s="206"/>
      <c r="UWA32" s="206"/>
      <c r="UWB32" s="206"/>
      <c r="UWC32" s="206"/>
      <c r="UWD32" s="206"/>
      <c r="UWE32" s="206"/>
      <c r="UWF32" s="206"/>
      <c r="UWG32" s="206"/>
      <c r="UWH32" s="206"/>
      <c r="UWI32" s="206"/>
      <c r="UWJ32" s="206"/>
      <c r="UWK32" s="206"/>
      <c r="UWL32" s="206"/>
      <c r="UWM32" s="206"/>
      <c r="UWN32" s="206"/>
      <c r="UWO32" s="206"/>
      <c r="UWP32" s="206"/>
      <c r="UWQ32" s="206"/>
      <c r="UWR32" s="206"/>
      <c r="UWS32" s="206"/>
      <c r="UWT32" s="206"/>
      <c r="UWU32" s="206"/>
      <c r="UWV32" s="206"/>
      <c r="UWW32" s="206"/>
      <c r="UWX32" s="206"/>
      <c r="UWY32" s="206"/>
      <c r="UWZ32" s="206"/>
      <c r="UXA32" s="206"/>
      <c r="UXB32" s="206"/>
      <c r="UXC32" s="206"/>
      <c r="UXD32" s="206"/>
      <c r="UXE32" s="206"/>
      <c r="UXF32" s="206"/>
      <c r="UXG32" s="206"/>
      <c r="UXH32" s="206"/>
      <c r="UXI32" s="206"/>
      <c r="UXJ32" s="206"/>
      <c r="UXK32" s="206"/>
      <c r="UXL32" s="206"/>
      <c r="UXM32" s="206"/>
      <c r="UXN32" s="206"/>
      <c r="UXO32" s="206"/>
      <c r="UXP32" s="206"/>
      <c r="UXQ32" s="206"/>
      <c r="UXR32" s="206"/>
      <c r="UXS32" s="206"/>
      <c r="UXT32" s="206"/>
      <c r="UXU32" s="206"/>
      <c r="UXV32" s="206"/>
      <c r="UXW32" s="206"/>
      <c r="UXX32" s="206"/>
      <c r="UXY32" s="206"/>
      <c r="UXZ32" s="206"/>
      <c r="UYA32" s="206"/>
      <c r="UYB32" s="206"/>
      <c r="UYC32" s="206"/>
      <c r="UYD32" s="206"/>
      <c r="UYE32" s="206"/>
      <c r="UYF32" s="206"/>
      <c r="UYG32" s="206"/>
      <c r="UYH32" s="206"/>
      <c r="UYI32" s="206"/>
      <c r="UYJ32" s="206"/>
      <c r="UYK32" s="206"/>
      <c r="UYL32" s="206"/>
      <c r="UYM32" s="206"/>
      <c r="UYN32" s="206"/>
      <c r="UYO32" s="206"/>
      <c r="UYP32" s="206"/>
      <c r="UYQ32" s="206"/>
      <c r="UYR32" s="206"/>
      <c r="UYS32" s="206"/>
      <c r="UYT32" s="206"/>
      <c r="UYU32" s="206"/>
      <c r="UYV32" s="206"/>
      <c r="UYW32" s="206"/>
      <c r="UYX32" s="206"/>
      <c r="UYY32" s="206"/>
      <c r="UYZ32" s="206"/>
      <c r="UZA32" s="206"/>
      <c r="UZB32" s="206"/>
      <c r="UZC32" s="206"/>
      <c r="UZD32" s="206"/>
      <c r="UZE32" s="206"/>
      <c r="UZF32" s="206"/>
      <c r="UZG32" s="206"/>
      <c r="UZH32" s="206"/>
      <c r="UZI32" s="206"/>
      <c r="UZJ32" s="206"/>
      <c r="UZK32" s="206"/>
      <c r="UZL32" s="206"/>
      <c r="UZM32" s="206"/>
      <c r="UZN32" s="206"/>
      <c r="UZO32" s="206"/>
      <c r="UZP32" s="206"/>
      <c r="UZQ32" s="206"/>
      <c r="UZR32" s="206"/>
      <c r="UZS32" s="206"/>
      <c r="UZT32" s="206"/>
      <c r="UZU32" s="206"/>
      <c r="UZV32" s="206"/>
      <c r="UZW32" s="206"/>
      <c r="UZX32" s="206"/>
      <c r="UZY32" s="206"/>
      <c r="UZZ32" s="206"/>
      <c r="VAA32" s="206"/>
      <c r="VAB32" s="206"/>
      <c r="VAC32" s="206"/>
      <c r="VAD32" s="206"/>
      <c r="VAE32" s="206"/>
      <c r="VAF32" s="206"/>
      <c r="VAG32" s="206"/>
      <c r="VAH32" s="206"/>
      <c r="VAI32" s="206"/>
      <c r="VAJ32" s="206"/>
      <c r="VAK32" s="206"/>
      <c r="VAL32" s="206"/>
      <c r="VAM32" s="206"/>
      <c r="VAN32" s="206"/>
      <c r="VAO32" s="206"/>
      <c r="VAP32" s="206"/>
      <c r="VAQ32" s="206"/>
      <c r="VAR32" s="206"/>
      <c r="VAS32" s="206"/>
      <c r="VAT32" s="206"/>
      <c r="VAU32" s="206"/>
      <c r="VAV32" s="206"/>
      <c r="VAW32" s="206"/>
      <c r="VAX32" s="206"/>
      <c r="VAY32" s="206"/>
      <c r="VAZ32" s="206"/>
      <c r="VBA32" s="206"/>
      <c r="VBB32" s="206"/>
      <c r="VBC32" s="206"/>
      <c r="VBD32" s="206"/>
      <c r="VBE32" s="206"/>
      <c r="VBF32" s="206"/>
      <c r="VBG32" s="206"/>
      <c r="VBH32" s="206"/>
      <c r="VBI32" s="206"/>
      <c r="VBJ32" s="206"/>
      <c r="VBK32" s="206"/>
      <c r="VBL32" s="206"/>
      <c r="VBM32" s="206"/>
      <c r="VBN32" s="206"/>
      <c r="VBO32" s="206"/>
      <c r="VBP32" s="206"/>
      <c r="VBQ32" s="206"/>
      <c r="VBR32" s="206"/>
      <c r="VBS32" s="206"/>
      <c r="VBT32" s="206"/>
      <c r="VBU32" s="206"/>
      <c r="VBV32" s="206"/>
      <c r="VBW32" s="206"/>
      <c r="VBX32" s="206"/>
      <c r="VBY32" s="206"/>
      <c r="VBZ32" s="206"/>
      <c r="VCA32" s="206"/>
      <c r="VCB32" s="206"/>
      <c r="VCC32" s="206"/>
      <c r="VCD32" s="206"/>
      <c r="VCE32" s="206"/>
      <c r="VCF32" s="206"/>
      <c r="VCG32" s="206"/>
      <c r="VCH32" s="206"/>
      <c r="VCI32" s="206"/>
      <c r="VCJ32" s="206"/>
      <c r="VCK32" s="206"/>
      <c r="VCL32" s="206"/>
      <c r="VCM32" s="206"/>
      <c r="VCN32" s="206"/>
      <c r="VCO32" s="206"/>
      <c r="VCP32" s="206"/>
      <c r="VCQ32" s="206"/>
      <c r="VCR32" s="206"/>
      <c r="VCS32" s="206"/>
      <c r="VCT32" s="206"/>
      <c r="VCU32" s="206"/>
      <c r="VCV32" s="206"/>
      <c r="VCW32" s="206"/>
      <c r="VCX32" s="206"/>
      <c r="VCY32" s="206"/>
      <c r="VCZ32" s="206"/>
      <c r="VDA32" s="206"/>
      <c r="VDB32" s="206"/>
      <c r="VDC32" s="206"/>
      <c r="VDD32" s="206"/>
      <c r="VDE32" s="206"/>
      <c r="VDF32" s="206"/>
      <c r="VDG32" s="206"/>
      <c r="VDH32" s="206"/>
      <c r="VDI32" s="206"/>
      <c r="VDJ32" s="206"/>
      <c r="VDK32" s="206"/>
      <c r="VDL32" s="206"/>
      <c r="VDM32" s="206"/>
      <c r="VDN32" s="206"/>
      <c r="VDO32" s="206"/>
      <c r="VDP32" s="206"/>
      <c r="VDQ32" s="206"/>
      <c r="VDR32" s="206"/>
      <c r="VDS32" s="206"/>
      <c r="VDT32" s="206"/>
      <c r="VDU32" s="206"/>
      <c r="VDV32" s="206"/>
      <c r="VDW32" s="206"/>
      <c r="VDX32" s="206"/>
      <c r="VDY32" s="206"/>
      <c r="VDZ32" s="206"/>
      <c r="VEA32" s="206"/>
      <c r="VEB32" s="206"/>
      <c r="VEC32" s="206"/>
      <c r="VED32" s="206"/>
      <c r="VEE32" s="206"/>
      <c r="VEF32" s="206"/>
      <c r="VEG32" s="206"/>
      <c r="VEH32" s="206"/>
      <c r="VEI32" s="206"/>
      <c r="VEJ32" s="206"/>
      <c r="VEK32" s="206"/>
      <c r="VEL32" s="206"/>
      <c r="VEM32" s="206"/>
      <c r="VEN32" s="206"/>
      <c r="VEO32" s="206"/>
      <c r="VEP32" s="206"/>
      <c r="VEQ32" s="206"/>
      <c r="VER32" s="206"/>
      <c r="VES32" s="206"/>
      <c r="VET32" s="206"/>
      <c r="VEU32" s="206"/>
      <c r="VEV32" s="206"/>
      <c r="VEW32" s="206"/>
      <c r="VEX32" s="206"/>
      <c r="VEY32" s="206"/>
      <c r="VEZ32" s="206"/>
      <c r="VFA32" s="206"/>
      <c r="VFB32" s="206"/>
      <c r="VFC32" s="206"/>
      <c r="VFD32" s="206"/>
      <c r="VFE32" s="206"/>
      <c r="VFF32" s="206"/>
      <c r="VFG32" s="206"/>
      <c r="VFH32" s="206"/>
      <c r="VFI32" s="206"/>
      <c r="VFJ32" s="206"/>
      <c r="VFK32" s="206"/>
      <c r="VFL32" s="206"/>
      <c r="VFM32" s="206"/>
      <c r="VFN32" s="206"/>
      <c r="VFO32" s="206"/>
      <c r="VFP32" s="206"/>
      <c r="VFQ32" s="206"/>
      <c r="VFR32" s="206"/>
      <c r="VFS32" s="206"/>
      <c r="VFT32" s="206"/>
      <c r="VFU32" s="206"/>
      <c r="VFV32" s="206"/>
      <c r="VFW32" s="206"/>
      <c r="VFX32" s="206"/>
      <c r="VFY32" s="206"/>
      <c r="VFZ32" s="206"/>
      <c r="VGA32" s="206"/>
      <c r="VGB32" s="206"/>
      <c r="VGC32" s="206"/>
      <c r="VGD32" s="206"/>
      <c r="VGE32" s="206"/>
      <c r="VGF32" s="206"/>
      <c r="VGG32" s="206"/>
      <c r="VGH32" s="206"/>
      <c r="VGI32" s="206"/>
      <c r="VGJ32" s="206"/>
      <c r="VGK32" s="206"/>
      <c r="VGL32" s="206"/>
      <c r="VGM32" s="206"/>
      <c r="VGN32" s="206"/>
      <c r="VGO32" s="206"/>
      <c r="VGP32" s="206"/>
      <c r="VGQ32" s="206"/>
      <c r="VGR32" s="206"/>
      <c r="VGS32" s="206"/>
      <c r="VGT32" s="206"/>
      <c r="VGU32" s="206"/>
      <c r="VGV32" s="206"/>
      <c r="VGW32" s="206"/>
      <c r="VGX32" s="206"/>
      <c r="VGY32" s="206"/>
      <c r="VGZ32" s="206"/>
      <c r="VHA32" s="206"/>
      <c r="VHB32" s="206"/>
      <c r="VHC32" s="206"/>
      <c r="VHD32" s="206"/>
      <c r="VHE32" s="206"/>
      <c r="VHF32" s="206"/>
      <c r="VHG32" s="206"/>
      <c r="VHH32" s="206"/>
      <c r="VHI32" s="206"/>
      <c r="VHJ32" s="206"/>
      <c r="VHK32" s="206"/>
      <c r="VHL32" s="206"/>
      <c r="VHM32" s="206"/>
      <c r="VHN32" s="206"/>
      <c r="VHO32" s="206"/>
      <c r="VHP32" s="206"/>
      <c r="VHQ32" s="206"/>
      <c r="VHR32" s="206"/>
      <c r="VHS32" s="206"/>
      <c r="VHT32" s="206"/>
      <c r="VHU32" s="206"/>
      <c r="VHV32" s="206"/>
      <c r="VHW32" s="206"/>
      <c r="VHX32" s="206"/>
      <c r="VHY32" s="206"/>
      <c r="VHZ32" s="206"/>
      <c r="VIA32" s="206"/>
      <c r="VIB32" s="206"/>
      <c r="VIC32" s="206"/>
      <c r="VID32" s="206"/>
      <c r="VIE32" s="206"/>
      <c r="VIF32" s="206"/>
      <c r="VIG32" s="206"/>
      <c r="VIH32" s="206"/>
      <c r="VII32" s="206"/>
      <c r="VIJ32" s="206"/>
      <c r="VIK32" s="206"/>
      <c r="VIL32" s="206"/>
      <c r="VIM32" s="206"/>
      <c r="VIN32" s="206"/>
      <c r="VIO32" s="206"/>
      <c r="VIP32" s="206"/>
      <c r="VIQ32" s="206"/>
      <c r="VIR32" s="206"/>
      <c r="VIS32" s="206"/>
      <c r="VIT32" s="206"/>
      <c r="VIU32" s="206"/>
      <c r="VIV32" s="206"/>
      <c r="VIW32" s="206"/>
      <c r="VIX32" s="206"/>
      <c r="VIY32" s="206"/>
      <c r="VIZ32" s="206"/>
      <c r="VJA32" s="206"/>
      <c r="VJB32" s="206"/>
      <c r="VJC32" s="206"/>
      <c r="VJD32" s="206"/>
      <c r="VJE32" s="206"/>
      <c r="VJF32" s="206"/>
      <c r="VJG32" s="206"/>
      <c r="VJH32" s="206"/>
      <c r="VJI32" s="206"/>
      <c r="VJJ32" s="206"/>
      <c r="VJK32" s="206"/>
      <c r="VJL32" s="206"/>
      <c r="VJM32" s="206"/>
      <c r="VJN32" s="206"/>
      <c r="VJO32" s="206"/>
      <c r="VJP32" s="206"/>
      <c r="VJQ32" s="206"/>
      <c r="VJR32" s="206"/>
      <c r="VJS32" s="206"/>
      <c r="VJT32" s="206"/>
      <c r="VJU32" s="206"/>
      <c r="VJV32" s="206"/>
      <c r="VJW32" s="206"/>
      <c r="VJX32" s="206"/>
      <c r="VJY32" s="206"/>
      <c r="VJZ32" s="206"/>
      <c r="VKA32" s="206"/>
      <c r="VKB32" s="206"/>
      <c r="VKC32" s="206"/>
      <c r="VKD32" s="206"/>
      <c r="VKE32" s="206"/>
      <c r="VKF32" s="206"/>
      <c r="VKG32" s="206"/>
      <c r="VKH32" s="206"/>
      <c r="VKI32" s="206"/>
      <c r="VKJ32" s="206"/>
      <c r="VKK32" s="206"/>
      <c r="VKL32" s="206"/>
      <c r="VKM32" s="206"/>
      <c r="VKN32" s="206"/>
      <c r="VKO32" s="206"/>
      <c r="VKP32" s="206"/>
      <c r="VKQ32" s="206"/>
      <c r="VKR32" s="206"/>
      <c r="VKS32" s="206"/>
      <c r="VKT32" s="206"/>
      <c r="VKU32" s="206"/>
      <c r="VKV32" s="206"/>
      <c r="VKW32" s="206"/>
      <c r="VKX32" s="206"/>
      <c r="VKY32" s="206"/>
      <c r="VKZ32" s="206"/>
      <c r="VLA32" s="206"/>
      <c r="VLB32" s="206"/>
      <c r="VLC32" s="206"/>
      <c r="VLD32" s="206"/>
      <c r="VLE32" s="206"/>
      <c r="VLF32" s="206"/>
      <c r="VLG32" s="206"/>
      <c r="VLH32" s="206"/>
      <c r="VLI32" s="206"/>
      <c r="VLJ32" s="206"/>
      <c r="VLK32" s="206"/>
      <c r="VLL32" s="206"/>
      <c r="VLM32" s="206"/>
      <c r="VLN32" s="206"/>
      <c r="VLO32" s="206"/>
      <c r="VLP32" s="206"/>
      <c r="VLQ32" s="206"/>
      <c r="VLR32" s="206"/>
      <c r="VLS32" s="206"/>
      <c r="VLT32" s="206"/>
      <c r="VLU32" s="206"/>
      <c r="VLV32" s="206"/>
      <c r="VLW32" s="206"/>
      <c r="VLX32" s="206"/>
      <c r="VLY32" s="206"/>
      <c r="VLZ32" s="206"/>
      <c r="VMA32" s="206"/>
      <c r="VMB32" s="206"/>
      <c r="VMC32" s="206"/>
      <c r="VMD32" s="206"/>
      <c r="VME32" s="206"/>
      <c r="VMF32" s="206"/>
      <c r="VMG32" s="206"/>
      <c r="VMH32" s="206"/>
      <c r="VMI32" s="206"/>
      <c r="VMJ32" s="206"/>
      <c r="VMK32" s="206"/>
      <c r="VML32" s="206"/>
      <c r="VMM32" s="206"/>
      <c r="VMN32" s="206"/>
      <c r="VMO32" s="206"/>
      <c r="VMP32" s="206"/>
      <c r="VMQ32" s="206"/>
      <c r="VMR32" s="206"/>
      <c r="VMS32" s="206"/>
      <c r="VMT32" s="206"/>
      <c r="VMU32" s="206"/>
      <c r="VMV32" s="206"/>
      <c r="VMW32" s="206"/>
      <c r="VMX32" s="206"/>
      <c r="VMY32" s="206"/>
      <c r="VMZ32" s="206"/>
      <c r="VNA32" s="206"/>
      <c r="VNB32" s="206"/>
      <c r="VNC32" s="206"/>
      <c r="VND32" s="206"/>
      <c r="VNE32" s="206"/>
      <c r="VNF32" s="206"/>
      <c r="VNG32" s="206"/>
      <c r="VNH32" s="206"/>
      <c r="VNI32" s="206"/>
      <c r="VNJ32" s="206"/>
      <c r="VNK32" s="206"/>
      <c r="VNL32" s="206"/>
      <c r="VNM32" s="206"/>
      <c r="VNN32" s="206"/>
      <c r="VNO32" s="206"/>
      <c r="VNP32" s="206"/>
      <c r="VNQ32" s="206"/>
      <c r="VNR32" s="206"/>
      <c r="VNS32" s="206"/>
      <c r="VNT32" s="206"/>
      <c r="VNU32" s="206"/>
      <c r="VNV32" s="206"/>
      <c r="VNW32" s="206"/>
      <c r="VNX32" s="206"/>
      <c r="VNY32" s="206"/>
      <c r="VNZ32" s="206"/>
      <c r="VOA32" s="206"/>
      <c r="VOB32" s="206"/>
      <c r="VOC32" s="206"/>
      <c r="VOD32" s="206"/>
      <c r="VOE32" s="206"/>
      <c r="VOF32" s="206"/>
      <c r="VOG32" s="206"/>
      <c r="VOH32" s="206"/>
      <c r="VOI32" s="206"/>
      <c r="VOJ32" s="206"/>
      <c r="VOK32" s="206"/>
      <c r="VOL32" s="206"/>
      <c r="VOM32" s="206"/>
      <c r="VON32" s="206"/>
      <c r="VOO32" s="206"/>
      <c r="VOP32" s="206"/>
      <c r="VOQ32" s="206"/>
      <c r="VOR32" s="206"/>
      <c r="VOS32" s="206"/>
      <c r="VOT32" s="206"/>
      <c r="VOU32" s="206"/>
      <c r="VOV32" s="206"/>
      <c r="VOW32" s="206"/>
      <c r="VOX32" s="206"/>
      <c r="VOY32" s="206"/>
      <c r="VOZ32" s="206"/>
      <c r="VPA32" s="206"/>
      <c r="VPB32" s="206"/>
      <c r="VPC32" s="206"/>
      <c r="VPD32" s="206"/>
      <c r="VPE32" s="206"/>
      <c r="VPF32" s="206"/>
      <c r="VPG32" s="206"/>
      <c r="VPH32" s="206"/>
      <c r="VPI32" s="206"/>
      <c r="VPJ32" s="206"/>
      <c r="VPK32" s="206"/>
      <c r="VPL32" s="206"/>
      <c r="VPM32" s="206"/>
      <c r="VPN32" s="206"/>
      <c r="VPO32" s="206"/>
      <c r="VPP32" s="206"/>
      <c r="VPQ32" s="206"/>
      <c r="VPR32" s="206"/>
      <c r="VPS32" s="206"/>
      <c r="VPT32" s="206"/>
      <c r="VPU32" s="206"/>
      <c r="VPV32" s="206"/>
      <c r="VPW32" s="206"/>
      <c r="VPX32" s="206"/>
      <c r="VPY32" s="206"/>
      <c r="VPZ32" s="206"/>
      <c r="VQA32" s="206"/>
      <c r="VQB32" s="206"/>
      <c r="VQC32" s="206"/>
      <c r="VQD32" s="206"/>
      <c r="VQE32" s="206"/>
      <c r="VQF32" s="206"/>
      <c r="VQG32" s="206"/>
      <c r="VQH32" s="206"/>
      <c r="VQI32" s="206"/>
      <c r="VQJ32" s="206"/>
      <c r="VQK32" s="206"/>
      <c r="VQL32" s="206"/>
      <c r="VQM32" s="206"/>
      <c r="VQN32" s="206"/>
      <c r="VQO32" s="206"/>
      <c r="VQP32" s="206"/>
      <c r="VQQ32" s="206"/>
      <c r="VQR32" s="206"/>
      <c r="VQS32" s="206"/>
      <c r="VQT32" s="206"/>
      <c r="VQU32" s="206"/>
      <c r="VQV32" s="206"/>
      <c r="VQW32" s="206"/>
      <c r="VQX32" s="206"/>
      <c r="VQY32" s="206"/>
      <c r="VQZ32" s="206"/>
      <c r="VRA32" s="206"/>
      <c r="VRB32" s="206"/>
      <c r="VRC32" s="206"/>
      <c r="VRD32" s="206"/>
      <c r="VRE32" s="206"/>
      <c r="VRF32" s="206"/>
      <c r="VRG32" s="206"/>
      <c r="VRH32" s="206"/>
      <c r="VRI32" s="206"/>
      <c r="VRJ32" s="206"/>
      <c r="VRK32" s="206"/>
      <c r="VRL32" s="206"/>
      <c r="VRM32" s="206"/>
      <c r="VRN32" s="206"/>
      <c r="VRO32" s="206"/>
      <c r="VRP32" s="206"/>
      <c r="VRQ32" s="206"/>
      <c r="VRR32" s="206"/>
      <c r="VRS32" s="206"/>
      <c r="VRT32" s="206"/>
      <c r="VRU32" s="206"/>
      <c r="VRV32" s="206"/>
      <c r="VRW32" s="206"/>
      <c r="VRX32" s="206"/>
      <c r="VRY32" s="206"/>
      <c r="VRZ32" s="206"/>
      <c r="VSA32" s="206"/>
      <c r="VSB32" s="206"/>
      <c r="VSC32" s="206"/>
      <c r="VSD32" s="206"/>
      <c r="VSE32" s="206"/>
      <c r="VSF32" s="206"/>
      <c r="VSG32" s="206"/>
      <c r="VSH32" s="206"/>
      <c r="VSI32" s="206"/>
      <c r="VSJ32" s="206"/>
      <c r="VSK32" s="206"/>
      <c r="VSL32" s="206"/>
      <c r="VSM32" s="206"/>
      <c r="VSN32" s="206"/>
      <c r="VSO32" s="206"/>
      <c r="VSP32" s="206"/>
      <c r="VSQ32" s="206"/>
      <c r="VSR32" s="206"/>
      <c r="VSS32" s="206"/>
      <c r="VST32" s="206"/>
      <c r="VSU32" s="206"/>
      <c r="VSV32" s="206"/>
      <c r="VSW32" s="206"/>
      <c r="VSX32" s="206"/>
      <c r="VSY32" s="206"/>
      <c r="VSZ32" s="206"/>
      <c r="VTA32" s="206"/>
      <c r="VTB32" s="206"/>
      <c r="VTC32" s="206"/>
      <c r="VTD32" s="206"/>
      <c r="VTE32" s="206"/>
      <c r="VTF32" s="206"/>
      <c r="VTG32" s="206"/>
      <c r="VTH32" s="206"/>
      <c r="VTI32" s="206"/>
      <c r="VTJ32" s="206"/>
      <c r="VTK32" s="206"/>
      <c r="VTL32" s="206"/>
      <c r="VTM32" s="206"/>
      <c r="VTN32" s="206"/>
      <c r="VTO32" s="206"/>
      <c r="VTP32" s="206"/>
      <c r="VTQ32" s="206"/>
      <c r="VTR32" s="206"/>
      <c r="VTS32" s="206"/>
      <c r="VTT32" s="206"/>
      <c r="VTU32" s="206"/>
      <c r="VTV32" s="206"/>
      <c r="VTW32" s="206"/>
      <c r="VTX32" s="206"/>
      <c r="VTY32" s="206"/>
      <c r="VTZ32" s="206"/>
      <c r="VUA32" s="206"/>
      <c r="VUB32" s="206"/>
      <c r="VUC32" s="206"/>
      <c r="VUD32" s="206"/>
      <c r="VUE32" s="206"/>
      <c r="VUF32" s="206"/>
      <c r="VUG32" s="206"/>
      <c r="VUH32" s="206"/>
      <c r="VUI32" s="206"/>
      <c r="VUJ32" s="206"/>
      <c r="VUK32" s="206"/>
      <c r="VUL32" s="206"/>
      <c r="VUM32" s="206"/>
      <c r="VUN32" s="206"/>
      <c r="VUO32" s="206"/>
      <c r="VUP32" s="206"/>
      <c r="VUQ32" s="206"/>
      <c r="VUR32" s="206"/>
      <c r="VUS32" s="206"/>
      <c r="VUT32" s="206"/>
      <c r="VUU32" s="206"/>
      <c r="VUV32" s="206"/>
      <c r="VUW32" s="206"/>
      <c r="VUX32" s="206"/>
      <c r="VUY32" s="206"/>
      <c r="VUZ32" s="206"/>
      <c r="VVA32" s="206"/>
      <c r="VVB32" s="206"/>
      <c r="VVC32" s="206"/>
      <c r="VVD32" s="206"/>
      <c r="VVE32" s="206"/>
      <c r="VVF32" s="206"/>
      <c r="VVG32" s="206"/>
      <c r="VVH32" s="206"/>
      <c r="VVI32" s="206"/>
      <c r="VVJ32" s="206"/>
      <c r="VVK32" s="206"/>
      <c r="VVL32" s="206"/>
      <c r="VVM32" s="206"/>
      <c r="VVN32" s="206"/>
      <c r="VVO32" s="206"/>
      <c r="VVP32" s="206"/>
      <c r="VVQ32" s="206"/>
      <c r="VVR32" s="206"/>
      <c r="VVS32" s="206"/>
      <c r="VVT32" s="206"/>
      <c r="VVU32" s="206"/>
      <c r="VVV32" s="206"/>
      <c r="VVW32" s="206"/>
      <c r="VVX32" s="206"/>
      <c r="VVY32" s="206"/>
      <c r="VVZ32" s="206"/>
      <c r="VWA32" s="206"/>
      <c r="VWB32" s="206"/>
      <c r="VWC32" s="206"/>
      <c r="VWD32" s="206"/>
      <c r="VWE32" s="206"/>
      <c r="VWF32" s="206"/>
      <c r="VWG32" s="206"/>
      <c r="VWH32" s="206"/>
      <c r="VWI32" s="206"/>
      <c r="VWJ32" s="206"/>
      <c r="VWK32" s="206"/>
      <c r="VWL32" s="206"/>
      <c r="VWM32" s="206"/>
      <c r="VWN32" s="206"/>
      <c r="VWO32" s="206"/>
      <c r="VWP32" s="206"/>
      <c r="VWQ32" s="206"/>
      <c r="VWR32" s="206"/>
      <c r="VWS32" s="206"/>
      <c r="VWT32" s="206"/>
      <c r="VWU32" s="206"/>
      <c r="VWV32" s="206"/>
      <c r="VWW32" s="206"/>
      <c r="VWX32" s="206"/>
      <c r="VWY32" s="206"/>
      <c r="VWZ32" s="206"/>
      <c r="VXA32" s="206"/>
      <c r="VXB32" s="206"/>
      <c r="VXC32" s="206"/>
      <c r="VXD32" s="206"/>
      <c r="VXE32" s="206"/>
      <c r="VXF32" s="206"/>
      <c r="VXG32" s="206"/>
      <c r="VXH32" s="206"/>
      <c r="VXI32" s="206"/>
      <c r="VXJ32" s="206"/>
      <c r="VXK32" s="206"/>
      <c r="VXL32" s="206"/>
      <c r="VXM32" s="206"/>
      <c r="VXN32" s="206"/>
      <c r="VXO32" s="206"/>
      <c r="VXP32" s="206"/>
      <c r="VXQ32" s="206"/>
      <c r="VXR32" s="206"/>
      <c r="VXS32" s="206"/>
      <c r="VXT32" s="206"/>
      <c r="VXU32" s="206"/>
      <c r="VXV32" s="206"/>
      <c r="VXW32" s="206"/>
      <c r="VXX32" s="206"/>
      <c r="VXY32" s="206"/>
      <c r="VXZ32" s="206"/>
      <c r="VYA32" s="206"/>
      <c r="VYB32" s="206"/>
      <c r="VYC32" s="206"/>
      <c r="VYD32" s="206"/>
      <c r="VYE32" s="206"/>
      <c r="VYF32" s="206"/>
      <c r="VYG32" s="206"/>
      <c r="VYH32" s="206"/>
      <c r="VYI32" s="206"/>
      <c r="VYJ32" s="206"/>
      <c r="VYK32" s="206"/>
      <c r="VYL32" s="206"/>
      <c r="VYM32" s="206"/>
      <c r="VYN32" s="206"/>
      <c r="VYO32" s="206"/>
      <c r="VYP32" s="206"/>
      <c r="VYQ32" s="206"/>
      <c r="VYR32" s="206"/>
      <c r="VYS32" s="206"/>
      <c r="VYT32" s="206"/>
      <c r="VYU32" s="206"/>
      <c r="VYV32" s="206"/>
      <c r="VYW32" s="206"/>
      <c r="VYX32" s="206"/>
      <c r="VYY32" s="206"/>
      <c r="VYZ32" s="206"/>
      <c r="VZA32" s="206"/>
      <c r="VZB32" s="206"/>
      <c r="VZC32" s="206"/>
      <c r="VZD32" s="206"/>
      <c r="VZE32" s="206"/>
      <c r="VZF32" s="206"/>
      <c r="VZG32" s="206"/>
      <c r="VZH32" s="206"/>
      <c r="VZI32" s="206"/>
      <c r="VZJ32" s="206"/>
      <c r="VZK32" s="206"/>
      <c r="VZL32" s="206"/>
      <c r="VZM32" s="206"/>
      <c r="VZN32" s="206"/>
      <c r="VZO32" s="206"/>
      <c r="VZP32" s="206"/>
      <c r="VZQ32" s="206"/>
      <c r="VZR32" s="206"/>
      <c r="VZS32" s="206"/>
      <c r="VZT32" s="206"/>
      <c r="VZU32" s="206"/>
      <c r="VZV32" s="206"/>
      <c r="VZW32" s="206"/>
      <c r="VZX32" s="206"/>
      <c r="VZY32" s="206"/>
      <c r="VZZ32" s="206"/>
      <c r="WAA32" s="206"/>
      <c r="WAB32" s="206"/>
      <c r="WAC32" s="206"/>
      <c r="WAD32" s="206"/>
      <c r="WAE32" s="206"/>
      <c r="WAF32" s="206"/>
      <c r="WAG32" s="206"/>
      <c r="WAH32" s="206"/>
      <c r="WAI32" s="206"/>
      <c r="WAJ32" s="206"/>
      <c r="WAK32" s="206"/>
      <c r="WAL32" s="206"/>
      <c r="WAM32" s="206"/>
      <c r="WAN32" s="206"/>
      <c r="WAO32" s="206"/>
      <c r="WAP32" s="206"/>
      <c r="WAQ32" s="206"/>
      <c r="WAR32" s="206"/>
      <c r="WAS32" s="206"/>
      <c r="WAT32" s="206"/>
      <c r="WAU32" s="206"/>
      <c r="WAV32" s="206"/>
      <c r="WAW32" s="206"/>
      <c r="WAX32" s="206"/>
      <c r="WAY32" s="206"/>
      <c r="WAZ32" s="206"/>
      <c r="WBA32" s="206"/>
      <c r="WBB32" s="206"/>
      <c r="WBC32" s="206"/>
      <c r="WBD32" s="206"/>
      <c r="WBE32" s="206"/>
      <c r="WBF32" s="206"/>
      <c r="WBG32" s="206"/>
      <c r="WBH32" s="206"/>
      <c r="WBI32" s="206"/>
      <c r="WBJ32" s="206"/>
      <c r="WBK32" s="206"/>
      <c r="WBL32" s="206"/>
      <c r="WBM32" s="206"/>
      <c r="WBN32" s="206"/>
      <c r="WBO32" s="206"/>
      <c r="WBP32" s="206"/>
      <c r="WBQ32" s="206"/>
      <c r="WBR32" s="206"/>
      <c r="WBS32" s="206"/>
      <c r="WBT32" s="206"/>
      <c r="WBU32" s="206"/>
      <c r="WBV32" s="206"/>
      <c r="WBW32" s="206"/>
      <c r="WBX32" s="206"/>
      <c r="WBY32" s="206"/>
      <c r="WBZ32" s="206"/>
      <c r="WCA32" s="206"/>
      <c r="WCB32" s="206"/>
      <c r="WCC32" s="206"/>
      <c r="WCD32" s="206"/>
      <c r="WCE32" s="206"/>
      <c r="WCF32" s="206"/>
      <c r="WCG32" s="206"/>
      <c r="WCH32" s="206"/>
      <c r="WCI32" s="206"/>
      <c r="WCJ32" s="206"/>
      <c r="WCK32" s="206"/>
      <c r="WCL32" s="206"/>
      <c r="WCM32" s="206"/>
      <c r="WCN32" s="206"/>
      <c r="WCO32" s="206"/>
      <c r="WCP32" s="206"/>
      <c r="WCQ32" s="206"/>
      <c r="WCR32" s="206"/>
      <c r="WCS32" s="206"/>
      <c r="WCT32" s="206"/>
      <c r="WCU32" s="206"/>
      <c r="WCV32" s="206"/>
      <c r="WCW32" s="206"/>
      <c r="WCX32" s="206"/>
      <c r="WCY32" s="206"/>
      <c r="WCZ32" s="206"/>
      <c r="WDA32" s="206"/>
      <c r="WDB32" s="206"/>
      <c r="WDC32" s="206"/>
      <c r="WDD32" s="206"/>
      <c r="WDE32" s="206"/>
      <c r="WDF32" s="206"/>
      <c r="WDG32" s="206"/>
      <c r="WDH32" s="206"/>
      <c r="WDI32" s="206"/>
      <c r="WDJ32" s="206"/>
      <c r="WDK32" s="206"/>
      <c r="WDL32" s="206"/>
      <c r="WDM32" s="206"/>
      <c r="WDN32" s="206"/>
      <c r="WDO32" s="206"/>
      <c r="WDP32" s="206"/>
      <c r="WDQ32" s="206"/>
      <c r="WDR32" s="206"/>
      <c r="WDS32" s="206"/>
      <c r="WDT32" s="206"/>
      <c r="WDU32" s="206"/>
      <c r="WDV32" s="206"/>
      <c r="WDW32" s="206"/>
      <c r="WDX32" s="206"/>
      <c r="WDY32" s="206"/>
      <c r="WDZ32" s="206"/>
      <c r="WEA32" s="206"/>
      <c r="WEB32" s="206"/>
      <c r="WEC32" s="206"/>
      <c r="WED32" s="206"/>
      <c r="WEE32" s="206"/>
      <c r="WEF32" s="206"/>
      <c r="WEG32" s="206"/>
      <c r="WEH32" s="206"/>
      <c r="WEI32" s="206"/>
      <c r="WEJ32" s="206"/>
      <c r="WEK32" s="206"/>
      <c r="WEL32" s="206"/>
      <c r="WEM32" s="206"/>
      <c r="WEN32" s="206"/>
      <c r="WEO32" s="206"/>
      <c r="WEP32" s="206"/>
      <c r="WEQ32" s="206"/>
      <c r="WER32" s="206"/>
      <c r="WES32" s="206"/>
      <c r="WET32" s="206"/>
      <c r="WEU32" s="206"/>
      <c r="WEV32" s="206"/>
      <c r="WEW32" s="206"/>
      <c r="WEX32" s="206"/>
      <c r="WEY32" s="206"/>
      <c r="WEZ32" s="206"/>
      <c r="WFA32" s="206"/>
      <c r="WFB32" s="206"/>
      <c r="WFC32" s="206"/>
      <c r="WFD32" s="206"/>
      <c r="WFE32" s="206"/>
      <c r="WFF32" s="206"/>
      <c r="WFG32" s="206"/>
      <c r="WFH32" s="206"/>
      <c r="WFI32" s="206"/>
      <c r="WFJ32" s="206"/>
      <c r="WFK32" s="206"/>
      <c r="WFL32" s="206"/>
      <c r="WFM32" s="206"/>
      <c r="WFN32" s="206"/>
      <c r="WFO32" s="206"/>
      <c r="WFP32" s="206"/>
      <c r="WFQ32" s="206"/>
      <c r="WFR32" s="206"/>
      <c r="WFS32" s="206"/>
      <c r="WFT32" s="206"/>
      <c r="WFU32" s="206"/>
      <c r="WFV32" s="206"/>
      <c r="WFW32" s="206"/>
      <c r="WFX32" s="206"/>
      <c r="WFY32" s="206"/>
      <c r="WFZ32" s="206"/>
      <c r="WGA32" s="206"/>
      <c r="WGB32" s="206"/>
      <c r="WGC32" s="206"/>
      <c r="WGD32" s="206"/>
      <c r="WGE32" s="206"/>
      <c r="WGF32" s="206"/>
      <c r="WGG32" s="206"/>
      <c r="WGH32" s="206"/>
      <c r="WGI32" s="206"/>
      <c r="WGJ32" s="206"/>
      <c r="WGK32" s="206"/>
      <c r="WGL32" s="206"/>
      <c r="WGM32" s="206"/>
      <c r="WGN32" s="206"/>
      <c r="WGO32" s="206"/>
      <c r="WGP32" s="206"/>
      <c r="WGQ32" s="206"/>
      <c r="WGR32" s="206"/>
      <c r="WGS32" s="206"/>
      <c r="WGT32" s="206"/>
      <c r="WGU32" s="206"/>
      <c r="WGV32" s="206"/>
      <c r="WGW32" s="206"/>
      <c r="WGX32" s="206"/>
      <c r="WGY32" s="206"/>
      <c r="WGZ32" s="206"/>
      <c r="WHA32" s="206"/>
      <c r="WHB32" s="206"/>
      <c r="WHC32" s="206"/>
      <c r="WHD32" s="206"/>
      <c r="WHE32" s="206"/>
      <c r="WHF32" s="206"/>
      <c r="WHG32" s="206"/>
      <c r="WHH32" s="206"/>
      <c r="WHI32" s="206"/>
      <c r="WHJ32" s="206"/>
      <c r="WHK32" s="206"/>
      <c r="WHL32" s="206"/>
      <c r="WHM32" s="206"/>
      <c r="WHN32" s="206"/>
      <c r="WHO32" s="206"/>
      <c r="WHP32" s="206"/>
      <c r="WHQ32" s="206"/>
      <c r="WHR32" s="206"/>
      <c r="WHS32" s="206"/>
      <c r="WHT32" s="206"/>
      <c r="WHU32" s="206"/>
      <c r="WHV32" s="206"/>
      <c r="WHW32" s="206"/>
      <c r="WHX32" s="206"/>
      <c r="WHY32" s="206"/>
      <c r="WHZ32" s="206"/>
      <c r="WIA32" s="206"/>
      <c r="WIB32" s="206"/>
      <c r="WIC32" s="206"/>
      <c r="WID32" s="206"/>
      <c r="WIE32" s="206"/>
      <c r="WIF32" s="206"/>
      <c r="WIG32" s="206"/>
      <c r="WIH32" s="206"/>
      <c r="WII32" s="206"/>
      <c r="WIJ32" s="206"/>
      <c r="WIK32" s="206"/>
      <c r="WIL32" s="206"/>
      <c r="WIM32" s="206"/>
      <c r="WIN32" s="206"/>
      <c r="WIO32" s="206"/>
      <c r="WIP32" s="206"/>
      <c r="WIQ32" s="206"/>
      <c r="WIR32" s="206"/>
      <c r="WIS32" s="206"/>
      <c r="WIT32" s="206"/>
      <c r="WIU32" s="206"/>
      <c r="WIV32" s="206"/>
      <c r="WIW32" s="206"/>
      <c r="WIX32" s="206"/>
      <c r="WIY32" s="206"/>
      <c r="WIZ32" s="206"/>
      <c r="WJA32" s="206"/>
      <c r="WJB32" s="206"/>
      <c r="WJC32" s="206"/>
      <c r="WJD32" s="206"/>
      <c r="WJE32" s="206"/>
      <c r="WJF32" s="206"/>
      <c r="WJG32" s="206"/>
      <c r="WJH32" s="206"/>
      <c r="WJI32" s="206"/>
      <c r="WJJ32" s="206"/>
      <c r="WJK32" s="206"/>
      <c r="WJL32" s="206"/>
      <c r="WJM32" s="206"/>
      <c r="WJN32" s="206"/>
      <c r="WJO32" s="206"/>
      <c r="WJP32" s="206"/>
      <c r="WJQ32" s="206"/>
      <c r="WJR32" s="206"/>
      <c r="WJS32" s="206"/>
      <c r="WJT32" s="206"/>
      <c r="WJU32" s="206"/>
      <c r="WJV32" s="206"/>
      <c r="WJW32" s="206"/>
      <c r="WJX32" s="206"/>
      <c r="WJY32" s="206"/>
      <c r="WJZ32" s="206"/>
      <c r="WKA32" s="206"/>
      <c r="WKB32" s="206"/>
      <c r="WKC32" s="206"/>
      <c r="WKD32" s="206"/>
      <c r="WKE32" s="206"/>
      <c r="WKF32" s="206"/>
      <c r="WKG32" s="206"/>
      <c r="WKH32" s="206"/>
      <c r="WKI32" s="206"/>
      <c r="WKJ32" s="206"/>
      <c r="WKK32" s="206"/>
      <c r="WKL32" s="206"/>
      <c r="WKM32" s="206"/>
      <c r="WKN32" s="206"/>
      <c r="WKO32" s="206"/>
      <c r="WKP32" s="206"/>
      <c r="WKQ32" s="206"/>
      <c r="WKR32" s="206"/>
      <c r="WKS32" s="206"/>
      <c r="WKT32" s="206"/>
      <c r="WKU32" s="206"/>
      <c r="WKV32" s="206"/>
      <c r="WKW32" s="206"/>
      <c r="WKX32" s="206"/>
      <c r="WKY32" s="206"/>
      <c r="WKZ32" s="206"/>
      <c r="WLA32" s="206"/>
      <c r="WLB32" s="206"/>
      <c r="WLC32" s="206"/>
      <c r="WLD32" s="206"/>
      <c r="WLE32" s="206"/>
      <c r="WLF32" s="206"/>
      <c r="WLG32" s="206"/>
      <c r="WLH32" s="206"/>
      <c r="WLI32" s="206"/>
      <c r="WLJ32" s="206"/>
      <c r="WLK32" s="206"/>
      <c r="WLL32" s="206"/>
      <c r="WLM32" s="206"/>
      <c r="WLN32" s="206"/>
      <c r="WLO32" s="206"/>
      <c r="WLP32" s="206"/>
      <c r="WLQ32" s="206"/>
      <c r="WLR32" s="206"/>
      <c r="WLS32" s="206"/>
      <c r="WLT32" s="206"/>
      <c r="WLU32" s="206"/>
      <c r="WLV32" s="206"/>
      <c r="WLW32" s="206"/>
      <c r="WLX32" s="206"/>
      <c r="WLY32" s="206"/>
      <c r="WLZ32" s="206"/>
      <c r="WMA32" s="206"/>
      <c r="WMB32" s="206"/>
      <c r="WMC32" s="206"/>
      <c r="WMD32" s="206"/>
      <c r="WME32" s="206"/>
      <c r="WMF32" s="206"/>
      <c r="WMG32" s="206"/>
      <c r="WMH32" s="206"/>
      <c r="WMI32" s="206"/>
      <c r="WMJ32" s="206"/>
      <c r="WMK32" s="206"/>
      <c r="WML32" s="206"/>
      <c r="WMM32" s="206"/>
      <c r="WMN32" s="206"/>
      <c r="WMO32" s="206"/>
      <c r="WMP32" s="206"/>
      <c r="WMQ32" s="206"/>
      <c r="WMR32" s="206"/>
      <c r="WMS32" s="206"/>
      <c r="WMT32" s="206"/>
      <c r="WMU32" s="206"/>
      <c r="WMV32" s="206"/>
      <c r="WMW32" s="206"/>
      <c r="WMX32" s="206"/>
      <c r="WMY32" s="206"/>
      <c r="WMZ32" s="206"/>
      <c r="WNA32" s="206"/>
      <c r="WNB32" s="206"/>
      <c r="WNC32" s="206"/>
      <c r="WND32" s="206"/>
      <c r="WNE32" s="206"/>
      <c r="WNF32" s="206"/>
      <c r="WNG32" s="206"/>
      <c r="WNH32" s="206"/>
      <c r="WNI32" s="206"/>
      <c r="WNJ32" s="206"/>
      <c r="WNK32" s="206"/>
      <c r="WNL32" s="206"/>
      <c r="WNM32" s="206"/>
      <c r="WNN32" s="206"/>
      <c r="WNO32" s="206"/>
      <c r="WNP32" s="206"/>
      <c r="WNQ32" s="206"/>
      <c r="WNR32" s="206"/>
      <c r="WNS32" s="206"/>
      <c r="WNT32" s="206"/>
      <c r="WNU32" s="206"/>
      <c r="WNV32" s="206"/>
      <c r="WNW32" s="206"/>
      <c r="WNX32" s="206"/>
      <c r="WNY32" s="206"/>
      <c r="WNZ32" s="206"/>
      <c r="WOA32" s="206"/>
      <c r="WOB32" s="206"/>
      <c r="WOC32" s="206"/>
      <c r="WOD32" s="206"/>
      <c r="WOE32" s="206"/>
      <c r="WOF32" s="206"/>
      <c r="WOG32" s="206"/>
      <c r="WOH32" s="206"/>
      <c r="WOI32" s="206"/>
      <c r="WOJ32" s="206"/>
      <c r="WOK32" s="206"/>
      <c r="WOL32" s="206"/>
      <c r="WOM32" s="206"/>
      <c r="WON32" s="206"/>
      <c r="WOO32" s="206"/>
      <c r="WOP32" s="206"/>
      <c r="WOQ32" s="206"/>
      <c r="WOR32" s="206"/>
      <c r="WOS32" s="206"/>
      <c r="WOT32" s="206"/>
      <c r="WOU32" s="206"/>
      <c r="WOV32" s="206"/>
      <c r="WOW32" s="206"/>
      <c r="WOX32" s="206"/>
      <c r="WOY32" s="206"/>
      <c r="WOZ32" s="206"/>
      <c r="WPA32" s="206"/>
      <c r="WPB32" s="206"/>
      <c r="WPC32" s="206"/>
      <c r="WPD32" s="206"/>
      <c r="WPE32" s="206"/>
      <c r="WPF32" s="206"/>
      <c r="WPG32" s="206"/>
      <c r="WPH32" s="206"/>
      <c r="WPI32" s="206"/>
      <c r="WPJ32" s="206"/>
      <c r="WPK32" s="206"/>
      <c r="WPL32" s="206"/>
      <c r="WPM32" s="206"/>
      <c r="WPN32" s="206"/>
      <c r="WPO32" s="206"/>
      <c r="WPP32" s="206"/>
      <c r="WPQ32" s="206"/>
      <c r="WPR32" s="206"/>
      <c r="WPS32" s="206"/>
      <c r="WPT32" s="206"/>
      <c r="WPU32" s="206"/>
      <c r="WPV32" s="206"/>
      <c r="WPW32" s="206"/>
      <c r="WPX32" s="206"/>
      <c r="WPY32" s="206"/>
      <c r="WPZ32" s="206"/>
      <c r="WQA32" s="206"/>
      <c r="WQB32" s="206"/>
      <c r="WQC32" s="206"/>
      <c r="WQD32" s="206"/>
      <c r="WQE32" s="206"/>
      <c r="WQF32" s="206"/>
      <c r="WQG32" s="206"/>
      <c r="WQH32" s="206"/>
      <c r="WQI32" s="206"/>
      <c r="WQJ32" s="206"/>
      <c r="WQK32" s="206"/>
      <c r="WQL32" s="206"/>
      <c r="WQM32" s="206"/>
      <c r="WQN32" s="206"/>
      <c r="WQO32" s="206"/>
      <c r="WQP32" s="206"/>
      <c r="WQQ32" s="206"/>
      <c r="WQR32" s="206"/>
      <c r="WQS32" s="206"/>
      <c r="WQT32" s="206"/>
      <c r="WQU32" s="206"/>
      <c r="WQV32" s="206"/>
      <c r="WQW32" s="206"/>
      <c r="WQX32" s="206"/>
      <c r="WQY32" s="206"/>
      <c r="WQZ32" s="206"/>
      <c r="WRA32" s="206"/>
      <c r="WRB32" s="206"/>
      <c r="WRC32" s="206"/>
      <c r="WRD32" s="206"/>
      <c r="WRE32" s="206"/>
      <c r="WRF32" s="206"/>
      <c r="WRG32" s="206"/>
      <c r="WRH32" s="206"/>
      <c r="WRI32" s="206"/>
      <c r="WRJ32" s="206"/>
      <c r="WRK32" s="206"/>
      <c r="WRL32" s="206"/>
      <c r="WRM32" s="206"/>
      <c r="WRN32" s="206"/>
      <c r="WRO32" s="206"/>
      <c r="WRP32" s="206"/>
      <c r="WRQ32" s="206"/>
      <c r="WRR32" s="206"/>
      <c r="WRS32" s="206"/>
      <c r="WRT32" s="206"/>
      <c r="WRU32" s="206"/>
      <c r="WRV32" s="206"/>
      <c r="WRW32" s="206"/>
      <c r="WRX32" s="206"/>
      <c r="WRY32" s="206"/>
      <c r="WRZ32" s="206"/>
      <c r="WSA32" s="206"/>
      <c r="WSB32" s="206"/>
      <c r="WSC32" s="206"/>
      <c r="WSD32" s="206"/>
      <c r="WSE32" s="206"/>
      <c r="WSF32" s="206"/>
      <c r="WSG32" s="206"/>
      <c r="WSH32" s="206"/>
      <c r="WSI32" s="206"/>
      <c r="WSJ32" s="206"/>
      <c r="WSK32" s="206"/>
      <c r="WSL32" s="206"/>
      <c r="WSM32" s="206"/>
      <c r="WSN32" s="206"/>
      <c r="WSO32" s="206"/>
      <c r="WSP32" s="206"/>
      <c r="WSQ32" s="206"/>
      <c r="WSR32" s="206"/>
      <c r="WSS32" s="206"/>
      <c r="WST32" s="206"/>
      <c r="WSU32" s="206"/>
      <c r="WSV32" s="206"/>
      <c r="WSW32" s="206"/>
      <c r="WSX32" s="206"/>
      <c r="WSY32" s="206"/>
      <c r="WSZ32" s="206"/>
      <c r="WTA32" s="206"/>
      <c r="WTB32" s="206"/>
      <c r="WTC32" s="206"/>
      <c r="WTD32" s="206"/>
      <c r="WTE32" s="206"/>
      <c r="WTF32" s="206"/>
      <c r="WTG32" s="206"/>
      <c r="WTH32" s="206"/>
      <c r="WTI32" s="206"/>
      <c r="WTJ32" s="206"/>
      <c r="WTK32" s="206"/>
      <c r="WTL32" s="206"/>
      <c r="WTM32" s="206"/>
      <c r="WTN32" s="206"/>
      <c r="WTO32" s="206"/>
      <c r="WTP32" s="206"/>
      <c r="WTQ32" s="206"/>
      <c r="WTR32" s="206"/>
      <c r="WTS32" s="206"/>
      <c r="WTT32" s="206"/>
      <c r="WTU32" s="206"/>
      <c r="WTV32" s="206"/>
      <c r="WTW32" s="206"/>
      <c r="WTX32" s="206"/>
      <c r="WTY32" s="206"/>
      <c r="WTZ32" s="206"/>
      <c r="WUA32" s="206"/>
      <c r="WUB32" s="206"/>
      <c r="WUC32" s="206"/>
      <c r="WUD32" s="206"/>
      <c r="WUE32" s="206"/>
      <c r="WUF32" s="206"/>
      <c r="WUG32" s="206"/>
      <c r="WUH32" s="206"/>
      <c r="WUI32" s="206"/>
      <c r="WUJ32" s="206"/>
      <c r="WUK32" s="206"/>
      <c r="WUL32" s="206"/>
      <c r="WUM32" s="206"/>
      <c r="WUN32" s="206"/>
      <c r="WUO32" s="206"/>
      <c r="WUP32" s="206"/>
      <c r="WUQ32" s="206"/>
      <c r="WUR32" s="206"/>
      <c r="WUS32" s="206"/>
      <c r="WUT32" s="206"/>
      <c r="WUU32" s="206"/>
      <c r="WUV32" s="206"/>
      <c r="WUW32" s="206"/>
      <c r="WUX32" s="206"/>
      <c r="WUY32" s="206"/>
      <c r="WUZ32" s="206"/>
      <c r="WVA32" s="206"/>
      <c r="WVB32" s="206"/>
      <c r="WVC32" s="206"/>
      <c r="WVD32" s="206"/>
      <c r="WVE32" s="206"/>
      <c r="WVF32" s="206"/>
      <c r="WVG32" s="206"/>
      <c r="WVH32" s="206"/>
      <c r="WVI32" s="206"/>
      <c r="WVJ32" s="206"/>
      <c r="WVK32" s="206"/>
      <c r="WVL32" s="206"/>
      <c r="WVM32" s="206"/>
      <c r="WVN32" s="206"/>
      <c r="WVO32" s="206"/>
      <c r="WVP32" s="206"/>
      <c r="WVQ32" s="206"/>
      <c r="WVR32" s="206"/>
      <c r="WVS32" s="206"/>
      <c r="WVT32" s="206"/>
      <c r="WVU32" s="206"/>
      <c r="WVV32" s="206"/>
      <c r="WVW32" s="206"/>
      <c r="WVX32" s="206"/>
      <c r="WVY32" s="206"/>
      <c r="WVZ32" s="206"/>
      <c r="WWA32" s="206"/>
      <c r="WWB32" s="206"/>
      <c r="WWC32" s="206"/>
      <c r="WWD32" s="206"/>
      <c r="WWE32" s="206"/>
      <c r="WWF32" s="206"/>
      <c r="WWG32" s="206"/>
      <c r="WWH32" s="206"/>
      <c r="WWI32" s="206"/>
      <c r="WWJ32" s="206"/>
      <c r="WWK32" s="206"/>
      <c r="WWL32" s="206"/>
      <c r="WWM32" s="206"/>
      <c r="WWN32" s="206"/>
      <c r="WWO32" s="206"/>
      <c r="WWP32" s="206"/>
      <c r="WWQ32" s="206"/>
      <c r="WWR32" s="206"/>
      <c r="WWS32" s="206"/>
      <c r="WWT32" s="206"/>
      <c r="WWU32" s="206"/>
      <c r="WWV32" s="206"/>
      <c r="WWW32" s="206"/>
      <c r="WWX32" s="206"/>
      <c r="WWY32" s="206"/>
      <c r="WWZ32" s="206"/>
      <c r="WXA32" s="206"/>
      <c r="WXB32" s="206"/>
      <c r="WXC32" s="206"/>
      <c r="WXD32" s="206"/>
      <c r="WXE32" s="206"/>
      <c r="WXF32" s="206"/>
      <c r="WXG32" s="206"/>
      <c r="WXH32" s="206"/>
      <c r="WXI32" s="206"/>
      <c r="WXJ32" s="206"/>
      <c r="WXK32" s="206"/>
      <c r="WXL32" s="206"/>
      <c r="WXM32" s="206"/>
      <c r="WXN32" s="206"/>
      <c r="WXO32" s="206"/>
      <c r="WXP32" s="206"/>
      <c r="WXQ32" s="206"/>
      <c r="WXR32" s="206"/>
      <c r="WXS32" s="206"/>
      <c r="WXT32" s="206"/>
      <c r="WXU32" s="206"/>
      <c r="WXV32" s="206"/>
      <c r="WXW32" s="206"/>
      <c r="WXX32" s="206"/>
      <c r="WXY32" s="206"/>
      <c r="WXZ32" s="206"/>
      <c r="WYA32" s="206"/>
      <c r="WYB32" s="206"/>
      <c r="WYC32" s="206"/>
      <c r="WYD32" s="206"/>
      <c r="WYE32" s="206"/>
      <c r="WYF32" s="206"/>
      <c r="WYG32" s="206"/>
      <c r="WYH32" s="206"/>
      <c r="WYI32" s="206"/>
      <c r="WYJ32" s="206"/>
      <c r="WYK32" s="206"/>
      <c r="WYL32" s="206"/>
      <c r="WYM32" s="206"/>
      <c r="WYN32" s="206"/>
      <c r="WYO32" s="206"/>
      <c r="WYP32" s="206"/>
      <c r="WYQ32" s="206"/>
      <c r="WYR32" s="206"/>
      <c r="WYS32" s="206"/>
      <c r="WYT32" s="206"/>
      <c r="WYU32" s="206"/>
      <c r="WYV32" s="206"/>
      <c r="WYW32" s="206"/>
      <c r="WYX32" s="206"/>
      <c r="WYY32" s="206"/>
      <c r="WYZ32" s="206"/>
      <c r="WZA32" s="206"/>
      <c r="WZB32" s="206"/>
      <c r="WZC32" s="206"/>
      <c r="WZD32" s="206"/>
      <c r="WZE32" s="206"/>
      <c r="WZF32" s="206"/>
      <c r="WZG32" s="206"/>
      <c r="WZH32" s="206"/>
      <c r="WZI32" s="206"/>
      <c r="WZJ32" s="206"/>
      <c r="WZK32" s="206"/>
      <c r="WZL32" s="206"/>
      <c r="WZM32" s="206"/>
      <c r="WZN32" s="206"/>
      <c r="WZO32" s="206"/>
      <c r="WZP32" s="206"/>
      <c r="WZQ32" s="206"/>
      <c r="WZR32" s="206"/>
      <c r="WZS32" s="206"/>
      <c r="WZT32" s="206"/>
      <c r="WZU32" s="206"/>
      <c r="WZV32" s="206"/>
      <c r="WZW32" s="206"/>
      <c r="WZX32" s="206"/>
      <c r="WZY32" s="206"/>
      <c r="WZZ32" s="206"/>
      <c r="XAA32" s="206"/>
      <c r="XAB32" s="206"/>
      <c r="XAC32" s="206"/>
      <c r="XAD32" s="206"/>
      <c r="XAE32" s="206"/>
      <c r="XAF32" s="206"/>
      <c r="XAG32" s="206"/>
      <c r="XAH32" s="206"/>
      <c r="XAI32" s="206"/>
      <c r="XAJ32" s="206"/>
      <c r="XAK32" s="206"/>
      <c r="XAL32" s="206"/>
      <c r="XAM32" s="206"/>
      <c r="XAN32" s="206"/>
      <c r="XAO32" s="206"/>
      <c r="XAP32" s="206"/>
      <c r="XAQ32" s="206"/>
      <c r="XAR32" s="206"/>
      <c r="XAS32" s="206"/>
      <c r="XAT32" s="206"/>
      <c r="XAU32" s="206"/>
      <c r="XAV32" s="206"/>
      <c r="XAW32" s="206"/>
      <c r="XAX32" s="206"/>
      <c r="XAY32" s="206"/>
      <c r="XAZ32" s="206"/>
      <c r="XBA32" s="206"/>
      <c r="XBB32" s="206"/>
      <c r="XBC32" s="206"/>
      <c r="XBD32" s="206"/>
      <c r="XBE32" s="206"/>
      <c r="XBF32" s="206"/>
      <c r="XBG32" s="206"/>
      <c r="XBH32" s="206"/>
      <c r="XBI32" s="206"/>
      <c r="XBJ32" s="206"/>
      <c r="XBK32" s="206"/>
      <c r="XBL32" s="206"/>
      <c r="XBM32" s="206"/>
      <c r="XBN32" s="206"/>
      <c r="XBO32" s="206"/>
      <c r="XBP32" s="206"/>
      <c r="XBQ32" s="206"/>
      <c r="XBR32" s="206"/>
      <c r="XBS32" s="206"/>
      <c r="XBT32" s="206"/>
      <c r="XBU32" s="206"/>
      <c r="XBV32" s="206"/>
      <c r="XBW32" s="206"/>
      <c r="XBX32" s="206"/>
      <c r="XBY32" s="206"/>
      <c r="XBZ32" s="206"/>
      <c r="XCA32" s="206"/>
      <c r="XCB32" s="206"/>
      <c r="XCC32" s="206"/>
      <c r="XCD32" s="206"/>
      <c r="XCE32" s="206"/>
      <c r="XCF32" s="206"/>
      <c r="XCG32" s="206"/>
      <c r="XCH32" s="206"/>
      <c r="XCI32" s="206"/>
      <c r="XCJ32" s="206"/>
      <c r="XCK32" s="206"/>
      <c r="XCL32" s="206"/>
      <c r="XCM32" s="206"/>
      <c r="XCN32" s="206"/>
      <c r="XCO32" s="206"/>
      <c r="XCP32" s="206"/>
      <c r="XCQ32" s="206"/>
      <c r="XCR32" s="206"/>
      <c r="XCS32" s="206"/>
      <c r="XCT32" s="206"/>
      <c r="XCU32" s="206"/>
      <c r="XCV32" s="206"/>
      <c r="XCW32" s="206"/>
      <c r="XCX32" s="206"/>
      <c r="XCY32" s="206"/>
      <c r="XCZ32" s="206"/>
      <c r="XDA32" s="206"/>
      <c r="XDB32" s="206"/>
      <c r="XDC32" s="206"/>
      <c r="XDD32" s="206"/>
      <c r="XDE32" s="206"/>
      <c r="XDF32" s="206"/>
      <c r="XDG32" s="206"/>
      <c r="XDH32" s="206"/>
      <c r="XDI32" s="206"/>
      <c r="XDJ32" s="206"/>
      <c r="XDK32" s="206"/>
      <c r="XDL32" s="206"/>
      <c r="XDM32" s="206"/>
      <c r="XDN32" s="206"/>
      <c r="XDO32" s="206"/>
      <c r="XDP32" s="206"/>
      <c r="XDQ32" s="206"/>
      <c r="XDR32" s="206"/>
      <c r="XDS32" s="206"/>
      <c r="XDT32" s="206"/>
      <c r="XDU32" s="206"/>
      <c r="XDV32" s="206"/>
      <c r="XDW32" s="206"/>
      <c r="XDX32" s="206"/>
      <c r="XDY32" s="206"/>
      <c r="XDZ32" s="206"/>
      <c r="XEA32" s="206"/>
      <c r="XEB32" s="206"/>
      <c r="XEC32" s="206"/>
      <c r="XED32" s="206"/>
      <c r="XEE32" s="206"/>
      <c r="XEF32" s="206"/>
      <c r="XEG32" s="206"/>
      <c r="XEH32" s="206"/>
      <c r="XEI32" s="206"/>
      <c r="XEJ32" s="206"/>
      <c r="XEK32" s="206"/>
      <c r="XEL32" s="206"/>
      <c r="XEM32" s="206"/>
      <c r="XEN32" s="206"/>
      <c r="XEO32" s="206"/>
      <c r="XEP32" s="206"/>
      <c r="XEQ32" s="206"/>
      <c r="XER32" s="206"/>
      <c r="XES32" s="206"/>
      <c r="XET32" s="206"/>
      <c r="XEU32" s="206"/>
      <c r="XEV32" s="206"/>
      <c r="XEW32" s="206"/>
      <c r="XEX32" s="206"/>
      <c r="XEY32" s="206"/>
    </row>
    <row r="33" spans="1:16379" s="147" customFormat="1" x14ac:dyDescent="0.25">
      <c r="A33" s="200">
        <v>45717</v>
      </c>
      <c r="B33" s="201" t="s">
        <v>40</v>
      </c>
      <c r="C33" s="201" t="s">
        <v>41</v>
      </c>
      <c r="D33" s="201">
        <v>25708061</v>
      </c>
      <c r="E33" s="202">
        <v>24106521</v>
      </c>
      <c r="F33" s="202" t="s">
        <v>869</v>
      </c>
      <c r="G33" s="203">
        <v>45729</v>
      </c>
      <c r="H33" s="201" t="s">
        <v>203</v>
      </c>
      <c r="I33" s="201" t="s">
        <v>204</v>
      </c>
      <c r="J33" s="201" t="s">
        <v>706</v>
      </c>
      <c r="K33" s="143">
        <v>100</v>
      </c>
      <c r="L33" s="143" t="s">
        <v>42</v>
      </c>
      <c r="M33" s="143">
        <v>100</v>
      </c>
      <c r="N33" s="143">
        <v>200912.73</v>
      </c>
      <c r="O33" s="143">
        <v>20091273</v>
      </c>
      <c r="P33" s="143">
        <v>20091273</v>
      </c>
      <c r="Q33" s="143">
        <v>0</v>
      </c>
      <c r="R33" s="143">
        <v>0</v>
      </c>
      <c r="S33" s="143" t="s">
        <v>43</v>
      </c>
      <c r="T33" s="143">
        <v>11764568.449999999</v>
      </c>
      <c r="U33" s="143">
        <v>11764568.449999999</v>
      </c>
      <c r="V33" s="143">
        <v>8326704.5499999998</v>
      </c>
      <c r="W33" s="144">
        <v>0.41444385082000001</v>
      </c>
      <c r="X33" s="143">
        <v>8326704.5499999998</v>
      </c>
      <c r="Y33" s="201" t="s">
        <v>69</v>
      </c>
      <c r="Z33" s="201" t="s">
        <v>46</v>
      </c>
      <c r="AA33" s="204">
        <v>15440</v>
      </c>
      <c r="AB33" s="201" t="s">
        <v>862</v>
      </c>
      <c r="AC33" s="201" t="s">
        <v>56</v>
      </c>
      <c r="AD33" s="201" t="s">
        <v>77</v>
      </c>
      <c r="AE33" s="205">
        <v>0</v>
      </c>
      <c r="AF33" s="201" t="s">
        <v>72</v>
      </c>
      <c r="AG33" s="201" t="s">
        <v>69</v>
      </c>
      <c r="AH33" s="201" t="s">
        <v>46</v>
      </c>
      <c r="AI33" s="201" t="s">
        <v>69</v>
      </c>
      <c r="AJ33" s="201" t="s">
        <v>46</v>
      </c>
      <c r="AK33" s="201" t="s">
        <v>54</v>
      </c>
      <c r="AL33" s="201" t="s">
        <v>48</v>
      </c>
      <c r="AM33" s="201" t="s">
        <v>64</v>
      </c>
      <c r="AN33" s="206" t="str">
        <f>VLOOKUP(I33,Sheet1!A:D,4,FALSE)</f>
        <v>A320400</v>
      </c>
      <c r="AO33" s="133"/>
      <c r="AP33" s="206" t="s">
        <v>699</v>
      </c>
      <c r="AQ33" s="206"/>
      <c r="AR33" s="206" t="s">
        <v>871</v>
      </c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6"/>
      <c r="BV33" s="206"/>
      <c r="BW33" s="206"/>
      <c r="BX33" s="206"/>
      <c r="BY33" s="206"/>
      <c r="BZ33" s="206"/>
      <c r="CA33" s="206"/>
      <c r="CB33" s="206"/>
      <c r="CC33" s="206"/>
      <c r="CD33" s="206"/>
      <c r="CE33" s="206"/>
      <c r="CF33" s="206"/>
      <c r="CG33" s="206"/>
      <c r="CH33" s="206"/>
      <c r="CI33" s="206"/>
      <c r="CJ33" s="206"/>
      <c r="CK33" s="206"/>
      <c r="CL33" s="206"/>
      <c r="CM33" s="206"/>
      <c r="CN33" s="206"/>
      <c r="CO33" s="206"/>
      <c r="CP33" s="206"/>
      <c r="CQ33" s="206"/>
      <c r="CR33" s="206"/>
      <c r="CS33" s="206"/>
      <c r="CT33" s="206"/>
      <c r="CU33" s="206"/>
      <c r="CV33" s="206"/>
      <c r="CW33" s="206"/>
      <c r="CX33" s="206"/>
      <c r="CY33" s="206"/>
      <c r="CZ33" s="206"/>
      <c r="DA33" s="206"/>
      <c r="DB33" s="206"/>
      <c r="DC33" s="206"/>
      <c r="DD33" s="206"/>
      <c r="DE33" s="206"/>
      <c r="DF33" s="206"/>
      <c r="DG33" s="206"/>
      <c r="DH33" s="206"/>
      <c r="DI33" s="206"/>
      <c r="DJ33" s="206"/>
      <c r="DK33" s="206"/>
      <c r="DL33" s="206"/>
      <c r="DM33" s="206"/>
      <c r="DN33" s="206"/>
      <c r="DO33" s="206"/>
      <c r="DP33" s="206"/>
      <c r="DQ33" s="206"/>
      <c r="DR33" s="206"/>
      <c r="DS33" s="206"/>
      <c r="DT33" s="206"/>
      <c r="DU33" s="206"/>
      <c r="DV33" s="206"/>
      <c r="DW33" s="206"/>
      <c r="DX33" s="206"/>
      <c r="DY33" s="206"/>
      <c r="DZ33" s="206"/>
      <c r="EA33" s="206"/>
      <c r="EB33" s="206"/>
      <c r="EC33" s="206"/>
      <c r="ED33" s="206"/>
      <c r="EE33" s="206"/>
      <c r="EF33" s="206"/>
      <c r="EG33" s="206"/>
      <c r="EH33" s="206"/>
      <c r="EI33" s="206"/>
      <c r="EJ33" s="206"/>
      <c r="EK33" s="206"/>
      <c r="EL33" s="206"/>
      <c r="EM33" s="206"/>
      <c r="EN33" s="206"/>
      <c r="EO33" s="206"/>
      <c r="EP33" s="206"/>
      <c r="EQ33" s="206"/>
      <c r="ER33" s="206"/>
      <c r="ES33" s="206"/>
      <c r="ET33" s="206"/>
      <c r="EU33" s="206"/>
      <c r="EV33" s="206"/>
      <c r="EW33" s="206"/>
      <c r="EX33" s="206"/>
      <c r="EY33" s="206"/>
      <c r="EZ33" s="206"/>
      <c r="FA33" s="206"/>
      <c r="FB33" s="206"/>
      <c r="FC33" s="206"/>
      <c r="FD33" s="206"/>
      <c r="FE33" s="206"/>
      <c r="FF33" s="206"/>
      <c r="FG33" s="206"/>
      <c r="FH33" s="206"/>
      <c r="FI33" s="206"/>
      <c r="FJ33" s="206"/>
      <c r="FK33" s="206"/>
      <c r="FL33" s="206"/>
      <c r="FM33" s="206"/>
      <c r="FN33" s="206"/>
      <c r="FO33" s="206"/>
      <c r="FP33" s="206"/>
      <c r="FQ33" s="206"/>
      <c r="FR33" s="206"/>
      <c r="FS33" s="206"/>
      <c r="FT33" s="206"/>
      <c r="FU33" s="206"/>
      <c r="FV33" s="206"/>
      <c r="FW33" s="206"/>
      <c r="FX33" s="206"/>
      <c r="FY33" s="206"/>
      <c r="FZ33" s="206"/>
      <c r="GA33" s="206"/>
      <c r="GB33" s="206"/>
      <c r="GC33" s="206"/>
      <c r="GD33" s="206"/>
      <c r="GE33" s="206"/>
      <c r="GF33" s="206"/>
      <c r="GG33" s="206"/>
      <c r="GH33" s="206"/>
      <c r="GI33" s="206"/>
      <c r="GJ33" s="206"/>
      <c r="GK33" s="206"/>
      <c r="GL33" s="206"/>
      <c r="GM33" s="206"/>
      <c r="GN33" s="206"/>
      <c r="GO33" s="206"/>
      <c r="GP33" s="206"/>
      <c r="GQ33" s="206"/>
      <c r="GR33" s="206"/>
      <c r="GS33" s="206"/>
      <c r="GT33" s="206"/>
      <c r="GU33" s="206"/>
      <c r="GV33" s="206"/>
      <c r="GW33" s="206"/>
      <c r="GX33" s="206"/>
      <c r="GY33" s="206"/>
      <c r="GZ33" s="206"/>
      <c r="HA33" s="206"/>
      <c r="HB33" s="206"/>
      <c r="HC33" s="206"/>
      <c r="HD33" s="206"/>
      <c r="HE33" s="206"/>
      <c r="HF33" s="206"/>
      <c r="HG33" s="206"/>
      <c r="HH33" s="206"/>
      <c r="HI33" s="206"/>
      <c r="HJ33" s="206"/>
      <c r="HK33" s="206"/>
      <c r="HL33" s="206"/>
      <c r="HM33" s="206"/>
      <c r="HN33" s="206"/>
      <c r="HO33" s="206"/>
      <c r="HP33" s="206"/>
      <c r="HQ33" s="206"/>
      <c r="HR33" s="206"/>
      <c r="HS33" s="206"/>
      <c r="HT33" s="206"/>
      <c r="HU33" s="206"/>
      <c r="HV33" s="206"/>
      <c r="HW33" s="206"/>
      <c r="HX33" s="206"/>
      <c r="HY33" s="206"/>
      <c r="HZ33" s="206"/>
      <c r="IA33" s="206"/>
      <c r="IB33" s="206"/>
      <c r="IC33" s="206"/>
      <c r="ID33" s="206"/>
      <c r="IE33" s="206"/>
      <c r="IF33" s="206"/>
      <c r="IG33" s="206"/>
      <c r="IH33" s="206"/>
      <c r="II33" s="206"/>
      <c r="IJ33" s="206"/>
      <c r="IK33" s="206"/>
      <c r="IL33" s="206"/>
      <c r="IM33" s="206"/>
      <c r="IN33" s="206"/>
      <c r="IO33" s="206"/>
      <c r="IP33" s="206"/>
      <c r="IQ33" s="206"/>
      <c r="IR33" s="206"/>
      <c r="IS33" s="206"/>
      <c r="IT33" s="206"/>
      <c r="IU33" s="206"/>
      <c r="IV33" s="206"/>
      <c r="IW33" s="206"/>
      <c r="IX33" s="206"/>
      <c r="IY33" s="206"/>
      <c r="IZ33" s="206"/>
      <c r="JA33" s="206"/>
      <c r="JB33" s="206"/>
      <c r="JC33" s="206"/>
      <c r="JD33" s="206"/>
      <c r="JE33" s="206"/>
      <c r="JF33" s="206"/>
      <c r="JG33" s="206"/>
      <c r="JH33" s="206"/>
      <c r="JI33" s="206"/>
      <c r="JJ33" s="206"/>
      <c r="JK33" s="206"/>
      <c r="JL33" s="206"/>
      <c r="JM33" s="206"/>
      <c r="JN33" s="206"/>
      <c r="JO33" s="206"/>
      <c r="JP33" s="206"/>
      <c r="JQ33" s="206"/>
      <c r="JR33" s="206"/>
      <c r="JS33" s="206"/>
      <c r="JT33" s="206"/>
      <c r="JU33" s="206"/>
      <c r="JV33" s="206"/>
      <c r="JW33" s="206"/>
      <c r="JX33" s="206"/>
      <c r="JY33" s="206"/>
      <c r="JZ33" s="206"/>
      <c r="KA33" s="206"/>
      <c r="KB33" s="206"/>
      <c r="KC33" s="206"/>
      <c r="KD33" s="206"/>
      <c r="KE33" s="206"/>
      <c r="KF33" s="206"/>
      <c r="KG33" s="206"/>
      <c r="KH33" s="206"/>
      <c r="KI33" s="206"/>
      <c r="KJ33" s="206"/>
      <c r="KK33" s="206"/>
      <c r="KL33" s="206"/>
      <c r="KM33" s="206"/>
      <c r="KN33" s="206"/>
      <c r="KO33" s="206"/>
      <c r="KP33" s="206"/>
      <c r="KQ33" s="206"/>
      <c r="KR33" s="206"/>
      <c r="KS33" s="206"/>
      <c r="KT33" s="206"/>
      <c r="KU33" s="206"/>
      <c r="KV33" s="206"/>
      <c r="KW33" s="206"/>
      <c r="KX33" s="206"/>
      <c r="KY33" s="206"/>
      <c r="KZ33" s="206"/>
      <c r="LA33" s="206"/>
      <c r="LB33" s="206"/>
      <c r="LC33" s="206"/>
      <c r="LD33" s="206"/>
      <c r="LE33" s="206"/>
      <c r="LF33" s="206"/>
      <c r="LG33" s="206"/>
      <c r="LH33" s="206"/>
      <c r="LI33" s="206"/>
      <c r="LJ33" s="206"/>
      <c r="LK33" s="206"/>
      <c r="LL33" s="206"/>
      <c r="LM33" s="206"/>
      <c r="LN33" s="206"/>
      <c r="LO33" s="206"/>
      <c r="LP33" s="206"/>
      <c r="LQ33" s="206"/>
      <c r="LR33" s="206"/>
      <c r="LS33" s="206"/>
      <c r="LT33" s="206"/>
      <c r="LU33" s="206"/>
      <c r="LV33" s="206"/>
      <c r="LW33" s="206"/>
      <c r="LX33" s="206"/>
      <c r="LY33" s="206"/>
      <c r="LZ33" s="206"/>
      <c r="MA33" s="206"/>
      <c r="MB33" s="206"/>
      <c r="MC33" s="206"/>
      <c r="MD33" s="206"/>
      <c r="ME33" s="206"/>
      <c r="MF33" s="206"/>
      <c r="MG33" s="206"/>
      <c r="MH33" s="206"/>
      <c r="MI33" s="206"/>
      <c r="MJ33" s="206"/>
      <c r="MK33" s="206"/>
      <c r="ML33" s="206"/>
      <c r="MM33" s="206"/>
      <c r="MN33" s="206"/>
      <c r="MO33" s="206"/>
      <c r="MP33" s="206"/>
      <c r="MQ33" s="206"/>
      <c r="MR33" s="206"/>
      <c r="MS33" s="206"/>
      <c r="MT33" s="206"/>
      <c r="MU33" s="206"/>
      <c r="MV33" s="206"/>
      <c r="MW33" s="206"/>
      <c r="MX33" s="206"/>
      <c r="MY33" s="206"/>
      <c r="MZ33" s="206"/>
      <c r="NA33" s="206"/>
      <c r="NB33" s="206"/>
      <c r="NC33" s="206"/>
      <c r="ND33" s="206"/>
      <c r="NE33" s="206"/>
      <c r="NF33" s="206"/>
      <c r="NG33" s="206"/>
      <c r="NH33" s="206"/>
      <c r="NI33" s="206"/>
      <c r="NJ33" s="206"/>
      <c r="NK33" s="206"/>
      <c r="NL33" s="206"/>
      <c r="NM33" s="206"/>
      <c r="NN33" s="206"/>
      <c r="NO33" s="206"/>
      <c r="NP33" s="206"/>
      <c r="NQ33" s="206"/>
      <c r="NR33" s="206"/>
      <c r="NS33" s="206"/>
      <c r="NT33" s="206"/>
      <c r="NU33" s="206"/>
      <c r="NV33" s="206"/>
      <c r="NW33" s="206"/>
      <c r="NX33" s="206"/>
      <c r="NY33" s="206"/>
      <c r="NZ33" s="206"/>
      <c r="OA33" s="206"/>
      <c r="OB33" s="206"/>
      <c r="OC33" s="206"/>
      <c r="OD33" s="206"/>
      <c r="OE33" s="206"/>
      <c r="OF33" s="206"/>
      <c r="OG33" s="206"/>
      <c r="OH33" s="206"/>
      <c r="OI33" s="206"/>
      <c r="OJ33" s="206"/>
      <c r="OK33" s="206"/>
      <c r="OL33" s="206"/>
      <c r="OM33" s="206"/>
      <c r="ON33" s="206"/>
      <c r="OO33" s="206"/>
      <c r="OP33" s="206"/>
      <c r="OQ33" s="206"/>
      <c r="OR33" s="206"/>
      <c r="OS33" s="206"/>
      <c r="OT33" s="206"/>
      <c r="OU33" s="206"/>
      <c r="OV33" s="206"/>
      <c r="OW33" s="206"/>
      <c r="OX33" s="206"/>
      <c r="OY33" s="206"/>
      <c r="OZ33" s="206"/>
      <c r="PA33" s="206"/>
      <c r="PB33" s="206"/>
      <c r="PC33" s="206"/>
      <c r="PD33" s="206"/>
      <c r="PE33" s="206"/>
      <c r="PF33" s="206"/>
      <c r="PG33" s="206"/>
      <c r="PH33" s="206"/>
      <c r="PI33" s="206"/>
      <c r="PJ33" s="206"/>
      <c r="PK33" s="206"/>
      <c r="PL33" s="206"/>
      <c r="PM33" s="206"/>
      <c r="PN33" s="206"/>
      <c r="PO33" s="206"/>
      <c r="PP33" s="206"/>
      <c r="PQ33" s="206"/>
      <c r="PR33" s="206"/>
      <c r="PS33" s="206"/>
      <c r="PT33" s="206"/>
      <c r="PU33" s="206"/>
      <c r="PV33" s="206"/>
      <c r="PW33" s="206"/>
      <c r="PX33" s="206"/>
      <c r="PY33" s="206"/>
      <c r="PZ33" s="206"/>
      <c r="QA33" s="206"/>
      <c r="QB33" s="206"/>
      <c r="QC33" s="206"/>
      <c r="QD33" s="206"/>
      <c r="QE33" s="206"/>
      <c r="QF33" s="206"/>
      <c r="QG33" s="206"/>
      <c r="QH33" s="206"/>
      <c r="QI33" s="206"/>
      <c r="QJ33" s="206"/>
      <c r="QK33" s="206"/>
      <c r="QL33" s="206"/>
      <c r="QM33" s="206"/>
      <c r="QN33" s="206"/>
      <c r="QO33" s="206"/>
      <c r="QP33" s="206"/>
      <c r="QQ33" s="206"/>
      <c r="QR33" s="206"/>
      <c r="QS33" s="206"/>
      <c r="QT33" s="206"/>
      <c r="QU33" s="206"/>
      <c r="QV33" s="206"/>
      <c r="QW33" s="206"/>
      <c r="QX33" s="206"/>
      <c r="QY33" s="206"/>
      <c r="QZ33" s="206"/>
      <c r="RA33" s="206"/>
      <c r="RB33" s="206"/>
      <c r="RC33" s="206"/>
      <c r="RD33" s="206"/>
      <c r="RE33" s="206"/>
      <c r="RF33" s="206"/>
      <c r="RG33" s="206"/>
      <c r="RH33" s="206"/>
      <c r="RI33" s="206"/>
      <c r="RJ33" s="206"/>
      <c r="RK33" s="206"/>
      <c r="RL33" s="206"/>
      <c r="RM33" s="206"/>
      <c r="RN33" s="206"/>
      <c r="RO33" s="206"/>
      <c r="RP33" s="206"/>
      <c r="RQ33" s="206"/>
      <c r="RR33" s="206"/>
      <c r="RS33" s="206"/>
      <c r="RT33" s="206"/>
      <c r="RU33" s="206"/>
      <c r="RV33" s="206"/>
      <c r="RW33" s="206"/>
      <c r="RX33" s="206"/>
      <c r="RY33" s="206"/>
      <c r="RZ33" s="206"/>
      <c r="SA33" s="206"/>
      <c r="SB33" s="206"/>
      <c r="SC33" s="206"/>
      <c r="SD33" s="206"/>
      <c r="SE33" s="206"/>
      <c r="SF33" s="206"/>
      <c r="SG33" s="206"/>
      <c r="SH33" s="206"/>
      <c r="SI33" s="206"/>
      <c r="SJ33" s="206"/>
      <c r="SK33" s="206"/>
      <c r="SL33" s="206"/>
      <c r="SM33" s="206"/>
      <c r="SN33" s="206"/>
      <c r="SO33" s="206"/>
      <c r="SP33" s="206"/>
      <c r="SQ33" s="206"/>
      <c r="SR33" s="206"/>
      <c r="SS33" s="206"/>
      <c r="ST33" s="206"/>
      <c r="SU33" s="206"/>
      <c r="SV33" s="206"/>
      <c r="SW33" s="206"/>
      <c r="SX33" s="206"/>
      <c r="SY33" s="206"/>
      <c r="SZ33" s="206"/>
      <c r="TA33" s="206"/>
      <c r="TB33" s="206"/>
      <c r="TC33" s="206"/>
      <c r="TD33" s="206"/>
      <c r="TE33" s="206"/>
      <c r="TF33" s="206"/>
      <c r="TG33" s="206"/>
      <c r="TH33" s="206"/>
      <c r="TI33" s="206"/>
      <c r="TJ33" s="206"/>
      <c r="TK33" s="206"/>
      <c r="TL33" s="206"/>
      <c r="TM33" s="206"/>
      <c r="TN33" s="206"/>
      <c r="TO33" s="206"/>
      <c r="TP33" s="206"/>
      <c r="TQ33" s="206"/>
      <c r="TR33" s="206"/>
      <c r="TS33" s="206"/>
      <c r="TT33" s="206"/>
      <c r="TU33" s="206"/>
      <c r="TV33" s="206"/>
      <c r="TW33" s="206"/>
      <c r="TX33" s="206"/>
      <c r="TY33" s="206"/>
      <c r="TZ33" s="206"/>
      <c r="UA33" s="206"/>
      <c r="UB33" s="206"/>
      <c r="UC33" s="206"/>
      <c r="UD33" s="206"/>
      <c r="UE33" s="206"/>
      <c r="UF33" s="206"/>
      <c r="UG33" s="206"/>
      <c r="UH33" s="206"/>
      <c r="UI33" s="206"/>
      <c r="UJ33" s="206"/>
      <c r="UK33" s="206"/>
      <c r="UL33" s="206"/>
      <c r="UM33" s="206"/>
      <c r="UN33" s="206"/>
      <c r="UO33" s="206"/>
      <c r="UP33" s="206"/>
      <c r="UQ33" s="206"/>
      <c r="UR33" s="206"/>
      <c r="US33" s="206"/>
      <c r="UT33" s="206"/>
      <c r="UU33" s="206"/>
      <c r="UV33" s="206"/>
      <c r="UW33" s="206"/>
      <c r="UX33" s="206"/>
      <c r="UY33" s="206"/>
      <c r="UZ33" s="206"/>
      <c r="VA33" s="206"/>
      <c r="VB33" s="206"/>
      <c r="VC33" s="206"/>
      <c r="VD33" s="206"/>
      <c r="VE33" s="206"/>
      <c r="VF33" s="206"/>
      <c r="VG33" s="206"/>
      <c r="VH33" s="206"/>
      <c r="VI33" s="206"/>
      <c r="VJ33" s="206"/>
      <c r="VK33" s="206"/>
      <c r="VL33" s="206"/>
      <c r="VM33" s="206"/>
      <c r="VN33" s="206"/>
      <c r="VO33" s="206"/>
      <c r="VP33" s="206"/>
      <c r="VQ33" s="206"/>
      <c r="VR33" s="206"/>
      <c r="VS33" s="206"/>
      <c r="VT33" s="206"/>
      <c r="VU33" s="206"/>
      <c r="VV33" s="206"/>
      <c r="VW33" s="206"/>
      <c r="VX33" s="206"/>
      <c r="VY33" s="206"/>
      <c r="VZ33" s="206"/>
      <c r="WA33" s="206"/>
      <c r="WB33" s="206"/>
      <c r="WC33" s="206"/>
      <c r="WD33" s="206"/>
      <c r="WE33" s="206"/>
      <c r="WF33" s="206"/>
      <c r="WG33" s="206"/>
      <c r="WH33" s="206"/>
      <c r="WI33" s="206"/>
      <c r="WJ33" s="206"/>
      <c r="WK33" s="206"/>
      <c r="WL33" s="206"/>
      <c r="WM33" s="206"/>
      <c r="WN33" s="206"/>
      <c r="WO33" s="206"/>
      <c r="WP33" s="206"/>
      <c r="WQ33" s="206"/>
      <c r="WR33" s="206"/>
      <c r="WS33" s="206"/>
      <c r="WT33" s="206"/>
      <c r="WU33" s="206"/>
      <c r="WV33" s="206"/>
      <c r="WW33" s="206"/>
      <c r="WX33" s="206"/>
      <c r="WY33" s="206"/>
      <c r="WZ33" s="206"/>
      <c r="XA33" s="206"/>
      <c r="XB33" s="206"/>
      <c r="XC33" s="206"/>
      <c r="XD33" s="206"/>
      <c r="XE33" s="206"/>
      <c r="XF33" s="206"/>
      <c r="XG33" s="206"/>
      <c r="XH33" s="206"/>
      <c r="XI33" s="206"/>
      <c r="XJ33" s="206"/>
      <c r="XK33" s="206"/>
      <c r="XL33" s="206"/>
      <c r="XM33" s="206"/>
      <c r="XN33" s="206"/>
      <c r="XO33" s="206"/>
      <c r="XP33" s="206"/>
      <c r="XQ33" s="206"/>
      <c r="XR33" s="206"/>
      <c r="XS33" s="206"/>
      <c r="XT33" s="206"/>
      <c r="XU33" s="206"/>
      <c r="XV33" s="206"/>
      <c r="XW33" s="206"/>
      <c r="XX33" s="206"/>
      <c r="XY33" s="206"/>
      <c r="XZ33" s="206"/>
      <c r="YA33" s="206"/>
      <c r="YB33" s="206"/>
      <c r="YC33" s="206"/>
      <c r="YD33" s="206"/>
      <c r="YE33" s="206"/>
      <c r="YF33" s="206"/>
      <c r="YG33" s="206"/>
      <c r="YH33" s="206"/>
      <c r="YI33" s="206"/>
      <c r="YJ33" s="206"/>
      <c r="YK33" s="206"/>
      <c r="YL33" s="206"/>
      <c r="YM33" s="206"/>
      <c r="YN33" s="206"/>
      <c r="YO33" s="206"/>
      <c r="YP33" s="206"/>
      <c r="YQ33" s="206"/>
      <c r="YR33" s="206"/>
      <c r="YS33" s="206"/>
      <c r="YT33" s="206"/>
      <c r="YU33" s="206"/>
      <c r="YV33" s="206"/>
      <c r="YW33" s="206"/>
      <c r="YX33" s="206"/>
      <c r="YY33" s="206"/>
      <c r="YZ33" s="206"/>
      <c r="ZA33" s="206"/>
      <c r="ZB33" s="206"/>
      <c r="ZC33" s="206"/>
      <c r="ZD33" s="206"/>
      <c r="ZE33" s="206"/>
      <c r="ZF33" s="206"/>
      <c r="ZG33" s="206"/>
      <c r="ZH33" s="206"/>
      <c r="ZI33" s="206"/>
      <c r="ZJ33" s="206"/>
      <c r="ZK33" s="206"/>
      <c r="ZL33" s="206"/>
      <c r="ZM33" s="206"/>
      <c r="ZN33" s="206"/>
      <c r="ZO33" s="206"/>
      <c r="ZP33" s="206"/>
      <c r="ZQ33" s="206"/>
      <c r="ZR33" s="206"/>
      <c r="ZS33" s="206"/>
      <c r="ZT33" s="206"/>
      <c r="ZU33" s="206"/>
      <c r="ZV33" s="206"/>
      <c r="ZW33" s="206"/>
      <c r="ZX33" s="206"/>
      <c r="ZY33" s="206"/>
      <c r="ZZ33" s="206"/>
      <c r="AAA33" s="206"/>
      <c r="AAB33" s="206"/>
      <c r="AAC33" s="206"/>
      <c r="AAD33" s="206"/>
      <c r="AAE33" s="206"/>
      <c r="AAF33" s="206"/>
      <c r="AAG33" s="206"/>
      <c r="AAH33" s="206"/>
      <c r="AAI33" s="206"/>
      <c r="AAJ33" s="206"/>
      <c r="AAK33" s="206"/>
      <c r="AAL33" s="206"/>
      <c r="AAM33" s="206"/>
      <c r="AAN33" s="206"/>
      <c r="AAO33" s="206"/>
      <c r="AAP33" s="206"/>
      <c r="AAQ33" s="206"/>
      <c r="AAR33" s="206"/>
      <c r="AAS33" s="206"/>
      <c r="AAT33" s="206"/>
      <c r="AAU33" s="206"/>
      <c r="AAV33" s="206"/>
      <c r="AAW33" s="206"/>
      <c r="AAX33" s="206"/>
      <c r="AAY33" s="206"/>
      <c r="AAZ33" s="206"/>
      <c r="ABA33" s="206"/>
      <c r="ABB33" s="206"/>
      <c r="ABC33" s="206"/>
      <c r="ABD33" s="206"/>
      <c r="ABE33" s="206"/>
      <c r="ABF33" s="206"/>
      <c r="ABG33" s="206"/>
      <c r="ABH33" s="206"/>
      <c r="ABI33" s="206"/>
      <c r="ABJ33" s="206"/>
      <c r="ABK33" s="206"/>
      <c r="ABL33" s="206"/>
      <c r="ABM33" s="206"/>
      <c r="ABN33" s="206"/>
      <c r="ABO33" s="206"/>
      <c r="ABP33" s="206"/>
      <c r="ABQ33" s="206"/>
      <c r="ABR33" s="206"/>
      <c r="ABS33" s="206"/>
      <c r="ABT33" s="206"/>
      <c r="ABU33" s="206"/>
      <c r="ABV33" s="206"/>
      <c r="ABW33" s="206"/>
      <c r="ABX33" s="206"/>
      <c r="ABY33" s="206"/>
      <c r="ABZ33" s="206"/>
      <c r="ACA33" s="206"/>
      <c r="ACB33" s="206"/>
      <c r="ACC33" s="206"/>
      <c r="ACD33" s="206"/>
      <c r="ACE33" s="206"/>
      <c r="ACF33" s="206"/>
      <c r="ACG33" s="206"/>
      <c r="ACH33" s="206"/>
      <c r="ACI33" s="206"/>
      <c r="ACJ33" s="206"/>
      <c r="ACK33" s="206"/>
      <c r="ACL33" s="206"/>
      <c r="ACM33" s="206"/>
      <c r="ACN33" s="206"/>
      <c r="ACO33" s="206"/>
      <c r="ACP33" s="206"/>
      <c r="ACQ33" s="206"/>
      <c r="ACR33" s="206"/>
      <c r="ACS33" s="206"/>
      <c r="ACT33" s="206"/>
      <c r="ACU33" s="206"/>
      <c r="ACV33" s="206"/>
      <c r="ACW33" s="206"/>
      <c r="ACX33" s="206"/>
      <c r="ACY33" s="206"/>
      <c r="ACZ33" s="206"/>
      <c r="ADA33" s="206"/>
      <c r="ADB33" s="206"/>
      <c r="ADC33" s="206"/>
      <c r="ADD33" s="206"/>
      <c r="ADE33" s="206"/>
      <c r="ADF33" s="206"/>
      <c r="ADG33" s="206"/>
      <c r="ADH33" s="206"/>
      <c r="ADI33" s="206"/>
      <c r="ADJ33" s="206"/>
      <c r="ADK33" s="206"/>
      <c r="ADL33" s="206"/>
      <c r="ADM33" s="206"/>
      <c r="ADN33" s="206"/>
      <c r="ADO33" s="206"/>
      <c r="ADP33" s="206"/>
      <c r="ADQ33" s="206"/>
      <c r="ADR33" s="206"/>
      <c r="ADS33" s="206"/>
      <c r="ADT33" s="206"/>
      <c r="ADU33" s="206"/>
      <c r="ADV33" s="206"/>
      <c r="ADW33" s="206"/>
      <c r="ADX33" s="206"/>
      <c r="ADY33" s="206"/>
      <c r="ADZ33" s="206"/>
      <c r="AEA33" s="206"/>
      <c r="AEB33" s="206"/>
      <c r="AEC33" s="206"/>
      <c r="AED33" s="206"/>
      <c r="AEE33" s="206"/>
      <c r="AEF33" s="206"/>
      <c r="AEG33" s="206"/>
      <c r="AEH33" s="206"/>
      <c r="AEI33" s="206"/>
      <c r="AEJ33" s="206"/>
      <c r="AEK33" s="206"/>
      <c r="AEL33" s="206"/>
      <c r="AEM33" s="206"/>
      <c r="AEN33" s="206"/>
      <c r="AEO33" s="206"/>
      <c r="AEP33" s="206"/>
      <c r="AEQ33" s="206"/>
      <c r="AER33" s="206"/>
      <c r="AES33" s="206"/>
      <c r="AET33" s="206"/>
      <c r="AEU33" s="206"/>
      <c r="AEV33" s="206"/>
      <c r="AEW33" s="206"/>
      <c r="AEX33" s="206"/>
      <c r="AEY33" s="206"/>
      <c r="AEZ33" s="206"/>
      <c r="AFA33" s="206"/>
      <c r="AFB33" s="206"/>
      <c r="AFC33" s="206"/>
      <c r="AFD33" s="206"/>
      <c r="AFE33" s="206"/>
      <c r="AFF33" s="206"/>
      <c r="AFG33" s="206"/>
      <c r="AFH33" s="206"/>
      <c r="AFI33" s="206"/>
      <c r="AFJ33" s="206"/>
      <c r="AFK33" s="206"/>
      <c r="AFL33" s="206"/>
      <c r="AFM33" s="206"/>
      <c r="AFN33" s="206"/>
      <c r="AFO33" s="206"/>
      <c r="AFP33" s="206"/>
      <c r="AFQ33" s="206"/>
      <c r="AFR33" s="206"/>
      <c r="AFS33" s="206"/>
      <c r="AFT33" s="206"/>
      <c r="AFU33" s="206"/>
      <c r="AFV33" s="206"/>
      <c r="AFW33" s="206"/>
      <c r="AFX33" s="206"/>
      <c r="AFY33" s="206"/>
      <c r="AFZ33" s="206"/>
      <c r="AGA33" s="206"/>
      <c r="AGB33" s="206"/>
      <c r="AGC33" s="206"/>
      <c r="AGD33" s="206"/>
      <c r="AGE33" s="206"/>
      <c r="AGF33" s="206"/>
      <c r="AGG33" s="206"/>
      <c r="AGH33" s="206"/>
      <c r="AGI33" s="206"/>
      <c r="AGJ33" s="206"/>
      <c r="AGK33" s="206"/>
      <c r="AGL33" s="206"/>
      <c r="AGM33" s="206"/>
      <c r="AGN33" s="206"/>
      <c r="AGO33" s="206"/>
      <c r="AGP33" s="206"/>
      <c r="AGQ33" s="206"/>
      <c r="AGR33" s="206"/>
      <c r="AGS33" s="206"/>
      <c r="AGT33" s="206"/>
      <c r="AGU33" s="206"/>
      <c r="AGV33" s="206"/>
      <c r="AGW33" s="206"/>
      <c r="AGX33" s="206"/>
      <c r="AGY33" s="206"/>
      <c r="AGZ33" s="206"/>
      <c r="AHA33" s="206"/>
      <c r="AHB33" s="206"/>
      <c r="AHC33" s="206"/>
      <c r="AHD33" s="206"/>
      <c r="AHE33" s="206"/>
      <c r="AHF33" s="206"/>
      <c r="AHG33" s="206"/>
      <c r="AHH33" s="206"/>
      <c r="AHI33" s="206"/>
      <c r="AHJ33" s="206"/>
      <c r="AHK33" s="206"/>
      <c r="AHL33" s="206"/>
      <c r="AHM33" s="206"/>
      <c r="AHN33" s="206"/>
      <c r="AHO33" s="206"/>
      <c r="AHP33" s="206"/>
      <c r="AHQ33" s="206"/>
      <c r="AHR33" s="206"/>
      <c r="AHS33" s="206"/>
      <c r="AHT33" s="206"/>
      <c r="AHU33" s="206"/>
      <c r="AHV33" s="206"/>
      <c r="AHW33" s="206"/>
      <c r="AHX33" s="206"/>
      <c r="AHY33" s="206"/>
      <c r="AHZ33" s="206"/>
      <c r="AIA33" s="206"/>
      <c r="AIB33" s="206"/>
      <c r="AIC33" s="206"/>
      <c r="AID33" s="206"/>
      <c r="AIE33" s="206"/>
      <c r="AIF33" s="206"/>
      <c r="AIG33" s="206"/>
      <c r="AIH33" s="206"/>
      <c r="AII33" s="206"/>
      <c r="AIJ33" s="206"/>
      <c r="AIK33" s="206"/>
      <c r="AIL33" s="206"/>
      <c r="AIM33" s="206"/>
      <c r="AIN33" s="206"/>
      <c r="AIO33" s="206"/>
      <c r="AIP33" s="206"/>
      <c r="AIQ33" s="206"/>
      <c r="AIR33" s="206"/>
      <c r="AIS33" s="206"/>
      <c r="AIT33" s="206"/>
      <c r="AIU33" s="206"/>
      <c r="AIV33" s="206"/>
      <c r="AIW33" s="206"/>
      <c r="AIX33" s="206"/>
      <c r="AIY33" s="206"/>
      <c r="AIZ33" s="206"/>
      <c r="AJA33" s="206"/>
      <c r="AJB33" s="206"/>
      <c r="AJC33" s="206"/>
      <c r="AJD33" s="206"/>
      <c r="AJE33" s="206"/>
      <c r="AJF33" s="206"/>
      <c r="AJG33" s="206"/>
      <c r="AJH33" s="206"/>
      <c r="AJI33" s="206"/>
      <c r="AJJ33" s="206"/>
      <c r="AJK33" s="206"/>
      <c r="AJL33" s="206"/>
      <c r="AJM33" s="206"/>
      <c r="AJN33" s="206"/>
      <c r="AJO33" s="206"/>
      <c r="AJP33" s="206"/>
      <c r="AJQ33" s="206"/>
      <c r="AJR33" s="206"/>
      <c r="AJS33" s="206"/>
      <c r="AJT33" s="206"/>
      <c r="AJU33" s="206"/>
      <c r="AJV33" s="206"/>
      <c r="AJW33" s="206"/>
      <c r="AJX33" s="206"/>
      <c r="AJY33" s="206"/>
      <c r="AJZ33" s="206"/>
      <c r="AKA33" s="206"/>
      <c r="AKB33" s="206"/>
      <c r="AKC33" s="206"/>
      <c r="AKD33" s="206"/>
      <c r="AKE33" s="206"/>
      <c r="AKF33" s="206"/>
      <c r="AKG33" s="206"/>
      <c r="AKH33" s="206"/>
      <c r="AKI33" s="206"/>
      <c r="AKJ33" s="206"/>
      <c r="AKK33" s="206"/>
      <c r="AKL33" s="206"/>
      <c r="AKM33" s="206"/>
      <c r="AKN33" s="206"/>
      <c r="AKO33" s="206"/>
      <c r="AKP33" s="206"/>
      <c r="AKQ33" s="206"/>
      <c r="AKR33" s="206"/>
      <c r="AKS33" s="206"/>
      <c r="AKT33" s="206"/>
      <c r="AKU33" s="206"/>
      <c r="AKV33" s="206"/>
      <c r="AKW33" s="206"/>
      <c r="AKX33" s="206"/>
      <c r="AKY33" s="206"/>
      <c r="AKZ33" s="206"/>
      <c r="ALA33" s="206"/>
      <c r="ALB33" s="206"/>
      <c r="ALC33" s="206"/>
      <c r="ALD33" s="206"/>
      <c r="ALE33" s="206"/>
      <c r="ALF33" s="206"/>
      <c r="ALG33" s="206"/>
      <c r="ALH33" s="206"/>
      <c r="ALI33" s="206"/>
      <c r="ALJ33" s="206"/>
      <c r="ALK33" s="206"/>
      <c r="ALL33" s="206"/>
      <c r="ALM33" s="206"/>
      <c r="ALN33" s="206"/>
      <c r="ALO33" s="206"/>
      <c r="ALP33" s="206"/>
      <c r="ALQ33" s="206"/>
      <c r="ALR33" s="206"/>
      <c r="ALS33" s="206"/>
      <c r="ALT33" s="206"/>
      <c r="ALU33" s="206"/>
      <c r="ALV33" s="206"/>
      <c r="ALW33" s="206"/>
      <c r="ALX33" s="206"/>
      <c r="ALY33" s="206"/>
      <c r="ALZ33" s="206"/>
      <c r="AMA33" s="206"/>
      <c r="AMB33" s="206"/>
      <c r="AMC33" s="206"/>
      <c r="AMD33" s="206"/>
      <c r="AME33" s="206"/>
      <c r="AMF33" s="206"/>
      <c r="AMG33" s="206"/>
      <c r="AMH33" s="206"/>
      <c r="AMI33" s="206"/>
      <c r="AMJ33" s="206"/>
      <c r="AMK33" s="206"/>
      <c r="AML33" s="206"/>
      <c r="AMM33" s="206"/>
      <c r="AMN33" s="206"/>
      <c r="AMO33" s="206"/>
      <c r="AMP33" s="206"/>
      <c r="AMQ33" s="206"/>
      <c r="AMR33" s="206"/>
      <c r="AMS33" s="206"/>
      <c r="AMT33" s="206"/>
      <c r="AMU33" s="206"/>
      <c r="AMV33" s="206"/>
      <c r="AMW33" s="206"/>
      <c r="AMX33" s="206"/>
      <c r="AMY33" s="206"/>
      <c r="AMZ33" s="206"/>
      <c r="ANA33" s="206"/>
      <c r="ANB33" s="206"/>
      <c r="ANC33" s="206"/>
      <c r="AND33" s="206"/>
      <c r="ANE33" s="206"/>
      <c r="ANF33" s="206"/>
      <c r="ANG33" s="206"/>
      <c r="ANH33" s="206"/>
      <c r="ANI33" s="206"/>
      <c r="ANJ33" s="206"/>
      <c r="ANK33" s="206"/>
      <c r="ANL33" s="206"/>
      <c r="ANM33" s="206"/>
      <c r="ANN33" s="206"/>
      <c r="ANO33" s="206"/>
      <c r="ANP33" s="206"/>
      <c r="ANQ33" s="206"/>
      <c r="ANR33" s="206"/>
      <c r="ANS33" s="206"/>
      <c r="ANT33" s="206"/>
      <c r="ANU33" s="206"/>
      <c r="ANV33" s="206"/>
      <c r="ANW33" s="206"/>
      <c r="ANX33" s="206"/>
      <c r="ANY33" s="206"/>
      <c r="ANZ33" s="206"/>
      <c r="AOA33" s="206"/>
      <c r="AOB33" s="206"/>
      <c r="AOC33" s="206"/>
      <c r="AOD33" s="206"/>
      <c r="AOE33" s="206"/>
      <c r="AOF33" s="206"/>
      <c r="AOG33" s="206"/>
      <c r="AOH33" s="206"/>
      <c r="AOI33" s="206"/>
      <c r="AOJ33" s="206"/>
      <c r="AOK33" s="206"/>
      <c r="AOL33" s="206"/>
      <c r="AOM33" s="206"/>
      <c r="AON33" s="206"/>
      <c r="AOO33" s="206"/>
      <c r="AOP33" s="206"/>
      <c r="AOQ33" s="206"/>
      <c r="AOR33" s="206"/>
      <c r="AOS33" s="206"/>
      <c r="AOT33" s="206"/>
      <c r="AOU33" s="206"/>
      <c r="AOV33" s="206"/>
      <c r="AOW33" s="206"/>
      <c r="AOX33" s="206"/>
      <c r="AOY33" s="206"/>
      <c r="AOZ33" s="206"/>
      <c r="APA33" s="206"/>
      <c r="APB33" s="206"/>
      <c r="APC33" s="206"/>
      <c r="APD33" s="206"/>
      <c r="APE33" s="206"/>
      <c r="APF33" s="206"/>
      <c r="APG33" s="206"/>
      <c r="APH33" s="206"/>
      <c r="API33" s="206"/>
      <c r="APJ33" s="206"/>
      <c r="APK33" s="206"/>
      <c r="APL33" s="206"/>
      <c r="APM33" s="206"/>
      <c r="APN33" s="206"/>
      <c r="APO33" s="206"/>
      <c r="APP33" s="206"/>
      <c r="APQ33" s="206"/>
      <c r="APR33" s="206"/>
      <c r="APS33" s="206"/>
      <c r="APT33" s="206"/>
      <c r="APU33" s="206"/>
      <c r="APV33" s="206"/>
      <c r="APW33" s="206"/>
      <c r="APX33" s="206"/>
      <c r="APY33" s="206"/>
      <c r="APZ33" s="206"/>
      <c r="AQA33" s="206"/>
      <c r="AQB33" s="206"/>
      <c r="AQC33" s="206"/>
      <c r="AQD33" s="206"/>
      <c r="AQE33" s="206"/>
      <c r="AQF33" s="206"/>
      <c r="AQG33" s="206"/>
      <c r="AQH33" s="206"/>
      <c r="AQI33" s="206"/>
      <c r="AQJ33" s="206"/>
      <c r="AQK33" s="206"/>
      <c r="AQL33" s="206"/>
      <c r="AQM33" s="206"/>
      <c r="AQN33" s="206"/>
      <c r="AQO33" s="206"/>
      <c r="AQP33" s="206"/>
      <c r="AQQ33" s="206"/>
      <c r="AQR33" s="206"/>
      <c r="AQS33" s="206"/>
      <c r="AQT33" s="206"/>
      <c r="AQU33" s="206"/>
      <c r="AQV33" s="206"/>
      <c r="AQW33" s="206"/>
      <c r="AQX33" s="206"/>
      <c r="AQY33" s="206"/>
      <c r="AQZ33" s="206"/>
      <c r="ARA33" s="206"/>
      <c r="ARB33" s="206"/>
      <c r="ARC33" s="206"/>
      <c r="ARD33" s="206"/>
      <c r="ARE33" s="206"/>
      <c r="ARF33" s="206"/>
      <c r="ARG33" s="206"/>
      <c r="ARH33" s="206"/>
      <c r="ARI33" s="206"/>
      <c r="ARJ33" s="206"/>
      <c r="ARK33" s="206"/>
      <c r="ARL33" s="206"/>
      <c r="ARM33" s="206"/>
      <c r="ARN33" s="206"/>
      <c r="ARO33" s="206"/>
      <c r="ARP33" s="206"/>
      <c r="ARQ33" s="206"/>
      <c r="ARR33" s="206"/>
      <c r="ARS33" s="206"/>
      <c r="ART33" s="206"/>
      <c r="ARU33" s="206"/>
      <c r="ARV33" s="206"/>
      <c r="ARW33" s="206"/>
      <c r="ARX33" s="206"/>
      <c r="ARY33" s="206"/>
      <c r="ARZ33" s="206"/>
      <c r="ASA33" s="206"/>
      <c r="ASB33" s="206"/>
      <c r="ASC33" s="206"/>
      <c r="ASD33" s="206"/>
      <c r="ASE33" s="206"/>
      <c r="ASF33" s="206"/>
      <c r="ASG33" s="206"/>
      <c r="ASH33" s="206"/>
      <c r="ASI33" s="206"/>
      <c r="ASJ33" s="206"/>
      <c r="ASK33" s="206"/>
      <c r="ASL33" s="206"/>
      <c r="ASM33" s="206"/>
      <c r="ASN33" s="206"/>
      <c r="ASO33" s="206"/>
      <c r="ASP33" s="206"/>
      <c r="ASQ33" s="206"/>
      <c r="ASR33" s="206"/>
      <c r="ASS33" s="206"/>
      <c r="AST33" s="206"/>
      <c r="ASU33" s="206"/>
      <c r="ASV33" s="206"/>
      <c r="ASW33" s="206"/>
      <c r="ASX33" s="206"/>
      <c r="ASY33" s="206"/>
      <c r="ASZ33" s="206"/>
      <c r="ATA33" s="206"/>
      <c r="ATB33" s="206"/>
      <c r="ATC33" s="206"/>
      <c r="ATD33" s="206"/>
      <c r="ATE33" s="206"/>
      <c r="ATF33" s="206"/>
      <c r="ATG33" s="206"/>
      <c r="ATH33" s="206"/>
      <c r="ATI33" s="206"/>
      <c r="ATJ33" s="206"/>
      <c r="ATK33" s="206"/>
      <c r="ATL33" s="206"/>
      <c r="ATM33" s="206"/>
      <c r="ATN33" s="206"/>
      <c r="ATO33" s="206"/>
      <c r="ATP33" s="206"/>
      <c r="ATQ33" s="206"/>
      <c r="ATR33" s="206"/>
      <c r="ATS33" s="206"/>
      <c r="ATT33" s="206"/>
      <c r="ATU33" s="206"/>
      <c r="ATV33" s="206"/>
      <c r="ATW33" s="206"/>
      <c r="ATX33" s="206"/>
      <c r="ATY33" s="206"/>
      <c r="ATZ33" s="206"/>
      <c r="AUA33" s="206"/>
      <c r="AUB33" s="206"/>
      <c r="AUC33" s="206"/>
      <c r="AUD33" s="206"/>
      <c r="AUE33" s="206"/>
      <c r="AUF33" s="206"/>
      <c r="AUG33" s="206"/>
      <c r="AUH33" s="206"/>
      <c r="AUI33" s="206"/>
      <c r="AUJ33" s="206"/>
      <c r="AUK33" s="206"/>
      <c r="AUL33" s="206"/>
      <c r="AUM33" s="206"/>
      <c r="AUN33" s="206"/>
      <c r="AUO33" s="206"/>
      <c r="AUP33" s="206"/>
      <c r="AUQ33" s="206"/>
      <c r="AUR33" s="206"/>
      <c r="AUS33" s="206"/>
      <c r="AUT33" s="206"/>
      <c r="AUU33" s="206"/>
      <c r="AUV33" s="206"/>
      <c r="AUW33" s="206"/>
      <c r="AUX33" s="206"/>
      <c r="AUY33" s="206"/>
      <c r="AUZ33" s="206"/>
      <c r="AVA33" s="206"/>
      <c r="AVB33" s="206"/>
      <c r="AVC33" s="206"/>
      <c r="AVD33" s="206"/>
      <c r="AVE33" s="206"/>
      <c r="AVF33" s="206"/>
      <c r="AVG33" s="206"/>
      <c r="AVH33" s="206"/>
      <c r="AVI33" s="206"/>
      <c r="AVJ33" s="206"/>
      <c r="AVK33" s="206"/>
      <c r="AVL33" s="206"/>
      <c r="AVM33" s="206"/>
      <c r="AVN33" s="206"/>
      <c r="AVO33" s="206"/>
      <c r="AVP33" s="206"/>
      <c r="AVQ33" s="206"/>
      <c r="AVR33" s="206"/>
      <c r="AVS33" s="206"/>
      <c r="AVT33" s="206"/>
      <c r="AVU33" s="206"/>
      <c r="AVV33" s="206"/>
      <c r="AVW33" s="206"/>
      <c r="AVX33" s="206"/>
      <c r="AVY33" s="206"/>
      <c r="AVZ33" s="206"/>
      <c r="AWA33" s="206"/>
      <c r="AWB33" s="206"/>
      <c r="AWC33" s="206"/>
      <c r="AWD33" s="206"/>
      <c r="AWE33" s="206"/>
      <c r="AWF33" s="206"/>
      <c r="AWG33" s="206"/>
      <c r="AWH33" s="206"/>
      <c r="AWI33" s="206"/>
      <c r="AWJ33" s="206"/>
      <c r="AWK33" s="206"/>
      <c r="AWL33" s="206"/>
      <c r="AWM33" s="206"/>
      <c r="AWN33" s="206"/>
      <c r="AWO33" s="206"/>
      <c r="AWP33" s="206"/>
      <c r="AWQ33" s="206"/>
      <c r="AWR33" s="206"/>
      <c r="AWS33" s="206"/>
      <c r="AWT33" s="206"/>
      <c r="AWU33" s="206"/>
      <c r="AWV33" s="206"/>
      <c r="AWW33" s="206"/>
      <c r="AWX33" s="206"/>
      <c r="AWY33" s="206"/>
      <c r="AWZ33" s="206"/>
      <c r="AXA33" s="206"/>
      <c r="AXB33" s="206"/>
      <c r="AXC33" s="206"/>
      <c r="AXD33" s="206"/>
      <c r="AXE33" s="206"/>
      <c r="AXF33" s="206"/>
      <c r="AXG33" s="206"/>
      <c r="AXH33" s="206"/>
      <c r="AXI33" s="206"/>
      <c r="AXJ33" s="206"/>
      <c r="AXK33" s="206"/>
      <c r="AXL33" s="206"/>
      <c r="AXM33" s="206"/>
      <c r="AXN33" s="206"/>
      <c r="AXO33" s="206"/>
      <c r="AXP33" s="206"/>
      <c r="AXQ33" s="206"/>
      <c r="AXR33" s="206"/>
      <c r="AXS33" s="206"/>
      <c r="AXT33" s="206"/>
      <c r="AXU33" s="206"/>
      <c r="AXV33" s="206"/>
      <c r="AXW33" s="206"/>
      <c r="AXX33" s="206"/>
      <c r="AXY33" s="206"/>
      <c r="AXZ33" s="206"/>
      <c r="AYA33" s="206"/>
      <c r="AYB33" s="206"/>
      <c r="AYC33" s="206"/>
      <c r="AYD33" s="206"/>
      <c r="AYE33" s="206"/>
      <c r="AYF33" s="206"/>
      <c r="AYG33" s="206"/>
      <c r="AYH33" s="206"/>
      <c r="AYI33" s="206"/>
      <c r="AYJ33" s="206"/>
      <c r="AYK33" s="206"/>
      <c r="AYL33" s="206"/>
      <c r="AYM33" s="206"/>
      <c r="AYN33" s="206"/>
      <c r="AYO33" s="206"/>
      <c r="AYP33" s="206"/>
      <c r="AYQ33" s="206"/>
      <c r="AYR33" s="206"/>
      <c r="AYS33" s="206"/>
      <c r="AYT33" s="206"/>
      <c r="AYU33" s="206"/>
      <c r="AYV33" s="206"/>
      <c r="AYW33" s="206"/>
      <c r="AYX33" s="206"/>
      <c r="AYY33" s="206"/>
      <c r="AYZ33" s="206"/>
      <c r="AZA33" s="206"/>
      <c r="AZB33" s="206"/>
      <c r="AZC33" s="206"/>
      <c r="AZD33" s="206"/>
      <c r="AZE33" s="206"/>
      <c r="AZF33" s="206"/>
      <c r="AZG33" s="206"/>
      <c r="AZH33" s="206"/>
      <c r="AZI33" s="206"/>
      <c r="AZJ33" s="206"/>
      <c r="AZK33" s="206"/>
      <c r="AZL33" s="206"/>
      <c r="AZM33" s="206"/>
      <c r="AZN33" s="206"/>
      <c r="AZO33" s="206"/>
      <c r="AZP33" s="206"/>
      <c r="AZQ33" s="206"/>
      <c r="AZR33" s="206"/>
      <c r="AZS33" s="206"/>
      <c r="AZT33" s="206"/>
      <c r="AZU33" s="206"/>
      <c r="AZV33" s="206"/>
      <c r="AZW33" s="206"/>
      <c r="AZX33" s="206"/>
      <c r="AZY33" s="206"/>
      <c r="AZZ33" s="206"/>
      <c r="BAA33" s="206"/>
      <c r="BAB33" s="206"/>
      <c r="BAC33" s="206"/>
      <c r="BAD33" s="206"/>
      <c r="BAE33" s="206"/>
      <c r="BAF33" s="206"/>
      <c r="BAG33" s="206"/>
      <c r="BAH33" s="206"/>
      <c r="BAI33" s="206"/>
      <c r="BAJ33" s="206"/>
      <c r="BAK33" s="206"/>
      <c r="BAL33" s="206"/>
      <c r="BAM33" s="206"/>
      <c r="BAN33" s="206"/>
      <c r="BAO33" s="206"/>
      <c r="BAP33" s="206"/>
      <c r="BAQ33" s="206"/>
      <c r="BAR33" s="206"/>
      <c r="BAS33" s="206"/>
      <c r="BAT33" s="206"/>
      <c r="BAU33" s="206"/>
      <c r="BAV33" s="206"/>
      <c r="BAW33" s="206"/>
      <c r="BAX33" s="206"/>
      <c r="BAY33" s="206"/>
      <c r="BAZ33" s="206"/>
      <c r="BBA33" s="206"/>
      <c r="BBB33" s="206"/>
      <c r="BBC33" s="206"/>
      <c r="BBD33" s="206"/>
      <c r="BBE33" s="206"/>
      <c r="BBF33" s="206"/>
      <c r="BBG33" s="206"/>
      <c r="BBH33" s="206"/>
      <c r="BBI33" s="206"/>
      <c r="BBJ33" s="206"/>
      <c r="BBK33" s="206"/>
      <c r="BBL33" s="206"/>
      <c r="BBM33" s="206"/>
      <c r="BBN33" s="206"/>
      <c r="BBO33" s="206"/>
      <c r="BBP33" s="206"/>
      <c r="BBQ33" s="206"/>
      <c r="BBR33" s="206"/>
      <c r="BBS33" s="206"/>
      <c r="BBT33" s="206"/>
      <c r="BBU33" s="206"/>
      <c r="BBV33" s="206"/>
      <c r="BBW33" s="206"/>
      <c r="BBX33" s="206"/>
      <c r="BBY33" s="206"/>
      <c r="BBZ33" s="206"/>
      <c r="BCA33" s="206"/>
      <c r="BCB33" s="206"/>
      <c r="BCC33" s="206"/>
      <c r="BCD33" s="206"/>
      <c r="BCE33" s="206"/>
      <c r="BCF33" s="206"/>
      <c r="BCG33" s="206"/>
      <c r="BCH33" s="206"/>
      <c r="BCI33" s="206"/>
      <c r="BCJ33" s="206"/>
      <c r="BCK33" s="206"/>
      <c r="BCL33" s="206"/>
      <c r="BCM33" s="206"/>
      <c r="BCN33" s="206"/>
      <c r="BCO33" s="206"/>
      <c r="BCP33" s="206"/>
      <c r="BCQ33" s="206"/>
      <c r="BCR33" s="206"/>
      <c r="BCS33" s="206"/>
      <c r="BCT33" s="206"/>
      <c r="BCU33" s="206"/>
      <c r="BCV33" s="206"/>
      <c r="BCW33" s="206"/>
      <c r="BCX33" s="206"/>
      <c r="BCY33" s="206"/>
      <c r="BCZ33" s="206"/>
      <c r="BDA33" s="206"/>
      <c r="BDB33" s="206"/>
      <c r="BDC33" s="206"/>
      <c r="BDD33" s="206"/>
      <c r="BDE33" s="206"/>
      <c r="BDF33" s="206"/>
      <c r="BDG33" s="206"/>
      <c r="BDH33" s="206"/>
      <c r="BDI33" s="206"/>
      <c r="BDJ33" s="206"/>
      <c r="BDK33" s="206"/>
      <c r="BDL33" s="206"/>
      <c r="BDM33" s="206"/>
      <c r="BDN33" s="206"/>
      <c r="BDO33" s="206"/>
      <c r="BDP33" s="206"/>
      <c r="BDQ33" s="206"/>
      <c r="BDR33" s="206"/>
      <c r="BDS33" s="206"/>
      <c r="BDT33" s="206"/>
      <c r="BDU33" s="206"/>
      <c r="BDV33" s="206"/>
      <c r="BDW33" s="206"/>
      <c r="BDX33" s="206"/>
      <c r="BDY33" s="206"/>
      <c r="BDZ33" s="206"/>
      <c r="BEA33" s="206"/>
      <c r="BEB33" s="206"/>
      <c r="BEC33" s="206"/>
      <c r="BED33" s="206"/>
      <c r="BEE33" s="206"/>
      <c r="BEF33" s="206"/>
      <c r="BEG33" s="206"/>
      <c r="BEH33" s="206"/>
      <c r="BEI33" s="206"/>
      <c r="BEJ33" s="206"/>
      <c r="BEK33" s="206"/>
      <c r="BEL33" s="206"/>
      <c r="BEM33" s="206"/>
      <c r="BEN33" s="206"/>
      <c r="BEO33" s="206"/>
      <c r="BEP33" s="206"/>
      <c r="BEQ33" s="206"/>
      <c r="BER33" s="206"/>
      <c r="BES33" s="206"/>
      <c r="BET33" s="206"/>
      <c r="BEU33" s="206"/>
      <c r="BEV33" s="206"/>
      <c r="BEW33" s="206"/>
      <c r="BEX33" s="206"/>
      <c r="BEY33" s="206"/>
      <c r="BEZ33" s="206"/>
      <c r="BFA33" s="206"/>
      <c r="BFB33" s="206"/>
      <c r="BFC33" s="206"/>
      <c r="BFD33" s="206"/>
      <c r="BFE33" s="206"/>
      <c r="BFF33" s="206"/>
      <c r="BFG33" s="206"/>
      <c r="BFH33" s="206"/>
      <c r="BFI33" s="206"/>
      <c r="BFJ33" s="206"/>
      <c r="BFK33" s="206"/>
      <c r="BFL33" s="206"/>
      <c r="BFM33" s="206"/>
      <c r="BFN33" s="206"/>
      <c r="BFO33" s="206"/>
      <c r="BFP33" s="206"/>
      <c r="BFQ33" s="206"/>
      <c r="BFR33" s="206"/>
      <c r="BFS33" s="206"/>
      <c r="BFT33" s="206"/>
      <c r="BFU33" s="206"/>
      <c r="BFV33" s="206"/>
      <c r="BFW33" s="206"/>
      <c r="BFX33" s="206"/>
      <c r="BFY33" s="206"/>
      <c r="BFZ33" s="206"/>
      <c r="BGA33" s="206"/>
      <c r="BGB33" s="206"/>
      <c r="BGC33" s="206"/>
      <c r="BGD33" s="206"/>
      <c r="BGE33" s="206"/>
      <c r="BGF33" s="206"/>
      <c r="BGG33" s="206"/>
      <c r="BGH33" s="206"/>
      <c r="BGI33" s="206"/>
      <c r="BGJ33" s="206"/>
      <c r="BGK33" s="206"/>
      <c r="BGL33" s="206"/>
      <c r="BGM33" s="206"/>
      <c r="BGN33" s="206"/>
      <c r="BGO33" s="206"/>
      <c r="BGP33" s="206"/>
      <c r="BGQ33" s="206"/>
      <c r="BGR33" s="206"/>
      <c r="BGS33" s="206"/>
      <c r="BGT33" s="206"/>
      <c r="BGU33" s="206"/>
      <c r="BGV33" s="206"/>
      <c r="BGW33" s="206"/>
      <c r="BGX33" s="206"/>
      <c r="BGY33" s="206"/>
      <c r="BGZ33" s="206"/>
      <c r="BHA33" s="206"/>
      <c r="BHB33" s="206"/>
      <c r="BHC33" s="206"/>
      <c r="BHD33" s="206"/>
      <c r="BHE33" s="206"/>
      <c r="BHF33" s="206"/>
      <c r="BHG33" s="206"/>
      <c r="BHH33" s="206"/>
      <c r="BHI33" s="206"/>
      <c r="BHJ33" s="206"/>
      <c r="BHK33" s="206"/>
      <c r="BHL33" s="206"/>
      <c r="BHM33" s="206"/>
      <c r="BHN33" s="206"/>
      <c r="BHO33" s="206"/>
      <c r="BHP33" s="206"/>
      <c r="BHQ33" s="206"/>
      <c r="BHR33" s="206"/>
      <c r="BHS33" s="206"/>
      <c r="BHT33" s="206"/>
      <c r="BHU33" s="206"/>
      <c r="BHV33" s="206"/>
      <c r="BHW33" s="206"/>
      <c r="BHX33" s="206"/>
      <c r="BHY33" s="206"/>
      <c r="BHZ33" s="206"/>
      <c r="BIA33" s="206"/>
      <c r="BIB33" s="206"/>
      <c r="BIC33" s="206"/>
      <c r="BID33" s="206"/>
      <c r="BIE33" s="206"/>
      <c r="BIF33" s="206"/>
      <c r="BIG33" s="206"/>
      <c r="BIH33" s="206"/>
      <c r="BII33" s="206"/>
      <c r="BIJ33" s="206"/>
      <c r="BIK33" s="206"/>
      <c r="BIL33" s="206"/>
      <c r="BIM33" s="206"/>
      <c r="BIN33" s="206"/>
      <c r="BIO33" s="206"/>
      <c r="BIP33" s="206"/>
      <c r="BIQ33" s="206"/>
      <c r="BIR33" s="206"/>
      <c r="BIS33" s="206"/>
      <c r="BIT33" s="206"/>
      <c r="BIU33" s="206"/>
      <c r="BIV33" s="206"/>
      <c r="BIW33" s="206"/>
      <c r="BIX33" s="206"/>
      <c r="BIY33" s="206"/>
      <c r="BIZ33" s="206"/>
      <c r="BJA33" s="206"/>
      <c r="BJB33" s="206"/>
      <c r="BJC33" s="206"/>
      <c r="BJD33" s="206"/>
      <c r="BJE33" s="206"/>
      <c r="BJF33" s="206"/>
      <c r="BJG33" s="206"/>
      <c r="BJH33" s="206"/>
      <c r="BJI33" s="206"/>
      <c r="BJJ33" s="206"/>
      <c r="BJK33" s="206"/>
      <c r="BJL33" s="206"/>
      <c r="BJM33" s="206"/>
      <c r="BJN33" s="206"/>
      <c r="BJO33" s="206"/>
      <c r="BJP33" s="206"/>
      <c r="BJQ33" s="206"/>
      <c r="BJR33" s="206"/>
      <c r="BJS33" s="206"/>
      <c r="BJT33" s="206"/>
      <c r="BJU33" s="206"/>
      <c r="BJV33" s="206"/>
      <c r="BJW33" s="206"/>
      <c r="BJX33" s="206"/>
      <c r="BJY33" s="206"/>
      <c r="BJZ33" s="206"/>
      <c r="BKA33" s="206"/>
      <c r="BKB33" s="206"/>
      <c r="BKC33" s="206"/>
      <c r="BKD33" s="206"/>
      <c r="BKE33" s="206"/>
      <c r="BKF33" s="206"/>
      <c r="BKG33" s="206"/>
      <c r="BKH33" s="206"/>
      <c r="BKI33" s="206"/>
      <c r="BKJ33" s="206"/>
      <c r="BKK33" s="206"/>
      <c r="BKL33" s="206"/>
      <c r="BKM33" s="206"/>
      <c r="BKN33" s="206"/>
      <c r="BKO33" s="206"/>
      <c r="BKP33" s="206"/>
      <c r="BKQ33" s="206"/>
      <c r="BKR33" s="206"/>
      <c r="BKS33" s="206"/>
      <c r="BKT33" s="206"/>
      <c r="BKU33" s="206"/>
      <c r="BKV33" s="206"/>
      <c r="BKW33" s="206"/>
      <c r="BKX33" s="206"/>
      <c r="BKY33" s="206"/>
      <c r="BKZ33" s="206"/>
      <c r="BLA33" s="206"/>
      <c r="BLB33" s="206"/>
      <c r="BLC33" s="206"/>
      <c r="BLD33" s="206"/>
      <c r="BLE33" s="206"/>
      <c r="BLF33" s="206"/>
      <c r="BLG33" s="206"/>
      <c r="BLH33" s="206"/>
      <c r="BLI33" s="206"/>
      <c r="BLJ33" s="206"/>
      <c r="BLK33" s="206"/>
      <c r="BLL33" s="206"/>
      <c r="BLM33" s="206"/>
      <c r="BLN33" s="206"/>
      <c r="BLO33" s="206"/>
      <c r="BLP33" s="206"/>
      <c r="BLQ33" s="206"/>
      <c r="BLR33" s="206"/>
      <c r="BLS33" s="206"/>
      <c r="BLT33" s="206"/>
      <c r="BLU33" s="206"/>
      <c r="BLV33" s="206"/>
      <c r="BLW33" s="206"/>
      <c r="BLX33" s="206"/>
      <c r="BLY33" s="206"/>
      <c r="BLZ33" s="206"/>
      <c r="BMA33" s="206"/>
      <c r="BMB33" s="206"/>
      <c r="BMC33" s="206"/>
      <c r="BMD33" s="206"/>
      <c r="BME33" s="206"/>
      <c r="BMF33" s="206"/>
      <c r="BMG33" s="206"/>
      <c r="BMH33" s="206"/>
      <c r="BMI33" s="206"/>
      <c r="BMJ33" s="206"/>
      <c r="BMK33" s="206"/>
      <c r="BML33" s="206"/>
      <c r="BMM33" s="206"/>
      <c r="BMN33" s="206"/>
      <c r="BMO33" s="206"/>
      <c r="BMP33" s="206"/>
      <c r="BMQ33" s="206"/>
      <c r="BMR33" s="206"/>
      <c r="BMS33" s="206"/>
      <c r="BMT33" s="206"/>
      <c r="BMU33" s="206"/>
      <c r="BMV33" s="206"/>
      <c r="BMW33" s="206"/>
      <c r="BMX33" s="206"/>
      <c r="BMY33" s="206"/>
      <c r="BMZ33" s="206"/>
      <c r="BNA33" s="206"/>
      <c r="BNB33" s="206"/>
      <c r="BNC33" s="206"/>
      <c r="BND33" s="206"/>
      <c r="BNE33" s="206"/>
      <c r="BNF33" s="206"/>
      <c r="BNG33" s="206"/>
      <c r="BNH33" s="206"/>
      <c r="BNI33" s="206"/>
      <c r="BNJ33" s="206"/>
      <c r="BNK33" s="206"/>
      <c r="BNL33" s="206"/>
      <c r="BNM33" s="206"/>
      <c r="BNN33" s="206"/>
      <c r="BNO33" s="206"/>
      <c r="BNP33" s="206"/>
      <c r="BNQ33" s="206"/>
      <c r="BNR33" s="206"/>
      <c r="BNS33" s="206"/>
      <c r="BNT33" s="206"/>
      <c r="BNU33" s="206"/>
      <c r="BNV33" s="206"/>
      <c r="BNW33" s="206"/>
      <c r="BNX33" s="206"/>
      <c r="BNY33" s="206"/>
      <c r="BNZ33" s="206"/>
      <c r="BOA33" s="206"/>
      <c r="BOB33" s="206"/>
      <c r="BOC33" s="206"/>
      <c r="BOD33" s="206"/>
      <c r="BOE33" s="206"/>
      <c r="BOF33" s="206"/>
      <c r="BOG33" s="206"/>
      <c r="BOH33" s="206"/>
      <c r="BOI33" s="206"/>
      <c r="BOJ33" s="206"/>
      <c r="BOK33" s="206"/>
      <c r="BOL33" s="206"/>
      <c r="BOM33" s="206"/>
      <c r="BON33" s="206"/>
      <c r="BOO33" s="206"/>
      <c r="BOP33" s="206"/>
      <c r="BOQ33" s="206"/>
      <c r="BOR33" s="206"/>
      <c r="BOS33" s="206"/>
      <c r="BOT33" s="206"/>
      <c r="BOU33" s="206"/>
      <c r="BOV33" s="206"/>
      <c r="BOW33" s="206"/>
      <c r="BOX33" s="206"/>
      <c r="BOY33" s="206"/>
      <c r="BOZ33" s="206"/>
      <c r="BPA33" s="206"/>
      <c r="BPB33" s="206"/>
      <c r="BPC33" s="206"/>
      <c r="BPD33" s="206"/>
      <c r="BPE33" s="206"/>
      <c r="BPF33" s="206"/>
      <c r="BPG33" s="206"/>
      <c r="BPH33" s="206"/>
      <c r="BPI33" s="206"/>
      <c r="BPJ33" s="206"/>
      <c r="BPK33" s="206"/>
      <c r="BPL33" s="206"/>
      <c r="BPM33" s="206"/>
      <c r="BPN33" s="206"/>
      <c r="BPO33" s="206"/>
      <c r="BPP33" s="206"/>
      <c r="BPQ33" s="206"/>
      <c r="BPR33" s="206"/>
      <c r="BPS33" s="206"/>
      <c r="BPT33" s="206"/>
      <c r="BPU33" s="206"/>
      <c r="BPV33" s="206"/>
      <c r="BPW33" s="206"/>
      <c r="BPX33" s="206"/>
      <c r="BPY33" s="206"/>
      <c r="BPZ33" s="206"/>
      <c r="BQA33" s="206"/>
      <c r="BQB33" s="206"/>
      <c r="BQC33" s="206"/>
      <c r="BQD33" s="206"/>
      <c r="BQE33" s="206"/>
      <c r="BQF33" s="206"/>
      <c r="BQG33" s="206"/>
      <c r="BQH33" s="206"/>
      <c r="BQI33" s="206"/>
      <c r="BQJ33" s="206"/>
      <c r="BQK33" s="206"/>
      <c r="BQL33" s="206"/>
      <c r="BQM33" s="206"/>
      <c r="BQN33" s="206"/>
      <c r="BQO33" s="206"/>
      <c r="BQP33" s="206"/>
      <c r="BQQ33" s="206"/>
      <c r="BQR33" s="206"/>
      <c r="BQS33" s="206"/>
      <c r="BQT33" s="206"/>
      <c r="BQU33" s="206"/>
      <c r="BQV33" s="206"/>
      <c r="BQW33" s="206"/>
      <c r="BQX33" s="206"/>
      <c r="BQY33" s="206"/>
      <c r="BQZ33" s="206"/>
      <c r="BRA33" s="206"/>
      <c r="BRB33" s="206"/>
      <c r="BRC33" s="206"/>
      <c r="BRD33" s="206"/>
      <c r="BRE33" s="206"/>
      <c r="BRF33" s="206"/>
      <c r="BRG33" s="206"/>
      <c r="BRH33" s="206"/>
      <c r="BRI33" s="206"/>
      <c r="BRJ33" s="206"/>
      <c r="BRK33" s="206"/>
      <c r="BRL33" s="206"/>
      <c r="BRM33" s="206"/>
      <c r="BRN33" s="206"/>
      <c r="BRO33" s="206"/>
      <c r="BRP33" s="206"/>
      <c r="BRQ33" s="206"/>
      <c r="BRR33" s="206"/>
      <c r="BRS33" s="206"/>
      <c r="BRT33" s="206"/>
      <c r="BRU33" s="206"/>
      <c r="BRV33" s="206"/>
      <c r="BRW33" s="206"/>
      <c r="BRX33" s="206"/>
      <c r="BRY33" s="206"/>
      <c r="BRZ33" s="206"/>
      <c r="BSA33" s="206"/>
      <c r="BSB33" s="206"/>
      <c r="BSC33" s="206"/>
      <c r="BSD33" s="206"/>
      <c r="BSE33" s="206"/>
      <c r="BSF33" s="206"/>
      <c r="BSG33" s="206"/>
      <c r="BSH33" s="206"/>
      <c r="BSI33" s="206"/>
      <c r="BSJ33" s="206"/>
      <c r="BSK33" s="206"/>
      <c r="BSL33" s="206"/>
      <c r="BSM33" s="206"/>
      <c r="BSN33" s="206"/>
      <c r="BSO33" s="206"/>
      <c r="BSP33" s="206"/>
      <c r="BSQ33" s="206"/>
      <c r="BSR33" s="206"/>
      <c r="BSS33" s="206"/>
      <c r="BST33" s="206"/>
      <c r="BSU33" s="206"/>
      <c r="BSV33" s="206"/>
      <c r="BSW33" s="206"/>
      <c r="BSX33" s="206"/>
      <c r="BSY33" s="206"/>
      <c r="BSZ33" s="206"/>
      <c r="BTA33" s="206"/>
      <c r="BTB33" s="206"/>
      <c r="BTC33" s="206"/>
      <c r="BTD33" s="206"/>
      <c r="BTE33" s="206"/>
      <c r="BTF33" s="206"/>
      <c r="BTG33" s="206"/>
      <c r="BTH33" s="206"/>
      <c r="BTI33" s="206"/>
      <c r="BTJ33" s="206"/>
      <c r="BTK33" s="206"/>
      <c r="BTL33" s="206"/>
      <c r="BTM33" s="206"/>
      <c r="BTN33" s="206"/>
      <c r="BTO33" s="206"/>
      <c r="BTP33" s="206"/>
      <c r="BTQ33" s="206"/>
      <c r="BTR33" s="206"/>
      <c r="BTS33" s="206"/>
      <c r="BTT33" s="206"/>
      <c r="BTU33" s="206"/>
      <c r="BTV33" s="206"/>
      <c r="BTW33" s="206"/>
      <c r="BTX33" s="206"/>
      <c r="BTY33" s="206"/>
      <c r="BTZ33" s="206"/>
      <c r="BUA33" s="206"/>
      <c r="BUB33" s="206"/>
      <c r="BUC33" s="206"/>
      <c r="BUD33" s="206"/>
      <c r="BUE33" s="206"/>
      <c r="BUF33" s="206"/>
      <c r="BUG33" s="206"/>
      <c r="BUH33" s="206"/>
      <c r="BUI33" s="206"/>
      <c r="BUJ33" s="206"/>
      <c r="BUK33" s="206"/>
      <c r="BUL33" s="206"/>
      <c r="BUM33" s="206"/>
      <c r="BUN33" s="206"/>
      <c r="BUO33" s="206"/>
      <c r="BUP33" s="206"/>
      <c r="BUQ33" s="206"/>
      <c r="BUR33" s="206"/>
      <c r="BUS33" s="206"/>
      <c r="BUT33" s="206"/>
      <c r="BUU33" s="206"/>
      <c r="BUV33" s="206"/>
      <c r="BUW33" s="206"/>
      <c r="BUX33" s="206"/>
      <c r="BUY33" s="206"/>
      <c r="BUZ33" s="206"/>
      <c r="BVA33" s="206"/>
      <c r="BVB33" s="206"/>
      <c r="BVC33" s="206"/>
      <c r="BVD33" s="206"/>
      <c r="BVE33" s="206"/>
      <c r="BVF33" s="206"/>
      <c r="BVG33" s="206"/>
      <c r="BVH33" s="206"/>
      <c r="BVI33" s="206"/>
      <c r="BVJ33" s="206"/>
      <c r="BVK33" s="206"/>
      <c r="BVL33" s="206"/>
      <c r="BVM33" s="206"/>
      <c r="BVN33" s="206"/>
      <c r="BVO33" s="206"/>
      <c r="BVP33" s="206"/>
      <c r="BVQ33" s="206"/>
      <c r="BVR33" s="206"/>
      <c r="BVS33" s="206"/>
      <c r="BVT33" s="206"/>
      <c r="BVU33" s="206"/>
      <c r="BVV33" s="206"/>
      <c r="BVW33" s="206"/>
      <c r="BVX33" s="206"/>
      <c r="BVY33" s="206"/>
      <c r="BVZ33" s="206"/>
      <c r="BWA33" s="206"/>
      <c r="BWB33" s="206"/>
      <c r="BWC33" s="206"/>
      <c r="BWD33" s="206"/>
      <c r="BWE33" s="206"/>
      <c r="BWF33" s="206"/>
      <c r="BWG33" s="206"/>
      <c r="BWH33" s="206"/>
      <c r="BWI33" s="206"/>
      <c r="BWJ33" s="206"/>
      <c r="BWK33" s="206"/>
      <c r="BWL33" s="206"/>
      <c r="BWM33" s="206"/>
      <c r="BWN33" s="206"/>
      <c r="BWO33" s="206"/>
      <c r="BWP33" s="206"/>
      <c r="BWQ33" s="206"/>
      <c r="BWR33" s="206"/>
      <c r="BWS33" s="206"/>
      <c r="BWT33" s="206"/>
      <c r="BWU33" s="206"/>
      <c r="BWV33" s="206"/>
      <c r="BWW33" s="206"/>
      <c r="BWX33" s="206"/>
      <c r="BWY33" s="206"/>
      <c r="BWZ33" s="206"/>
      <c r="BXA33" s="206"/>
      <c r="BXB33" s="206"/>
      <c r="BXC33" s="206"/>
      <c r="BXD33" s="206"/>
      <c r="BXE33" s="206"/>
      <c r="BXF33" s="206"/>
      <c r="BXG33" s="206"/>
      <c r="BXH33" s="206"/>
      <c r="BXI33" s="206"/>
      <c r="BXJ33" s="206"/>
      <c r="BXK33" s="206"/>
      <c r="BXL33" s="206"/>
      <c r="BXM33" s="206"/>
      <c r="BXN33" s="206"/>
      <c r="BXO33" s="206"/>
      <c r="BXP33" s="206"/>
      <c r="BXQ33" s="206"/>
      <c r="BXR33" s="206"/>
      <c r="BXS33" s="206"/>
      <c r="BXT33" s="206"/>
      <c r="BXU33" s="206"/>
      <c r="BXV33" s="206"/>
      <c r="BXW33" s="206"/>
      <c r="BXX33" s="206"/>
      <c r="BXY33" s="206"/>
      <c r="BXZ33" s="206"/>
      <c r="BYA33" s="206"/>
      <c r="BYB33" s="206"/>
      <c r="BYC33" s="206"/>
      <c r="BYD33" s="206"/>
      <c r="BYE33" s="206"/>
      <c r="BYF33" s="206"/>
      <c r="BYG33" s="206"/>
      <c r="BYH33" s="206"/>
      <c r="BYI33" s="206"/>
      <c r="BYJ33" s="206"/>
      <c r="BYK33" s="206"/>
      <c r="BYL33" s="206"/>
      <c r="BYM33" s="206"/>
      <c r="BYN33" s="206"/>
      <c r="BYO33" s="206"/>
      <c r="BYP33" s="206"/>
      <c r="BYQ33" s="206"/>
      <c r="BYR33" s="206"/>
      <c r="BYS33" s="206"/>
      <c r="BYT33" s="206"/>
      <c r="BYU33" s="206"/>
      <c r="BYV33" s="206"/>
      <c r="BYW33" s="206"/>
      <c r="BYX33" s="206"/>
      <c r="BYY33" s="206"/>
      <c r="BYZ33" s="206"/>
      <c r="BZA33" s="206"/>
      <c r="BZB33" s="206"/>
      <c r="BZC33" s="206"/>
      <c r="BZD33" s="206"/>
      <c r="BZE33" s="206"/>
      <c r="BZF33" s="206"/>
      <c r="BZG33" s="206"/>
      <c r="BZH33" s="206"/>
      <c r="BZI33" s="206"/>
      <c r="BZJ33" s="206"/>
      <c r="BZK33" s="206"/>
      <c r="BZL33" s="206"/>
      <c r="BZM33" s="206"/>
      <c r="BZN33" s="206"/>
      <c r="BZO33" s="206"/>
      <c r="BZP33" s="206"/>
      <c r="BZQ33" s="206"/>
      <c r="BZR33" s="206"/>
      <c r="BZS33" s="206"/>
      <c r="BZT33" s="206"/>
      <c r="BZU33" s="206"/>
      <c r="BZV33" s="206"/>
      <c r="BZW33" s="206"/>
      <c r="BZX33" s="206"/>
      <c r="BZY33" s="206"/>
      <c r="BZZ33" s="206"/>
      <c r="CAA33" s="206"/>
      <c r="CAB33" s="206"/>
      <c r="CAC33" s="206"/>
      <c r="CAD33" s="206"/>
      <c r="CAE33" s="206"/>
      <c r="CAF33" s="206"/>
      <c r="CAG33" s="206"/>
      <c r="CAH33" s="206"/>
      <c r="CAI33" s="206"/>
      <c r="CAJ33" s="206"/>
      <c r="CAK33" s="206"/>
      <c r="CAL33" s="206"/>
      <c r="CAM33" s="206"/>
      <c r="CAN33" s="206"/>
      <c r="CAO33" s="206"/>
      <c r="CAP33" s="206"/>
      <c r="CAQ33" s="206"/>
      <c r="CAR33" s="206"/>
      <c r="CAS33" s="206"/>
      <c r="CAT33" s="206"/>
      <c r="CAU33" s="206"/>
      <c r="CAV33" s="206"/>
      <c r="CAW33" s="206"/>
      <c r="CAX33" s="206"/>
      <c r="CAY33" s="206"/>
      <c r="CAZ33" s="206"/>
      <c r="CBA33" s="206"/>
      <c r="CBB33" s="206"/>
      <c r="CBC33" s="206"/>
      <c r="CBD33" s="206"/>
      <c r="CBE33" s="206"/>
      <c r="CBF33" s="206"/>
      <c r="CBG33" s="206"/>
      <c r="CBH33" s="206"/>
      <c r="CBI33" s="206"/>
      <c r="CBJ33" s="206"/>
      <c r="CBK33" s="206"/>
      <c r="CBL33" s="206"/>
      <c r="CBM33" s="206"/>
      <c r="CBN33" s="206"/>
      <c r="CBO33" s="206"/>
      <c r="CBP33" s="206"/>
      <c r="CBQ33" s="206"/>
      <c r="CBR33" s="206"/>
      <c r="CBS33" s="206"/>
      <c r="CBT33" s="206"/>
      <c r="CBU33" s="206"/>
      <c r="CBV33" s="206"/>
      <c r="CBW33" s="206"/>
      <c r="CBX33" s="206"/>
      <c r="CBY33" s="206"/>
      <c r="CBZ33" s="206"/>
      <c r="CCA33" s="206"/>
      <c r="CCB33" s="206"/>
      <c r="CCC33" s="206"/>
      <c r="CCD33" s="206"/>
      <c r="CCE33" s="206"/>
      <c r="CCF33" s="206"/>
      <c r="CCG33" s="206"/>
      <c r="CCH33" s="206"/>
      <c r="CCI33" s="206"/>
      <c r="CCJ33" s="206"/>
      <c r="CCK33" s="206"/>
      <c r="CCL33" s="206"/>
      <c r="CCM33" s="206"/>
      <c r="CCN33" s="206"/>
      <c r="CCO33" s="206"/>
      <c r="CCP33" s="206"/>
      <c r="CCQ33" s="206"/>
      <c r="CCR33" s="206"/>
      <c r="CCS33" s="206"/>
      <c r="CCT33" s="206"/>
      <c r="CCU33" s="206"/>
      <c r="CCV33" s="206"/>
      <c r="CCW33" s="206"/>
      <c r="CCX33" s="206"/>
      <c r="CCY33" s="206"/>
      <c r="CCZ33" s="206"/>
      <c r="CDA33" s="206"/>
      <c r="CDB33" s="206"/>
      <c r="CDC33" s="206"/>
      <c r="CDD33" s="206"/>
      <c r="CDE33" s="206"/>
      <c r="CDF33" s="206"/>
      <c r="CDG33" s="206"/>
      <c r="CDH33" s="206"/>
      <c r="CDI33" s="206"/>
      <c r="CDJ33" s="206"/>
      <c r="CDK33" s="206"/>
      <c r="CDL33" s="206"/>
      <c r="CDM33" s="206"/>
      <c r="CDN33" s="206"/>
      <c r="CDO33" s="206"/>
      <c r="CDP33" s="206"/>
      <c r="CDQ33" s="206"/>
      <c r="CDR33" s="206"/>
      <c r="CDS33" s="206"/>
      <c r="CDT33" s="206"/>
      <c r="CDU33" s="206"/>
      <c r="CDV33" s="206"/>
      <c r="CDW33" s="206"/>
      <c r="CDX33" s="206"/>
      <c r="CDY33" s="206"/>
      <c r="CDZ33" s="206"/>
      <c r="CEA33" s="206"/>
      <c r="CEB33" s="206"/>
      <c r="CEC33" s="206"/>
      <c r="CED33" s="206"/>
      <c r="CEE33" s="206"/>
      <c r="CEF33" s="206"/>
      <c r="CEG33" s="206"/>
      <c r="CEH33" s="206"/>
      <c r="CEI33" s="206"/>
      <c r="CEJ33" s="206"/>
      <c r="CEK33" s="206"/>
      <c r="CEL33" s="206"/>
      <c r="CEM33" s="206"/>
      <c r="CEN33" s="206"/>
      <c r="CEO33" s="206"/>
      <c r="CEP33" s="206"/>
      <c r="CEQ33" s="206"/>
      <c r="CER33" s="206"/>
      <c r="CES33" s="206"/>
      <c r="CET33" s="206"/>
      <c r="CEU33" s="206"/>
      <c r="CEV33" s="206"/>
      <c r="CEW33" s="206"/>
      <c r="CEX33" s="206"/>
      <c r="CEY33" s="206"/>
      <c r="CEZ33" s="206"/>
      <c r="CFA33" s="206"/>
      <c r="CFB33" s="206"/>
      <c r="CFC33" s="206"/>
      <c r="CFD33" s="206"/>
      <c r="CFE33" s="206"/>
      <c r="CFF33" s="206"/>
      <c r="CFG33" s="206"/>
      <c r="CFH33" s="206"/>
      <c r="CFI33" s="206"/>
      <c r="CFJ33" s="206"/>
      <c r="CFK33" s="206"/>
      <c r="CFL33" s="206"/>
      <c r="CFM33" s="206"/>
      <c r="CFN33" s="206"/>
      <c r="CFO33" s="206"/>
      <c r="CFP33" s="206"/>
      <c r="CFQ33" s="206"/>
      <c r="CFR33" s="206"/>
      <c r="CFS33" s="206"/>
      <c r="CFT33" s="206"/>
      <c r="CFU33" s="206"/>
      <c r="CFV33" s="206"/>
      <c r="CFW33" s="206"/>
      <c r="CFX33" s="206"/>
      <c r="CFY33" s="206"/>
      <c r="CFZ33" s="206"/>
      <c r="CGA33" s="206"/>
      <c r="CGB33" s="206"/>
      <c r="CGC33" s="206"/>
      <c r="CGD33" s="206"/>
      <c r="CGE33" s="206"/>
      <c r="CGF33" s="206"/>
      <c r="CGG33" s="206"/>
      <c r="CGH33" s="206"/>
      <c r="CGI33" s="206"/>
      <c r="CGJ33" s="206"/>
      <c r="CGK33" s="206"/>
      <c r="CGL33" s="206"/>
      <c r="CGM33" s="206"/>
      <c r="CGN33" s="206"/>
      <c r="CGO33" s="206"/>
      <c r="CGP33" s="206"/>
      <c r="CGQ33" s="206"/>
      <c r="CGR33" s="206"/>
      <c r="CGS33" s="206"/>
      <c r="CGT33" s="206"/>
      <c r="CGU33" s="206"/>
      <c r="CGV33" s="206"/>
      <c r="CGW33" s="206"/>
      <c r="CGX33" s="206"/>
      <c r="CGY33" s="206"/>
      <c r="CGZ33" s="206"/>
      <c r="CHA33" s="206"/>
      <c r="CHB33" s="206"/>
      <c r="CHC33" s="206"/>
      <c r="CHD33" s="206"/>
      <c r="CHE33" s="206"/>
      <c r="CHF33" s="206"/>
      <c r="CHG33" s="206"/>
      <c r="CHH33" s="206"/>
      <c r="CHI33" s="206"/>
      <c r="CHJ33" s="206"/>
      <c r="CHK33" s="206"/>
      <c r="CHL33" s="206"/>
      <c r="CHM33" s="206"/>
      <c r="CHN33" s="206"/>
      <c r="CHO33" s="206"/>
      <c r="CHP33" s="206"/>
      <c r="CHQ33" s="206"/>
      <c r="CHR33" s="206"/>
      <c r="CHS33" s="206"/>
      <c r="CHT33" s="206"/>
      <c r="CHU33" s="206"/>
      <c r="CHV33" s="206"/>
      <c r="CHW33" s="206"/>
      <c r="CHX33" s="206"/>
      <c r="CHY33" s="206"/>
      <c r="CHZ33" s="206"/>
      <c r="CIA33" s="206"/>
      <c r="CIB33" s="206"/>
      <c r="CIC33" s="206"/>
      <c r="CID33" s="206"/>
      <c r="CIE33" s="206"/>
      <c r="CIF33" s="206"/>
      <c r="CIG33" s="206"/>
      <c r="CIH33" s="206"/>
      <c r="CII33" s="206"/>
      <c r="CIJ33" s="206"/>
      <c r="CIK33" s="206"/>
      <c r="CIL33" s="206"/>
      <c r="CIM33" s="206"/>
      <c r="CIN33" s="206"/>
      <c r="CIO33" s="206"/>
      <c r="CIP33" s="206"/>
      <c r="CIQ33" s="206"/>
      <c r="CIR33" s="206"/>
      <c r="CIS33" s="206"/>
      <c r="CIT33" s="206"/>
      <c r="CIU33" s="206"/>
      <c r="CIV33" s="206"/>
      <c r="CIW33" s="206"/>
      <c r="CIX33" s="206"/>
      <c r="CIY33" s="206"/>
      <c r="CIZ33" s="206"/>
      <c r="CJA33" s="206"/>
      <c r="CJB33" s="206"/>
      <c r="CJC33" s="206"/>
      <c r="CJD33" s="206"/>
      <c r="CJE33" s="206"/>
      <c r="CJF33" s="206"/>
      <c r="CJG33" s="206"/>
      <c r="CJH33" s="206"/>
      <c r="CJI33" s="206"/>
      <c r="CJJ33" s="206"/>
      <c r="CJK33" s="206"/>
      <c r="CJL33" s="206"/>
      <c r="CJM33" s="206"/>
      <c r="CJN33" s="206"/>
      <c r="CJO33" s="206"/>
      <c r="CJP33" s="206"/>
      <c r="CJQ33" s="206"/>
      <c r="CJR33" s="206"/>
      <c r="CJS33" s="206"/>
      <c r="CJT33" s="206"/>
      <c r="CJU33" s="206"/>
      <c r="CJV33" s="206"/>
      <c r="CJW33" s="206"/>
      <c r="CJX33" s="206"/>
      <c r="CJY33" s="206"/>
      <c r="CJZ33" s="206"/>
      <c r="CKA33" s="206"/>
      <c r="CKB33" s="206"/>
      <c r="CKC33" s="206"/>
      <c r="CKD33" s="206"/>
      <c r="CKE33" s="206"/>
      <c r="CKF33" s="206"/>
      <c r="CKG33" s="206"/>
      <c r="CKH33" s="206"/>
      <c r="CKI33" s="206"/>
      <c r="CKJ33" s="206"/>
      <c r="CKK33" s="206"/>
      <c r="CKL33" s="206"/>
      <c r="CKM33" s="206"/>
      <c r="CKN33" s="206"/>
      <c r="CKO33" s="206"/>
      <c r="CKP33" s="206"/>
      <c r="CKQ33" s="206"/>
      <c r="CKR33" s="206"/>
      <c r="CKS33" s="206"/>
      <c r="CKT33" s="206"/>
      <c r="CKU33" s="206"/>
      <c r="CKV33" s="206"/>
      <c r="CKW33" s="206"/>
      <c r="CKX33" s="206"/>
      <c r="CKY33" s="206"/>
      <c r="CKZ33" s="206"/>
      <c r="CLA33" s="206"/>
      <c r="CLB33" s="206"/>
      <c r="CLC33" s="206"/>
      <c r="CLD33" s="206"/>
      <c r="CLE33" s="206"/>
      <c r="CLF33" s="206"/>
      <c r="CLG33" s="206"/>
      <c r="CLH33" s="206"/>
      <c r="CLI33" s="206"/>
      <c r="CLJ33" s="206"/>
      <c r="CLK33" s="206"/>
      <c r="CLL33" s="206"/>
      <c r="CLM33" s="206"/>
      <c r="CLN33" s="206"/>
      <c r="CLO33" s="206"/>
      <c r="CLP33" s="206"/>
      <c r="CLQ33" s="206"/>
      <c r="CLR33" s="206"/>
      <c r="CLS33" s="206"/>
      <c r="CLT33" s="206"/>
      <c r="CLU33" s="206"/>
      <c r="CLV33" s="206"/>
      <c r="CLW33" s="206"/>
      <c r="CLX33" s="206"/>
      <c r="CLY33" s="206"/>
      <c r="CLZ33" s="206"/>
      <c r="CMA33" s="206"/>
      <c r="CMB33" s="206"/>
      <c r="CMC33" s="206"/>
      <c r="CMD33" s="206"/>
      <c r="CME33" s="206"/>
      <c r="CMF33" s="206"/>
      <c r="CMG33" s="206"/>
      <c r="CMH33" s="206"/>
      <c r="CMI33" s="206"/>
      <c r="CMJ33" s="206"/>
      <c r="CMK33" s="206"/>
      <c r="CML33" s="206"/>
      <c r="CMM33" s="206"/>
      <c r="CMN33" s="206"/>
      <c r="CMO33" s="206"/>
      <c r="CMP33" s="206"/>
      <c r="CMQ33" s="206"/>
      <c r="CMR33" s="206"/>
      <c r="CMS33" s="206"/>
      <c r="CMT33" s="206"/>
      <c r="CMU33" s="206"/>
      <c r="CMV33" s="206"/>
      <c r="CMW33" s="206"/>
      <c r="CMX33" s="206"/>
      <c r="CMY33" s="206"/>
      <c r="CMZ33" s="206"/>
      <c r="CNA33" s="206"/>
      <c r="CNB33" s="206"/>
      <c r="CNC33" s="206"/>
      <c r="CND33" s="206"/>
      <c r="CNE33" s="206"/>
      <c r="CNF33" s="206"/>
      <c r="CNG33" s="206"/>
      <c r="CNH33" s="206"/>
      <c r="CNI33" s="206"/>
      <c r="CNJ33" s="206"/>
      <c r="CNK33" s="206"/>
      <c r="CNL33" s="206"/>
      <c r="CNM33" s="206"/>
      <c r="CNN33" s="206"/>
      <c r="CNO33" s="206"/>
      <c r="CNP33" s="206"/>
      <c r="CNQ33" s="206"/>
      <c r="CNR33" s="206"/>
      <c r="CNS33" s="206"/>
      <c r="CNT33" s="206"/>
      <c r="CNU33" s="206"/>
      <c r="CNV33" s="206"/>
      <c r="CNW33" s="206"/>
      <c r="CNX33" s="206"/>
      <c r="CNY33" s="206"/>
      <c r="CNZ33" s="206"/>
      <c r="COA33" s="206"/>
      <c r="COB33" s="206"/>
      <c r="COC33" s="206"/>
      <c r="COD33" s="206"/>
      <c r="COE33" s="206"/>
      <c r="COF33" s="206"/>
      <c r="COG33" s="206"/>
      <c r="COH33" s="206"/>
      <c r="COI33" s="206"/>
      <c r="COJ33" s="206"/>
      <c r="COK33" s="206"/>
      <c r="COL33" s="206"/>
      <c r="COM33" s="206"/>
      <c r="CON33" s="206"/>
      <c r="COO33" s="206"/>
      <c r="COP33" s="206"/>
      <c r="COQ33" s="206"/>
      <c r="COR33" s="206"/>
      <c r="COS33" s="206"/>
      <c r="COT33" s="206"/>
      <c r="COU33" s="206"/>
      <c r="COV33" s="206"/>
      <c r="COW33" s="206"/>
      <c r="COX33" s="206"/>
      <c r="COY33" s="206"/>
      <c r="COZ33" s="206"/>
      <c r="CPA33" s="206"/>
      <c r="CPB33" s="206"/>
      <c r="CPC33" s="206"/>
      <c r="CPD33" s="206"/>
      <c r="CPE33" s="206"/>
      <c r="CPF33" s="206"/>
      <c r="CPG33" s="206"/>
      <c r="CPH33" s="206"/>
      <c r="CPI33" s="206"/>
      <c r="CPJ33" s="206"/>
      <c r="CPK33" s="206"/>
      <c r="CPL33" s="206"/>
      <c r="CPM33" s="206"/>
      <c r="CPN33" s="206"/>
      <c r="CPO33" s="206"/>
      <c r="CPP33" s="206"/>
      <c r="CPQ33" s="206"/>
      <c r="CPR33" s="206"/>
      <c r="CPS33" s="206"/>
      <c r="CPT33" s="206"/>
      <c r="CPU33" s="206"/>
      <c r="CPV33" s="206"/>
      <c r="CPW33" s="206"/>
      <c r="CPX33" s="206"/>
      <c r="CPY33" s="206"/>
      <c r="CPZ33" s="206"/>
      <c r="CQA33" s="206"/>
      <c r="CQB33" s="206"/>
      <c r="CQC33" s="206"/>
      <c r="CQD33" s="206"/>
      <c r="CQE33" s="206"/>
      <c r="CQF33" s="206"/>
      <c r="CQG33" s="206"/>
      <c r="CQH33" s="206"/>
      <c r="CQI33" s="206"/>
      <c r="CQJ33" s="206"/>
      <c r="CQK33" s="206"/>
      <c r="CQL33" s="206"/>
      <c r="CQM33" s="206"/>
      <c r="CQN33" s="206"/>
      <c r="CQO33" s="206"/>
      <c r="CQP33" s="206"/>
      <c r="CQQ33" s="206"/>
      <c r="CQR33" s="206"/>
      <c r="CQS33" s="206"/>
      <c r="CQT33" s="206"/>
      <c r="CQU33" s="206"/>
      <c r="CQV33" s="206"/>
      <c r="CQW33" s="206"/>
      <c r="CQX33" s="206"/>
      <c r="CQY33" s="206"/>
      <c r="CQZ33" s="206"/>
      <c r="CRA33" s="206"/>
      <c r="CRB33" s="206"/>
      <c r="CRC33" s="206"/>
      <c r="CRD33" s="206"/>
      <c r="CRE33" s="206"/>
      <c r="CRF33" s="206"/>
      <c r="CRG33" s="206"/>
      <c r="CRH33" s="206"/>
      <c r="CRI33" s="206"/>
      <c r="CRJ33" s="206"/>
      <c r="CRK33" s="206"/>
      <c r="CRL33" s="206"/>
      <c r="CRM33" s="206"/>
      <c r="CRN33" s="206"/>
      <c r="CRO33" s="206"/>
      <c r="CRP33" s="206"/>
      <c r="CRQ33" s="206"/>
      <c r="CRR33" s="206"/>
      <c r="CRS33" s="206"/>
      <c r="CRT33" s="206"/>
      <c r="CRU33" s="206"/>
      <c r="CRV33" s="206"/>
      <c r="CRW33" s="206"/>
      <c r="CRX33" s="206"/>
      <c r="CRY33" s="206"/>
      <c r="CRZ33" s="206"/>
      <c r="CSA33" s="206"/>
      <c r="CSB33" s="206"/>
      <c r="CSC33" s="206"/>
      <c r="CSD33" s="206"/>
      <c r="CSE33" s="206"/>
      <c r="CSF33" s="206"/>
      <c r="CSG33" s="206"/>
      <c r="CSH33" s="206"/>
      <c r="CSI33" s="206"/>
      <c r="CSJ33" s="206"/>
      <c r="CSK33" s="206"/>
      <c r="CSL33" s="206"/>
      <c r="CSM33" s="206"/>
      <c r="CSN33" s="206"/>
      <c r="CSO33" s="206"/>
      <c r="CSP33" s="206"/>
      <c r="CSQ33" s="206"/>
      <c r="CSR33" s="206"/>
      <c r="CSS33" s="206"/>
      <c r="CST33" s="206"/>
      <c r="CSU33" s="206"/>
      <c r="CSV33" s="206"/>
      <c r="CSW33" s="206"/>
      <c r="CSX33" s="206"/>
      <c r="CSY33" s="206"/>
      <c r="CSZ33" s="206"/>
      <c r="CTA33" s="206"/>
      <c r="CTB33" s="206"/>
      <c r="CTC33" s="206"/>
      <c r="CTD33" s="206"/>
      <c r="CTE33" s="206"/>
      <c r="CTF33" s="206"/>
      <c r="CTG33" s="206"/>
      <c r="CTH33" s="206"/>
      <c r="CTI33" s="206"/>
      <c r="CTJ33" s="206"/>
      <c r="CTK33" s="206"/>
      <c r="CTL33" s="206"/>
      <c r="CTM33" s="206"/>
      <c r="CTN33" s="206"/>
      <c r="CTO33" s="206"/>
      <c r="CTP33" s="206"/>
      <c r="CTQ33" s="206"/>
      <c r="CTR33" s="206"/>
      <c r="CTS33" s="206"/>
      <c r="CTT33" s="206"/>
      <c r="CTU33" s="206"/>
      <c r="CTV33" s="206"/>
      <c r="CTW33" s="206"/>
      <c r="CTX33" s="206"/>
      <c r="CTY33" s="206"/>
      <c r="CTZ33" s="206"/>
      <c r="CUA33" s="206"/>
      <c r="CUB33" s="206"/>
      <c r="CUC33" s="206"/>
      <c r="CUD33" s="206"/>
      <c r="CUE33" s="206"/>
      <c r="CUF33" s="206"/>
      <c r="CUG33" s="206"/>
      <c r="CUH33" s="206"/>
      <c r="CUI33" s="206"/>
      <c r="CUJ33" s="206"/>
      <c r="CUK33" s="206"/>
      <c r="CUL33" s="206"/>
      <c r="CUM33" s="206"/>
      <c r="CUN33" s="206"/>
      <c r="CUO33" s="206"/>
      <c r="CUP33" s="206"/>
      <c r="CUQ33" s="206"/>
      <c r="CUR33" s="206"/>
      <c r="CUS33" s="206"/>
      <c r="CUT33" s="206"/>
      <c r="CUU33" s="206"/>
      <c r="CUV33" s="206"/>
      <c r="CUW33" s="206"/>
      <c r="CUX33" s="206"/>
      <c r="CUY33" s="206"/>
      <c r="CUZ33" s="206"/>
      <c r="CVA33" s="206"/>
      <c r="CVB33" s="206"/>
      <c r="CVC33" s="206"/>
      <c r="CVD33" s="206"/>
      <c r="CVE33" s="206"/>
      <c r="CVF33" s="206"/>
      <c r="CVG33" s="206"/>
      <c r="CVH33" s="206"/>
      <c r="CVI33" s="206"/>
      <c r="CVJ33" s="206"/>
      <c r="CVK33" s="206"/>
      <c r="CVL33" s="206"/>
      <c r="CVM33" s="206"/>
      <c r="CVN33" s="206"/>
      <c r="CVO33" s="206"/>
      <c r="CVP33" s="206"/>
      <c r="CVQ33" s="206"/>
      <c r="CVR33" s="206"/>
      <c r="CVS33" s="206"/>
      <c r="CVT33" s="206"/>
      <c r="CVU33" s="206"/>
      <c r="CVV33" s="206"/>
      <c r="CVW33" s="206"/>
      <c r="CVX33" s="206"/>
      <c r="CVY33" s="206"/>
      <c r="CVZ33" s="206"/>
      <c r="CWA33" s="206"/>
      <c r="CWB33" s="206"/>
      <c r="CWC33" s="206"/>
      <c r="CWD33" s="206"/>
      <c r="CWE33" s="206"/>
      <c r="CWF33" s="206"/>
      <c r="CWG33" s="206"/>
      <c r="CWH33" s="206"/>
      <c r="CWI33" s="206"/>
      <c r="CWJ33" s="206"/>
      <c r="CWK33" s="206"/>
      <c r="CWL33" s="206"/>
      <c r="CWM33" s="206"/>
      <c r="CWN33" s="206"/>
      <c r="CWO33" s="206"/>
      <c r="CWP33" s="206"/>
      <c r="CWQ33" s="206"/>
      <c r="CWR33" s="206"/>
      <c r="CWS33" s="206"/>
      <c r="CWT33" s="206"/>
      <c r="CWU33" s="206"/>
      <c r="CWV33" s="206"/>
      <c r="CWW33" s="206"/>
      <c r="CWX33" s="206"/>
      <c r="CWY33" s="206"/>
      <c r="CWZ33" s="206"/>
      <c r="CXA33" s="206"/>
      <c r="CXB33" s="206"/>
      <c r="CXC33" s="206"/>
      <c r="CXD33" s="206"/>
      <c r="CXE33" s="206"/>
      <c r="CXF33" s="206"/>
      <c r="CXG33" s="206"/>
      <c r="CXH33" s="206"/>
      <c r="CXI33" s="206"/>
      <c r="CXJ33" s="206"/>
      <c r="CXK33" s="206"/>
      <c r="CXL33" s="206"/>
      <c r="CXM33" s="206"/>
      <c r="CXN33" s="206"/>
      <c r="CXO33" s="206"/>
      <c r="CXP33" s="206"/>
      <c r="CXQ33" s="206"/>
      <c r="CXR33" s="206"/>
      <c r="CXS33" s="206"/>
      <c r="CXT33" s="206"/>
      <c r="CXU33" s="206"/>
      <c r="CXV33" s="206"/>
      <c r="CXW33" s="206"/>
      <c r="CXX33" s="206"/>
      <c r="CXY33" s="206"/>
      <c r="CXZ33" s="206"/>
      <c r="CYA33" s="206"/>
      <c r="CYB33" s="206"/>
      <c r="CYC33" s="206"/>
      <c r="CYD33" s="206"/>
      <c r="CYE33" s="206"/>
      <c r="CYF33" s="206"/>
      <c r="CYG33" s="206"/>
      <c r="CYH33" s="206"/>
      <c r="CYI33" s="206"/>
      <c r="CYJ33" s="206"/>
      <c r="CYK33" s="206"/>
      <c r="CYL33" s="206"/>
      <c r="CYM33" s="206"/>
      <c r="CYN33" s="206"/>
      <c r="CYO33" s="206"/>
      <c r="CYP33" s="206"/>
      <c r="CYQ33" s="206"/>
      <c r="CYR33" s="206"/>
      <c r="CYS33" s="206"/>
      <c r="CYT33" s="206"/>
      <c r="CYU33" s="206"/>
      <c r="CYV33" s="206"/>
      <c r="CYW33" s="206"/>
      <c r="CYX33" s="206"/>
      <c r="CYY33" s="206"/>
      <c r="CYZ33" s="206"/>
      <c r="CZA33" s="206"/>
      <c r="CZB33" s="206"/>
      <c r="CZC33" s="206"/>
      <c r="CZD33" s="206"/>
      <c r="CZE33" s="206"/>
      <c r="CZF33" s="206"/>
      <c r="CZG33" s="206"/>
      <c r="CZH33" s="206"/>
      <c r="CZI33" s="206"/>
      <c r="CZJ33" s="206"/>
      <c r="CZK33" s="206"/>
      <c r="CZL33" s="206"/>
      <c r="CZM33" s="206"/>
      <c r="CZN33" s="206"/>
      <c r="CZO33" s="206"/>
      <c r="CZP33" s="206"/>
      <c r="CZQ33" s="206"/>
      <c r="CZR33" s="206"/>
      <c r="CZS33" s="206"/>
      <c r="CZT33" s="206"/>
      <c r="CZU33" s="206"/>
      <c r="CZV33" s="206"/>
      <c r="CZW33" s="206"/>
      <c r="CZX33" s="206"/>
      <c r="CZY33" s="206"/>
      <c r="CZZ33" s="206"/>
      <c r="DAA33" s="206"/>
      <c r="DAB33" s="206"/>
      <c r="DAC33" s="206"/>
      <c r="DAD33" s="206"/>
      <c r="DAE33" s="206"/>
      <c r="DAF33" s="206"/>
      <c r="DAG33" s="206"/>
      <c r="DAH33" s="206"/>
      <c r="DAI33" s="206"/>
      <c r="DAJ33" s="206"/>
      <c r="DAK33" s="206"/>
      <c r="DAL33" s="206"/>
      <c r="DAM33" s="206"/>
      <c r="DAN33" s="206"/>
      <c r="DAO33" s="206"/>
      <c r="DAP33" s="206"/>
      <c r="DAQ33" s="206"/>
      <c r="DAR33" s="206"/>
      <c r="DAS33" s="206"/>
      <c r="DAT33" s="206"/>
      <c r="DAU33" s="206"/>
      <c r="DAV33" s="206"/>
      <c r="DAW33" s="206"/>
      <c r="DAX33" s="206"/>
      <c r="DAY33" s="206"/>
      <c r="DAZ33" s="206"/>
      <c r="DBA33" s="206"/>
      <c r="DBB33" s="206"/>
      <c r="DBC33" s="206"/>
      <c r="DBD33" s="206"/>
      <c r="DBE33" s="206"/>
      <c r="DBF33" s="206"/>
      <c r="DBG33" s="206"/>
      <c r="DBH33" s="206"/>
      <c r="DBI33" s="206"/>
      <c r="DBJ33" s="206"/>
      <c r="DBK33" s="206"/>
      <c r="DBL33" s="206"/>
      <c r="DBM33" s="206"/>
      <c r="DBN33" s="206"/>
      <c r="DBO33" s="206"/>
      <c r="DBP33" s="206"/>
      <c r="DBQ33" s="206"/>
      <c r="DBR33" s="206"/>
      <c r="DBS33" s="206"/>
      <c r="DBT33" s="206"/>
      <c r="DBU33" s="206"/>
      <c r="DBV33" s="206"/>
      <c r="DBW33" s="206"/>
      <c r="DBX33" s="206"/>
      <c r="DBY33" s="206"/>
      <c r="DBZ33" s="206"/>
      <c r="DCA33" s="206"/>
      <c r="DCB33" s="206"/>
      <c r="DCC33" s="206"/>
      <c r="DCD33" s="206"/>
      <c r="DCE33" s="206"/>
      <c r="DCF33" s="206"/>
      <c r="DCG33" s="206"/>
      <c r="DCH33" s="206"/>
      <c r="DCI33" s="206"/>
      <c r="DCJ33" s="206"/>
      <c r="DCK33" s="206"/>
      <c r="DCL33" s="206"/>
      <c r="DCM33" s="206"/>
      <c r="DCN33" s="206"/>
      <c r="DCO33" s="206"/>
      <c r="DCP33" s="206"/>
      <c r="DCQ33" s="206"/>
      <c r="DCR33" s="206"/>
      <c r="DCS33" s="206"/>
      <c r="DCT33" s="206"/>
      <c r="DCU33" s="206"/>
      <c r="DCV33" s="206"/>
      <c r="DCW33" s="206"/>
      <c r="DCX33" s="206"/>
      <c r="DCY33" s="206"/>
      <c r="DCZ33" s="206"/>
      <c r="DDA33" s="206"/>
      <c r="DDB33" s="206"/>
      <c r="DDC33" s="206"/>
      <c r="DDD33" s="206"/>
      <c r="DDE33" s="206"/>
      <c r="DDF33" s="206"/>
      <c r="DDG33" s="206"/>
      <c r="DDH33" s="206"/>
      <c r="DDI33" s="206"/>
      <c r="DDJ33" s="206"/>
      <c r="DDK33" s="206"/>
      <c r="DDL33" s="206"/>
      <c r="DDM33" s="206"/>
      <c r="DDN33" s="206"/>
      <c r="DDO33" s="206"/>
      <c r="DDP33" s="206"/>
      <c r="DDQ33" s="206"/>
      <c r="DDR33" s="206"/>
      <c r="DDS33" s="206"/>
      <c r="DDT33" s="206"/>
      <c r="DDU33" s="206"/>
      <c r="DDV33" s="206"/>
      <c r="DDW33" s="206"/>
      <c r="DDX33" s="206"/>
      <c r="DDY33" s="206"/>
      <c r="DDZ33" s="206"/>
      <c r="DEA33" s="206"/>
      <c r="DEB33" s="206"/>
      <c r="DEC33" s="206"/>
      <c r="DED33" s="206"/>
      <c r="DEE33" s="206"/>
      <c r="DEF33" s="206"/>
      <c r="DEG33" s="206"/>
      <c r="DEH33" s="206"/>
      <c r="DEI33" s="206"/>
      <c r="DEJ33" s="206"/>
      <c r="DEK33" s="206"/>
      <c r="DEL33" s="206"/>
      <c r="DEM33" s="206"/>
      <c r="DEN33" s="206"/>
      <c r="DEO33" s="206"/>
      <c r="DEP33" s="206"/>
      <c r="DEQ33" s="206"/>
      <c r="DER33" s="206"/>
      <c r="DES33" s="206"/>
      <c r="DET33" s="206"/>
      <c r="DEU33" s="206"/>
      <c r="DEV33" s="206"/>
      <c r="DEW33" s="206"/>
      <c r="DEX33" s="206"/>
      <c r="DEY33" s="206"/>
      <c r="DEZ33" s="206"/>
      <c r="DFA33" s="206"/>
      <c r="DFB33" s="206"/>
      <c r="DFC33" s="206"/>
      <c r="DFD33" s="206"/>
      <c r="DFE33" s="206"/>
      <c r="DFF33" s="206"/>
      <c r="DFG33" s="206"/>
      <c r="DFH33" s="206"/>
      <c r="DFI33" s="206"/>
      <c r="DFJ33" s="206"/>
      <c r="DFK33" s="206"/>
      <c r="DFL33" s="206"/>
      <c r="DFM33" s="206"/>
      <c r="DFN33" s="206"/>
      <c r="DFO33" s="206"/>
      <c r="DFP33" s="206"/>
      <c r="DFQ33" s="206"/>
      <c r="DFR33" s="206"/>
      <c r="DFS33" s="206"/>
      <c r="DFT33" s="206"/>
      <c r="DFU33" s="206"/>
      <c r="DFV33" s="206"/>
      <c r="DFW33" s="206"/>
      <c r="DFX33" s="206"/>
      <c r="DFY33" s="206"/>
      <c r="DFZ33" s="206"/>
      <c r="DGA33" s="206"/>
      <c r="DGB33" s="206"/>
      <c r="DGC33" s="206"/>
      <c r="DGD33" s="206"/>
      <c r="DGE33" s="206"/>
      <c r="DGF33" s="206"/>
      <c r="DGG33" s="206"/>
      <c r="DGH33" s="206"/>
      <c r="DGI33" s="206"/>
      <c r="DGJ33" s="206"/>
      <c r="DGK33" s="206"/>
      <c r="DGL33" s="206"/>
      <c r="DGM33" s="206"/>
      <c r="DGN33" s="206"/>
      <c r="DGO33" s="206"/>
      <c r="DGP33" s="206"/>
      <c r="DGQ33" s="206"/>
      <c r="DGR33" s="206"/>
      <c r="DGS33" s="206"/>
      <c r="DGT33" s="206"/>
      <c r="DGU33" s="206"/>
      <c r="DGV33" s="206"/>
      <c r="DGW33" s="206"/>
      <c r="DGX33" s="206"/>
      <c r="DGY33" s="206"/>
      <c r="DGZ33" s="206"/>
      <c r="DHA33" s="206"/>
      <c r="DHB33" s="206"/>
      <c r="DHC33" s="206"/>
      <c r="DHD33" s="206"/>
      <c r="DHE33" s="206"/>
      <c r="DHF33" s="206"/>
      <c r="DHG33" s="206"/>
      <c r="DHH33" s="206"/>
      <c r="DHI33" s="206"/>
      <c r="DHJ33" s="206"/>
      <c r="DHK33" s="206"/>
      <c r="DHL33" s="206"/>
      <c r="DHM33" s="206"/>
      <c r="DHN33" s="206"/>
      <c r="DHO33" s="206"/>
      <c r="DHP33" s="206"/>
      <c r="DHQ33" s="206"/>
      <c r="DHR33" s="206"/>
      <c r="DHS33" s="206"/>
      <c r="DHT33" s="206"/>
      <c r="DHU33" s="206"/>
      <c r="DHV33" s="206"/>
      <c r="DHW33" s="206"/>
      <c r="DHX33" s="206"/>
      <c r="DHY33" s="206"/>
      <c r="DHZ33" s="206"/>
      <c r="DIA33" s="206"/>
      <c r="DIB33" s="206"/>
      <c r="DIC33" s="206"/>
      <c r="DID33" s="206"/>
      <c r="DIE33" s="206"/>
      <c r="DIF33" s="206"/>
      <c r="DIG33" s="206"/>
      <c r="DIH33" s="206"/>
      <c r="DII33" s="206"/>
      <c r="DIJ33" s="206"/>
      <c r="DIK33" s="206"/>
      <c r="DIL33" s="206"/>
      <c r="DIM33" s="206"/>
      <c r="DIN33" s="206"/>
      <c r="DIO33" s="206"/>
      <c r="DIP33" s="206"/>
      <c r="DIQ33" s="206"/>
      <c r="DIR33" s="206"/>
      <c r="DIS33" s="206"/>
      <c r="DIT33" s="206"/>
      <c r="DIU33" s="206"/>
      <c r="DIV33" s="206"/>
      <c r="DIW33" s="206"/>
      <c r="DIX33" s="206"/>
      <c r="DIY33" s="206"/>
      <c r="DIZ33" s="206"/>
      <c r="DJA33" s="206"/>
      <c r="DJB33" s="206"/>
      <c r="DJC33" s="206"/>
      <c r="DJD33" s="206"/>
      <c r="DJE33" s="206"/>
      <c r="DJF33" s="206"/>
      <c r="DJG33" s="206"/>
      <c r="DJH33" s="206"/>
      <c r="DJI33" s="206"/>
      <c r="DJJ33" s="206"/>
      <c r="DJK33" s="206"/>
      <c r="DJL33" s="206"/>
      <c r="DJM33" s="206"/>
      <c r="DJN33" s="206"/>
      <c r="DJO33" s="206"/>
      <c r="DJP33" s="206"/>
      <c r="DJQ33" s="206"/>
      <c r="DJR33" s="206"/>
      <c r="DJS33" s="206"/>
      <c r="DJT33" s="206"/>
      <c r="DJU33" s="206"/>
      <c r="DJV33" s="206"/>
      <c r="DJW33" s="206"/>
      <c r="DJX33" s="206"/>
      <c r="DJY33" s="206"/>
      <c r="DJZ33" s="206"/>
      <c r="DKA33" s="206"/>
      <c r="DKB33" s="206"/>
      <c r="DKC33" s="206"/>
      <c r="DKD33" s="206"/>
      <c r="DKE33" s="206"/>
      <c r="DKF33" s="206"/>
      <c r="DKG33" s="206"/>
      <c r="DKH33" s="206"/>
      <c r="DKI33" s="206"/>
      <c r="DKJ33" s="206"/>
      <c r="DKK33" s="206"/>
      <c r="DKL33" s="206"/>
      <c r="DKM33" s="206"/>
      <c r="DKN33" s="206"/>
      <c r="DKO33" s="206"/>
      <c r="DKP33" s="206"/>
      <c r="DKQ33" s="206"/>
      <c r="DKR33" s="206"/>
      <c r="DKS33" s="206"/>
      <c r="DKT33" s="206"/>
      <c r="DKU33" s="206"/>
      <c r="DKV33" s="206"/>
      <c r="DKW33" s="206"/>
      <c r="DKX33" s="206"/>
      <c r="DKY33" s="206"/>
      <c r="DKZ33" s="206"/>
      <c r="DLA33" s="206"/>
      <c r="DLB33" s="206"/>
      <c r="DLC33" s="206"/>
      <c r="DLD33" s="206"/>
      <c r="DLE33" s="206"/>
      <c r="DLF33" s="206"/>
      <c r="DLG33" s="206"/>
      <c r="DLH33" s="206"/>
      <c r="DLI33" s="206"/>
      <c r="DLJ33" s="206"/>
      <c r="DLK33" s="206"/>
      <c r="DLL33" s="206"/>
      <c r="DLM33" s="206"/>
      <c r="DLN33" s="206"/>
      <c r="DLO33" s="206"/>
      <c r="DLP33" s="206"/>
      <c r="DLQ33" s="206"/>
      <c r="DLR33" s="206"/>
      <c r="DLS33" s="206"/>
      <c r="DLT33" s="206"/>
      <c r="DLU33" s="206"/>
      <c r="DLV33" s="206"/>
      <c r="DLW33" s="206"/>
      <c r="DLX33" s="206"/>
      <c r="DLY33" s="206"/>
      <c r="DLZ33" s="206"/>
      <c r="DMA33" s="206"/>
      <c r="DMB33" s="206"/>
      <c r="DMC33" s="206"/>
      <c r="DMD33" s="206"/>
      <c r="DME33" s="206"/>
      <c r="DMF33" s="206"/>
      <c r="DMG33" s="206"/>
      <c r="DMH33" s="206"/>
      <c r="DMI33" s="206"/>
      <c r="DMJ33" s="206"/>
      <c r="DMK33" s="206"/>
      <c r="DML33" s="206"/>
      <c r="DMM33" s="206"/>
      <c r="DMN33" s="206"/>
      <c r="DMO33" s="206"/>
      <c r="DMP33" s="206"/>
      <c r="DMQ33" s="206"/>
      <c r="DMR33" s="206"/>
      <c r="DMS33" s="206"/>
      <c r="DMT33" s="206"/>
      <c r="DMU33" s="206"/>
      <c r="DMV33" s="206"/>
      <c r="DMW33" s="206"/>
      <c r="DMX33" s="206"/>
      <c r="DMY33" s="206"/>
      <c r="DMZ33" s="206"/>
      <c r="DNA33" s="206"/>
      <c r="DNB33" s="206"/>
      <c r="DNC33" s="206"/>
      <c r="DND33" s="206"/>
      <c r="DNE33" s="206"/>
      <c r="DNF33" s="206"/>
      <c r="DNG33" s="206"/>
      <c r="DNH33" s="206"/>
      <c r="DNI33" s="206"/>
      <c r="DNJ33" s="206"/>
      <c r="DNK33" s="206"/>
      <c r="DNL33" s="206"/>
      <c r="DNM33" s="206"/>
      <c r="DNN33" s="206"/>
      <c r="DNO33" s="206"/>
      <c r="DNP33" s="206"/>
      <c r="DNQ33" s="206"/>
      <c r="DNR33" s="206"/>
      <c r="DNS33" s="206"/>
      <c r="DNT33" s="206"/>
      <c r="DNU33" s="206"/>
      <c r="DNV33" s="206"/>
      <c r="DNW33" s="206"/>
      <c r="DNX33" s="206"/>
      <c r="DNY33" s="206"/>
      <c r="DNZ33" s="206"/>
      <c r="DOA33" s="206"/>
      <c r="DOB33" s="206"/>
      <c r="DOC33" s="206"/>
      <c r="DOD33" s="206"/>
      <c r="DOE33" s="206"/>
      <c r="DOF33" s="206"/>
      <c r="DOG33" s="206"/>
      <c r="DOH33" s="206"/>
      <c r="DOI33" s="206"/>
      <c r="DOJ33" s="206"/>
      <c r="DOK33" s="206"/>
      <c r="DOL33" s="206"/>
      <c r="DOM33" s="206"/>
      <c r="DON33" s="206"/>
      <c r="DOO33" s="206"/>
      <c r="DOP33" s="206"/>
      <c r="DOQ33" s="206"/>
      <c r="DOR33" s="206"/>
      <c r="DOS33" s="206"/>
      <c r="DOT33" s="206"/>
      <c r="DOU33" s="206"/>
      <c r="DOV33" s="206"/>
      <c r="DOW33" s="206"/>
      <c r="DOX33" s="206"/>
      <c r="DOY33" s="206"/>
      <c r="DOZ33" s="206"/>
      <c r="DPA33" s="206"/>
      <c r="DPB33" s="206"/>
      <c r="DPC33" s="206"/>
      <c r="DPD33" s="206"/>
      <c r="DPE33" s="206"/>
      <c r="DPF33" s="206"/>
      <c r="DPG33" s="206"/>
      <c r="DPH33" s="206"/>
      <c r="DPI33" s="206"/>
      <c r="DPJ33" s="206"/>
      <c r="DPK33" s="206"/>
      <c r="DPL33" s="206"/>
      <c r="DPM33" s="206"/>
      <c r="DPN33" s="206"/>
      <c r="DPO33" s="206"/>
      <c r="DPP33" s="206"/>
      <c r="DPQ33" s="206"/>
      <c r="DPR33" s="206"/>
      <c r="DPS33" s="206"/>
      <c r="DPT33" s="206"/>
      <c r="DPU33" s="206"/>
      <c r="DPV33" s="206"/>
      <c r="DPW33" s="206"/>
      <c r="DPX33" s="206"/>
      <c r="DPY33" s="206"/>
      <c r="DPZ33" s="206"/>
      <c r="DQA33" s="206"/>
      <c r="DQB33" s="206"/>
      <c r="DQC33" s="206"/>
      <c r="DQD33" s="206"/>
      <c r="DQE33" s="206"/>
      <c r="DQF33" s="206"/>
      <c r="DQG33" s="206"/>
      <c r="DQH33" s="206"/>
      <c r="DQI33" s="206"/>
      <c r="DQJ33" s="206"/>
      <c r="DQK33" s="206"/>
      <c r="DQL33" s="206"/>
      <c r="DQM33" s="206"/>
      <c r="DQN33" s="206"/>
      <c r="DQO33" s="206"/>
      <c r="DQP33" s="206"/>
      <c r="DQQ33" s="206"/>
      <c r="DQR33" s="206"/>
      <c r="DQS33" s="206"/>
      <c r="DQT33" s="206"/>
      <c r="DQU33" s="206"/>
      <c r="DQV33" s="206"/>
      <c r="DQW33" s="206"/>
      <c r="DQX33" s="206"/>
      <c r="DQY33" s="206"/>
      <c r="DQZ33" s="206"/>
      <c r="DRA33" s="206"/>
      <c r="DRB33" s="206"/>
      <c r="DRC33" s="206"/>
      <c r="DRD33" s="206"/>
      <c r="DRE33" s="206"/>
      <c r="DRF33" s="206"/>
      <c r="DRG33" s="206"/>
      <c r="DRH33" s="206"/>
      <c r="DRI33" s="206"/>
      <c r="DRJ33" s="206"/>
      <c r="DRK33" s="206"/>
      <c r="DRL33" s="206"/>
      <c r="DRM33" s="206"/>
      <c r="DRN33" s="206"/>
      <c r="DRO33" s="206"/>
      <c r="DRP33" s="206"/>
      <c r="DRQ33" s="206"/>
      <c r="DRR33" s="206"/>
      <c r="DRS33" s="206"/>
      <c r="DRT33" s="206"/>
      <c r="DRU33" s="206"/>
      <c r="DRV33" s="206"/>
      <c r="DRW33" s="206"/>
      <c r="DRX33" s="206"/>
      <c r="DRY33" s="206"/>
      <c r="DRZ33" s="206"/>
      <c r="DSA33" s="206"/>
      <c r="DSB33" s="206"/>
      <c r="DSC33" s="206"/>
      <c r="DSD33" s="206"/>
      <c r="DSE33" s="206"/>
      <c r="DSF33" s="206"/>
      <c r="DSG33" s="206"/>
      <c r="DSH33" s="206"/>
      <c r="DSI33" s="206"/>
      <c r="DSJ33" s="206"/>
      <c r="DSK33" s="206"/>
      <c r="DSL33" s="206"/>
      <c r="DSM33" s="206"/>
      <c r="DSN33" s="206"/>
      <c r="DSO33" s="206"/>
      <c r="DSP33" s="206"/>
      <c r="DSQ33" s="206"/>
      <c r="DSR33" s="206"/>
      <c r="DSS33" s="206"/>
      <c r="DST33" s="206"/>
      <c r="DSU33" s="206"/>
      <c r="DSV33" s="206"/>
      <c r="DSW33" s="206"/>
      <c r="DSX33" s="206"/>
      <c r="DSY33" s="206"/>
      <c r="DSZ33" s="206"/>
      <c r="DTA33" s="206"/>
      <c r="DTB33" s="206"/>
      <c r="DTC33" s="206"/>
      <c r="DTD33" s="206"/>
      <c r="DTE33" s="206"/>
      <c r="DTF33" s="206"/>
      <c r="DTG33" s="206"/>
      <c r="DTH33" s="206"/>
      <c r="DTI33" s="206"/>
      <c r="DTJ33" s="206"/>
      <c r="DTK33" s="206"/>
      <c r="DTL33" s="206"/>
      <c r="DTM33" s="206"/>
      <c r="DTN33" s="206"/>
      <c r="DTO33" s="206"/>
      <c r="DTP33" s="206"/>
      <c r="DTQ33" s="206"/>
      <c r="DTR33" s="206"/>
      <c r="DTS33" s="206"/>
      <c r="DTT33" s="206"/>
      <c r="DTU33" s="206"/>
      <c r="DTV33" s="206"/>
      <c r="DTW33" s="206"/>
      <c r="DTX33" s="206"/>
      <c r="DTY33" s="206"/>
      <c r="DTZ33" s="206"/>
      <c r="DUA33" s="206"/>
      <c r="DUB33" s="206"/>
      <c r="DUC33" s="206"/>
      <c r="DUD33" s="206"/>
      <c r="DUE33" s="206"/>
      <c r="DUF33" s="206"/>
      <c r="DUG33" s="206"/>
      <c r="DUH33" s="206"/>
      <c r="DUI33" s="206"/>
      <c r="DUJ33" s="206"/>
      <c r="DUK33" s="206"/>
      <c r="DUL33" s="206"/>
      <c r="DUM33" s="206"/>
      <c r="DUN33" s="206"/>
      <c r="DUO33" s="206"/>
      <c r="DUP33" s="206"/>
      <c r="DUQ33" s="206"/>
      <c r="DUR33" s="206"/>
      <c r="DUS33" s="206"/>
      <c r="DUT33" s="206"/>
      <c r="DUU33" s="206"/>
      <c r="DUV33" s="206"/>
      <c r="DUW33" s="206"/>
      <c r="DUX33" s="206"/>
      <c r="DUY33" s="206"/>
      <c r="DUZ33" s="206"/>
      <c r="DVA33" s="206"/>
      <c r="DVB33" s="206"/>
      <c r="DVC33" s="206"/>
      <c r="DVD33" s="206"/>
      <c r="DVE33" s="206"/>
      <c r="DVF33" s="206"/>
      <c r="DVG33" s="206"/>
      <c r="DVH33" s="206"/>
      <c r="DVI33" s="206"/>
      <c r="DVJ33" s="206"/>
      <c r="DVK33" s="206"/>
      <c r="DVL33" s="206"/>
      <c r="DVM33" s="206"/>
      <c r="DVN33" s="206"/>
      <c r="DVO33" s="206"/>
      <c r="DVP33" s="206"/>
      <c r="DVQ33" s="206"/>
      <c r="DVR33" s="206"/>
      <c r="DVS33" s="206"/>
      <c r="DVT33" s="206"/>
      <c r="DVU33" s="206"/>
      <c r="DVV33" s="206"/>
      <c r="DVW33" s="206"/>
      <c r="DVX33" s="206"/>
      <c r="DVY33" s="206"/>
      <c r="DVZ33" s="206"/>
      <c r="DWA33" s="206"/>
      <c r="DWB33" s="206"/>
      <c r="DWC33" s="206"/>
      <c r="DWD33" s="206"/>
      <c r="DWE33" s="206"/>
      <c r="DWF33" s="206"/>
      <c r="DWG33" s="206"/>
      <c r="DWH33" s="206"/>
      <c r="DWI33" s="206"/>
      <c r="DWJ33" s="206"/>
      <c r="DWK33" s="206"/>
      <c r="DWL33" s="206"/>
      <c r="DWM33" s="206"/>
      <c r="DWN33" s="206"/>
      <c r="DWO33" s="206"/>
      <c r="DWP33" s="206"/>
      <c r="DWQ33" s="206"/>
      <c r="DWR33" s="206"/>
      <c r="DWS33" s="206"/>
      <c r="DWT33" s="206"/>
      <c r="DWU33" s="206"/>
      <c r="DWV33" s="206"/>
      <c r="DWW33" s="206"/>
      <c r="DWX33" s="206"/>
      <c r="DWY33" s="206"/>
      <c r="DWZ33" s="206"/>
      <c r="DXA33" s="206"/>
      <c r="DXB33" s="206"/>
      <c r="DXC33" s="206"/>
      <c r="DXD33" s="206"/>
      <c r="DXE33" s="206"/>
      <c r="DXF33" s="206"/>
      <c r="DXG33" s="206"/>
      <c r="DXH33" s="206"/>
      <c r="DXI33" s="206"/>
      <c r="DXJ33" s="206"/>
      <c r="DXK33" s="206"/>
      <c r="DXL33" s="206"/>
      <c r="DXM33" s="206"/>
      <c r="DXN33" s="206"/>
      <c r="DXO33" s="206"/>
      <c r="DXP33" s="206"/>
      <c r="DXQ33" s="206"/>
      <c r="DXR33" s="206"/>
      <c r="DXS33" s="206"/>
      <c r="DXT33" s="206"/>
      <c r="DXU33" s="206"/>
      <c r="DXV33" s="206"/>
      <c r="DXW33" s="206"/>
      <c r="DXX33" s="206"/>
      <c r="DXY33" s="206"/>
      <c r="DXZ33" s="206"/>
      <c r="DYA33" s="206"/>
      <c r="DYB33" s="206"/>
      <c r="DYC33" s="206"/>
      <c r="DYD33" s="206"/>
      <c r="DYE33" s="206"/>
      <c r="DYF33" s="206"/>
      <c r="DYG33" s="206"/>
      <c r="DYH33" s="206"/>
      <c r="DYI33" s="206"/>
      <c r="DYJ33" s="206"/>
      <c r="DYK33" s="206"/>
      <c r="DYL33" s="206"/>
      <c r="DYM33" s="206"/>
      <c r="DYN33" s="206"/>
      <c r="DYO33" s="206"/>
      <c r="DYP33" s="206"/>
      <c r="DYQ33" s="206"/>
      <c r="DYR33" s="206"/>
      <c r="DYS33" s="206"/>
      <c r="DYT33" s="206"/>
      <c r="DYU33" s="206"/>
      <c r="DYV33" s="206"/>
      <c r="DYW33" s="206"/>
      <c r="DYX33" s="206"/>
      <c r="DYY33" s="206"/>
      <c r="DYZ33" s="206"/>
      <c r="DZA33" s="206"/>
      <c r="DZB33" s="206"/>
      <c r="DZC33" s="206"/>
      <c r="DZD33" s="206"/>
      <c r="DZE33" s="206"/>
      <c r="DZF33" s="206"/>
      <c r="DZG33" s="206"/>
      <c r="DZH33" s="206"/>
      <c r="DZI33" s="206"/>
      <c r="DZJ33" s="206"/>
      <c r="DZK33" s="206"/>
      <c r="DZL33" s="206"/>
      <c r="DZM33" s="206"/>
      <c r="DZN33" s="206"/>
      <c r="DZO33" s="206"/>
      <c r="DZP33" s="206"/>
      <c r="DZQ33" s="206"/>
      <c r="DZR33" s="206"/>
      <c r="DZS33" s="206"/>
      <c r="DZT33" s="206"/>
      <c r="DZU33" s="206"/>
      <c r="DZV33" s="206"/>
      <c r="DZW33" s="206"/>
      <c r="DZX33" s="206"/>
      <c r="DZY33" s="206"/>
      <c r="DZZ33" s="206"/>
      <c r="EAA33" s="206"/>
      <c r="EAB33" s="206"/>
      <c r="EAC33" s="206"/>
      <c r="EAD33" s="206"/>
      <c r="EAE33" s="206"/>
      <c r="EAF33" s="206"/>
      <c r="EAG33" s="206"/>
      <c r="EAH33" s="206"/>
      <c r="EAI33" s="206"/>
      <c r="EAJ33" s="206"/>
      <c r="EAK33" s="206"/>
      <c r="EAL33" s="206"/>
      <c r="EAM33" s="206"/>
      <c r="EAN33" s="206"/>
      <c r="EAO33" s="206"/>
      <c r="EAP33" s="206"/>
      <c r="EAQ33" s="206"/>
      <c r="EAR33" s="206"/>
      <c r="EAS33" s="206"/>
      <c r="EAT33" s="206"/>
      <c r="EAU33" s="206"/>
      <c r="EAV33" s="206"/>
      <c r="EAW33" s="206"/>
      <c r="EAX33" s="206"/>
      <c r="EAY33" s="206"/>
      <c r="EAZ33" s="206"/>
      <c r="EBA33" s="206"/>
      <c r="EBB33" s="206"/>
      <c r="EBC33" s="206"/>
      <c r="EBD33" s="206"/>
      <c r="EBE33" s="206"/>
      <c r="EBF33" s="206"/>
      <c r="EBG33" s="206"/>
      <c r="EBH33" s="206"/>
      <c r="EBI33" s="206"/>
      <c r="EBJ33" s="206"/>
      <c r="EBK33" s="206"/>
      <c r="EBL33" s="206"/>
      <c r="EBM33" s="206"/>
      <c r="EBN33" s="206"/>
      <c r="EBO33" s="206"/>
      <c r="EBP33" s="206"/>
      <c r="EBQ33" s="206"/>
      <c r="EBR33" s="206"/>
      <c r="EBS33" s="206"/>
      <c r="EBT33" s="206"/>
      <c r="EBU33" s="206"/>
      <c r="EBV33" s="206"/>
      <c r="EBW33" s="206"/>
      <c r="EBX33" s="206"/>
      <c r="EBY33" s="206"/>
      <c r="EBZ33" s="206"/>
      <c r="ECA33" s="206"/>
      <c r="ECB33" s="206"/>
      <c r="ECC33" s="206"/>
      <c r="ECD33" s="206"/>
      <c r="ECE33" s="206"/>
      <c r="ECF33" s="206"/>
      <c r="ECG33" s="206"/>
      <c r="ECH33" s="206"/>
      <c r="ECI33" s="206"/>
      <c r="ECJ33" s="206"/>
      <c r="ECK33" s="206"/>
      <c r="ECL33" s="206"/>
      <c r="ECM33" s="206"/>
      <c r="ECN33" s="206"/>
      <c r="ECO33" s="206"/>
      <c r="ECP33" s="206"/>
      <c r="ECQ33" s="206"/>
      <c r="ECR33" s="206"/>
      <c r="ECS33" s="206"/>
      <c r="ECT33" s="206"/>
      <c r="ECU33" s="206"/>
      <c r="ECV33" s="206"/>
      <c r="ECW33" s="206"/>
      <c r="ECX33" s="206"/>
      <c r="ECY33" s="206"/>
      <c r="ECZ33" s="206"/>
      <c r="EDA33" s="206"/>
      <c r="EDB33" s="206"/>
      <c r="EDC33" s="206"/>
      <c r="EDD33" s="206"/>
      <c r="EDE33" s="206"/>
      <c r="EDF33" s="206"/>
      <c r="EDG33" s="206"/>
      <c r="EDH33" s="206"/>
      <c r="EDI33" s="206"/>
      <c r="EDJ33" s="206"/>
      <c r="EDK33" s="206"/>
      <c r="EDL33" s="206"/>
      <c r="EDM33" s="206"/>
      <c r="EDN33" s="206"/>
      <c r="EDO33" s="206"/>
      <c r="EDP33" s="206"/>
      <c r="EDQ33" s="206"/>
      <c r="EDR33" s="206"/>
      <c r="EDS33" s="206"/>
      <c r="EDT33" s="206"/>
      <c r="EDU33" s="206"/>
      <c r="EDV33" s="206"/>
      <c r="EDW33" s="206"/>
      <c r="EDX33" s="206"/>
      <c r="EDY33" s="206"/>
      <c r="EDZ33" s="206"/>
      <c r="EEA33" s="206"/>
      <c r="EEB33" s="206"/>
      <c r="EEC33" s="206"/>
      <c r="EED33" s="206"/>
      <c r="EEE33" s="206"/>
      <c r="EEF33" s="206"/>
      <c r="EEG33" s="206"/>
      <c r="EEH33" s="206"/>
      <c r="EEI33" s="206"/>
      <c r="EEJ33" s="206"/>
      <c r="EEK33" s="206"/>
      <c r="EEL33" s="206"/>
      <c r="EEM33" s="206"/>
      <c r="EEN33" s="206"/>
      <c r="EEO33" s="206"/>
      <c r="EEP33" s="206"/>
      <c r="EEQ33" s="206"/>
      <c r="EER33" s="206"/>
      <c r="EES33" s="206"/>
      <c r="EET33" s="206"/>
      <c r="EEU33" s="206"/>
      <c r="EEV33" s="206"/>
      <c r="EEW33" s="206"/>
      <c r="EEX33" s="206"/>
      <c r="EEY33" s="206"/>
      <c r="EEZ33" s="206"/>
      <c r="EFA33" s="206"/>
      <c r="EFB33" s="206"/>
      <c r="EFC33" s="206"/>
      <c r="EFD33" s="206"/>
      <c r="EFE33" s="206"/>
      <c r="EFF33" s="206"/>
      <c r="EFG33" s="206"/>
      <c r="EFH33" s="206"/>
      <c r="EFI33" s="206"/>
      <c r="EFJ33" s="206"/>
      <c r="EFK33" s="206"/>
      <c r="EFL33" s="206"/>
      <c r="EFM33" s="206"/>
      <c r="EFN33" s="206"/>
      <c r="EFO33" s="206"/>
      <c r="EFP33" s="206"/>
      <c r="EFQ33" s="206"/>
      <c r="EFR33" s="206"/>
      <c r="EFS33" s="206"/>
      <c r="EFT33" s="206"/>
      <c r="EFU33" s="206"/>
      <c r="EFV33" s="206"/>
      <c r="EFW33" s="206"/>
      <c r="EFX33" s="206"/>
      <c r="EFY33" s="206"/>
      <c r="EFZ33" s="206"/>
      <c r="EGA33" s="206"/>
      <c r="EGB33" s="206"/>
      <c r="EGC33" s="206"/>
      <c r="EGD33" s="206"/>
      <c r="EGE33" s="206"/>
      <c r="EGF33" s="206"/>
      <c r="EGG33" s="206"/>
      <c r="EGH33" s="206"/>
      <c r="EGI33" s="206"/>
      <c r="EGJ33" s="206"/>
      <c r="EGK33" s="206"/>
      <c r="EGL33" s="206"/>
      <c r="EGM33" s="206"/>
      <c r="EGN33" s="206"/>
      <c r="EGO33" s="206"/>
      <c r="EGP33" s="206"/>
      <c r="EGQ33" s="206"/>
      <c r="EGR33" s="206"/>
      <c r="EGS33" s="206"/>
      <c r="EGT33" s="206"/>
      <c r="EGU33" s="206"/>
      <c r="EGV33" s="206"/>
      <c r="EGW33" s="206"/>
      <c r="EGX33" s="206"/>
      <c r="EGY33" s="206"/>
      <c r="EGZ33" s="206"/>
      <c r="EHA33" s="206"/>
      <c r="EHB33" s="206"/>
      <c r="EHC33" s="206"/>
      <c r="EHD33" s="206"/>
      <c r="EHE33" s="206"/>
      <c r="EHF33" s="206"/>
      <c r="EHG33" s="206"/>
      <c r="EHH33" s="206"/>
      <c r="EHI33" s="206"/>
      <c r="EHJ33" s="206"/>
      <c r="EHK33" s="206"/>
      <c r="EHL33" s="206"/>
      <c r="EHM33" s="206"/>
      <c r="EHN33" s="206"/>
      <c r="EHO33" s="206"/>
      <c r="EHP33" s="206"/>
      <c r="EHQ33" s="206"/>
      <c r="EHR33" s="206"/>
      <c r="EHS33" s="206"/>
      <c r="EHT33" s="206"/>
      <c r="EHU33" s="206"/>
      <c r="EHV33" s="206"/>
      <c r="EHW33" s="206"/>
      <c r="EHX33" s="206"/>
      <c r="EHY33" s="206"/>
      <c r="EHZ33" s="206"/>
      <c r="EIA33" s="206"/>
      <c r="EIB33" s="206"/>
      <c r="EIC33" s="206"/>
      <c r="EID33" s="206"/>
      <c r="EIE33" s="206"/>
      <c r="EIF33" s="206"/>
      <c r="EIG33" s="206"/>
      <c r="EIH33" s="206"/>
      <c r="EII33" s="206"/>
      <c r="EIJ33" s="206"/>
      <c r="EIK33" s="206"/>
      <c r="EIL33" s="206"/>
      <c r="EIM33" s="206"/>
      <c r="EIN33" s="206"/>
      <c r="EIO33" s="206"/>
      <c r="EIP33" s="206"/>
      <c r="EIQ33" s="206"/>
      <c r="EIR33" s="206"/>
      <c r="EIS33" s="206"/>
      <c r="EIT33" s="206"/>
      <c r="EIU33" s="206"/>
      <c r="EIV33" s="206"/>
      <c r="EIW33" s="206"/>
      <c r="EIX33" s="206"/>
      <c r="EIY33" s="206"/>
      <c r="EIZ33" s="206"/>
      <c r="EJA33" s="206"/>
      <c r="EJB33" s="206"/>
      <c r="EJC33" s="206"/>
      <c r="EJD33" s="206"/>
      <c r="EJE33" s="206"/>
      <c r="EJF33" s="206"/>
      <c r="EJG33" s="206"/>
      <c r="EJH33" s="206"/>
      <c r="EJI33" s="206"/>
      <c r="EJJ33" s="206"/>
      <c r="EJK33" s="206"/>
      <c r="EJL33" s="206"/>
      <c r="EJM33" s="206"/>
      <c r="EJN33" s="206"/>
      <c r="EJO33" s="206"/>
      <c r="EJP33" s="206"/>
      <c r="EJQ33" s="206"/>
      <c r="EJR33" s="206"/>
      <c r="EJS33" s="206"/>
      <c r="EJT33" s="206"/>
      <c r="EJU33" s="206"/>
      <c r="EJV33" s="206"/>
      <c r="EJW33" s="206"/>
      <c r="EJX33" s="206"/>
      <c r="EJY33" s="206"/>
      <c r="EJZ33" s="206"/>
      <c r="EKA33" s="206"/>
      <c r="EKB33" s="206"/>
      <c r="EKC33" s="206"/>
      <c r="EKD33" s="206"/>
      <c r="EKE33" s="206"/>
      <c r="EKF33" s="206"/>
      <c r="EKG33" s="206"/>
      <c r="EKH33" s="206"/>
      <c r="EKI33" s="206"/>
      <c r="EKJ33" s="206"/>
      <c r="EKK33" s="206"/>
      <c r="EKL33" s="206"/>
      <c r="EKM33" s="206"/>
      <c r="EKN33" s="206"/>
      <c r="EKO33" s="206"/>
      <c r="EKP33" s="206"/>
      <c r="EKQ33" s="206"/>
      <c r="EKR33" s="206"/>
      <c r="EKS33" s="206"/>
      <c r="EKT33" s="206"/>
      <c r="EKU33" s="206"/>
      <c r="EKV33" s="206"/>
      <c r="EKW33" s="206"/>
      <c r="EKX33" s="206"/>
      <c r="EKY33" s="206"/>
      <c r="EKZ33" s="206"/>
      <c r="ELA33" s="206"/>
      <c r="ELB33" s="206"/>
      <c r="ELC33" s="206"/>
      <c r="ELD33" s="206"/>
      <c r="ELE33" s="206"/>
      <c r="ELF33" s="206"/>
      <c r="ELG33" s="206"/>
      <c r="ELH33" s="206"/>
      <c r="ELI33" s="206"/>
      <c r="ELJ33" s="206"/>
      <c r="ELK33" s="206"/>
      <c r="ELL33" s="206"/>
      <c r="ELM33" s="206"/>
      <c r="ELN33" s="206"/>
      <c r="ELO33" s="206"/>
      <c r="ELP33" s="206"/>
      <c r="ELQ33" s="206"/>
      <c r="ELR33" s="206"/>
      <c r="ELS33" s="206"/>
      <c r="ELT33" s="206"/>
      <c r="ELU33" s="206"/>
      <c r="ELV33" s="206"/>
      <c r="ELW33" s="206"/>
      <c r="ELX33" s="206"/>
      <c r="ELY33" s="206"/>
      <c r="ELZ33" s="206"/>
      <c r="EMA33" s="206"/>
      <c r="EMB33" s="206"/>
      <c r="EMC33" s="206"/>
      <c r="EMD33" s="206"/>
      <c r="EME33" s="206"/>
      <c r="EMF33" s="206"/>
      <c r="EMG33" s="206"/>
      <c r="EMH33" s="206"/>
      <c r="EMI33" s="206"/>
      <c r="EMJ33" s="206"/>
      <c r="EMK33" s="206"/>
      <c r="EML33" s="206"/>
      <c r="EMM33" s="206"/>
      <c r="EMN33" s="206"/>
      <c r="EMO33" s="206"/>
      <c r="EMP33" s="206"/>
      <c r="EMQ33" s="206"/>
      <c r="EMR33" s="206"/>
      <c r="EMS33" s="206"/>
      <c r="EMT33" s="206"/>
      <c r="EMU33" s="206"/>
      <c r="EMV33" s="206"/>
      <c r="EMW33" s="206"/>
      <c r="EMX33" s="206"/>
      <c r="EMY33" s="206"/>
      <c r="EMZ33" s="206"/>
      <c r="ENA33" s="206"/>
      <c r="ENB33" s="206"/>
      <c r="ENC33" s="206"/>
      <c r="END33" s="206"/>
      <c r="ENE33" s="206"/>
      <c r="ENF33" s="206"/>
      <c r="ENG33" s="206"/>
      <c r="ENH33" s="206"/>
      <c r="ENI33" s="206"/>
      <c r="ENJ33" s="206"/>
      <c r="ENK33" s="206"/>
      <c r="ENL33" s="206"/>
      <c r="ENM33" s="206"/>
      <c r="ENN33" s="206"/>
      <c r="ENO33" s="206"/>
      <c r="ENP33" s="206"/>
      <c r="ENQ33" s="206"/>
      <c r="ENR33" s="206"/>
      <c r="ENS33" s="206"/>
      <c r="ENT33" s="206"/>
      <c r="ENU33" s="206"/>
      <c r="ENV33" s="206"/>
      <c r="ENW33" s="206"/>
      <c r="ENX33" s="206"/>
      <c r="ENY33" s="206"/>
      <c r="ENZ33" s="206"/>
      <c r="EOA33" s="206"/>
      <c r="EOB33" s="206"/>
      <c r="EOC33" s="206"/>
      <c r="EOD33" s="206"/>
      <c r="EOE33" s="206"/>
      <c r="EOF33" s="206"/>
      <c r="EOG33" s="206"/>
      <c r="EOH33" s="206"/>
      <c r="EOI33" s="206"/>
      <c r="EOJ33" s="206"/>
      <c r="EOK33" s="206"/>
      <c r="EOL33" s="206"/>
      <c r="EOM33" s="206"/>
      <c r="EON33" s="206"/>
      <c r="EOO33" s="206"/>
      <c r="EOP33" s="206"/>
      <c r="EOQ33" s="206"/>
      <c r="EOR33" s="206"/>
      <c r="EOS33" s="206"/>
      <c r="EOT33" s="206"/>
      <c r="EOU33" s="206"/>
      <c r="EOV33" s="206"/>
      <c r="EOW33" s="206"/>
      <c r="EOX33" s="206"/>
      <c r="EOY33" s="206"/>
      <c r="EOZ33" s="206"/>
      <c r="EPA33" s="206"/>
      <c r="EPB33" s="206"/>
      <c r="EPC33" s="206"/>
      <c r="EPD33" s="206"/>
      <c r="EPE33" s="206"/>
      <c r="EPF33" s="206"/>
      <c r="EPG33" s="206"/>
      <c r="EPH33" s="206"/>
      <c r="EPI33" s="206"/>
      <c r="EPJ33" s="206"/>
      <c r="EPK33" s="206"/>
      <c r="EPL33" s="206"/>
      <c r="EPM33" s="206"/>
      <c r="EPN33" s="206"/>
      <c r="EPO33" s="206"/>
      <c r="EPP33" s="206"/>
      <c r="EPQ33" s="206"/>
      <c r="EPR33" s="206"/>
      <c r="EPS33" s="206"/>
      <c r="EPT33" s="206"/>
      <c r="EPU33" s="206"/>
      <c r="EPV33" s="206"/>
      <c r="EPW33" s="206"/>
      <c r="EPX33" s="206"/>
      <c r="EPY33" s="206"/>
      <c r="EPZ33" s="206"/>
      <c r="EQA33" s="206"/>
      <c r="EQB33" s="206"/>
      <c r="EQC33" s="206"/>
      <c r="EQD33" s="206"/>
      <c r="EQE33" s="206"/>
      <c r="EQF33" s="206"/>
      <c r="EQG33" s="206"/>
      <c r="EQH33" s="206"/>
      <c r="EQI33" s="206"/>
      <c r="EQJ33" s="206"/>
      <c r="EQK33" s="206"/>
      <c r="EQL33" s="206"/>
      <c r="EQM33" s="206"/>
      <c r="EQN33" s="206"/>
      <c r="EQO33" s="206"/>
      <c r="EQP33" s="206"/>
      <c r="EQQ33" s="206"/>
      <c r="EQR33" s="206"/>
      <c r="EQS33" s="206"/>
      <c r="EQT33" s="206"/>
      <c r="EQU33" s="206"/>
      <c r="EQV33" s="206"/>
      <c r="EQW33" s="206"/>
      <c r="EQX33" s="206"/>
      <c r="EQY33" s="206"/>
      <c r="EQZ33" s="206"/>
      <c r="ERA33" s="206"/>
      <c r="ERB33" s="206"/>
      <c r="ERC33" s="206"/>
      <c r="ERD33" s="206"/>
      <c r="ERE33" s="206"/>
      <c r="ERF33" s="206"/>
      <c r="ERG33" s="206"/>
      <c r="ERH33" s="206"/>
      <c r="ERI33" s="206"/>
      <c r="ERJ33" s="206"/>
      <c r="ERK33" s="206"/>
      <c r="ERL33" s="206"/>
      <c r="ERM33" s="206"/>
      <c r="ERN33" s="206"/>
      <c r="ERO33" s="206"/>
      <c r="ERP33" s="206"/>
      <c r="ERQ33" s="206"/>
      <c r="ERR33" s="206"/>
      <c r="ERS33" s="206"/>
      <c r="ERT33" s="206"/>
      <c r="ERU33" s="206"/>
      <c r="ERV33" s="206"/>
      <c r="ERW33" s="206"/>
      <c r="ERX33" s="206"/>
      <c r="ERY33" s="206"/>
      <c r="ERZ33" s="206"/>
      <c r="ESA33" s="206"/>
      <c r="ESB33" s="206"/>
      <c r="ESC33" s="206"/>
      <c r="ESD33" s="206"/>
      <c r="ESE33" s="206"/>
      <c r="ESF33" s="206"/>
      <c r="ESG33" s="206"/>
      <c r="ESH33" s="206"/>
      <c r="ESI33" s="206"/>
      <c r="ESJ33" s="206"/>
      <c r="ESK33" s="206"/>
      <c r="ESL33" s="206"/>
      <c r="ESM33" s="206"/>
      <c r="ESN33" s="206"/>
      <c r="ESO33" s="206"/>
      <c r="ESP33" s="206"/>
      <c r="ESQ33" s="206"/>
      <c r="ESR33" s="206"/>
      <c r="ESS33" s="206"/>
      <c r="EST33" s="206"/>
      <c r="ESU33" s="206"/>
      <c r="ESV33" s="206"/>
      <c r="ESW33" s="206"/>
      <c r="ESX33" s="206"/>
      <c r="ESY33" s="206"/>
      <c r="ESZ33" s="206"/>
      <c r="ETA33" s="206"/>
      <c r="ETB33" s="206"/>
      <c r="ETC33" s="206"/>
      <c r="ETD33" s="206"/>
      <c r="ETE33" s="206"/>
      <c r="ETF33" s="206"/>
      <c r="ETG33" s="206"/>
      <c r="ETH33" s="206"/>
      <c r="ETI33" s="206"/>
      <c r="ETJ33" s="206"/>
      <c r="ETK33" s="206"/>
      <c r="ETL33" s="206"/>
      <c r="ETM33" s="206"/>
      <c r="ETN33" s="206"/>
      <c r="ETO33" s="206"/>
      <c r="ETP33" s="206"/>
      <c r="ETQ33" s="206"/>
      <c r="ETR33" s="206"/>
      <c r="ETS33" s="206"/>
      <c r="ETT33" s="206"/>
      <c r="ETU33" s="206"/>
      <c r="ETV33" s="206"/>
      <c r="ETW33" s="206"/>
      <c r="ETX33" s="206"/>
      <c r="ETY33" s="206"/>
      <c r="ETZ33" s="206"/>
      <c r="EUA33" s="206"/>
      <c r="EUB33" s="206"/>
      <c r="EUC33" s="206"/>
      <c r="EUD33" s="206"/>
      <c r="EUE33" s="206"/>
      <c r="EUF33" s="206"/>
      <c r="EUG33" s="206"/>
      <c r="EUH33" s="206"/>
      <c r="EUI33" s="206"/>
      <c r="EUJ33" s="206"/>
      <c r="EUK33" s="206"/>
      <c r="EUL33" s="206"/>
      <c r="EUM33" s="206"/>
      <c r="EUN33" s="206"/>
      <c r="EUO33" s="206"/>
      <c r="EUP33" s="206"/>
      <c r="EUQ33" s="206"/>
      <c r="EUR33" s="206"/>
      <c r="EUS33" s="206"/>
      <c r="EUT33" s="206"/>
      <c r="EUU33" s="206"/>
      <c r="EUV33" s="206"/>
      <c r="EUW33" s="206"/>
      <c r="EUX33" s="206"/>
      <c r="EUY33" s="206"/>
      <c r="EUZ33" s="206"/>
      <c r="EVA33" s="206"/>
      <c r="EVB33" s="206"/>
      <c r="EVC33" s="206"/>
      <c r="EVD33" s="206"/>
      <c r="EVE33" s="206"/>
      <c r="EVF33" s="206"/>
      <c r="EVG33" s="206"/>
      <c r="EVH33" s="206"/>
      <c r="EVI33" s="206"/>
      <c r="EVJ33" s="206"/>
      <c r="EVK33" s="206"/>
      <c r="EVL33" s="206"/>
      <c r="EVM33" s="206"/>
      <c r="EVN33" s="206"/>
      <c r="EVO33" s="206"/>
      <c r="EVP33" s="206"/>
      <c r="EVQ33" s="206"/>
      <c r="EVR33" s="206"/>
      <c r="EVS33" s="206"/>
      <c r="EVT33" s="206"/>
      <c r="EVU33" s="206"/>
      <c r="EVV33" s="206"/>
      <c r="EVW33" s="206"/>
      <c r="EVX33" s="206"/>
      <c r="EVY33" s="206"/>
      <c r="EVZ33" s="206"/>
      <c r="EWA33" s="206"/>
      <c r="EWB33" s="206"/>
      <c r="EWC33" s="206"/>
      <c r="EWD33" s="206"/>
      <c r="EWE33" s="206"/>
      <c r="EWF33" s="206"/>
      <c r="EWG33" s="206"/>
      <c r="EWH33" s="206"/>
      <c r="EWI33" s="206"/>
      <c r="EWJ33" s="206"/>
      <c r="EWK33" s="206"/>
      <c r="EWL33" s="206"/>
      <c r="EWM33" s="206"/>
      <c r="EWN33" s="206"/>
      <c r="EWO33" s="206"/>
      <c r="EWP33" s="206"/>
      <c r="EWQ33" s="206"/>
      <c r="EWR33" s="206"/>
      <c r="EWS33" s="206"/>
      <c r="EWT33" s="206"/>
      <c r="EWU33" s="206"/>
      <c r="EWV33" s="206"/>
      <c r="EWW33" s="206"/>
      <c r="EWX33" s="206"/>
      <c r="EWY33" s="206"/>
      <c r="EWZ33" s="206"/>
      <c r="EXA33" s="206"/>
      <c r="EXB33" s="206"/>
      <c r="EXC33" s="206"/>
      <c r="EXD33" s="206"/>
      <c r="EXE33" s="206"/>
      <c r="EXF33" s="206"/>
      <c r="EXG33" s="206"/>
      <c r="EXH33" s="206"/>
      <c r="EXI33" s="206"/>
      <c r="EXJ33" s="206"/>
      <c r="EXK33" s="206"/>
      <c r="EXL33" s="206"/>
      <c r="EXM33" s="206"/>
      <c r="EXN33" s="206"/>
      <c r="EXO33" s="206"/>
      <c r="EXP33" s="206"/>
      <c r="EXQ33" s="206"/>
      <c r="EXR33" s="206"/>
      <c r="EXS33" s="206"/>
      <c r="EXT33" s="206"/>
      <c r="EXU33" s="206"/>
      <c r="EXV33" s="206"/>
      <c r="EXW33" s="206"/>
      <c r="EXX33" s="206"/>
      <c r="EXY33" s="206"/>
      <c r="EXZ33" s="206"/>
      <c r="EYA33" s="206"/>
      <c r="EYB33" s="206"/>
      <c r="EYC33" s="206"/>
      <c r="EYD33" s="206"/>
      <c r="EYE33" s="206"/>
      <c r="EYF33" s="206"/>
      <c r="EYG33" s="206"/>
      <c r="EYH33" s="206"/>
      <c r="EYI33" s="206"/>
      <c r="EYJ33" s="206"/>
      <c r="EYK33" s="206"/>
      <c r="EYL33" s="206"/>
      <c r="EYM33" s="206"/>
      <c r="EYN33" s="206"/>
      <c r="EYO33" s="206"/>
      <c r="EYP33" s="206"/>
      <c r="EYQ33" s="206"/>
      <c r="EYR33" s="206"/>
      <c r="EYS33" s="206"/>
      <c r="EYT33" s="206"/>
      <c r="EYU33" s="206"/>
      <c r="EYV33" s="206"/>
      <c r="EYW33" s="206"/>
      <c r="EYX33" s="206"/>
      <c r="EYY33" s="206"/>
      <c r="EYZ33" s="206"/>
      <c r="EZA33" s="206"/>
      <c r="EZB33" s="206"/>
      <c r="EZC33" s="206"/>
      <c r="EZD33" s="206"/>
      <c r="EZE33" s="206"/>
      <c r="EZF33" s="206"/>
      <c r="EZG33" s="206"/>
      <c r="EZH33" s="206"/>
      <c r="EZI33" s="206"/>
      <c r="EZJ33" s="206"/>
      <c r="EZK33" s="206"/>
      <c r="EZL33" s="206"/>
      <c r="EZM33" s="206"/>
      <c r="EZN33" s="206"/>
      <c r="EZO33" s="206"/>
      <c r="EZP33" s="206"/>
      <c r="EZQ33" s="206"/>
      <c r="EZR33" s="206"/>
      <c r="EZS33" s="206"/>
      <c r="EZT33" s="206"/>
      <c r="EZU33" s="206"/>
      <c r="EZV33" s="206"/>
      <c r="EZW33" s="206"/>
      <c r="EZX33" s="206"/>
      <c r="EZY33" s="206"/>
      <c r="EZZ33" s="206"/>
      <c r="FAA33" s="206"/>
      <c r="FAB33" s="206"/>
      <c r="FAC33" s="206"/>
      <c r="FAD33" s="206"/>
      <c r="FAE33" s="206"/>
      <c r="FAF33" s="206"/>
      <c r="FAG33" s="206"/>
      <c r="FAH33" s="206"/>
      <c r="FAI33" s="206"/>
      <c r="FAJ33" s="206"/>
      <c r="FAK33" s="206"/>
      <c r="FAL33" s="206"/>
      <c r="FAM33" s="206"/>
      <c r="FAN33" s="206"/>
      <c r="FAO33" s="206"/>
      <c r="FAP33" s="206"/>
      <c r="FAQ33" s="206"/>
      <c r="FAR33" s="206"/>
      <c r="FAS33" s="206"/>
      <c r="FAT33" s="206"/>
      <c r="FAU33" s="206"/>
      <c r="FAV33" s="206"/>
      <c r="FAW33" s="206"/>
      <c r="FAX33" s="206"/>
      <c r="FAY33" s="206"/>
      <c r="FAZ33" s="206"/>
      <c r="FBA33" s="206"/>
      <c r="FBB33" s="206"/>
      <c r="FBC33" s="206"/>
      <c r="FBD33" s="206"/>
      <c r="FBE33" s="206"/>
      <c r="FBF33" s="206"/>
      <c r="FBG33" s="206"/>
      <c r="FBH33" s="206"/>
      <c r="FBI33" s="206"/>
      <c r="FBJ33" s="206"/>
      <c r="FBK33" s="206"/>
      <c r="FBL33" s="206"/>
      <c r="FBM33" s="206"/>
      <c r="FBN33" s="206"/>
      <c r="FBO33" s="206"/>
      <c r="FBP33" s="206"/>
      <c r="FBQ33" s="206"/>
      <c r="FBR33" s="206"/>
      <c r="FBS33" s="206"/>
      <c r="FBT33" s="206"/>
      <c r="FBU33" s="206"/>
      <c r="FBV33" s="206"/>
      <c r="FBW33" s="206"/>
      <c r="FBX33" s="206"/>
      <c r="FBY33" s="206"/>
      <c r="FBZ33" s="206"/>
      <c r="FCA33" s="206"/>
      <c r="FCB33" s="206"/>
      <c r="FCC33" s="206"/>
      <c r="FCD33" s="206"/>
      <c r="FCE33" s="206"/>
      <c r="FCF33" s="206"/>
      <c r="FCG33" s="206"/>
      <c r="FCH33" s="206"/>
      <c r="FCI33" s="206"/>
      <c r="FCJ33" s="206"/>
      <c r="FCK33" s="206"/>
      <c r="FCL33" s="206"/>
      <c r="FCM33" s="206"/>
      <c r="FCN33" s="206"/>
      <c r="FCO33" s="206"/>
      <c r="FCP33" s="206"/>
      <c r="FCQ33" s="206"/>
      <c r="FCR33" s="206"/>
      <c r="FCS33" s="206"/>
      <c r="FCT33" s="206"/>
      <c r="FCU33" s="206"/>
      <c r="FCV33" s="206"/>
      <c r="FCW33" s="206"/>
      <c r="FCX33" s="206"/>
      <c r="FCY33" s="206"/>
      <c r="FCZ33" s="206"/>
      <c r="FDA33" s="206"/>
      <c r="FDB33" s="206"/>
      <c r="FDC33" s="206"/>
      <c r="FDD33" s="206"/>
      <c r="FDE33" s="206"/>
      <c r="FDF33" s="206"/>
      <c r="FDG33" s="206"/>
      <c r="FDH33" s="206"/>
      <c r="FDI33" s="206"/>
      <c r="FDJ33" s="206"/>
      <c r="FDK33" s="206"/>
      <c r="FDL33" s="206"/>
      <c r="FDM33" s="206"/>
      <c r="FDN33" s="206"/>
      <c r="FDO33" s="206"/>
      <c r="FDP33" s="206"/>
      <c r="FDQ33" s="206"/>
      <c r="FDR33" s="206"/>
      <c r="FDS33" s="206"/>
      <c r="FDT33" s="206"/>
      <c r="FDU33" s="206"/>
      <c r="FDV33" s="206"/>
      <c r="FDW33" s="206"/>
      <c r="FDX33" s="206"/>
      <c r="FDY33" s="206"/>
      <c r="FDZ33" s="206"/>
      <c r="FEA33" s="206"/>
      <c r="FEB33" s="206"/>
      <c r="FEC33" s="206"/>
      <c r="FED33" s="206"/>
      <c r="FEE33" s="206"/>
      <c r="FEF33" s="206"/>
      <c r="FEG33" s="206"/>
      <c r="FEH33" s="206"/>
      <c r="FEI33" s="206"/>
      <c r="FEJ33" s="206"/>
      <c r="FEK33" s="206"/>
      <c r="FEL33" s="206"/>
      <c r="FEM33" s="206"/>
      <c r="FEN33" s="206"/>
      <c r="FEO33" s="206"/>
      <c r="FEP33" s="206"/>
      <c r="FEQ33" s="206"/>
      <c r="FER33" s="206"/>
      <c r="FES33" s="206"/>
      <c r="FET33" s="206"/>
      <c r="FEU33" s="206"/>
      <c r="FEV33" s="206"/>
      <c r="FEW33" s="206"/>
      <c r="FEX33" s="206"/>
      <c r="FEY33" s="206"/>
      <c r="FEZ33" s="206"/>
      <c r="FFA33" s="206"/>
      <c r="FFB33" s="206"/>
      <c r="FFC33" s="206"/>
      <c r="FFD33" s="206"/>
      <c r="FFE33" s="206"/>
      <c r="FFF33" s="206"/>
      <c r="FFG33" s="206"/>
      <c r="FFH33" s="206"/>
      <c r="FFI33" s="206"/>
      <c r="FFJ33" s="206"/>
      <c r="FFK33" s="206"/>
      <c r="FFL33" s="206"/>
      <c r="FFM33" s="206"/>
      <c r="FFN33" s="206"/>
      <c r="FFO33" s="206"/>
      <c r="FFP33" s="206"/>
      <c r="FFQ33" s="206"/>
      <c r="FFR33" s="206"/>
      <c r="FFS33" s="206"/>
      <c r="FFT33" s="206"/>
      <c r="FFU33" s="206"/>
      <c r="FFV33" s="206"/>
      <c r="FFW33" s="206"/>
      <c r="FFX33" s="206"/>
      <c r="FFY33" s="206"/>
      <c r="FFZ33" s="206"/>
      <c r="FGA33" s="206"/>
      <c r="FGB33" s="206"/>
      <c r="FGC33" s="206"/>
      <c r="FGD33" s="206"/>
      <c r="FGE33" s="206"/>
      <c r="FGF33" s="206"/>
      <c r="FGG33" s="206"/>
      <c r="FGH33" s="206"/>
      <c r="FGI33" s="206"/>
      <c r="FGJ33" s="206"/>
      <c r="FGK33" s="206"/>
      <c r="FGL33" s="206"/>
      <c r="FGM33" s="206"/>
      <c r="FGN33" s="206"/>
      <c r="FGO33" s="206"/>
      <c r="FGP33" s="206"/>
      <c r="FGQ33" s="206"/>
      <c r="FGR33" s="206"/>
      <c r="FGS33" s="206"/>
      <c r="FGT33" s="206"/>
      <c r="FGU33" s="206"/>
      <c r="FGV33" s="206"/>
      <c r="FGW33" s="206"/>
      <c r="FGX33" s="206"/>
      <c r="FGY33" s="206"/>
      <c r="FGZ33" s="206"/>
      <c r="FHA33" s="206"/>
      <c r="FHB33" s="206"/>
      <c r="FHC33" s="206"/>
      <c r="FHD33" s="206"/>
      <c r="FHE33" s="206"/>
      <c r="FHF33" s="206"/>
      <c r="FHG33" s="206"/>
      <c r="FHH33" s="206"/>
      <c r="FHI33" s="206"/>
      <c r="FHJ33" s="206"/>
      <c r="FHK33" s="206"/>
      <c r="FHL33" s="206"/>
      <c r="FHM33" s="206"/>
      <c r="FHN33" s="206"/>
      <c r="FHO33" s="206"/>
      <c r="FHP33" s="206"/>
      <c r="FHQ33" s="206"/>
      <c r="FHR33" s="206"/>
      <c r="FHS33" s="206"/>
      <c r="FHT33" s="206"/>
      <c r="FHU33" s="206"/>
      <c r="FHV33" s="206"/>
      <c r="FHW33" s="206"/>
      <c r="FHX33" s="206"/>
      <c r="FHY33" s="206"/>
      <c r="FHZ33" s="206"/>
      <c r="FIA33" s="206"/>
      <c r="FIB33" s="206"/>
      <c r="FIC33" s="206"/>
      <c r="FID33" s="206"/>
      <c r="FIE33" s="206"/>
      <c r="FIF33" s="206"/>
      <c r="FIG33" s="206"/>
      <c r="FIH33" s="206"/>
      <c r="FII33" s="206"/>
      <c r="FIJ33" s="206"/>
      <c r="FIK33" s="206"/>
      <c r="FIL33" s="206"/>
      <c r="FIM33" s="206"/>
      <c r="FIN33" s="206"/>
      <c r="FIO33" s="206"/>
      <c r="FIP33" s="206"/>
      <c r="FIQ33" s="206"/>
      <c r="FIR33" s="206"/>
      <c r="FIS33" s="206"/>
      <c r="FIT33" s="206"/>
      <c r="FIU33" s="206"/>
      <c r="FIV33" s="206"/>
      <c r="FIW33" s="206"/>
      <c r="FIX33" s="206"/>
      <c r="FIY33" s="206"/>
      <c r="FIZ33" s="206"/>
      <c r="FJA33" s="206"/>
      <c r="FJB33" s="206"/>
      <c r="FJC33" s="206"/>
      <c r="FJD33" s="206"/>
      <c r="FJE33" s="206"/>
      <c r="FJF33" s="206"/>
      <c r="FJG33" s="206"/>
      <c r="FJH33" s="206"/>
      <c r="FJI33" s="206"/>
      <c r="FJJ33" s="206"/>
      <c r="FJK33" s="206"/>
      <c r="FJL33" s="206"/>
      <c r="FJM33" s="206"/>
      <c r="FJN33" s="206"/>
      <c r="FJO33" s="206"/>
      <c r="FJP33" s="206"/>
      <c r="FJQ33" s="206"/>
      <c r="FJR33" s="206"/>
      <c r="FJS33" s="206"/>
      <c r="FJT33" s="206"/>
      <c r="FJU33" s="206"/>
      <c r="FJV33" s="206"/>
      <c r="FJW33" s="206"/>
      <c r="FJX33" s="206"/>
      <c r="FJY33" s="206"/>
      <c r="FJZ33" s="206"/>
      <c r="FKA33" s="206"/>
      <c r="FKB33" s="206"/>
      <c r="FKC33" s="206"/>
      <c r="FKD33" s="206"/>
      <c r="FKE33" s="206"/>
      <c r="FKF33" s="206"/>
      <c r="FKG33" s="206"/>
      <c r="FKH33" s="206"/>
      <c r="FKI33" s="206"/>
      <c r="FKJ33" s="206"/>
      <c r="FKK33" s="206"/>
      <c r="FKL33" s="206"/>
      <c r="FKM33" s="206"/>
      <c r="FKN33" s="206"/>
      <c r="FKO33" s="206"/>
      <c r="FKP33" s="206"/>
      <c r="FKQ33" s="206"/>
      <c r="FKR33" s="206"/>
      <c r="FKS33" s="206"/>
      <c r="FKT33" s="206"/>
      <c r="FKU33" s="206"/>
      <c r="FKV33" s="206"/>
      <c r="FKW33" s="206"/>
      <c r="FKX33" s="206"/>
      <c r="FKY33" s="206"/>
      <c r="FKZ33" s="206"/>
      <c r="FLA33" s="206"/>
      <c r="FLB33" s="206"/>
      <c r="FLC33" s="206"/>
      <c r="FLD33" s="206"/>
      <c r="FLE33" s="206"/>
      <c r="FLF33" s="206"/>
      <c r="FLG33" s="206"/>
      <c r="FLH33" s="206"/>
      <c r="FLI33" s="206"/>
      <c r="FLJ33" s="206"/>
      <c r="FLK33" s="206"/>
      <c r="FLL33" s="206"/>
      <c r="FLM33" s="206"/>
      <c r="FLN33" s="206"/>
      <c r="FLO33" s="206"/>
      <c r="FLP33" s="206"/>
      <c r="FLQ33" s="206"/>
      <c r="FLR33" s="206"/>
      <c r="FLS33" s="206"/>
      <c r="FLT33" s="206"/>
      <c r="FLU33" s="206"/>
      <c r="FLV33" s="206"/>
      <c r="FLW33" s="206"/>
      <c r="FLX33" s="206"/>
      <c r="FLY33" s="206"/>
      <c r="FLZ33" s="206"/>
      <c r="FMA33" s="206"/>
      <c r="FMB33" s="206"/>
      <c r="FMC33" s="206"/>
      <c r="FMD33" s="206"/>
      <c r="FME33" s="206"/>
      <c r="FMF33" s="206"/>
      <c r="FMG33" s="206"/>
      <c r="FMH33" s="206"/>
      <c r="FMI33" s="206"/>
      <c r="FMJ33" s="206"/>
      <c r="FMK33" s="206"/>
      <c r="FML33" s="206"/>
      <c r="FMM33" s="206"/>
      <c r="FMN33" s="206"/>
      <c r="FMO33" s="206"/>
      <c r="FMP33" s="206"/>
      <c r="FMQ33" s="206"/>
      <c r="FMR33" s="206"/>
      <c r="FMS33" s="206"/>
      <c r="FMT33" s="206"/>
      <c r="FMU33" s="206"/>
      <c r="FMV33" s="206"/>
      <c r="FMW33" s="206"/>
      <c r="FMX33" s="206"/>
      <c r="FMY33" s="206"/>
      <c r="FMZ33" s="206"/>
      <c r="FNA33" s="206"/>
      <c r="FNB33" s="206"/>
      <c r="FNC33" s="206"/>
      <c r="FND33" s="206"/>
      <c r="FNE33" s="206"/>
      <c r="FNF33" s="206"/>
      <c r="FNG33" s="206"/>
      <c r="FNH33" s="206"/>
      <c r="FNI33" s="206"/>
      <c r="FNJ33" s="206"/>
      <c r="FNK33" s="206"/>
      <c r="FNL33" s="206"/>
      <c r="FNM33" s="206"/>
      <c r="FNN33" s="206"/>
      <c r="FNO33" s="206"/>
      <c r="FNP33" s="206"/>
      <c r="FNQ33" s="206"/>
      <c r="FNR33" s="206"/>
      <c r="FNS33" s="206"/>
      <c r="FNT33" s="206"/>
      <c r="FNU33" s="206"/>
      <c r="FNV33" s="206"/>
      <c r="FNW33" s="206"/>
      <c r="FNX33" s="206"/>
      <c r="FNY33" s="206"/>
      <c r="FNZ33" s="206"/>
      <c r="FOA33" s="206"/>
      <c r="FOB33" s="206"/>
      <c r="FOC33" s="206"/>
      <c r="FOD33" s="206"/>
      <c r="FOE33" s="206"/>
      <c r="FOF33" s="206"/>
      <c r="FOG33" s="206"/>
      <c r="FOH33" s="206"/>
      <c r="FOI33" s="206"/>
      <c r="FOJ33" s="206"/>
      <c r="FOK33" s="206"/>
      <c r="FOL33" s="206"/>
      <c r="FOM33" s="206"/>
      <c r="FON33" s="206"/>
      <c r="FOO33" s="206"/>
      <c r="FOP33" s="206"/>
      <c r="FOQ33" s="206"/>
      <c r="FOR33" s="206"/>
      <c r="FOS33" s="206"/>
      <c r="FOT33" s="206"/>
      <c r="FOU33" s="206"/>
      <c r="FOV33" s="206"/>
      <c r="FOW33" s="206"/>
      <c r="FOX33" s="206"/>
      <c r="FOY33" s="206"/>
      <c r="FOZ33" s="206"/>
      <c r="FPA33" s="206"/>
      <c r="FPB33" s="206"/>
      <c r="FPC33" s="206"/>
      <c r="FPD33" s="206"/>
      <c r="FPE33" s="206"/>
      <c r="FPF33" s="206"/>
      <c r="FPG33" s="206"/>
      <c r="FPH33" s="206"/>
      <c r="FPI33" s="206"/>
      <c r="FPJ33" s="206"/>
      <c r="FPK33" s="206"/>
      <c r="FPL33" s="206"/>
      <c r="FPM33" s="206"/>
      <c r="FPN33" s="206"/>
      <c r="FPO33" s="206"/>
      <c r="FPP33" s="206"/>
      <c r="FPQ33" s="206"/>
      <c r="FPR33" s="206"/>
      <c r="FPS33" s="206"/>
      <c r="FPT33" s="206"/>
      <c r="FPU33" s="206"/>
      <c r="FPV33" s="206"/>
      <c r="FPW33" s="206"/>
      <c r="FPX33" s="206"/>
      <c r="FPY33" s="206"/>
      <c r="FPZ33" s="206"/>
      <c r="FQA33" s="206"/>
      <c r="FQB33" s="206"/>
      <c r="FQC33" s="206"/>
      <c r="FQD33" s="206"/>
      <c r="FQE33" s="206"/>
      <c r="FQF33" s="206"/>
      <c r="FQG33" s="206"/>
      <c r="FQH33" s="206"/>
      <c r="FQI33" s="206"/>
      <c r="FQJ33" s="206"/>
      <c r="FQK33" s="206"/>
      <c r="FQL33" s="206"/>
      <c r="FQM33" s="206"/>
      <c r="FQN33" s="206"/>
      <c r="FQO33" s="206"/>
      <c r="FQP33" s="206"/>
      <c r="FQQ33" s="206"/>
      <c r="FQR33" s="206"/>
      <c r="FQS33" s="206"/>
      <c r="FQT33" s="206"/>
      <c r="FQU33" s="206"/>
      <c r="FQV33" s="206"/>
      <c r="FQW33" s="206"/>
      <c r="FQX33" s="206"/>
      <c r="FQY33" s="206"/>
      <c r="FQZ33" s="206"/>
      <c r="FRA33" s="206"/>
      <c r="FRB33" s="206"/>
      <c r="FRC33" s="206"/>
      <c r="FRD33" s="206"/>
      <c r="FRE33" s="206"/>
      <c r="FRF33" s="206"/>
      <c r="FRG33" s="206"/>
      <c r="FRH33" s="206"/>
      <c r="FRI33" s="206"/>
      <c r="FRJ33" s="206"/>
      <c r="FRK33" s="206"/>
      <c r="FRL33" s="206"/>
      <c r="FRM33" s="206"/>
      <c r="FRN33" s="206"/>
      <c r="FRO33" s="206"/>
      <c r="FRP33" s="206"/>
      <c r="FRQ33" s="206"/>
      <c r="FRR33" s="206"/>
      <c r="FRS33" s="206"/>
      <c r="FRT33" s="206"/>
      <c r="FRU33" s="206"/>
      <c r="FRV33" s="206"/>
      <c r="FRW33" s="206"/>
      <c r="FRX33" s="206"/>
      <c r="FRY33" s="206"/>
      <c r="FRZ33" s="206"/>
      <c r="FSA33" s="206"/>
      <c r="FSB33" s="206"/>
      <c r="FSC33" s="206"/>
      <c r="FSD33" s="206"/>
      <c r="FSE33" s="206"/>
      <c r="FSF33" s="206"/>
      <c r="FSG33" s="206"/>
      <c r="FSH33" s="206"/>
      <c r="FSI33" s="206"/>
      <c r="FSJ33" s="206"/>
      <c r="FSK33" s="206"/>
      <c r="FSL33" s="206"/>
      <c r="FSM33" s="206"/>
      <c r="FSN33" s="206"/>
      <c r="FSO33" s="206"/>
      <c r="FSP33" s="206"/>
      <c r="FSQ33" s="206"/>
      <c r="FSR33" s="206"/>
      <c r="FSS33" s="206"/>
      <c r="FST33" s="206"/>
      <c r="FSU33" s="206"/>
      <c r="FSV33" s="206"/>
      <c r="FSW33" s="206"/>
      <c r="FSX33" s="206"/>
      <c r="FSY33" s="206"/>
      <c r="FSZ33" s="206"/>
      <c r="FTA33" s="206"/>
      <c r="FTB33" s="206"/>
      <c r="FTC33" s="206"/>
      <c r="FTD33" s="206"/>
      <c r="FTE33" s="206"/>
      <c r="FTF33" s="206"/>
      <c r="FTG33" s="206"/>
      <c r="FTH33" s="206"/>
      <c r="FTI33" s="206"/>
      <c r="FTJ33" s="206"/>
      <c r="FTK33" s="206"/>
      <c r="FTL33" s="206"/>
      <c r="FTM33" s="206"/>
      <c r="FTN33" s="206"/>
      <c r="FTO33" s="206"/>
      <c r="FTP33" s="206"/>
      <c r="FTQ33" s="206"/>
      <c r="FTR33" s="206"/>
      <c r="FTS33" s="206"/>
      <c r="FTT33" s="206"/>
      <c r="FTU33" s="206"/>
      <c r="FTV33" s="206"/>
      <c r="FTW33" s="206"/>
      <c r="FTX33" s="206"/>
      <c r="FTY33" s="206"/>
      <c r="FTZ33" s="206"/>
      <c r="FUA33" s="206"/>
      <c r="FUB33" s="206"/>
      <c r="FUC33" s="206"/>
      <c r="FUD33" s="206"/>
      <c r="FUE33" s="206"/>
      <c r="FUF33" s="206"/>
      <c r="FUG33" s="206"/>
      <c r="FUH33" s="206"/>
      <c r="FUI33" s="206"/>
      <c r="FUJ33" s="206"/>
      <c r="FUK33" s="206"/>
      <c r="FUL33" s="206"/>
      <c r="FUM33" s="206"/>
      <c r="FUN33" s="206"/>
      <c r="FUO33" s="206"/>
      <c r="FUP33" s="206"/>
      <c r="FUQ33" s="206"/>
      <c r="FUR33" s="206"/>
      <c r="FUS33" s="206"/>
      <c r="FUT33" s="206"/>
      <c r="FUU33" s="206"/>
      <c r="FUV33" s="206"/>
      <c r="FUW33" s="206"/>
      <c r="FUX33" s="206"/>
      <c r="FUY33" s="206"/>
      <c r="FUZ33" s="206"/>
      <c r="FVA33" s="206"/>
      <c r="FVB33" s="206"/>
      <c r="FVC33" s="206"/>
      <c r="FVD33" s="206"/>
      <c r="FVE33" s="206"/>
      <c r="FVF33" s="206"/>
      <c r="FVG33" s="206"/>
      <c r="FVH33" s="206"/>
      <c r="FVI33" s="206"/>
      <c r="FVJ33" s="206"/>
      <c r="FVK33" s="206"/>
      <c r="FVL33" s="206"/>
      <c r="FVM33" s="206"/>
      <c r="FVN33" s="206"/>
      <c r="FVO33" s="206"/>
      <c r="FVP33" s="206"/>
      <c r="FVQ33" s="206"/>
      <c r="FVR33" s="206"/>
      <c r="FVS33" s="206"/>
      <c r="FVT33" s="206"/>
      <c r="FVU33" s="206"/>
      <c r="FVV33" s="206"/>
      <c r="FVW33" s="206"/>
      <c r="FVX33" s="206"/>
      <c r="FVY33" s="206"/>
      <c r="FVZ33" s="206"/>
      <c r="FWA33" s="206"/>
      <c r="FWB33" s="206"/>
      <c r="FWC33" s="206"/>
      <c r="FWD33" s="206"/>
      <c r="FWE33" s="206"/>
      <c r="FWF33" s="206"/>
      <c r="FWG33" s="206"/>
      <c r="FWH33" s="206"/>
      <c r="FWI33" s="206"/>
      <c r="FWJ33" s="206"/>
      <c r="FWK33" s="206"/>
      <c r="FWL33" s="206"/>
      <c r="FWM33" s="206"/>
      <c r="FWN33" s="206"/>
      <c r="FWO33" s="206"/>
      <c r="FWP33" s="206"/>
      <c r="FWQ33" s="206"/>
      <c r="FWR33" s="206"/>
      <c r="FWS33" s="206"/>
      <c r="FWT33" s="206"/>
      <c r="FWU33" s="206"/>
      <c r="FWV33" s="206"/>
      <c r="FWW33" s="206"/>
      <c r="FWX33" s="206"/>
      <c r="FWY33" s="206"/>
      <c r="FWZ33" s="206"/>
      <c r="FXA33" s="206"/>
      <c r="FXB33" s="206"/>
      <c r="FXC33" s="206"/>
      <c r="FXD33" s="206"/>
      <c r="FXE33" s="206"/>
      <c r="FXF33" s="206"/>
      <c r="FXG33" s="206"/>
      <c r="FXH33" s="206"/>
      <c r="FXI33" s="206"/>
      <c r="FXJ33" s="206"/>
      <c r="FXK33" s="206"/>
      <c r="FXL33" s="206"/>
      <c r="FXM33" s="206"/>
      <c r="FXN33" s="206"/>
      <c r="FXO33" s="206"/>
      <c r="FXP33" s="206"/>
      <c r="FXQ33" s="206"/>
      <c r="FXR33" s="206"/>
      <c r="FXS33" s="206"/>
      <c r="FXT33" s="206"/>
      <c r="FXU33" s="206"/>
      <c r="FXV33" s="206"/>
      <c r="FXW33" s="206"/>
      <c r="FXX33" s="206"/>
      <c r="FXY33" s="206"/>
      <c r="FXZ33" s="206"/>
      <c r="FYA33" s="206"/>
      <c r="FYB33" s="206"/>
      <c r="FYC33" s="206"/>
      <c r="FYD33" s="206"/>
      <c r="FYE33" s="206"/>
      <c r="FYF33" s="206"/>
      <c r="FYG33" s="206"/>
      <c r="FYH33" s="206"/>
      <c r="FYI33" s="206"/>
      <c r="FYJ33" s="206"/>
      <c r="FYK33" s="206"/>
      <c r="FYL33" s="206"/>
      <c r="FYM33" s="206"/>
      <c r="FYN33" s="206"/>
      <c r="FYO33" s="206"/>
      <c r="FYP33" s="206"/>
      <c r="FYQ33" s="206"/>
      <c r="FYR33" s="206"/>
      <c r="FYS33" s="206"/>
      <c r="FYT33" s="206"/>
      <c r="FYU33" s="206"/>
      <c r="FYV33" s="206"/>
      <c r="FYW33" s="206"/>
      <c r="FYX33" s="206"/>
      <c r="FYY33" s="206"/>
      <c r="FYZ33" s="206"/>
      <c r="FZA33" s="206"/>
      <c r="FZB33" s="206"/>
      <c r="FZC33" s="206"/>
      <c r="FZD33" s="206"/>
      <c r="FZE33" s="206"/>
      <c r="FZF33" s="206"/>
      <c r="FZG33" s="206"/>
      <c r="FZH33" s="206"/>
      <c r="FZI33" s="206"/>
      <c r="FZJ33" s="206"/>
      <c r="FZK33" s="206"/>
      <c r="FZL33" s="206"/>
      <c r="FZM33" s="206"/>
      <c r="FZN33" s="206"/>
      <c r="FZO33" s="206"/>
      <c r="FZP33" s="206"/>
      <c r="FZQ33" s="206"/>
      <c r="FZR33" s="206"/>
      <c r="FZS33" s="206"/>
      <c r="FZT33" s="206"/>
      <c r="FZU33" s="206"/>
      <c r="FZV33" s="206"/>
      <c r="FZW33" s="206"/>
      <c r="FZX33" s="206"/>
      <c r="FZY33" s="206"/>
      <c r="FZZ33" s="206"/>
      <c r="GAA33" s="206"/>
      <c r="GAB33" s="206"/>
      <c r="GAC33" s="206"/>
      <c r="GAD33" s="206"/>
      <c r="GAE33" s="206"/>
      <c r="GAF33" s="206"/>
      <c r="GAG33" s="206"/>
      <c r="GAH33" s="206"/>
      <c r="GAI33" s="206"/>
      <c r="GAJ33" s="206"/>
      <c r="GAK33" s="206"/>
      <c r="GAL33" s="206"/>
      <c r="GAM33" s="206"/>
      <c r="GAN33" s="206"/>
      <c r="GAO33" s="206"/>
      <c r="GAP33" s="206"/>
      <c r="GAQ33" s="206"/>
      <c r="GAR33" s="206"/>
      <c r="GAS33" s="206"/>
      <c r="GAT33" s="206"/>
      <c r="GAU33" s="206"/>
      <c r="GAV33" s="206"/>
      <c r="GAW33" s="206"/>
      <c r="GAX33" s="206"/>
      <c r="GAY33" s="206"/>
      <c r="GAZ33" s="206"/>
      <c r="GBA33" s="206"/>
      <c r="GBB33" s="206"/>
      <c r="GBC33" s="206"/>
      <c r="GBD33" s="206"/>
      <c r="GBE33" s="206"/>
      <c r="GBF33" s="206"/>
      <c r="GBG33" s="206"/>
      <c r="GBH33" s="206"/>
      <c r="GBI33" s="206"/>
      <c r="GBJ33" s="206"/>
      <c r="GBK33" s="206"/>
      <c r="GBL33" s="206"/>
      <c r="GBM33" s="206"/>
      <c r="GBN33" s="206"/>
      <c r="GBO33" s="206"/>
      <c r="GBP33" s="206"/>
      <c r="GBQ33" s="206"/>
      <c r="GBR33" s="206"/>
      <c r="GBS33" s="206"/>
      <c r="GBT33" s="206"/>
      <c r="GBU33" s="206"/>
      <c r="GBV33" s="206"/>
      <c r="GBW33" s="206"/>
      <c r="GBX33" s="206"/>
      <c r="GBY33" s="206"/>
      <c r="GBZ33" s="206"/>
      <c r="GCA33" s="206"/>
      <c r="GCB33" s="206"/>
      <c r="GCC33" s="206"/>
      <c r="GCD33" s="206"/>
      <c r="GCE33" s="206"/>
      <c r="GCF33" s="206"/>
      <c r="GCG33" s="206"/>
      <c r="GCH33" s="206"/>
      <c r="GCI33" s="206"/>
      <c r="GCJ33" s="206"/>
      <c r="GCK33" s="206"/>
      <c r="GCL33" s="206"/>
      <c r="GCM33" s="206"/>
      <c r="GCN33" s="206"/>
      <c r="GCO33" s="206"/>
      <c r="GCP33" s="206"/>
      <c r="GCQ33" s="206"/>
      <c r="GCR33" s="206"/>
      <c r="GCS33" s="206"/>
      <c r="GCT33" s="206"/>
      <c r="GCU33" s="206"/>
      <c r="GCV33" s="206"/>
      <c r="GCW33" s="206"/>
      <c r="GCX33" s="206"/>
      <c r="GCY33" s="206"/>
      <c r="GCZ33" s="206"/>
      <c r="GDA33" s="206"/>
      <c r="GDB33" s="206"/>
      <c r="GDC33" s="206"/>
      <c r="GDD33" s="206"/>
      <c r="GDE33" s="206"/>
      <c r="GDF33" s="206"/>
      <c r="GDG33" s="206"/>
      <c r="GDH33" s="206"/>
      <c r="GDI33" s="206"/>
      <c r="GDJ33" s="206"/>
      <c r="GDK33" s="206"/>
      <c r="GDL33" s="206"/>
      <c r="GDM33" s="206"/>
      <c r="GDN33" s="206"/>
      <c r="GDO33" s="206"/>
      <c r="GDP33" s="206"/>
      <c r="GDQ33" s="206"/>
      <c r="GDR33" s="206"/>
      <c r="GDS33" s="206"/>
      <c r="GDT33" s="206"/>
      <c r="GDU33" s="206"/>
      <c r="GDV33" s="206"/>
      <c r="GDW33" s="206"/>
      <c r="GDX33" s="206"/>
      <c r="GDY33" s="206"/>
      <c r="GDZ33" s="206"/>
      <c r="GEA33" s="206"/>
      <c r="GEB33" s="206"/>
      <c r="GEC33" s="206"/>
      <c r="GED33" s="206"/>
      <c r="GEE33" s="206"/>
      <c r="GEF33" s="206"/>
      <c r="GEG33" s="206"/>
      <c r="GEH33" s="206"/>
      <c r="GEI33" s="206"/>
      <c r="GEJ33" s="206"/>
      <c r="GEK33" s="206"/>
      <c r="GEL33" s="206"/>
      <c r="GEM33" s="206"/>
      <c r="GEN33" s="206"/>
      <c r="GEO33" s="206"/>
      <c r="GEP33" s="206"/>
      <c r="GEQ33" s="206"/>
      <c r="GER33" s="206"/>
      <c r="GES33" s="206"/>
      <c r="GET33" s="206"/>
      <c r="GEU33" s="206"/>
      <c r="GEV33" s="206"/>
      <c r="GEW33" s="206"/>
      <c r="GEX33" s="206"/>
      <c r="GEY33" s="206"/>
      <c r="GEZ33" s="206"/>
      <c r="GFA33" s="206"/>
      <c r="GFB33" s="206"/>
      <c r="GFC33" s="206"/>
      <c r="GFD33" s="206"/>
      <c r="GFE33" s="206"/>
      <c r="GFF33" s="206"/>
      <c r="GFG33" s="206"/>
      <c r="GFH33" s="206"/>
      <c r="GFI33" s="206"/>
      <c r="GFJ33" s="206"/>
      <c r="GFK33" s="206"/>
      <c r="GFL33" s="206"/>
      <c r="GFM33" s="206"/>
      <c r="GFN33" s="206"/>
      <c r="GFO33" s="206"/>
      <c r="GFP33" s="206"/>
      <c r="GFQ33" s="206"/>
      <c r="GFR33" s="206"/>
      <c r="GFS33" s="206"/>
      <c r="GFT33" s="206"/>
      <c r="GFU33" s="206"/>
      <c r="GFV33" s="206"/>
      <c r="GFW33" s="206"/>
      <c r="GFX33" s="206"/>
      <c r="GFY33" s="206"/>
      <c r="GFZ33" s="206"/>
      <c r="GGA33" s="206"/>
      <c r="GGB33" s="206"/>
      <c r="GGC33" s="206"/>
      <c r="GGD33" s="206"/>
      <c r="GGE33" s="206"/>
      <c r="GGF33" s="206"/>
      <c r="GGG33" s="206"/>
      <c r="GGH33" s="206"/>
      <c r="GGI33" s="206"/>
      <c r="GGJ33" s="206"/>
      <c r="GGK33" s="206"/>
      <c r="GGL33" s="206"/>
      <c r="GGM33" s="206"/>
      <c r="GGN33" s="206"/>
      <c r="GGO33" s="206"/>
      <c r="GGP33" s="206"/>
      <c r="GGQ33" s="206"/>
      <c r="GGR33" s="206"/>
      <c r="GGS33" s="206"/>
      <c r="GGT33" s="206"/>
      <c r="GGU33" s="206"/>
      <c r="GGV33" s="206"/>
      <c r="GGW33" s="206"/>
      <c r="GGX33" s="206"/>
      <c r="GGY33" s="206"/>
      <c r="GGZ33" s="206"/>
      <c r="GHA33" s="206"/>
      <c r="GHB33" s="206"/>
      <c r="GHC33" s="206"/>
      <c r="GHD33" s="206"/>
      <c r="GHE33" s="206"/>
      <c r="GHF33" s="206"/>
      <c r="GHG33" s="206"/>
      <c r="GHH33" s="206"/>
      <c r="GHI33" s="206"/>
      <c r="GHJ33" s="206"/>
      <c r="GHK33" s="206"/>
      <c r="GHL33" s="206"/>
      <c r="GHM33" s="206"/>
      <c r="GHN33" s="206"/>
      <c r="GHO33" s="206"/>
      <c r="GHP33" s="206"/>
      <c r="GHQ33" s="206"/>
      <c r="GHR33" s="206"/>
      <c r="GHS33" s="206"/>
      <c r="GHT33" s="206"/>
      <c r="GHU33" s="206"/>
      <c r="GHV33" s="206"/>
      <c r="GHW33" s="206"/>
      <c r="GHX33" s="206"/>
      <c r="GHY33" s="206"/>
      <c r="GHZ33" s="206"/>
      <c r="GIA33" s="206"/>
      <c r="GIB33" s="206"/>
      <c r="GIC33" s="206"/>
      <c r="GID33" s="206"/>
      <c r="GIE33" s="206"/>
      <c r="GIF33" s="206"/>
      <c r="GIG33" s="206"/>
      <c r="GIH33" s="206"/>
      <c r="GII33" s="206"/>
      <c r="GIJ33" s="206"/>
      <c r="GIK33" s="206"/>
      <c r="GIL33" s="206"/>
      <c r="GIM33" s="206"/>
      <c r="GIN33" s="206"/>
      <c r="GIO33" s="206"/>
      <c r="GIP33" s="206"/>
      <c r="GIQ33" s="206"/>
      <c r="GIR33" s="206"/>
      <c r="GIS33" s="206"/>
      <c r="GIT33" s="206"/>
      <c r="GIU33" s="206"/>
      <c r="GIV33" s="206"/>
      <c r="GIW33" s="206"/>
      <c r="GIX33" s="206"/>
      <c r="GIY33" s="206"/>
      <c r="GIZ33" s="206"/>
      <c r="GJA33" s="206"/>
      <c r="GJB33" s="206"/>
      <c r="GJC33" s="206"/>
      <c r="GJD33" s="206"/>
      <c r="GJE33" s="206"/>
      <c r="GJF33" s="206"/>
      <c r="GJG33" s="206"/>
      <c r="GJH33" s="206"/>
      <c r="GJI33" s="206"/>
      <c r="GJJ33" s="206"/>
      <c r="GJK33" s="206"/>
      <c r="GJL33" s="206"/>
      <c r="GJM33" s="206"/>
      <c r="GJN33" s="206"/>
      <c r="GJO33" s="206"/>
      <c r="GJP33" s="206"/>
      <c r="GJQ33" s="206"/>
      <c r="GJR33" s="206"/>
      <c r="GJS33" s="206"/>
      <c r="GJT33" s="206"/>
      <c r="GJU33" s="206"/>
      <c r="GJV33" s="206"/>
      <c r="GJW33" s="206"/>
      <c r="GJX33" s="206"/>
      <c r="GJY33" s="206"/>
      <c r="GJZ33" s="206"/>
      <c r="GKA33" s="206"/>
      <c r="GKB33" s="206"/>
      <c r="GKC33" s="206"/>
      <c r="GKD33" s="206"/>
      <c r="GKE33" s="206"/>
      <c r="GKF33" s="206"/>
      <c r="GKG33" s="206"/>
      <c r="GKH33" s="206"/>
      <c r="GKI33" s="206"/>
      <c r="GKJ33" s="206"/>
      <c r="GKK33" s="206"/>
      <c r="GKL33" s="206"/>
      <c r="GKM33" s="206"/>
      <c r="GKN33" s="206"/>
      <c r="GKO33" s="206"/>
      <c r="GKP33" s="206"/>
      <c r="GKQ33" s="206"/>
      <c r="GKR33" s="206"/>
      <c r="GKS33" s="206"/>
      <c r="GKT33" s="206"/>
      <c r="GKU33" s="206"/>
      <c r="GKV33" s="206"/>
      <c r="GKW33" s="206"/>
      <c r="GKX33" s="206"/>
      <c r="GKY33" s="206"/>
      <c r="GKZ33" s="206"/>
      <c r="GLA33" s="206"/>
      <c r="GLB33" s="206"/>
      <c r="GLC33" s="206"/>
      <c r="GLD33" s="206"/>
      <c r="GLE33" s="206"/>
      <c r="GLF33" s="206"/>
      <c r="GLG33" s="206"/>
      <c r="GLH33" s="206"/>
      <c r="GLI33" s="206"/>
      <c r="GLJ33" s="206"/>
      <c r="GLK33" s="206"/>
      <c r="GLL33" s="206"/>
      <c r="GLM33" s="206"/>
      <c r="GLN33" s="206"/>
      <c r="GLO33" s="206"/>
      <c r="GLP33" s="206"/>
      <c r="GLQ33" s="206"/>
      <c r="GLR33" s="206"/>
      <c r="GLS33" s="206"/>
      <c r="GLT33" s="206"/>
      <c r="GLU33" s="206"/>
      <c r="GLV33" s="206"/>
      <c r="GLW33" s="206"/>
      <c r="GLX33" s="206"/>
      <c r="GLY33" s="206"/>
      <c r="GLZ33" s="206"/>
      <c r="GMA33" s="206"/>
      <c r="GMB33" s="206"/>
      <c r="GMC33" s="206"/>
      <c r="GMD33" s="206"/>
      <c r="GME33" s="206"/>
      <c r="GMF33" s="206"/>
      <c r="GMG33" s="206"/>
      <c r="GMH33" s="206"/>
      <c r="GMI33" s="206"/>
      <c r="GMJ33" s="206"/>
      <c r="GMK33" s="206"/>
      <c r="GML33" s="206"/>
      <c r="GMM33" s="206"/>
      <c r="GMN33" s="206"/>
      <c r="GMO33" s="206"/>
      <c r="GMP33" s="206"/>
      <c r="GMQ33" s="206"/>
      <c r="GMR33" s="206"/>
      <c r="GMS33" s="206"/>
      <c r="GMT33" s="206"/>
      <c r="GMU33" s="206"/>
      <c r="GMV33" s="206"/>
      <c r="GMW33" s="206"/>
      <c r="GMX33" s="206"/>
      <c r="GMY33" s="206"/>
      <c r="GMZ33" s="206"/>
      <c r="GNA33" s="206"/>
      <c r="GNB33" s="206"/>
      <c r="GNC33" s="206"/>
      <c r="GND33" s="206"/>
      <c r="GNE33" s="206"/>
      <c r="GNF33" s="206"/>
      <c r="GNG33" s="206"/>
      <c r="GNH33" s="206"/>
      <c r="GNI33" s="206"/>
      <c r="GNJ33" s="206"/>
      <c r="GNK33" s="206"/>
      <c r="GNL33" s="206"/>
      <c r="GNM33" s="206"/>
      <c r="GNN33" s="206"/>
      <c r="GNO33" s="206"/>
      <c r="GNP33" s="206"/>
      <c r="GNQ33" s="206"/>
      <c r="GNR33" s="206"/>
      <c r="GNS33" s="206"/>
      <c r="GNT33" s="206"/>
      <c r="GNU33" s="206"/>
      <c r="GNV33" s="206"/>
      <c r="GNW33" s="206"/>
      <c r="GNX33" s="206"/>
      <c r="GNY33" s="206"/>
      <c r="GNZ33" s="206"/>
      <c r="GOA33" s="206"/>
      <c r="GOB33" s="206"/>
      <c r="GOC33" s="206"/>
      <c r="GOD33" s="206"/>
      <c r="GOE33" s="206"/>
      <c r="GOF33" s="206"/>
      <c r="GOG33" s="206"/>
      <c r="GOH33" s="206"/>
      <c r="GOI33" s="206"/>
      <c r="GOJ33" s="206"/>
      <c r="GOK33" s="206"/>
      <c r="GOL33" s="206"/>
      <c r="GOM33" s="206"/>
      <c r="GON33" s="206"/>
      <c r="GOO33" s="206"/>
      <c r="GOP33" s="206"/>
      <c r="GOQ33" s="206"/>
      <c r="GOR33" s="206"/>
      <c r="GOS33" s="206"/>
      <c r="GOT33" s="206"/>
      <c r="GOU33" s="206"/>
      <c r="GOV33" s="206"/>
      <c r="GOW33" s="206"/>
      <c r="GOX33" s="206"/>
      <c r="GOY33" s="206"/>
      <c r="GOZ33" s="206"/>
      <c r="GPA33" s="206"/>
      <c r="GPB33" s="206"/>
      <c r="GPC33" s="206"/>
      <c r="GPD33" s="206"/>
      <c r="GPE33" s="206"/>
      <c r="GPF33" s="206"/>
      <c r="GPG33" s="206"/>
      <c r="GPH33" s="206"/>
      <c r="GPI33" s="206"/>
      <c r="GPJ33" s="206"/>
      <c r="GPK33" s="206"/>
      <c r="GPL33" s="206"/>
      <c r="GPM33" s="206"/>
      <c r="GPN33" s="206"/>
      <c r="GPO33" s="206"/>
      <c r="GPP33" s="206"/>
      <c r="GPQ33" s="206"/>
      <c r="GPR33" s="206"/>
      <c r="GPS33" s="206"/>
      <c r="GPT33" s="206"/>
      <c r="GPU33" s="206"/>
      <c r="GPV33" s="206"/>
      <c r="GPW33" s="206"/>
      <c r="GPX33" s="206"/>
      <c r="GPY33" s="206"/>
      <c r="GPZ33" s="206"/>
      <c r="GQA33" s="206"/>
      <c r="GQB33" s="206"/>
      <c r="GQC33" s="206"/>
      <c r="GQD33" s="206"/>
      <c r="GQE33" s="206"/>
      <c r="GQF33" s="206"/>
      <c r="GQG33" s="206"/>
      <c r="GQH33" s="206"/>
      <c r="GQI33" s="206"/>
      <c r="GQJ33" s="206"/>
      <c r="GQK33" s="206"/>
      <c r="GQL33" s="206"/>
      <c r="GQM33" s="206"/>
      <c r="GQN33" s="206"/>
      <c r="GQO33" s="206"/>
      <c r="GQP33" s="206"/>
      <c r="GQQ33" s="206"/>
      <c r="GQR33" s="206"/>
      <c r="GQS33" s="206"/>
      <c r="GQT33" s="206"/>
      <c r="GQU33" s="206"/>
      <c r="GQV33" s="206"/>
      <c r="GQW33" s="206"/>
      <c r="GQX33" s="206"/>
      <c r="GQY33" s="206"/>
      <c r="GQZ33" s="206"/>
      <c r="GRA33" s="206"/>
      <c r="GRB33" s="206"/>
      <c r="GRC33" s="206"/>
      <c r="GRD33" s="206"/>
      <c r="GRE33" s="206"/>
      <c r="GRF33" s="206"/>
      <c r="GRG33" s="206"/>
      <c r="GRH33" s="206"/>
      <c r="GRI33" s="206"/>
      <c r="GRJ33" s="206"/>
      <c r="GRK33" s="206"/>
      <c r="GRL33" s="206"/>
      <c r="GRM33" s="206"/>
      <c r="GRN33" s="206"/>
      <c r="GRO33" s="206"/>
      <c r="GRP33" s="206"/>
      <c r="GRQ33" s="206"/>
      <c r="GRR33" s="206"/>
      <c r="GRS33" s="206"/>
      <c r="GRT33" s="206"/>
      <c r="GRU33" s="206"/>
      <c r="GRV33" s="206"/>
      <c r="GRW33" s="206"/>
      <c r="GRX33" s="206"/>
      <c r="GRY33" s="206"/>
      <c r="GRZ33" s="206"/>
      <c r="GSA33" s="206"/>
      <c r="GSB33" s="206"/>
      <c r="GSC33" s="206"/>
      <c r="GSD33" s="206"/>
      <c r="GSE33" s="206"/>
      <c r="GSF33" s="206"/>
      <c r="GSG33" s="206"/>
      <c r="GSH33" s="206"/>
      <c r="GSI33" s="206"/>
      <c r="GSJ33" s="206"/>
      <c r="GSK33" s="206"/>
      <c r="GSL33" s="206"/>
      <c r="GSM33" s="206"/>
      <c r="GSN33" s="206"/>
      <c r="GSO33" s="206"/>
      <c r="GSP33" s="206"/>
      <c r="GSQ33" s="206"/>
      <c r="GSR33" s="206"/>
      <c r="GSS33" s="206"/>
      <c r="GST33" s="206"/>
      <c r="GSU33" s="206"/>
      <c r="GSV33" s="206"/>
      <c r="GSW33" s="206"/>
      <c r="GSX33" s="206"/>
      <c r="GSY33" s="206"/>
      <c r="GSZ33" s="206"/>
      <c r="GTA33" s="206"/>
      <c r="GTB33" s="206"/>
      <c r="GTC33" s="206"/>
      <c r="GTD33" s="206"/>
      <c r="GTE33" s="206"/>
      <c r="GTF33" s="206"/>
      <c r="GTG33" s="206"/>
      <c r="GTH33" s="206"/>
      <c r="GTI33" s="206"/>
      <c r="GTJ33" s="206"/>
      <c r="GTK33" s="206"/>
      <c r="GTL33" s="206"/>
      <c r="GTM33" s="206"/>
      <c r="GTN33" s="206"/>
      <c r="GTO33" s="206"/>
      <c r="GTP33" s="206"/>
      <c r="GTQ33" s="206"/>
      <c r="GTR33" s="206"/>
      <c r="GTS33" s="206"/>
      <c r="GTT33" s="206"/>
      <c r="GTU33" s="206"/>
      <c r="GTV33" s="206"/>
      <c r="GTW33" s="206"/>
      <c r="GTX33" s="206"/>
      <c r="GTY33" s="206"/>
      <c r="GTZ33" s="206"/>
      <c r="GUA33" s="206"/>
      <c r="GUB33" s="206"/>
      <c r="GUC33" s="206"/>
      <c r="GUD33" s="206"/>
      <c r="GUE33" s="206"/>
      <c r="GUF33" s="206"/>
      <c r="GUG33" s="206"/>
      <c r="GUH33" s="206"/>
      <c r="GUI33" s="206"/>
      <c r="GUJ33" s="206"/>
      <c r="GUK33" s="206"/>
      <c r="GUL33" s="206"/>
      <c r="GUM33" s="206"/>
      <c r="GUN33" s="206"/>
      <c r="GUO33" s="206"/>
      <c r="GUP33" s="206"/>
      <c r="GUQ33" s="206"/>
      <c r="GUR33" s="206"/>
      <c r="GUS33" s="206"/>
      <c r="GUT33" s="206"/>
      <c r="GUU33" s="206"/>
      <c r="GUV33" s="206"/>
      <c r="GUW33" s="206"/>
      <c r="GUX33" s="206"/>
      <c r="GUY33" s="206"/>
      <c r="GUZ33" s="206"/>
      <c r="GVA33" s="206"/>
      <c r="GVB33" s="206"/>
      <c r="GVC33" s="206"/>
      <c r="GVD33" s="206"/>
      <c r="GVE33" s="206"/>
      <c r="GVF33" s="206"/>
      <c r="GVG33" s="206"/>
      <c r="GVH33" s="206"/>
      <c r="GVI33" s="206"/>
      <c r="GVJ33" s="206"/>
      <c r="GVK33" s="206"/>
      <c r="GVL33" s="206"/>
      <c r="GVM33" s="206"/>
      <c r="GVN33" s="206"/>
      <c r="GVO33" s="206"/>
      <c r="GVP33" s="206"/>
      <c r="GVQ33" s="206"/>
      <c r="GVR33" s="206"/>
      <c r="GVS33" s="206"/>
      <c r="GVT33" s="206"/>
      <c r="GVU33" s="206"/>
      <c r="GVV33" s="206"/>
      <c r="GVW33" s="206"/>
      <c r="GVX33" s="206"/>
      <c r="GVY33" s="206"/>
      <c r="GVZ33" s="206"/>
      <c r="GWA33" s="206"/>
      <c r="GWB33" s="206"/>
      <c r="GWC33" s="206"/>
      <c r="GWD33" s="206"/>
      <c r="GWE33" s="206"/>
      <c r="GWF33" s="206"/>
      <c r="GWG33" s="206"/>
      <c r="GWH33" s="206"/>
      <c r="GWI33" s="206"/>
      <c r="GWJ33" s="206"/>
      <c r="GWK33" s="206"/>
      <c r="GWL33" s="206"/>
      <c r="GWM33" s="206"/>
      <c r="GWN33" s="206"/>
      <c r="GWO33" s="206"/>
      <c r="GWP33" s="206"/>
      <c r="GWQ33" s="206"/>
      <c r="GWR33" s="206"/>
      <c r="GWS33" s="206"/>
      <c r="GWT33" s="206"/>
      <c r="GWU33" s="206"/>
      <c r="GWV33" s="206"/>
      <c r="GWW33" s="206"/>
      <c r="GWX33" s="206"/>
      <c r="GWY33" s="206"/>
      <c r="GWZ33" s="206"/>
      <c r="GXA33" s="206"/>
      <c r="GXB33" s="206"/>
      <c r="GXC33" s="206"/>
      <c r="GXD33" s="206"/>
      <c r="GXE33" s="206"/>
      <c r="GXF33" s="206"/>
      <c r="GXG33" s="206"/>
      <c r="GXH33" s="206"/>
      <c r="GXI33" s="206"/>
      <c r="GXJ33" s="206"/>
      <c r="GXK33" s="206"/>
      <c r="GXL33" s="206"/>
      <c r="GXM33" s="206"/>
      <c r="GXN33" s="206"/>
      <c r="GXO33" s="206"/>
      <c r="GXP33" s="206"/>
      <c r="GXQ33" s="206"/>
      <c r="GXR33" s="206"/>
      <c r="GXS33" s="206"/>
      <c r="GXT33" s="206"/>
      <c r="GXU33" s="206"/>
      <c r="GXV33" s="206"/>
      <c r="GXW33" s="206"/>
      <c r="GXX33" s="206"/>
      <c r="GXY33" s="206"/>
      <c r="GXZ33" s="206"/>
      <c r="GYA33" s="206"/>
      <c r="GYB33" s="206"/>
      <c r="GYC33" s="206"/>
      <c r="GYD33" s="206"/>
      <c r="GYE33" s="206"/>
      <c r="GYF33" s="206"/>
      <c r="GYG33" s="206"/>
      <c r="GYH33" s="206"/>
      <c r="GYI33" s="206"/>
      <c r="GYJ33" s="206"/>
      <c r="GYK33" s="206"/>
      <c r="GYL33" s="206"/>
      <c r="GYM33" s="206"/>
      <c r="GYN33" s="206"/>
      <c r="GYO33" s="206"/>
      <c r="GYP33" s="206"/>
      <c r="GYQ33" s="206"/>
      <c r="GYR33" s="206"/>
      <c r="GYS33" s="206"/>
      <c r="GYT33" s="206"/>
      <c r="GYU33" s="206"/>
      <c r="GYV33" s="206"/>
      <c r="GYW33" s="206"/>
      <c r="GYX33" s="206"/>
      <c r="GYY33" s="206"/>
      <c r="GYZ33" s="206"/>
      <c r="GZA33" s="206"/>
      <c r="GZB33" s="206"/>
      <c r="GZC33" s="206"/>
      <c r="GZD33" s="206"/>
      <c r="GZE33" s="206"/>
      <c r="GZF33" s="206"/>
      <c r="GZG33" s="206"/>
      <c r="GZH33" s="206"/>
      <c r="GZI33" s="206"/>
      <c r="GZJ33" s="206"/>
      <c r="GZK33" s="206"/>
      <c r="GZL33" s="206"/>
      <c r="GZM33" s="206"/>
      <c r="GZN33" s="206"/>
      <c r="GZO33" s="206"/>
      <c r="GZP33" s="206"/>
      <c r="GZQ33" s="206"/>
      <c r="GZR33" s="206"/>
      <c r="GZS33" s="206"/>
      <c r="GZT33" s="206"/>
      <c r="GZU33" s="206"/>
      <c r="GZV33" s="206"/>
      <c r="GZW33" s="206"/>
      <c r="GZX33" s="206"/>
      <c r="GZY33" s="206"/>
      <c r="GZZ33" s="206"/>
      <c r="HAA33" s="206"/>
      <c r="HAB33" s="206"/>
      <c r="HAC33" s="206"/>
      <c r="HAD33" s="206"/>
      <c r="HAE33" s="206"/>
      <c r="HAF33" s="206"/>
      <c r="HAG33" s="206"/>
      <c r="HAH33" s="206"/>
      <c r="HAI33" s="206"/>
      <c r="HAJ33" s="206"/>
      <c r="HAK33" s="206"/>
      <c r="HAL33" s="206"/>
      <c r="HAM33" s="206"/>
      <c r="HAN33" s="206"/>
      <c r="HAO33" s="206"/>
      <c r="HAP33" s="206"/>
      <c r="HAQ33" s="206"/>
      <c r="HAR33" s="206"/>
      <c r="HAS33" s="206"/>
      <c r="HAT33" s="206"/>
      <c r="HAU33" s="206"/>
      <c r="HAV33" s="206"/>
      <c r="HAW33" s="206"/>
      <c r="HAX33" s="206"/>
      <c r="HAY33" s="206"/>
      <c r="HAZ33" s="206"/>
      <c r="HBA33" s="206"/>
      <c r="HBB33" s="206"/>
      <c r="HBC33" s="206"/>
      <c r="HBD33" s="206"/>
      <c r="HBE33" s="206"/>
      <c r="HBF33" s="206"/>
      <c r="HBG33" s="206"/>
      <c r="HBH33" s="206"/>
      <c r="HBI33" s="206"/>
      <c r="HBJ33" s="206"/>
      <c r="HBK33" s="206"/>
      <c r="HBL33" s="206"/>
      <c r="HBM33" s="206"/>
      <c r="HBN33" s="206"/>
      <c r="HBO33" s="206"/>
      <c r="HBP33" s="206"/>
      <c r="HBQ33" s="206"/>
      <c r="HBR33" s="206"/>
      <c r="HBS33" s="206"/>
      <c r="HBT33" s="206"/>
      <c r="HBU33" s="206"/>
      <c r="HBV33" s="206"/>
      <c r="HBW33" s="206"/>
      <c r="HBX33" s="206"/>
      <c r="HBY33" s="206"/>
      <c r="HBZ33" s="206"/>
      <c r="HCA33" s="206"/>
      <c r="HCB33" s="206"/>
      <c r="HCC33" s="206"/>
      <c r="HCD33" s="206"/>
      <c r="HCE33" s="206"/>
      <c r="HCF33" s="206"/>
      <c r="HCG33" s="206"/>
      <c r="HCH33" s="206"/>
      <c r="HCI33" s="206"/>
      <c r="HCJ33" s="206"/>
      <c r="HCK33" s="206"/>
      <c r="HCL33" s="206"/>
      <c r="HCM33" s="206"/>
      <c r="HCN33" s="206"/>
      <c r="HCO33" s="206"/>
      <c r="HCP33" s="206"/>
      <c r="HCQ33" s="206"/>
      <c r="HCR33" s="206"/>
      <c r="HCS33" s="206"/>
      <c r="HCT33" s="206"/>
      <c r="HCU33" s="206"/>
      <c r="HCV33" s="206"/>
      <c r="HCW33" s="206"/>
      <c r="HCX33" s="206"/>
      <c r="HCY33" s="206"/>
      <c r="HCZ33" s="206"/>
      <c r="HDA33" s="206"/>
      <c r="HDB33" s="206"/>
      <c r="HDC33" s="206"/>
      <c r="HDD33" s="206"/>
      <c r="HDE33" s="206"/>
      <c r="HDF33" s="206"/>
      <c r="HDG33" s="206"/>
      <c r="HDH33" s="206"/>
      <c r="HDI33" s="206"/>
      <c r="HDJ33" s="206"/>
      <c r="HDK33" s="206"/>
      <c r="HDL33" s="206"/>
      <c r="HDM33" s="206"/>
      <c r="HDN33" s="206"/>
      <c r="HDO33" s="206"/>
      <c r="HDP33" s="206"/>
      <c r="HDQ33" s="206"/>
      <c r="HDR33" s="206"/>
      <c r="HDS33" s="206"/>
      <c r="HDT33" s="206"/>
      <c r="HDU33" s="206"/>
      <c r="HDV33" s="206"/>
      <c r="HDW33" s="206"/>
      <c r="HDX33" s="206"/>
      <c r="HDY33" s="206"/>
      <c r="HDZ33" s="206"/>
      <c r="HEA33" s="206"/>
      <c r="HEB33" s="206"/>
      <c r="HEC33" s="206"/>
      <c r="HED33" s="206"/>
      <c r="HEE33" s="206"/>
      <c r="HEF33" s="206"/>
      <c r="HEG33" s="206"/>
      <c r="HEH33" s="206"/>
      <c r="HEI33" s="206"/>
      <c r="HEJ33" s="206"/>
      <c r="HEK33" s="206"/>
      <c r="HEL33" s="206"/>
      <c r="HEM33" s="206"/>
      <c r="HEN33" s="206"/>
      <c r="HEO33" s="206"/>
      <c r="HEP33" s="206"/>
      <c r="HEQ33" s="206"/>
      <c r="HER33" s="206"/>
      <c r="HES33" s="206"/>
      <c r="HET33" s="206"/>
      <c r="HEU33" s="206"/>
      <c r="HEV33" s="206"/>
      <c r="HEW33" s="206"/>
      <c r="HEX33" s="206"/>
      <c r="HEY33" s="206"/>
      <c r="HEZ33" s="206"/>
      <c r="HFA33" s="206"/>
      <c r="HFB33" s="206"/>
      <c r="HFC33" s="206"/>
      <c r="HFD33" s="206"/>
      <c r="HFE33" s="206"/>
      <c r="HFF33" s="206"/>
      <c r="HFG33" s="206"/>
      <c r="HFH33" s="206"/>
      <c r="HFI33" s="206"/>
      <c r="HFJ33" s="206"/>
      <c r="HFK33" s="206"/>
      <c r="HFL33" s="206"/>
      <c r="HFM33" s="206"/>
      <c r="HFN33" s="206"/>
      <c r="HFO33" s="206"/>
      <c r="HFP33" s="206"/>
      <c r="HFQ33" s="206"/>
      <c r="HFR33" s="206"/>
      <c r="HFS33" s="206"/>
      <c r="HFT33" s="206"/>
      <c r="HFU33" s="206"/>
      <c r="HFV33" s="206"/>
      <c r="HFW33" s="206"/>
      <c r="HFX33" s="206"/>
      <c r="HFY33" s="206"/>
      <c r="HFZ33" s="206"/>
      <c r="HGA33" s="206"/>
      <c r="HGB33" s="206"/>
      <c r="HGC33" s="206"/>
      <c r="HGD33" s="206"/>
      <c r="HGE33" s="206"/>
      <c r="HGF33" s="206"/>
      <c r="HGG33" s="206"/>
      <c r="HGH33" s="206"/>
      <c r="HGI33" s="206"/>
      <c r="HGJ33" s="206"/>
      <c r="HGK33" s="206"/>
      <c r="HGL33" s="206"/>
      <c r="HGM33" s="206"/>
      <c r="HGN33" s="206"/>
      <c r="HGO33" s="206"/>
      <c r="HGP33" s="206"/>
      <c r="HGQ33" s="206"/>
      <c r="HGR33" s="206"/>
      <c r="HGS33" s="206"/>
      <c r="HGT33" s="206"/>
      <c r="HGU33" s="206"/>
      <c r="HGV33" s="206"/>
      <c r="HGW33" s="206"/>
      <c r="HGX33" s="206"/>
      <c r="HGY33" s="206"/>
      <c r="HGZ33" s="206"/>
      <c r="HHA33" s="206"/>
      <c r="HHB33" s="206"/>
      <c r="HHC33" s="206"/>
      <c r="HHD33" s="206"/>
      <c r="HHE33" s="206"/>
      <c r="HHF33" s="206"/>
      <c r="HHG33" s="206"/>
      <c r="HHH33" s="206"/>
      <c r="HHI33" s="206"/>
      <c r="HHJ33" s="206"/>
      <c r="HHK33" s="206"/>
      <c r="HHL33" s="206"/>
      <c r="HHM33" s="206"/>
      <c r="HHN33" s="206"/>
      <c r="HHO33" s="206"/>
      <c r="HHP33" s="206"/>
      <c r="HHQ33" s="206"/>
      <c r="HHR33" s="206"/>
      <c r="HHS33" s="206"/>
      <c r="HHT33" s="206"/>
      <c r="HHU33" s="206"/>
      <c r="HHV33" s="206"/>
      <c r="HHW33" s="206"/>
      <c r="HHX33" s="206"/>
      <c r="HHY33" s="206"/>
      <c r="HHZ33" s="206"/>
      <c r="HIA33" s="206"/>
      <c r="HIB33" s="206"/>
      <c r="HIC33" s="206"/>
      <c r="HID33" s="206"/>
      <c r="HIE33" s="206"/>
      <c r="HIF33" s="206"/>
      <c r="HIG33" s="206"/>
      <c r="HIH33" s="206"/>
      <c r="HII33" s="206"/>
      <c r="HIJ33" s="206"/>
      <c r="HIK33" s="206"/>
      <c r="HIL33" s="206"/>
      <c r="HIM33" s="206"/>
      <c r="HIN33" s="206"/>
      <c r="HIO33" s="206"/>
      <c r="HIP33" s="206"/>
      <c r="HIQ33" s="206"/>
      <c r="HIR33" s="206"/>
      <c r="HIS33" s="206"/>
      <c r="HIT33" s="206"/>
      <c r="HIU33" s="206"/>
      <c r="HIV33" s="206"/>
      <c r="HIW33" s="206"/>
      <c r="HIX33" s="206"/>
      <c r="HIY33" s="206"/>
      <c r="HIZ33" s="206"/>
      <c r="HJA33" s="206"/>
      <c r="HJB33" s="206"/>
      <c r="HJC33" s="206"/>
      <c r="HJD33" s="206"/>
      <c r="HJE33" s="206"/>
      <c r="HJF33" s="206"/>
      <c r="HJG33" s="206"/>
      <c r="HJH33" s="206"/>
      <c r="HJI33" s="206"/>
      <c r="HJJ33" s="206"/>
      <c r="HJK33" s="206"/>
      <c r="HJL33" s="206"/>
      <c r="HJM33" s="206"/>
      <c r="HJN33" s="206"/>
      <c r="HJO33" s="206"/>
      <c r="HJP33" s="206"/>
      <c r="HJQ33" s="206"/>
      <c r="HJR33" s="206"/>
      <c r="HJS33" s="206"/>
      <c r="HJT33" s="206"/>
      <c r="HJU33" s="206"/>
      <c r="HJV33" s="206"/>
      <c r="HJW33" s="206"/>
      <c r="HJX33" s="206"/>
      <c r="HJY33" s="206"/>
      <c r="HJZ33" s="206"/>
      <c r="HKA33" s="206"/>
      <c r="HKB33" s="206"/>
      <c r="HKC33" s="206"/>
      <c r="HKD33" s="206"/>
      <c r="HKE33" s="206"/>
      <c r="HKF33" s="206"/>
      <c r="HKG33" s="206"/>
      <c r="HKH33" s="206"/>
      <c r="HKI33" s="206"/>
      <c r="HKJ33" s="206"/>
      <c r="HKK33" s="206"/>
      <c r="HKL33" s="206"/>
      <c r="HKM33" s="206"/>
      <c r="HKN33" s="206"/>
      <c r="HKO33" s="206"/>
      <c r="HKP33" s="206"/>
      <c r="HKQ33" s="206"/>
      <c r="HKR33" s="206"/>
      <c r="HKS33" s="206"/>
      <c r="HKT33" s="206"/>
      <c r="HKU33" s="206"/>
      <c r="HKV33" s="206"/>
      <c r="HKW33" s="206"/>
      <c r="HKX33" s="206"/>
      <c r="HKY33" s="206"/>
      <c r="HKZ33" s="206"/>
      <c r="HLA33" s="206"/>
      <c r="HLB33" s="206"/>
      <c r="HLC33" s="206"/>
      <c r="HLD33" s="206"/>
      <c r="HLE33" s="206"/>
      <c r="HLF33" s="206"/>
      <c r="HLG33" s="206"/>
      <c r="HLH33" s="206"/>
      <c r="HLI33" s="206"/>
      <c r="HLJ33" s="206"/>
      <c r="HLK33" s="206"/>
      <c r="HLL33" s="206"/>
      <c r="HLM33" s="206"/>
      <c r="HLN33" s="206"/>
      <c r="HLO33" s="206"/>
      <c r="HLP33" s="206"/>
      <c r="HLQ33" s="206"/>
      <c r="HLR33" s="206"/>
      <c r="HLS33" s="206"/>
      <c r="HLT33" s="206"/>
      <c r="HLU33" s="206"/>
      <c r="HLV33" s="206"/>
      <c r="HLW33" s="206"/>
      <c r="HLX33" s="206"/>
      <c r="HLY33" s="206"/>
      <c r="HLZ33" s="206"/>
      <c r="HMA33" s="206"/>
      <c r="HMB33" s="206"/>
      <c r="HMC33" s="206"/>
      <c r="HMD33" s="206"/>
      <c r="HME33" s="206"/>
      <c r="HMF33" s="206"/>
      <c r="HMG33" s="206"/>
      <c r="HMH33" s="206"/>
      <c r="HMI33" s="206"/>
      <c r="HMJ33" s="206"/>
      <c r="HMK33" s="206"/>
      <c r="HML33" s="206"/>
      <c r="HMM33" s="206"/>
      <c r="HMN33" s="206"/>
      <c r="HMO33" s="206"/>
      <c r="HMP33" s="206"/>
      <c r="HMQ33" s="206"/>
      <c r="HMR33" s="206"/>
      <c r="HMS33" s="206"/>
      <c r="HMT33" s="206"/>
      <c r="HMU33" s="206"/>
      <c r="HMV33" s="206"/>
      <c r="HMW33" s="206"/>
      <c r="HMX33" s="206"/>
      <c r="HMY33" s="206"/>
      <c r="HMZ33" s="206"/>
      <c r="HNA33" s="206"/>
      <c r="HNB33" s="206"/>
      <c r="HNC33" s="206"/>
      <c r="HND33" s="206"/>
      <c r="HNE33" s="206"/>
      <c r="HNF33" s="206"/>
      <c r="HNG33" s="206"/>
      <c r="HNH33" s="206"/>
      <c r="HNI33" s="206"/>
      <c r="HNJ33" s="206"/>
      <c r="HNK33" s="206"/>
      <c r="HNL33" s="206"/>
      <c r="HNM33" s="206"/>
      <c r="HNN33" s="206"/>
      <c r="HNO33" s="206"/>
      <c r="HNP33" s="206"/>
      <c r="HNQ33" s="206"/>
      <c r="HNR33" s="206"/>
      <c r="HNS33" s="206"/>
      <c r="HNT33" s="206"/>
      <c r="HNU33" s="206"/>
      <c r="HNV33" s="206"/>
      <c r="HNW33" s="206"/>
      <c r="HNX33" s="206"/>
      <c r="HNY33" s="206"/>
      <c r="HNZ33" s="206"/>
      <c r="HOA33" s="206"/>
      <c r="HOB33" s="206"/>
      <c r="HOC33" s="206"/>
      <c r="HOD33" s="206"/>
      <c r="HOE33" s="206"/>
      <c r="HOF33" s="206"/>
      <c r="HOG33" s="206"/>
      <c r="HOH33" s="206"/>
      <c r="HOI33" s="206"/>
      <c r="HOJ33" s="206"/>
      <c r="HOK33" s="206"/>
      <c r="HOL33" s="206"/>
      <c r="HOM33" s="206"/>
      <c r="HON33" s="206"/>
      <c r="HOO33" s="206"/>
      <c r="HOP33" s="206"/>
      <c r="HOQ33" s="206"/>
      <c r="HOR33" s="206"/>
      <c r="HOS33" s="206"/>
      <c r="HOT33" s="206"/>
      <c r="HOU33" s="206"/>
      <c r="HOV33" s="206"/>
      <c r="HOW33" s="206"/>
      <c r="HOX33" s="206"/>
      <c r="HOY33" s="206"/>
      <c r="HOZ33" s="206"/>
      <c r="HPA33" s="206"/>
      <c r="HPB33" s="206"/>
      <c r="HPC33" s="206"/>
      <c r="HPD33" s="206"/>
      <c r="HPE33" s="206"/>
      <c r="HPF33" s="206"/>
      <c r="HPG33" s="206"/>
      <c r="HPH33" s="206"/>
      <c r="HPI33" s="206"/>
      <c r="HPJ33" s="206"/>
      <c r="HPK33" s="206"/>
      <c r="HPL33" s="206"/>
      <c r="HPM33" s="206"/>
      <c r="HPN33" s="206"/>
      <c r="HPO33" s="206"/>
      <c r="HPP33" s="206"/>
      <c r="HPQ33" s="206"/>
      <c r="HPR33" s="206"/>
      <c r="HPS33" s="206"/>
      <c r="HPT33" s="206"/>
      <c r="HPU33" s="206"/>
      <c r="HPV33" s="206"/>
      <c r="HPW33" s="206"/>
      <c r="HPX33" s="206"/>
      <c r="HPY33" s="206"/>
      <c r="HPZ33" s="206"/>
      <c r="HQA33" s="206"/>
      <c r="HQB33" s="206"/>
      <c r="HQC33" s="206"/>
      <c r="HQD33" s="206"/>
      <c r="HQE33" s="206"/>
      <c r="HQF33" s="206"/>
      <c r="HQG33" s="206"/>
      <c r="HQH33" s="206"/>
      <c r="HQI33" s="206"/>
      <c r="HQJ33" s="206"/>
      <c r="HQK33" s="206"/>
      <c r="HQL33" s="206"/>
      <c r="HQM33" s="206"/>
      <c r="HQN33" s="206"/>
      <c r="HQO33" s="206"/>
      <c r="HQP33" s="206"/>
      <c r="HQQ33" s="206"/>
      <c r="HQR33" s="206"/>
      <c r="HQS33" s="206"/>
      <c r="HQT33" s="206"/>
      <c r="HQU33" s="206"/>
      <c r="HQV33" s="206"/>
      <c r="HQW33" s="206"/>
      <c r="HQX33" s="206"/>
      <c r="HQY33" s="206"/>
      <c r="HQZ33" s="206"/>
      <c r="HRA33" s="206"/>
      <c r="HRB33" s="206"/>
      <c r="HRC33" s="206"/>
      <c r="HRD33" s="206"/>
      <c r="HRE33" s="206"/>
      <c r="HRF33" s="206"/>
      <c r="HRG33" s="206"/>
      <c r="HRH33" s="206"/>
      <c r="HRI33" s="206"/>
      <c r="HRJ33" s="206"/>
      <c r="HRK33" s="206"/>
      <c r="HRL33" s="206"/>
      <c r="HRM33" s="206"/>
      <c r="HRN33" s="206"/>
      <c r="HRO33" s="206"/>
      <c r="HRP33" s="206"/>
      <c r="HRQ33" s="206"/>
      <c r="HRR33" s="206"/>
      <c r="HRS33" s="206"/>
      <c r="HRT33" s="206"/>
      <c r="HRU33" s="206"/>
      <c r="HRV33" s="206"/>
      <c r="HRW33" s="206"/>
      <c r="HRX33" s="206"/>
      <c r="HRY33" s="206"/>
      <c r="HRZ33" s="206"/>
      <c r="HSA33" s="206"/>
      <c r="HSB33" s="206"/>
      <c r="HSC33" s="206"/>
      <c r="HSD33" s="206"/>
      <c r="HSE33" s="206"/>
      <c r="HSF33" s="206"/>
      <c r="HSG33" s="206"/>
      <c r="HSH33" s="206"/>
      <c r="HSI33" s="206"/>
      <c r="HSJ33" s="206"/>
      <c r="HSK33" s="206"/>
      <c r="HSL33" s="206"/>
      <c r="HSM33" s="206"/>
      <c r="HSN33" s="206"/>
      <c r="HSO33" s="206"/>
      <c r="HSP33" s="206"/>
      <c r="HSQ33" s="206"/>
      <c r="HSR33" s="206"/>
      <c r="HSS33" s="206"/>
      <c r="HST33" s="206"/>
      <c r="HSU33" s="206"/>
      <c r="HSV33" s="206"/>
      <c r="HSW33" s="206"/>
      <c r="HSX33" s="206"/>
      <c r="HSY33" s="206"/>
      <c r="HSZ33" s="206"/>
      <c r="HTA33" s="206"/>
      <c r="HTB33" s="206"/>
      <c r="HTC33" s="206"/>
      <c r="HTD33" s="206"/>
      <c r="HTE33" s="206"/>
      <c r="HTF33" s="206"/>
      <c r="HTG33" s="206"/>
      <c r="HTH33" s="206"/>
      <c r="HTI33" s="206"/>
      <c r="HTJ33" s="206"/>
      <c r="HTK33" s="206"/>
      <c r="HTL33" s="206"/>
      <c r="HTM33" s="206"/>
      <c r="HTN33" s="206"/>
      <c r="HTO33" s="206"/>
      <c r="HTP33" s="206"/>
      <c r="HTQ33" s="206"/>
      <c r="HTR33" s="206"/>
      <c r="HTS33" s="206"/>
      <c r="HTT33" s="206"/>
      <c r="HTU33" s="206"/>
      <c r="HTV33" s="206"/>
      <c r="HTW33" s="206"/>
      <c r="HTX33" s="206"/>
      <c r="HTY33" s="206"/>
      <c r="HTZ33" s="206"/>
      <c r="HUA33" s="206"/>
      <c r="HUB33" s="206"/>
      <c r="HUC33" s="206"/>
      <c r="HUD33" s="206"/>
      <c r="HUE33" s="206"/>
      <c r="HUF33" s="206"/>
      <c r="HUG33" s="206"/>
      <c r="HUH33" s="206"/>
      <c r="HUI33" s="206"/>
      <c r="HUJ33" s="206"/>
      <c r="HUK33" s="206"/>
      <c r="HUL33" s="206"/>
      <c r="HUM33" s="206"/>
      <c r="HUN33" s="206"/>
      <c r="HUO33" s="206"/>
      <c r="HUP33" s="206"/>
      <c r="HUQ33" s="206"/>
      <c r="HUR33" s="206"/>
      <c r="HUS33" s="206"/>
      <c r="HUT33" s="206"/>
      <c r="HUU33" s="206"/>
      <c r="HUV33" s="206"/>
      <c r="HUW33" s="206"/>
      <c r="HUX33" s="206"/>
      <c r="HUY33" s="206"/>
      <c r="HUZ33" s="206"/>
      <c r="HVA33" s="206"/>
      <c r="HVB33" s="206"/>
      <c r="HVC33" s="206"/>
      <c r="HVD33" s="206"/>
      <c r="HVE33" s="206"/>
      <c r="HVF33" s="206"/>
      <c r="HVG33" s="206"/>
      <c r="HVH33" s="206"/>
      <c r="HVI33" s="206"/>
      <c r="HVJ33" s="206"/>
      <c r="HVK33" s="206"/>
      <c r="HVL33" s="206"/>
      <c r="HVM33" s="206"/>
      <c r="HVN33" s="206"/>
      <c r="HVO33" s="206"/>
      <c r="HVP33" s="206"/>
      <c r="HVQ33" s="206"/>
      <c r="HVR33" s="206"/>
      <c r="HVS33" s="206"/>
      <c r="HVT33" s="206"/>
      <c r="HVU33" s="206"/>
      <c r="HVV33" s="206"/>
      <c r="HVW33" s="206"/>
      <c r="HVX33" s="206"/>
      <c r="HVY33" s="206"/>
      <c r="HVZ33" s="206"/>
      <c r="HWA33" s="206"/>
      <c r="HWB33" s="206"/>
      <c r="HWC33" s="206"/>
      <c r="HWD33" s="206"/>
      <c r="HWE33" s="206"/>
      <c r="HWF33" s="206"/>
      <c r="HWG33" s="206"/>
      <c r="HWH33" s="206"/>
      <c r="HWI33" s="206"/>
      <c r="HWJ33" s="206"/>
      <c r="HWK33" s="206"/>
      <c r="HWL33" s="206"/>
      <c r="HWM33" s="206"/>
      <c r="HWN33" s="206"/>
      <c r="HWO33" s="206"/>
      <c r="HWP33" s="206"/>
      <c r="HWQ33" s="206"/>
      <c r="HWR33" s="206"/>
      <c r="HWS33" s="206"/>
      <c r="HWT33" s="206"/>
      <c r="HWU33" s="206"/>
      <c r="HWV33" s="206"/>
      <c r="HWW33" s="206"/>
      <c r="HWX33" s="206"/>
      <c r="HWY33" s="206"/>
      <c r="HWZ33" s="206"/>
      <c r="HXA33" s="206"/>
      <c r="HXB33" s="206"/>
      <c r="HXC33" s="206"/>
      <c r="HXD33" s="206"/>
      <c r="HXE33" s="206"/>
      <c r="HXF33" s="206"/>
      <c r="HXG33" s="206"/>
      <c r="HXH33" s="206"/>
      <c r="HXI33" s="206"/>
      <c r="HXJ33" s="206"/>
      <c r="HXK33" s="206"/>
      <c r="HXL33" s="206"/>
      <c r="HXM33" s="206"/>
      <c r="HXN33" s="206"/>
      <c r="HXO33" s="206"/>
      <c r="HXP33" s="206"/>
      <c r="HXQ33" s="206"/>
      <c r="HXR33" s="206"/>
      <c r="HXS33" s="206"/>
      <c r="HXT33" s="206"/>
      <c r="HXU33" s="206"/>
      <c r="HXV33" s="206"/>
      <c r="HXW33" s="206"/>
      <c r="HXX33" s="206"/>
      <c r="HXY33" s="206"/>
      <c r="HXZ33" s="206"/>
      <c r="HYA33" s="206"/>
      <c r="HYB33" s="206"/>
      <c r="HYC33" s="206"/>
      <c r="HYD33" s="206"/>
      <c r="HYE33" s="206"/>
      <c r="HYF33" s="206"/>
      <c r="HYG33" s="206"/>
      <c r="HYH33" s="206"/>
      <c r="HYI33" s="206"/>
      <c r="HYJ33" s="206"/>
      <c r="HYK33" s="206"/>
      <c r="HYL33" s="206"/>
      <c r="HYM33" s="206"/>
      <c r="HYN33" s="206"/>
      <c r="HYO33" s="206"/>
      <c r="HYP33" s="206"/>
      <c r="HYQ33" s="206"/>
      <c r="HYR33" s="206"/>
      <c r="HYS33" s="206"/>
      <c r="HYT33" s="206"/>
      <c r="HYU33" s="206"/>
      <c r="HYV33" s="206"/>
      <c r="HYW33" s="206"/>
      <c r="HYX33" s="206"/>
      <c r="HYY33" s="206"/>
      <c r="HYZ33" s="206"/>
      <c r="HZA33" s="206"/>
      <c r="HZB33" s="206"/>
      <c r="HZC33" s="206"/>
      <c r="HZD33" s="206"/>
      <c r="HZE33" s="206"/>
      <c r="HZF33" s="206"/>
      <c r="HZG33" s="206"/>
      <c r="HZH33" s="206"/>
      <c r="HZI33" s="206"/>
      <c r="HZJ33" s="206"/>
      <c r="HZK33" s="206"/>
      <c r="HZL33" s="206"/>
      <c r="HZM33" s="206"/>
      <c r="HZN33" s="206"/>
      <c r="HZO33" s="206"/>
      <c r="HZP33" s="206"/>
      <c r="HZQ33" s="206"/>
      <c r="HZR33" s="206"/>
      <c r="HZS33" s="206"/>
      <c r="HZT33" s="206"/>
      <c r="HZU33" s="206"/>
      <c r="HZV33" s="206"/>
      <c r="HZW33" s="206"/>
      <c r="HZX33" s="206"/>
      <c r="HZY33" s="206"/>
      <c r="HZZ33" s="206"/>
      <c r="IAA33" s="206"/>
      <c r="IAB33" s="206"/>
      <c r="IAC33" s="206"/>
      <c r="IAD33" s="206"/>
      <c r="IAE33" s="206"/>
      <c r="IAF33" s="206"/>
      <c r="IAG33" s="206"/>
      <c r="IAH33" s="206"/>
      <c r="IAI33" s="206"/>
      <c r="IAJ33" s="206"/>
      <c r="IAK33" s="206"/>
      <c r="IAL33" s="206"/>
      <c r="IAM33" s="206"/>
      <c r="IAN33" s="206"/>
      <c r="IAO33" s="206"/>
      <c r="IAP33" s="206"/>
      <c r="IAQ33" s="206"/>
      <c r="IAR33" s="206"/>
      <c r="IAS33" s="206"/>
      <c r="IAT33" s="206"/>
      <c r="IAU33" s="206"/>
      <c r="IAV33" s="206"/>
      <c r="IAW33" s="206"/>
      <c r="IAX33" s="206"/>
      <c r="IAY33" s="206"/>
      <c r="IAZ33" s="206"/>
      <c r="IBA33" s="206"/>
      <c r="IBB33" s="206"/>
      <c r="IBC33" s="206"/>
      <c r="IBD33" s="206"/>
      <c r="IBE33" s="206"/>
      <c r="IBF33" s="206"/>
      <c r="IBG33" s="206"/>
      <c r="IBH33" s="206"/>
      <c r="IBI33" s="206"/>
      <c r="IBJ33" s="206"/>
      <c r="IBK33" s="206"/>
      <c r="IBL33" s="206"/>
      <c r="IBM33" s="206"/>
      <c r="IBN33" s="206"/>
      <c r="IBO33" s="206"/>
      <c r="IBP33" s="206"/>
      <c r="IBQ33" s="206"/>
      <c r="IBR33" s="206"/>
      <c r="IBS33" s="206"/>
      <c r="IBT33" s="206"/>
      <c r="IBU33" s="206"/>
      <c r="IBV33" s="206"/>
      <c r="IBW33" s="206"/>
      <c r="IBX33" s="206"/>
      <c r="IBY33" s="206"/>
      <c r="IBZ33" s="206"/>
      <c r="ICA33" s="206"/>
      <c r="ICB33" s="206"/>
      <c r="ICC33" s="206"/>
      <c r="ICD33" s="206"/>
      <c r="ICE33" s="206"/>
      <c r="ICF33" s="206"/>
      <c r="ICG33" s="206"/>
      <c r="ICH33" s="206"/>
      <c r="ICI33" s="206"/>
      <c r="ICJ33" s="206"/>
      <c r="ICK33" s="206"/>
      <c r="ICL33" s="206"/>
      <c r="ICM33" s="206"/>
      <c r="ICN33" s="206"/>
      <c r="ICO33" s="206"/>
      <c r="ICP33" s="206"/>
      <c r="ICQ33" s="206"/>
      <c r="ICR33" s="206"/>
      <c r="ICS33" s="206"/>
      <c r="ICT33" s="206"/>
      <c r="ICU33" s="206"/>
      <c r="ICV33" s="206"/>
      <c r="ICW33" s="206"/>
      <c r="ICX33" s="206"/>
      <c r="ICY33" s="206"/>
      <c r="ICZ33" s="206"/>
      <c r="IDA33" s="206"/>
      <c r="IDB33" s="206"/>
      <c r="IDC33" s="206"/>
      <c r="IDD33" s="206"/>
      <c r="IDE33" s="206"/>
      <c r="IDF33" s="206"/>
      <c r="IDG33" s="206"/>
      <c r="IDH33" s="206"/>
      <c r="IDI33" s="206"/>
      <c r="IDJ33" s="206"/>
      <c r="IDK33" s="206"/>
      <c r="IDL33" s="206"/>
      <c r="IDM33" s="206"/>
      <c r="IDN33" s="206"/>
      <c r="IDO33" s="206"/>
      <c r="IDP33" s="206"/>
      <c r="IDQ33" s="206"/>
      <c r="IDR33" s="206"/>
      <c r="IDS33" s="206"/>
      <c r="IDT33" s="206"/>
      <c r="IDU33" s="206"/>
      <c r="IDV33" s="206"/>
      <c r="IDW33" s="206"/>
      <c r="IDX33" s="206"/>
      <c r="IDY33" s="206"/>
      <c r="IDZ33" s="206"/>
      <c r="IEA33" s="206"/>
      <c r="IEB33" s="206"/>
      <c r="IEC33" s="206"/>
      <c r="IED33" s="206"/>
      <c r="IEE33" s="206"/>
      <c r="IEF33" s="206"/>
      <c r="IEG33" s="206"/>
      <c r="IEH33" s="206"/>
      <c r="IEI33" s="206"/>
      <c r="IEJ33" s="206"/>
      <c r="IEK33" s="206"/>
      <c r="IEL33" s="206"/>
      <c r="IEM33" s="206"/>
      <c r="IEN33" s="206"/>
      <c r="IEO33" s="206"/>
      <c r="IEP33" s="206"/>
      <c r="IEQ33" s="206"/>
      <c r="IER33" s="206"/>
      <c r="IES33" s="206"/>
      <c r="IET33" s="206"/>
      <c r="IEU33" s="206"/>
      <c r="IEV33" s="206"/>
      <c r="IEW33" s="206"/>
      <c r="IEX33" s="206"/>
      <c r="IEY33" s="206"/>
      <c r="IEZ33" s="206"/>
      <c r="IFA33" s="206"/>
      <c r="IFB33" s="206"/>
      <c r="IFC33" s="206"/>
      <c r="IFD33" s="206"/>
      <c r="IFE33" s="206"/>
      <c r="IFF33" s="206"/>
      <c r="IFG33" s="206"/>
      <c r="IFH33" s="206"/>
      <c r="IFI33" s="206"/>
      <c r="IFJ33" s="206"/>
      <c r="IFK33" s="206"/>
      <c r="IFL33" s="206"/>
      <c r="IFM33" s="206"/>
      <c r="IFN33" s="206"/>
      <c r="IFO33" s="206"/>
      <c r="IFP33" s="206"/>
      <c r="IFQ33" s="206"/>
      <c r="IFR33" s="206"/>
      <c r="IFS33" s="206"/>
      <c r="IFT33" s="206"/>
      <c r="IFU33" s="206"/>
      <c r="IFV33" s="206"/>
      <c r="IFW33" s="206"/>
      <c r="IFX33" s="206"/>
      <c r="IFY33" s="206"/>
      <c r="IFZ33" s="206"/>
      <c r="IGA33" s="206"/>
      <c r="IGB33" s="206"/>
      <c r="IGC33" s="206"/>
      <c r="IGD33" s="206"/>
      <c r="IGE33" s="206"/>
      <c r="IGF33" s="206"/>
      <c r="IGG33" s="206"/>
      <c r="IGH33" s="206"/>
      <c r="IGI33" s="206"/>
      <c r="IGJ33" s="206"/>
      <c r="IGK33" s="206"/>
      <c r="IGL33" s="206"/>
      <c r="IGM33" s="206"/>
      <c r="IGN33" s="206"/>
      <c r="IGO33" s="206"/>
      <c r="IGP33" s="206"/>
      <c r="IGQ33" s="206"/>
      <c r="IGR33" s="206"/>
      <c r="IGS33" s="206"/>
      <c r="IGT33" s="206"/>
      <c r="IGU33" s="206"/>
      <c r="IGV33" s="206"/>
      <c r="IGW33" s="206"/>
      <c r="IGX33" s="206"/>
      <c r="IGY33" s="206"/>
      <c r="IGZ33" s="206"/>
      <c r="IHA33" s="206"/>
      <c r="IHB33" s="206"/>
      <c r="IHC33" s="206"/>
      <c r="IHD33" s="206"/>
      <c r="IHE33" s="206"/>
      <c r="IHF33" s="206"/>
      <c r="IHG33" s="206"/>
      <c r="IHH33" s="206"/>
      <c r="IHI33" s="206"/>
      <c r="IHJ33" s="206"/>
      <c r="IHK33" s="206"/>
      <c r="IHL33" s="206"/>
      <c r="IHM33" s="206"/>
      <c r="IHN33" s="206"/>
      <c r="IHO33" s="206"/>
      <c r="IHP33" s="206"/>
      <c r="IHQ33" s="206"/>
      <c r="IHR33" s="206"/>
      <c r="IHS33" s="206"/>
      <c r="IHT33" s="206"/>
      <c r="IHU33" s="206"/>
      <c r="IHV33" s="206"/>
      <c r="IHW33" s="206"/>
      <c r="IHX33" s="206"/>
      <c r="IHY33" s="206"/>
      <c r="IHZ33" s="206"/>
      <c r="IIA33" s="206"/>
      <c r="IIB33" s="206"/>
      <c r="IIC33" s="206"/>
      <c r="IID33" s="206"/>
      <c r="IIE33" s="206"/>
      <c r="IIF33" s="206"/>
      <c r="IIG33" s="206"/>
      <c r="IIH33" s="206"/>
      <c r="III33" s="206"/>
      <c r="IIJ33" s="206"/>
      <c r="IIK33" s="206"/>
      <c r="IIL33" s="206"/>
      <c r="IIM33" s="206"/>
      <c r="IIN33" s="206"/>
      <c r="IIO33" s="206"/>
      <c r="IIP33" s="206"/>
      <c r="IIQ33" s="206"/>
      <c r="IIR33" s="206"/>
      <c r="IIS33" s="206"/>
      <c r="IIT33" s="206"/>
      <c r="IIU33" s="206"/>
      <c r="IIV33" s="206"/>
      <c r="IIW33" s="206"/>
      <c r="IIX33" s="206"/>
      <c r="IIY33" s="206"/>
      <c r="IIZ33" s="206"/>
      <c r="IJA33" s="206"/>
      <c r="IJB33" s="206"/>
      <c r="IJC33" s="206"/>
      <c r="IJD33" s="206"/>
      <c r="IJE33" s="206"/>
      <c r="IJF33" s="206"/>
      <c r="IJG33" s="206"/>
      <c r="IJH33" s="206"/>
      <c r="IJI33" s="206"/>
      <c r="IJJ33" s="206"/>
      <c r="IJK33" s="206"/>
      <c r="IJL33" s="206"/>
      <c r="IJM33" s="206"/>
      <c r="IJN33" s="206"/>
      <c r="IJO33" s="206"/>
      <c r="IJP33" s="206"/>
      <c r="IJQ33" s="206"/>
      <c r="IJR33" s="206"/>
      <c r="IJS33" s="206"/>
      <c r="IJT33" s="206"/>
      <c r="IJU33" s="206"/>
      <c r="IJV33" s="206"/>
      <c r="IJW33" s="206"/>
      <c r="IJX33" s="206"/>
      <c r="IJY33" s="206"/>
      <c r="IJZ33" s="206"/>
      <c r="IKA33" s="206"/>
      <c r="IKB33" s="206"/>
      <c r="IKC33" s="206"/>
      <c r="IKD33" s="206"/>
      <c r="IKE33" s="206"/>
      <c r="IKF33" s="206"/>
      <c r="IKG33" s="206"/>
      <c r="IKH33" s="206"/>
      <c r="IKI33" s="206"/>
      <c r="IKJ33" s="206"/>
      <c r="IKK33" s="206"/>
      <c r="IKL33" s="206"/>
      <c r="IKM33" s="206"/>
      <c r="IKN33" s="206"/>
      <c r="IKO33" s="206"/>
      <c r="IKP33" s="206"/>
      <c r="IKQ33" s="206"/>
      <c r="IKR33" s="206"/>
      <c r="IKS33" s="206"/>
      <c r="IKT33" s="206"/>
      <c r="IKU33" s="206"/>
      <c r="IKV33" s="206"/>
      <c r="IKW33" s="206"/>
      <c r="IKX33" s="206"/>
      <c r="IKY33" s="206"/>
      <c r="IKZ33" s="206"/>
      <c r="ILA33" s="206"/>
      <c r="ILB33" s="206"/>
      <c r="ILC33" s="206"/>
      <c r="ILD33" s="206"/>
      <c r="ILE33" s="206"/>
      <c r="ILF33" s="206"/>
      <c r="ILG33" s="206"/>
      <c r="ILH33" s="206"/>
      <c r="ILI33" s="206"/>
      <c r="ILJ33" s="206"/>
      <c r="ILK33" s="206"/>
      <c r="ILL33" s="206"/>
      <c r="ILM33" s="206"/>
      <c r="ILN33" s="206"/>
      <c r="ILO33" s="206"/>
      <c r="ILP33" s="206"/>
      <c r="ILQ33" s="206"/>
      <c r="ILR33" s="206"/>
      <c r="ILS33" s="206"/>
      <c r="ILT33" s="206"/>
      <c r="ILU33" s="206"/>
      <c r="ILV33" s="206"/>
      <c r="ILW33" s="206"/>
      <c r="ILX33" s="206"/>
      <c r="ILY33" s="206"/>
      <c r="ILZ33" s="206"/>
      <c r="IMA33" s="206"/>
      <c r="IMB33" s="206"/>
      <c r="IMC33" s="206"/>
      <c r="IMD33" s="206"/>
      <c r="IME33" s="206"/>
      <c r="IMF33" s="206"/>
      <c r="IMG33" s="206"/>
      <c r="IMH33" s="206"/>
      <c r="IMI33" s="206"/>
      <c r="IMJ33" s="206"/>
      <c r="IMK33" s="206"/>
      <c r="IML33" s="206"/>
      <c r="IMM33" s="206"/>
      <c r="IMN33" s="206"/>
      <c r="IMO33" s="206"/>
      <c r="IMP33" s="206"/>
      <c r="IMQ33" s="206"/>
      <c r="IMR33" s="206"/>
      <c r="IMS33" s="206"/>
      <c r="IMT33" s="206"/>
      <c r="IMU33" s="206"/>
      <c r="IMV33" s="206"/>
      <c r="IMW33" s="206"/>
      <c r="IMX33" s="206"/>
      <c r="IMY33" s="206"/>
      <c r="IMZ33" s="206"/>
      <c r="INA33" s="206"/>
      <c r="INB33" s="206"/>
      <c r="INC33" s="206"/>
      <c r="IND33" s="206"/>
      <c r="INE33" s="206"/>
      <c r="INF33" s="206"/>
      <c r="ING33" s="206"/>
      <c r="INH33" s="206"/>
      <c r="INI33" s="206"/>
      <c r="INJ33" s="206"/>
      <c r="INK33" s="206"/>
      <c r="INL33" s="206"/>
      <c r="INM33" s="206"/>
      <c r="INN33" s="206"/>
      <c r="INO33" s="206"/>
      <c r="INP33" s="206"/>
      <c r="INQ33" s="206"/>
      <c r="INR33" s="206"/>
      <c r="INS33" s="206"/>
      <c r="INT33" s="206"/>
      <c r="INU33" s="206"/>
      <c r="INV33" s="206"/>
      <c r="INW33" s="206"/>
      <c r="INX33" s="206"/>
      <c r="INY33" s="206"/>
      <c r="INZ33" s="206"/>
      <c r="IOA33" s="206"/>
      <c r="IOB33" s="206"/>
      <c r="IOC33" s="206"/>
      <c r="IOD33" s="206"/>
      <c r="IOE33" s="206"/>
      <c r="IOF33" s="206"/>
      <c r="IOG33" s="206"/>
      <c r="IOH33" s="206"/>
      <c r="IOI33" s="206"/>
      <c r="IOJ33" s="206"/>
      <c r="IOK33" s="206"/>
      <c r="IOL33" s="206"/>
      <c r="IOM33" s="206"/>
      <c r="ION33" s="206"/>
      <c r="IOO33" s="206"/>
      <c r="IOP33" s="206"/>
      <c r="IOQ33" s="206"/>
      <c r="IOR33" s="206"/>
      <c r="IOS33" s="206"/>
      <c r="IOT33" s="206"/>
      <c r="IOU33" s="206"/>
      <c r="IOV33" s="206"/>
      <c r="IOW33" s="206"/>
      <c r="IOX33" s="206"/>
      <c r="IOY33" s="206"/>
      <c r="IOZ33" s="206"/>
      <c r="IPA33" s="206"/>
      <c r="IPB33" s="206"/>
      <c r="IPC33" s="206"/>
      <c r="IPD33" s="206"/>
      <c r="IPE33" s="206"/>
      <c r="IPF33" s="206"/>
      <c r="IPG33" s="206"/>
      <c r="IPH33" s="206"/>
      <c r="IPI33" s="206"/>
      <c r="IPJ33" s="206"/>
      <c r="IPK33" s="206"/>
      <c r="IPL33" s="206"/>
      <c r="IPM33" s="206"/>
      <c r="IPN33" s="206"/>
      <c r="IPO33" s="206"/>
      <c r="IPP33" s="206"/>
      <c r="IPQ33" s="206"/>
      <c r="IPR33" s="206"/>
      <c r="IPS33" s="206"/>
      <c r="IPT33" s="206"/>
      <c r="IPU33" s="206"/>
      <c r="IPV33" s="206"/>
      <c r="IPW33" s="206"/>
      <c r="IPX33" s="206"/>
      <c r="IPY33" s="206"/>
      <c r="IPZ33" s="206"/>
      <c r="IQA33" s="206"/>
      <c r="IQB33" s="206"/>
      <c r="IQC33" s="206"/>
      <c r="IQD33" s="206"/>
      <c r="IQE33" s="206"/>
      <c r="IQF33" s="206"/>
      <c r="IQG33" s="206"/>
      <c r="IQH33" s="206"/>
      <c r="IQI33" s="206"/>
      <c r="IQJ33" s="206"/>
      <c r="IQK33" s="206"/>
      <c r="IQL33" s="206"/>
      <c r="IQM33" s="206"/>
      <c r="IQN33" s="206"/>
      <c r="IQO33" s="206"/>
      <c r="IQP33" s="206"/>
      <c r="IQQ33" s="206"/>
      <c r="IQR33" s="206"/>
      <c r="IQS33" s="206"/>
      <c r="IQT33" s="206"/>
      <c r="IQU33" s="206"/>
      <c r="IQV33" s="206"/>
      <c r="IQW33" s="206"/>
      <c r="IQX33" s="206"/>
      <c r="IQY33" s="206"/>
      <c r="IQZ33" s="206"/>
      <c r="IRA33" s="206"/>
      <c r="IRB33" s="206"/>
      <c r="IRC33" s="206"/>
      <c r="IRD33" s="206"/>
      <c r="IRE33" s="206"/>
      <c r="IRF33" s="206"/>
      <c r="IRG33" s="206"/>
      <c r="IRH33" s="206"/>
      <c r="IRI33" s="206"/>
      <c r="IRJ33" s="206"/>
      <c r="IRK33" s="206"/>
      <c r="IRL33" s="206"/>
      <c r="IRM33" s="206"/>
      <c r="IRN33" s="206"/>
      <c r="IRO33" s="206"/>
      <c r="IRP33" s="206"/>
      <c r="IRQ33" s="206"/>
      <c r="IRR33" s="206"/>
      <c r="IRS33" s="206"/>
      <c r="IRT33" s="206"/>
      <c r="IRU33" s="206"/>
      <c r="IRV33" s="206"/>
      <c r="IRW33" s="206"/>
      <c r="IRX33" s="206"/>
      <c r="IRY33" s="206"/>
      <c r="IRZ33" s="206"/>
      <c r="ISA33" s="206"/>
      <c r="ISB33" s="206"/>
      <c r="ISC33" s="206"/>
      <c r="ISD33" s="206"/>
      <c r="ISE33" s="206"/>
      <c r="ISF33" s="206"/>
      <c r="ISG33" s="206"/>
      <c r="ISH33" s="206"/>
      <c r="ISI33" s="206"/>
      <c r="ISJ33" s="206"/>
      <c r="ISK33" s="206"/>
      <c r="ISL33" s="206"/>
      <c r="ISM33" s="206"/>
      <c r="ISN33" s="206"/>
      <c r="ISO33" s="206"/>
      <c r="ISP33" s="206"/>
      <c r="ISQ33" s="206"/>
      <c r="ISR33" s="206"/>
      <c r="ISS33" s="206"/>
      <c r="IST33" s="206"/>
      <c r="ISU33" s="206"/>
      <c r="ISV33" s="206"/>
      <c r="ISW33" s="206"/>
      <c r="ISX33" s="206"/>
      <c r="ISY33" s="206"/>
      <c r="ISZ33" s="206"/>
      <c r="ITA33" s="206"/>
      <c r="ITB33" s="206"/>
      <c r="ITC33" s="206"/>
      <c r="ITD33" s="206"/>
      <c r="ITE33" s="206"/>
      <c r="ITF33" s="206"/>
      <c r="ITG33" s="206"/>
      <c r="ITH33" s="206"/>
      <c r="ITI33" s="206"/>
      <c r="ITJ33" s="206"/>
      <c r="ITK33" s="206"/>
      <c r="ITL33" s="206"/>
      <c r="ITM33" s="206"/>
      <c r="ITN33" s="206"/>
      <c r="ITO33" s="206"/>
      <c r="ITP33" s="206"/>
      <c r="ITQ33" s="206"/>
      <c r="ITR33" s="206"/>
      <c r="ITS33" s="206"/>
      <c r="ITT33" s="206"/>
      <c r="ITU33" s="206"/>
      <c r="ITV33" s="206"/>
      <c r="ITW33" s="206"/>
      <c r="ITX33" s="206"/>
      <c r="ITY33" s="206"/>
      <c r="ITZ33" s="206"/>
      <c r="IUA33" s="206"/>
      <c r="IUB33" s="206"/>
      <c r="IUC33" s="206"/>
      <c r="IUD33" s="206"/>
      <c r="IUE33" s="206"/>
      <c r="IUF33" s="206"/>
      <c r="IUG33" s="206"/>
      <c r="IUH33" s="206"/>
      <c r="IUI33" s="206"/>
      <c r="IUJ33" s="206"/>
      <c r="IUK33" s="206"/>
      <c r="IUL33" s="206"/>
      <c r="IUM33" s="206"/>
      <c r="IUN33" s="206"/>
      <c r="IUO33" s="206"/>
      <c r="IUP33" s="206"/>
      <c r="IUQ33" s="206"/>
      <c r="IUR33" s="206"/>
      <c r="IUS33" s="206"/>
      <c r="IUT33" s="206"/>
      <c r="IUU33" s="206"/>
      <c r="IUV33" s="206"/>
      <c r="IUW33" s="206"/>
      <c r="IUX33" s="206"/>
      <c r="IUY33" s="206"/>
      <c r="IUZ33" s="206"/>
      <c r="IVA33" s="206"/>
      <c r="IVB33" s="206"/>
      <c r="IVC33" s="206"/>
      <c r="IVD33" s="206"/>
      <c r="IVE33" s="206"/>
      <c r="IVF33" s="206"/>
      <c r="IVG33" s="206"/>
      <c r="IVH33" s="206"/>
      <c r="IVI33" s="206"/>
      <c r="IVJ33" s="206"/>
      <c r="IVK33" s="206"/>
      <c r="IVL33" s="206"/>
      <c r="IVM33" s="206"/>
      <c r="IVN33" s="206"/>
      <c r="IVO33" s="206"/>
      <c r="IVP33" s="206"/>
      <c r="IVQ33" s="206"/>
      <c r="IVR33" s="206"/>
      <c r="IVS33" s="206"/>
      <c r="IVT33" s="206"/>
      <c r="IVU33" s="206"/>
      <c r="IVV33" s="206"/>
      <c r="IVW33" s="206"/>
      <c r="IVX33" s="206"/>
      <c r="IVY33" s="206"/>
      <c r="IVZ33" s="206"/>
      <c r="IWA33" s="206"/>
      <c r="IWB33" s="206"/>
      <c r="IWC33" s="206"/>
      <c r="IWD33" s="206"/>
      <c r="IWE33" s="206"/>
      <c r="IWF33" s="206"/>
      <c r="IWG33" s="206"/>
      <c r="IWH33" s="206"/>
      <c r="IWI33" s="206"/>
      <c r="IWJ33" s="206"/>
      <c r="IWK33" s="206"/>
      <c r="IWL33" s="206"/>
      <c r="IWM33" s="206"/>
      <c r="IWN33" s="206"/>
      <c r="IWO33" s="206"/>
      <c r="IWP33" s="206"/>
      <c r="IWQ33" s="206"/>
      <c r="IWR33" s="206"/>
      <c r="IWS33" s="206"/>
      <c r="IWT33" s="206"/>
      <c r="IWU33" s="206"/>
      <c r="IWV33" s="206"/>
      <c r="IWW33" s="206"/>
      <c r="IWX33" s="206"/>
      <c r="IWY33" s="206"/>
      <c r="IWZ33" s="206"/>
      <c r="IXA33" s="206"/>
      <c r="IXB33" s="206"/>
      <c r="IXC33" s="206"/>
      <c r="IXD33" s="206"/>
      <c r="IXE33" s="206"/>
      <c r="IXF33" s="206"/>
      <c r="IXG33" s="206"/>
      <c r="IXH33" s="206"/>
      <c r="IXI33" s="206"/>
      <c r="IXJ33" s="206"/>
      <c r="IXK33" s="206"/>
      <c r="IXL33" s="206"/>
      <c r="IXM33" s="206"/>
      <c r="IXN33" s="206"/>
      <c r="IXO33" s="206"/>
      <c r="IXP33" s="206"/>
      <c r="IXQ33" s="206"/>
      <c r="IXR33" s="206"/>
      <c r="IXS33" s="206"/>
      <c r="IXT33" s="206"/>
      <c r="IXU33" s="206"/>
      <c r="IXV33" s="206"/>
      <c r="IXW33" s="206"/>
      <c r="IXX33" s="206"/>
      <c r="IXY33" s="206"/>
      <c r="IXZ33" s="206"/>
      <c r="IYA33" s="206"/>
      <c r="IYB33" s="206"/>
      <c r="IYC33" s="206"/>
      <c r="IYD33" s="206"/>
      <c r="IYE33" s="206"/>
      <c r="IYF33" s="206"/>
      <c r="IYG33" s="206"/>
      <c r="IYH33" s="206"/>
      <c r="IYI33" s="206"/>
      <c r="IYJ33" s="206"/>
      <c r="IYK33" s="206"/>
      <c r="IYL33" s="206"/>
      <c r="IYM33" s="206"/>
      <c r="IYN33" s="206"/>
      <c r="IYO33" s="206"/>
      <c r="IYP33" s="206"/>
      <c r="IYQ33" s="206"/>
      <c r="IYR33" s="206"/>
      <c r="IYS33" s="206"/>
      <c r="IYT33" s="206"/>
      <c r="IYU33" s="206"/>
      <c r="IYV33" s="206"/>
      <c r="IYW33" s="206"/>
      <c r="IYX33" s="206"/>
      <c r="IYY33" s="206"/>
      <c r="IYZ33" s="206"/>
      <c r="IZA33" s="206"/>
      <c r="IZB33" s="206"/>
      <c r="IZC33" s="206"/>
      <c r="IZD33" s="206"/>
      <c r="IZE33" s="206"/>
      <c r="IZF33" s="206"/>
      <c r="IZG33" s="206"/>
      <c r="IZH33" s="206"/>
      <c r="IZI33" s="206"/>
      <c r="IZJ33" s="206"/>
      <c r="IZK33" s="206"/>
      <c r="IZL33" s="206"/>
      <c r="IZM33" s="206"/>
      <c r="IZN33" s="206"/>
      <c r="IZO33" s="206"/>
      <c r="IZP33" s="206"/>
      <c r="IZQ33" s="206"/>
      <c r="IZR33" s="206"/>
      <c r="IZS33" s="206"/>
      <c r="IZT33" s="206"/>
      <c r="IZU33" s="206"/>
      <c r="IZV33" s="206"/>
      <c r="IZW33" s="206"/>
      <c r="IZX33" s="206"/>
      <c r="IZY33" s="206"/>
      <c r="IZZ33" s="206"/>
      <c r="JAA33" s="206"/>
      <c r="JAB33" s="206"/>
      <c r="JAC33" s="206"/>
      <c r="JAD33" s="206"/>
      <c r="JAE33" s="206"/>
      <c r="JAF33" s="206"/>
      <c r="JAG33" s="206"/>
      <c r="JAH33" s="206"/>
      <c r="JAI33" s="206"/>
      <c r="JAJ33" s="206"/>
      <c r="JAK33" s="206"/>
      <c r="JAL33" s="206"/>
      <c r="JAM33" s="206"/>
      <c r="JAN33" s="206"/>
      <c r="JAO33" s="206"/>
      <c r="JAP33" s="206"/>
      <c r="JAQ33" s="206"/>
      <c r="JAR33" s="206"/>
      <c r="JAS33" s="206"/>
      <c r="JAT33" s="206"/>
      <c r="JAU33" s="206"/>
      <c r="JAV33" s="206"/>
      <c r="JAW33" s="206"/>
      <c r="JAX33" s="206"/>
      <c r="JAY33" s="206"/>
      <c r="JAZ33" s="206"/>
      <c r="JBA33" s="206"/>
      <c r="JBB33" s="206"/>
      <c r="JBC33" s="206"/>
      <c r="JBD33" s="206"/>
      <c r="JBE33" s="206"/>
      <c r="JBF33" s="206"/>
      <c r="JBG33" s="206"/>
      <c r="JBH33" s="206"/>
      <c r="JBI33" s="206"/>
      <c r="JBJ33" s="206"/>
      <c r="JBK33" s="206"/>
      <c r="JBL33" s="206"/>
      <c r="JBM33" s="206"/>
      <c r="JBN33" s="206"/>
      <c r="JBO33" s="206"/>
      <c r="JBP33" s="206"/>
      <c r="JBQ33" s="206"/>
      <c r="JBR33" s="206"/>
      <c r="JBS33" s="206"/>
      <c r="JBT33" s="206"/>
      <c r="JBU33" s="206"/>
      <c r="JBV33" s="206"/>
      <c r="JBW33" s="206"/>
      <c r="JBX33" s="206"/>
      <c r="JBY33" s="206"/>
      <c r="JBZ33" s="206"/>
      <c r="JCA33" s="206"/>
      <c r="JCB33" s="206"/>
      <c r="JCC33" s="206"/>
      <c r="JCD33" s="206"/>
      <c r="JCE33" s="206"/>
      <c r="JCF33" s="206"/>
      <c r="JCG33" s="206"/>
      <c r="JCH33" s="206"/>
      <c r="JCI33" s="206"/>
      <c r="JCJ33" s="206"/>
      <c r="JCK33" s="206"/>
      <c r="JCL33" s="206"/>
      <c r="JCM33" s="206"/>
      <c r="JCN33" s="206"/>
      <c r="JCO33" s="206"/>
      <c r="JCP33" s="206"/>
      <c r="JCQ33" s="206"/>
      <c r="JCR33" s="206"/>
      <c r="JCS33" s="206"/>
      <c r="JCT33" s="206"/>
      <c r="JCU33" s="206"/>
      <c r="JCV33" s="206"/>
      <c r="JCW33" s="206"/>
      <c r="JCX33" s="206"/>
      <c r="JCY33" s="206"/>
      <c r="JCZ33" s="206"/>
      <c r="JDA33" s="206"/>
      <c r="JDB33" s="206"/>
      <c r="JDC33" s="206"/>
      <c r="JDD33" s="206"/>
      <c r="JDE33" s="206"/>
      <c r="JDF33" s="206"/>
      <c r="JDG33" s="206"/>
      <c r="JDH33" s="206"/>
      <c r="JDI33" s="206"/>
      <c r="JDJ33" s="206"/>
      <c r="JDK33" s="206"/>
      <c r="JDL33" s="206"/>
      <c r="JDM33" s="206"/>
      <c r="JDN33" s="206"/>
      <c r="JDO33" s="206"/>
      <c r="JDP33" s="206"/>
      <c r="JDQ33" s="206"/>
      <c r="JDR33" s="206"/>
      <c r="JDS33" s="206"/>
      <c r="JDT33" s="206"/>
      <c r="JDU33" s="206"/>
      <c r="JDV33" s="206"/>
      <c r="JDW33" s="206"/>
      <c r="JDX33" s="206"/>
      <c r="JDY33" s="206"/>
      <c r="JDZ33" s="206"/>
      <c r="JEA33" s="206"/>
      <c r="JEB33" s="206"/>
      <c r="JEC33" s="206"/>
      <c r="JED33" s="206"/>
      <c r="JEE33" s="206"/>
      <c r="JEF33" s="206"/>
      <c r="JEG33" s="206"/>
      <c r="JEH33" s="206"/>
      <c r="JEI33" s="206"/>
      <c r="JEJ33" s="206"/>
      <c r="JEK33" s="206"/>
      <c r="JEL33" s="206"/>
      <c r="JEM33" s="206"/>
      <c r="JEN33" s="206"/>
      <c r="JEO33" s="206"/>
      <c r="JEP33" s="206"/>
      <c r="JEQ33" s="206"/>
      <c r="JER33" s="206"/>
      <c r="JES33" s="206"/>
      <c r="JET33" s="206"/>
      <c r="JEU33" s="206"/>
      <c r="JEV33" s="206"/>
      <c r="JEW33" s="206"/>
      <c r="JEX33" s="206"/>
      <c r="JEY33" s="206"/>
      <c r="JEZ33" s="206"/>
      <c r="JFA33" s="206"/>
      <c r="JFB33" s="206"/>
      <c r="JFC33" s="206"/>
      <c r="JFD33" s="206"/>
      <c r="JFE33" s="206"/>
      <c r="JFF33" s="206"/>
      <c r="JFG33" s="206"/>
      <c r="JFH33" s="206"/>
      <c r="JFI33" s="206"/>
      <c r="JFJ33" s="206"/>
      <c r="JFK33" s="206"/>
      <c r="JFL33" s="206"/>
      <c r="JFM33" s="206"/>
      <c r="JFN33" s="206"/>
      <c r="JFO33" s="206"/>
      <c r="JFP33" s="206"/>
      <c r="JFQ33" s="206"/>
      <c r="JFR33" s="206"/>
      <c r="JFS33" s="206"/>
      <c r="JFT33" s="206"/>
      <c r="JFU33" s="206"/>
      <c r="JFV33" s="206"/>
      <c r="JFW33" s="206"/>
      <c r="JFX33" s="206"/>
      <c r="JFY33" s="206"/>
      <c r="JFZ33" s="206"/>
      <c r="JGA33" s="206"/>
      <c r="JGB33" s="206"/>
      <c r="JGC33" s="206"/>
      <c r="JGD33" s="206"/>
      <c r="JGE33" s="206"/>
      <c r="JGF33" s="206"/>
      <c r="JGG33" s="206"/>
      <c r="JGH33" s="206"/>
      <c r="JGI33" s="206"/>
      <c r="JGJ33" s="206"/>
      <c r="JGK33" s="206"/>
      <c r="JGL33" s="206"/>
      <c r="JGM33" s="206"/>
      <c r="JGN33" s="206"/>
      <c r="JGO33" s="206"/>
      <c r="JGP33" s="206"/>
      <c r="JGQ33" s="206"/>
      <c r="JGR33" s="206"/>
      <c r="JGS33" s="206"/>
      <c r="JGT33" s="206"/>
      <c r="JGU33" s="206"/>
      <c r="JGV33" s="206"/>
      <c r="JGW33" s="206"/>
      <c r="JGX33" s="206"/>
      <c r="JGY33" s="206"/>
      <c r="JGZ33" s="206"/>
      <c r="JHA33" s="206"/>
      <c r="JHB33" s="206"/>
      <c r="JHC33" s="206"/>
      <c r="JHD33" s="206"/>
      <c r="JHE33" s="206"/>
      <c r="JHF33" s="206"/>
      <c r="JHG33" s="206"/>
      <c r="JHH33" s="206"/>
      <c r="JHI33" s="206"/>
      <c r="JHJ33" s="206"/>
      <c r="JHK33" s="206"/>
      <c r="JHL33" s="206"/>
      <c r="JHM33" s="206"/>
      <c r="JHN33" s="206"/>
      <c r="JHO33" s="206"/>
      <c r="JHP33" s="206"/>
      <c r="JHQ33" s="206"/>
      <c r="JHR33" s="206"/>
      <c r="JHS33" s="206"/>
      <c r="JHT33" s="206"/>
      <c r="JHU33" s="206"/>
      <c r="JHV33" s="206"/>
      <c r="JHW33" s="206"/>
      <c r="JHX33" s="206"/>
      <c r="JHY33" s="206"/>
      <c r="JHZ33" s="206"/>
      <c r="JIA33" s="206"/>
      <c r="JIB33" s="206"/>
      <c r="JIC33" s="206"/>
      <c r="JID33" s="206"/>
      <c r="JIE33" s="206"/>
      <c r="JIF33" s="206"/>
      <c r="JIG33" s="206"/>
      <c r="JIH33" s="206"/>
      <c r="JII33" s="206"/>
      <c r="JIJ33" s="206"/>
      <c r="JIK33" s="206"/>
      <c r="JIL33" s="206"/>
      <c r="JIM33" s="206"/>
      <c r="JIN33" s="206"/>
      <c r="JIO33" s="206"/>
      <c r="JIP33" s="206"/>
      <c r="JIQ33" s="206"/>
      <c r="JIR33" s="206"/>
      <c r="JIS33" s="206"/>
      <c r="JIT33" s="206"/>
      <c r="JIU33" s="206"/>
      <c r="JIV33" s="206"/>
      <c r="JIW33" s="206"/>
      <c r="JIX33" s="206"/>
      <c r="JIY33" s="206"/>
      <c r="JIZ33" s="206"/>
      <c r="JJA33" s="206"/>
      <c r="JJB33" s="206"/>
      <c r="JJC33" s="206"/>
      <c r="JJD33" s="206"/>
      <c r="JJE33" s="206"/>
      <c r="JJF33" s="206"/>
      <c r="JJG33" s="206"/>
      <c r="JJH33" s="206"/>
      <c r="JJI33" s="206"/>
      <c r="JJJ33" s="206"/>
      <c r="JJK33" s="206"/>
      <c r="JJL33" s="206"/>
      <c r="JJM33" s="206"/>
      <c r="JJN33" s="206"/>
      <c r="JJO33" s="206"/>
      <c r="JJP33" s="206"/>
      <c r="JJQ33" s="206"/>
      <c r="JJR33" s="206"/>
      <c r="JJS33" s="206"/>
      <c r="JJT33" s="206"/>
      <c r="JJU33" s="206"/>
      <c r="JJV33" s="206"/>
      <c r="JJW33" s="206"/>
      <c r="JJX33" s="206"/>
      <c r="JJY33" s="206"/>
      <c r="JJZ33" s="206"/>
      <c r="JKA33" s="206"/>
      <c r="JKB33" s="206"/>
      <c r="JKC33" s="206"/>
      <c r="JKD33" s="206"/>
      <c r="JKE33" s="206"/>
      <c r="JKF33" s="206"/>
      <c r="JKG33" s="206"/>
      <c r="JKH33" s="206"/>
      <c r="JKI33" s="206"/>
      <c r="JKJ33" s="206"/>
      <c r="JKK33" s="206"/>
      <c r="JKL33" s="206"/>
      <c r="JKM33" s="206"/>
      <c r="JKN33" s="206"/>
      <c r="JKO33" s="206"/>
      <c r="JKP33" s="206"/>
      <c r="JKQ33" s="206"/>
      <c r="JKR33" s="206"/>
      <c r="JKS33" s="206"/>
      <c r="JKT33" s="206"/>
      <c r="JKU33" s="206"/>
      <c r="JKV33" s="206"/>
      <c r="JKW33" s="206"/>
      <c r="JKX33" s="206"/>
      <c r="JKY33" s="206"/>
      <c r="JKZ33" s="206"/>
      <c r="JLA33" s="206"/>
      <c r="JLB33" s="206"/>
      <c r="JLC33" s="206"/>
      <c r="JLD33" s="206"/>
      <c r="JLE33" s="206"/>
      <c r="JLF33" s="206"/>
      <c r="JLG33" s="206"/>
      <c r="JLH33" s="206"/>
      <c r="JLI33" s="206"/>
      <c r="JLJ33" s="206"/>
      <c r="JLK33" s="206"/>
      <c r="JLL33" s="206"/>
      <c r="JLM33" s="206"/>
      <c r="JLN33" s="206"/>
      <c r="JLO33" s="206"/>
      <c r="JLP33" s="206"/>
      <c r="JLQ33" s="206"/>
      <c r="JLR33" s="206"/>
      <c r="JLS33" s="206"/>
      <c r="JLT33" s="206"/>
      <c r="JLU33" s="206"/>
      <c r="JLV33" s="206"/>
      <c r="JLW33" s="206"/>
      <c r="JLX33" s="206"/>
      <c r="JLY33" s="206"/>
      <c r="JLZ33" s="206"/>
      <c r="JMA33" s="206"/>
      <c r="JMB33" s="206"/>
      <c r="JMC33" s="206"/>
      <c r="JMD33" s="206"/>
      <c r="JME33" s="206"/>
      <c r="JMF33" s="206"/>
      <c r="JMG33" s="206"/>
      <c r="JMH33" s="206"/>
      <c r="JMI33" s="206"/>
      <c r="JMJ33" s="206"/>
      <c r="JMK33" s="206"/>
      <c r="JML33" s="206"/>
      <c r="JMM33" s="206"/>
      <c r="JMN33" s="206"/>
      <c r="JMO33" s="206"/>
      <c r="JMP33" s="206"/>
      <c r="JMQ33" s="206"/>
      <c r="JMR33" s="206"/>
      <c r="JMS33" s="206"/>
      <c r="JMT33" s="206"/>
      <c r="JMU33" s="206"/>
      <c r="JMV33" s="206"/>
      <c r="JMW33" s="206"/>
      <c r="JMX33" s="206"/>
      <c r="JMY33" s="206"/>
      <c r="JMZ33" s="206"/>
      <c r="JNA33" s="206"/>
      <c r="JNB33" s="206"/>
      <c r="JNC33" s="206"/>
      <c r="JND33" s="206"/>
      <c r="JNE33" s="206"/>
      <c r="JNF33" s="206"/>
      <c r="JNG33" s="206"/>
      <c r="JNH33" s="206"/>
      <c r="JNI33" s="206"/>
      <c r="JNJ33" s="206"/>
      <c r="JNK33" s="206"/>
      <c r="JNL33" s="206"/>
      <c r="JNM33" s="206"/>
      <c r="JNN33" s="206"/>
      <c r="JNO33" s="206"/>
      <c r="JNP33" s="206"/>
      <c r="JNQ33" s="206"/>
      <c r="JNR33" s="206"/>
      <c r="JNS33" s="206"/>
      <c r="JNT33" s="206"/>
      <c r="JNU33" s="206"/>
      <c r="JNV33" s="206"/>
      <c r="JNW33" s="206"/>
      <c r="JNX33" s="206"/>
      <c r="JNY33" s="206"/>
      <c r="JNZ33" s="206"/>
      <c r="JOA33" s="206"/>
      <c r="JOB33" s="206"/>
      <c r="JOC33" s="206"/>
      <c r="JOD33" s="206"/>
      <c r="JOE33" s="206"/>
      <c r="JOF33" s="206"/>
      <c r="JOG33" s="206"/>
      <c r="JOH33" s="206"/>
      <c r="JOI33" s="206"/>
      <c r="JOJ33" s="206"/>
      <c r="JOK33" s="206"/>
      <c r="JOL33" s="206"/>
      <c r="JOM33" s="206"/>
      <c r="JON33" s="206"/>
      <c r="JOO33" s="206"/>
      <c r="JOP33" s="206"/>
      <c r="JOQ33" s="206"/>
      <c r="JOR33" s="206"/>
      <c r="JOS33" s="206"/>
      <c r="JOT33" s="206"/>
      <c r="JOU33" s="206"/>
      <c r="JOV33" s="206"/>
      <c r="JOW33" s="206"/>
      <c r="JOX33" s="206"/>
      <c r="JOY33" s="206"/>
      <c r="JOZ33" s="206"/>
      <c r="JPA33" s="206"/>
      <c r="JPB33" s="206"/>
      <c r="JPC33" s="206"/>
      <c r="JPD33" s="206"/>
      <c r="JPE33" s="206"/>
      <c r="JPF33" s="206"/>
      <c r="JPG33" s="206"/>
      <c r="JPH33" s="206"/>
      <c r="JPI33" s="206"/>
      <c r="JPJ33" s="206"/>
      <c r="JPK33" s="206"/>
      <c r="JPL33" s="206"/>
      <c r="JPM33" s="206"/>
      <c r="JPN33" s="206"/>
      <c r="JPO33" s="206"/>
      <c r="JPP33" s="206"/>
      <c r="JPQ33" s="206"/>
      <c r="JPR33" s="206"/>
      <c r="JPS33" s="206"/>
      <c r="JPT33" s="206"/>
      <c r="JPU33" s="206"/>
      <c r="JPV33" s="206"/>
      <c r="JPW33" s="206"/>
      <c r="JPX33" s="206"/>
      <c r="JPY33" s="206"/>
      <c r="JPZ33" s="206"/>
      <c r="JQA33" s="206"/>
      <c r="JQB33" s="206"/>
      <c r="JQC33" s="206"/>
      <c r="JQD33" s="206"/>
      <c r="JQE33" s="206"/>
      <c r="JQF33" s="206"/>
      <c r="JQG33" s="206"/>
      <c r="JQH33" s="206"/>
      <c r="JQI33" s="206"/>
      <c r="JQJ33" s="206"/>
      <c r="JQK33" s="206"/>
      <c r="JQL33" s="206"/>
      <c r="JQM33" s="206"/>
      <c r="JQN33" s="206"/>
      <c r="JQO33" s="206"/>
      <c r="JQP33" s="206"/>
      <c r="JQQ33" s="206"/>
      <c r="JQR33" s="206"/>
      <c r="JQS33" s="206"/>
      <c r="JQT33" s="206"/>
      <c r="JQU33" s="206"/>
      <c r="JQV33" s="206"/>
      <c r="JQW33" s="206"/>
      <c r="JQX33" s="206"/>
      <c r="JQY33" s="206"/>
      <c r="JQZ33" s="206"/>
      <c r="JRA33" s="206"/>
      <c r="JRB33" s="206"/>
      <c r="JRC33" s="206"/>
      <c r="JRD33" s="206"/>
      <c r="JRE33" s="206"/>
      <c r="JRF33" s="206"/>
      <c r="JRG33" s="206"/>
      <c r="JRH33" s="206"/>
      <c r="JRI33" s="206"/>
      <c r="JRJ33" s="206"/>
      <c r="JRK33" s="206"/>
      <c r="JRL33" s="206"/>
      <c r="JRM33" s="206"/>
      <c r="JRN33" s="206"/>
      <c r="JRO33" s="206"/>
      <c r="JRP33" s="206"/>
      <c r="JRQ33" s="206"/>
      <c r="JRR33" s="206"/>
      <c r="JRS33" s="206"/>
      <c r="JRT33" s="206"/>
      <c r="JRU33" s="206"/>
      <c r="JRV33" s="206"/>
      <c r="JRW33" s="206"/>
      <c r="JRX33" s="206"/>
      <c r="JRY33" s="206"/>
      <c r="JRZ33" s="206"/>
      <c r="JSA33" s="206"/>
      <c r="JSB33" s="206"/>
      <c r="JSC33" s="206"/>
      <c r="JSD33" s="206"/>
      <c r="JSE33" s="206"/>
      <c r="JSF33" s="206"/>
      <c r="JSG33" s="206"/>
      <c r="JSH33" s="206"/>
      <c r="JSI33" s="206"/>
      <c r="JSJ33" s="206"/>
      <c r="JSK33" s="206"/>
      <c r="JSL33" s="206"/>
      <c r="JSM33" s="206"/>
      <c r="JSN33" s="206"/>
      <c r="JSO33" s="206"/>
      <c r="JSP33" s="206"/>
      <c r="JSQ33" s="206"/>
      <c r="JSR33" s="206"/>
      <c r="JSS33" s="206"/>
      <c r="JST33" s="206"/>
      <c r="JSU33" s="206"/>
      <c r="JSV33" s="206"/>
      <c r="JSW33" s="206"/>
      <c r="JSX33" s="206"/>
      <c r="JSY33" s="206"/>
      <c r="JSZ33" s="206"/>
      <c r="JTA33" s="206"/>
      <c r="JTB33" s="206"/>
      <c r="JTC33" s="206"/>
      <c r="JTD33" s="206"/>
      <c r="JTE33" s="206"/>
      <c r="JTF33" s="206"/>
      <c r="JTG33" s="206"/>
      <c r="JTH33" s="206"/>
      <c r="JTI33" s="206"/>
      <c r="JTJ33" s="206"/>
      <c r="JTK33" s="206"/>
      <c r="JTL33" s="206"/>
      <c r="JTM33" s="206"/>
      <c r="JTN33" s="206"/>
      <c r="JTO33" s="206"/>
      <c r="JTP33" s="206"/>
      <c r="JTQ33" s="206"/>
      <c r="JTR33" s="206"/>
      <c r="JTS33" s="206"/>
      <c r="JTT33" s="206"/>
      <c r="JTU33" s="206"/>
      <c r="JTV33" s="206"/>
      <c r="JTW33" s="206"/>
      <c r="JTX33" s="206"/>
      <c r="JTY33" s="206"/>
      <c r="JTZ33" s="206"/>
      <c r="JUA33" s="206"/>
      <c r="JUB33" s="206"/>
      <c r="JUC33" s="206"/>
      <c r="JUD33" s="206"/>
      <c r="JUE33" s="206"/>
      <c r="JUF33" s="206"/>
      <c r="JUG33" s="206"/>
      <c r="JUH33" s="206"/>
      <c r="JUI33" s="206"/>
      <c r="JUJ33" s="206"/>
      <c r="JUK33" s="206"/>
      <c r="JUL33" s="206"/>
      <c r="JUM33" s="206"/>
      <c r="JUN33" s="206"/>
      <c r="JUO33" s="206"/>
      <c r="JUP33" s="206"/>
      <c r="JUQ33" s="206"/>
      <c r="JUR33" s="206"/>
      <c r="JUS33" s="206"/>
      <c r="JUT33" s="206"/>
      <c r="JUU33" s="206"/>
      <c r="JUV33" s="206"/>
      <c r="JUW33" s="206"/>
      <c r="JUX33" s="206"/>
      <c r="JUY33" s="206"/>
      <c r="JUZ33" s="206"/>
      <c r="JVA33" s="206"/>
      <c r="JVB33" s="206"/>
      <c r="JVC33" s="206"/>
      <c r="JVD33" s="206"/>
      <c r="JVE33" s="206"/>
      <c r="JVF33" s="206"/>
      <c r="JVG33" s="206"/>
      <c r="JVH33" s="206"/>
      <c r="JVI33" s="206"/>
      <c r="JVJ33" s="206"/>
      <c r="JVK33" s="206"/>
      <c r="JVL33" s="206"/>
      <c r="JVM33" s="206"/>
      <c r="JVN33" s="206"/>
      <c r="JVO33" s="206"/>
      <c r="JVP33" s="206"/>
      <c r="JVQ33" s="206"/>
      <c r="JVR33" s="206"/>
      <c r="JVS33" s="206"/>
      <c r="JVT33" s="206"/>
      <c r="JVU33" s="206"/>
      <c r="JVV33" s="206"/>
      <c r="JVW33" s="206"/>
      <c r="JVX33" s="206"/>
      <c r="JVY33" s="206"/>
      <c r="JVZ33" s="206"/>
      <c r="JWA33" s="206"/>
      <c r="JWB33" s="206"/>
      <c r="JWC33" s="206"/>
      <c r="JWD33" s="206"/>
      <c r="JWE33" s="206"/>
      <c r="JWF33" s="206"/>
      <c r="JWG33" s="206"/>
      <c r="JWH33" s="206"/>
      <c r="JWI33" s="206"/>
      <c r="JWJ33" s="206"/>
      <c r="JWK33" s="206"/>
      <c r="JWL33" s="206"/>
      <c r="JWM33" s="206"/>
      <c r="JWN33" s="206"/>
      <c r="JWO33" s="206"/>
      <c r="JWP33" s="206"/>
      <c r="JWQ33" s="206"/>
      <c r="JWR33" s="206"/>
      <c r="JWS33" s="206"/>
      <c r="JWT33" s="206"/>
      <c r="JWU33" s="206"/>
      <c r="JWV33" s="206"/>
      <c r="JWW33" s="206"/>
      <c r="JWX33" s="206"/>
      <c r="JWY33" s="206"/>
      <c r="JWZ33" s="206"/>
      <c r="JXA33" s="206"/>
      <c r="JXB33" s="206"/>
      <c r="JXC33" s="206"/>
      <c r="JXD33" s="206"/>
      <c r="JXE33" s="206"/>
      <c r="JXF33" s="206"/>
      <c r="JXG33" s="206"/>
      <c r="JXH33" s="206"/>
      <c r="JXI33" s="206"/>
      <c r="JXJ33" s="206"/>
      <c r="JXK33" s="206"/>
      <c r="JXL33" s="206"/>
      <c r="JXM33" s="206"/>
      <c r="JXN33" s="206"/>
      <c r="JXO33" s="206"/>
      <c r="JXP33" s="206"/>
      <c r="JXQ33" s="206"/>
      <c r="JXR33" s="206"/>
      <c r="JXS33" s="206"/>
      <c r="JXT33" s="206"/>
      <c r="JXU33" s="206"/>
      <c r="JXV33" s="206"/>
      <c r="JXW33" s="206"/>
      <c r="JXX33" s="206"/>
      <c r="JXY33" s="206"/>
      <c r="JXZ33" s="206"/>
      <c r="JYA33" s="206"/>
      <c r="JYB33" s="206"/>
      <c r="JYC33" s="206"/>
      <c r="JYD33" s="206"/>
      <c r="JYE33" s="206"/>
      <c r="JYF33" s="206"/>
      <c r="JYG33" s="206"/>
      <c r="JYH33" s="206"/>
      <c r="JYI33" s="206"/>
      <c r="JYJ33" s="206"/>
      <c r="JYK33" s="206"/>
      <c r="JYL33" s="206"/>
      <c r="JYM33" s="206"/>
      <c r="JYN33" s="206"/>
      <c r="JYO33" s="206"/>
      <c r="JYP33" s="206"/>
      <c r="JYQ33" s="206"/>
      <c r="JYR33" s="206"/>
      <c r="JYS33" s="206"/>
      <c r="JYT33" s="206"/>
      <c r="JYU33" s="206"/>
      <c r="JYV33" s="206"/>
      <c r="JYW33" s="206"/>
      <c r="JYX33" s="206"/>
      <c r="JYY33" s="206"/>
      <c r="JYZ33" s="206"/>
      <c r="JZA33" s="206"/>
      <c r="JZB33" s="206"/>
      <c r="JZC33" s="206"/>
      <c r="JZD33" s="206"/>
      <c r="JZE33" s="206"/>
      <c r="JZF33" s="206"/>
      <c r="JZG33" s="206"/>
      <c r="JZH33" s="206"/>
      <c r="JZI33" s="206"/>
      <c r="JZJ33" s="206"/>
      <c r="JZK33" s="206"/>
      <c r="JZL33" s="206"/>
      <c r="JZM33" s="206"/>
      <c r="JZN33" s="206"/>
      <c r="JZO33" s="206"/>
      <c r="JZP33" s="206"/>
      <c r="JZQ33" s="206"/>
      <c r="JZR33" s="206"/>
      <c r="JZS33" s="206"/>
      <c r="JZT33" s="206"/>
      <c r="JZU33" s="206"/>
      <c r="JZV33" s="206"/>
      <c r="JZW33" s="206"/>
      <c r="JZX33" s="206"/>
      <c r="JZY33" s="206"/>
      <c r="JZZ33" s="206"/>
      <c r="KAA33" s="206"/>
      <c r="KAB33" s="206"/>
      <c r="KAC33" s="206"/>
      <c r="KAD33" s="206"/>
      <c r="KAE33" s="206"/>
      <c r="KAF33" s="206"/>
      <c r="KAG33" s="206"/>
      <c r="KAH33" s="206"/>
      <c r="KAI33" s="206"/>
      <c r="KAJ33" s="206"/>
      <c r="KAK33" s="206"/>
      <c r="KAL33" s="206"/>
      <c r="KAM33" s="206"/>
      <c r="KAN33" s="206"/>
      <c r="KAO33" s="206"/>
      <c r="KAP33" s="206"/>
      <c r="KAQ33" s="206"/>
      <c r="KAR33" s="206"/>
      <c r="KAS33" s="206"/>
      <c r="KAT33" s="206"/>
      <c r="KAU33" s="206"/>
      <c r="KAV33" s="206"/>
      <c r="KAW33" s="206"/>
      <c r="KAX33" s="206"/>
      <c r="KAY33" s="206"/>
      <c r="KAZ33" s="206"/>
      <c r="KBA33" s="206"/>
      <c r="KBB33" s="206"/>
      <c r="KBC33" s="206"/>
      <c r="KBD33" s="206"/>
      <c r="KBE33" s="206"/>
      <c r="KBF33" s="206"/>
      <c r="KBG33" s="206"/>
      <c r="KBH33" s="206"/>
      <c r="KBI33" s="206"/>
      <c r="KBJ33" s="206"/>
      <c r="KBK33" s="206"/>
      <c r="KBL33" s="206"/>
      <c r="KBM33" s="206"/>
      <c r="KBN33" s="206"/>
      <c r="KBO33" s="206"/>
      <c r="KBP33" s="206"/>
      <c r="KBQ33" s="206"/>
      <c r="KBR33" s="206"/>
      <c r="KBS33" s="206"/>
      <c r="KBT33" s="206"/>
      <c r="KBU33" s="206"/>
      <c r="KBV33" s="206"/>
      <c r="KBW33" s="206"/>
      <c r="KBX33" s="206"/>
      <c r="KBY33" s="206"/>
      <c r="KBZ33" s="206"/>
      <c r="KCA33" s="206"/>
      <c r="KCB33" s="206"/>
      <c r="KCC33" s="206"/>
      <c r="KCD33" s="206"/>
      <c r="KCE33" s="206"/>
      <c r="KCF33" s="206"/>
      <c r="KCG33" s="206"/>
      <c r="KCH33" s="206"/>
      <c r="KCI33" s="206"/>
      <c r="KCJ33" s="206"/>
      <c r="KCK33" s="206"/>
      <c r="KCL33" s="206"/>
      <c r="KCM33" s="206"/>
      <c r="KCN33" s="206"/>
      <c r="KCO33" s="206"/>
      <c r="KCP33" s="206"/>
      <c r="KCQ33" s="206"/>
      <c r="KCR33" s="206"/>
      <c r="KCS33" s="206"/>
      <c r="KCT33" s="206"/>
      <c r="KCU33" s="206"/>
      <c r="KCV33" s="206"/>
      <c r="KCW33" s="206"/>
      <c r="KCX33" s="206"/>
      <c r="KCY33" s="206"/>
      <c r="KCZ33" s="206"/>
      <c r="KDA33" s="206"/>
      <c r="KDB33" s="206"/>
      <c r="KDC33" s="206"/>
      <c r="KDD33" s="206"/>
      <c r="KDE33" s="206"/>
      <c r="KDF33" s="206"/>
      <c r="KDG33" s="206"/>
      <c r="KDH33" s="206"/>
      <c r="KDI33" s="206"/>
      <c r="KDJ33" s="206"/>
      <c r="KDK33" s="206"/>
      <c r="KDL33" s="206"/>
      <c r="KDM33" s="206"/>
      <c r="KDN33" s="206"/>
      <c r="KDO33" s="206"/>
      <c r="KDP33" s="206"/>
      <c r="KDQ33" s="206"/>
      <c r="KDR33" s="206"/>
      <c r="KDS33" s="206"/>
      <c r="KDT33" s="206"/>
      <c r="KDU33" s="206"/>
      <c r="KDV33" s="206"/>
      <c r="KDW33" s="206"/>
      <c r="KDX33" s="206"/>
      <c r="KDY33" s="206"/>
      <c r="KDZ33" s="206"/>
      <c r="KEA33" s="206"/>
      <c r="KEB33" s="206"/>
      <c r="KEC33" s="206"/>
      <c r="KED33" s="206"/>
      <c r="KEE33" s="206"/>
      <c r="KEF33" s="206"/>
      <c r="KEG33" s="206"/>
      <c r="KEH33" s="206"/>
      <c r="KEI33" s="206"/>
      <c r="KEJ33" s="206"/>
      <c r="KEK33" s="206"/>
      <c r="KEL33" s="206"/>
      <c r="KEM33" s="206"/>
      <c r="KEN33" s="206"/>
      <c r="KEO33" s="206"/>
      <c r="KEP33" s="206"/>
      <c r="KEQ33" s="206"/>
      <c r="KER33" s="206"/>
      <c r="KES33" s="206"/>
      <c r="KET33" s="206"/>
      <c r="KEU33" s="206"/>
      <c r="KEV33" s="206"/>
      <c r="KEW33" s="206"/>
      <c r="KEX33" s="206"/>
      <c r="KEY33" s="206"/>
      <c r="KEZ33" s="206"/>
      <c r="KFA33" s="206"/>
      <c r="KFB33" s="206"/>
      <c r="KFC33" s="206"/>
      <c r="KFD33" s="206"/>
      <c r="KFE33" s="206"/>
      <c r="KFF33" s="206"/>
      <c r="KFG33" s="206"/>
      <c r="KFH33" s="206"/>
      <c r="KFI33" s="206"/>
      <c r="KFJ33" s="206"/>
      <c r="KFK33" s="206"/>
      <c r="KFL33" s="206"/>
      <c r="KFM33" s="206"/>
      <c r="KFN33" s="206"/>
      <c r="KFO33" s="206"/>
      <c r="KFP33" s="206"/>
      <c r="KFQ33" s="206"/>
      <c r="KFR33" s="206"/>
      <c r="KFS33" s="206"/>
      <c r="KFT33" s="206"/>
      <c r="KFU33" s="206"/>
      <c r="KFV33" s="206"/>
      <c r="KFW33" s="206"/>
      <c r="KFX33" s="206"/>
      <c r="KFY33" s="206"/>
      <c r="KFZ33" s="206"/>
      <c r="KGA33" s="206"/>
      <c r="KGB33" s="206"/>
      <c r="KGC33" s="206"/>
      <c r="KGD33" s="206"/>
      <c r="KGE33" s="206"/>
      <c r="KGF33" s="206"/>
      <c r="KGG33" s="206"/>
      <c r="KGH33" s="206"/>
      <c r="KGI33" s="206"/>
      <c r="KGJ33" s="206"/>
      <c r="KGK33" s="206"/>
      <c r="KGL33" s="206"/>
      <c r="KGM33" s="206"/>
      <c r="KGN33" s="206"/>
      <c r="KGO33" s="206"/>
      <c r="KGP33" s="206"/>
      <c r="KGQ33" s="206"/>
      <c r="KGR33" s="206"/>
      <c r="KGS33" s="206"/>
      <c r="KGT33" s="206"/>
      <c r="KGU33" s="206"/>
      <c r="KGV33" s="206"/>
      <c r="KGW33" s="206"/>
      <c r="KGX33" s="206"/>
      <c r="KGY33" s="206"/>
      <c r="KGZ33" s="206"/>
      <c r="KHA33" s="206"/>
      <c r="KHB33" s="206"/>
      <c r="KHC33" s="206"/>
      <c r="KHD33" s="206"/>
      <c r="KHE33" s="206"/>
      <c r="KHF33" s="206"/>
      <c r="KHG33" s="206"/>
      <c r="KHH33" s="206"/>
      <c r="KHI33" s="206"/>
      <c r="KHJ33" s="206"/>
      <c r="KHK33" s="206"/>
      <c r="KHL33" s="206"/>
      <c r="KHM33" s="206"/>
      <c r="KHN33" s="206"/>
      <c r="KHO33" s="206"/>
      <c r="KHP33" s="206"/>
      <c r="KHQ33" s="206"/>
      <c r="KHR33" s="206"/>
      <c r="KHS33" s="206"/>
      <c r="KHT33" s="206"/>
      <c r="KHU33" s="206"/>
      <c r="KHV33" s="206"/>
      <c r="KHW33" s="206"/>
      <c r="KHX33" s="206"/>
      <c r="KHY33" s="206"/>
      <c r="KHZ33" s="206"/>
      <c r="KIA33" s="206"/>
      <c r="KIB33" s="206"/>
      <c r="KIC33" s="206"/>
      <c r="KID33" s="206"/>
      <c r="KIE33" s="206"/>
      <c r="KIF33" s="206"/>
      <c r="KIG33" s="206"/>
      <c r="KIH33" s="206"/>
      <c r="KII33" s="206"/>
      <c r="KIJ33" s="206"/>
      <c r="KIK33" s="206"/>
      <c r="KIL33" s="206"/>
      <c r="KIM33" s="206"/>
      <c r="KIN33" s="206"/>
      <c r="KIO33" s="206"/>
      <c r="KIP33" s="206"/>
      <c r="KIQ33" s="206"/>
      <c r="KIR33" s="206"/>
      <c r="KIS33" s="206"/>
      <c r="KIT33" s="206"/>
      <c r="KIU33" s="206"/>
      <c r="KIV33" s="206"/>
      <c r="KIW33" s="206"/>
      <c r="KIX33" s="206"/>
      <c r="KIY33" s="206"/>
      <c r="KIZ33" s="206"/>
      <c r="KJA33" s="206"/>
      <c r="KJB33" s="206"/>
      <c r="KJC33" s="206"/>
      <c r="KJD33" s="206"/>
      <c r="KJE33" s="206"/>
      <c r="KJF33" s="206"/>
      <c r="KJG33" s="206"/>
      <c r="KJH33" s="206"/>
      <c r="KJI33" s="206"/>
      <c r="KJJ33" s="206"/>
      <c r="KJK33" s="206"/>
      <c r="KJL33" s="206"/>
      <c r="KJM33" s="206"/>
      <c r="KJN33" s="206"/>
      <c r="KJO33" s="206"/>
      <c r="KJP33" s="206"/>
      <c r="KJQ33" s="206"/>
      <c r="KJR33" s="206"/>
      <c r="KJS33" s="206"/>
      <c r="KJT33" s="206"/>
      <c r="KJU33" s="206"/>
      <c r="KJV33" s="206"/>
      <c r="KJW33" s="206"/>
      <c r="KJX33" s="206"/>
      <c r="KJY33" s="206"/>
      <c r="KJZ33" s="206"/>
      <c r="KKA33" s="206"/>
      <c r="KKB33" s="206"/>
      <c r="KKC33" s="206"/>
      <c r="KKD33" s="206"/>
      <c r="KKE33" s="206"/>
      <c r="KKF33" s="206"/>
      <c r="KKG33" s="206"/>
      <c r="KKH33" s="206"/>
      <c r="KKI33" s="206"/>
      <c r="KKJ33" s="206"/>
      <c r="KKK33" s="206"/>
      <c r="KKL33" s="206"/>
      <c r="KKM33" s="206"/>
      <c r="KKN33" s="206"/>
      <c r="KKO33" s="206"/>
      <c r="KKP33" s="206"/>
      <c r="KKQ33" s="206"/>
      <c r="KKR33" s="206"/>
      <c r="KKS33" s="206"/>
      <c r="KKT33" s="206"/>
      <c r="KKU33" s="206"/>
      <c r="KKV33" s="206"/>
      <c r="KKW33" s="206"/>
      <c r="KKX33" s="206"/>
      <c r="KKY33" s="206"/>
      <c r="KKZ33" s="206"/>
      <c r="KLA33" s="206"/>
      <c r="KLB33" s="206"/>
      <c r="KLC33" s="206"/>
      <c r="KLD33" s="206"/>
      <c r="KLE33" s="206"/>
      <c r="KLF33" s="206"/>
      <c r="KLG33" s="206"/>
      <c r="KLH33" s="206"/>
      <c r="KLI33" s="206"/>
      <c r="KLJ33" s="206"/>
      <c r="KLK33" s="206"/>
      <c r="KLL33" s="206"/>
      <c r="KLM33" s="206"/>
      <c r="KLN33" s="206"/>
      <c r="KLO33" s="206"/>
      <c r="KLP33" s="206"/>
      <c r="KLQ33" s="206"/>
      <c r="KLR33" s="206"/>
      <c r="KLS33" s="206"/>
      <c r="KLT33" s="206"/>
      <c r="KLU33" s="206"/>
      <c r="KLV33" s="206"/>
      <c r="KLW33" s="206"/>
      <c r="KLX33" s="206"/>
      <c r="KLY33" s="206"/>
      <c r="KLZ33" s="206"/>
      <c r="KMA33" s="206"/>
      <c r="KMB33" s="206"/>
      <c r="KMC33" s="206"/>
      <c r="KMD33" s="206"/>
      <c r="KME33" s="206"/>
      <c r="KMF33" s="206"/>
      <c r="KMG33" s="206"/>
      <c r="KMH33" s="206"/>
      <c r="KMI33" s="206"/>
      <c r="KMJ33" s="206"/>
      <c r="KMK33" s="206"/>
      <c r="KML33" s="206"/>
      <c r="KMM33" s="206"/>
      <c r="KMN33" s="206"/>
      <c r="KMO33" s="206"/>
      <c r="KMP33" s="206"/>
      <c r="KMQ33" s="206"/>
      <c r="KMR33" s="206"/>
      <c r="KMS33" s="206"/>
      <c r="KMT33" s="206"/>
      <c r="KMU33" s="206"/>
      <c r="KMV33" s="206"/>
      <c r="KMW33" s="206"/>
      <c r="KMX33" s="206"/>
      <c r="KMY33" s="206"/>
      <c r="KMZ33" s="206"/>
      <c r="KNA33" s="206"/>
      <c r="KNB33" s="206"/>
      <c r="KNC33" s="206"/>
      <c r="KND33" s="206"/>
      <c r="KNE33" s="206"/>
      <c r="KNF33" s="206"/>
      <c r="KNG33" s="206"/>
      <c r="KNH33" s="206"/>
      <c r="KNI33" s="206"/>
      <c r="KNJ33" s="206"/>
      <c r="KNK33" s="206"/>
      <c r="KNL33" s="206"/>
      <c r="KNM33" s="206"/>
      <c r="KNN33" s="206"/>
      <c r="KNO33" s="206"/>
      <c r="KNP33" s="206"/>
      <c r="KNQ33" s="206"/>
      <c r="KNR33" s="206"/>
      <c r="KNS33" s="206"/>
      <c r="KNT33" s="206"/>
      <c r="KNU33" s="206"/>
      <c r="KNV33" s="206"/>
      <c r="KNW33" s="206"/>
      <c r="KNX33" s="206"/>
      <c r="KNY33" s="206"/>
      <c r="KNZ33" s="206"/>
      <c r="KOA33" s="206"/>
      <c r="KOB33" s="206"/>
      <c r="KOC33" s="206"/>
      <c r="KOD33" s="206"/>
      <c r="KOE33" s="206"/>
      <c r="KOF33" s="206"/>
      <c r="KOG33" s="206"/>
      <c r="KOH33" s="206"/>
      <c r="KOI33" s="206"/>
      <c r="KOJ33" s="206"/>
      <c r="KOK33" s="206"/>
      <c r="KOL33" s="206"/>
      <c r="KOM33" s="206"/>
      <c r="KON33" s="206"/>
      <c r="KOO33" s="206"/>
      <c r="KOP33" s="206"/>
      <c r="KOQ33" s="206"/>
      <c r="KOR33" s="206"/>
      <c r="KOS33" s="206"/>
      <c r="KOT33" s="206"/>
      <c r="KOU33" s="206"/>
      <c r="KOV33" s="206"/>
      <c r="KOW33" s="206"/>
      <c r="KOX33" s="206"/>
      <c r="KOY33" s="206"/>
      <c r="KOZ33" s="206"/>
      <c r="KPA33" s="206"/>
      <c r="KPB33" s="206"/>
      <c r="KPC33" s="206"/>
      <c r="KPD33" s="206"/>
      <c r="KPE33" s="206"/>
      <c r="KPF33" s="206"/>
      <c r="KPG33" s="206"/>
      <c r="KPH33" s="206"/>
      <c r="KPI33" s="206"/>
      <c r="KPJ33" s="206"/>
      <c r="KPK33" s="206"/>
      <c r="KPL33" s="206"/>
      <c r="KPM33" s="206"/>
      <c r="KPN33" s="206"/>
      <c r="KPO33" s="206"/>
      <c r="KPP33" s="206"/>
      <c r="KPQ33" s="206"/>
      <c r="KPR33" s="206"/>
      <c r="KPS33" s="206"/>
      <c r="KPT33" s="206"/>
      <c r="KPU33" s="206"/>
      <c r="KPV33" s="206"/>
      <c r="KPW33" s="206"/>
      <c r="KPX33" s="206"/>
      <c r="KPY33" s="206"/>
      <c r="KPZ33" s="206"/>
      <c r="KQA33" s="206"/>
      <c r="KQB33" s="206"/>
      <c r="KQC33" s="206"/>
      <c r="KQD33" s="206"/>
      <c r="KQE33" s="206"/>
      <c r="KQF33" s="206"/>
      <c r="KQG33" s="206"/>
      <c r="KQH33" s="206"/>
      <c r="KQI33" s="206"/>
      <c r="KQJ33" s="206"/>
      <c r="KQK33" s="206"/>
      <c r="KQL33" s="206"/>
      <c r="KQM33" s="206"/>
      <c r="KQN33" s="206"/>
      <c r="KQO33" s="206"/>
      <c r="KQP33" s="206"/>
      <c r="KQQ33" s="206"/>
      <c r="KQR33" s="206"/>
      <c r="KQS33" s="206"/>
      <c r="KQT33" s="206"/>
      <c r="KQU33" s="206"/>
      <c r="KQV33" s="206"/>
      <c r="KQW33" s="206"/>
      <c r="KQX33" s="206"/>
      <c r="KQY33" s="206"/>
      <c r="KQZ33" s="206"/>
      <c r="KRA33" s="206"/>
      <c r="KRB33" s="206"/>
      <c r="KRC33" s="206"/>
      <c r="KRD33" s="206"/>
      <c r="KRE33" s="206"/>
      <c r="KRF33" s="206"/>
      <c r="KRG33" s="206"/>
      <c r="KRH33" s="206"/>
      <c r="KRI33" s="206"/>
      <c r="KRJ33" s="206"/>
      <c r="KRK33" s="206"/>
      <c r="KRL33" s="206"/>
      <c r="KRM33" s="206"/>
      <c r="KRN33" s="206"/>
      <c r="KRO33" s="206"/>
      <c r="KRP33" s="206"/>
      <c r="KRQ33" s="206"/>
      <c r="KRR33" s="206"/>
      <c r="KRS33" s="206"/>
      <c r="KRT33" s="206"/>
      <c r="KRU33" s="206"/>
      <c r="KRV33" s="206"/>
      <c r="KRW33" s="206"/>
      <c r="KRX33" s="206"/>
      <c r="KRY33" s="206"/>
      <c r="KRZ33" s="206"/>
      <c r="KSA33" s="206"/>
      <c r="KSB33" s="206"/>
      <c r="KSC33" s="206"/>
      <c r="KSD33" s="206"/>
      <c r="KSE33" s="206"/>
      <c r="KSF33" s="206"/>
      <c r="KSG33" s="206"/>
      <c r="KSH33" s="206"/>
      <c r="KSI33" s="206"/>
      <c r="KSJ33" s="206"/>
      <c r="KSK33" s="206"/>
      <c r="KSL33" s="206"/>
      <c r="KSM33" s="206"/>
      <c r="KSN33" s="206"/>
      <c r="KSO33" s="206"/>
      <c r="KSP33" s="206"/>
      <c r="KSQ33" s="206"/>
      <c r="KSR33" s="206"/>
      <c r="KSS33" s="206"/>
      <c r="KST33" s="206"/>
      <c r="KSU33" s="206"/>
      <c r="KSV33" s="206"/>
      <c r="KSW33" s="206"/>
      <c r="KSX33" s="206"/>
      <c r="KSY33" s="206"/>
      <c r="KSZ33" s="206"/>
      <c r="KTA33" s="206"/>
      <c r="KTB33" s="206"/>
      <c r="KTC33" s="206"/>
      <c r="KTD33" s="206"/>
      <c r="KTE33" s="206"/>
      <c r="KTF33" s="206"/>
      <c r="KTG33" s="206"/>
      <c r="KTH33" s="206"/>
      <c r="KTI33" s="206"/>
      <c r="KTJ33" s="206"/>
      <c r="KTK33" s="206"/>
      <c r="KTL33" s="206"/>
      <c r="KTM33" s="206"/>
      <c r="KTN33" s="206"/>
      <c r="KTO33" s="206"/>
      <c r="KTP33" s="206"/>
      <c r="KTQ33" s="206"/>
      <c r="KTR33" s="206"/>
      <c r="KTS33" s="206"/>
      <c r="KTT33" s="206"/>
      <c r="KTU33" s="206"/>
      <c r="KTV33" s="206"/>
      <c r="KTW33" s="206"/>
      <c r="KTX33" s="206"/>
      <c r="KTY33" s="206"/>
      <c r="KTZ33" s="206"/>
      <c r="KUA33" s="206"/>
      <c r="KUB33" s="206"/>
      <c r="KUC33" s="206"/>
      <c r="KUD33" s="206"/>
      <c r="KUE33" s="206"/>
      <c r="KUF33" s="206"/>
      <c r="KUG33" s="206"/>
      <c r="KUH33" s="206"/>
      <c r="KUI33" s="206"/>
      <c r="KUJ33" s="206"/>
      <c r="KUK33" s="206"/>
      <c r="KUL33" s="206"/>
      <c r="KUM33" s="206"/>
      <c r="KUN33" s="206"/>
      <c r="KUO33" s="206"/>
      <c r="KUP33" s="206"/>
      <c r="KUQ33" s="206"/>
      <c r="KUR33" s="206"/>
      <c r="KUS33" s="206"/>
      <c r="KUT33" s="206"/>
      <c r="KUU33" s="206"/>
      <c r="KUV33" s="206"/>
      <c r="KUW33" s="206"/>
      <c r="KUX33" s="206"/>
      <c r="KUY33" s="206"/>
      <c r="KUZ33" s="206"/>
      <c r="KVA33" s="206"/>
      <c r="KVB33" s="206"/>
      <c r="KVC33" s="206"/>
      <c r="KVD33" s="206"/>
      <c r="KVE33" s="206"/>
      <c r="KVF33" s="206"/>
      <c r="KVG33" s="206"/>
      <c r="KVH33" s="206"/>
      <c r="KVI33" s="206"/>
      <c r="KVJ33" s="206"/>
      <c r="KVK33" s="206"/>
      <c r="KVL33" s="206"/>
      <c r="KVM33" s="206"/>
      <c r="KVN33" s="206"/>
      <c r="KVO33" s="206"/>
      <c r="KVP33" s="206"/>
      <c r="KVQ33" s="206"/>
      <c r="KVR33" s="206"/>
      <c r="KVS33" s="206"/>
      <c r="KVT33" s="206"/>
      <c r="KVU33" s="206"/>
      <c r="KVV33" s="206"/>
      <c r="KVW33" s="206"/>
      <c r="KVX33" s="206"/>
      <c r="KVY33" s="206"/>
      <c r="KVZ33" s="206"/>
      <c r="KWA33" s="206"/>
      <c r="KWB33" s="206"/>
      <c r="KWC33" s="206"/>
      <c r="KWD33" s="206"/>
      <c r="KWE33" s="206"/>
      <c r="KWF33" s="206"/>
      <c r="KWG33" s="206"/>
      <c r="KWH33" s="206"/>
      <c r="KWI33" s="206"/>
      <c r="KWJ33" s="206"/>
      <c r="KWK33" s="206"/>
      <c r="KWL33" s="206"/>
      <c r="KWM33" s="206"/>
      <c r="KWN33" s="206"/>
      <c r="KWO33" s="206"/>
      <c r="KWP33" s="206"/>
      <c r="KWQ33" s="206"/>
      <c r="KWR33" s="206"/>
      <c r="KWS33" s="206"/>
      <c r="KWT33" s="206"/>
      <c r="KWU33" s="206"/>
      <c r="KWV33" s="206"/>
      <c r="KWW33" s="206"/>
      <c r="KWX33" s="206"/>
      <c r="KWY33" s="206"/>
      <c r="KWZ33" s="206"/>
      <c r="KXA33" s="206"/>
      <c r="KXB33" s="206"/>
      <c r="KXC33" s="206"/>
      <c r="KXD33" s="206"/>
      <c r="KXE33" s="206"/>
      <c r="KXF33" s="206"/>
      <c r="KXG33" s="206"/>
      <c r="KXH33" s="206"/>
      <c r="KXI33" s="206"/>
      <c r="KXJ33" s="206"/>
      <c r="KXK33" s="206"/>
      <c r="KXL33" s="206"/>
      <c r="KXM33" s="206"/>
      <c r="KXN33" s="206"/>
      <c r="KXO33" s="206"/>
      <c r="KXP33" s="206"/>
      <c r="KXQ33" s="206"/>
      <c r="KXR33" s="206"/>
      <c r="KXS33" s="206"/>
      <c r="KXT33" s="206"/>
      <c r="KXU33" s="206"/>
      <c r="KXV33" s="206"/>
      <c r="KXW33" s="206"/>
      <c r="KXX33" s="206"/>
      <c r="KXY33" s="206"/>
      <c r="KXZ33" s="206"/>
      <c r="KYA33" s="206"/>
      <c r="KYB33" s="206"/>
      <c r="KYC33" s="206"/>
      <c r="KYD33" s="206"/>
      <c r="KYE33" s="206"/>
      <c r="KYF33" s="206"/>
      <c r="KYG33" s="206"/>
      <c r="KYH33" s="206"/>
      <c r="KYI33" s="206"/>
      <c r="KYJ33" s="206"/>
      <c r="KYK33" s="206"/>
      <c r="KYL33" s="206"/>
      <c r="KYM33" s="206"/>
      <c r="KYN33" s="206"/>
      <c r="KYO33" s="206"/>
      <c r="KYP33" s="206"/>
      <c r="KYQ33" s="206"/>
      <c r="KYR33" s="206"/>
      <c r="KYS33" s="206"/>
      <c r="KYT33" s="206"/>
      <c r="KYU33" s="206"/>
      <c r="KYV33" s="206"/>
      <c r="KYW33" s="206"/>
      <c r="KYX33" s="206"/>
      <c r="KYY33" s="206"/>
      <c r="KYZ33" s="206"/>
      <c r="KZA33" s="206"/>
      <c r="KZB33" s="206"/>
      <c r="KZC33" s="206"/>
      <c r="KZD33" s="206"/>
      <c r="KZE33" s="206"/>
      <c r="KZF33" s="206"/>
      <c r="KZG33" s="206"/>
      <c r="KZH33" s="206"/>
      <c r="KZI33" s="206"/>
      <c r="KZJ33" s="206"/>
      <c r="KZK33" s="206"/>
      <c r="KZL33" s="206"/>
      <c r="KZM33" s="206"/>
      <c r="KZN33" s="206"/>
      <c r="KZO33" s="206"/>
      <c r="KZP33" s="206"/>
      <c r="KZQ33" s="206"/>
      <c r="KZR33" s="206"/>
      <c r="KZS33" s="206"/>
      <c r="KZT33" s="206"/>
      <c r="KZU33" s="206"/>
      <c r="KZV33" s="206"/>
      <c r="KZW33" s="206"/>
      <c r="KZX33" s="206"/>
      <c r="KZY33" s="206"/>
      <c r="KZZ33" s="206"/>
      <c r="LAA33" s="206"/>
      <c r="LAB33" s="206"/>
      <c r="LAC33" s="206"/>
      <c r="LAD33" s="206"/>
      <c r="LAE33" s="206"/>
      <c r="LAF33" s="206"/>
      <c r="LAG33" s="206"/>
      <c r="LAH33" s="206"/>
      <c r="LAI33" s="206"/>
      <c r="LAJ33" s="206"/>
      <c r="LAK33" s="206"/>
      <c r="LAL33" s="206"/>
      <c r="LAM33" s="206"/>
      <c r="LAN33" s="206"/>
      <c r="LAO33" s="206"/>
      <c r="LAP33" s="206"/>
      <c r="LAQ33" s="206"/>
      <c r="LAR33" s="206"/>
      <c r="LAS33" s="206"/>
      <c r="LAT33" s="206"/>
      <c r="LAU33" s="206"/>
      <c r="LAV33" s="206"/>
      <c r="LAW33" s="206"/>
      <c r="LAX33" s="206"/>
      <c r="LAY33" s="206"/>
      <c r="LAZ33" s="206"/>
      <c r="LBA33" s="206"/>
      <c r="LBB33" s="206"/>
      <c r="LBC33" s="206"/>
      <c r="LBD33" s="206"/>
      <c r="LBE33" s="206"/>
      <c r="LBF33" s="206"/>
      <c r="LBG33" s="206"/>
      <c r="LBH33" s="206"/>
      <c r="LBI33" s="206"/>
      <c r="LBJ33" s="206"/>
      <c r="LBK33" s="206"/>
      <c r="LBL33" s="206"/>
      <c r="LBM33" s="206"/>
      <c r="LBN33" s="206"/>
      <c r="LBO33" s="206"/>
      <c r="LBP33" s="206"/>
      <c r="LBQ33" s="206"/>
      <c r="LBR33" s="206"/>
      <c r="LBS33" s="206"/>
      <c r="LBT33" s="206"/>
      <c r="LBU33" s="206"/>
      <c r="LBV33" s="206"/>
      <c r="LBW33" s="206"/>
      <c r="LBX33" s="206"/>
      <c r="LBY33" s="206"/>
      <c r="LBZ33" s="206"/>
      <c r="LCA33" s="206"/>
      <c r="LCB33" s="206"/>
      <c r="LCC33" s="206"/>
      <c r="LCD33" s="206"/>
      <c r="LCE33" s="206"/>
      <c r="LCF33" s="206"/>
      <c r="LCG33" s="206"/>
      <c r="LCH33" s="206"/>
      <c r="LCI33" s="206"/>
      <c r="LCJ33" s="206"/>
      <c r="LCK33" s="206"/>
      <c r="LCL33" s="206"/>
      <c r="LCM33" s="206"/>
      <c r="LCN33" s="206"/>
      <c r="LCO33" s="206"/>
      <c r="LCP33" s="206"/>
      <c r="LCQ33" s="206"/>
      <c r="LCR33" s="206"/>
      <c r="LCS33" s="206"/>
      <c r="LCT33" s="206"/>
      <c r="LCU33" s="206"/>
      <c r="LCV33" s="206"/>
      <c r="LCW33" s="206"/>
      <c r="LCX33" s="206"/>
      <c r="LCY33" s="206"/>
      <c r="LCZ33" s="206"/>
      <c r="LDA33" s="206"/>
      <c r="LDB33" s="206"/>
      <c r="LDC33" s="206"/>
      <c r="LDD33" s="206"/>
      <c r="LDE33" s="206"/>
      <c r="LDF33" s="206"/>
      <c r="LDG33" s="206"/>
      <c r="LDH33" s="206"/>
      <c r="LDI33" s="206"/>
      <c r="LDJ33" s="206"/>
      <c r="LDK33" s="206"/>
      <c r="LDL33" s="206"/>
      <c r="LDM33" s="206"/>
      <c r="LDN33" s="206"/>
      <c r="LDO33" s="206"/>
      <c r="LDP33" s="206"/>
      <c r="LDQ33" s="206"/>
      <c r="LDR33" s="206"/>
      <c r="LDS33" s="206"/>
      <c r="LDT33" s="206"/>
      <c r="LDU33" s="206"/>
      <c r="LDV33" s="206"/>
      <c r="LDW33" s="206"/>
      <c r="LDX33" s="206"/>
      <c r="LDY33" s="206"/>
      <c r="LDZ33" s="206"/>
      <c r="LEA33" s="206"/>
      <c r="LEB33" s="206"/>
      <c r="LEC33" s="206"/>
      <c r="LED33" s="206"/>
      <c r="LEE33" s="206"/>
      <c r="LEF33" s="206"/>
      <c r="LEG33" s="206"/>
      <c r="LEH33" s="206"/>
      <c r="LEI33" s="206"/>
      <c r="LEJ33" s="206"/>
      <c r="LEK33" s="206"/>
      <c r="LEL33" s="206"/>
      <c r="LEM33" s="206"/>
      <c r="LEN33" s="206"/>
      <c r="LEO33" s="206"/>
      <c r="LEP33" s="206"/>
      <c r="LEQ33" s="206"/>
      <c r="LER33" s="206"/>
      <c r="LES33" s="206"/>
      <c r="LET33" s="206"/>
      <c r="LEU33" s="206"/>
      <c r="LEV33" s="206"/>
      <c r="LEW33" s="206"/>
      <c r="LEX33" s="206"/>
      <c r="LEY33" s="206"/>
      <c r="LEZ33" s="206"/>
      <c r="LFA33" s="206"/>
      <c r="LFB33" s="206"/>
      <c r="LFC33" s="206"/>
      <c r="LFD33" s="206"/>
      <c r="LFE33" s="206"/>
      <c r="LFF33" s="206"/>
      <c r="LFG33" s="206"/>
      <c r="LFH33" s="206"/>
      <c r="LFI33" s="206"/>
      <c r="LFJ33" s="206"/>
      <c r="LFK33" s="206"/>
      <c r="LFL33" s="206"/>
      <c r="LFM33" s="206"/>
      <c r="LFN33" s="206"/>
      <c r="LFO33" s="206"/>
      <c r="LFP33" s="206"/>
      <c r="LFQ33" s="206"/>
      <c r="LFR33" s="206"/>
      <c r="LFS33" s="206"/>
      <c r="LFT33" s="206"/>
      <c r="LFU33" s="206"/>
      <c r="LFV33" s="206"/>
      <c r="LFW33" s="206"/>
      <c r="LFX33" s="206"/>
      <c r="LFY33" s="206"/>
      <c r="LFZ33" s="206"/>
      <c r="LGA33" s="206"/>
      <c r="LGB33" s="206"/>
      <c r="LGC33" s="206"/>
      <c r="LGD33" s="206"/>
      <c r="LGE33" s="206"/>
      <c r="LGF33" s="206"/>
      <c r="LGG33" s="206"/>
      <c r="LGH33" s="206"/>
      <c r="LGI33" s="206"/>
      <c r="LGJ33" s="206"/>
      <c r="LGK33" s="206"/>
      <c r="LGL33" s="206"/>
      <c r="LGM33" s="206"/>
      <c r="LGN33" s="206"/>
      <c r="LGO33" s="206"/>
      <c r="LGP33" s="206"/>
      <c r="LGQ33" s="206"/>
      <c r="LGR33" s="206"/>
      <c r="LGS33" s="206"/>
      <c r="LGT33" s="206"/>
      <c r="LGU33" s="206"/>
      <c r="LGV33" s="206"/>
      <c r="LGW33" s="206"/>
      <c r="LGX33" s="206"/>
      <c r="LGY33" s="206"/>
      <c r="LGZ33" s="206"/>
      <c r="LHA33" s="206"/>
      <c r="LHB33" s="206"/>
      <c r="LHC33" s="206"/>
      <c r="LHD33" s="206"/>
      <c r="LHE33" s="206"/>
      <c r="LHF33" s="206"/>
      <c r="LHG33" s="206"/>
      <c r="LHH33" s="206"/>
      <c r="LHI33" s="206"/>
      <c r="LHJ33" s="206"/>
      <c r="LHK33" s="206"/>
      <c r="LHL33" s="206"/>
      <c r="LHM33" s="206"/>
      <c r="LHN33" s="206"/>
      <c r="LHO33" s="206"/>
      <c r="LHP33" s="206"/>
      <c r="LHQ33" s="206"/>
      <c r="LHR33" s="206"/>
      <c r="LHS33" s="206"/>
      <c r="LHT33" s="206"/>
      <c r="LHU33" s="206"/>
      <c r="LHV33" s="206"/>
      <c r="LHW33" s="206"/>
      <c r="LHX33" s="206"/>
      <c r="LHY33" s="206"/>
      <c r="LHZ33" s="206"/>
      <c r="LIA33" s="206"/>
      <c r="LIB33" s="206"/>
      <c r="LIC33" s="206"/>
      <c r="LID33" s="206"/>
      <c r="LIE33" s="206"/>
      <c r="LIF33" s="206"/>
      <c r="LIG33" s="206"/>
      <c r="LIH33" s="206"/>
      <c r="LII33" s="206"/>
      <c r="LIJ33" s="206"/>
      <c r="LIK33" s="206"/>
      <c r="LIL33" s="206"/>
      <c r="LIM33" s="206"/>
      <c r="LIN33" s="206"/>
      <c r="LIO33" s="206"/>
      <c r="LIP33" s="206"/>
      <c r="LIQ33" s="206"/>
      <c r="LIR33" s="206"/>
      <c r="LIS33" s="206"/>
      <c r="LIT33" s="206"/>
      <c r="LIU33" s="206"/>
      <c r="LIV33" s="206"/>
      <c r="LIW33" s="206"/>
      <c r="LIX33" s="206"/>
      <c r="LIY33" s="206"/>
      <c r="LIZ33" s="206"/>
      <c r="LJA33" s="206"/>
      <c r="LJB33" s="206"/>
      <c r="LJC33" s="206"/>
      <c r="LJD33" s="206"/>
      <c r="LJE33" s="206"/>
      <c r="LJF33" s="206"/>
      <c r="LJG33" s="206"/>
      <c r="LJH33" s="206"/>
      <c r="LJI33" s="206"/>
      <c r="LJJ33" s="206"/>
      <c r="LJK33" s="206"/>
      <c r="LJL33" s="206"/>
      <c r="LJM33" s="206"/>
      <c r="LJN33" s="206"/>
      <c r="LJO33" s="206"/>
      <c r="LJP33" s="206"/>
      <c r="LJQ33" s="206"/>
      <c r="LJR33" s="206"/>
      <c r="LJS33" s="206"/>
      <c r="LJT33" s="206"/>
      <c r="LJU33" s="206"/>
      <c r="LJV33" s="206"/>
      <c r="LJW33" s="206"/>
      <c r="LJX33" s="206"/>
      <c r="LJY33" s="206"/>
      <c r="LJZ33" s="206"/>
      <c r="LKA33" s="206"/>
      <c r="LKB33" s="206"/>
      <c r="LKC33" s="206"/>
      <c r="LKD33" s="206"/>
      <c r="LKE33" s="206"/>
      <c r="LKF33" s="206"/>
      <c r="LKG33" s="206"/>
      <c r="LKH33" s="206"/>
      <c r="LKI33" s="206"/>
      <c r="LKJ33" s="206"/>
      <c r="LKK33" s="206"/>
      <c r="LKL33" s="206"/>
      <c r="LKM33" s="206"/>
      <c r="LKN33" s="206"/>
      <c r="LKO33" s="206"/>
      <c r="LKP33" s="206"/>
      <c r="LKQ33" s="206"/>
      <c r="LKR33" s="206"/>
      <c r="LKS33" s="206"/>
      <c r="LKT33" s="206"/>
      <c r="LKU33" s="206"/>
      <c r="LKV33" s="206"/>
      <c r="LKW33" s="206"/>
      <c r="LKX33" s="206"/>
      <c r="LKY33" s="206"/>
      <c r="LKZ33" s="206"/>
      <c r="LLA33" s="206"/>
      <c r="LLB33" s="206"/>
      <c r="LLC33" s="206"/>
      <c r="LLD33" s="206"/>
      <c r="LLE33" s="206"/>
      <c r="LLF33" s="206"/>
      <c r="LLG33" s="206"/>
      <c r="LLH33" s="206"/>
      <c r="LLI33" s="206"/>
      <c r="LLJ33" s="206"/>
      <c r="LLK33" s="206"/>
      <c r="LLL33" s="206"/>
      <c r="LLM33" s="206"/>
      <c r="LLN33" s="206"/>
      <c r="LLO33" s="206"/>
      <c r="LLP33" s="206"/>
      <c r="LLQ33" s="206"/>
      <c r="LLR33" s="206"/>
      <c r="LLS33" s="206"/>
      <c r="LLT33" s="206"/>
      <c r="LLU33" s="206"/>
      <c r="LLV33" s="206"/>
      <c r="LLW33" s="206"/>
      <c r="LLX33" s="206"/>
      <c r="LLY33" s="206"/>
      <c r="LLZ33" s="206"/>
      <c r="LMA33" s="206"/>
      <c r="LMB33" s="206"/>
      <c r="LMC33" s="206"/>
      <c r="LMD33" s="206"/>
      <c r="LME33" s="206"/>
      <c r="LMF33" s="206"/>
      <c r="LMG33" s="206"/>
      <c r="LMH33" s="206"/>
      <c r="LMI33" s="206"/>
      <c r="LMJ33" s="206"/>
      <c r="LMK33" s="206"/>
      <c r="LML33" s="206"/>
      <c r="LMM33" s="206"/>
      <c r="LMN33" s="206"/>
      <c r="LMO33" s="206"/>
      <c r="LMP33" s="206"/>
      <c r="LMQ33" s="206"/>
      <c r="LMR33" s="206"/>
      <c r="LMS33" s="206"/>
      <c r="LMT33" s="206"/>
      <c r="LMU33" s="206"/>
      <c r="LMV33" s="206"/>
      <c r="LMW33" s="206"/>
      <c r="LMX33" s="206"/>
      <c r="LMY33" s="206"/>
      <c r="LMZ33" s="206"/>
      <c r="LNA33" s="206"/>
      <c r="LNB33" s="206"/>
      <c r="LNC33" s="206"/>
      <c r="LND33" s="206"/>
      <c r="LNE33" s="206"/>
      <c r="LNF33" s="206"/>
      <c r="LNG33" s="206"/>
      <c r="LNH33" s="206"/>
      <c r="LNI33" s="206"/>
      <c r="LNJ33" s="206"/>
      <c r="LNK33" s="206"/>
      <c r="LNL33" s="206"/>
      <c r="LNM33" s="206"/>
      <c r="LNN33" s="206"/>
      <c r="LNO33" s="206"/>
      <c r="LNP33" s="206"/>
      <c r="LNQ33" s="206"/>
      <c r="LNR33" s="206"/>
      <c r="LNS33" s="206"/>
      <c r="LNT33" s="206"/>
      <c r="LNU33" s="206"/>
      <c r="LNV33" s="206"/>
      <c r="LNW33" s="206"/>
      <c r="LNX33" s="206"/>
      <c r="LNY33" s="206"/>
      <c r="LNZ33" s="206"/>
      <c r="LOA33" s="206"/>
      <c r="LOB33" s="206"/>
      <c r="LOC33" s="206"/>
      <c r="LOD33" s="206"/>
      <c r="LOE33" s="206"/>
      <c r="LOF33" s="206"/>
      <c r="LOG33" s="206"/>
      <c r="LOH33" s="206"/>
      <c r="LOI33" s="206"/>
      <c r="LOJ33" s="206"/>
      <c r="LOK33" s="206"/>
      <c r="LOL33" s="206"/>
      <c r="LOM33" s="206"/>
      <c r="LON33" s="206"/>
      <c r="LOO33" s="206"/>
      <c r="LOP33" s="206"/>
      <c r="LOQ33" s="206"/>
      <c r="LOR33" s="206"/>
      <c r="LOS33" s="206"/>
      <c r="LOT33" s="206"/>
      <c r="LOU33" s="206"/>
      <c r="LOV33" s="206"/>
      <c r="LOW33" s="206"/>
      <c r="LOX33" s="206"/>
      <c r="LOY33" s="206"/>
      <c r="LOZ33" s="206"/>
      <c r="LPA33" s="206"/>
      <c r="LPB33" s="206"/>
      <c r="LPC33" s="206"/>
      <c r="LPD33" s="206"/>
      <c r="LPE33" s="206"/>
      <c r="LPF33" s="206"/>
      <c r="LPG33" s="206"/>
      <c r="LPH33" s="206"/>
      <c r="LPI33" s="206"/>
      <c r="LPJ33" s="206"/>
      <c r="LPK33" s="206"/>
      <c r="LPL33" s="206"/>
      <c r="LPM33" s="206"/>
      <c r="LPN33" s="206"/>
      <c r="LPO33" s="206"/>
      <c r="LPP33" s="206"/>
      <c r="LPQ33" s="206"/>
      <c r="LPR33" s="206"/>
      <c r="LPS33" s="206"/>
      <c r="LPT33" s="206"/>
      <c r="LPU33" s="206"/>
      <c r="LPV33" s="206"/>
      <c r="LPW33" s="206"/>
      <c r="LPX33" s="206"/>
      <c r="LPY33" s="206"/>
      <c r="LPZ33" s="206"/>
      <c r="LQA33" s="206"/>
      <c r="LQB33" s="206"/>
      <c r="LQC33" s="206"/>
      <c r="LQD33" s="206"/>
      <c r="LQE33" s="206"/>
      <c r="LQF33" s="206"/>
      <c r="LQG33" s="206"/>
      <c r="LQH33" s="206"/>
      <c r="LQI33" s="206"/>
      <c r="LQJ33" s="206"/>
      <c r="LQK33" s="206"/>
      <c r="LQL33" s="206"/>
      <c r="LQM33" s="206"/>
      <c r="LQN33" s="206"/>
      <c r="LQO33" s="206"/>
      <c r="LQP33" s="206"/>
      <c r="LQQ33" s="206"/>
      <c r="LQR33" s="206"/>
      <c r="LQS33" s="206"/>
      <c r="LQT33" s="206"/>
      <c r="LQU33" s="206"/>
      <c r="LQV33" s="206"/>
      <c r="LQW33" s="206"/>
      <c r="LQX33" s="206"/>
      <c r="LQY33" s="206"/>
      <c r="LQZ33" s="206"/>
      <c r="LRA33" s="206"/>
      <c r="LRB33" s="206"/>
      <c r="LRC33" s="206"/>
      <c r="LRD33" s="206"/>
      <c r="LRE33" s="206"/>
      <c r="LRF33" s="206"/>
      <c r="LRG33" s="206"/>
      <c r="LRH33" s="206"/>
      <c r="LRI33" s="206"/>
      <c r="LRJ33" s="206"/>
      <c r="LRK33" s="206"/>
      <c r="LRL33" s="206"/>
      <c r="LRM33" s="206"/>
      <c r="LRN33" s="206"/>
      <c r="LRO33" s="206"/>
      <c r="LRP33" s="206"/>
      <c r="LRQ33" s="206"/>
      <c r="LRR33" s="206"/>
      <c r="LRS33" s="206"/>
      <c r="LRT33" s="206"/>
      <c r="LRU33" s="206"/>
      <c r="LRV33" s="206"/>
      <c r="LRW33" s="206"/>
      <c r="LRX33" s="206"/>
      <c r="LRY33" s="206"/>
      <c r="LRZ33" s="206"/>
      <c r="LSA33" s="206"/>
      <c r="LSB33" s="206"/>
      <c r="LSC33" s="206"/>
      <c r="LSD33" s="206"/>
      <c r="LSE33" s="206"/>
      <c r="LSF33" s="206"/>
      <c r="LSG33" s="206"/>
      <c r="LSH33" s="206"/>
      <c r="LSI33" s="206"/>
      <c r="LSJ33" s="206"/>
      <c r="LSK33" s="206"/>
      <c r="LSL33" s="206"/>
      <c r="LSM33" s="206"/>
      <c r="LSN33" s="206"/>
      <c r="LSO33" s="206"/>
      <c r="LSP33" s="206"/>
      <c r="LSQ33" s="206"/>
      <c r="LSR33" s="206"/>
      <c r="LSS33" s="206"/>
      <c r="LST33" s="206"/>
      <c r="LSU33" s="206"/>
      <c r="LSV33" s="206"/>
      <c r="LSW33" s="206"/>
      <c r="LSX33" s="206"/>
      <c r="LSY33" s="206"/>
      <c r="LSZ33" s="206"/>
      <c r="LTA33" s="206"/>
      <c r="LTB33" s="206"/>
      <c r="LTC33" s="206"/>
      <c r="LTD33" s="206"/>
      <c r="LTE33" s="206"/>
      <c r="LTF33" s="206"/>
      <c r="LTG33" s="206"/>
      <c r="LTH33" s="206"/>
      <c r="LTI33" s="206"/>
      <c r="LTJ33" s="206"/>
      <c r="LTK33" s="206"/>
      <c r="LTL33" s="206"/>
      <c r="LTM33" s="206"/>
      <c r="LTN33" s="206"/>
      <c r="LTO33" s="206"/>
      <c r="LTP33" s="206"/>
      <c r="LTQ33" s="206"/>
      <c r="LTR33" s="206"/>
      <c r="LTS33" s="206"/>
      <c r="LTT33" s="206"/>
      <c r="LTU33" s="206"/>
      <c r="LTV33" s="206"/>
      <c r="LTW33" s="206"/>
      <c r="LTX33" s="206"/>
      <c r="LTY33" s="206"/>
      <c r="LTZ33" s="206"/>
      <c r="LUA33" s="206"/>
      <c r="LUB33" s="206"/>
      <c r="LUC33" s="206"/>
      <c r="LUD33" s="206"/>
      <c r="LUE33" s="206"/>
      <c r="LUF33" s="206"/>
      <c r="LUG33" s="206"/>
      <c r="LUH33" s="206"/>
      <c r="LUI33" s="206"/>
      <c r="LUJ33" s="206"/>
      <c r="LUK33" s="206"/>
      <c r="LUL33" s="206"/>
      <c r="LUM33" s="206"/>
      <c r="LUN33" s="206"/>
      <c r="LUO33" s="206"/>
      <c r="LUP33" s="206"/>
      <c r="LUQ33" s="206"/>
      <c r="LUR33" s="206"/>
      <c r="LUS33" s="206"/>
      <c r="LUT33" s="206"/>
      <c r="LUU33" s="206"/>
      <c r="LUV33" s="206"/>
      <c r="LUW33" s="206"/>
      <c r="LUX33" s="206"/>
      <c r="LUY33" s="206"/>
      <c r="LUZ33" s="206"/>
      <c r="LVA33" s="206"/>
      <c r="LVB33" s="206"/>
      <c r="LVC33" s="206"/>
      <c r="LVD33" s="206"/>
      <c r="LVE33" s="206"/>
      <c r="LVF33" s="206"/>
      <c r="LVG33" s="206"/>
      <c r="LVH33" s="206"/>
      <c r="LVI33" s="206"/>
      <c r="LVJ33" s="206"/>
      <c r="LVK33" s="206"/>
      <c r="LVL33" s="206"/>
      <c r="LVM33" s="206"/>
      <c r="LVN33" s="206"/>
      <c r="LVO33" s="206"/>
      <c r="LVP33" s="206"/>
      <c r="LVQ33" s="206"/>
      <c r="LVR33" s="206"/>
      <c r="LVS33" s="206"/>
      <c r="LVT33" s="206"/>
      <c r="LVU33" s="206"/>
      <c r="LVV33" s="206"/>
      <c r="LVW33" s="206"/>
      <c r="LVX33" s="206"/>
      <c r="LVY33" s="206"/>
      <c r="LVZ33" s="206"/>
      <c r="LWA33" s="206"/>
      <c r="LWB33" s="206"/>
      <c r="LWC33" s="206"/>
      <c r="LWD33" s="206"/>
      <c r="LWE33" s="206"/>
      <c r="LWF33" s="206"/>
      <c r="LWG33" s="206"/>
      <c r="LWH33" s="206"/>
      <c r="LWI33" s="206"/>
      <c r="LWJ33" s="206"/>
      <c r="LWK33" s="206"/>
      <c r="LWL33" s="206"/>
      <c r="LWM33" s="206"/>
      <c r="LWN33" s="206"/>
      <c r="LWO33" s="206"/>
      <c r="LWP33" s="206"/>
      <c r="LWQ33" s="206"/>
      <c r="LWR33" s="206"/>
      <c r="LWS33" s="206"/>
      <c r="LWT33" s="206"/>
      <c r="LWU33" s="206"/>
      <c r="LWV33" s="206"/>
      <c r="LWW33" s="206"/>
      <c r="LWX33" s="206"/>
      <c r="LWY33" s="206"/>
      <c r="LWZ33" s="206"/>
      <c r="LXA33" s="206"/>
      <c r="LXB33" s="206"/>
      <c r="LXC33" s="206"/>
      <c r="LXD33" s="206"/>
      <c r="LXE33" s="206"/>
      <c r="LXF33" s="206"/>
      <c r="LXG33" s="206"/>
      <c r="LXH33" s="206"/>
      <c r="LXI33" s="206"/>
      <c r="LXJ33" s="206"/>
      <c r="LXK33" s="206"/>
      <c r="LXL33" s="206"/>
      <c r="LXM33" s="206"/>
      <c r="LXN33" s="206"/>
      <c r="LXO33" s="206"/>
      <c r="LXP33" s="206"/>
      <c r="LXQ33" s="206"/>
      <c r="LXR33" s="206"/>
      <c r="LXS33" s="206"/>
      <c r="LXT33" s="206"/>
      <c r="LXU33" s="206"/>
      <c r="LXV33" s="206"/>
      <c r="LXW33" s="206"/>
      <c r="LXX33" s="206"/>
      <c r="LXY33" s="206"/>
      <c r="LXZ33" s="206"/>
      <c r="LYA33" s="206"/>
      <c r="LYB33" s="206"/>
      <c r="LYC33" s="206"/>
      <c r="LYD33" s="206"/>
      <c r="LYE33" s="206"/>
      <c r="LYF33" s="206"/>
      <c r="LYG33" s="206"/>
      <c r="LYH33" s="206"/>
      <c r="LYI33" s="206"/>
      <c r="LYJ33" s="206"/>
      <c r="LYK33" s="206"/>
      <c r="LYL33" s="206"/>
      <c r="LYM33" s="206"/>
      <c r="LYN33" s="206"/>
      <c r="LYO33" s="206"/>
      <c r="LYP33" s="206"/>
      <c r="LYQ33" s="206"/>
      <c r="LYR33" s="206"/>
      <c r="LYS33" s="206"/>
      <c r="LYT33" s="206"/>
      <c r="LYU33" s="206"/>
      <c r="LYV33" s="206"/>
      <c r="LYW33" s="206"/>
      <c r="LYX33" s="206"/>
      <c r="LYY33" s="206"/>
      <c r="LYZ33" s="206"/>
      <c r="LZA33" s="206"/>
      <c r="LZB33" s="206"/>
      <c r="LZC33" s="206"/>
      <c r="LZD33" s="206"/>
      <c r="LZE33" s="206"/>
      <c r="LZF33" s="206"/>
      <c r="LZG33" s="206"/>
      <c r="LZH33" s="206"/>
      <c r="LZI33" s="206"/>
      <c r="LZJ33" s="206"/>
      <c r="LZK33" s="206"/>
      <c r="LZL33" s="206"/>
      <c r="LZM33" s="206"/>
      <c r="LZN33" s="206"/>
      <c r="LZO33" s="206"/>
      <c r="LZP33" s="206"/>
      <c r="LZQ33" s="206"/>
      <c r="LZR33" s="206"/>
      <c r="LZS33" s="206"/>
      <c r="LZT33" s="206"/>
      <c r="LZU33" s="206"/>
      <c r="LZV33" s="206"/>
      <c r="LZW33" s="206"/>
      <c r="LZX33" s="206"/>
      <c r="LZY33" s="206"/>
      <c r="LZZ33" s="206"/>
      <c r="MAA33" s="206"/>
      <c r="MAB33" s="206"/>
      <c r="MAC33" s="206"/>
      <c r="MAD33" s="206"/>
      <c r="MAE33" s="206"/>
      <c r="MAF33" s="206"/>
      <c r="MAG33" s="206"/>
      <c r="MAH33" s="206"/>
      <c r="MAI33" s="206"/>
      <c r="MAJ33" s="206"/>
      <c r="MAK33" s="206"/>
      <c r="MAL33" s="206"/>
      <c r="MAM33" s="206"/>
      <c r="MAN33" s="206"/>
      <c r="MAO33" s="206"/>
      <c r="MAP33" s="206"/>
      <c r="MAQ33" s="206"/>
      <c r="MAR33" s="206"/>
      <c r="MAS33" s="206"/>
      <c r="MAT33" s="206"/>
      <c r="MAU33" s="206"/>
      <c r="MAV33" s="206"/>
      <c r="MAW33" s="206"/>
      <c r="MAX33" s="206"/>
      <c r="MAY33" s="206"/>
      <c r="MAZ33" s="206"/>
      <c r="MBA33" s="206"/>
      <c r="MBB33" s="206"/>
      <c r="MBC33" s="206"/>
      <c r="MBD33" s="206"/>
      <c r="MBE33" s="206"/>
      <c r="MBF33" s="206"/>
      <c r="MBG33" s="206"/>
      <c r="MBH33" s="206"/>
      <c r="MBI33" s="206"/>
      <c r="MBJ33" s="206"/>
      <c r="MBK33" s="206"/>
      <c r="MBL33" s="206"/>
      <c r="MBM33" s="206"/>
      <c r="MBN33" s="206"/>
      <c r="MBO33" s="206"/>
      <c r="MBP33" s="206"/>
      <c r="MBQ33" s="206"/>
      <c r="MBR33" s="206"/>
      <c r="MBS33" s="206"/>
      <c r="MBT33" s="206"/>
      <c r="MBU33" s="206"/>
      <c r="MBV33" s="206"/>
      <c r="MBW33" s="206"/>
      <c r="MBX33" s="206"/>
      <c r="MBY33" s="206"/>
      <c r="MBZ33" s="206"/>
      <c r="MCA33" s="206"/>
      <c r="MCB33" s="206"/>
      <c r="MCC33" s="206"/>
      <c r="MCD33" s="206"/>
      <c r="MCE33" s="206"/>
      <c r="MCF33" s="206"/>
      <c r="MCG33" s="206"/>
      <c r="MCH33" s="206"/>
      <c r="MCI33" s="206"/>
      <c r="MCJ33" s="206"/>
      <c r="MCK33" s="206"/>
      <c r="MCL33" s="206"/>
      <c r="MCM33" s="206"/>
      <c r="MCN33" s="206"/>
      <c r="MCO33" s="206"/>
      <c r="MCP33" s="206"/>
      <c r="MCQ33" s="206"/>
      <c r="MCR33" s="206"/>
      <c r="MCS33" s="206"/>
      <c r="MCT33" s="206"/>
      <c r="MCU33" s="206"/>
      <c r="MCV33" s="206"/>
      <c r="MCW33" s="206"/>
      <c r="MCX33" s="206"/>
      <c r="MCY33" s="206"/>
      <c r="MCZ33" s="206"/>
      <c r="MDA33" s="206"/>
      <c r="MDB33" s="206"/>
      <c r="MDC33" s="206"/>
      <c r="MDD33" s="206"/>
      <c r="MDE33" s="206"/>
      <c r="MDF33" s="206"/>
      <c r="MDG33" s="206"/>
      <c r="MDH33" s="206"/>
      <c r="MDI33" s="206"/>
      <c r="MDJ33" s="206"/>
      <c r="MDK33" s="206"/>
      <c r="MDL33" s="206"/>
      <c r="MDM33" s="206"/>
      <c r="MDN33" s="206"/>
      <c r="MDO33" s="206"/>
      <c r="MDP33" s="206"/>
      <c r="MDQ33" s="206"/>
      <c r="MDR33" s="206"/>
      <c r="MDS33" s="206"/>
      <c r="MDT33" s="206"/>
      <c r="MDU33" s="206"/>
      <c r="MDV33" s="206"/>
      <c r="MDW33" s="206"/>
      <c r="MDX33" s="206"/>
      <c r="MDY33" s="206"/>
      <c r="MDZ33" s="206"/>
      <c r="MEA33" s="206"/>
      <c r="MEB33" s="206"/>
      <c r="MEC33" s="206"/>
      <c r="MED33" s="206"/>
      <c r="MEE33" s="206"/>
      <c r="MEF33" s="206"/>
      <c r="MEG33" s="206"/>
      <c r="MEH33" s="206"/>
      <c r="MEI33" s="206"/>
      <c r="MEJ33" s="206"/>
      <c r="MEK33" s="206"/>
      <c r="MEL33" s="206"/>
      <c r="MEM33" s="206"/>
      <c r="MEN33" s="206"/>
      <c r="MEO33" s="206"/>
      <c r="MEP33" s="206"/>
      <c r="MEQ33" s="206"/>
      <c r="MER33" s="206"/>
      <c r="MES33" s="206"/>
      <c r="MET33" s="206"/>
      <c r="MEU33" s="206"/>
      <c r="MEV33" s="206"/>
      <c r="MEW33" s="206"/>
      <c r="MEX33" s="206"/>
      <c r="MEY33" s="206"/>
      <c r="MEZ33" s="206"/>
      <c r="MFA33" s="206"/>
      <c r="MFB33" s="206"/>
      <c r="MFC33" s="206"/>
      <c r="MFD33" s="206"/>
      <c r="MFE33" s="206"/>
      <c r="MFF33" s="206"/>
      <c r="MFG33" s="206"/>
      <c r="MFH33" s="206"/>
      <c r="MFI33" s="206"/>
      <c r="MFJ33" s="206"/>
      <c r="MFK33" s="206"/>
      <c r="MFL33" s="206"/>
      <c r="MFM33" s="206"/>
      <c r="MFN33" s="206"/>
      <c r="MFO33" s="206"/>
      <c r="MFP33" s="206"/>
      <c r="MFQ33" s="206"/>
      <c r="MFR33" s="206"/>
      <c r="MFS33" s="206"/>
      <c r="MFT33" s="206"/>
      <c r="MFU33" s="206"/>
      <c r="MFV33" s="206"/>
      <c r="MFW33" s="206"/>
      <c r="MFX33" s="206"/>
      <c r="MFY33" s="206"/>
      <c r="MFZ33" s="206"/>
      <c r="MGA33" s="206"/>
      <c r="MGB33" s="206"/>
      <c r="MGC33" s="206"/>
      <c r="MGD33" s="206"/>
      <c r="MGE33" s="206"/>
      <c r="MGF33" s="206"/>
      <c r="MGG33" s="206"/>
      <c r="MGH33" s="206"/>
      <c r="MGI33" s="206"/>
      <c r="MGJ33" s="206"/>
      <c r="MGK33" s="206"/>
      <c r="MGL33" s="206"/>
      <c r="MGM33" s="206"/>
      <c r="MGN33" s="206"/>
      <c r="MGO33" s="206"/>
      <c r="MGP33" s="206"/>
      <c r="MGQ33" s="206"/>
      <c r="MGR33" s="206"/>
      <c r="MGS33" s="206"/>
      <c r="MGT33" s="206"/>
      <c r="MGU33" s="206"/>
      <c r="MGV33" s="206"/>
      <c r="MGW33" s="206"/>
      <c r="MGX33" s="206"/>
      <c r="MGY33" s="206"/>
      <c r="MGZ33" s="206"/>
      <c r="MHA33" s="206"/>
      <c r="MHB33" s="206"/>
      <c r="MHC33" s="206"/>
      <c r="MHD33" s="206"/>
      <c r="MHE33" s="206"/>
      <c r="MHF33" s="206"/>
      <c r="MHG33" s="206"/>
      <c r="MHH33" s="206"/>
      <c r="MHI33" s="206"/>
      <c r="MHJ33" s="206"/>
      <c r="MHK33" s="206"/>
      <c r="MHL33" s="206"/>
      <c r="MHM33" s="206"/>
      <c r="MHN33" s="206"/>
      <c r="MHO33" s="206"/>
      <c r="MHP33" s="206"/>
      <c r="MHQ33" s="206"/>
      <c r="MHR33" s="206"/>
      <c r="MHS33" s="206"/>
      <c r="MHT33" s="206"/>
      <c r="MHU33" s="206"/>
      <c r="MHV33" s="206"/>
      <c r="MHW33" s="206"/>
      <c r="MHX33" s="206"/>
      <c r="MHY33" s="206"/>
      <c r="MHZ33" s="206"/>
      <c r="MIA33" s="206"/>
      <c r="MIB33" s="206"/>
      <c r="MIC33" s="206"/>
      <c r="MID33" s="206"/>
      <c r="MIE33" s="206"/>
      <c r="MIF33" s="206"/>
      <c r="MIG33" s="206"/>
      <c r="MIH33" s="206"/>
      <c r="MII33" s="206"/>
      <c r="MIJ33" s="206"/>
      <c r="MIK33" s="206"/>
      <c r="MIL33" s="206"/>
      <c r="MIM33" s="206"/>
      <c r="MIN33" s="206"/>
      <c r="MIO33" s="206"/>
      <c r="MIP33" s="206"/>
      <c r="MIQ33" s="206"/>
      <c r="MIR33" s="206"/>
      <c r="MIS33" s="206"/>
      <c r="MIT33" s="206"/>
      <c r="MIU33" s="206"/>
      <c r="MIV33" s="206"/>
      <c r="MIW33" s="206"/>
      <c r="MIX33" s="206"/>
      <c r="MIY33" s="206"/>
      <c r="MIZ33" s="206"/>
      <c r="MJA33" s="206"/>
      <c r="MJB33" s="206"/>
      <c r="MJC33" s="206"/>
      <c r="MJD33" s="206"/>
      <c r="MJE33" s="206"/>
      <c r="MJF33" s="206"/>
      <c r="MJG33" s="206"/>
      <c r="MJH33" s="206"/>
      <c r="MJI33" s="206"/>
      <c r="MJJ33" s="206"/>
      <c r="MJK33" s="206"/>
      <c r="MJL33" s="206"/>
      <c r="MJM33" s="206"/>
      <c r="MJN33" s="206"/>
      <c r="MJO33" s="206"/>
      <c r="MJP33" s="206"/>
      <c r="MJQ33" s="206"/>
      <c r="MJR33" s="206"/>
      <c r="MJS33" s="206"/>
      <c r="MJT33" s="206"/>
      <c r="MJU33" s="206"/>
      <c r="MJV33" s="206"/>
      <c r="MJW33" s="206"/>
      <c r="MJX33" s="206"/>
      <c r="MJY33" s="206"/>
      <c r="MJZ33" s="206"/>
      <c r="MKA33" s="206"/>
      <c r="MKB33" s="206"/>
      <c r="MKC33" s="206"/>
      <c r="MKD33" s="206"/>
      <c r="MKE33" s="206"/>
      <c r="MKF33" s="206"/>
      <c r="MKG33" s="206"/>
      <c r="MKH33" s="206"/>
      <c r="MKI33" s="206"/>
      <c r="MKJ33" s="206"/>
      <c r="MKK33" s="206"/>
      <c r="MKL33" s="206"/>
      <c r="MKM33" s="206"/>
      <c r="MKN33" s="206"/>
      <c r="MKO33" s="206"/>
      <c r="MKP33" s="206"/>
      <c r="MKQ33" s="206"/>
      <c r="MKR33" s="206"/>
      <c r="MKS33" s="206"/>
      <c r="MKT33" s="206"/>
      <c r="MKU33" s="206"/>
      <c r="MKV33" s="206"/>
      <c r="MKW33" s="206"/>
      <c r="MKX33" s="206"/>
      <c r="MKY33" s="206"/>
      <c r="MKZ33" s="206"/>
      <c r="MLA33" s="206"/>
      <c r="MLB33" s="206"/>
      <c r="MLC33" s="206"/>
      <c r="MLD33" s="206"/>
      <c r="MLE33" s="206"/>
      <c r="MLF33" s="206"/>
      <c r="MLG33" s="206"/>
      <c r="MLH33" s="206"/>
      <c r="MLI33" s="206"/>
      <c r="MLJ33" s="206"/>
      <c r="MLK33" s="206"/>
      <c r="MLL33" s="206"/>
      <c r="MLM33" s="206"/>
      <c r="MLN33" s="206"/>
      <c r="MLO33" s="206"/>
      <c r="MLP33" s="206"/>
      <c r="MLQ33" s="206"/>
      <c r="MLR33" s="206"/>
      <c r="MLS33" s="206"/>
      <c r="MLT33" s="206"/>
      <c r="MLU33" s="206"/>
      <c r="MLV33" s="206"/>
      <c r="MLW33" s="206"/>
      <c r="MLX33" s="206"/>
      <c r="MLY33" s="206"/>
      <c r="MLZ33" s="206"/>
      <c r="MMA33" s="206"/>
      <c r="MMB33" s="206"/>
      <c r="MMC33" s="206"/>
      <c r="MMD33" s="206"/>
      <c r="MME33" s="206"/>
      <c r="MMF33" s="206"/>
      <c r="MMG33" s="206"/>
      <c r="MMH33" s="206"/>
      <c r="MMI33" s="206"/>
      <c r="MMJ33" s="206"/>
      <c r="MMK33" s="206"/>
      <c r="MML33" s="206"/>
      <c r="MMM33" s="206"/>
      <c r="MMN33" s="206"/>
      <c r="MMO33" s="206"/>
      <c r="MMP33" s="206"/>
      <c r="MMQ33" s="206"/>
      <c r="MMR33" s="206"/>
      <c r="MMS33" s="206"/>
      <c r="MMT33" s="206"/>
      <c r="MMU33" s="206"/>
      <c r="MMV33" s="206"/>
      <c r="MMW33" s="206"/>
      <c r="MMX33" s="206"/>
      <c r="MMY33" s="206"/>
      <c r="MMZ33" s="206"/>
      <c r="MNA33" s="206"/>
      <c r="MNB33" s="206"/>
      <c r="MNC33" s="206"/>
      <c r="MND33" s="206"/>
      <c r="MNE33" s="206"/>
      <c r="MNF33" s="206"/>
      <c r="MNG33" s="206"/>
      <c r="MNH33" s="206"/>
      <c r="MNI33" s="206"/>
      <c r="MNJ33" s="206"/>
      <c r="MNK33" s="206"/>
      <c r="MNL33" s="206"/>
      <c r="MNM33" s="206"/>
      <c r="MNN33" s="206"/>
      <c r="MNO33" s="206"/>
      <c r="MNP33" s="206"/>
      <c r="MNQ33" s="206"/>
      <c r="MNR33" s="206"/>
      <c r="MNS33" s="206"/>
      <c r="MNT33" s="206"/>
      <c r="MNU33" s="206"/>
      <c r="MNV33" s="206"/>
      <c r="MNW33" s="206"/>
      <c r="MNX33" s="206"/>
      <c r="MNY33" s="206"/>
      <c r="MNZ33" s="206"/>
      <c r="MOA33" s="206"/>
      <c r="MOB33" s="206"/>
      <c r="MOC33" s="206"/>
      <c r="MOD33" s="206"/>
      <c r="MOE33" s="206"/>
      <c r="MOF33" s="206"/>
      <c r="MOG33" s="206"/>
      <c r="MOH33" s="206"/>
      <c r="MOI33" s="206"/>
      <c r="MOJ33" s="206"/>
      <c r="MOK33" s="206"/>
      <c r="MOL33" s="206"/>
      <c r="MOM33" s="206"/>
      <c r="MON33" s="206"/>
      <c r="MOO33" s="206"/>
      <c r="MOP33" s="206"/>
      <c r="MOQ33" s="206"/>
      <c r="MOR33" s="206"/>
      <c r="MOS33" s="206"/>
      <c r="MOT33" s="206"/>
      <c r="MOU33" s="206"/>
      <c r="MOV33" s="206"/>
      <c r="MOW33" s="206"/>
      <c r="MOX33" s="206"/>
      <c r="MOY33" s="206"/>
      <c r="MOZ33" s="206"/>
      <c r="MPA33" s="206"/>
      <c r="MPB33" s="206"/>
      <c r="MPC33" s="206"/>
      <c r="MPD33" s="206"/>
      <c r="MPE33" s="206"/>
      <c r="MPF33" s="206"/>
      <c r="MPG33" s="206"/>
      <c r="MPH33" s="206"/>
      <c r="MPI33" s="206"/>
      <c r="MPJ33" s="206"/>
      <c r="MPK33" s="206"/>
      <c r="MPL33" s="206"/>
      <c r="MPM33" s="206"/>
      <c r="MPN33" s="206"/>
      <c r="MPO33" s="206"/>
      <c r="MPP33" s="206"/>
      <c r="MPQ33" s="206"/>
      <c r="MPR33" s="206"/>
      <c r="MPS33" s="206"/>
      <c r="MPT33" s="206"/>
      <c r="MPU33" s="206"/>
      <c r="MPV33" s="206"/>
      <c r="MPW33" s="206"/>
      <c r="MPX33" s="206"/>
      <c r="MPY33" s="206"/>
      <c r="MPZ33" s="206"/>
      <c r="MQA33" s="206"/>
      <c r="MQB33" s="206"/>
      <c r="MQC33" s="206"/>
      <c r="MQD33" s="206"/>
      <c r="MQE33" s="206"/>
      <c r="MQF33" s="206"/>
      <c r="MQG33" s="206"/>
      <c r="MQH33" s="206"/>
      <c r="MQI33" s="206"/>
      <c r="MQJ33" s="206"/>
      <c r="MQK33" s="206"/>
      <c r="MQL33" s="206"/>
      <c r="MQM33" s="206"/>
      <c r="MQN33" s="206"/>
      <c r="MQO33" s="206"/>
      <c r="MQP33" s="206"/>
      <c r="MQQ33" s="206"/>
      <c r="MQR33" s="206"/>
      <c r="MQS33" s="206"/>
      <c r="MQT33" s="206"/>
      <c r="MQU33" s="206"/>
      <c r="MQV33" s="206"/>
      <c r="MQW33" s="206"/>
      <c r="MQX33" s="206"/>
      <c r="MQY33" s="206"/>
      <c r="MQZ33" s="206"/>
      <c r="MRA33" s="206"/>
      <c r="MRB33" s="206"/>
      <c r="MRC33" s="206"/>
      <c r="MRD33" s="206"/>
      <c r="MRE33" s="206"/>
      <c r="MRF33" s="206"/>
      <c r="MRG33" s="206"/>
      <c r="MRH33" s="206"/>
      <c r="MRI33" s="206"/>
      <c r="MRJ33" s="206"/>
      <c r="MRK33" s="206"/>
      <c r="MRL33" s="206"/>
      <c r="MRM33" s="206"/>
      <c r="MRN33" s="206"/>
      <c r="MRO33" s="206"/>
      <c r="MRP33" s="206"/>
      <c r="MRQ33" s="206"/>
      <c r="MRR33" s="206"/>
      <c r="MRS33" s="206"/>
      <c r="MRT33" s="206"/>
      <c r="MRU33" s="206"/>
      <c r="MRV33" s="206"/>
      <c r="MRW33" s="206"/>
      <c r="MRX33" s="206"/>
      <c r="MRY33" s="206"/>
      <c r="MRZ33" s="206"/>
      <c r="MSA33" s="206"/>
      <c r="MSB33" s="206"/>
      <c r="MSC33" s="206"/>
      <c r="MSD33" s="206"/>
      <c r="MSE33" s="206"/>
      <c r="MSF33" s="206"/>
      <c r="MSG33" s="206"/>
      <c r="MSH33" s="206"/>
      <c r="MSI33" s="206"/>
      <c r="MSJ33" s="206"/>
      <c r="MSK33" s="206"/>
      <c r="MSL33" s="206"/>
      <c r="MSM33" s="206"/>
      <c r="MSN33" s="206"/>
      <c r="MSO33" s="206"/>
      <c r="MSP33" s="206"/>
      <c r="MSQ33" s="206"/>
      <c r="MSR33" s="206"/>
      <c r="MSS33" s="206"/>
      <c r="MST33" s="206"/>
      <c r="MSU33" s="206"/>
      <c r="MSV33" s="206"/>
      <c r="MSW33" s="206"/>
      <c r="MSX33" s="206"/>
      <c r="MSY33" s="206"/>
      <c r="MSZ33" s="206"/>
      <c r="MTA33" s="206"/>
      <c r="MTB33" s="206"/>
      <c r="MTC33" s="206"/>
      <c r="MTD33" s="206"/>
      <c r="MTE33" s="206"/>
      <c r="MTF33" s="206"/>
      <c r="MTG33" s="206"/>
      <c r="MTH33" s="206"/>
      <c r="MTI33" s="206"/>
      <c r="MTJ33" s="206"/>
      <c r="MTK33" s="206"/>
      <c r="MTL33" s="206"/>
      <c r="MTM33" s="206"/>
      <c r="MTN33" s="206"/>
      <c r="MTO33" s="206"/>
      <c r="MTP33" s="206"/>
      <c r="MTQ33" s="206"/>
      <c r="MTR33" s="206"/>
      <c r="MTS33" s="206"/>
      <c r="MTT33" s="206"/>
      <c r="MTU33" s="206"/>
      <c r="MTV33" s="206"/>
      <c r="MTW33" s="206"/>
      <c r="MTX33" s="206"/>
      <c r="MTY33" s="206"/>
      <c r="MTZ33" s="206"/>
      <c r="MUA33" s="206"/>
      <c r="MUB33" s="206"/>
      <c r="MUC33" s="206"/>
      <c r="MUD33" s="206"/>
      <c r="MUE33" s="206"/>
      <c r="MUF33" s="206"/>
      <c r="MUG33" s="206"/>
      <c r="MUH33" s="206"/>
      <c r="MUI33" s="206"/>
      <c r="MUJ33" s="206"/>
      <c r="MUK33" s="206"/>
      <c r="MUL33" s="206"/>
      <c r="MUM33" s="206"/>
      <c r="MUN33" s="206"/>
      <c r="MUO33" s="206"/>
      <c r="MUP33" s="206"/>
      <c r="MUQ33" s="206"/>
      <c r="MUR33" s="206"/>
      <c r="MUS33" s="206"/>
      <c r="MUT33" s="206"/>
      <c r="MUU33" s="206"/>
      <c r="MUV33" s="206"/>
      <c r="MUW33" s="206"/>
      <c r="MUX33" s="206"/>
      <c r="MUY33" s="206"/>
      <c r="MUZ33" s="206"/>
      <c r="MVA33" s="206"/>
      <c r="MVB33" s="206"/>
      <c r="MVC33" s="206"/>
      <c r="MVD33" s="206"/>
      <c r="MVE33" s="206"/>
      <c r="MVF33" s="206"/>
      <c r="MVG33" s="206"/>
      <c r="MVH33" s="206"/>
      <c r="MVI33" s="206"/>
      <c r="MVJ33" s="206"/>
      <c r="MVK33" s="206"/>
      <c r="MVL33" s="206"/>
      <c r="MVM33" s="206"/>
      <c r="MVN33" s="206"/>
      <c r="MVO33" s="206"/>
      <c r="MVP33" s="206"/>
      <c r="MVQ33" s="206"/>
      <c r="MVR33" s="206"/>
      <c r="MVS33" s="206"/>
      <c r="MVT33" s="206"/>
      <c r="MVU33" s="206"/>
      <c r="MVV33" s="206"/>
      <c r="MVW33" s="206"/>
      <c r="MVX33" s="206"/>
      <c r="MVY33" s="206"/>
      <c r="MVZ33" s="206"/>
      <c r="MWA33" s="206"/>
      <c r="MWB33" s="206"/>
      <c r="MWC33" s="206"/>
      <c r="MWD33" s="206"/>
      <c r="MWE33" s="206"/>
      <c r="MWF33" s="206"/>
      <c r="MWG33" s="206"/>
      <c r="MWH33" s="206"/>
      <c r="MWI33" s="206"/>
      <c r="MWJ33" s="206"/>
      <c r="MWK33" s="206"/>
      <c r="MWL33" s="206"/>
      <c r="MWM33" s="206"/>
      <c r="MWN33" s="206"/>
      <c r="MWO33" s="206"/>
      <c r="MWP33" s="206"/>
      <c r="MWQ33" s="206"/>
      <c r="MWR33" s="206"/>
      <c r="MWS33" s="206"/>
      <c r="MWT33" s="206"/>
      <c r="MWU33" s="206"/>
      <c r="MWV33" s="206"/>
      <c r="MWW33" s="206"/>
      <c r="MWX33" s="206"/>
      <c r="MWY33" s="206"/>
      <c r="MWZ33" s="206"/>
      <c r="MXA33" s="206"/>
      <c r="MXB33" s="206"/>
      <c r="MXC33" s="206"/>
      <c r="MXD33" s="206"/>
      <c r="MXE33" s="206"/>
      <c r="MXF33" s="206"/>
      <c r="MXG33" s="206"/>
      <c r="MXH33" s="206"/>
      <c r="MXI33" s="206"/>
      <c r="MXJ33" s="206"/>
      <c r="MXK33" s="206"/>
      <c r="MXL33" s="206"/>
      <c r="MXM33" s="206"/>
      <c r="MXN33" s="206"/>
      <c r="MXO33" s="206"/>
      <c r="MXP33" s="206"/>
      <c r="MXQ33" s="206"/>
      <c r="MXR33" s="206"/>
      <c r="MXS33" s="206"/>
      <c r="MXT33" s="206"/>
      <c r="MXU33" s="206"/>
      <c r="MXV33" s="206"/>
      <c r="MXW33" s="206"/>
      <c r="MXX33" s="206"/>
      <c r="MXY33" s="206"/>
      <c r="MXZ33" s="206"/>
      <c r="MYA33" s="206"/>
      <c r="MYB33" s="206"/>
      <c r="MYC33" s="206"/>
      <c r="MYD33" s="206"/>
      <c r="MYE33" s="206"/>
      <c r="MYF33" s="206"/>
      <c r="MYG33" s="206"/>
      <c r="MYH33" s="206"/>
      <c r="MYI33" s="206"/>
      <c r="MYJ33" s="206"/>
      <c r="MYK33" s="206"/>
      <c r="MYL33" s="206"/>
      <c r="MYM33" s="206"/>
      <c r="MYN33" s="206"/>
      <c r="MYO33" s="206"/>
      <c r="MYP33" s="206"/>
      <c r="MYQ33" s="206"/>
      <c r="MYR33" s="206"/>
      <c r="MYS33" s="206"/>
      <c r="MYT33" s="206"/>
      <c r="MYU33" s="206"/>
      <c r="MYV33" s="206"/>
      <c r="MYW33" s="206"/>
      <c r="MYX33" s="206"/>
      <c r="MYY33" s="206"/>
      <c r="MYZ33" s="206"/>
      <c r="MZA33" s="206"/>
      <c r="MZB33" s="206"/>
      <c r="MZC33" s="206"/>
      <c r="MZD33" s="206"/>
      <c r="MZE33" s="206"/>
      <c r="MZF33" s="206"/>
      <c r="MZG33" s="206"/>
      <c r="MZH33" s="206"/>
      <c r="MZI33" s="206"/>
      <c r="MZJ33" s="206"/>
      <c r="MZK33" s="206"/>
      <c r="MZL33" s="206"/>
      <c r="MZM33" s="206"/>
      <c r="MZN33" s="206"/>
      <c r="MZO33" s="206"/>
      <c r="MZP33" s="206"/>
      <c r="MZQ33" s="206"/>
      <c r="MZR33" s="206"/>
      <c r="MZS33" s="206"/>
      <c r="MZT33" s="206"/>
      <c r="MZU33" s="206"/>
      <c r="MZV33" s="206"/>
      <c r="MZW33" s="206"/>
      <c r="MZX33" s="206"/>
      <c r="MZY33" s="206"/>
      <c r="MZZ33" s="206"/>
      <c r="NAA33" s="206"/>
      <c r="NAB33" s="206"/>
      <c r="NAC33" s="206"/>
      <c r="NAD33" s="206"/>
      <c r="NAE33" s="206"/>
      <c r="NAF33" s="206"/>
      <c r="NAG33" s="206"/>
      <c r="NAH33" s="206"/>
      <c r="NAI33" s="206"/>
      <c r="NAJ33" s="206"/>
      <c r="NAK33" s="206"/>
      <c r="NAL33" s="206"/>
      <c r="NAM33" s="206"/>
      <c r="NAN33" s="206"/>
      <c r="NAO33" s="206"/>
      <c r="NAP33" s="206"/>
      <c r="NAQ33" s="206"/>
      <c r="NAR33" s="206"/>
      <c r="NAS33" s="206"/>
      <c r="NAT33" s="206"/>
      <c r="NAU33" s="206"/>
      <c r="NAV33" s="206"/>
      <c r="NAW33" s="206"/>
      <c r="NAX33" s="206"/>
      <c r="NAY33" s="206"/>
      <c r="NAZ33" s="206"/>
      <c r="NBA33" s="206"/>
      <c r="NBB33" s="206"/>
      <c r="NBC33" s="206"/>
      <c r="NBD33" s="206"/>
      <c r="NBE33" s="206"/>
      <c r="NBF33" s="206"/>
      <c r="NBG33" s="206"/>
      <c r="NBH33" s="206"/>
      <c r="NBI33" s="206"/>
      <c r="NBJ33" s="206"/>
      <c r="NBK33" s="206"/>
      <c r="NBL33" s="206"/>
      <c r="NBM33" s="206"/>
      <c r="NBN33" s="206"/>
      <c r="NBO33" s="206"/>
      <c r="NBP33" s="206"/>
      <c r="NBQ33" s="206"/>
      <c r="NBR33" s="206"/>
      <c r="NBS33" s="206"/>
      <c r="NBT33" s="206"/>
      <c r="NBU33" s="206"/>
      <c r="NBV33" s="206"/>
      <c r="NBW33" s="206"/>
      <c r="NBX33" s="206"/>
      <c r="NBY33" s="206"/>
      <c r="NBZ33" s="206"/>
      <c r="NCA33" s="206"/>
      <c r="NCB33" s="206"/>
      <c r="NCC33" s="206"/>
      <c r="NCD33" s="206"/>
      <c r="NCE33" s="206"/>
      <c r="NCF33" s="206"/>
      <c r="NCG33" s="206"/>
      <c r="NCH33" s="206"/>
      <c r="NCI33" s="206"/>
      <c r="NCJ33" s="206"/>
      <c r="NCK33" s="206"/>
      <c r="NCL33" s="206"/>
      <c r="NCM33" s="206"/>
      <c r="NCN33" s="206"/>
      <c r="NCO33" s="206"/>
      <c r="NCP33" s="206"/>
      <c r="NCQ33" s="206"/>
      <c r="NCR33" s="206"/>
      <c r="NCS33" s="206"/>
      <c r="NCT33" s="206"/>
      <c r="NCU33" s="206"/>
      <c r="NCV33" s="206"/>
      <c r="NCW33" s="206"/>
      <c r="NCX33" s="206"/>
      <c r="NCY33" s="206"/>
      <c r="NCZ33" s="206"/>
      <c r="NDA33" s="206"/>
      <c r="NDB33" s="206"/>
      <c r="NDC33" s="206"/>
      <c r="NDD33" s="206"/>
      <c r="NDE33" s="206"/>
      <c r="NDF33" s="206"/>
      <c r="NDG33" s="206"/>
      <c r="NDH33" s="206"/>
      <c r="NDI33" s="206"/>
      <c r="NDJ33" s="206"/>
      <c r="NDK33" s="206"/>
      <c r="NDL33" s="206"/>
      <c r="NDM33" s="206"/>
      <c r="NDN33" s="206"/>
      <c r="NDO33" s="206"/>
      <c r="NDP33" s="206"/>
      <c r="NDQ33" s="206"/>
      <c r="NDR33" s="206"/>
      <c r="NDS33" s="206"/>
      <c r="NDT33" s="206"/>
      <c r="NDU33" s="206"/>
      <c r="NDV33" s="206"/>
      <c r="NDW33" s="206"/>
      <c r="NDX33" s="206"/>
      <c r="NDY33" s="206"/>
      <c r="NDZ33" s="206"/>
      <c r="NEA33" s="206"/>
      <c r="NEB33" s="206"/>
      <c r="NEC33" s="206"/>
      <c r="NED33" s="206"/>
      <c r="NEE33" s="206"/>
      <c r="NEF33" s="206"/>
      <c r="NEG33" s="206"/>
      <c r="NEH33" s="206"/>
      <c r="NEI33" s="206"/>
      <c r="NEJ33" s="206"/>
      <c r="NEK33" s="206"/>
      <c r="NEL33" s="206"/>
      <c r="NEM33" s="206"/>
      <c r="NEN33" s="206"/>
      <c r="NEO33" s="206"/>
      <c r="NEP33" s="206"/>
      <c r="NEQ33" s="206"/>
      <c r="NER33" s="206"/>
      <c r="NES33" s="206"/>
      <c r="NET33" s="206"/>
      <c r="NEU33" s="206"/>
      <c r="NEV33" s="206"/>
      <c r="NEW33" s="206"/>
      <c r="NEX33" s="206"/>
      <c r="NEY33" s="206"/>
      <c r="NEZ33" s="206"/>
      <c r="NFA33" s="206"/>
      <c r="NFB33" s="206"/>
      <c r="NFC33" s="206"/>
      <c r="NFD33" s="206"/>
      <c r="NFE33" s="206"/>
      <c r="NFF33" s="206"/>
      <c r="NFG33" s="206"/>
      <c r="NFH33" s="206"/>
      <c r="NFI33" s="206"/>
      <c r="NFJ33" s="206"/>
      <c r="NFK33" s="206"/>
      <c r="NFL33" s="206"/>
      <c r="NFM33" s="206"/>
      <c r="NFN33" s="206"/>
      <c r="NFO33" s="206"/>
      <c r="NFP33" s="206"/>
      <c r="NFQ33" s="206"/>
      <c r="NFR33" s="206"/>
      <c r="NFS33" s="206"/>
      <c r="NFT33" s="206"/>
      <c r="NFU33" s="206"/>
      <c r="NFV33" s="206"/>
      <c r="NFW33" s="206"/>
      <c r="NFX33" s="206"/>
      <c r="NFY33" s="206"/>
      <c r="NFZ33" s="206"/>
      <c r="NGA33" s="206"/>
      <c r="NGB33" s="206"/>
      <c r="NGC33" s="206"/>
      <c r="NGD33" s="206"/>
      <c r="NGE33" s="206"/>
      <c r="NGF33" s="206"/>
      <c r="NGG33" s="206"/>
      <c r="NGH33" s="206"/>
      <c r="NGI33" s="206"/>
      <c r="NGJ33" s="206"/>
      <c r="NGK33" s="206"/>
      <c r="NGL33" s="206"/>
      <c r="NGM33" s="206"/>
      <c r="NGN33" s="206"/>
      <c r="NGO33" s="206"/>
      <c r="NGP33" s="206"/>
      <c r="NGQ33" s="206"/>
      <c r="NGR33" s="206"/>
      <c r="NGS33" s="206"/>
      <c r="NGT33" s="206"/>
      <c r="NGU33" s="206"/>
      <c r="NGV33" s="206"/>
      <c r="NGW33" s="206"/>
      <c r="NGX33" s="206"/>
      <c r="NGY33" s="206"/>
      <c r="NGZ33" s="206"/>
      <c r="NHA33" s="206"/>
      <c r="NHB33" s="206"/>
      <c r="NHC33" s="206"/>
      <c r="NHD33" s="206"/>
      <c r="NHE33" s="206"/>
      <c r="NHF33" s="206"/>
      <c r="NHG33" s="206"/>
      <c r="NHH33" s="206"/>
      <c r="NHI33" s="206"/>
      <c r="NHJ33" s="206"/>
      <c r="NHK33" s="206"/>
      <c r="NHL33" s="206"/>
      <c r="NHM33" s="206"/>
      <c r="NHN33" s="206"/>
      <c r="NHO33" s="206"/>
      <c r="NHP33" s="206"/>
      <c r="NHQ33" s="206"/>
      <c r="NHR33" s="206"/>
      <c r="NHS33" s="206"/>
      <c r="NHT33" s="206"/>
      <c r="NHU33" s="206"/>
      <c r="NHV33" s="206"/>
      <c r="NHW33" s="206"/>
      <c r="NHX33" s="206"/>
      <c r="NHY33" s="206"/>
      <c r="NHZ33" s="206"/>
      <c r="NIA33" s="206"/>
      <c r="NIB33" s="206"/>
      <c r="NIC33" s="206"/>
      <c r="NID33" s="206"/>
      <c r="NIE33" s="206"/>
      <c r="NIF33" s="206"/>
      <c r="NIG33" s="206"/>
      <c r="NIH33" s="206"/>
      <c r="NII33" s="206"/>
      <c r="NIJ33" s="206"/>
      <c r="NIK33" s="206"/>
      <c r="NIL33" s="206"/>
      <c r="NIM33" s="206"/>
      <c r="NIN33" s="206"/>
      <c r="NIO33" s="206"/>
      <c r="NIP33" s="206"/>
      <c r="NIQ33" s="206"/>
      <c r="NIR33" s="206"/>
      <c r="NIS33" s="206"/>
      <c r="NIT33" s="206"/>
      <c r="NIU33" s="206"/>
      <c r="NIV33" s="206"/>
      <c r="NIW33" s="206"/>
      <c r="NIX33" s="206"/>
      <c r="NIY33" s="206"/>
      <c r="NIZ33" s="206"/>
      <c r="NJA33" s="206"/>
      <c r="NJB33" s="206"/>
      <c r="NJC33" s="206"/>
      <c r="NJD33" s="206"/>
      <c r="NJE33" s="206"/>
      <c r="NJF33" s="206"/>
      <c r="NJG33" s="206"/>
      <c r="NJH33" s="206"/>
      <c r="NJI33" s="206"/>
      <c r="NJJ33" s="206"/>
      <c r="NJK33" s="206"/>
      <c r="NJL33" s="206"/>
      <c r="NJM33" s="206"/>
      <c r="NJN33" s="206"/>
      <c r="NJO33" s="206"/>
      <c r="NJP33" s="206"/>
      <c r="NJQ33" s="206"/>
      <c r="NJR33" s="206"/>
      <c r="NJS33" s="206"/>
      <c r="NJT33" s="206"/>
      <c r="NJU33" s="206"/>
      <c r="NJV33" s="206"/>
      <c r="NJW33" s="206"/>
      <c r="NJX33" s="206"/>
      <c r="NJY33" s="206"/>
      <c r="NJZ33" s="206"/>
      <c r="NKA33" s="206"/>
      <c r="NKB33" s="206"/>
      <c r="NKC33" s="206"/>
      <c r="NKD33" s="206"/>
      <c r="NKE33" s="206"/>
      <c r="NKF33" s="206"/>
      <c r="NKG33" s="206"/>
      <c r="NKH33" s="206"/>
      <c r="NKI33" s="206"/>
      <c r="NKJ33" s="206"/>
      <c r="NKK33" s="206"/>
      <c r="NKL33" s="206"/>
      <c r="NKM33" s="206"/>
      <c r="NKN33" s="206"/>
      <c r="NKO33" s="206"/>
      <c r="NKP33" s="206"/>
      <c r="NKQ33" s="206"/>
      <c r="NKR33" s="206"/>
      <c r="NKS33" s="206"/>
      <c r="NKT33" s="206"/>
      <c r="NKU33" s="206"/>
      <c r="NKV33" s="206"/>
      <c r="NKW33" s="206"/>
      <c r="NKX33" s="206"/>
      <c r="NKY33" s="206"/>
      <c r="NKZ33" s="206"/>
      <c r="NLA33" s="206"/>
      <c r="NLB33" s="206"/>
      <c r="NLC33" s="206"/>
      <c r="NLD33" s="206"/>
      <c r="NLE33" s="206"/>
      <c r="NLF33" s="206"/>
      <c r="NLG33" s="206"/>
      <c r="NLH33" s="206"/>
      <c r="NLI33" s="206"/>
      <c r="NLJ33" s="206"/>
      <c r="NLK33" s="206"/>
      <c r="NLL33" s="206"/>
      <c r="NLM33" s="206"/>
      <c r="NLN33" s="206"/>
      <c r="NLO33" s="206"/>
      <c r="NLP33" s="206"/>
      <c r="NLQ33" s="206"/>
      <c r="NLR33" s="206"/>
      <c r="NLS33" s="206"/>
      <c r="NLT33" s="206"/>
      <c r="NLU33" s="206"/>
      <c r="NLV33" s="206"/>
      <c r="NLW33" s="206"/>
      <c r="NLX33" s="206"/>
      <c r="NLY33" s="206"/>
      <c r="NLZ33" s="206"/>
      <c r="NMA33" s="206"/>
      <c r="NMB33" s="206"/>
      <c r="NMC33" s="206"/>
      <c r="NMD33" s="206"/>
      <c r="NME33" s="206"/>
      <c r="NMF33" s="206"/>
      <c r="NMG33" s="206"/>
      <c r="NMH33" s="206"/>
      <c r="NMI33" s="206"/>
      <c r="NMJ33" s="206"/>
      <c r="NMK33" s="206"/>
      <c r="NML33" s="206"/>
      <c r="NMM33" s="206"/>
      <c r="NMN33" s="206"/>
      <c r="NMO33" s="206"/>
      <c r="NMP33" s="206"/>
      <c r="NMQ33" s="206"/>
      <c r="NMR33" s="206"/>
      <c r="NMS33" s="206"/>
      <c r="NMT33" s="206"/>
      <c r="NMU33" s="206"/>
      <c r="NMV33" s="206"/>
      <c r="NMW33" s="206"/>
      <c r="NMX33" s="206"/>
      <c r="NMY33" s="206"/>
      <c r="NMZ33" s="206"/>
      <c r="NNA33" s="206"/>
      <c r="NNB33" s="206"/>
      <c r="NNC33" s="206"/>
      <c r="NND33" s="206"/>
      <c r="NNE33" s="206"/>
      <c r="NNF33" s="206"/>
      <c r="NNG33" s="206"/>
      <c r="NNH33" s="206"/>
      <c r="NNI33" s="206"/>
      <c r="NNJ33" s="206"/>
      <c r="NNK33" s="206"/>
      <c r="NNL33" s="206"/>
      <c r="NNM33" s="206"/>
      <c r="NNN33" s="206"/>
      <c r="NNO33" s="206"/>
      <c r="NNP33" s="206"/>
      <c r="NNQ33" s="206"/>
      <c r="NNR33" s="206"/>
      <c r="NNS33" s="206"/>
      <c r="NNT33" s="206"/>
      <c r="NNU33" s="206"/>
      <c r="NNV33" s="206"/>
      <c r="NNW33" s="206"/>
      <c r="NNX33" s="206"/>
      <c r="NNY33" s="206"/>
      <c r="NNZ33" s="206"/>
      <c r="NOA33" s="206"/>
      <c r="NOB33" s="206"/>
      <c r="NOC33" s="206"/>
      <c r="NOD33" s="206"/>
      <c r="NOE33" s="206"/>
      <c r="NOF33" s="206"/>
      <c r="NOG33" s="206"/>
      <c r="NOH33" s="206"/>
      <c r="NOI33" s="206"/>
      <c r="NOJ33" s="206"/>
      <c r="NOK33" s="206"/>
      <c r="NOL33" s="206"/>
      <c r="NOM33" s="206"/>
      <c r="NON33" s="206"/>
      <c r="NOO33" s="206"/>
      <c r="NOP33" s="206"/>
      <c r="NOQ33" s="206"/>
      <c r="NOR33" s="206"/>
      <c r="NOS33" s="206"/>
      <c r="NOT33" s="206"/>
      <c r="NOU33" s="206"/>
      <c r="NOV33" s="206"/>
      <c r="NOW33" s="206"/>
      <c r="NOX33" s="206"/>
      <c r="NOY33" s="206"/>
      <c r="NOZ33" s="206"/>
      <c r="NPA33" s="206"/>
      <c r="NPB33" s="206"/>
      <c r="NPC33" s="206"/>
      <c r="NPD33" s="206"/>
      <c r="NPE33" s="206"/>
      <c r="NPF33" s="206"/>
      <c r="NPG33" s="206"/>
      <c r="NPH33" s="206"/>
      <c r="NPI33" s="206"/>
      <c r="NPJ33" s="206"/>
      <c r="NPK33" s="206"/>
      <c r="NPL33" s="206"/>
      <c r="NPM33" s="206"/>
      <c r="NPN33" s="206"/>
      <c r="NPO33" s="206"/>
      <c r="NPP33" s="206"/>
      <c r="NPQ33" s="206"/>
      <c r="NPR33" s="206"/>
      <c r="NPS33" s="206"/>
      <c r="NPT33" s="206"/>
      <c r="NPU33" s="206"/>
      <c r="NPV33" s="206"/>
      <c r="NPW33" s="206"/>
      <c r="NPX33" s="206"/>
      <c r="NPY33" s="206"/>
      <c r="NPZ33" s="206"/>
      <c r="NQA33" s="206"/>
      <c r="NQB33" s="206"/>
      <c r="NQC33" s="206"/>
      <c r="NQD33" s="206"/>
      <c r="NQE33" s="206"/>
      <c r="NQF33" s="206"/>
      <c r="NQG33" s="206"/>
      <c r="NQH33" s="206"/>
      <c r="NQI33" s="206"/>
      <c r="NQJ33" s="206"/>
      <c r="NQK33" s="206"/>
      <c r="NQL33" s="206"/>
      <c r="NQM33" s="206"/>
      <c r="NQN33" s="206"/>
      <c r="NQO33" s="206"/>
      <c r="NQP33" s="206"/>
      <c r="NQQ33" s="206"/>
      <c r="NQR33" s="206"/>
      <c r="NQS33" s="206"/>
      <c r="NQT33" s="206"/>
      <c r="NQU33" s="206"/>
      <c r="NQV33" s="206"/>
      <c r="NQW33" s="206"/>
      <c r="NQX33" s="206"/>
      <c r="NQY33" s="206"/>
      <c r="NQZ33" s="206"/>
      <c r="NRA33" s="206"/>
      <c r="NRB33" s="206"/>
      <c r="NRC33" s="206"/>
      <c r="NRD33" s="206"/>
      <c r="NRE33" s="206"/>
      <c r="NRF33" s="206"/>
      <c r="NRG33" s="206"/>
      <c r="NRH33" s="206"/>
      <c r="NRI33" s="206"/>
      <c r="NRJ33" s="206"/>
      <c r="NRK33" s="206"/>
      <c r="NRL33" s="206"/>
      <c r="NRM33" s="206"/>
      <c r="NRN33" s="206"/>
      <c r="NRO33" s="206"/>
      <c r="NRP33" s="206"/>
      <c r="NRQ33" s="206"/>
      <c r="NRR33" s="206"/>
      <c r="NRS33" s="206"/>
      <c r="NRT33" s="206"/>
      <c r="NRU33" s="206"/>
      <c r="NRV33" s="206"/>
      <c r="NRW33" s="206"/>
      <c r="NRX33" s="206"/>
      <c r="NRY33" s="206"/>
      <c r="NRZ33" s="206"/>
      <c r="NSA33" s="206"/>
      <c r="NSB33" s="206"/>
      <c r="NSC33" s="206"/>
      <c r="NSD33" s="206"/>
      <c r="NSE33" s="206"/>
      <c r="NSF33" s="206"/>
      <c r="NSG33" s="206"/>
      <c r="NSH33" s="206"/>
      <c r="NSI33" s="206"/>
      <c r="NSJ33" s="206"/>
      <c r="NSK33" s="206"/>
      <c r="NSL33" s="206"/>
      <c r="NSM33" s="206"/>
      <c r="NSN33" s="206"/>
      <c r="NSO33" s="206"/>
      <c r="NSP33" s="206"/>
      <c r="NSQ33" s="206"/>
      <c r="NSR33" s="206"/>
      <c r="NSS33" s="206"/>
      <c r="NST33" s="206"/>
      <c r="NSU33" s="206"/>
      <c r="NSV33" s="206"/>
      <c r="NSW33" s="206"/>
      <c r="NSX33" s="206"/>
      <c r="NSY33" s="206"/>
      <c r="NSZ33" s="206"/>
      <c r="NTA33" s="206"/>
      <c r="NTB33" s="206"/>
      <c r="NTC33" s="206"/>
      <c r="NTD33" s="206"/>
      <c r="NTE33" s="206"/>
      <c r="NTF33" s="206"/>
      <c r="NTG33" s="206"/>
      <c r="NTH33" s="206"/>
      <c r="NTI33" s="206"/>
      <c r="NTJ33" s="206"/>
      <c r="NTK33" s="206"/>
      <c r="NTL33" s="206"/>
      <c r="NTM33" s="206"/>
      <c r="NTN33" s="206"/>
      <c r="NTO33" s="206"/>
      <c r="NTP33" s="206"/>
      <c r="NTQ33" s="206"/>
      <c r="NTR33" s="206"/>
      <c r="NTS33" s="206"/>
      <c r="NTT33" s="206"/>
      <c r="NTU33" s="206"/>
      <c r="NTV33" s="206"/>
      <c r="NTW33" s="206"/>
      <c r="NTX33" s="206"/>
      <c r="NTY33" s="206"/>
      <c r="NTZ33" s="206"/>
      <c r="NUA33" s="206"/>
      <c r="NUB33" s="206"/>
      <c r="NUC33" s="206"/>
      <c r="NUD33" s="206"/>
      <c r="NUE33" s="206"/>
      <c r="NUF33" s="206"/>
      <c r="NUG33" s="206"/>
      <c r="NUH33" s="206"/>
      <c r="NUI33" s="206"/>
      <c r="NUJ33" s="206"/>
      <c r="NUK33" s="206"/>
      <c r="NUL33" s="206"/>
      <c r="NUM33" s="206"/>
      <c r="NUN33" s="206"/>
      <c r="NUO33" s="206"/>
      <c r="NUP33" s="206"/>
      <c r="NUQ33" s="206"/>
      <c r="NUR33" s="206"/>
      <c r="NUS33" s="206"/>
      <c r="NUT33" s="206"/>
      <c r="NUU33" s="206"/>
      <c r="NUV33" s="206"/>
      <c r="NUW33" s="206"/>
      <c r="NUX33" s="206"/>
      <c r="NUY33" s="206"/>
      <c r="NUZ33" s="206"/>
      <c r="NVA33" s="206"/>
      <c r="NVB33" s="206"/>
      <c r="NVC33" s="206"/>
      <c r="NVD33" s="206"/>
      <c r="NVE33" s="206"/>
      <c r="NVF33" s="206"/>
      <c r="NVG33" s="206"/>
      <c r="NVH33" s="206"/>
      <c r="NVI33" s="206"/>
      <c r="NVJ33" s="206"/>
      <c r="NVK33" s="206"/>
      <c r="NVL33" s="206"/>
      <c r="NVM33" s="206"/>
      <c r="NVN33" s="206"/>
      <c r="NVO33" s="206"/>
      <c r="NVP33" s="206"/>
      <c r="NVQ33" s="206"/>
      <c r="NVR33" s="206"/>
      <c r="NVS33" s="206"/>
      <c r="NVT33" s="206"/>
      <c r="NVU33" s="206"/>
      <c r="NVV33" s="206"/>
      <c r="NVW33" s="206"/>
      <c r="NVX33" s="206"/>
      <c r="NVY33" s="206"/>
      <c r="NVZ33" s="206"/>
      <c r="NWA33" s="206"/>
      <c r="NWB33" s="206"/>
      <c r="NWC33" s="206"/>
      <c r="NWD33" s="206"/>
      <c r="NWE33" s="206"/>
      <c r="NWF33" s="206"/>
      <c r="NWG33" s="206"/>
      <c r="NWH33" s="206"/>
      <c r="NWI33" s="206"/>
      <c r="NWJ33" s="206"/>
      <c r="NWK33" s="206"/>
      <c r="NWL33" s="206"/>
      <c r="NWM33" s="206"/>
      <c r="NWN33" s="206"/>
      <c r="NWO33" s="206"/>
      <c r="NWP33" s="206"/>
      <c r="NWQ33" s="206"/>
      <c r="NWR33" s="206"/>
      <c r="NWS33" s="206"/>
      <c r="NWT33" s="206"/>
      <c r="NWU33" s="206"/>
      <c r="NWV33" s="206"/>
      <c r="NWW33" s="206"/>
      <c r="NWX33" s="206"/>
      <c r="NWY33" s="206"/>
      <c r="NWZ33" s="206"/>
      <c r="NXA33" s="206"/>
      <c r="NXB33" s="206"/>
      <c r="NXC33" s="206"/>
      <c r="NXD33" s="206"/>
      <c r="NXE33" s="206"/>
      <c r="NXF33" s="206"/>
      <c r="NXG33" s="206"/>
      <c r="NXH33" s="206"/>
      <c r="NXI33" s="206"/>
      <c r="NXJ33" s="206"/>
      <c r="NXK33" s="206"/>
      <c r="NXL33" s="206"/>
      <c r="NXM33" s="206"/>
      <c r="NXN33" s="206"/>
      <c r="NXO33" s="206"/>
      <c r="NXP33" s="206"/>
      <c r="NXQ33" s="206"/>
      <c r="NXR33" s="206"/>
      <c r="NXS33" s="206"/>
      <c r="NXT33" s="206"/>
      <c r="NXU33" s="206"/>
      <c r="NXV33" s="206"/>
      <c r="NXW33" s="206"/>
      <c r="NXX33" s="206"/>
      <c r="NXY33" s="206"/>
      <c r="NXZ33" s="206"/>
      <c r="NYA33" s="206"/>
      <c r="NYB33" s="206"/>
      <c r="NYC33" s="206"/>
      <c r="NYD33" s="206"/>
      <c r="NYE33" s="206"/>
      <c r="NYF33" s="206"/>
      <c r="NYG33" s="206"/>
      <c r="NYH33" s="206"/>
      <c r="NYI33" s="206"/>
      <c r="NYJ33" s="206"/>
      <c r="NYK33" s="206"/>
      <c r="NYL33" s="206"/>
      <c r="NYM33" s="206"/>
      <c r="NYN33" s="206"/>
      <c r="NYO33" s="206"/>
      <c r="NYP33" s="206"/>
      <c r="NYQ33" s="206"/>
      <c r="NYR33" s="206"/>
      <c r="NYS33" s="206"/>
      <c r="NYT33" s="206"/>
      <c r="NYU33" s="206"/>
      <c r="NYV33" s="206"/>
      <c r="NYW33" s="206"/>
      <c r="NYX33" s="206"/>
      <c r="NYY33" s="206"/>
      <c r="NYZ33" s="206"/>
      <c r="NZA33" s="206"/>
      <c r="NZB33" s="206"/>
      <c r="NZC33" s="206"/>
      <c r="NZD33" s="206"/>
      <c r="NZE33" s="206"/>
      <c r="NZF33" s="206"/>
      <c r="NZG33" s="206"/>
      <c r="NZH33" s="206"/>
      <c r="NZI33" s="206"/>
      <c r="NZJ33" s="206"/>
      <c r="NZK33" s="206"/>
      <c r="NZL33" s="206"/>
      <c r="NZM33" s="206"/>
      <c r="NZN33" s="206"/>
      <c r="NZO33" s="206"/>
      <c r="NZP33" s="206"/>
      <c r="NZQ33" s="206"/>
      <c r="NZR33" s="206"/>
      <c r="NZS33" s="206"/>
      <c r="NZT33" s="206"/>
      <c r="NZU33" s="206"/>
      <c r="NZV33" s="206"/>
      <c r="NZW33" s="206"/>
      <c r="NZX33" s="206"/>
      <c r="NZY33" s="206"/>
      <c r="NZZ33" s="206"/>
      <c r="OAA33" s="206"/>
      <c r="OAB33" s="206"/>
      <c r="OAC33" s="206"/>
      <c r="OAD33" s="206"/>
      <c r="OAE33" s="206"/>
      <c r="OAF33" s="206"/>
      <c r="OAG33" s="206"/>
      <c r="OAH33" s="206"/>
      <c r="OAI33" s="206"/>
      <c r="OAJ33" s="206"/>
      <c r="OAK33" s="206"/>
      <c r="OAL33" s="206"/>
      <c r="OAM33" s="206"/>
      <c r="OAN33" s="206"/>
      <c r="OAO33" s="206"/>
      <c r="OAP33" s="206"/>
      <c r="OAQ33" s="206"/>
      <c r="OAR33" s="206"/>
      <c r="OAS33" s="206"/>
      <c r="OAT33" s="206"/>
      <c r="OAU33" s="206"/>
      <c r="OAV33" s="206"/>
      <c r="OAW33" s="206"/>
      <c r="OAX33" s="206"/>
      <c r="OAY33" s="206"/>
      <c r="OAZ33" s="206"/>
      <c r="OBA33" s="206"/>
      <c r="OBB33" s="206"/>
      <c r="OBC33" s="206"/>
      <c r="OBD33" s="206"/>
      <c r="OBE33" s="206"/>
      <c r="OBF33" s="206"/>
      <c r="OBG33" s="206"/>
      <c r="OBH33" s="206"/>
      <c r="OBI33" s="206"/>
      <c r="OBJ33" s="206"/>
      <c r="OBK33" s="206"/>
      <c r="OBL33" s="206"/>
      <c r="OBM33" s="206"/>
      <c r="OBN33" s="206"/>
      <c r="OBO33" s="206"/>
      <c r="OBP33" s="206"/>
      <c r="OBQ33" s="206"/>
      <c r="OBR33" s="206"/>
      <c r="OBS33" s="206"/>
      <c r="OBT33" s="206"/>
      <c r="OBU33" s="206"/>
      <c r="OBV33" s="206"/>
      <c r="OBW33" s="206"/>
      <c r="OBX33" s="206"/>
      <c r="OBY33" s="206"/>
      <c r="OBZ33" s="206"/>
      <c r="OCA33" s="206"/>
      <c r="OCB33" s="206"/>
      <c r="OCC33" s="206"/>
      <c r="OCD33" s="206"/>
      <c r="OCE33" s="206"/>
      <c r="OCF33" s="206"/>
      <c r="OCG33" s="206"/>
      <c r="OCH33" s="206"/>
      <c r="OCI33" s="206"/>
      <c r="OCJ33" s="206"/>
      <c r="OCK33" s="206"/>
      <c r="OCL33" s="206"/>
      <c r="OCM33" s="206"/>
      <c r="OCN33" s="206"/>
      <c r="OCO33" s="206"/>
      <c r="OCP33" s="206"/>
      <c r="OCQ33" s="206"/>
      <c r="OCR33" s="206"/>
      <c r="OCS33" s="206"/>
      <c r="OCT33" s="206"/>
      <c r="OCU33" s="206"/>
      <c r="OCV33" s="206"/>
      <c r="OCW33" s="206"/>
      <c r="OCX33" s="206"/>
      <c r="OCY33" s="206"/>
      <c r="OCZ33" s="206"/>
      <c r="ODA33" s="206"/>
      <c r="ODB33" s="206"/>
      <c r="ODC33" s="206"/>
      <c r="ODD33" s="206"/>
      <c r="ODE33" s="206"/>
      <c r="ODF33" s="206"/>
      <c r="ODG33" s="206"/>
      <c r="ODH33" s="206"/>
      <c r="ODI33" s="206"/>
      <c r="ODJ33" s="206"/>
      <c r="ODK33" s="206"/>
      <c r="ODL33" s="206"/>
      <c r="ODM33" s="206"/>
      <c r="ODN33" s="206"/>
      <c r="ODO33" s="206"/>
      <c r="ODP33" s="206"/>
      <c r="ODQ33" s="206"/>
      <c r="ODR33" s="206"/>
      <c r="ODS33" s="206"/>
      <c r="ODT33" s="206"/>
      <c r="ODU33" s="206"/>
      <c r="ODV33" s="206"/>
      <c r="ODW33" s="206"/>
      <c r="ODX33" s="206"/>
      <c r="ODY33" s="206"/>
      <c r="ODZ33" s="206"/>
      <c r="OEA33" s="206"/>
      <c r="OEB33" s="206"/>
      <c r="OEC33" s="206"/>
      <c r="OED33" s="206"/>
      <c r="OEE33" s="206"/>
      <c r="OEF33" s="206"/>
      <c r="OEG33" s="206"/>
      <c r="OEH33" s="206"/>
      <c r="OEI33" s="206"/>
      <c r="OEJ33" s="206"/>
      <c r="OEK33" s="206"/>
      <c r="OEL33" s="206"/>
      <c r="OEM33" s="206"/>
      <c r="OEN33" s="206"/>
      <c r="OEO33" s="206"/>
      <c r="OEP33" s="206"/>
      <c r="OEQ33" s="206"/>
      <c r="OER33" s="206"/>
      <c r="OES33" s="206"/>
      <c r="OET33" s="206"/>
      <c r="OEU33" s="206"/>
      <c r="OEV33" s="206"/>
      <c r="OEW33" s="206"/>
      <c r="OEX33" s="206"/>
      <c r="OEY33" s="206"/>
      <c r="OEZ33" s="206"/>
      <c r="OFA33" s="206"/>
      <c r="OFB33" s="206"/>
      <c r="OFC33" s="206"/>
      <c r="OFD33" s="206"/>
      <c r="OFE33" s="206"/>
      <c r="OFF33" s="206"/>
      <c r="OFG33" s="206"/>
      <c r="OFH33" s="206"/>
      <c r="OFI33" s="206"/>
      <c r="OFJ33" s="206"/>
      <c r="OFK33" s="206"/>
      <c r="OFL33" s="206"/>
      <c r="OFM33" s="206"/>
      <c r="OFN33" s="206"/>
      <c r="OFO33" s="206"/>
      <c r="OFP33" s="206"/>
      <c r="OFQ33" s="206"/>
      <c r="OFR33" s="206"/>
      <c r="OFS33" s="206"/>
      <c r="OFT33" s="206"/>
      <c r="OFU33" s="206"/>
      <c r="OFV33" s="206"/>
      <c r="OFW33" s="206"/>
      <c r="OFX33" s="206"/>
      <c r="OFY33" s="206"/>
      <c r="OFZ33" s="206"/>
      <c r="OGA33" s="206"/>
      <c r="OGB33" s="206"/>
      <c r="OGC33" s="206"/>
      <c r="OGD33" s="206"/>
      <c r="OGE33" s="206"/>
      <c r="OGF33" s="206"/>
      <c r="OGG33" s="206"/>
      <c r="OGH33" s="206"/>
      <c r="OGI33" s="206"/>
      <c r="OGJ33" s="206"/>
      <c r="OGK33" s="206"/>
      <c r="OGL33" s="206"/>
      <c r="OGM33" s="206"/>
      <c r="OGN33" s="206"/>
      <c r="OGO33" s="206"/>
      <c r="OGP33" s="206"/>
      <c r="OGQ33" s="206"/>
      <c r="OGR33" s="206"/>
      <c r="OGS33" s="206"/>
      <c r="OGT33" s="206"/>
      <c r="OGU33" s="206"/>
      <c r="OGV33" s="206"/>
      <c r="OGW33" s="206"/>
      <c r="OGX33" s="206"/>
      <c r="OGY33" s="206"/>
      <c r="OGZ33" s="206"/>
      <c r="OHA33" s="206"/>
      <c r="OHB33" s="206"/>
      <c r="OHC33" s="206"/>
      <c r="OHD33" s="206"/>
      <c r="OHE33" s="206"/>
      <c r="OHF33" s="206"/>
      <c r="OHG33" s="206"/>
      <c r="OHH33" s="206"/>
      <c r="OHI33" s="206"/>
      <c r="OHJ33" s="206"/>
      <c r="OHK33" s="206"/>
      <c r="OHL33" s="206"/>
      <c r="OHM33" s="206"/>
      <c r="OHN33" s="206"/>
      <c r="OHO33" s="206"/>
      <c r="OHP33" s="206"/>
      <c r="OHQ33" s="206"/>
      <c r="OHR33" s="206"/>
      <c r="OHS33" s="206"/>
      <c r="OHT33" s="206"/>
      <c r="OHU33" s="206"/>
      <c r="OHV33" s="206"/>
      <c r="OHW33" s="206"/>
      <c r="OHX33" s="206"/>
      <c r="OHY33" s="206"/>
      <c r="OHZ33" s="206"/>
      <c r="OIA33" s="206"/>
      <c r="OIB33" s="206"/>
      <c r="OIC33" s="206"/>
      <c r="OID33" s="206"/>
      <c r="OIE33" s="206"/>
      <c r="OIF33" s="206"/>
      <c r="OIG33" s="206"/>
      <c r="OIH33" s="206"/>
      <c r="OII33" s="206"/>
      <c r="OIJ33" s="206"/>
      <c r="OIK33" s="206"/>
      <c r="OIL33" s="206"/>
      <c r="OIM33" s="206"/>
      <c r="OIN33" s="206"/>
      <c r="OIO33" s="206"/>
      <c r="OIP33" s="206"/>
      <c r="OIQ33" s="206"/>
      <c r="OIR33" s="206"/>
      <c r="OIS33" s="206"/>
      <c r="OIT33" s="206"/>
      <c r="OIU33" s="206"/>
      <c r="OIV33" s="206"/>
      <c r="OIW33" s="206"/>
      <c r="OIX33" s="206"/>
      <c r="OIY33" s="206"/>
      <c r="OIZ33" s="206"/>
      <c r="OJA33" s="206"/>
      <c r="OJB33" s="206"/>
      <c r="OJC33" s="206"/>
      <c r="OJD33" s="206"/>
      <c r="OJE33" s="206"/>
      <c r="OJF33" s="206"/>
      <c r="OJG33" s="206"/>
      <c r="OJH33" s="206"/>
      <c r="OJI33" s="206"/>
      <c r="OJJ33" s="206"/>
      <c r="OJK33" s="206"/>
      <c r="OJL33" s="206"/>
      <c r="OJM33" s="206"/>
      <c r="OJN33" s="206"/>
      <c r="OJO33" s="206"/>
      <c r="OJP33" s="206"/>
      <c r="OJQ33" s="206"/>
      <c r="OJR33" s="206"/>
      <c r="OJS33" s="206"/>
      <c r="OJT33" s="206"/>
      <c r="OJU33" s="206"/>
      <c r="OJV33" s="206"/>
      <c r="OJW33" s="206"/>
      <c r="OJX33" s="206"/>
      <c r="OJY33" s="206"/>
      <c r="OJZ33" s="206"/>
      <c r="OKA33" s="206"/>
      <c r="OKB33" s="206"/>
      <c r="OKC33" s="206"/>
      <c r="OKD33" s="206"/>
      <c r="OKE33" s="206"/>
      <c r="OKF33" s="206"/>
      <c r="OKG33" s="206"/>
      <c r="OKH33" s="206"/>
      <c r="OKI33" s="206"/>
      <c r="OKJ33" s="206"/>
      <c r="OKK33" s="206"/>
      <c r="OKL33" s="206"/>
      <c r="OKM33" s="206"/>
      <c r="OKN33" s="206"/>
      <c r="OKO33" s="206"/>
      <c r="OKP33" s="206"/>
      <c r="OKQ33" s="206"/>
      <c r="OKR33" s="206"/>
      <c r="OKS33" s="206"/>
      <c r="OKT33" s="206"/>
      <c r="OKU33" s="206"/>
      <c r="OKV33" s="206"/>
      <c r="OKW33" s="206"/>
      <c r="OKX33" s="206"/>
      <c r="OKY33" s="206"/>
      <c r="OKZ33" s="206"/>
      <c r="OLA33" s="206"/>
      <c r="OLB33" s="206"/>
      <c r="OLC33" s="206"/>
      <c r="OLD33" s="206"/>
      <c r="OLE33" s="206"/>
      <c r="OLF33" s="206"/>
      <c r="OLG33" s="206"/>
      <c r="OLH33" s="206"/>
      <c r="OLI33" s="206"/>
      <c r="OLJ33" s="206"/>
      <c r="OLK33" s="206"/>
      <c r="OLL33" s="206"/>
      <c r="OLM33" s="206"/>
      <c r="OLN33" s="206"/>
      <c r="OLO33" s="206"/>
      <c r="OLP33" s="206"/>
      <c r="OLQ33" s="206"/>
      <c r="OLR33" s="206"/>
      <c r="OLS33" s="206"/>
      <c r="OLT33" s="206"/>
      <c r="OLU33" s="206"/>
      <c r="OLV33" s="206"/>
      <c r="OLW33" s="206"/>
      <c r="OLX33" s="206"/>
      <c r="OLY33" s="206"/>
      <c r="OLZ33" s="206"/>
      <c r="OMA33" s="206"/>
      <c r="OMB33" s="206"/>
      <c r="OMC33" s="206"/>
      <c r="OMD33" s="206"/>
      <c r="OME33" s="206"/>
      <c r="OMF33" s="206"/>
      <c r="OMG33" s="206"/>
      <c r="OMH33" s="206"/>
      <c r="OMI33" s="206"/>
      <c r="OMJ33" s="206"/>
      <c r="OMK33" s="206"/>
      <c r="OML33" s="206"/>
      <c r="OMM33" s="206"/>
      <c r="OMN33" s="206"/>
      <c r="OMO33" s="206"/>
      <c r="OMP33" s="206"/>
      <c r="OMQ33" s="206"/>
      <c r="OMR33" s="206"/>
      <c r="OMS33" s="206"/>
      <c r="OMT33" s="206"/>
      <c r="OMU33" s="206"/>
      <c r="OMV33" s="206"/>
      <c r="OMW33" s="206"/>
      <c r="OMX33" s="206"/>
      <c r="OMY33" s="206"/>
      <c r="OMZ33" s="206"/>
      <c r="ONA33" s="206"/>
      <c r="ONB33" s="206"/>
      <c r="ONC33" s="206"/>
      <c r="OND33" s="206"/>
      <c r="ONE33" s="206"/>
      <c r="ONF33" s="206"/>
      <c r="ONG33" s="206"/>
      <c r="ONH33" s="206"/>
      <c r="ONI33" s="206"/>
      <c r="ONJ33" s="206"/>
      <c r="ONK33" s="206"/>
      <c r="ONL33" s="206"/>
      <c r="ONM33" s="206"/>
      <c r="ONN33" s="206"/>
      <c r="ONO33" s="206"/>
      <c r="ONP33" s="206"/>
      <c r="ONQ33" s="206"/>
      <c r="ONR33" s="206"/>
      <c r="ONS33" s="206"/>
      <c r="ONT33" s="206"/>
      <c r="ONU33" s="206"/>
      <c r="ONV33" s="206"/>
      <c r="ONW33" s="206"/>
      <c r="ONX33" s="206"/>
      <c r="ONY33" s="206"/>
      <c r="ONZ33" s="206"/>
      <c r="OOA33" s="206"/>
      <c r="OOB33" s="206"/>
      <c r="OOC33" s="206"/>
      <c r="OOD33" s="206"/>
      <c r="OOE33" s="206"/>
      <c r="OOF33" s="206"/>
      <c r="OOG33" s="206"/>
      <c r="OOH33" s="206"/>
      <c r="OOI33" s="206"/>
      <c r="OOJ33" s="206"/>
      <c r="OOK33" s="206"/>
      <c r="OOL33" s="206"/>
      <c r="OOM33" s="206"/>
      <c r="OON33" s="206"/>
      <c r="OOO33" s="206"/>
      <c r="OOP33" s="206"/>
      <c r="OOQ33" s="206"/>
      <c r="OOR33" s="206"/>
      <c r="OOS33" s="206"/>
      <c r="OOT33" s="206"/>
      <c r="OOU33" s="206"/>
      <c r="OOV33" s="206"/>
      <c r="OOW33" s="206"/>
      <c r="OOX33" s="206"/>
      <c r="OOY33" s="206"/>
      <c r="OOZ33" s="206"/>
      <c r="OPA33" s="206"/>
      <c r="OPB33" s="206"/>
      <c r="OPC33" s="206"/>
      <c r="OPD33" s="206"/>
      <c r="OPE33" s="206"/>
      <c r="OPF33" s="206"/>
      <c r="OPG33" s="206"/>
      <c r="OPH33" s="206"/>
      <c r="OPI33" s="206"/>
      <c r="OPJ33" s="206"/>
      <c r="OPK33" s="206"/>
      <c r="OPL33" s="206"/>
      <c r="OPM33" s="206"/>
      <c r="OPN33" s="206"/>
      <c r="OPO33" s="206"/>
      <c r="OPP33" s="206"/>
      <c r="OPQ33" s="206"/>
      <c r="OPR33" s="206"/>
      <c r="OPS33" s="206"/>
      <c r="OPT33" s="206"/>
      <c r="OPU33" s="206"/>
      <c r="OPV33" s="206"/>
      <c r="OPW33" s="206"/>
      <c r="OPX33" s="206"/>
      <c r="OPY33" s="206"/>
      <c r="OPZ33" s="206"/>
      <c r="OQA33" s="206"/>
      <c r="OQB33" s="206"/>
      <c r="OQC33" s="206"/>
      <c r="OQD33" s="206"/>
      <c r="OQE33" s="206"/>
      <c r="OQF33" s="206"/>
      <c r="OQG33" s="206"/>
      <c r="OQH33" s="206"/>
      <c r="OQI33" s="206"/>
      <c r="OQJ33" s="206"/>
      <c r="OQK33" s="206"/>
      <c r="OQL33" s="206"/>
      <c r="OQM33" s="206"/>
      <c r="OQN33" s="206"/>
      <c r="OQO33" s="206"/>
      <c r="OQP33" s="206"/>
      <c r="OQQ33" s="206"/>
      <c r="OQR33" s="206"/>
      <c r="OQS33" s="206"/>
      <c r="OQT33" s="206"/>
      <c r="OQU33" s="206"/>
      <c r="OQV33" s="206"/>
      <c r="OQW33" s="206"/>
      <c r="OQX33" s="206"/>
      <c r="OQY33" s="206"/>
      <c r="OQZ33" s="206"/>
      <c r="ORA33" s="206"/>
      <c r="ORB33" s="206"/>
      <c r="ORC33" s="206"/>
      <c r="ORD33" s="206"/>
      <c r="ORE33" s="206"/>
      <c r="ORF33" s="206"/>
      <c r="ORG33" s="206"/>
      <c r="ORH33" s="206"/>
      <c r="ORI33" s="206"/>
      <c r="ORJ33" s="206"/>
      <c r="ORK33" s="206"/>
      <c r="ORL33" s="206"/>
      <c r="ORM33" s="206"/>
      <c r="ORN33" s="206"/>
      <c r="ORO33" s="206"/>
      <c r="ORP33" s="206"/>
      <c r="ORQ33" s="206"/>
      <c r="ORR33" s="206"/>
      <c r="ORS33" s="206"/>
      <c r="ORT33" s="206"/>
      <c r="ORU33" s="206"/>
      <c r="ORV33" s="206"/>
      <c r="ORW33" s="206"/>
      <c r="ORX33" s="206"/>
      <c r="ORY33" s="206"/>
      <c r="ORZ33" s="206"/>
      <c r="OSA33" s="206"/>
      <c r="OSB33" s="206"/>
      <c r="OSC33" s="206"/>
      <c r="OSD33" s="206"/>
      <c r="OSE33" s="206"/>
      <c r="OSF33" s="206"/>
      <c r="OSG33" s="206"/>
      <c r="OSH33" s="206"/>
      <c r="OSI33" s="206"/>
      <c r="OSJ33" s="206"/>
      <c r="OSK33" s="206"/>
      <c r="OSL33" s="206"/>
      <c r="OSM33" s="206"/>
      <c r="OSN33" s="206"/>
      <c r="OSO33" s="206"/>
      <c r="OSP33" s="206"/>
      <c r="OSQ33" s="206"/>
      <c r="OSR33" s="206"/>
      <c r="OSS33" s="206"/>
      <c r="OST33" s="206"/>
      <c r="OSU33" s="206"/>
      <c r="OSV33" s="206"/>
      <c r="OSW33" s="206"/>
      <c r="OSX33" s="206"/>
      <c r="OSY33" s="206"/>
      <c r="OSZ33" s="206"/>
      <c r="OTA33" s="206"/>
      <c r="OTB33" s="206"/>
      <c r="OTC33" s="206"/>
      <c r="OTD33" s="206"/>
      <c r="OTE33" s="206"/>
      <c r="OTF33" s="206"/>
      <c r="OTG33" s="206"/>
      <c r="OTH33" s="206"/>
      <c r="OTI33" s="206"/>
      <c r="OTJ33" s="206"/>
      <c r="OTK33" s="206"/>
      <c r="OTL33" s="206"/>
      <c r="OTM33" s="206"/>
      <c r="OTN33" s="206"/>
      <c r="OTO33" s="206"/>
      <c r="OTP33" s="206"/>
      <c r="OTQ33" s="206"/>
      <c r="OTR33" s="206"/>
      <c r="OTS33" s="206"/>
      <c r="OTT33" s="206"/>
      <c r="OTU33" s="206"/>
      <c r="OTV33" s="206"/>
      <c r="OTW33" s="206"/>
      <c r="OTX33" s="206"/>
      <c r="OTY33" s="206"/>
      <c r="OTZ33" s="206"/>
      <c r="OUA33" s="206"/>
      <c r="OUB33" s="206"/>
      <c r="OUC33" s="206"/>
      <c r="OUD33" s="206"/>
      <c r="OUE33" s="206"/>
      <c r="OUF33" s="206"/>
      <c r="OUG33" s="206"/>
      <c r="OUH33" s="206"/>
      <c r="OUI33" s="206"/>
      <c r="OUJ33" s="206"/>
      <c r="OUK33" s="206"/>
      <c r="OUL33" s="206"/>
      <c r="OUM33" s="206"/>
      <c r="OUN33" s="206"/>
      <c r="OUO33" s="206"/>
      <c r="OUP33" s="206"/>
      <c r="OUQ33" s="206"/>
      <c r="OUR33" s="206"/>
      <c r="OUS33" s="206"/>
      <c r="OUT33" s="206"/>
      <c r="OUU33" s="206"/>
      <c r="OUV33" s="206"/>
      <c r="OUW33" s="206"/>
      <c r="OUX33" s="206"/>
      <c r="OUY33" s="206"/>
      <c r="OUZ33" s="206"/>
      <c r="OVA33" s="206"/>
      <c r="OVB33" s="206"/>
      <c r="OVC33" s="206"/>
      <c r="OVD33" s="206"/>
      <c r="OVE33" s="206"/>
      <c r="OVF33" s="206"/>
      <c r="OVG33" s="206"/>
      <c r="OVH33" s="206"/>
      <c r="OVI33" s="206"/>
      <c r="OVJ33" s="206"/>
      <c r="OVK33" s="206"/>
      <c r="OVL33" s="206"/>
      <c r="OVM33" s="206"/>
      <c r="OVN33" s="206"/>
      <c r="OVO33" s="206"/>
      <c r="OVP33" s="206"/>
      <c r="OVQ33" s="206"/>
      <c r="OVR33" s="206"/>
      <c r="OVS33" s="206"/>
      <c r="OVT33" s="206"/>
      <c r="OVU33" s="206"/>
      <c r="OVV33" s="206"/>
      <c r="OVW33" s="206"/>
      <c r="OVX33" s="206"/>
      <c r="OVY33" s="206"/>
      <c r="OVZ33" s="206"/>
      <c r="OWA33" s="206"/>
      <c r="OWB33" s="206"/>
      <c r="OWC33" s="206"/>
      <c r="OWD33" s="206"/>
      <c r="OWE33" s="206"/>
      <c r="OWF33" s="206"/>
      <c r="OWG33" s="206"/>
      <c r="OWH33" s="206"/>
      <c r="OWI33" s="206"/>
      <c r="OWJ33" s="206"/>
      <c r="OWK33" s="206"/>
      <c r="OWL33" s="206"/>
      <c r="OWM33" s="206"/>
      <c r="OWN33" s="206"/>
      <c r="OWO33" s="206"/>
      <c r="OWP33" s="206"/>
      <c r="OWQ33" s="206"/>
      <c r="OWR33" s="206"/>
      <c r="OWS33" s="206"/>
      <c r="OWT33" s="206"/>
      <c r="OWU33" s="206"/>
      <c r="OWV33" s="206"/>
      <c r="OWW33" s="206"/>
      <c r="OWX33" s="206"/>
      <c r="OWY33" s="206"/>
      <c r="OWZ33" s="206"/>
      <c r="OXA33" s="206"/>
      <c r="OXB33" s="206"/>
      <c r="OXC33" s="206"/>
      <c r="OXD33" s="206"/>
      <c r="OXE33" s="206"/>
      <c r="OXF33" s="206"/>
      <c r="OXG33" s="206"/>
      <c r="OXH33" s="206"/>
      <c r="OXI33" s="206"/>
      <c r="OXJ33" s="206"/>
      <c r="OXK33" s="206"/>
      <c r="OXL33" s="206"/>
      <c r="OXM33" s="206"/>
      <c r="OXN33" s="206"/>
      <c r="OXO33" s="206"/>
      <c r="OXP33" s="206"/>
      <c r="OXQ33" s="206"/>
      <c r="OXR33" s="206"/>
      <c r="OXS33" s="206"/>
      <c r="OXT33" s="206"/>
      <c r="OXU33" s="206"/>
      <c r="OXV33" s="206"/>
      <c r="OXW33" s="206"/>
      <c r="OXX33" s="206"/>
      <c r="OXY33" s="206"/>
      <c r="OXZ33" s="206"/>
      <c r="OYA33" s="206"/>
      <c r="OYB33" s="206"/>
      <c r="OYC33" s="206"/>
      <c r="OYD33" s="206"/>
      <c r="OYE33" s="206"/>
      <c r="OYF33" s="206"/>
      <c r="OYG33" s="206"/>
      <c r="OYH33" s="206"/>
      <c r="OYI33" s="206"/>
      <c r="OYJ33" s="206"/>
      <c r="OYK33" s="206"/>
      <c r="OYL33" s="206"/>
      <c r="OYM33" s="206"/>
      <c r="OYN33" s="206"/>
      <c r="OYO33" s="206"/>
      <c r="OYP33" s="206"/>
      <c r="OYQ33" s="206"/>
      <c r="OYR33" s="206"/>
      <c r="OYS33" s="206"/>
      <c r="OYT33" s="206"/>
      <c r="OYU33" s="206"/>
      <c r="OYV33" s="206"/>
      <c r="OYW33" s="206"/>
      <c r="OYX33" s="206"/>
      <c r="OYY33" s="206"/>
      <c r="OYZ33" s="206"/>
      <c r="OZA33" s="206"/>
      <c r="OZB33" s="206"/>
      <c r="OZC33" s="206"/>
      <c r="OZD33" s="206"/>
      <c r="OZE33" s="206"/>
      <c r="OZF33" s="206"/>
      <c r="OZG33" s="206"/>
      <c r="OZH33" s="206"/>
      <c r="OZI33" s="206"/>
      <c r="OZJ33" s="206"/>
      <c r="OZK33" s="206"/>
      <c r="OZL33" s="206"/>
      <c r="OZM33" s="206"/>
      <c r="OZN33" s="206"/>
      <c r="OZO33" s="206"/>
      <c r="OZP33" s="206"/>
      <c r="OZQ33" s="206"/>
      <c r="OZR33" s="206"/>
      <c r="OZS33" s="206"/>
      <c r="OZT33" s="206"/>
      <c r="OZU33" s="206"/>
      <c r="OZV33" s="206"/>
      <c r="OZW33" s="206"/>
      <c r="OZX33" s="206"/>
      <c r="OZY33" s="206"/>
      <c r="OZZ33" s="206"/>
      <c r="PAA33" s="206"/>
      <c r="PAB33" s="206"/>
      <c r="PAC33" s="206"/>
      <c r="PAD33" s="206"/>
      <c r="PAE33" s="206"/>
      <c r="PAF33" s="206"/>
      <c r="PAG33" s="206"/>
      <c r="PAH33" s="206"/>
      <c r="PAI33" s="206"/>
      <c r="PAJ33" s="206"/>
      <c r="PAK33" s="206"/>
      <c r="PAL33" s="206"/>
      <c r="PAM33" s="206"/>
      <c r="PAN33" s="206"/>
      <c r="PAO33" s="206"/>
      <c r="PAP33" s="206"/>
      <c r="PAQ33" s="206"/>
      <c r="PAR33" s="206"/>
      <c r="PAS33" s="206"/>
      <c r="PAT33" s="206"/>
      <c r="PAU33" s="206"/>
      <c r="PAV33" s="206"/>
      <c r="PAW33" s="206"/>
      <c r="PAX33" s="206"/>
      <c r="PAY33" s="206"/>
      <c r="PAZ33" s="206"/>
      <c r="PBA33" s="206"/>
      <c r="PBB33" s="206"/>
      <c r="PBC33" s="206"/>
      <c r="PBD33" s="206"/>
      <c r="PBE33" s="206"/>
      <c r="PBF33" s="206"/>
      <c r="PBG33" s="206"/>
      <c r="PBH33" s="206"/>
      <c r="PBI33" s="206"/>
      <c r="PBJ33" s="206"/>
      <c r="PBK33" s="206"/>
      <c r="PBL33" s="206"/>
      <c r="PBM33" s="206"/>
      <c r="PBN33" s="206"/>
      <c r="PBO33" s="206"/>
      <c r="PBP33" s="206"/>
      <c r="PBQ33" s="206"/>
      <c r="PBR33" s="206"/>
      <c r="PBS33" s="206"/>
      <c r="PBT33" s="206"/>
      <c r="PBU33" s="206"/>
      <c r="PBV33" s="206"/>
      <c r="PBW33" s="206"/>
      <c r="PBX33" s="206"/>
      <c r="PBY33" s="206"/>
      <c r="PBZ33" s="206"/>
      <c r="PCA33" s="206"/>
      <c r="PCB33" s="206"/>
      <c r="PCC33" s="206"/>
      <c r="PCD33" s="206"/>
      <c r="PCE33" s="206"/>
      <c r="PCF33" s="206"/>
      <c r="PCG33" s="206"/>
      <c r="PCH33" s="206"/>
      <c r="PCI33" s="206"/>
      <c r="PCJ33" s="206"/>
      <c r="PCK33" s="206"/>
      <c r="PCL33" s="206"/>
      <c r="PCM33" s="206"/>
      <c r="PCN33" s="206"/>
      <c r="PCO33" s="206"/>
      <c r="PCP33" s="206"/>
      <c r="PCQ33" s="206"/>
      <c r="PCR33" s="206"/>
      <c r="PCS33" s="206"/>
      <c r="PCT33" s="206"/>
      <c r="PCU33" s="206"/>
      <c r="PCV33" s="206"/>
      <c r="PCW33" s="206"/>
      <c r="PCX33" s="206"/>
      <c r="PCY33" s="206"/>
      <c r="PCZ33" s="206"/>
      <c r="PDA33" s="206"/>
      <c r="PDB33" s="206"/>
      <c r="PDC33" s="206"/>
      <c r="PDD33" s="206"/>
      <c r="PDE33" s="206"/>
      <c r="PDF33" s="206"/>
      <c r="PDG33" s="206"/>
      <c r="PDH33" s="206"/>
      <c r="PDI33" s="206"/>
      <c r="PDJ33" s="206"/>
      <c r="PDK33" s="206"/>
      <c r="PDL33" s="206"/>
      <c r="PDM33" s="206"/>
      <c r="PDN33" s="206"/>
      <c r="PDO33" s="206"/>
      <c r="PDP33" s="206"/>
      <c r="PDQ33" s="206"/>
      <c r="PDR33" s="206"/>
      <c r="PDS33" s="206"/>
      <c r="PDT33" s="206"/>
      <c r="PDU33" s="206"/>
      <c r="PDV33" s="206"/>
      <c r="PDW33" s="206"/>
      <c r="PDX33" s="206"/>
      <c r="PDY33" s="206"/>
      <c r="PDZ33" s="206"/>
      <c r="PEA33" s="206"/>
      <c r="PEB33" s="206"/>
      <c r="PEC33" s="206"/>
      <c r="PED33" s="206"/>
      <c r="PEE33" s="206"/>
      <c r="PEF33" s="206"/>
      <c r="PEG33" s="206"/>
      <c r="PEH33" s="206"/>
      <c r="PEI33" s="206"/>
      <c r="PEJ33" s="206"/>
      <c r="PEK33" s="206"/>
      <c r="PEL33" s="206"/>
      <c r="PEM33" s="206"/>
      <c r="PEN33" s="206"/>
      <c r="PEO33" s="206"/>
      <c r="PEP33" s="206"/>
      <c r="PEQ33" s="206"/>
      <c r="PER33" s="206"/>
      <c r="PES33" s="206"/>
      <c r="PET33" s="206"/>
      <c r="PEU33" s="206"/>
      <c r="PEV33" s="206"/>
      <c r="PEW33" s="206"/>
      <c r="PEX33" s="206"/>
      <c r="PEY33" s="206"/>
      <c r="PEZ33" s="206"/>
      <c r="PFA33" s="206"/>
      <c r="PFB33" s="206"/>
      <c r="PFC33" s="206"/>
      <c r="PFD33" s="206"/>
      <c r="PFE33" s="206"/>
      <c r="PFF33" s="206"/>
      <c r="PFG33" s="206"/>
      <c r="PFH33" s="206"/>
      <c r="PFI33" s="206"/>
      <c r="PFJ33" s="206"/>
      <c r="PFK33" s="206"/>
      <c r="PFL33" s="206"/>
      <c r="PFM33" s="206"/>
      <c r="PFN33" s="206"/>
      <c r="PFO33" s="206"/>
      <c r="PFP33" s="206"/>
      <c r="PFQ33" s="206"/>
      <c r="PFR33" s="206"/>
      <c r="PFS33" s="206"/>
      <c r="PFT33" s="206"/>
      <c r="PFU33" s="206"/>
      <c r="PFV33" s="206"/>
      <c r="PFW33" s="206"/>
      <c r="PFX33" s="206"/>
      <c r="PFY33" s="206"/>
      <c r="PFZ33" s="206"/>
      <c r="PGA33" s="206"/>
      <c r="PGB33" s="206"/>
      <c r="PGC33" s="206"/>
      <c r="PGD33" s="206"/>
      <c r="PGE33" s="206"/>
      <c r="PGF33" s="206"/>
      <c r="PGG33" s="206"/>
      <c r="PGH33" s="206"/>
      <c r="PGI33" s="206"/>
      <c r="PGJ33" s="206"/>
      <c r="PGK33" s="206"/>
      <c r="PGL33" s="206"/>
      <c r="PGM33" s="206"/>
      <c r="PGN33" s="206"/>
      <c r="PGO33" s="206"/>
      <c r="PGP33" s="206"/>
      <c r="PGQ33" s="206"/>
      <c r="PGR33" s="206"/>
      <c r="PGS33" s="206"/>
      <c r="PGT33" s="206"/>
      <c r="PGU33" s="206"/>
      <c r="PGV33" s="206"/>
      <c r="PGW33" s="206"/>
      <c r="PGX33" s="206"/>
      <c r="PGY33" s="206"/>
      <c r="PGZ33" s="206"/>
      <c r="PHA33" s="206"/>
      <c r="PHB33" s="206"/>
      <c r="PHC33" s="206"/>
      <c r="PHD33" s="206"/>
      <c r="PHE33" s="206"/>
      <c r="PHF33" s="206"/>
      <c r="PHG33" s="206"/>
      <c r="PHH33" s="206"/>
      <c r="PHI33" s="206"/>
      <c r="PHJ33" s="206"/>
      <c r="PHK33" s="206"/>
      <c r="PHL33" s="206"/>
      <c r="PHM33" s="206"/>
      <c r="PHN33" s="206"/>
      <c r="PHO33" s="206"/>
      <c r="PHP33" s="206"/>
      <c r="PHQ33" s="206"/>
      <c r="PHR33" s="206"/>
      <c r="PHS33" s="206"/>
      <c r="PHT33" s="206"/>
      <c r="PHU33" s="206"/>
      <c r="PHV33" s="206"/>
      <c r="PHW33" s="206"/>
      <c r="PHX33" s="206"/>
      <c r="PHY33" s="206"/>
      <c r="PHZ33" s="206"/>
      <c r="PIA33" s="206"/>
      <c r="PIB33" s="206"/>
      <c r="PIC33" s="206"/>
      <c r="PID33" s="206"/>
      <c r="PIE33" s="206"/>
      <c r="PIF33" s="206"/>
      <c r="PIG33" s="206"/>
      <c r="PIH33" s="206"/>
      <c r="PII33" s="206"/>
      <c r="PIJ33" s="206"/>
      <c r="PIK33" s="206"/>
      <c r="PIL33" s="206"/>
      <c r="PIM33" s="206"/>
      <c r="PIN33" s="206"/>
      <c r="PIO33" s="206"/>
      <c r="PIP33" s="206"/>
      <c r="PIQ33" s="206"/>
      <c r="PIR33" s="206"/>
      <c r="PIS33" s="206"/>
      <c r="PIT33" s="206"/>
      <c r="PIU33" s="206"/>
      <c r="PIV33" s="206"/>
      <c r="PIW33" s="206"/>
      <c r="PIX33" s="206"/>
      <c r="PIY33" s="206"/>
      <c r="PIZ33" s="206"/>
      <c r="PJA33" s="206"/>
      <c r="PJB33" s="206"/>
      <c r="PJC33" s="206"/>
      <c r="PJD33" s="206"/>
      <c r="PJE33" s="206"/>
      <c r="PJF33" s="206"/>
      <c r="PJG33" s="206"/>
      <c r="PJH33" s="206"/>
      <c r="PJI33" s="206"/>
      <c r="PJJ33" s="206"/>
      <c r="PJK33" s="206"/>
      <c r="PJL33" s="206"/>
      <c r="PJM33" s="206"/>
      <c r="PJN33" s="206"/>
      <c r="PJO33" s="206"/>
      <c r="PJP33" s="206"/>
      <c r="PJQ33" s="206"/>
      <c r="PJR33" s="206"/>
      <c r="PJS33" s="206"/>
      <c r="PJT33" s="206"/>
      <c r="PJU33" s="206"/>
      <c r="PJV33" s="206"/>
      <c r="PJW33" s="206"/>
      <c r="PJX33" s="206"/>
      <c r="PJY33" s="206"/>
      <c r="PJZ33" s="206"/>
      <c r="PKA33" s="206"/>
      <c r="PKB33" s="206"/>
      <c r="PKC33" s="206"/>
      <c r="PKD33" s="206"/>
      <c r="PKE33" s="206"/>
      <c r="PKF33" s="206"/>
      <c r="PKG33" s="206"/>
      <c r="PKH33" s="206"/>
      <c r="PKI33" s="206"/>
      <c r="PKJ33" s="206"/>
      <c r="PKK33" s="206"/>
      <c r="PKL33" s="206"/>
      <c r="PKM33" s="206"/>
      <c r="PKN33" s="206"/>
      <c r="PKO33" s="206"/>
      <c r="PKP33" s="206"/>
      <c r="PKQ33" s="206"/>
      <c r="PKR33" s="206"/>
      <c r="PKS33" s="206"/>
      <c r="PKT33" s="206"/>
      <c r="PKU33" s="206"/>
      <c r="PKV33" s="206"/>
      <c r="PKW33" s="206"/>
      <c r="PKX33" s="206"/>
      <c r="PKY33" s="206"/>
      <c r="PKZ33" s="206"/>
      <c r="PLA33" s="206"/>
      <c r="PLB33" s="206"/>
      <c r="PLC33" s="206"/>
      <c r="PLD33" s="206"/>
      <c r="PLE33" s="206"/>
      <c r="PLF33" s="206"/>
      <c r="PLG33" s="206"/>
      <c r="PLH33" s="206"/>
      <c r="PLI33" s="206"/>
      <c r="PLJ33" s="206"/>
      <c r="PLK33" s="206"/>
      <c r="PLL33" s="206"/>
      <c r="PLM33" s="206"/>
      <c r="PLN33" s="206"/>
      <c r="PLO33" s="206"/>
      <c r="PLP33" s="206"/>
      <c r="PLQ33" s="206"/>
      <c r="PLR33" s="206"/>
      <c r="PLS33" s="206"/>
      <c r="PLT33" s="206"/>
      <c r="PLU33" s="206"/>
      <c r="PLV33" s="206"/>
      <c r="PLW33" s="206"/>
      <c r="PLX33" s="206"/>
      <c r="PLY33" s="206"/>
      <c r="PLZ33" s="206"/>
      <c r="PMA33" s="206"/>
      <c r="PMB33" s="206"/>
      <c r="PMC33" s="206"/>
      <c r="PMD33" s="206"/>
      <c r="PME33" s="206"/>
      <c r="PMF33" s="206"/>
      <c r="PMG33" s="206"/>
      <c r="PMH33" s="206"/>
      <c r="PMI33" s="206"/>
      <c r="PMJ33" s="206"/>
      <c r="PMK33" s="206"/>
      <c r="PML33" s="206"/>
      <c r="PMM33" s="206"/>
      <c r="PMN33" s="206"/>
      <c r="PMO33" s="206"/>
      <c r="PMP33" s="206"/>
      <c r="PMQ33" s="206"/>
      <c r="PMR33" s="206"/>
      <c r="PMS33" s="206"/>
      <c r="PMT33" s="206"/>
      <c r="PMU33" s="206"/>
      <c r="PMV33" s="206"/>
      <c r="PMW33" s="206"/>
      <c r="PMX33" s="206"/>
      <c r="PMY33" s="206"/>
      <c r="PMZ33" s="206"/>
      <c r="PNA33" s="206"/>
      <c r="PNB33" s="206"/>
      <c r="PNC33" s="206"/>
      <c r="PND33" s="206"/>
      <c r="PNE33" s="206"/>
      <c r="PNF33" s="206"/>
      <c r="PNG33" s="206"/>
      <c r="PNH33" s="206"/>
      <c r="PNI33" s="206"/>
      <c r="PNJ33" s="206"/>
      <c r="PNK33" s="206"/>
      <c r="PNL33" s="206"/>
      <c r="PNM33" s="206"/>
      <c r="PNN33" s="206"/>
      <c r="PNO33" s="206"/>
      <c r="PNP33" s="206"/>
      <c r="PNQ33" s="206"/>
      <c r="PNR33" s="206"/>
      <c r="PNS33" s="206"/>
      <c r="PNT33" s="206"/>
      <c r="PNU33" s="206"/>
      <c r="PNV33" s="206"/>
      <c r="PNW33" s="206"/>
      <c r="PNX33" s="206"/>
      <c r="PNY33" s="206"/>
      <c r="PNZ33" s="206"/>
      <c r="POA33" s="206"/>
      <c r="POB33" s="206"/>
      <c r="POC33" s="206"/>
      <c r="POD33" s="206"/>
      <c r="POE33" s="206"/>
      <c r="POF33" s="206"/>
      <c r="POG33" s="206"/>
      <c r="POH33" s="206"/>
      <c r="POI33" s="206"/>
      <c r="POJ33" s="206"/>
      <c r="POK33" s="206"/>
      <c r="POL33" s="206"/>
      <c r="POM33" s="206"/>
      <c r="PON33" s="206"/>
      <c r="POO33" s="206"/>
      <c r="POP33" s="206"/>
      <c r="POQ33" s="206"/>
      <c r="POR33" s="206"/>
      <c r="POS33" s="206"/>
      <c r="POT33" s="206"/>
      <c r="POU33" s="206"/>
      <c r="POV33" s="206"/>
      <c r="POW33" s="206"/>
      <c r="POX33" s="206"/>
      <c r="POY33" s="206"/>
      <c r="POZ33" s="206"/>
      <c r="PPA33" s="206"/>
      <c r="PPB33" s="206"/>
      <c r="PPC33" s="206"/>
      <c r="PPD33" s="206"/>
      <c r="PPE33" s="206"/>
      <c r="PPF33" s="206"/>
      <c r="PPG33" s="206"/>
      <c r="PPH33" s="206"/>
      <c r="PPI33" s="206"/>
      <c r="PPJ33" s="206"/>
      <c r="PPK33" s="206"/>
      <c r="PPL33" s="206"/>
      <c r="PPM33" s="206"/>
      <c r="PPN33" s="206"/>
      <c r="PPO33" s="206"/>
      <c r="PPP33" s="206"/>
      <c r="PPQ33" s="206"/>
      <c r="PPR33" s="206"/>
      <c r="PPS33" s="206"/>
      <c r="PPT33" s="206"/>
      <c r="PPU33" s="206"/>
      <c r="PPV33" s="206"/>
      <c r="PPW33" s="206"/>
      <c r="PPX33" s="206"/>
      <c r="PPY33" s="206"/>
      <c r="PPZ33" s="206"/>
      <c r="PQA33" s="206"/>
      <c r="PQB33" s="206"/>
      <c r="PQC33" s="206"/>
      <c r="PQD33" s="206"/>
      <c r="PQE33" s="206"/>
      <c r="PQF33" s="206"/>
      <c r="PQG33" s="206"/>
      <c r="PQH33" s="206"/>
      <c r="PQI33" s="206"/>
      <c r="PQJ33" s="206"/>
      <c r="PQK33" s="206"/>
      <c r="PQL33" s="206"/>
      <c r="PQM33" s="206"/>
      <c r="PQN33" s="206"/>
      <c r="PQO33" s="206"/>
      <c r="PQP33" s="206"/>
      <c r="PQQ33" s="206"/>
      <c r="PQR33" s="206"/>
      <c r="PQS33" s="206"/>
      <c r="PQT33" s="206"/>
      <c r="PQU33" s="206"/>
      <c r="PQV33" s="206"/>
      <c r="PQW33" s="206"/>
      <c r="PQX33" s="206"/>
      <c r="PQY33" s="206"/>
      <c r="PQZ33" s="206"/>
      <c r="PRA33" s="206"/>
      <c r="PRB33" s="206"/>
      <c r="PRC33" s="206"/>
      <c r="PRD33" s="206"/>
      <c r="PRE33" s="206"/>
      <c r="PRF33" s="206"/>
      <c r="PRG33" s="206"/>
      <c r="PRH33" s="206"/>
      <c r="PRI33" s="206"/>
      <c r="PRJ33" s="206"/>
      <c r="PRK33" s="206"/>
      <c r="PRL33" s="206"/>
      <c r="PRM33" s="206"/>
      <c r="PRN33" s="206"/>
      <c r="PRO33" s="206"/>
      <c r="PRP33" s="206"/>
      <c r="PRQ33" s="206"/>
      <c r="PRR33" s="206"/>
      <c r="PRS33" s="206"/>
      <c r="PRT33" s="206"/>
      <c r="PRU33" s="206"/>
      <c r="PRV33" s="206"/>
      <c r="PRW33" s="206"/>
      <c r="PRX33" s="206"/>
      <c r="PRY33" s="206"/>
      <c r="PRZ33" s="206"/>
      <c r="PSA33" s="206"/>
      <c r="PSB33" s="206"/>
      <c r="PSC33" s="206"/>
      <c r="PSD33" s="206"/>
      <c r="PSE33" s="206"/>
      <c r="PSF33" s="206"/>
      <c r="PSG33" s="206"/>
      <c r="PSH33" s="206"/>
      <c r="PSI33" s="206"/>
      <c r="PSJ33" s="206"/>
      <c r="PSK33" s="206"/>
      <c r="PSL33" s="206"/>
      <c r="PSM33" s="206"/>
      <c r="PSN33" s="206"/>
      <c r="PSO33" s="206"/>
      <c r="PSP33" s="206"/>
      <c r="PSQ33" s="206"/>
      <c r="PSR33" s="206"/>
      <c r="PSS33" s="206"/>
      <c r="PST33" s="206"/>
      <c r="PSU33" s="206"/>
      <c r="PSV33" s="206"/>
      <c r="PSW33" s="206"/>
      <c r="PSX33" s="206"/>
      <c r="PSY33" s="206"/>
      <c r="PSZ33" s="206"/>
      <c r="PTA33" s="206"/>
      <c r="PTB33" s="206"/>
      <c r="PTC33" s="206"/>
      <c r="PTD33" s="206"/>
      <c r="PTE33" s="206"/>
      <c r="PTF33" s="206"/>
      <c r="PTG33" s="206"/>
      <c r="PTH33" s="206"/>
      <c r="PTI33" s="206"/>
      <c r="PTJ33" s="206"/>
      <c r="PTK33" s="206"/>
      <c r="PTL33" s="206"/>
      <c r="PTM33" s="206"/>
      <c r="PTN33" s="206"/>
      <c r="PTO33" s="206"/>
      <c r="PTP33" s="206"/>
      <c r="PTQ33" s="206"/>
      <c r="PTR33" s="206"/>
      <c r="PTS33" s="206"/>
      <c r="PTT33" s="206"/>
      <c r="PTU33" s="206"/>
      <c r="PTV33" s="206"/>
      <c r="PTW33" s="206"/>
      <c r="PTX33" s="206"/>
      <c r="PTY33" s="206"/>
      <c r="PTZ33" s="206"/>
      <c r="PUA33" s="206"/>
      <c r="PUB33" s="206"/>
      <c r="PUC33" s="206"/>
      <c r="PUD33" s="206"/>
      <c r="PUE33" s="206"/>
      <c r="PUF33" s="206"/>
      <c r="PUG33" s="206"/>
      <c r="PUH33" s="206"/>
      <c r="PUI33" s="206"/>
      <c r="PUJ33" s="206"/>
      <c r="PUK33" s="206"/>
      <c r="PUL33" s="206"/>
      <c r="PUM33" s="206"/>
      <c r="PUN33" s="206"/>
      <c r="PUO33" s="206"/>
      <c r="PUP33" s="206"/>
      <c r="PUQ33" s="206"/>
      <c r="PUR33" s="206"/>
      <c r="PUS33" s="206"/>
      <c r="PUT33" s="206"/>
      <c r="PUU33" s="206"/>
      <c r="PUV33" s="206"/>
      <c r="PUW33" s="206"/>
      <c r="PUX33" s="206"/>
      <c r="PUY33" s="206"/>
      <c r="PUZ33" s="206"/>
      <c r="PVA33" s="206"/>
      <c r="PVB33" s="206"/>
      <c r="PVC33" s="206"/>
      <c r="PVD33" s="206"/>
      <c r="PVE33" s="206"/>
      <c r="PVF33" s="206"/>
      <c r="PVG33" s="206"/>
      <c r="PVH33" s="206"/>
      <c r="PVI33" s="206"/>
      <c r="PVJ33" s="206"/>
      <c r="PVK33" s="206"/>
      <c r="PVL33" s="206"/>
      <c r="PVM33" s="206"/>
      <c r="PVN33" s="206"/>
      <c r="PVO33" s="206"/>
      <c r="PVP33" s="206"/>
      <c r="PVQ33" s="206"/>
      <c r="PVR33" s="206"/>
      <c r="PVS33" s="206"/>
      <c r="PVT33" s="206"/>
      <c r="PVU33" s="206"/>
      <c r="PVV33" s="206"/>
      <c r="PVW33" s="206"/>
      <c r="PVX33" s="206"/>
      <c r="PVY33" s="206"/>
      <c r="PVZ33" s="206"/>
      <c r="PWA33" s="206"/>
      <c r="PWB33" s="206"/>
      <c r="PWC33" s="206"/>
      <c r="PWD33" s="206"/>
      <c r="PWE33" s="206"/>
      <c r="PWF33" s="206"/>
      <c r="PWG33" s="206"/>
      <c r="PWH33" s="206"/>
      <c r="PWI33" s="206"/>
      <c r="PWJ33" s="206"/>
      <c r="PWK33" s="206"/>
      <c r="PWL33" s="206"/>
      <c r="PWM33" s="206"/>
      <c r="PWN33" s="206"/>
      <c r="PWO33" s="206"/>
      <c r="PWP33" s="206"/>
      <c r="PWQ33" s="206"/>
      <c r="PWR33" s="206"/>
      <c r="PWS33" s="206"/>
      <c r="PWT33" s="206"/>
      <c r="PWU33" s="206"/>
      <c r="PWV33" s="206"/>
      <c r="PWW33" s="206"/>
      <c r="PWX33" s="206"/>
      <c r="PWY33" s="206"/>
      <c r="PWZ33" s="206"/>
      <c r="PXA33" s="206"/>
      <c r="PXB33" s="206"/>
      <c r="PXC33" s="206"/>
      <c r="PXD33" s="206"/>
      <c r="PXE33" s="206"/>
      <c r="PXF33" s="206"/>
      <c r="PXG33" s="206"/>
      <c r="PXH33" s="206"/>
      <c r="PXI33" s="206"/>
      <c r="PXJ33" s="206"/>
      <c r="PXK33" s="206"/>
      <c r="PXL33" s="206"/>
      <c r="PXM33" s="206"/>
      <c r="PXN33" s="206"/>
      <c r="PXO33" s="206"/>
      <c r="PXP33" s="206"/>
      <c r="PXQ33" s="206"/>
      <c r="PXR33" s="206"/>
      <c r="PXS33" s="206"/>
      <c r="PXT33" s="206"/>
      <c r="PXU33" s="206"/>
      <c r="PXV33" s="206"/>
      <c r="PXW33" s="206"/>
      <c r="PXX33" s="206"/>
      <c r="PXY33" s="206"/>
      <c r="PXZ33" s="206"/>
      <c r="PYA33" s="206"/>
      <c r="PYB33" s="206"/>
      <c r="PYC33" s="206"/>
      <c r="PYD33" s="206"/>
      <c r="PYE33" s="206"/>
      <c r="PYF33" s="206"/>
      <c r="PYG33" s="206"/>
      <c r="PYH33" s="206"/>
      <c r="PYI33" s="206"/>
      <c r="PYJ33" s="206"/>
      <c r="PYK33" s="206"/>
      <c r="PYL33" s="206"/>
      <c r="PYM33" s="206"/>
      <c r="PYN33" s="206"/>
      <c r="PYO33" s="206"/>
      <c r="PYP33" s="206"/>
      <c r="PYQ33" s="206"/>
      <c r="PYR33" s="206"/>
      <c r="PYS33" s="206"/>
      <c r="PYT33" s="206"/>
      <c r="PYU33" s="206"/>
      <c r="PYV33" s="206"/>
      <c r="PYW33" s="206"/>
      <c r="PYX33" s="206"/>
      <c r="PYY33" s="206"/>
      <c r="PYZ33" s="206"/>
      <c r="PZA33" s="206"/>
      <c r="PZB33" s="206"/>
      <c r="PZC33" s="206"/>
      <c r="PZD33" s="206"/>
      <c r="PZE33" s="206"/>
      <c r="PZF33" s="206"/>
      <c r="PZG33" s="206"/>
      <c r="PZH33" s="206"/>
      <c r="PZI33" s="206"/>
      <c r="PZJ33" s="206"/>
      <c r="PZK33" s="206"/>
      <c r="PZL33" s="206"/>
      <c r="PZM33" s="206"/>
      <c r="PZN33" s="206"/>
      <c r="PZO33" s="206"/>
      <c r="PZP33" s="206"/>
      <c r="PZQ33" s="206"/>
      <c r="PZR33" s="206"/>
      <c r="PZS33" s="206"/>
      <c r="PZT33" s="206"/>
      <c r="PZU33" s="206"/>
      <c r="PZV33" s="206"/>
      <c r="PZW33" s="206"/>
      <c r="PZX33" s="206"/>
      <c r="PZY33" s="206"/>
      <c r="PZZ33" s="206"/>
      <c r="QAA33" s="206"/>
      <c r="QAB33" s="206"/>
      <c r="QAC33" s="206"/>
      <c r="QAD33" s="206"/>
      <c r="QAE33" s="206"/>
      <c r="QAF33" s="206"/>
      <c r="QAG33" s="206"/>
      <c r="QAH33" s="206"/>
      <c r="QAI33" s="206"/>
      <c r="QAJ33" s="206"/>
      <c r="QAK33" s="206"/>
      <c r="QAL33" s="206"/>
      <c r="QAM33" s="206"/>
      <c r="QAN33" s="206"/>
      <c r="QAO33" s="206"/>
      <c r="QAP33" s="206"/>
      <c r="QAQ33" s="206"/>
      <c r="QAR33" s="206"/>
      <c r="QAS33" s="206"/>
      <c r="QAT33" s="206"/>
      <c r="QAU33" s="206"/>
      <c r="QAV33" s="206"/>
      <c r="QAW33" s="206"/>
      <c r="QAX33" s="206"/>
      <c r="QAY33" s="206"/>
      <c r="QAZ33" s="206"/>
      <c r="QBA33" s="206"/>
      <c r="QBB33" s="206"/>
      <c r="QBC33" s="206"/>
      <c r="QBD33" s="206"/>
      <c r="QBE33" s="206"/>
      <c r="QBF33" s="206"/>
      <c r="QBG33" s="206"/>
      <c r="QBH33" s="206"/>
      <c r="QBI33" s="206"/>
      <c r="QBJ33" s="206"/>
      <c r="QBK33" s="206"/>
      <c r="QBL33" s="206"/>
      <c r="QBM33" s="206"/>
      <c r="QBN33" s="206"/>
      <c r="QBO33" s="206"/>
      <c r="QBP33" s="206"/>
      <c r="QBQ33" s="206"/>
      <c r="QBR33" s="206"/>
      <c r="QBS33" s="206"/>
      <c r="QBT33" s="206"/>
      <c r="QBU33" s="206"/>
      <c r="QBV33" s="206"/>
      <c r="QBW33" s="206"/>
      <c r="QBX33" s="206"/>
      <c r="QBY33" s="206"/>
      <c r="QBZ33" s="206"/>
      <c r="QCA33" s="206"/>
      <c r="QCB33" s="206"/>
      <c r="QCC33" s="206"/>
      <c r="QCD33" s="206"/>
      <c r="QCE33" s="206"/>
      <c r="QCF33" s="206"/>
      <c r="QCG33" s="206"/>
      <c r="QCH33" s="206"/>
      <c r="QCI33" s="206"/>
      <c r="QCJ33" s="206"/>
      <c r="QCK33" s="206"/>
      <c r="QCL33" s="206"/>
      <c r="QCM33" s="206"/>
      <c r="QCN33" s="206"/>
      <c r="QCO33" s="206"/>
      <c r="QCP33" s="206"/>
      <c r="QCQ33" s="206"/>
      <c r="QCR33" s="206"/>
      <c r="QCS33" s="206"/>
      <c r="QCT33" s="206"/>
      <c r="QCU33" s="206"/>
      <c r="QCV33" s="206"/>
      <c r="QCW33" s="206"/>
      <c r="QCX33" s="206"/>
      <c r="QCY33" s="206"/>
      <c r="QCZ33" s="206"/>
      <c r="QDA33" s="206"/>
      <c r="QDB33" s="206"/>
      <c r="QDC33" s="206"/>
      <c r="QDD33" s="206"/>
      <c r="QDE33" s="206"/>
      <c r="QDF33" s="206"/>
      <c r="QDG33" s="206"/>
      <c r="QDH33" s="206"/>
      <c r="QDI33" s="206"/>
      <c r="QDJ33" s="206"/>
      <c r="QDK33" s="206"/>
      <c r="QDL33" s="206"/>
      <c r="QDM33" s="206"/>
      <c r="QDN33" s="206"/>
      <c r="QDO33" s="206"/>
      <c r="QDP33" s="206"/>
      <c r="QDQ33" s="206"/>
      <c r="QDR33" s="206"/>
      <c r="QDS33" s="206"/>
      <c r="QDT33" s="206"/>
      <c r="QDU33" s="206"/>
      <c r="QDV33" s="206"/>
      <c r="QDW33" s="206"/>
      <c r="QDX33" s="206"/>
      <c r="QDY33" s="206"/>
      <c r="QDZ33" s="206"/>
      <c r="QEA33" s="206"/>
      <c r="QEB33" s="206"/>
      <c r="QEC33" s="206"/>
      <c r="QED33" s="206"/>
      <c r="QEE33" s="206"/>
      <c r="QEF33" s="206"/>
      <c r="QEG33" s="206"/>
      <c r="QEH33" s="206"/>
      <c r="QEI33" s="206"/>
      <c r="QEJ33" s="206"/>
      <c r="QEK33" s="206"/>
      <c r="QEL33" s="206"/>
      <c r="QEM33" s="206"/>
      <c r="QEN33" s="206"/>
      <c r="QEO33" s="206"/>
      <c r="QEP33" s="206"/>
      <c r="QEQ33" s="206"/>
      <c r="QER33" s="206"/>
      <c r="QES33" s="206"/>
      <c r="QET33" s="206"/>
      <c r="QEU33" s="206"/>
      <c r="QEV33" s="206"/>
      <c r="QEW33" s="206"/>
      <c r="QEX33" s="206"/>
      <c r="QEY33" s="206"/>
      <c r="QEZ33" s="206"/>
      <c r="QFA33" s="206"/>
      <c r="QFB33" s="206"/>
      <c r="QFC33" s="206"/>
      <c r="QFD33" s="206"/>
      <c r="QFE33" s="206"/>
      <c r="QFF33" s="206"/>
      <c r="QFG33" s="206"/>
      <c r="QFH33" s="206"/>
      <c r="QFI33" s="206"/>
      <c r="QFJ33" s="206"/>
      <c r="QFK33" s="206"/>
      <c r="QFL33" s="206"/>
      <c r="QFM33" s="206"/>
      <c r="QFN33" s="206"/>
      <c r="QFO33" s="206"/>
      <c r="QFP33" s="206"/>
      <c r="QFQ33" s="206"/>
      <c r="QFR33" s="206"/>
      <c r="QFS33" s="206"/>
      <c r="QFT33" s="206"/>
      <c r="QFU33" s="206"/>
      <c r="QFV33" s="206"/>
      <c r="QFW33" s="206"/>
      <c r="QFX33" s="206"/>
      <c r="QFY33" s="206"/>
      <c r="QFZ33" s="206"/>
      <c r="QGA33" s="206"/>
      <c r="QGB33" s="206"/>
      <c r="QGC33" s="206"/>
      <c r="QGD33" s="206"/>
      <c r="QGE33" s="206"/>
      <c r="QGF33" s="206"/>
      <c r="QGG33" s="206"/>
      <c r="QGH33" s="206"/>
      <c r="QGI33" s="206"/>
      <c r="QGJ33" s="206"/>
      <c r="QGK33" s="206"/>
      <c r="QGL33" s="206"/>
      <c r="QGM33" s="206"/>
      <c r="QGN33" s="206"/>
      <c r="QGO33" s="206"/>
      <c r="QGP33" s="206"/>
      <c r="QGQ33" s="206"/>
      <c r="QGR33" s="206"/>
      <c r="QGS33" s="206"/>
      <c r="QGT33" s="206"/>
      <c r="QGU33" s="206"/>
      <c r="QGV33" s="206"/>
      <c r="QGW33" s="206"/>
      <c r="QGX33" s="206"/>
      <c r="QGY33" s="206"/>
      <c r="QGZ33" s="206"/>
      <c r="QHA33" s="206"/>
      <c r="QHB33" s="206"/>
      <c r="QHC33" s="206"/>
      <c r="QHD33" s="206"/>
      <c r="QHE33" s="206"/>
      <c r="QHF33" s="206"/>
      <c r="QHG33" s="206"/>
      <c r="QHH33" s="206"/>
      <c r="QHI33" s="206"/>
      <c r="QHJ33" s="206"/>
      <c r="QHK33" s="206"/>
      <c r="QHL33" s="206"/>
      <c r="QHM33" s="206"/>
      <c r="QHN33" s="206"/>
      <c r="QHO33" s="206"/>
      <c r="QHP33" s="206"/>
      <c r="QHQ33" s="206"/>
      <c r="QHR33" s="206"/>
      <c r="QHS33" s="206"/>
      <c r="QHT33" s="206"/>
      <c r="QHU33" s="206"/>
      <c r="QHV33" s="206"/>
      <c r="QHW33" s="206"/>
      <c r="QHX33" s="206"/>
      <c r="QHY33" s="206"/>
      <c r="QHZ33" s="206"/>
      <c r="QIA33" s="206"/>
      <c r="QIB33" s="206"/>
      <c r="QIC33" s="206"/>
      <c r="QID33" s="206"/>
      <c r="QIE33" s="206"/>
      <c r="QIF33" s="206"/>
      <c r="QIG33" s="206"/>
      <c r="QIH33" s="206"/>
      <c r="QII33" s="206"/>
      <c r="QIJ33" s="206"/>
      <c r="QIK33" s="206"/>
      <c r="QIL33" s="206"/>
      <c r="QIM33" s="206"/>
      <c r="QIN33" s="206"/>
      <c r="QIO33" s="206"/>
      <c r="QIP33" s="206"/>
      <c r="QIQ33" s="206"/>
      <c r="QIR33" s="206"/>
      <c r="QIS33" s="206"/>
      <c r="QIT33" s="206"/>
      <c r="QIU33" s="206"/>
      <c r="QIV33" s="206"/>
      <c r="QIW33" s="206"/>
      <c r="QIX33" s="206"/>
      <c r="QIY33" s="206"/>
      <c r="QIZ33" s="206"/>
      <c r="QJA33" s="206"/>
      <c r="QJB33" s="206"/>
      <c r="QJC33" s="206"/>
      <c r="QJD33" s="206"/>
      <c r="QJE33" s="206"/>
      <c r="QJF33" s="206"/>
      <c r="QJG33" s="206"/>
      <c r="QJH33" s="206"/>
      <c r="QJI33" s="206"/>
      <c r="QJJ33" s="206"/>
      <c r="QJK33" s="206"/>
      <c r="QJL33" s="206"/>
      <c r="QJM33" s="206"/>
      <c r="QJN33" s="206"/>
      <c r="QJO33" s="206"/>
      <c r="QJP33" s="206"/>
      <c r="QJQ33" s="206"/>
      <c r="QJR33" s="206"/>
      <c r="QJS33" s="206"/>
      <c r="QJT33" s="206"/>
      <c r="QJU33" s="206"/>
      <c r="QJV33" s="206"/>
      <c r="QJW33" s="206"/>
      <c r="QJX33" s="206"/>
      <c r="QJY33" s="206"/>
      <c r="QJZ33" s="206"/>
      <c r="QKA33" s="206"/>
      <c r="QKB33" s="206"/>
      <c r="QKC33" s="206"/>
      <c r="QKD33" s="206"/>
      <c r="QKE33" s="206"/>
      <c r="QKF33" s="206"/>
      <c r="QKG33" s="206"/>
      <c r="QKH33" s="206"/>
      <c r="QKI33" s="206"/>
      <c r="QKJ33" s="206"/>
      <c r="QKK33" s="206"/>
      <c r="QKL33" s="206"/>
      <c r="QKM33" s="206"/>
      <c r="QKN33" s="206"/>
      <c r="QKO33" s="206"/>
      <c r="QKP33" s="206"/>
      <c r="QKQ33" s="206"/>
      <c r="QKR33" s="206"/>
      <c r="QKS33" s="206"/>
      <c r="QKT33" s="206"/>
      <c r="QKU33" s="206"/>
      <c r="QKV33" s="206"/>
      <c r="QKW33" s="206"/>
      <c r="QKX33" s="206"/>
      <c r="QKY33" s="206"/>
      <c r="QKZ33" s="206"/>
      <c r="QLA33" s="206"/>
      <c r="QLB33" s="206"/>
      <c r="QLC33" s="206"/>
      <c r="QLD33" s="206"/>
      <c r="QLE33" s="206"/>
      <c r="QLF33" s="206"/>
      <c r="QLG33" s="206"/>
      <c r="QLH33" s="206"/>
      <c r="QLI33" s="206"/>
      <c r="QLJ33" s="206"/>
      <c r="QLK33" s="206"/>
      <c r="QLL33" s="206"/>
      <c r="QLM33" s="206"/>
      <c r="QLN33" s="206"/>
      <c r="QLO33" s="206"/>
      <c r="QLP33" s="206"/>
      <c r="QLQ33" s="206"/>
      <c r="QLR33" s="206"/>
      <c r="QLS33" s="206"/>
      <c r="QLT33" s="206"/>
      <c r="QLU33" s="206"/>
      <c r="QLV33" s="206"/>
      <c r="QLW33" s="206"/>
      <c r="QLX33" s="206"/>
      <c r="QLY33" s="206"/>
      <c r="QLZ33" s="206"/>
      <c r="QMA33" s="206"/>
      <c r="QMB33" s="206"/>
      <c r="QMC33" s="206"/>
      <c r="QMD33" s="206"/>
      <c r="QME33" s="206"/>
      <c r="QMF33" s="206"/>
      <c r="QMG33" s="206"/>
      <c r="QMH33" s="206"/>
      <c r="QMI33" s="206"/>
      <c r="QMJ33" s="206"/>
      <c r="QMK33" s="206"/>
      <c r="QML33" s="206"/>
      <c r="QMM33" s="206"/>
      <c r="QMN33" s="206"/>
      <c r="QMO33" s="206"/>
      <c r="QMP33" s="206"/>
      <c r="QMQ33" s="206"/>
      <c r="QMR33" s="206"/>
      <c r="QMS33" s="206"/>
      <c r="QMT33" s="206"/>
      <c r="QMU33" s="206"/>
      <c r="QMV33" s="206"/>
      <c r="QMW33" s="206"/>
      <c r="QMX33" s="206"/>
      <c r="QMY33" s="206"/>
      <c r="QMZ33" s="206"/>
      <c r="QNA33" s="206"/>
      <c r="QNB33" s="206"/>
      <c r="QNC33" s="206"/>
      <c r="QND33" s="206"/>
      <c r="QNE33" s="206"/>
      <c r="QNF33" s="206"/>
      <c r="QNG33" s="206"/>
      <c r="QNH33" s="206"/>
      <c r="QNI33" s="206"/>
      <c r="QNJ33" s="206"/>
      <c r="QNK33" s="206"/>
      <c r="QNL33" s="206"/>
      <c r="QNM33" s="206"/>
      <c r="QNN33" s="206"/>
      <c r="QNO33" s="206"/>
      <c r="QNP33" s="206"/>
      <c r="QNQ33" s="206"/>
      <c r="QNR33" s="206"/>
      <c r="QNS33" s="206"/>
      <c r="QNT33" s="206"/>
      <c r="QNU33" s="206"/>
      <c r="QNV33" s="206"/>
      <c r="QNW33" s="206"/>
      <c r="QNX33" s="206"/>
      <c r="QNY33" s="206"/>
      <c r="QNZ33" s="206"/>
      <c r="QOA33" s="206"/>
      <c r="QOB33" s="206"/>
      <c r="QOC33" s="206"/>
      <c r="QOD33" s="206"/>
      <c r="QOE33" s="206"/>
      <c r="QOF33" s="206"/>
      <c r="QOG33" s="206"/>
      <c r="QOH33" s="206"/>
      <c r="QOI33" s="206"/>
      <c r="QOJ33" s="206"/>
      <c r="QOK33" s="206"/>
      <c r="QOL33" s="206"/>
      <c r="QOM33" s="206"/>
      <c r="QON33" s="206"/>
      <c r="QOO33" s="206"/>
      <c r="QOP33" s="206"/>
      <c r="QOQ33" s="206"/>
      <c r="QOR33" s="206"/>
      <c r="QOS33" s="206"/>
      <c r="QOT33" s="206"/>
      <c r="QOU33" s="206"/>
      <c r="QOV33" s="206"/>
      <c r="QOW33" s="206"/>
      <c r="QOX33" s="206"/>
      <c r="QOY33" s="206"/>
      <c r="QOZ33" s="206"/>
      <c r="QPA33" s="206"/>
      <c r="QPB33" s="206"/>
      <c r="QPC33" s="206"/>
      <c r="QPD33" s="206"/>
      <c r="QPE33" s="206"/>
      <c r="QPF33" s="206"/>
      <c r="QPG33" s="206"/>
      <c r="QPH33" s="206"/>
      <c r="QPI33" s="206"/>
      <c r="QPJ33" s="206"/>
      <c r="QPK33" s="206"/>
      <c r="QPL33" s="206"/>
      <c r="QPM33" s="206"/>
      <c r="QPN33" s="206"/>
      <c r="QPO33" s="206"/>
      <c r="QPP33" s="206"/>
      <c r="QPQ33" s="206"/>
      <c r="QPR33" s="206"/>
      <c r="QPS33" s="206"/>
      <c r="QPT33" s="206"/>
      <c r="QPU33" s="206"/>
      <c r="QPV33" s="206"/>
      <c r="QPW33" s="206"/>
      <c r="QPX33" s="206"/>
      <c r="QPY33" s="206"/>
      <c r="QPZ33" s="206"/>
      <c r="QQA33" s="206"/>
      <c r="QQB33" s="206"/>
      <c r="QQC33" s="206"/>
      <c r="QQD33" s="206"/>
      <c r="QQE33" s="206"/>
      <c r="QQF33" s="206"/>
      <c r="QQG33" s="206"/>
      <c r="QQH33" s="206"/>
      <c r="QQI33" s="206"/>
      <c r="QQJ33" s="206"/>
      <c r="QQK33" s="206"/>
      <c r="QQL33" s="206"/>
      <c r="QQM33" s="206"/>
      <c r="QQN33" s="206"/>
      <c r="QQO33" s="206"/>
      <c r="QQP33" s="206"/>
      <c r="QQQ33" s="206"/>
      <c r="QQR33" s="206"/>
      <c r="QQS33" s="206"/>
      <c r="QQT33" s="206"/>
      <c r="QQU33" s="206"/>
      <c r="QQV33" s="206"/>
      <c r="QQW33" s="206"/>
      <c r="QQX33" s="206"/>
      <c r="QQY33" s="206"/>
      <c r="QQZ33" s="206"/>
      <c r="QRA33" s="206"/>
      <c r="QRB33" s="206"/>
      <c r="QRC33" s="206"/>
      <c r="QRD33" s="206"/>
      <c r="QRE33" s="206"/>
      <c r="QRF33" s="206"/>
      <c r="QRG33" s="206"/>
      <c r="QRH33" s="206"/>
      <c r="QRI33" s="206"/>
      <c r="QRJ33" s="206"/>
      <c r="QRK33" s="206"/>
      <c r="QRL33" s="206"/>
      <c r="QRM33" s="206"/>
      <c r="QRN33" s="206"/>
      <c r="QRO33" s="206"/>
      <c r="QRP33" s="206"/>
      <c r="QRQ33" s="206"/>
      <c r="QRR33" s="206"/>
      <c r="QRS33" s="206"/>
      <c r="QRT33" s="206"/>
      <c r="QRU33" s="206"/>
      <c r="QRV33" s="206"/>
      <c r="QRW33" s="206"/>
      <c r="QRX33" s="206"/>
      <c r="QRY33" s="206"/>
      <c r="QRZ33" s="206"/>
      <c r="QSA33" s="206"/>
      <c r="QSB33" s="206"/>
      <c r="QSC33" s="206"/>
      <c r="QSD33" s="206"/>
      <c r="QSE33" s="206"/>
      <c r="QSF33" s="206"/>
      <c r="QSG33" s="206"/>
      <c r="QSH33" s="206"/>
      <c r="QSI33" s="206"/>
      <c r="QSJ33" s="206"/>
      <c r="QSK33" s="206"/>
      <c r="QSL33" s="206"/>
      <c r="QSM33" s="206"/>
      <c r="QSN33" s="206"/>
      <c r="QSO33" s="206"/>
      <c r="QSP33" s="206"/>
      <c r="QSQ33" s="206"/>
      <c r="QSR33" s="206"/>
      <c r="QSS33" s="206"/>
      <c r="QST33" s="206"/>
      <c r="QSU33" s="206"/>
      <c r="QSV33" s="206"/>
      <c r="QSW33" s="206"/>
      <c r="QSX33" s="206"/>
      <c r="QSY33" s="206"/>
      <c r="QSZ33" s="206"/>
      <c r="QTA33" s="206"/>
      <c r="QTB33" s="206"/>
      <c r="QTC33" s="206"/>
      <c r="QTD33" s="206"/>
      <c r="QTE33" s="206"/>
      <c r="QTF33" s="206"/>
      <c r="QTG33" s="206"/>
      <c r="QTH33" s="206"/>
      <c r="QTI33" s="206"/>
      <c r="QTJ33" s="206"/>
      <c r="QTK33" s="206"/>
      <c r="QTL33" s="206"/>
      <c r="QTM33" s="206"/>
      <c r="QTN33" s="206"/>
      <c r="QTO33" s="206"/>
      <c r="QTP33" s="206"/>
      <c r="QTQ33" s="206"/>
      <c r="QTR33" s="206"/>
      <c r="QTS33" s="206"/>
      <c r="QTT33" s="206"/>
      <c r="QTU33" s="206"/>
      <c r="QTV33" s="206"/>
      <c r="QTW33" s="206"/>
      <c r="QTX33" s="206"/>
      <c r="QTY33" s="206"/>
      <c r="QTZ33" s="206"/>
      <c r="QUA33" s="206"/>
      <c r="QUB33" s="206"/>
      <c r="QUC33" s="206"/>
      <c r="QUD33" s="206"/>
      <c r="QUE33" s="206"/>
      <c r="QUF33" s="206"/>
      <c r="QUG33" s="206"/>
      <c r="QUH33" s="206"/>
      <c r="QUI33" s="206"/>
      <c r="QUJ33" s="206"/>
      <c r="QUK33" s="206"/>
      <c r="QUL33" s="206"/>
      <c r="QUM33" s="206"/>
      <c r="QUN33" s="206"/>
      <c r="QUO33" s="206"/>
      <c r="QUP33" s="206"/>
      <c r="QUQ33" s="206"/>
      <c r="QUR33" s="206"/>
      <c r="QUS33" s="206"/>
      <c r="QUT33" s="206"/>
      <c r="QUU33" s="206"/>
      <c r="QUV33" s="206"/>
      <c r="QUW33" s="206"/>
      <c r="QUX33" s="206"/>
      <c r="QUY33" s="206"/>
      <c r="QUZ33" s="206"/>
      <c r="QVA33" s="206"/>
      <c r="QVB33" s="206"/>
      <c r="QVC33" s="206"/>
      <c r="QVD33" s="206"/>
      <c r="QVE33" s="206"/>
      <c r="QVF33" s="206"/>
      <c r="QVG33" s="206"/>
      <c r="QVH33" s="206"/>
      <c r="QVI33" s="206"/>
      <c r="QVJ33" s="206"/>
      <c r="QVK33" s="206"/>
      <c r="QVL33" s="206"/>
      <c r="QVM33" s="206"/>
      <c r="QVN33" s="206"/>
      <c r="QVO33" s="206"/>
      <c r="QVP33" s="206"/>
      <c r="QVQ33" s="206"/>
      <c r="QVR33" s="206"/>
      <c r="QVS33" s="206"/>
      <c r="QVT33" s="206"/>
      <c r="QVU33" s="206"/>
      <c r="QVV33" s="206"/>
      <c r="QVW33" s="206"/>
      <c r="QVX33" s="206"/>
      <c r="QVY33" s="206"/>
      <c r="QVZ33" s="206"/>
      <c r="QWA33" s="206"/>
      <c r="QWB33" s="206"/>
      <c r="QWC33" s="206"/>
      <c r="QWD33" s="206"/>
      <c r="QWE33" s="206"/>
      <c r="QWF33" s="206"/>
      <c r="QWG33" s="206"/>
      <c r="QWH33" s="206"/>
      <c r="QWI33" s="206"/>
      <c r="QWJ33" s="206"/>
      <c r="QWK33" s="206"/>
      <c r="QWL33" s="206"/>
      <c r="QWM33" s="206"/>
      <c r="QWN33" s="206"/>
      <c r="QWO33" s="206"/>
      <c r="QWP33" s="206"/>
      <c r="QWQ33" s="206"/>
      <c r="QWR33" s="206"/>
      <c r="QWS33" s="206"/>
      <c r="QWT33" s="206"/>
      <c r="QWU33" s="206"/>
      <c r="QWV33" s="206"/>
      <c r="QWW33" s="206"/>
      <c r="QWX33" s="206"/>
      <c r="QWY33" s="206"/>
      <c r="QWZ33" s="206"/>
      <c r="QXA33" s="206"/>
      <c r="QXB33" s="206"/>
      <c r="QXC33" s="206"/>
      <c r="QXD33" s="206"/>
      <c r="QXE33" s="206"/>
      <c r="QXF33" s="206"/>
      <c r="QXG33" s="206"/>
      <c r="QXH33" s="206"/>
      <c r="QXI33" s="206"/>
      <c r="QXJ33" s="206"/>
      <c r="QXK33" s="206"/>
      <c r="QXL33" s="206"/>
      <c r="QXM33" s="206"/>
      <c r="QXN33" s="206"/>
      <c r="QXO33" s="206"/>
      <c r="QXP33" s="206"/>
      <c r="QXQ33" s="206"/>
      <c r="QXR33" s="206"/>
      <c r="QXS33" s="206"/>
      <c r="QXT33" s="206"/>
      <c r="QXU33" s="206"/>
      <c r="QXV33" s="206"/>
      <c r="QXW33" s="206"/>
      <c r="QXX33" s="206"/>
      <c r="QXY33" s="206"/>
      <c r="QXZ33" s="206"/>
      <c r="QYA33" s="206"/>
      <c r="QYB33" s="206"/>
      <c r="QYC33" s="206"/>
      <c r="QYD33" s="206"/>
      <c r="QYE33" s="206"/>
      <c r="QYF33" s="206"/>
      <c r="QYG33" s="206"/>
      <c r="QYH33" s="206"/>
      <c r="QYI33" s="206"/>
      <c r="QYJ33" s="206"/>
      <c r="QYK33" s="206"/>
      <c r="QYL33" s="206"/>
      <c r="QYM33" s="206"/>
      <c r="QYN33" s="206"/>
      <c r="QYO33" s="206"/>
      <c r="QYP33" s="206"/>
      <c r="QYQ33" s="206"/>
      <c r="QYR33" s="206"/>
      <c r="QYS33" s="206"/>
      <c r="QYT33" s="206"/>
      <c r="QYU33" s="206"/>
      <c r="QYV33" s="206"/>
      <c r="QYW33" s="206"/>
      <c r="QYX33" s="206"/>
      <c r="QYY33" s="206"/>
      <c r="QYZ33" s="206"/>
      <c r="QZA33" s="206"/>
      <c r="QZB33" s="206"/>
      <c r="QZC33" s="206"/>
      <c r="QZD33" s="206"/>
      <c r="QZE33" s="206"/>
      <c r="QZF33" s="206"/>
      <c r="QZG33" s="206"/>
      <c r="QZH33" s="206"/>
      <c r="QZI33" s="206"/>
      <c r="QZJ33" s="206"/>
      <c r="QZK33" s="206"/>
      <c r="QZL33" s="206"/>
      <c r="QZM33" s="206"/>
      <c r="QZN33" s="206"/>
      <c r="QZO33" s="206"/>
      <c r="QZP33" s="206"/>
      <c r="QZQ33" s="206"/>
      <c r="QZR33" s="206"/>
      <c r="QZS33" s="206"/>
      <c r="QZT33" s="206"/>
      <c r="QZU33" s="206"/>
      <c r="QZV33" s="206"/>
      <c r="QZW33" s="206"/>
      <c r="QZX33" s="206"/>
      <c r="QZY33" s="206"/>
      <c r="QZZ33" s="206"/>
      <c r="RAA33" s="206"/>
      <c r="RAB33" s="206"/>
      <c r="RAC33" s="206"/>
      <c r="RAD33" s="206"/>
      <c r="RAE33" s="206"/>
      <c r="RAF33" s="206"/>
      <c r="RAG33" s="206"/>
      <c r="RAH33" s="206"/>
      <c r="RAI33" s="206"/>
      <c r="RAJ33" s="206"/>
      <c r="RAK33" s="206"/>
      <c r="RAL33" s="206"/>
      <c r="RAM33" s="206"/>
      <c r="RAN33" s="206"/>
      <c r="RAO33" s="206"/>
      <c r="RAP33" s="206"/>
      <c r="RAQ33" s="206"/>
      <c r="RAR33" s="206"/>
      <c r="RAS33" s="206"/>
      <c r="RAT33" s="206"/>
      <c r="RAU33" s="206"/>
      <c r="RAV33" s="206"/>
      <c r="RAW33" s="206"/>
      <c r="RAX33" s="206"/>
      <c r="RAY33" s="206"/>
      <c r="RAZ33" s="206"/>
      <c r="RBA33" s="206"/>
      <c r="RBB33" s="206"/>
      <c r="RBC33" s="206"/>
      <c r="RBD33" s="206"/>
      <c r="RBE33" s="206"/>
      <c r="RBF33" s="206"/>
      <c r="RBG33" s="206"/>
      <c r="RBH33" s="206"/>
      <c r="RBI33" s="206"/>
      <c r="RBJ33" s="206"/>
      <c r="RBK33" s="206"/>
      <c r="RBL33" s="206"/>
      <c r="RBM33" s="206"/>
      <c r="RBN33" s="206"/>
      <c r="RBO33" s="206"/>
      <c r="RBP33" s="206"/>
      <c r="RBQ33" s="206"/>
      <c r="RBR33" s="206"/>
      <c r="RBS33" s="206"/>
      <c r="RBT33" s="206"/>
      <c r="RBU33" s="206"/>
      <c r="RBV33" s="206"/>
      <c r="RBW33" s="206"/>
      <c r="RBX33" s="206"/>
      <c r="RBY33" s="206"/>
      <c r="RBZ33" s="206"/>
      <c r="RCA33" s="206"/>
      <c r="RCB33" s="206"/>
      <c r="RCC33" s="206"/>
      <c r="RCD33" s="206"/>
      <c r="RCE33" s="206"/>
      <c r="RCF33" s="206"/>
      <c r="RCG33" s="206"/>
      <c r="RCH33" s="206"/>
      <c r="RCI33" s="206"/>
      <c r="RCJ33" s="206"/>
      <c r="RCK33" s="206"/>
      <c r="RCL33" s="206"/>
      <c r="RCM33" s="206"/>
      <c r="RCN33" s="206"/>
      <c r="RCO33" s="206"/>
      <c r="RCP33" s="206"/>
      <c r="RCQ33" s="206"/>
      <c r="RCR33" s="206"/>
      <c r="RCS33" s="206"/>
      <c r="RCT33" s="206"/>
      <c r="RCU33" s="206"/>
      <c r="RCV33" s="206"/>
      <c r="RCW33" s="206"/>
      <c r="RCX33" s="206"/>
      <c r="RCY33" s="206"/>
      <c r="RCZ33" s="206"/>
      <c r="RDA33" s="206"/>
      <c r="RDB33" s="206"/>
      <c r="RDC33" s="206"/>
      <c r="RDD33" s="206"/>
      <c r="RDE33" s="206"/>
      <c r="RDF33" s="206"/>
      <c r="RDG33" s="206"/>
      <c r="RDH33" s="206"/>
      <c r="RDI33" s="206"/>
      <c r="RDJ33" s="206"/>
      <c r="RDK33" s="206"/>
      <c r="RDL33" s="206"/>
      <c r="RDM33" s="206"/>
      <c r="RDN33" s="206"/>
      <c r="RDO33" s="206"/>
      <c r="RDP33" s="206"/>
      <c r="RDQ33" s="206"/>
      <c r="RDR33" s="206"/>
      <c r="RDS33" s="206"/>
      <c r="RDT33" s="206"/>
      <c r="RDU33" s="206"/>
      <c r="RDV33" s="206"/>
      <c r="RDW33" s="206"/>
      <c r="RDX33" s="206"/>
      <c r="RDY33" s="206"/>
      <c r="RDZ33" s="206"/>
      <c r="REA33" s="206"/>
      <c r="REB33" s="206"/>
      <c r="REC33" s="206"/>
      <c r="RED33" s="206"/>
      <c r="REE33" s="206"/>
      <c r="REF33" s="206"/>
      <c r="REG33" s="206"/>
      <c r="REH33" s="206"/>
      <c r="REI33" s="206"/>
      <c r="REJ33" s="206"/>
      <c r="REK33" s="206"/>
      <c r="REL33" s="206"/>
      <c r="REM33" s="206"/>
      <c r="REN33" s="206"/>
      <c r="REO33" s="206"/>
      <c r="REP33" s="206"/>
      <c r="REQ33" s="206"/>
      <c r="RER33" s="206"/>
      <c r="RES33" s="206"/>
      <c r="RET33" s="206"/>
      <c r="REU33" s="206"/>
      <c r="REV33" s="206"/>
      <c r="REW33" s="206"/>
      <c r="REX33" s="206"/>
      <c r="REY33" s="206"/>
      <c r="REZ33" s="206"/>
      <c r="RFA33" s="206"/>
      <c r="RFB33" s="206"/>
      <c r="RFC33" s="206"/>
      <c r="RFD33" s="206"/>
      <c r="RFE33" s="206"/>
      <c r="RFF33" s="206"/>
      <c r="RFG33" s="206"/>
      <c r="RFH33" s="206"/>
      <c r="RFI33" s="206"/>
      <c r="RFJ33" s="206"/>
      <c r="RFK33" s="206"/>
      <c r="RFL33" s="206"/>
      <c r="RFM33" s="206"/>
      <c r="RFN33" s="206"/>
      <c r="RFO33" s="206"/>
      <c r="RFP33" s="206"/>
      <c r="RFQ33" s="206"/>
      <c r="RFR33" s="206"/>
      <c r="RFS33" s="206"/>
      <c r="RFT33" s="206"/>
      <c r="RFU33" s="206"/>
      <c r="RFV33" s="206"/>
      <c r="RFW33" s="206"/>
      <c r="RFX33" s="206"/>
      <c r="RFY33" s="206"/>
      <c r="RFZ33" s="206"/>
      <c r="RGA33" s="206"/>
      <c r="RGB33" s="206"/>
      <c r="RGC33" s="206"/>
      <c r="RGD33" s="206"/>
      <c r="RGE33" s="206"/>
      <c r="RGF33" s="206"/>
      <c r="RGG33" s="206"/>
      <c r="RGH33" s="206"/>
      <c r="RGI33" s="206"/>
      <c r="RGJ33" s="206"/>
      <c r="RGK33" s="206"/>
      <c r="RGL33" s="206"/>
      <c r="RGM33" s="206"/>
      <c r="RGN33" s="206"/>
      <c r="RGO33" s="206"/>
      <c r="RGP33" s="206"/>
      <c r="RGQ33" s="206"/>
      <c r="RGR33" s="206"/>
      <c r="RGS33" s="206"/>
      <c r="RGT33" s="206"/>
      <c r="RGU33" s="206"/>
      <c r="RGV33" s="206"/>
      <c r="RGW33" s="206"/>
      <c r="RGX33" s="206"/>
      <c r="RGY33" s="206"/>
      <c r="RGZ33" s="206"/>
      <c r="RHA33" s="206"/>
      <c r="RHB33" s="206"/>
      <c r="RHC33" s="206"/>
      <c r="RHD33" s="206"/>
      <c r="RHE33" s="206"/>
      <c r="RHF33" s="206"/>
      <c r="RHG33" s="206"/>
      <c r="RHH33" s="206"/>
      <c r="RHI33" s="206"/>
      <c r="RHJ33" s="206"/>
      <c r="RHK33" s="206"/>
      <c r="RHL33" s="206"/>
      <c r="RHM33" s="206"/>
      <c r="RHN33" s="206"/>
      <c r="RHO33" s="206"/>
      <c r="RHP33" s="206"/>
      <c r="RHQ33" s="206"/>
      <c r="RHR33" s="206"/>
      <c r="RHS33" s="206"/>
      <c r="RHT33" s="206"/>
      <c r="RHU33" s="206"/>
      <c r="RHV33" s="206"/>
      <c r="RHW33" s="206"/>
      <c r="RHX33" s="206"/>
      <c r="RHY33" s="206"/>
      <c r="RHZ33" s="206"/>
      <c r="RIA33" s="206"/>
      <c r="RIB33" s="206"/>
      <c r="RIC33" s="206"/>
      <c r="RID33" s="206"/>
      <c r="RIE33" s="206"/>
      <c r="RIF33" s="206"/>
      <c r="RIG33" s="206"/>
      <c r="RIH33" s="206"/>
      <c r="RII33" s="206"/>
      <c r="RIJ33" s="206"/>
      <c r="RIK33" s="206"/>
      <c r="RIL33" s="206"/>
      <c r="RIM33" s="206"/>
      <c r="RIN33" s="206"/>
      <c r="RIO33" s="206"/>
      <c r="RIP33" s="206"/>
      <c r="RIQ33" s="206"/>
      <c r="RIR33" s="206"/>
      <c r="RIS33" s="206"/>
      <c r="RIT33" s="206"/>
      <c r="RIU33" s="206"/>
      <c r="RIV33" s="206"/>
      <c r="RIW33" s="206"/>
      <c r="RIX33" s="206"/>
      <c r="RIY33" s="206"/>
      <c r="RIZ33" s="206"/>
      <c r="RJA33" s="206"/>
      <c r="RJB33" s="206"/>
      <c r="RJC33" s="206"/>
      <c r="RJD33" s="206"/>
      <c r="RJE33" s="206"/>
      <c r="RJF33" s="206"/>
      <c r="RJG33" s="206"/>
      <c r="RJH33" s="206"/>
      <c r="RJI33" s="206"/>
      <c r="RJJ33" s="206"/>
      <c r="RJK33" s="206"/>
      <c r="RJL33" s="206"/>
      <c r="RJM33" s="206"/>
      <c r="RJN33" s="206"/>
      <c r="RJO33" s="206"/>
      <c r="RJP33" s="206"/>
      <c r="RJQ33" s="206"/>
      <c r="RJR33" s="206"/>
      <c r="RJS33" s="206"/>
      <c r="RJT33" s="206"/>
      <c r="RJU33" s="206"/>
      <c r="RJV33" s="206"/>
      <c r="RJW33" s="206"/>
      <c r="RJX33" s="206"/>
      <c r="RJY33" s="206"/>
      <c r="RJZ33" s="206"/>
      <c r="RKA33" s="206"/>
      <c r="RKB33" s="206"/>
      <c r="RKC33" s="206"/>
      <c r="RKD33" s="206"/>
      <c r="RKE33" s="206"/>
      <c r="RKF33" s="206"/>
      <c r="RKG33" s="206"/>
      <c r="RKH33" s="206"/>
      <c r="RKI33" s="206"/>
      <c r="RKJ33" s="206"/>
      <c r="RKK33" s="206"/>
      <c r="RKL33" s="206"/>
      <c r="RKM33" s="206"/>
      <c r="RKN33" s="206"/>
      <c r="RKO33" s="206"/>
      <c r="RKP33" s="206"/>
      <c r="RKQ33" s="206"/>
      <c r="RKR33" s="206"/>
      <c r="RKS33" s="206"/>
      <c r="RKT33" s="206"/>
      <c r="RKU33" s="206"/>
      <c r="RKV33" s="206"/>
      <c r="RKW33" s="206"/>
      <c r="RKX33" s="206"/>
      <c r="RKY33" s="206"/>
      <c r="RKZ33" s="206"/>
      <c r="RLA33" s="206"/>
      <c r="RLB33" s="206"/>
      <c r="RLC33" s="206"/>
      <c r="RLD33" s="206"/>
      <c r="RLE33" s="206"/>
      <c r="RLF33" s="206"/>
      <c r="RLG33" s="206"/>
      <c r="RLH33" s="206"/>
      <c r="RLI33" s="206"/>
      <c r="RLJ33" s="206"/>
      <c r="RLK33" s="206"/>
      <c r="RLL33" s="206"/>
      <c r="RLM33" s="206"/>
      <c r="RLN33" s="206"/>
      <c r="RLO33" s="206"/>
      <c r="RLP33" s="206"/>
      <c r="RLQ33" s="206"/>
      <c r="RLR33" s="206"/>
      <c r="RLS33" s="206"/>
      <c r="RLT33" s="206"/>
      <c r="RLU33" s="206"/>
      <c r="RLV33" s="206"/>
      <c r="RLW33" s="206"/>
      <c r="RLX33" s="206"/>
      <c r="RLY33" s="206"/>
      <c r="RLZ33" s="206"/>
      <c r="RMA33" s="206"/>
      <c r="RMB33" s="206"/>
      <c r="RMC33" s="206"/>
      <c r="RMD33" s="206"/>
      <c r="RME33" s="206"/>
      <c r="RMF33" s="206"/>
      <c r="RMG33" s="206"/>
      <c r="RMH33" s="206"/>
      <c r="RMI33" s="206"/>
      <c r="RMJ33" s="206"/>
      <c r="RMK33" s="206"/>
      <c r="RML33" s="206"/>
      <c r="RMM33" s="206"/>
      <c r="RMN33" s="206"/>
      <c r="RMO33" s="206"/>
      <c r="RMP33" s="206"/>
      <c r="RMQ33" s="206"/>
      <c r="RMR33" s="206"/>
      <c r="RMS33" s="206"/>
      <c r="RMT33" s="206"/>
      <c r="RMU33" s="206"/>
      <c r="RMV33" s="206"/>
      <c r="RMW33" s="206"/>
      <c r="RMX33" s="206"/>
      <c r="RMY33" s="206"/>
      <c r="RMZ33" s="206"/>
      <c r="RNA33" s="206"/>
      <c r="RNB33" s="206"/>
      <c r="RNC33" s="206"/>
      <c r="RND33" s="206"/>
      <c r="RNE33" s="206"/>
      <c r="RNF33" s="206"/>
      <c r="RNG33" s="206"/>
      <c r="RNH33" s="206"/>
      <c r="RNI33" s="206"/>
      <c r="RNJ33" s="206"/>
      <c r="RNK33" s="206"/>
      <c r="RNL33" s="206"/>
      <c r="RNM33" s="206"/>
      <c r="RNN33" s="206"/>
      <c r="RNO33" s="206"/>
      <c r="RNP33" s="206"/>
      <c r="RNQ33" s="206"/>
      <c r="RNR33" s="206"/>
      <c r="RNS33" s="206"/>
      <c r="RNT33" s="206"/>
      <c r="RNU33" s="206"/>
      <c r="RNV33" s="206"/>
      <c r="RNW33" s="206"/>
      <c r="RNX33" s="206"/>
      <c r="RNY33" s="206"/>
      <c r="RNZ33" s="206"/>
      <c r="ROA33" s="206"/>
      <c r="ROB33" s="206"/>
      <c r="ROC33" s="206"/>
      <c r="ROD33" s="206"/>
      <c r="ROE33" s="206"/>
      <c r="ROF33" s="206"/>
      <c r="ROG33" s="206"/>
      <c r="ROH33" s="206"/>
      <c r="ROI33" s="206"/>
      <c r="ROJ33" s="206"/>
      <c r="ROK33" s="206"/>
      <c r="ROL33" s="206"/>
      <c r="ROM33" s="206"/>
      <c r="RON33" s="206"/>
      <c r="ROO33" s="206"/>
      <c r="ROP33" s="206"/>
      <c r="ROQ33" s="206"/>
      <c r="ROR33" s="206"/>
      <c r="ROS33" s="206"/>
      <c r="ROT33" s="206"/>
      <c r="ROU33" s="206"/>
      <c r="ROV33" s="206"/>
      <c r="ROW33" s="206"/>
      <c r="ROX33" s="206"/>
      <c r="ROY33" s="206"/>
      <c r="ROZ33" s="206"/>
      <c r="RPA33" s="206"/>
      <c r="RPB33" s="206"/>
      <c r="RPC33" s="206"/>
      <c r="RPD33" s="206"/>
      <c r="RPE33" s="206"/>
      <c r="RPF33" s="206"/>
      <c r="RPG33" s="206"/>
      <c r="RPH33" s="206"/>
      <c r="RPI33" s="206"/>
      <c r="RPJ33" s="206"/>
      <c r="RPK33" s="206"/>
      <c r="RPL33" s="206"/>
      <c r="RPM33" s="206"/>
      <c r="RPN33" s="206"/>
      <c r="RPO33" s="206"/>
      <c r="RPP33" s="206"/>
      <c r="RPQ33" s="206"/>
      <c r="RPR33" s="206"/>
      <c r="RPS33" s="206"/>
      <c r="RPT33" s="206"/>
      <c r="RPU33" s="206"/>
      <c r="RPV33" s="206"/>
      <c r="RPW33" s="206"/>
      <c r="RPX33" s="206"/>
      <c r="RPY33" s="206"/>
      <c r="RPZ33" s="206"/>
      <c r="RQA33" s="206"/>
      <c r="RQB33" s="206"/>
      <c r="RQC33" s="206"/>
      <c r="RQD33" s="206"/>
      <c r="RQE33" s="206"/>
      <c r="RQF33" s="206"/>
      <c r="RQG33" s="206"/>
      <c r="RQH33" s="206"/>
      <c r="RQI33" s="206"/>
      <c r="RQJ33" s="206"/>
      <c r="RQK33" s="206"/>
      <c r="RQL33" s="206"/>
      <c r="RQM33" s="206"/>
      <c r="RQN33" s="206"/>
      <c r="RQO33" s="206"/>
      <c r="RQP33" s="206"/>
      <c r="RQQ33" s="206"/>
      <c r="RQR33" s="206"/>
      <c r="RQS33" s="206"/>
      <c r="RQT33" s="206"/>
      <c r="RQU33" s="206"/>
      <c r="RQV33" s="206"/>
      <c r="RQW33" s="206"/>
      <c r="RQX33" s="206"/>
      <c r="RQY33" s="206"/>
      <c r="RQZ33" s="206"/>
      <c r="RRA33" s="206"/>
      <c r="RRB33" s="206"/>
      <c r="RRC33" s="206"/>
      <c r="RRD33" s="206"/>
      <c r="RRE33" s="206"/>
      <c r="RRF33" s="206"/>
      <c r="RRG33" s="206"/>
      <c r="RRH33" s="206"/>
      <c r="RRI33" s="206"/>
      <c r="RRJ33" s="206"/>
      <c r="RRK33" s="206"/>
      <c r="RRL33" s="206"/>
      <c r="RRM33" s="206"/>
      <c r="RRN33" s="206"/>
      <c r="RRO33" s="206"/>
      <c r="RRP33" s="206"/>
      <c r="RRQ33" s="206"/>
      <c r="RRR33" s="206"/>
      <c r="RRS33" s="206"/>
      <c r="RRT33" s="206"/>
      <c r="RRU33" s="206"/>
      <c r="RRV33" s="206"/>
      <c r="RRW33" s="206"/>
      <c r="RRX33" s="206"/>
      <c r="RRY33" s="206"/>
      <c r="RRZ33" s="206"/>
      <c r="RSA33" s="206"/>
      <c r="RSB33" s="206"/>
      <c r="RSC33" s="206"/>
      <c r="RSD33" s="206"/>
      <c r="RSE33" s="206"/>
      <c r="RSF33" s="206"/>
      <c r="RSG33" s="206"/>
      <c r="RSH33" s="206"/>
      <c r="RSI33" s="206"/>
      <c r="RSJ33" s="206"/>
      <c r="RSK33" s="206"/>
      <c r="RSL33" s="206"/>
      <c r="RSM33" s="206"/>
      <c r="RSN33" s="206"/>
      <c r="RSO33" s="206"/>
      <c r="RSP33" s="206"/>
      <c r="RSQ33" s="206"/>
      <c r="RSR33" s="206"/>
      <c r="RSS33" s="206"/>
      <c r="RST33" s="206"/>
      <c r="RSU33" s="206"/>
      <c r="RSV33" s="206"/>
      <c r="RSW33" s="206"/>
      <c r="RSX33" s="206"/>
      <c r="RSY33" s="206"/>
      <c r="RSZ33" s="206"/>
      <c r="RTA33" s="206"/>
      <c r="RTB33" s="206"/>
      <c r="RTC33" s="206"/>
      <c r="RTD33" s="206"/>
      <c r="RTE33" s="206"/>
      <c r="RTF33" s="206"/>
      <c r="RTG33" s="206"/>
      <c r="RTH33" s="206"/>
      <c r="RTI33" s="206"/>
      <c r="RTJ33" s="206"/>
      <c r="RTK33" s="206"/>
      <c r="RTL33" s="206"/>
      <c r="RTM33" s="206"/>
      <c r="RTN33" s="206"/>
      <c r="RTO33" s="206"/>
      <c r="RTP33" s="206"/>
      <c r="RTQ33" s="206"/>
      <c r="RTR33" s="206"/>
      <c r="RTS33" s="206"/>
      <c r="RTT33" s="206"/>
      <c r="RTU33" s="206"/>
      <c r="RTV33" s="206"/>
      <c r="RTW33" s="206"/>
      <c r="RTX33" s="206"/>
      <c r="RTY33" s="206"/>
      <c r="RTZ33" s="206"/>
      <c r="RUA33" s="206"/>
      <c r="RUB33" s="206"/>
      <c r="RUC33" s="206"/>
      <c r="RUD33" s="206"/>
      <c r="RUE33" s="206"/>
      <c r="RUF33" s="206"/>
      <c r="RUG33" s="206"/>
      <c r="RUH33" s="206"/>
      <c r="RUI33" s="206"/>
      <c r="RUJ33" s="206"/>
      <c r="RUK33" s="206"/>
      <c r="RUL33" s="206"/>
      <c r="RUM33" s="206"/>
      <c r="RUN33" s="206"/>
      <c r="RUO33" s="206"/>
      <c r="RUP33" s="206"/>
      <c r="RUQ33" s="206"/>
      <c r="RUR33" s="206"/>
      <c r="RUS33" s="206"/>
      <c r="RUT33" s="206"/>
      <c r="RUU33" s="206"/>
      <c r="RUV33" s="206"/>
      <c r="RUW33" s="206"/>
      <c r="RUX33" s="206"/>
      <c r="RUY33" s="206"/>
      <c r="RUZ33" s="206"/>
      <c r="RVA33" s="206"/>
      <c r="RVB33" s="206"/>
      <c r="RVC33" s="206"/>
      <c r="RVD33" s="206"/>
      <c r="RVE33" s="206"/>
      <c r="RVF33" s="206"/>
      <c r="RVG33" s="206"/>
      <c r="RVH33" s="206"/>
      <c r="RVI33" s="206"/>
      <c r="RVJ33" s="206"/>
      <c r="RVK33" s="206"/>
      <c r="RVL33" s="206"/>
      <c r="RVM33" s="206"/>
      <c r="RVN33" s="206"/>
      <c r="RVO33" s="206"/>
      <c r="RVP33" s="206"/>
      <c r="RVQ33" s="206"/>
      <c r="RVR33" s="206"/>
      <c r="RVS33" s="206"/>
      <c r="RVT33" s="206"/>
      <c r="RVU33" s="206"/>
      <c r="RVV33" s="206"/>
      <c r="RVW33" s="206"/>
      <c r="RVX33" s="206"/>
      <c r="RVY33" s="206"/>
      <c r="RVZ33" s="206"/>
      <c r="RWA33" s="206"/>
      <c r="RWB33" s="206"/>
      <c r="RWC33" s="206"/>
      <c r="RWD33" s="206"/>
      <c r="RWE33" s="206"/>
      <c r="RWF33" s="206"/>
      <c r="RWG33" s="206"/>
      <c r="RWH33" s="206"/>
      <c r="RWI33" s="206"/>
      <c r="RWJ33" s="206"/>
      <c r="RWK33" s="206"/>
      <c r="RWL33" s="206"/>
      <c r="RWM33" s="206"/>
      <c r="RWN33" s="206"/>
      <c r="RWO33" s="206"/>
      <c r="RWP33" s="206"/>
      <c r="RWQ33" s="206"/>
      <c r="RWR33" s="206"/>
      <c r="RWS33" s="206"/>
      <c r="RWT33" s="206"/>
      <c r="RWU33" s="206"/>
      <c r="RWV33" s="206"/>
      <c r="RWW33" s="206"/>
      <c r="RWX33" s="206"/>
      <c r="RWY33" s="206"/>
      <c r="RWZ33" s="206"/>
      <c r="RXA33" s="206"/>
      <c r="RXB33" s="206"/>
      <c r="RXC33" s="206"/>
      <c r="RXD33" s="206"/>
      <c r="RXE33" s="206"/>
      <c r="RXF33" s="206"/>
      <c r="RXG33" s="206"/>
      <c r="RXH33" s="206"/>
      <c r="RXI33" s="206"/>
      <c r="RXJ33" s="206"/>
      <c r="RXK33" s="206"/>
      <c r="RXL33" s="206"/>
      <c r="RXM33" s="206"/>
      <c r="RXN33" s="206"/>
      <c r="RXO33" s="206"/>
      <c r="RXP33" s="206"/>
      <c r="RXQ33" s="206"/>
      <c r="RXR33" s="206"/>
      <c r="RXS33" s="206"/>
      <c r="RXT33" s="206"/>
      <c r="RXU33" s="206"/>
      <c r="RXV33" s="206"/>
      <c r="RXW33" s="206"/>
      <c r="RXX33" s="206"/>
      <c r="RXY33" s="206"/>
      <c r="RXZ33" s="206"/>
      <c r="RYA33" s="206"/>
      <c r="RYB33" s="206"/>
      <c r="RYC33" s="206"/>
      <c r="RYD33" s="206"/>
      <c r="RYE33" s="206"/>
      <c r="RYF33" s="206"/>
      <c r="RYG33" s="206"/>
      <c r="RYH33" s="206"/>
      <c r="RYI33" s="206"/>
      <c r="RYJ33" s="206"/>
      <c r="RYK33" s="206"/>
      <c r="RYL33" s="206"/>
      <c r="RYM33" s="206"/>
      <c r="RYN33" s="206"/>
      <c r="RYO33" s="206"/>
      <c r="RYP33" s="206"/>
      <c r="RYQ33" s="206"/>
      <c r="RYR33" s="206"/>
      <c r="RYS33" s="206"/>
      <c r="RYT33" s="206"/>
      <c r="RYU33" s="206"/>
      <c r="RYV33" s="206"/>
      <c r="RYW33" s="206"/>
      <c r="RYX33" s="206"/>
      <c r="RYY33" s="206"/>
      <c r="RYZ33" s="206"/>
      <c r="RZA33" s="206"/>
      <c r="RZB33" s="206"/>
      <c r="RZC33" s="206"/>
      <c r="RZD33" s="206"/>
      <c r="RZE33" s="206"/>
      <c r="RZF33" s="206"/>
      <c r="RZG33" s="206"/>
      <c r="RZH33" s="206"/>
      <c r="RZI33" s="206"/>
      <c r="RZJ33" s="206"/>
      <c r="RZK33" s="206"/>
      <c r="RZL33" s="206"/>
      <c r="RZM33" s="206"/>
      <c r="RZN33" s="206"/>
      <c r="RZO33" s="206"/>
      <c r="RZP33" s="206"/>
      <c r="RZQ33" s="206"/>
      <c r="RZR33" s="206"/>
      <c r="RZS33" s="206"/>
      <c r="RZT33" s="206"/>
      <c r="RZU33" s="206"/>
      <c r="RZV33" s="206"/>
      <c r="RZW33" s="206"/>
      <c r="RZX33" s="206"/>
      <c r="RZY33" s="206"/>
      <c r="RZZ33" s="206"/>
      <c r="SAA33" s="206"/>
      <c r="SAB33" s="206"/>
      <c r="SAC33" s="206"/>
      <c r="SAD33" s="206"/>
      <c r="SAE33" s="206"/>
      <c r="SAF33" s="206"/>
      <c r="SAG33" s="206"/>
      <c r="SAH33" s="206"/>
      <c r="SAI33" s="206"/>
      <c r="SAJ33" s="206"/>
      <c r="SAK33" s="206"/>
      <c r="SAL33" s="206"/>
      <c r="SAM33" s="206"/>
      <c r="SAN33" s="206"/>
      <c r="SAO33" s="206"/>
      <c r="SAP33" s="206"/>
      <c r="SAQ33" s="206"/>
      <c r="SAR33" s="206"/>
      <c r="SAS33" s="206"/>
      <c r="SAT33" s="206"/>
      <c r="SAU33" s="206"/>
      <c r="SAV33" s="206"/>
      <c r="SAW33" s="206"/>
      <c r="SAX33" s="206"/>
      <c r="SAY33" s="206"/>
      <c r="SAZ33" s="206"/>
      <c r="SBA33" s="206"/>
      <c r="SBB33" s="206"/>
      <c r="SBC33" s="206"/>
      <c r="SBD33" s="206"/>
      <c r="SBE33" s="206"/>
      <c r="SBF33" s="206"/>
      <c r="SBG33" s="206"/>
      <c r="SBH33" s="206"/>
      <c r="SBI33" s="206"/>
      <c r="SBJ33" s="206"/>
      <c r="SBK33" s="206"/>
      <c r="SBL33" s="206"/>
      <c r="SBM33" s="206"/>
      <c r="SBN33" s="206"/>
      <c r="SBO33" s="206"/>
      <c r="SBP33" s="206"/>
      <c r="SBQ33" s="206"/>
      <c r="SBR33" s="206"/>
      <c r="SBS33" s="206"/>
      <c r="SBT33" s="206"/>
      <c r="SBU33" s="206"/>
      <c r="SBV33" s="206"/>
      <c r="SBW33" s="206"/>
      <c r="SBX33" s="206"/>
      <c r="SBY33" s="206"/>
      <c r="SBZ33" s="206"/>
      <c r="SCA33" s="206"/>
      <c r="SCB33" s="206"/>
      <c r="SCC33" s="206"/>
      <c r="SCD33" s="206"/>
      <c r="SCE33" s="206"/>
      <c r="SCF33" s="206"/>
      <c r="SCG33" s="206"/>
      <c r="SCH33" s="206"/>
      <c r="SCI33" s="206"/>
      <c r="SCJ33" s="206"/>
      <c r="SCK33" s="206"/>
      <c r="SCL33" s="206"/>
      <c r="SCM33" s="206"/>
      <c r="SCN33" s="206"/>
      <c r="SCO33" s="206"/>
      <c r="SCP33" s="206"/>
      <c r="SCQ33" s="206"/>
      <c r="SCR33" s="206"/>
      <c r="SCS33" s="206"/>
      <c r="SCT33" s="206"/>
      <c r="SCU33" s="206"/>
      <c r="SCV33" s="206"/>
      <c r="SCW33" s="206"/>
      <c r="SCX33" s="206"/>
      <c r="SCY33" s="206"/>
      <c r="SCZ33" s="206"/>
      <c r="SDA33" s="206"/>
      <c r="SDB33" s="206"/>
      <c r="SDC33" s="206"/>
      <c r="SDD33" s="206"/>
      <c r="SDE33" s="206"/>
      <c r="SDF33" s="206"/>
      <c r="SDG33" s="206"/>
      <c r="SDH33" s="206"/>
      <c r="SDI33" s="206"/>
      <c r="SDJ33" s="206"/>
      <c r="SDK33" s="206"/>
      <c r="SDL33" s="206"/>
      <c r="SDM33" s="206"/>
      <c r="SDN33" s="206"/>
      <c r="SDO33" s="206"/>
      <c r="SDP33" s="206"/>
      <c r="SDQ33" s="206"/>
      <c r="SDR33" s="206"/>
      <c r="SDS33" s="206"/>
      <c r="SDT33" s="206"/>
      <c r="SDU33" s="206"/>
      <c r="SDV33" s="206"/>
      <c r="SDW33" s="206"/>
      <c r="SDX33" s="206"/>
      <c r="SDY33" s="206"/>
      <c r="SDZ33" s="206"/>
      <c r="SEA33" s="206"/>
      <c r="SEB33" s="206"/>
      <c r="SEC33" s="206"/>
      <c r="SED33" s="206"/>
      <c r="SEE33" s="206"/>
      <c r="SEF33" s="206"/>
      <c r="SEG33" s="206"/>
      <c r="SEH33" s="206"/>
      <c r="SEI33" s="206"/>
      <c r="SEJ33" s="206"/>
      <c r="SEK33" s="206"/>
      <c r="SEL33" s="206"/>
      <c r="SEM33" s="206"/>
      <c r="SEN33" s="206"/>
      <c r="SEO33" s="206"/>
      <c r="SEP33" s="206"/>
      <c r="SEQ33" s="206"/>
      <c r="SER33" s="206"/>
      <c r="SES33" s="206"/>
      <c r="SET33" s="206"/>
      <c r="SEU33" s="206"/>
      <c r="SEV33" s="206"/>
      <c r="SEW33" s="206"/>
      <c r="SEX33" s="206"/>
      <c r="SEY33" s="206"/>
      <c r="SEZ33" s="206"/>
      <c r="SFA33" s="206"/>
      <c r="SFB33" s="206"/>
      <c r="SFC33" s="206"/>
      <c r="SFD33" s="206"/>
      <c r="SFE33" s="206"/>
      <c r="SFF33" s="206"/>
      <c r="SFG33" s="206"/>
      <c r="SFH33" s="206"/>
      <c r="SFI33" s="206"/>
      <c r="SFJ33" s="206"/>
      <c r="SFK33" s="206"/>
      <c r="SFL33" s="206"/>
      <c r="SFM33" s="206"/>
      <c r="SFN33" s="206"/>
      <c r="SFO33" s="206"/>
      <c r="SFP33" s="206"/>
      <c r="SFQ33" s="206"/>
      <c r="SFR33" s="206"/>
      <c r="SFS33" s="206"/>
      <c r="SFT33" s="206"/>
      <c r="SFU33" s="206"/>
      <c r="SFV33" s="206"/>
      <c r="SFW33" s="206"/>
      <c r="SFX33" s="206"/>
      <c r="SFY33" s="206"/>
      <c r="SFZ33" s="206"/>
      <c r="SGA33" s="206"/>
      <c r="SGB33" s="206"/>
      <c r="SGC33" s="206"/>
      <c r="SGD33" s="206"/>
      <c r="SGE33" s="206"/>
      <c r="SGF33" s="206"/>
      <c r="SGG33" s="206"/>
      <c r="SGH33" s="206"/>
      <c r="SGI33" s="206"/>
      <c r="SGJ33" s="206"/>
      <c r="SGK33" s="206"/>
      <c r="SGL33" s="206"/>
      <c r="SGM33" s="206"/>
      <c r="SGN33" s="206"/>
      <c r="SGO33" s="206"/>
      <c r="SGP33" s="206"/>
      <c r="SGQ33" s="206"/>
      <c r="SGR33" s="206"/>
      <c r="SGS33" s="206"/>
      <c r="SGT33" s="206"/>
      <c r="SGU33" s="206"/>
      <c r="SGV33" s="206"/>
      <c r="SGW33" s="206"/>
      <c r="SGX33" s="206"/>
      <c r="SGY33" s="206"/>
      <c r="SGZ33" s="206"/>
      <c r="SHA33" s="206"/>
      <c r="SHB33" s="206"/>
      <c r="SHC33" s="206"/>
      <c r="SHD33" s="206"/>
      <c r="SHE33" s="206"/>
      <c r="SHF33" s="206"/>
      <c r="SHG33" s="206"/>
      <c r="SHH33" s="206"/>
      <c r="SHI33" s="206"/>
      <c r="SHJ33" s="206"/>
      <c r="SHK33" s="206"/>
      <c r="SHL33" s="206"/>
      <c r="SHM33" s="206"/>
      <c r="SHN33" s="206"/>
      <c r="SHO33" s="206"/>
      <c r="SHP33" s="206"/>
      <c r="SHQ33" s="206"/>
      <c r="SHR33" s="206"/>
      <c r="SHS33" s="206"/>
      <c r="SHT33" s="206"/>
      <c r="SHU33" s="206"/>
      <c r="SHV33" s="206"/>
      <c r="SHW33" s="206"/>
      <c r="SHX33" s="206"/>
      <c r="SHY33" s="206"/>
      <c r="SHZ33" s="206"/>
      <c r="SIA33" s="206"/>
      <c r="SIB33" s="206"/>
      <c r="SIC33" s="206"/>
      <c r="SID33" s="206"/>
      <c r="SIE33" s="206"/>
      <c r="SIF33" s="206"/>
      <c r="SIG33" s="206"/>
      <c r="SIH33" s="206"/>
      <c r="SII33" s="206"/>
      <c r="SIJ33" s="206"/>
      <c r="SIK33" s="206"/>
      <c r="SIL33" s="206"/>
      <c r="SIM33" s="206"/>
      <c r="SIN33" s="206"/>
      <c r="SIO33" s="206"/>
      <c r="SIP33" s="206"/>
      <c r="SIQ33" s="206"/>
      <c r="SIR33" s="206"/>
      <c r="SIS33" s="206"/>
      <c r="SIT33" s="206"/>
      <c r="SIU33" s="206"/>
      <c r="SIV33" s="206"/>
      <c r="SIW33" s="206"/>
      <c r="SIX33" s="206"/>
      <c r="SIY33" s="206"/>
      <c r="SIZ33" s="206"/>
      <c r="SJA33" s="206"/>
      <c r="SJB33" s="206"/>
      <c r="SJC33" s="206"/>
      <c r="SJD33" s="206"/>
      <c r="SJE33" s="206"/>
      <c r="SJF33" s="206"/>
      <c r="SJG33" s="206"/>
      <c r="SJH33" s="206"/>
      <c r="SJI33" s="206"/>
      <c r="SJJ33" s="206"/>
      <c r="SJK33" s="206"/>
      <c r="SJL33" s="206"/>
      <c r="SJM33" s="206"/>
      <c r="SJN33" s="206"/>
      <c r="SJO33" s="206"/>
      <c r="SJP33" s="206"/>
      <c r="SJQ33" s="206"/>
      <c r="SJR33" s="206"/>
      <c r="SJS33" s="206"/>
      <c r="SJT33" s="206"/>
      <c r="SJU33" s="206"/>
      <c r="SJV33" s="206"/>
      <c r="SJW33" s="206"/>
      <c r="SJX33" s="206"/>
      <c r="SJY33" s="206"/>
      <c r="SJZ33" s="206"/>
      <c r="SKA33" s="206"/>
      <c r="SKB33" s="206"/>
      <c r="SKC33" s="206"/>
      <c r="SKD33" s="206"/>
      <c r="SKE33" s="206"/>
      <c r="SKF33" s="206"/>
      <c r="SKG33" s="206"/>
      <c r="SKH33" s="206"/>
      <c r="SKI33" s="206"/>
      <c r="SKJ33" s="206"/>
      <c r="SKK33" s="206"/>
      <c r="SKL33" s="206"/>
      <c r="SKM33" s="206"/>
      <c r="SKN33" s="206"/>
      <c r="SKO33" s="206"/>
      <c r="SKP33" s="206"/>
      <c r="SKQ33" s="206"/>
      <c r="SKR33" s="206"/>
      <c r="SKS33" s="206"/>
      <c r="SKT33" s="206"/>
      <c r="SKU33" s="206"/>
      <c r="SKV33" s="206"/>
      <c r="SKW33" s="206"/>
      <c r="SKX33" s="206"/>
      <c r="SKY33" s="206"/>
      <c r="SKZ33" s="206"/>
      <c r="SLA33" s="206"/>
      <c r="SLB33" s="206"/>
      <c r="SLC33" s="206"/>
      <c r="SLD33" s="206"/>
      <c r="SLE33" s="206"/>
      <c r="SLF33" s="206"/>
      <c r="SLG33" s="206"/>
      <c r="SLH33" s="206"/>
      <c r="SLI33" s="206"/>
      <c r="SLJ33" s="206"/>
      <c r="SLK33" s="206"/>
      <c r="SLL33" s="206"/>
      <c r="SLM33" s="206"/>
      <c r="SLN33" s="206"/>
      <c r="SLO33" s="206"/>
      <c r="SLP33" s="206"/>
      <c r="SLQ33" s="206"/>
      <c r="SLR33" s="206"/>
      <c r="SLS33" s="206"/>
      <c r="SLT33" s="206"/>
      <c r="SLU33" s="206"/>
      <c r="SLV33" s="206"/>
      <c r="SLW33" s="206"/>
      <c r="SLX33" s="206"/>
      <c r="SLY33" s="206"/>
      <c r="SLZ33" s="206"/>
      <c r="SMA33" s="206"/>
      <c r="SMB33" s="206"/>
      <c r="SMC33" s="206"/>
      <c r="SMD33" s="206"/>
      <c r="SME33" s="206"/>
      <c r="SMF33" s="206"/>
      <c r="SMG33" s="206"/>
      <c r="SMH33" s="206"/>
      <c r="SMI33" s="206"/>
      <c r="SMJ33" s="206"/>
      <c r="SMK33" s="206"/>
      <c r="SML33" s="206"/>
      <c r="SMM33" s="206"/>
      <c r="SMN33" s="206"/>
      <c r="SMO33" s="206"/>
      <c r="SMP33" s="206"/>
      <c r="SMQ33" s="206"/>
      <c r="SMR33" s="206"/>
      <c r="SMS33" s="206"/>
      <c r="SMT33" s="206"/>
      <c r="SMU33" s="206"/>
      <c r="SMV33" s="206"/>
      <c r="SMW33" s="206"/>
      <c r="SMX33" s="206"/>
      <c r="SMY33" s="206"/>
      <c r="SMZ33" s="206"/>
      <c r="SNA33" s="206"/>
      <c r="SNB33" s="206"/>
      <c r="SNC33" s="206"/>
      <c r="SND33" s="206"/>
      <c r="SNE33" s="206"/>
      <c r="SNF33" s="206"/>
      <c r="SNG33" s="206"/>
      <c r="SNH33" s="206"/>
      <c r="SNI33" s="206"/>
      <c r="SNJ33" s="206"/>
      <c r="SNK33" s="206"/>
      <c r="SNL33" s="206"/>
      <c r="SNM33" s="206"/>
      <c r="SNN33" s="206"/>
      <c r="SNO33" s="206"/>
      <c r="SNP33" s="206"/>
      <c r="SNQ33" s="206"/>
      <c r="SNR33" s="206"/>
      <c r="SNS33" s="206"/>
      <c r="SNT33" s="206"/>
      <c r="SNU33" s="206"/>
      <c r="SNV33" s="206"/>
      <c r="SNW33" s="206"/>
      <c r="SNX33" s="206"/>
      <c r="SNY33" s="206"/>
      <c r="SNZ33" s="206"/>
      <c r="SOA33" s="206"/>
      <c r="SOB33" s="206"/>
      <c r="SOC33" s="206"/>
      <c r="SOD33" s="206"/>
      <c r="SOE33" s="206"/>
      <c r="SOF33" s="206"/>
      <c r="SOG33" s="206"/>
      <c r="SOH33" s="206"/>
      <c r="SOI33" s="206"/>
      <c r="SOJ33" s="206"/>
      <c r="SOK33" s="206"/>
      <c r="SOL33" s="206"/>
      <c r="SOM33" s="206"/>
      <c r="SON33" s="206"/>
      <c r="SOO33" s="206"/>
      <c r="SOP33" s="206"/>
      <c r="SOQ33" s="206"/>
      <c r="SOR33" s="206"/>
      <c r="SOS33" s="206"/>
      <c r="SOT33" s="206"/>
      <c r="SOU33" s="206"/>
      <c r="SOV33" s="206"/>
      <c r="SOW33" s="206"/>
      <c r="SOX33" s="206"/>
      <c r="SOY33" s="206"/>
      <c r="SOZ33" s="206"/>
      <c r="SPA33" s="206"/>
      <c r="SPB33" s="206"/>
      <c r="SPC33" s="206"/>
      <c r="SPD33" s="206"/>
      <c r="SPE33" s="206"/>
      <c r="SPF33" s="206"/>
      <c r="SPG33" s="206"/>
      <c r="SPH33" s="206"/>
      <c r="SPI33" s="206"/>
      <c r="SPJ33" s="206"/>
      <c r="SPK33" s="206"/>
      <c r="SPL33" s="206"/>
      <c r="SPM33" s="206"/>
      <c r="SPN33" s="206"/>
      <c r="SPO33" s="206"/>
      <c r="SPP33" s="206"/>
      <c r="SPQ33" s="206"/>
      <c r="SPR33" s="206"/>
      <c r="SPS33" s="206"/>
      <c r="SPT33" s="206"/>
      <c r="SPU33" s="206"/>
      <c r="SPV33" s="206"/>
      <c r="SPW33" s="206"/>
      <c r="SPX33" s="206"/>
      <c r="SPY33" s="206"/>
      <c r="SPZ33" s="206"/>
      <c r="SQA33" s="206"/>
      <c r="SQB33" s="206"/>
      <c r="SQC33" s="206"/>
      <c r="SQD33" s="206"/>
      <c r="SQE33" s="206"/>
      <c r="SQF33" s="206"/>
      <c r="SQG33" s="206"/>
      <c r="SQH33" s="206"/>
      <c r="SQI33" s="206"/>
      <c r="SQJ33" s="206"/>
      <c r="SQK33" s="206"/>
      <c r="SQL33" s="206"/>
      <c r="SQM33" s="206"/>
      <c r="SQN33" s="206"/>
      <c r="SQO33" s="206"/>
      <c r="SQP33" s="206"/>
      <c r="SQQ33" s="206"/>
      <c r="SQR33" s="206"/>
      <c r="SQS33" s="206"/>
      <c r="SQT33" s="206"/>
      <c r="SQU33" s="206"/>
      <c r="SQV33" s="206"/>
      <c r="SQW33" s="206"/>
      <c r="SQX33" s="206"/>
      <c r="SQY33" s="206"/>
      <c r="SQZ33" s="206"/>
      <c r="SRA33" s="206"/>
      <c r="SRB33" s="206"/>
      <c r="SRC33" s="206"/>
      <c r="SRD33" s="206"/>
      <c r="SRE33" s="206"/>
      <c r="SRF33" s="206"/>
      <c r="SRG33" s="206"/>
      <c r="SRH33" s="206"/>
      <c r="SRI33" s="206"/>
      <c r="SRJ33" s="206"/>
      <c r="SRK33" s="206"/>
      <c r="SRL33" s="206"/>
      <c r="SRM33" s="206"/>
      <c r="SRN33" s="206"/>
      <c r="SRO33" s="206"/>
      <c r="SRP33" s="206"/>
      <c r="SRQ33" s="206"/>
      <c r="SRR33" s="206"/>
      <c r="SRS33" s="206"/>
      <c r="SRT33" s="206"/>
      <c r="SRU33" s="206"/>
      <c r="SRV33" s="206"/>
      <c r="SRW33" s="206"/>
      <c r="SRX33" s="206"/>
      <c r="SRY33" s="206"/>
      <c r="SRZ33" s="206"/>
      <c r="SSA33" s="206"/>
      <c r="SSB33" s="206"/>
      <c r="SSC33" s="206"/>
      <c r="SSD33" s="206"/>
      <c r="SSE33" s="206"/>
      <c r="SSF33" s="206"/>
      <c r="SSG33" s="206"/>
      <c r="SSH33" s="206"/>
      <c r="SSI33" s="206"/>
      <c r="SSJ33" s="206"/>
      <c r="SSK33" s="206"/>
      <c r="SSL33" s="206"/>
      <c r="SSM33" s="206"/>
      <c r="SSN33" s="206"/>
      <c r="SSO33" s="206"/>
      <c r="SSP33" s="206"/>
      <c r="SSQ33" s="206"/>
      <c r="SSR33" s="206"/>
      <c r="SSS33" s="206"/>
      <c r="SST33" s="206"/>
      <c r="SSU33" s="206"/>
      <c r="SSV33" s="206"/>
      <c r="SSW33" s="206"/>
      <c r="SSX33" s="206"/>
      <c r="SSY33" s="206"/>
      <c r="SSZ33" s="206"/>
      <c r="STA33" s="206"/>
      <c r="STB33" s="206"/>
      <c r="STC33" s="206"/>
      <c r="STD33" s="206"/>
      <c r="STE33" s="206"/>
      <c r="STF33" s="206"/>
      <c r="STG33" s="206"/>
      <c r="STH33" s="206"/>
      <c r="STI33" s="206"/>
      <c r="STJ33" s="206"/>
      <c r="STK33" s="206"/>
      <c r="STL33" s="206"/>
      <c r="STM33" s="206"/>
      <c r="STN33" s="206"/>
      <c r="STO33" s="206"/>
      <c r="STP33" s="206"/>
      <c r="STQ33" s="206"/>
      <c r="STR33" s="206"/>
      <c r="STS33" s="206"/>
      <c r="STT33" s="206"/>
      <c r="STU33" s="206"/>
      <c r="STV33" s="206"/>
      <c r="STW33" s="206"/>
      <c r="STX33" s="206"/>
      <c r="STY33" s="206"/>
      <c r="STZ33" s="206"/>
      <c r="SUA33" s="206"/>
      <c r="SUB33" s="206"/>
      <c r="SUC33" s="206"/>
      <c r="SUD33" s="206"/>
      <c r="SUE33" s="206"/>
      <c r="SUF33" s="206"/>
      <c r="SUG33" s="206"/>
      <c r="SUH33" s="206"/>
      <c r="SUI33" s="206"/>
      <c r="SUJ33" s="206"/>
      <c r="SUK33" s="206"/>
      <c r="SUL33" s="206"/>
      <c r="SUM33" s="206"/>
      <c r="SUN33" s="206"/>
      <c r="SUO33" s="206"/>
      <c r="SUP33" s="206"/>
      <c r="SUQ33" s="206"/>
      <c r="SUR33" s="206"/>
      <c r="SUS33" s="206"/>
      <c r="SUT33" s="206"/>
      <c r="SUU33" s="206"/>
      <c r="SUV33" s="206"/>
      <c r="SUW33" s="206"/>
      <c r="SUX33" s="206"/>
      <c r="SUY33" s="206"/>
      <c r="SUZ33" s="206"/>
      <c r="SVA33" s="206"/>
      <c r="SVB33" s="206"/>
      <c r="SVC33" s="206"/>
      <c r="SVD33" s="206"/>
      <c r="SVE33" s="206"/>
      <c r="SVF33" s="206"/>
      <c r="SVG33" s="206"/>
      <c r="SVH33" s="206"/>
      <c r="SVI33" s="206"/>
      <c r="SVJ33" s="206"/>
      <c r="SVK33" s="206"/>
      <c r="SVL33" s="206"/>
      <c r="SVM33" s="206"/>
      <c r="SVN33" s="206"/>
      <c r="SVO33" s="206"/>
      <c r="SVP33" s="206"/>
      <c r="SVQ33" s="206"/>
      <c r="SVR33" s="206"/>
      <c r="SVS33" s="206"/>
      <c r="SVT33" s="206"/>
      <c r="SVU33" s="206"/>
      <c r="SVV33" s="206"/>
      <c r="SVW33" s="206"/>
      <c r="SVX33" s="206"/>
      <c r="SVY33" s="206"/>
      <c r="SVZ33" s="206"/>
      <c r="SWA33" s="206"/>
      <c r="SWB33" s="206"/>
      <c r="SWC33" s="206"/>
      <c r="SWD33" s="206"/>
      <c r="SWE33" s="206"/>
      <c r="SWF33" s="206"/>
      <c r="SWG33" s="206"/>
      <c r="SWH33" s="206"/>
      <c r="SWI33" s="206"/>
      <c r="SWJ33" s="206"/>
      <c r="SWK33" s="206"/>
      <c r="SWL33" s="206"/>
      <c r="SWM33" s="206"/>
      <c r="SWN33" s="206"/>
      <c r="SWO33" s="206"/>
      <c r="SWP33" s="206"/>
      <c r="SWQ33" s="206"/>
      <c r="SWR33" s="206"/>
      <c r="SWS33" s="206"/>
      <c r="SWT33" s="206"/>
      <c r="SWU33" s="206"/>
      <c r="SWV33" s="206"/>
      <c r="SWW33" s="206"/>
      <c r="SWX33" s="206"/>
      <c r="SWY33" s="206"/>
      <c r="SWZ33" s="206"/>
      <c r="SXA33" s="206"/>
      <c r="SXB33" s="206"/>
      <c r="SXC33" s="206"/>
      <c r="SXD33" s="206"/>
      <c r="SXE33" s="206"/>
      <c r="SXF33" s="206"/>
      <c r="SXG33" s="206"/>
      <c r="SXH33" s="206"/>
      <c r="SXI33" s="206"/>
      <c r="SXJ33" s="206"/>
      <c r="SXK33" s="206"/>
      <c r="SXL33" s="206"/>
      <c r="SXM33" s="206"/>
      <c r="SXN33" s="206"/>
      <c r="SXO33" s="206"/>
      <c r="SXP33" s="206"/>
      <c r="SXQ33" s="206"/>
      <c r="SXR33" s="206"/>
      <c r="SXS33" s="206"/>
      <c r="SXT33" s="206"/>
      <c r="SXU33" s="206"/>
      <c r="SXV33" s="206"/>
      <c r="SXW33" s="206"/>
      <c r="SXX33" s="206"/>
      <c r="SXY33" s="206"/>
      <c r="SXZ33" s="206"/>
      <c r="SYA33" s="206"/>
      <c r="SYB33" s="206"/>
      <c r="SYC33" s="206"/>
      <c r="SYD33" s="206"/>
      <c r="SYE33" s="206"/>
      <c r="SYF33" s="206"/>
      <c r="SYG33" s="206"/>
      <c r="SYH33" s="206"/>
      <c r="SYI33" s="206"/>
      <c r="SYJ33" s="206"/>
      <c r="SYK33" s="206"/>
      <c r="SYL33" s="206"/>
      <c r="SYM33" s="206"/>
      <c r="SYN33" s="206"/>
      <c r="SYO33" s="206"/>
      <c r="SYP33" s="206"/>
      <c r="SYQ33" s="206"/>
      <c r="SYR33" s="206"/>
      <c r="SYS33" s="206"/>
      <c r="SYT33" s="206"/>
      <c r="SYU33" s="206"/>
      <c r="SYV33" s="206"/>
      <c r="SYW33" s="206"/>
      <c r="SYX33" s="206"/>
      <c r="SYY33" s="206"/>
      <c r="SYZ33" s="206"/>
      <c r="SZA33" s="206"/>
      <c r="SZB33" s="206"/>
      <c r="SZC33" s="206"/>
      <c r="SZD33" s="206"/>
      <c r="SZE33" s="206"/>
      <c r="SZF33" s="206"/>
      <c r="SZG33" s="206"/>
      <c r="SZH33" s="206"/>
      <c r="SZI33" s="206"/>
      <c r="SZJ33" s="206"/>
      <c r="SZK33" s="206"/>
      <c r="SZL33" s="206"/>
      <c r="SZM33" s="206"/>
      <c r="SZN33" s="206"/>
      <c r="SZO33" s="206"/>
      <c r="SZP33" s="206"/>
      <c r="SZQ33" s="206"/>
      <c r="SZR33" s="206"/>
      <c r="SZS33" s="206"/>
      <c r="SZT33" s="206"/>
      <c r="SZU33" s="206"/>
      <c r="SZV33" s="206"/>
      <c r="SZW33" s="206"/>
      <c r="SZX33" s="206"/>
      <c r="SZY33" s="206"/>
      <c r="SZZ33" s="206"/>
      <c r="TAA33" s="206"/>
      <c r="TAB33" s="206"/>
      <c r="TAC33" s="206"/>
      <c r="TAD33" s="206"/>
      <c r="TAE33" s="206"/>
      <c r="TAF33" s="206"/>
      <c r="TAG33" s="206"/>
      <c r="TAH33" s="206"/>
      <c r="TAI33" s="206"/>
      <c r="TAJ33" s="206"/>
      <c r="TAK33" s="206"/>
      <c r="TAL33" s="206"/>
      <c r="TAM33" s="206"/>
      <c r="TAN33" s="206"/>
      <c r="TAO33" s="206"/>
      <c r="TAP33" s="206"/>
      <c r="TAQ33" s="206"/>
      <c r="TAR33" s="206"/>
      <c r="TAS33" s="206"/>
      <c r="TAT33" s="206"/>
      <c r="TAU33" s="206"/>
      <c r="TAV33" s="206"/>
      <c r="TAW33" s="206"/>
      <c r="TAX33" s="206"/>
      <c r="TAY33" s="206"/>
      <c r="TAZ33" s="206"/>
      <c r="TBA33" s="206"/>
      <c r="TBB33" s="206"/>
      <c r="TBC33" s="206"/>
      <c r="TBD33" s="206"/>
      <c r="TBE33" s="206"/>
      <c r="TBF33" s="206"/>
      <c r="TBG33" s="206"/>
      <c r="TBH33" s="206"/>
      <c r="TBI33" s="206"/>
      <c r="TBJ33" s="206"/>
      <c r="TBK33" s="206"/>
      <c r="TBL33" s="206"/>
      <c r="TBM33" s="206"/>
      <c r="TBN33" s="206"/>
      <c r="TBO33" s="206"/>
      <c r="TBP33" s="206"/>
      <c r="TBQ33" s="206"/>
      <c r="TBR33" s="206"/>
      <c r="TBS33" s="206"/>
      <c r="TBT33" s="206"/>
      <c r="TBU33" s="206"/>
      <c r="TBV33" s="206"/>
      <c r="TBW33" s="206"/>
      <c r="TBX33" s="206"/>
      <c r="TBY33" s="206"/>
      <c r="TBZ33" s="206"/>
      <c r="TCA33" s="206"/>
      <c r="TCB33" s="206"/>
      <c r="TCC33" s="206"/>
      <c r="TCD33" s="206"/>
      <c r="TCE33" s="206"/>
      <c r="TCF33" s="206"/>
      <c r="TCG33" s="206"/>
      <c r="TCH33" s="206"/>
      <c r="TCI33" s="206"/>
      <c r="TCJ33" s="206"/>
      <c r="TCK33" s="206"/>
      <c r="TCL33" s="206"/>
      <c r="TCM33" s="206"/>
      <c r="TCN33" s="206"/>
      <c r="TCO33" s="206"/>
      <c r="TCP33" s="206"/>
      <c r="TCQ33" s="206"/>
      <c r="TCR33" s="206"/>
      <c r="TCS33" s="206"/>
      <c r="TCT33" s="206"/>
      <c r="TCU33" s="206"/>
      <c r="TCV33" s="206"/>
      <c r="TCW33" s="206"/>
      <c r="TCX33" s="206"/>
      <c r="TCY33" s="206"/>
      <c r="TCZ33" s="206"/>
      <c r="TDA33" s="206"/>
      <c r="TDB33" s="206"/>
      <c r="TDC33" s="206"/>
      <c r="TDD33" s="206"/>
      <c r="TDE33" s="206"/>
      <c r="TDF33" s="206"/>
      <c r="TDG33" s="206"/>
      <c r="TDH33" s="206"/>
      <c r="TDI33" s="206"/>
      <c r="TDJ33" s="206"/>
      <c r="TDK33" s="206"/>
      <c r="TDL33" s="206"/>
      <c r="TDM33" s="206"/>
      <c r="TDN33" s="206"/>
      <c r="TDO33" s="206"/>
      <c r="TDP33" s="206"/>
      <c r="TDQ33" s="206"/>
      <c r="TDR33" s="206"/>
      <c r="TDS33" s="206"/>
      <c r="TDT33" s="206"/>
      <c r="TDU33" s="206"/>
      <c r="TDV33" s="206"/>
      <c r="TDW33" s="206"/>
      <c r="TDX33" s="206"/>
      <c r="TDY33" s="206"/>
      <c r="TDZ33" s="206"/>
      <c r="TEA33" s="206"/>
      <c r="TEB33" s="206"/>
      <c r="TEC33" s="206"/>
      <c r="TED33" s="206"/>
      <c r="TEE33" s="206"/>
      <c r="TEF33" s="206"/>
      <c r="TEG33" s="206"/>
      <c r="TEH33" s="206"/>
      <c r="TEI33" s="206"/>
      <c r="TEJ33" s="206"/>
      <c r="TEK33" s="206"/>
      <c r="TEL33" s="206"/>
      <c r="TEM33" s="206"/>
      <c r="TEN33" s="206"/>
      <c r="TEO33" s="206"/>
      <c r="TEP33" s="206"/>
      <c r="TEQ33" s="206"/>
      <c r="TER33" s="206"/>
      <c r="TES33" s="206"/>
      <c r="TET33" s="206"/>
      <c r="TEU33" s="206"/>
      <c r="TEV33" s="206"/>
      <c r="TEW33" s="206"/>
      <c r="TEX33" s="206"/>
      <c r="TEY33" s="206"/>
      <c r="TEZ33" s="206"/>
      <c r="TFA33" s="206"/>
      <c r="TFB33" s="206"/>
      <c r="TFC33" s="206"/>
      <c r="TFD33" s="206"/>
      <c r="TFE33" s="206"/>
      <c r="TFF33" s="206"/>
      <c r="TFG33" s="206"/>
      <c r="TFH33" s="206"/>
      <c r="TFI33" s="206"/>
      <c r="TFJ33" s="206"/>
      <c r="TFK33" s="206"/>
      <c r="TFL33" s="206"/>
      <c r="TFM33" s="206"/>
      <c r="TFN33" s="206"/>
      <c r="TFO33" s="206"/>
      <c r="TFP33" s="206"/>
      <c r="TFQ33" s="206"/>
      <c r="TFR33" s="206"/>
      <c r="TFS33" s="206"/>
      <c r="TFT33" s="206"/>
      <c r="TFU33" s="206"/>
      <c r="TFV33" s="206"/>
      <c r="TFW33" s="206"/>
      <c r="TFX33" s="206"/>
      <c r="TFY33" s="206"/>
      <c r="TFZ33" s="206"/>
      <c r="TGA33" s="206"/>
      <c r="TGB33" s="206"/>
      <c r="TGC33" s="206"/>
      <c r="TGD33" s="206"/>
      <c r="TGE33" s="206"/>
      <c r="TGF33" s="206"/>
      <c r="TGG33" s="206"/>
      <c r="TGH33" s="206"/>
      <c r="TGI33" s="206"/>
      <c r="TGJ33" s="206"/>
      <c r="TGK33" s="206"/>
      <c r="TGL33" s="206"/>
      <c r="TGM33" s="206"/>
      <c r="TGN33" s="206"/>
      <c r="TGO33" s="206"/>
      <c r="TGP33" s="206"/>
      <c r="TGQ33" s="206"/>
      <c r="TGR33" s="206"/>
      <c r="TGS33" s="206"/>
      <c r="TGT33" s="206"/>
      <c r="TGU33" s="206"/>
      <c r="TGV33" s="206"/>
      <c r="TGW33" s="206"/>
      <c r="TGX33" s="206"/>
      <c r="TGY33" s="206"/>
      <c r="TGZ33" s="206"/>
      <c r="THA33" s="206"/>
      <c r="THB33" s="206"/>
      <c r="THC33" s="206"/>
      <c r="THD33" s="206"/>
      <c r="THE33" s="206"/>
      <c r="THF33" s="206"/>
      <c r="THG33" s="206"/>
      <c r="THH33" s="206"/>
      <c r="THI33" s="206"/>
      <c r="THJ33" s="206"/>
      <c r="THK33" s="206"/>
      <c r="THL33" s="206"/>
      <c r="THM33" s="206"/>
      <c r="THN33" s="206"/>
      <c r="THO33" s="206"/>
      <c r="THP33" s="206"/>
      <c r="THQ33" s="206"/>
      <c r="THR33" s="206"/>
      <c r="THS33" s="206"/>
      <c r="THT33" s="206"/>
      <c r="THU33" s="206"/>
      <c r="THV33" s="206"/>
      <c r="THW33" s="206"/>
      <c r="THX33" s="206"/>
      <c r="THY33" s="206"/>
      <c r="THZ33" s="206"/>
      <c r="TIA33" s="206"/>
      <c r="TIB33" s="206"/>
      <c r="TIC33" s="206"/>
      <c r="TID33" s="206"/>
      <c r="TIE33" s="206"/>
      <c r="TIF33" s="206"/>
      <c r="TIG33" s="206"/>
      <c r="TIH33" s="206"/>
      <c r="TII33" s="206"/>
      <c r="TIJ33" s="206"/>
      <c r="TIK33" s="206"/>
      <c r="TIL33" s="206"/>
      <c r="TIM33" s="206"/>
      <c r="TIN33" s="206"/>
      <c r="TIO33" s="206"/>
      <c r="TIP33" s="206"/>
      <c r="TIQ33" s="206"/>
      <c r="TIR33" s="206"/>
      <c r="TIS33" s="206"/>
      <c r="TIT33" s="206"/>
      <c r="TIU33" s="206"/>
      <c r="TIV33" s="206"/>
      <c r="TIW33" s="206"/>
      <c r="TIX33" s="206"/>
      <c r="TIY33" s="206"/>
      <c r="TIZ33" s="206"/>
      <c r="TJA33" s="206"/>
      <c r="TJB33" s="206"/>
      <c r="TJC33" s="206"/>
      <c r="TJD33" s="206"/>
      <c r="TJE33" s="206"/>
      <c r="TJF33" s="206"/>
      <c r="TJG33" s="206"/>
      <c r="TJH33" s="206"/>
      <c r="TJI33" s="206"/>
      <c r="TJJ33" s="206"/>
      <c r="TJK33" s="206"/>
      <c r="TJL33" s="206"/>
      <c r="TJM33" s="206"/>
      <c r="TJN33" s="206"/>
      <c r="TJO33" s="206"/>
      <c r="TJP33" s="206"/>
      <c r="TJQ33" s="206"/>
      <c r="TJR33" s="206"/>
      <c r="TJS33" s="206"/>
      <c r="TJT33" s="206"/>
      <c r="TJU33" s="206"/>
      <c r="TJV33" s="206"/>
      <c r="TJW33" s="206"/>
      <c r="TJX33" s="206"/>
      <c r="TJY33" s="206"/>
      <c r="TJZ33" s="206"/>
      <c r="TKA33" s="206"/>
      <c r="TKB33" s="206"/>
      <c r="TKC33" s="206"/>
      <c r="TKD33" s="206"/>
      <c r="TKE33" s="206"/>
      <c r="TKF33" s="206"/>
      <c r="TKG33" s="206"/>
      <c r="TKH33" s="206"/>
      <c r="TKI33" s="206"/>
      <c r="TKJ33" s="206"/>
      <c r="TKK33" s="206"/>
      <c r="TKL33" s="206"/>
      <c r="TKM33" s="206"/>
      <c r="TKN33" s="206"/>
      <c r="TKO33" s="206"/>
      <c r="TKP33" s="206"/>
      <c r="TKQ33" s="206"/>
      <c r="TKR33" s="206"/>
      <c r="TKS33" s="206"/>
      <c r="TKT33" s="206"/>
      <c r="TKU33" s="206"/>
      <c r="TKV33" s="206"/>
      <c r="TKW33" s="206"/>
      <c r="TKX33" s="206"/>
      <c r="TKY33" s="206"/>
      <c r="TKZ33" s="206"/>
      <c r="TLA33" s="206"/>
      <c r="TLB33" s="206"/>
      <c r="TLC33" s="206"/>
      <c r="TLD33" s="206"/>
      <c r="TLE33" s="206"/>
      <c r="TLF33" s="206"/>
      <c r="TLG33" s="206"/>
      <c r="TLH33" s="206"/>
      <c r="TLI33" s="206"/>
      <c r="TLJ33" s="206"/>
      <c r="TLK33" s="206"/>
      <c r="TLL33" s="206"/>
      <c r="TLM33" s="206"/>
      <c r="TLN33" s="206"/>
      <c r="TLO33" s="206"/>
      <c r="TLP33" s="206"/>
      <c r="TLQ33" s="206"/>
      <c r="TLR33" s="206"/>
      <c r="TLS33" s="206"/>
      <c r="TLT33" s="206"/>
      <c r="TLU33" s="206"/>
      <c r="TLV33" s="206"/>
      <c r="TLW33" s="206"/>
      <c r="TLX33" s="206"/>
      <c r="TLY33" s="206"/>
      <c r="TLZ33" s="206"/>
      <c r="TMA33" s="206"/>
      <c r="TMB33" s="206"/>
      <c r="TMC33" s="206"/>
      <c r="TMD33" s="206"/>
      <c r="TME33" s="206"/>
      <c r="TMF33" s="206"/>
      <c r="TMG33" s="206"/>
      <c r="TMH33" s="206"/>
      <c r="TMI33" s="206"/>
      <c r="TMJ33" s="206"/>
      <c r="TMK33" s="206"/>
      <c r="TML33" s="206"/>
      <c r="TMM33" s="206"/>
      <c r="TMN33" s="206"/>
      <c r="TMO33" s="206"/>
      <c r="TMP33" s="206"/>
      <c r="TMQ33" s="206"/>
      <c r="TMR33" s="206"/>
      <c r="TMS33" s="206"/>
      <c r="TMT33" s="206"/>
      <c r="TMU33" s="206"/>
      <c r="TMV33" s="206"/>
      <c r="TMW33" s="206"/>
      <c r="TMX33" s="206"/>
      <c r="TMY33" s="206"/>
      <c r="TMZ33" s="206"/>
      <c r="TNA33" s="206"/>
      <c r="TNB33" s="206"/>
      <c r="TNC33" s="206"/>
      <c r="TND33" s="206"/>
      <c r="TNE33" s="206"/>
      <c r="TNF33" s="206"/>
      <c r="TNG33" s="206"/>
      <c r="TNH33" s="206"/>
      <c r="TNI33" s="206"/>
      <c r="TNJ33" s="206"/>
      <c r="TNK33" s="206"/>
      <c r="TNL33" s="206"/>
      <c r="TNM33" s="206"/>
      <c r="TNN33" s="206"/>
      <c r="TNO33" s="206"/>
      <c r="TNP33" s="206"/>
      <c r="TNQ33" s="206"/>
      <c r="TNR33" s="206"/>
      <c r="TNS33" s="206"/>
      <c r="TNT33" s="206"/>
      <c r="TNU33" s="206"/>
      <c r="TNV33" s="206"/>
      <c r="TNW33" s="206"/>
      <c r="TNX33" s="206"/>
      <c r="TNY33" s="206"/>
      <c r="TNZ33" s="206"/>
      <c r="TOA33" s="206"/>
      <c r="TOB33" s="206"/>
      <c r="TOC33" s="206"/>
      <c r="TOD33" s="206"/>
      <c r="TOE33" s="206"/>
      <c r="TOF33" s="206"/>
      <c r="TOG33" s="206"/>
      <c r="TOH33" s="206"/>
      <c r="TOI33" s="206"/>
      <c r="TOJ33" s="206"/>
      <c r="TOK33" s="206"/>
      <c r="TOL33" s="206"/>
      <c r="TOM33" s="206"/>
      <c r="TON33" s="206"/>
      <c r="TOO33" s="206"/>
      <c r="TOP33" s="206"/>
      <c r="TOQ33" s="206"/>
      <c r="TOR33" s="206"/>
      <c r="TOS33" s="206"/>
      <c r="TOT33" s="206"/>
      <c r="TOU33" s="206"/>
      <c r="TOV33" s="206"/>
      <c r="TOW33" s="206"/>
      <c r="TOX33" s="206"/>
      <c r="TOY33" s="206"/>
      <c r="TOZ33" s="206"/>
      <c r="TPA33" s="206"/>
      <c r="TPB33" s="206"/>
      <c r="TPC33" s="206"/>
      <c r="TPD33" s="206"/>
      <c r="TPE33" s="206"/>
      <c r="TPF33" s="206"/>
      <c r="TPG33" s="206"/>
      <c r="TPH33" s="206"/>
      <c r="TPI33" s="206"/>
      <c r="TPJ33" s="206"/>
      <c r="TPK33" s="206"/>
      <c r="TPL33" s="206"/>
      <c r="TPM33" s="206"/>
      <c r="TPN33" s="206"/>
      <c r="TPO33" s="206"/>
      <c r="TPP33" s="206"/>
      <c r="TPQ33" s="206"/>
      <c r="TPR33" s="206"/>
      <c r="TPS33" s="206"/>
      <c r="TPT33" s="206"/>
      <c r="TPU33" s="206"/>
      <c r="TPV33" s="206"/>
      <c r="TPW33" s="206"/>
      <c r="TPX33" s="206"/>
      <c r="TPY33" s="206"/>
      <c r="TPZ33" s="206"/>
      <c r="TQA33" s="206"/>
      <c r="TQB33" s="206"/>
      <c r="TQC33" s="206"/>
      <c r="TQD33" s="206"/>
      <c r="TQE33" s="206"/>
      <c r="TQF33" s="206"/>
      <c r="TQG33" s="206"/>
      <c r="TQH33" s="206"/>
      <c r="TQI33" s="206"/>
      <c r="TQJ33" s="206"/>
      <c r="TQK33" s="206"/>
      <c r="TQL33" s="206"/>
      <c r="TQM33" s="206"/>
      <c r="TQN33" s="206"/>
      <c r="TQO33" s="206"/>
      <c r="TQP33" s="206"/>
      <c r="TQQ33" s="206"/>
      <c r="TQR33" s="206"/>
      <c r="TQS33" s="206"/>
      <c r="TQT33" s="206"/>
      <c r="TQU33" s="206"/>
      <c r="TQV33" s="206"/>
      <c r="TQW33" s="206"/>
      <c r="TQX33" s="206"/>
      <c r="TQY33" s="206"/>
      <c r="TQZ33" s="206"/>
      <c r="TRA33" s="206"/>
      <c r="TRB33" s="206"/>
      <c r="TRC33" s="206"/>
      <c r="TRD33" s="206"/>
      <c r="TRE33" s="206"/>
      <c r="TRF33" s="206"/>
      <c r="TRG33" s="206"/>
      <c r="TRH33" s="206"/>
      <c r="TRI33" s="206"/>
      <c r="TRJ33" s="206"/>
      <c r="TRK33" s="206"/>
      <c r="TRL33" s="206"/>
      <c r="TRM33" s="206"/>
      <c r="TRN33" s="206"/>
      <c r="TRO33" s="206"/>
      <c r="TRP33" s="206"/>
      <c r="TRQ33" s="206"/>
      <c r="TRR33" s="206"/>
      <c r="TRS33" s="206"/>
      <c r="TRT33" s="206"/>
      <c r="TRU33" s="206"/>
      <c r="TRV33" s="206"/>
      <c r="TRW33" s="206"/>
      <c r="TRX33" s="206"/>
      <c r="TRY33" s="206"/>
      <c r="TRZ33" s="206"/>
      <c r="TSA33" s="206"/>
      <c r="TSB33" s="206"/>
      <c r="TSC33" s="206"/>
      <c r="TSD33" s="206"/>
      <c r="TSE33" s="206"/>
      <c r="TSF33" s="206"/>
      <c r="TSG33" s="206"/>
      <c r="TSH33" s="206"/>
      <c r="TSI33" s="206"/>
      <c r="TSJ33" s="206"/>
      <c r="TSK33" s="206"/>
      <c r="TSL33" s="206"/>
      <c r="TSM33" s="206"/>
      <c r="TSN33" s="206"/>
      <c r="TSO33" s="206"/>
      <c r="TSP33" s="206"/>
      <c r="TSQ33" s="206"/>
      <c r="TSR33" s="206"/>
      <c r="TSS33" s="206"/>
      <c r="TST33" s="206"/>
      <c r="TSU33" s="206"/>
      <c r="TSV33" s="206"/>
      <c r="TSW33" s="206"/>
      <c r="TSX33" s="206"/>
      <c r="TSY33" s="206"/>
      <c r="TSZ33" s="206"/>
      <c r="TTA33" s="206"/>
      <c r="TTB33" s="206"/>
      <c r="TTC33" s="206"/>
      <c r="TTD33" s="206"/>
      <c r="TTE33" s="206"/>
      <c r="TTF33" s="206"/>
      <c r="TTG33" s="206"/>
      <c r="TTH33" s="206"/>
      <c r="TTI33" s="206"/>
      <c r="TTJ33" s="206"/>
      <c r="TTK33" s="206"/>
      <c r="TTL33" s="206"/>
      <c r="TTM33" s="206"/>
      <c r="TTN33" s="206"/>
      <c r="TTO33" s="206"/>
      <c r="TTP33" s="206"/>
      <c r="TTQ33" s="206"/>
      <c r="TTR33" s="206"/>
      <c r="TTS33" s="206"/>
      <c r="TTT33" s="206"/>
      <c r="TTU33" s="206"/>
      <c r="TTV33" s="206"/>
      <c r="TTW33" s="206"/>
      <c r="TTX33" s="206"/>
      <c r="TTY33" s="206"/>
      <c r="TTZ33" s="206"/>
      <c r="TUA33" s="206"/>
      <c r="TUB33" s="206"/>
      <c r="TUC33" s="206"/>
      <c r="TUD33" s="206"/>
      <c r="TUE33" s="206"/>
      <c r="TUF33" s="206"/>
      <c r="TUG33" s="206"/>
      <c r="TUH33" s="206"/>
      <c r="TUI33" s="206"/>
      <c r="TUJ33" s="206"/>
      <c r="TUK33" s="206"/>
      <c r="TUL33" s="206"/>
      <c r="TUM33" s="206"/>
      <c r="TUN33" s="206"/>
      <c r="TUO33" s="206"/>
      <c r="TUP33" s="206"/>
      <c r="TUQ33" s="206"/>
      <c r="TUR33" s="206"/>
      <c r="TUS33" s="206"/>
      <c r="TUT33" s="206"/>
      <c r="TUU33" s="206"/>
      <c r="TUV33" s="206"/>
      <c r="TUW33" s="206"/>
      <c r="TUX33" s="206"/>
      <c r="TUY33" s="206"/>
      <c r="TUZ33" s="206"/>
      <c r="TVA33" s="206"/>
      <c r="TVB33" s="206"/>
      <c r="TVC33" s="206"/>
      <c r="TVD33" s="206"/>
      <c r="TVE33" s="206"/>
      <c r="TVF33" s="206"/>
      <c r="TVG33" s="206"/>
      <c r="TVH33" s="206"/>
      <c r="TVI33" s="206"/>
      <c r="TVJ33" s="206"/>
      <c r="TVK33" s="206"/>
      <c r="TVL33" s="206"/>
      <c r="TVM33" s="206"/>
      <c r="TVN33" s="206"/>
      <c r="TVO33" s="206"/>
      <c r="TVP33" s="206"/>
      <c r="TVQ33" s="206"/>
      <c r="TVR33" s="206"/>
      <c r="TVS33" s="206"/>
      <c r="TVT33" s="206"/>
      <c r="TVU33" s="206"/>
      <c r="TVV33" s="206"/>
      <c r="TVW33" s="206"/>
      <c r="TVX33" s="206"/>
      <c r="TVY33" s="206"/>
      <c r="TVZ33" s="206"/>
      <c r="TWA33" s="206"/>
      <c r="TWB33" s="206"/>
      <c r="TWC33" s="206"/>
      <c r="TWD33" s="206"/>
      <c r="TWE33" s="206"/>
      <c r="TWF33" s="206"/>
      <c r="TWG33" s="206"/>
      <c r="TWH33" s="206"/>
      <c r="TWI33" s="206"/>
      <c r="TWJ33" s="206"/>
      <c r="TWK33" s="206"/>
      <c r="TWL33" s="206"/>
      <c r="TWM33" s="206"/>
      <c r="TWN33" s="206"/>
      <c r="TWO33" s="206"/>
      <c r="TWP33" s="206"/>
      <c r="TWQ33" s="206"/>
      <c r="TWR33" s="206"/>
      <c r="TWS33" s="206"/>
      <c r="TWT33" s="206"/>
      <c r="TWU33" s="206"/>
      <c r="TWV33" s="206"/>
      <c r="TWW33" s="206"/>
      <c r="TWX33" s="206"/>
      <c r="TWY33" s="206"/>
      <c r="TWZ33" s="206"/>
      <c r="TXA33" s="206"/>
      <c r="TXB33" s="206"/>
      <c r="TXC33" s="206"/>
      <c r="TXD33" s="206"/>
      <c r="TXE33" s="206"/>
      <c r="TXF33" s="206"/>
      <c r="TXG33" s="206"/>
      <c r="TXH33" s="206"/>
      <c r="TXI33" s="206"/>
      <c r="TXJ33" s="206"/>
      <c r="TXK33" s="206"/>
      <c r="TXL33" s="206"/>
      <c r="TXM33" s="206"/>
      <c r="TXN33" s="206"/>
      <c r="TXO33" s="206"/>
      <c r="TXP33" s="206"/>
      <c r="TXQ33" s="206"/>
      <c r="TXR33" s="206"/>
      <c r="TXS33" s="206"/>
      <c r="TXT33" s="206"/>
      <c r="TXU33" s="206"/>
      <c r="TXV33" s="206"/>
      <c r="TXW33" s="206"/>
      <c r="TXX33" s="206"/>
      <c r="TXY33" s="206"/>
      <c r="TXZ33" s="206"/>
      <c r="TYA33" s="206"/>
      <c r="TYB33" s="206"/>
      <c r="TYC33" s="206"/>
      <c r="TYD33" s="206"/>
      <c r="TYE33" s="206"/>
      <c r="TYF33" s="206"/>
      <c r="TYG33" s="206"/>
      <c r="TYH33" s="206"/>
      <c r="TYI33" s="206"/>
      <c r="TYJ33" s="206"/>
      <c r="TYK33" s="206"/>
      <c r="TYL33" s="206"/>
      <c r="TYM33" s="206"/>
      <c r="TYN33" s="206"/>
      <c r="TYO33" s="206"/>
      <c r="TYP33" s="206"/>
      <c r="TYQ33" s="206"/>
      <c r="TYR33" s="206"/>
      <c r="TYS33" s="206"/>
      <c r="TYT33" s="206"/>
      <c r="TYU33" s="206"/>
      <c r="TYV33" s="206"/>
      <c r="TYW33" s="206"/>
      <c r="TYX33" s="206"/>
      <c r="TYY33" s="206"/>
      <c r="TYZ33" s="206"/>
      <c r="TZA33" s="206"/>
      <c r="TZB33" s="206"/>
      <c r="TZC33" s="206"/>
      <c r="TZD33" s="206"/>
      <c r="TZE33" s="206"/>
      <c r="TZF33" s="206"/>
      <c r="TZG33" s="206"/>
      <c r="TZH33" s="206"/>
      <c r="TZI33" s="206"/>
      <c r="TZJ33" s="206"/>
      <c r="TZK33" s="206"/>
      <c r="TZL33" s="206"/>
      <c r="TZM33" s="206"/>
      <c r="TZN33" s="206"/>
      <c r="TZO33" s="206"/>
      <c r="TZP33" s="206"/>
      <c r="TZQ33" s="206"/>
      <c r="TZR33" s="206"/>
      <c r="TZS33" s="206"/>
      <c r="TZT33" s="206"/>
      <c r="TZU33" s="206"/>
      <c r="TZV33" s="206"/>
      <c r="TZW33" s="206"/>
      <c r="TZX33" s="206"/>
      <c r="TZY33" s="206"/>
      <c r="TZZ33" s="206"/>
      <c r="UAA33" s="206"/>
      <c r="UAB33" s="206"/>
      <c r="UAC33" s="206"/>
      <c r="UAD33" s="206"/>
      <c r="UAE33" s="206"/>
      <c r="UAF33" s="206"/>
      <c r="UAG33" s="206"/>
      <c r="UAH33" s="206"/>
      <c r="UAI33" s="206"/>
      <c r="UAJ33" s="206"/>
      <c r="UAK33" s="206"/>
      <c r="UAL33" s="206"/>
      <c r="UAM33" s="206"/>
      <c r="UAN33" s="206"/>
      <c r="UAO33" s="206"/>
      <c r="UAP33" s="206"/>
      <c r="UAQ33" s="206"/>
      <c r="UAR33" s="206"/>
      <c r="UAS33" s="206"/>
      <c r="UAT33" s="206"/>
      <c r="UAU33" s="206"/>
      <c r="UAV33" s="206"/>
      <c r="UAW33" s="206"/>
      <c r="UAX33" s="206"/>
      <c r="UAY33" s="206"/>
      <c r="UAZ33" s="206"/>
      <c r="UBA33" s="206"/>
      <c r="UBB33" s="206"/>
      <c r="UBC33" s="206"/>
      <c r="UBD33" s="206"/>
      <c r="UBE33" s="206"/>
      <c r="UBF33" s="206"/>
      <c r="UBG33" s="206"/>
      <c r="UBH33" s="206"/>
      <c r="UBI33" s="206"/>
      <c r="UBJ33" s="206"/>
      <c r="UBK33" s="206"/>
      <c r="UBL33" s="206"/>
      <c r="UBM33" s="206"/>
      <c r="UBN33" s="206"/>
      <c r="UBO33" s="206"/>
      <c r="UBP33" s="206"/>
      <c r="UBQ33" s="206"/>
      <c r="UBR33" s="206"/>
      <c r="UBS33" s="206"/>
      <c r="UBT33" s="206"/>
      <c r="UBU33" s="206"/>
      <c r="UBV33" s="206"/>
      <c r="UBW33" s="206"/>
      <c r="UBX33" s="206"/>
      <c r="UBY33" s="206"/>
      <c r="UBZ33" s="206"/>
      <c r="UCA33" s="206"/>
      <c r="UCB33" s="206"/>
      <c r="UCC33" s="206"/>
      <c r="UCD33" s="206"/>
      <c r="UCE33" s="206"/>
      <c r="UCF33" s="206"/>
      <c r="UCG33" s="206"/>
      <c r="UCH33" s="206"/>
      <c r="UCI33" s="206"/>
      <c r="UCJ33" s="206"/>
      <c r="UCK33" s="206"/>
      <c r="UCL33" s="206"/>
      <c r="UCM33" s="206"/>
      <c r="UCN33" s="206"/>
      <c r="UCO33" s="206"/>
      <c r="UCP33" s="206"/>
      <c r="UCQ33" s="206"/>
      <c r="UCR33" s="206"/>
      <c r="UCS33" s="206"/>
      <c r="UCT33" s="206"/>
      <c r="UCU33" s="206"/>
      <c r="UCV33" s="206"/>
      <c r="UCW33" s="206"/>
      <c r="UCX33" s="206"/>
      <c r="UCY33" s="206"/>
      <c r="UCZ33" s="206"/>
      <c r="UDA33" s="206"/>
      <c r="UDB33" s="206"/>
      <c r="UDC33" s="206"/>
      <c r="UDD33" s="206"/>
      <c r="UDE33" s="206"/>
      <c r="UDF33" s="206"/>
      <c r="UDG33" s="206"/>
      <c r="UDH33" s="206"/>
      <c r="UDI33" s="206"/>
      <c r="UDJ33" s="206"/>
      <c r="UDK33" s="206"/>
      <c r="UDL33" s="206"/>
      <c r="UDM33" s="206"/>
      <c r="UDN33" s="206"/>
      <c r="UDO33" s="206"/>
      <c r="UDP33" s="206"/>
      <c r="UDQ33" s="206"/>
      <c r="UDR33" s="206"/>
      <c r="UDS33" s="206"/>
      <c r="UDT33" s="206"/>
      <c r="UDU33" s="206"/>
      <c r="UDV33" s="206"/>
      <c r="UDW33" s="206"/>
      <c r="UDX33" s="206"/>
      <c r="UDY33" s="206"/>
      <c r="UDZ33" s="206"/>
      <c r="UEA33" s="206"/>
      <c r="UEB33" s="206"/>
      <c r="UEC33" s="206"/>
      <c r="UED33" s="206"/>
      <c r="UEE33" s="206"/>
      <c r="UEF33" s="206"/>
      <c r="UEG33" s="206"/>
      <c r="UEH33" s="206"/>
      <c r="UEI33" s="206"/>
      <c r="UEJ33" s="206"/>
      <c r="UEK33" s="206"/>
      <c r="UEL33" s="206"/>
      <c r="UEM33" s="206"/>
      <c r="UEN33" s="206"/>
      <c r="UEO33" s="206"/>
      <c r="UEP33" s="206"/>
      <c r="UEQ33" s="206"/>
      <c r="UER33" s="206"/>
      <c r="UES33" s="206"/>
      <c r="UET33" s="206"/>
      <c r="UEU33" s="206"/>
      <c r="UEV33" s="206"/>
      <c r="UEW33" s="206"/>
      <c r="UEX33" s="206"/>
      <c r="UEY33" s="206"/>
      <c r="UEZ33" s="206"/>
      <c r="UFA33" s="206"/>
      <c r="UFB33" s="206"/>
      <c r="UFC33" s="206"/>
      <c r="UFD33" s="206"/>
      <c r="UFE33" s="206"/>
      <c r="UFF33" s="206"/>
      <c r="UFG33" s="206"/>
      <c r="UFH33" s="206"/>
      <c r="UFI33" s="206"/>
      <c r="UFJ33" s="206"/>
      <c r="UFK33" s="206"/>
      <c r="UFL33" s="206"/>
      <c r="UFM33" s="206"/>
      <c r="UFN33" s="206"/>
      <c r="UFO33" s="206"/>
      <c r="UFP33" s="206"/>
      <c r="UFQ33" s="206"/>
      <c r="UFR33" s="206"/>
      <c r="UFS33" s="206"/>
      <c r="UFT33" s="206"/>
      <c r="UFU33" s="206"/>
      <c r="UFV33" s="206"/>
      <c r="UFW33" s="206"/>
      <c r="UFX33" s="206"/>
      <c r="UFY33" s="206"/>
      <c r="UFZ33" s="206"/>
      <c r="UGA33" s="206"/>
      <c r="UGB33" s="206"/>
      <c r="UGC33" s="206"/>
      <c r="UGD33" s="206"/>
      <c r="UGE33" s="206"/>
      <c r="UGF33" s="206"/>
      <c r="UGG33" s="206"/>
      <c r="UGH33" s="206"/>
      <c r="UGI33" s="206"/>
      <c r="UGJ33" s="206"/>
      <c r="UGK33" s="206"/>
      <c r="UGL33" s="206"/>
      <c r="UGM33" s="206"/>
      <c r="UGN33" s="206"/>
      <c r="UGO33" s="206"/>
      <c r="UGP33" s="206"/>
      <c r="UGQ33" s="206"/>
      <c r="UGR33" s="206"/>
      <c r="UGS33" s="206"/>
      <c r="UGT33" s="206"/>
      <c r="UGU33" s="206"/>
      <c r="UGV33" s="206"/>
      <c r="UGW33" s="206"/>
      <c r="UGX33" s="206"/>
      <c r="UGY33" s="206"/>
      <c r="UGZ33" s="206"/>
      <c r="UHA33" s="206"/>
      <c r="UHB33" s="206"/>
      <c r="UHC33" s="206"/>
      <c r="UHD33" s="206"/>
      <c r="UHE33" s="206"/>
      <c r="UHF33" s="206"/>
      <c r="UHG33" s="206"/>
      <c r="UHH33" s="206"/>
      <c r="UHI33" s="206"/>
      <c r="UHJ33" s="206"/>
      <c r="UHK33" s="206"/>
      <c r="UHL33" s="206"/>
      <c r="UHM33" s="206"/>
      <c r="UHN33" s="206"/>
      <c r="UHO33" s="206"/>
      <c r="UHP33" s="206"/>
      <c r="UHQ33" s="206"/>
      <c r="UHR33" s="206"/>
      <c r="UHS33" s="206"/>
      <c r="UHT33" s="206"/>
      <c r="UHU33" s="206"/>
      <c r="UHV33" s="206"/>
      <c r="UHW33" s="206"/>
      <c r="UHX33" s="206"/>
      <c r="UHY33" s="206"/>
      <c r="UHZ33" s="206"/>
      <c r="UIA33" s="206"/>
      <c r="UIB33" s="206"/>
      <c r="UIC33" s="206"/>
      <c r="UID33" s="206"/>
      <c r="UIE33" s="206"/>
      <c r="UIF33" s="206"/>
      <c r="UIG33" s="206"/>
      <c r="UIH33" s="206"/>
      <c r="UII33" s="206"/>
      <c r="UIJ33" s="206"/>
      <c r="UIK33" s="206"/>
      <c r="UIL33" s="206"/>
      <c r="UIM33" s="206"/>
      <c r="UIN33" s="206"/>
      <c r="UIO33" s="206"/>
      <c r="UIP33" s="206"/>
      <c r="UIQ33" s="206"/>
      <c r="UIR33" s="206"/>
      <c r="UIS33" s="206"/>
      <c r="UIT33" s="206"/>
      <c r="UIU33" s="206"/>
      <c r="UIV33" s="206"/>
      <c r="UIW33" s="206"/>
      <c r="UIX33" s="206"/>
      <c r="UIY33" s="206"/>
      <c r="UIZ33" s="206"/>
      <c r="UJA33" s="206"/>
      <c r="UJB33" s="206"/>
      <c r="UJC33" s="206"/>
      <c r="UJD33" s="206"/>
      <c r="UJE33" s="206"/>
      <c r="UJF33" s="206"/>
      <c r="UJG33" s="206"/>
      <c r="UJH33" s="206"/>
      <c r="UJI33" s="206"/>
      <c r="UJJ33" s="206"/>
      <c r="UJK33" s="206"/>
      <c r="UJL33" s="206"/>
      <c r="UJM33" s="206"/>
      <c r="UJN33" s="206"/>
      <c r="UJO33" s="206"/>
      <c r="UJP33" s="206"/>
      <c r="UJQ33" s="206"/>
      <c r="UJR33" s="206"/>
      <c r="UJS33" s="206"/>
      <c r="UJT33" s="206"/>
      <c r="UJU33" s="206"/>
      <c r="UJV33" s="206"/>
      <c r="UJW33" s="206"/>
      <c r="UJX33" s="206"/>
      <c r="UJY33" s="206"/>
      <c r="UJZ33" s="206"/>
      <c r="UKA33" s="206"/>
      <c r="UKB33" s="206"/>
      <c r="UKC33" s="206"/>
      <c r="UKD33" s="206"/>
      <c r="UKE33" s="206"/>
      <c r="UKF33" s="206"/>
      <c r="UKG33" s="206"/>
      <c r="UKH33" s="206"/>
      <c r="UKI33" s="206"/>
      <c r="UKJ33" s="206"/>
      <c r="UKK33" s="206"/>
      <c r="UKL33" s="206"/>
      <c r="UKM33" s="206"/>
      <c r="UKN33" s="206"/>
      <c r="UKO33" s="206"/>
      <c r="UKP33" s="206"/>
      <c r="UKQ33" s="206"/>
      <c r="UKR33" s="206"/>
      <c r="UKS33" s="206"/>
      <c r="UKT33" s="206"/>
      <c r="UKU33" s="206"/>
      <c r="UKV33" s="206"/>
      <c r="UKW33" s="206"/>
      <c r="UKX33" s="206"/>
      <c r="UKY33" s="206"/>
      <c r="UKZ33" s="206"/>
      <c r="ULA33" s="206"/>
      <c r="ULB33" s="206"/>
      <c r="ULC33" s="206"/>
      <c r="ULD33" s="206"/>
      <c r="ULE33" s="206"/>
      <c r="ULF33" s="206"/>
      <c r="ULG33" s="206"/>
      <c r="ULH33" s="206"/>
      <c r="ULI33" s="206"/>
      <c r="ULJ33" s="206"/>
      <c r="ULK33" s="206"/>
      <c r="ULL33" s="206"/>
      <c r="ULM33" s="206"/>
      <c r="ULN33" s="206"/>
      <c r="ULO33" s="206"/>
      <c r="ULP33" s="206"/>
      <c r="ULQ33" s="206"/>
      <c r="ULR33" s="206"/>
      <c r="ULS33" s="206"/>
      <c r="ULT33" s="206"/>
      <c r="ULU33" s="206"/>
      <c r="ULV33" s="206"/>
      <c r="ULW33" s="206"/>
      <c r="ULX33" s="206"/>
      <c r="ULY33" s="206"/>
      <c r="ULZ33" s="206"/>
      <c r="UMA33" s="206"/>
      <c r="UMB33" s="206"/>
      <c r="UMC33" s="206"/>
      <c r="UMD33" s="206"/>
      <c r="UME33" s="206"/>
      <c r="UMF33" s="206"/>
      <c r="UMG33" s="206"/>
      <c r="UMH33" s="206"/>
      <c r="UMI33" s="206"/>
      <c r="UMJ33" s="206"/>
      <c r="UMK33" s="206"/>
      <c r="UML33" s="206"/>
      <c r="UMM33" s="206"/>
      <c r="UMN33" s="206"/>
      <c r="UMO33" s="206"/>
      <c r="UMP33" s="206"/>
      <c r="UMQ33" s="206"/>
      <c r="UMR33" s="206"/>
      <c r="UMS33" s="206"/>
      <c r="UMT33" s="206"/>
      <c r="UMU33" s="206"/>
      <c r="UMV33" s="206"/>
      <c r="UMW33" s="206"/>
      <c r="UMX33" s="206"/>
      <c r="UMY33" s="206"/>
      <c r="UMZ33" s="206"/>
      <c r="UNA33" s="206"/>
      <c r="UNB33" s="206"/>
      <c r="UNC33" s="206"/>
      <c r="UND33" s="206"/>
      <c r="UNE33" s="206"/>
      <c r="UNF33" s="206"/>
      <c r="UNG33" s="206"/>
      <c r="UNH33" s="206"/>
      <c r="UNI33" s="206"/>
      <c r="UNJ33" s="206"/>
      <c r="UNK33" s="206"/>
      <c r="UNL33" s="206"/>
      <c r="UNM33" s="206"/>
      <c r="UNN33" s="206"/>
      <c r="UNO33" s="206"/>
      <c r="UNP33" s="206"/>
      <c r="UNQ33" s="206"/>
      <c r="UNR33" s="206"/>
      <c r="UNS33" s="206"/>
      <c r="UNT33" s="206"/>
      <c r="UNU33" s="206"/>
      <c r="UNV33" s="206"/>
      <c r="UNW33" s="206"/>
      <c r="UNX33" s="206"/>
      <c r="UNY33" s="206"/>
      <c r="UNZ33" s="206"/>
      <c r="UOA33" s="206"/>
      <c r="UOB33" s="206"/>
      <c r="UOC33" s="206"/>
      <c r="UOD33" s="206"/>
      <c r="UOE33" s="206"/>
      <c r="UOF33" s="206"/>
      <c r="UOG33" s="206"/>
      <c r="UOH33" s="206"/>
      <c r="UOI33" s="206"/>
      <c r="UOJ33" s="206"/>
      <c r="UOK33" s="206"/>
      <c r="UOL33" s="206"/>
      <c r="UOM33" s="206"/>
      <c r="UON33" s="206"/>
      <c r="UOO33" s="206"/>
      <c r="UOP33" s="206"/>
      <c r="UOQ33" s="206"/>
      <c r="UOR33" s="206"/>
      <c r="UOS33" s="206"/>
      <c r="UOT33" s="206"/>
      <c r="UOU33" s="206"/>
      <c r="UOV33" s="206"/>
      <c r="UOW33" s="206"/>
      <c r="UOX33" s="206"/>
      <c r="UOY33" s="206"/>
      <c r="UOZ33" s="206"/>
      <c r="UPA33" s="206"/>
      <c r="UPB33" s="206"/>
      <c r="UPC33" s="206"/>
      <c r="UPD33" s="206"/>
      <c r="UPE33" s="206"/>
      <c r="UPF33" s="206"/>
      <c r="UPG33" s="206"/>
      <c r="UPH33" s="206"/>
      <c r="UPI33" s="206"/>
      <c r="UPJ33" s="206"/>
      <c r="UPK33" s="206"/>
      <c r="UPL33" s="206"/>
      <c r="UPM33" s="206"/>
      <c r="UPN33" s="206"/>
      <c r="UPO33" s="206"/>
      <c r="UPP33" s="206"/>
      <c r="UPQ33" s="206"/>
      <c r="UPR33" s="206"/>
      <c r="UPS33" s="206"/>
      <c r="UPT33" s="206"/>
      <c r="UPU33" s="206"/>
      <c r="UPV33" s="206"/>
      <c r="UPW33" s="206"/>
      <c r="UPX33" s="206"/>
      <c r="UPY33" s="206"/>
      <c r="UPZ33" s="206"/>
      <c r="UQA33" s="206"/>
      <c r="UQB33" s="206"/>
      <c r="UQC33" s="206"/>
      <c r="UQD33" s="206"/>
      <c r="UQE33" s="206"/>
      <c r="UQF33" s="206"/>
      <c r="UQG33" s="206"/>
      <c r="UQH33" s="206"/>
      <c r="UQI33" s="206"/>
      <c r="UQJ33" s="206"/>
      <c r="UQK33" s="206"/>
      <c r="UQL33" s="206"/>
      <c r="UQM33" s="206"/>
      <c r="UQN33" s="206"/>
      <c r="UQO33" s="206"/>
      <c r="UQP33" s="206"/>
      <c r="UQQ33" s="206"/>
      <c r="UQR33" s="206"/>
      <c r="UQS33" s="206"/>
      <c r="UQT33" s="206"/>
      <c r="UQU33" s="206"/>
      <c r="UQV33" s="206"/>
      <c r="UQW33" s="206"/>
      <c r="UQX33" s="206"/>
      <c r="UQY33" s="206"/>
      <c r="UQZ33" s="206"/>
      <c r="URA33" s="206"/>
      <c r="URB33" s="206"/>
      <c r="URC33" s="206"/>
      <c r="URD33" s="206"/>
      <c r="URE33" s="206"/>
      <c r="URF33" s="206"/>
      <c r="URG33" s="206"/>
      <c r="URH33" s="206"/>
      <c r="URI33" s="206"/>
      <c r="URJ33" s="206"/>
      <c r="URK33" s="206"/>
      <c r="URL33" s="206"/>
      <c r="URM33" s="206"/>
      <c r="URN33" s="206"/>
      <c r="URO33" s="206"/>
      <c r="URP33" s="206"/>
      <c r="URQ33" s="206"/>
      <c r="URR33" s="206"/>
      <c r="URS33" s="206"/>
      <c r="URT33" s="206"/>
      <c r="URU33" s="206"/>
      <c r="URV33" s="206"/>
      <c r="URW33" s="206"/>
      <c r="URX33" s="206"/>
      <c r="URY33" s="206"/>
      <c r="URZ33" s="206"/>
      <c r="USA33" s="206"/>
      <c r="USB33" s="206"/>
      <c r="USC33" s="206"/>
      <c r="USD33" s="206"/>
      <c r="USE33" s="206"/>
      <c r="USF33" s="206"/>
      <c r="USG33" s="206"/>
      <c r="USH33" s="206"/>
      <c r="USI33" s="206"/>
      <c r="USJ33" s="206"/>
      <c r="USK33" s="206"/>
      <c r="USL33" s="206"/>
      <c r="USM33" s="206"/>
      <c r="USN33" s="206"/>
      <c r="USO33" s="206"/>
      <c r="USP33" s="206"/>
      <c r="USQ33" s="206"/>
      <c r="USR33" s="206"/>
      <c r="USS33" s="206"/>
      <c r="UST33" s="206"/>
      <c r="USU33" s="206"/>
      <c r="USV33" s="206"/>
      <c r="USW33" s="206"/>
      <c r="USX33" s="206"/>
      <c r="USY33" s="206"/>
      <c r="USZ33" s="206"/>
      <c r="UTA33" s="206"/>
      <c r="UTB33" s="206"/>
      <c r="UTC33" s="206"/>
      <c r="UTD33" s="206"/>
      <c r="UTE33" s="206"/>
      <c r="UTF33" s="206"/>
      <c r="UTG33" s="206"/>
      <c r="UTH33" s="206"/>
      <c r="UTI33" s="206"/>
      <c r="UTJ33" s="206"/>
      <c r="UTK33" s="206"/>
      <c r="UTL33" s="206"/>
      <c r="UTM33" s="206"/>
      <c r="UTN33" s="206"/>
      <c r="UTO33" s="206"/>
      <c r="UTP33" s="206"/>
      <c r="UTQ33" s="206"/>
      <c r="UTR33" s="206"/>
      <c r="UTS33" s="206"/>
      <c r="UTT33" s="206"/>
      <c r="UTU33" s="206"/>
      <c r="UTV33" s="206"/>
      <c r="UTW33" s="206"/>
      <c r="UTX33" s="206"/>
      <c r="UTY33" s="206"/>
      <c r="UTZ33" s="206"/>
      <c r="UUA33" s="206"/>
      <c r="UUB33" s="206"/>
      <c r="UUC33" s="206"/>
      <c r="UUD33" s="206"/>
      <c r="UUE33" s="206"/>
      <c r="UUF33" s="206"/>
      <c r="UUG33" s="206"/>
      <c r="UUH33" s="206"/>
      <c r="UUI33" s="206"/>
      <c r="UUJ33" s="206"/>
      <c r="UUK33" s="206"/>
      <c r="UUL33" s="206"/>
      <c r="UUM33" s="206"/>
      <c r="UUN33" s="206"/>
      <c r="UUO33" s="206"/>
      <c r="UUP33" s="206"/>
      <c r="UUQ33" s="206"/>
      <c r="UUR33" s="206"/>
      <c r="UUS33" s="206"/>
      <c r="UUT33" s="206"/>
      <c r="UUU33" s="206"/>
      <c r="UUV33" s="206"/>
      <c r="UUW33" s="206"/>
      <c r="UUX33" s="206"/>
      <c r="UUY33" s="206"/>
      <c r="UUZ33" s="206"/>
      <c r="UVA33" s="206"/>
      <c r="UVB33" s="206"/>
      <c r="UVC33" s="206"/>
      <c r="UVD33" s="206"/>
      <c r="UVE33" s="206"/>
      <c r="UVF33" s="206"/>
      <c r="UVG33" s="206"/>
      <c r="UVH33" s="206"/>
      <c r="UVI33" s="206"/>
      <c r="UVJ33" s="206"/>
      <c r="UVK33" s="206"/>
      <c r="UVL33" s="206"/>
      <c r="UVM33" s="206"/>
      <c r="UVN33" s="206"/>
      <c r="UVO33" s="206"/>
      <c r="UVP33" s="206"/>
      <c r="UVQ33" s="206"/>
      <c r="UVR33" s="206"/>
      <c r="UVS33" s="206"/>
      <c r="UVT33" s="206"/>
      <c r="UVU33" s="206"/>
      <c r="UVV33" s="206"/>
      <c r="UVW33" s="206"/>
      <c r="UVX33" s="206"/>
      <c r="UVY33" s="206"/>
      <c r="UVZ33" s="206"/>
      <c r="UWA33" s="206"/>
      <c r="UWB33" s="206"/>
      <c r="UWC33" s="206"/>
      <c r="UWD33" s="206"/>
      <c r="UWE33" s="206"/>
      <c r="UWF33" s="206"/>
      <c r="UWG33" s="206"/>
      <c r="UWH33" s="206"/>
      <c r="UWI33" s="206"/>
      <c r="UWJ33" s="206"/>
      <c r="UWK33" s="206"/>
      <c r="UWL33" s="206"/>
      <c r="UWM33" s="206"/>
      <c r="UWN33" s="206"/>
      <c r="UWO33" s="206"/>
      <c r="UWP33" s="206"/>
      <c r="UWQ33" s="206"/>
      <c r="UWR33" s="206"/>
      <c r="UWS33" s="206"/>
      <c r="UWT33" s="206"/>
      <c r="UWU33" s="206"/>
      <c r="UWV33" s="206"/>
      <c r="UWW33" s="206"/>
      <c r="UWX33" s="206"/>
      <c r="UWY33" s="206"/>
      <c r="UWZ33" s="206"/>
      <c r="UXA33" s="206"/>
      <c r="UXB33" s="206"/>
      <c r="UXC33" s="206"/>
      <c r="UXD33" s="206"/>
      <c r="UXE33" s="206"/>
      <c r="UXF33" s="206"/>
      <c r="UXG33" s="206"/>
      <c r="UXH33" s="206"/>
      <c r="UXI33" s="206"/>
      <c r="UXJ33" s="206"/>
      <c r="UXK33" s="206"/>
      <c r="UXL33" s="206"/>
      <c r="UXM33" s="206"/>
      <c r="UXN33" s="206"/>
      <c r="UXO33" s="206"/>
      <c r="UXP33" s="206"/>
      <c r="UXQ33" s="206"/>
      <c r="UXR33" s="206"/>
      <c r="UXS33" s="206"/>
      <c r="UXT33" s="206"/>
      <c r="UXU33" s="206"/>
      <c r="UXV33" s="206"/>
      <c r="UXW33" s="206"/>
      <c r="UXX33" s="206"/>
      <c r="UXY33" s="206"/>
      <c r="UXZ33" s="206"/>
      <c r="UYA33" s="206"/>
      <c r="UYB33" s="206"/>
      <c r="UYC33" s="206"/>
      <c r="UYD33" s="206"/>
      <c r="UYE33" s="206"/>
      <c r="UYF33" s="206"/>
      <c r="UYG33" s="206"/>
      <c r="UYH33" s="206"/>
      <c r="UYI33" s="206"/>
      <c r="UYJ33" s="206"/>
      <c r="UYK33" s="206"/>
      <c r="UYL33" s="206"/>
      <c r="UYM33" s="206"/>
      <c r="UYN33" s="206"/>
      <c r="UYO33" s="206"/>
      <c r="UYP33" s="206"/>
      <c r="UYQ33" s="206"/>
      <c r="UYR33" s="206"/>
      <c r="UYS33" s="206"/>
      <c r="UYT33" s="206"/>
      <c r="UYU33" s="206"/>
      <c r="UYV33" s="206"/>
      <c r="UYW33" s="206"/>
      <c r="UYX33" s="206"/>
      <c r="UYY33" s="206"/>
      <c r="UYZ33" s="206"/>
      <c r="UZA33" s="206"/>
      <c r="UZB33" s="206"/>
      <c r="UZC33" s="206"/>
      <c r="UZD33" s="206"/>
      <c r="UZE33" s="206"/>
      <c r="UZF33" s="206"/>
      <c r="UZG33" s="206"/>
      <c r="UZH33" s="206"/>
      <c r="UZI33" s="206"/>
      <c r="UZJ33" s="206"/>
      <c r="UZK33" s="206"/>
      <c r="UZL33" s="206"/>
      <c r="UZM33" s="206"/>
      <c r="UZN33" s="206"/>
      <c r="UZO33" s="206"/>
      <c r="UZP33" s="206"/>
      <c r="UZQ33" s="206"/>
      <c r="UZR33" s="206"/>
      <c r="UZS33" s="206"/>
      <c r="UZT33" s="206"/>
      <c r="UZU33" s="206"/>
      <c r="UZV33" s="206"/>
      <c r="UZW33" s="206"/>
      <c r="UZX33" s="206"/>
      <c r="UZY33" s="206"/>
      <c r="UZZ33" s="206"/>
      <c r="VAA33" s="206"/>
      <c r="VAB33" s="206"/>
      <c r="VAC33" s="206"/>
      <c r="VAD33" s="206"/>
      <c r="VAE33" s="206"/>
      <c r="VAF33" s="206"/>
      <c r="VAG33" s="206"/>
      <c r="VAH33" s="206"/>
      <c r="VAI33" s="206"/>
      <c r="VAJ33" s="206"/>
      <c r="VAK33" s="206"/>
      <c r="VAL33" s="206"/>
      <c r="VAM33" s="206"/>
      <c r="VAN33" s="206"/>
      <c r="VAO33" s="206"/>
      <c r="VAP33" s="206"/>
      <c r="VAQ33" s="206"/>
      <c r="VAR33" s="206"/>
      <c r="VAS33" s="206"/>
      <c r="VAT33" s="206"/>
      <c r="VAU33" s="206"/>
      <c r="VAV33" s="206"/>
      <c r="VAW33" s="206"/>
      <c r="VAX33" s="206"/>
      <c r="VAY33" s="206"/>
      <c r="VAZ33" s="206"/>
      <c r="VBA33" s="206"/>
      <c r="VBB33" s="206"/>
      <c r="VBC33" s="206"/>
      <c r="VBD33" s="206"/>
      <c r="VBE33" s="206"/>
      <c r="VBF33" s="206"/>
      <c r="VBG33" s="206"/>
      <c r="VBH33" s="206"/>
      <c r="VBI33" s="206"/>
      <c r="VBJ33" s="206"/>
      <c r="VBK33" s="206"/>
      <c r="VBL33" s="206"/>
      <c r="VBM33" s="206"/>
      <c r="VBN33" s="206"/>
      <c r="VBO33" s="206"/>
      <c r="VBP33" s="206"/>
      <c r="VBQ33" s="206"/>
      <c r="VBR33" s="206"/>
      <c r="VBS33" s="206"/>
      <c r="VBT33" s="206"/>
      <c r="VBU33" s="206"/>
      <c r="VBV33" s="206"/>
      <c r="VBW33" s="206"/>
      <c r="VBX33" s="206"/>
      <c r="VBY33" s="206"/>
      <c r="VBZ33" s="206"/>
      <c r="VCA33" s="206"/>
      <c r="VCB33" s="206"/>
      <c r="VCC33" s="206"/>
      <c r="VCD33" s="206"/>
      <c r="VCE33" s="206"/>
      <c r="VCF33" s="206"/>
      <c r="VCG33" s="206"/>
      <c r="VCH33" s="206"/>
      <c r="VCI33" s="206"/>
      <c r="VCJ33" s="206"/>
      <c r="VCK33" s="206"/>
      <c r="VCL33" s="206"/>
      <c r="VCM33" s="206"/>
      <c r="VCN33" s="206"/>
      <c r="VCO33" s="206"/>
      <c r="VCP33" s="206"/>
      <c r="VCQ33" s="206"/>
      <c r="VCR33" s="206"/>
      <c r="VCS33" s="206"/>
      <c r="VCT33" s="206"/>
      <c r="VCU33" s="206"/>
      <c r="VCV33" s="206"/>
      <c r="VCW33" s="206"/>
      <c r="VCX33" s="206"/>
      <c r="VCY33" s="206"/>
      <c r="VCZ33" s="206"/>
      <c r="VDA33" s="206"/>
      <c r="VDB33" s="206"/>
      <c r="VDC33" s="206"/>
      <c r="VDD33" s="206"/>
      <c r="VDE33" s="206"/>
      <c r="VDF33" s="206"/>
      <c r="VDG33" s="206"/>
      <c r="VDH33" s="206"/>
      <c r="VDI33" s="206"/>
      <c r="VDJ33" s="206"/>
      <c r="VDK33" s="206"/>
      <c r="VDL33" s="206"/>
      <c r="VDM33" s="206"/>
      <c r="VDN33" s="206"/>
      <c r="VDO33" s="206"/>
      <c r="VDP33" s="206"/>
      <c r="VDQ33" s="206"/>
      <c r="VDR33" s="206"/>
      <c r="VDS33" s="206"/>
      <c r="VDT33" s="206"/>
      <c r="VDU33" s="206"/>
      <c r="VDV33" s="206"/>
      <c r="VDW33" s="206"/>
      <c r="VDX33" s="206"/>
      <c r="VDY33" s="206"/>
      <c r="VDZ33" s="206"/>
      <c r="VEA33" s="206"/>
      <c r="VEB33" s="206"/>
      <c r="VEC33" s="206"/>
      <c r="VED33" s="206"/>
      <c r="VEE33" s="206"/>
      <c r="VEF33" s="206"/>
      <c r="VEG33" s="206"/>
      <c r="VEH33" s="206"/>
      <c r="VEI33" s="206"/>
      <c r="VEJ33" s="206"/>
      <c r="VEK33" s="206"/>
      <c r="VEL33" s="206"/>
      <c r="VEM33" s="206"/>
      <c r="VEN33" s="206"/>
      <c r="VEO33" s="206"/>
      <c r="VEP33" s="206"/>
      <c r="VEQ33" s="206"/>
      <c r="VER33" s="206"/>
      <c r="VES33" s="206"/>
      <c r="VET33" s="206"/>
      <c r="VEU33" s="206"/>
      <c r="VEV33" s="206"/>
      <c r="VEW33" s="206"/>
      <c r="VEX33" s="206"/>
      <c r="VEY33" s="206"/>
      <c r="VEZ33" s="206"/>
      <c r="VFA33" s="206"/>
      <c r="VFB33" s="206"/>
      <c r="VFC33" s="206"/>
      <c r="VFD33" s="206"/>
      <c r="VFE33" s="206"/>
      <c r="VFF33" s="206"/>
      <c r="VFG33" s="206"/>
      <c r="VFH33" s="206"/>
      <c r="VFI33" s="206"/>
      <c r="VFJ33" s="206"/>
      <c r="VFK33" s="206"/>
      <c r="VFL33" s="206"/>
      <c r="VFM33" s="206"/>
      <c r="VFN33" s="206"/>
      <c r="VFO33" s="206"/>
      <c r="VFP33" s="206"/>
      <c r="VFQ33" s="206"/>
      <c r="VFR33" s="206"/>
      <c r="VFS33" s="206"/>
      <c r="VFT33" s="206"/>
      <c r="VFU33" s="206"/>
      <c r="VFV33" s="206"/>
      <c r="VFW33" s="206"/>
      <c r="VFX33" s="206"/>
      <c r="VFY33" s="206"/>
      <c r="VFZ33" s="206"/>
      <c r="VGA33" s="206"/>
      <c r="VGB33" s="206"/>
      <c r="VGC33" s="206"/>
      <c r="VGD33" s="206"/>
      <c r="VGE33" s="206"/>
      <c r="VGF33" s="206"/>
      <c r="VGG33" s="206"/>
      <c r="VGH33" s="206"/>
      <c r="VGI33" s="206"/>
      <c r="VGJ33" s="206"/>
      <c r="VGK33" s="206"/>
      <c r="VGL33" s="206"/>
      <c r="VGM33" s="206"/>
      <c r="VGN33" s="206"/>
      <c r="VGO33" s="206"/>
      <c r="VGP33" s="206"/>
      <c r="VGQ33" s="206"/>
      <c r="VGR33" s="206"/>
      <c r="VGS33" s="206"/>
      <c r="VGT33" s="206"/>
      <c r="VGU33" s="206"/>
      <c r="VGV33" s="206"/>
      <c r="VGW33" s="206"/>
      <c r="VGX33" s="206"/>
      <c r="VGY33" s="206"/>
      <c r="VGZ33" s="206"/>
      <c r="VHA33" s="206"/>
      <c r="VHB33" s="206"/>
      <c r="VHC33" s="206"/>
      <c r="VHD33" s="206"/>
      <c r="VHE33" s="206"/>
      <c r="VHF33" s="206"/>
      <c r="VHG33" s="206"/>
      <c r="VHH33" s="206"/>
      <c r="VHI33" s="206"/>
      <c r="VHJ33" s="206"/>
      <c r="VHK33" s="206"/>
      <c r="VHL33" s="206"/>
      <c r="VHM33" s="206"/>
      <c r="VHN33" s="206"/>
      <c r="VHO33" s="206"/>
      <c r="VHP33" s="206"/>
      <c r="VHQ33" s="206"/>
      <c r="VHR33" s="206"/>
      <c r="VHS33" s="206"/>
      <c r="VHT33" s="206"/>
      <c r="VHU33" s="206"/>
      <c r="VHV33" s="206"/>
      <c r="VHW33" s="206"/>
      <c r="VHX33" s="206"/>
      <c r="VHY33" s="206"/>
      <c r="VHZ33" s="206"/>
      <c r="VIA33" s="206"/>
      <c r="VIB33" s="206"/>
      <c r="VIC33" s="206"/>
      <c r="VID33" s="206"/>
      <c r="VIE33" s="206"/>
      <c r="VIF33" s="206"/>
      <c r="VIG33" s="206"/>
      <c r="VIH33" s="206"/>
      <c r="VII33" s="206"/>
      <c r="VIJ33" s="206"/>
      <c r="VIK33" s="206"/>
      <c r="VIL33" s="206"/>
      <c r="VIM33" s="206"/>
      <c r="VIN33" s="206"/>
      <c r="VIO33" s="206"/>
      <c r="VIP33" s="206"/>
      <c r="VIQ33" s="206"/>
      <c r="VIR33" s="206"/>
      <c r="VIS33" s="206"/>
      <c r="VIT33" s="206"/>
      <c r="VIU33" s="206"/>
      <c r="VIV33" s="206"/>
      <c r="VIW33" s="206"/>
      <c r="VIX33" s="206"/>
      <c r="VIY33" s="206"/>
      <c r="VIZ33" s="206"/>
      <c r="VJA33" s="206"/>
      <c r="VJB33" s="206"/>
      <c r="VJC33" s="206"/>
      <c r="VJD33" s="206"/>
      <c r="VJE33" s="206"/>
      <c r="VJF33" s="206"/>
      <c r="VJG33" s="206"/>
      <c r="VJH33" s="206"/>
      <c r="VJI33" s="206"/>
      <c r="VJJ33" s="206"/>
      <c r="VJK33" s="206"/>
      <c r="VJL33" s="206"/>
      <c r="VJM33" s="206"/>
      <c r="VJN33" s="206"/>
      <c r="VJO33" s="206"/>
      <c r="VJP33" s="206"/>
      <c r="VJQ33" s="206"/>
      <c r="VJR33" s="206"/>
      <c r="VJS33" s="206"/>
      <c r="VJT33" s="206"/>
      <c r="VJU33" s="206"/>
      <c r="VJV33" s="206"/>
      <c r="VJW33" s="206"/>
      <c r="VJX33" s="206"/>
      <c r="VJY33" s="206"/>
      <c r="VJZ33" s="206"/>
      <c r="VKA33" s="206"/>
      <c r="VKB33" s="206"/>
      <c r="VKC33" s="206"/>
      <c r="VKD33" s="206"/>
      <c r="VKE33" s="206"/>
      <c r="VKF33" s="206"/>
      <c r="VKG33" s="206"/>
      <c r="VKH33" s="206"/>
      <c r="VKI33" s="206"/>
      <c r="VKJ33" s="206"/>
      <c r="VKK33" s="206"/>
      <c r="VKL33" s="206"/>
      <c r="VKM33" s="206"/>
      <c r="VKN33" s="206"/>
      <c r="VKO33" s="206"/>
      <c r="VKP33" s="206"/>
      <c r="VKQ33" s="206"/>
      <c r="VKR33" s="206"/>
      <c r="VKS33" s="206"/>
      <c r="VKT33" s="206"/>
      <c r="VKU33" s="206"/>
      <c r="VKV33" s="206"/>
      <c r="VKW33" s="206"/>
      <c r="VKX33" s="206"/>
      <c r="VKY33" s="206"/>
      <c r="VKZ33" s="206"/>
      <c r="VLA33" s="206"/>
      <c r="VLB33" s="206"/>
      <c r="VLC33" s="206"/>
      <c r="VLD33" s="206"/>
      <c r="VLE33" s="206"/>
      <c r="VLF33" s="206"/>
      <c r="VLG33" s="206"/>
      <c r="VLH33" s="206"/>
      <c r="VLI33" s="206"/>
      <c r="VLJ33" s="206"/>
      <c r="VLK33" s="206"/>
      <c r="VLL33" s="206"/>
      <c r="VLM33" s="206"/>
      <c r="VLN33" s="206"/>
      <c r="VLO33" s="206"/>
      <c r="VLP33" s="206"/>
      <c r="VLQ33" s="206"/>
      <c r="VLR33" s="206"/>
      <c r="VLS33" s="206"/>
      <c r="VLT33" s="206"/>
      <c r="VLU33" s="206"/>
      <c r="VLV33" s="206"/>
      <c r="VLW33" s="206"/>
      <c r="VLX33" s="206"/>
      <c r="VLY33" s="206"/>
      <c r="VLZ33" s="206"/>
      <c r="VMA33" s="206"/>
      <c r="VMB33" s="206"/>
      <c r="VMC33" s="206"/>
      <c r="VMD33" s="206"/>
      <c r="VME33" s="206"/>
      <c r="VMF33" s="206"/>
      <c r="VMG33" s="206"/>
      <c r="VMH33" s="206"/>
      <c r="VMI33" s="206"/>
      <c r="VMJ33" s="206"/>
      <c r="VMK33" s="206"/>
      <c r="VML33" s="206"/>
      <c r="VMM33" s="206"/>
      <c r="VMN33" s="206"/>
      <c r="VMO33" s="206"/>
      <c r="VMP33" s="206"/>
      <c r="VMQ33" s="206"/>
      <c r="VMR33" s="206"/>
      <c r="VMS33" s="206"/>
      <c r="VMT33" s="206"/>
      <c r="VMU33" s="206"/>
      <c r="VMV33" s="206"/>
      <c r="VMW33" s="206"/>
      <c r="VMX33" s="206"/>
      <c r="VMY33" s="206"/>
      <c r="VMZ33" s="206"/>
      <c r="VNA33" s="206"/>
      <c r="VNB33" s="206"/>
      <c r="VNC33" s="206"/>
      <c r="VND33" s="206"/>
      <c r="VNE33" s="206"/>
      <c r="VNF33" s="206"/>
      <c r="VNG33" s="206"/>
      <c r="VNH33" s="206"/>
      <c r="VNI33" s="206"/>
      <c r="VNJ33" s="206"/>
      <c r="VNK33" s="206"/>
      <c r="VNL33" s="206"/>
      <c r="VNM33" s="206"/>
      <c r="VNN33" s="206"/>
      <c r="VNO33" s="206"/>
      <c r="VNP33" s="206"/>
      <c r="VNQ33" s="206"/>
      <c r="VNR33" s="206"/>
      <c r="VNS33" s="206"/>
      <c r="VNT33" s="206"/>
      <c r="VNU33" s="206"/>
      <c r="VNV33" s="206"/>
      <c r="VNW33" s="206"/>
      <c r="VNX33" s="206"/>
      <c r="VNY33" s="206"/>
      <c r="VNZ33" s="206"/>
      <c r="VOA33" s="206"/>
      <c r="VOB33" s="206"/>
      <c r="VOC33" s="206"/>
      <c r="VOD33" s="206"/>
      <c r="VOE33" s="206"/>
      <c r="VOF33" s="206"/>
      <c r="VOG33" s="206"/>
      <c r="VOH33" s="206"/>
      <c r="VOI33" s="206"/>
      <c r="VOJ33" s="206"/>
      <c r="VOK33" s="206"/>
      <c r="VOL33" s="206"/>
      <c r="VOM33" s="206"/>
      <c r="VON33" s="206"/>
      <c r="VOO33" s="206"/>
      <c r="VOP33" s="206"/>
      <c r="VOQ33" s="206"/>
      <c r="VOR33" s="206"/>
      <c r="VOS33" s="206"/>
      <c r="VOT33" s="206"/>
      <c r="VOU33" s="206"/>
      <c r="VOV33" s="206"/>
      <c r="VOW33" s="206"/>
      <c r="VOX33" s="206"/>
      <c r="VOY33" s="206"/>
      <c r="VOZ33" s="206"/>
      <c r="VPA33" s="206"/>
      <c r="VPB33" s="206"/>
      <c r="VPC33" s="206"/>
      <c r="VPD33" s="206"/>
      <c r="VPE33" s="206"/>
      <c r="VPF33" s="206"/>
      <c r="VPG33" s="206"/>
      <c r="VPH33" s="206"/>
      <c r="VPI33" s="206"/>
      <c r="VPJ33" s="206"/>
      <c r="VPK33" s="206"/>
      <c r="VPL33" s="206"/>
      <c r="VPM33" s="206"/>
      <c r="VPN33" s="206"/>
      <c r="VPO33" s="206"/>
      <c r="VPP33" s="206"/>
      <c r="VPQ33" s="206"/>
      <c r="VPR33" s="206"/>
      <c r="VPS33" s="206"/>
      <c r="VPT33" s="206"/>
      <c r="VPU33" s="206"/>
      <c r="VPV33" s="206"/>
      <c r="VPW33" s="206"/>
      <c r="VPX33" s="206"/>
      <c r="VPY33" s="206"/>
      <c r="VPZ33" s="206"/>
      <c r="VQA33" s="206"/>
      <c r="VQB33" s="206"/>
      <c r="VQC33" s="206"/>
      <c r="VQD33" s="206"/>
      <c r="VQE33" s="206"/>
      <c r="VQF33" s="206"/>
      <c r="VQG33" s="206"/>
      <c r="VQH33" s="206"/>
      <c r="VQI33" s="206"/>
      <c r="VQJ33" s="206"/>
      <c r="VQK33" s="206"/>
      <c r="VQL33" s="206"/>
      <c r="VQM33" s="206"/>
      <c r="VQN33" s="206"/>
      <c r="VQO33" s="206"/>
      <c r="VQP33" s="206"/>
      <c r="VQQ33" s="206"/>
      <c r="VQR33" s="206"/>
      <c r="VQS33" s="206"/>
      <c r="VQT33" s="206"/>
      <c r="VQU33" s="206"/>
      <c r="VQV33" s="206"/>
      <c r="VQW33" s="206"/>
      <c r="VQX33" s="206"/>
      <c r="VQY33" s="206"/>
      <c r="VQZ33" s="206"/>
      <c r="VRA33" s="206"/>
      <c r="VRB33" s="206"/>
      <c r="VRC33" s="206"/>
      <c r="VRD33" s="206"/>
      <c r="VRE33" s="206"/>
      <c r="VRF33" s="206"/>
      <c r="VRG33" s="206"/>
      <c r="VRH33" s="206"/>
      <c r="VRI33" s="206"/>
      <c r="VRJ33" s="206"/>
      <c r="VRK33" s="206"/>
      <c r="VRL33" s="206"/>
      <c r="VRM33" s="206"/>
      <c r="VRN33" s="206"/>
      <c r="VRO33" s="206"/>
      <c r="VRP33" s="206"/>
      <c r="VRQ33" s="206"/>
      <c r="VRR33" s="206"/>
      <c r="VRS33" s="206"/>
      <c r="VRT33" s="206"/>
      <c r="VRU33" s="206"/>
      <c r="VRV33" s="206"/>
      <c r="VRW33" s="206"/>
      <c r="VRX33" s="206"/>
      <c r="VRY33" s="206"/>
      <c r="VRZ33" s="206"/>
      <c r="VSA33" s="206"/>
      <c r="VSB33" s="206"/>
      <c r="VSC33" s="206"/>
      <c r="VSD33" s="206"/>
      <c r="VSE33" s="206"/>
      <c r="VSF33" s="206"/>
      <c r="VSG33" s="206"/>
      <c r="VSH33" s="206"/>
      <c r="VSI33" s="206"/>
      <c r="VSJ33" s="206"/>
      <c r="VSK33" s="206"/>
      <c r="VSL33" s="206"/>
      <c r="VSM33" s="206"/>
      <c r="VSN33" s="206"/>
      <c r="VSO33" s="206"/>
      <c r="VSP33" s="206"/>
      <c r="VSQ33" s="206"/>
      <c r="VSR33" s="206"/>
      <c r="VSS33" s="206"/>
      <c r="VST33" s="206"/>
      <c r="VSU33" s="206"/>
      <c r="VSV33" s="206"/>
      <c r="VSW33" s="206"/>
      <c r="VSX33" s="206"/>
      <c r="VSY33" s="206"/>
      <c r="VSZ33" s="206"/>
      <c r="VTA33" s="206"/>
      <c r="VTB33" s="206"/>
      <c r="VTC33" s="206"/>
      <c r="VTD33" s="206"/>
      <c r="VTE33" s="206"/>
      <c r="VTF33" s="206"/>
      <c r="VTG33" s="206"/>
      <c r="VTH33" s="206"/>
      <c r="VTI33" s="206"/>
      <c r="VTJ33" s="206"/>
      <c r="VTK33" s="206"/>
      <c r="VTL33" s="206"/>
      <c r="VTM33" s="206"/>
      <c r="VTN33" s="206"/>
      <c r="VTO33" s="206"/>
      <c r="VTP33" s="206"/>
      <c r="VTQ33" s="206"/>
      <c r="VTR33" s="206"/>
      <c r="VTS33" s="206"/>
      <c r="VTT33" s="206"/>
      <c r="VTU33" s="206"/>
      <c r="VTV33" s="206"/>
      <c r="VTW33" s="206"/>
      <c r="VTX33" s="206"/>
      <c r="VTY33" s="206"/>
      <c r="VTZ33" s="206"/>
      <c r="VUA33" s="206"/>
      <c r="VUB33" s="206"/>
      <c r="VUC33" s="206"/>
      <c r="VUD33" s="206"/>
      <c r="VUE33" s="206"/>
      <c r="VUF33" s="206"/>
      <c r="VUG33" s="206"/>
      <c r="VUH33" s="206"/>
      <c r="VUI33" s="206"/>
      <c r="VUJ33" s="206"/>
      <c r="VUK33" s="206"/>
      <c r="VUL33" s="206"/>
      <c r="VUM33" s="206"/>
      <c r="VUN33" s="206"/>
      <c r="VUO33" s="206"/>
      <c r="VUP33" s="206"/>
      <c r="VUQ33" s="206"/>
      <c r="VUR33" s="206"/>
      <c r="VUS33" s="206"/>
      <c r="VUT33" s="206"/>
      <c r="VUU33" s="206"/>
      <c r="VUV33" s="206"/>
      <c r="VUW33" s="206"/>
      <c r="VUX33" s="206"/>
      <c r="VUY33" s="206"/>
      <c r="VUZ33" s="206"/>
      <c r="VVA33" s="206"/>
      <c r="VVB33" s="206"/>
      <c r="VVC33" s="206"/>
      <c r="VVD33" s="206"/>
      <c r="VVE33" s="206"/>
      <c r="VVF33" s="206"/>
      <c r="VVG33" s="206"/>
      <c r="VVH33" s="206"/>
      <c r="VVI33" s="206"/>
      <c r="VVJ33" s="206"/>
      <c r="VVK33" s="206"/>
      <c r="VVL33" s="206"/>
      <c r="VVM33" s="206"/>
      <c r="VVN33" s="206"/>
      <c r="VVO33" s="206"/>
      <c r="VVP33" s="206"/>
      <c r="VVQ33" s="206"/>
      <c r="VVR33" s="206"/>
      <c r="VVS33" s="206"/>
      <c r="VVT33" s="206"/>
      <c r="VVU33" s="206"/>
      <c r="VVV33" s="206"/>
      <c r="VVW33" s="206"/>
      <c r="VVX33" s="206"/>
      <c r="VVY33" s="206"/>
      <c r="VVZ33" s="206"/>
      <c r="VWA33" s="206"/>
      <c r="VWB33" s="206"/>
      <c r="VWC33" s="206"/>
      <c r="VWD33" s="206"/>
      <c r="VWE33" s="206"/>
      <c r="VWF33" s="206"/>
      <c r="VWG33" s="206"/>
      <c r="VWH33" s="206"/>
      <c r="VWI33" s="206"/>
      <c r="VWJ33" s="206"/>
      <c r="VWK33" s="206"/>
      <c r="VWL33" s="206"/>
      <c r="VWM33" s="206"/>
      <c r="VWN33" s="206"/>
      <c r="VWO33" s="206"/>
      <c r="VWP33" s="206"/>
      <c r="VWQ33" s="206"/>
      <c r="VWR33" s="206"/>
      <c r="VWS33" s="206"/>
      <c r="VWT33" s="206"/>
      <c r="VWU33" s="206"/>
      <c r="VWV33" s="206"/>
      <c r="VWW33" s="206"/>
      <c r="VWX33" s="206"/>
      <c r="VWY33" s="206"/>
      <c r="VWZ33" s="206"/>
      <c r="VXA33" s="206"/>
      <c r="VXB33" s="206"/>
      <c r="VXC33" s="206"/>
      <c r="VXD33" s="206"/>
      <c r="VXE33" s="206"/>
      <c r="VXF33" s="206"/>
      <c r="VXG33" s="206"/>
      <c r="VXH33" s="206"/>
      <c r="VXI33" s="206"/>
      <c r="VXJ33" s="206"/>
      <c r="VXK33" s="206"/>
      <c r="VXL33" s="206"/>
      <c r="VXM33" s="206"/>
      <c r="VXN33" s="206"/>
      <c r="VXO33" s="206"/>
      <c r="VXP33" s="206"/>
      <c r="VXQ33" s="206"/>
      <c r="VXR33" s="206"/>
      <c r="VXS33" s="206"/>
      <c r="VXT33" s="206"/>
      <c r="VXU33" s="206"/>
      <c r="VXV33" s="206"/>
      <c r="VXW33" s="206"/>
      <c r="VXX33" s="206"/>
      <c r="VXY33" s="206"/>
      <c r="VXZ33" s="206"/>
      <c r="VYA33" s="206"/>
      <c r="VYB33" s="206"/>
      <c r="VYC33" s="206"/>
      <c r="VYD33" s="206"/>
      <c r="VYE33" s="206"/>
      <c r="VYF33" s="206"/>
      <c r="VYG33" s="206"/>
      <c r="VYH33" s="206"/>
      <c r="VYI33" s="206"/>
      <c r="VYJ33" s="206"/>
      <c r="VYK33" s="206"/>
      <c r="VYL33" s="206"/>
      <c r="VYM33" s="206"/>
      <c r="VYN33" s="206"/>
      <c r="VYO33" s="206"/>
      <c r="VYP33" s="206"/>
      <c r="VYQ33" s="206"/>
      <c r="VYR33" s="206"/>
      <c r="VYS33" s="206"/>
      <c r="VYT33" s="206"/>
      <c r="VYU33" s="206"/>
      <c r="VYV33" s="206"/>
      <c r="VYW33" s="206"/>
      <c r="VYX33" s="206"/>
      <c r="VYY33" s="206"/>
      <c r="VYZ33" s="206"/>
      <c r="VZA33" s="206"/>
      <c r="VZB33" s="206"/>
      <c r="VZC33" s="206"/>
      <c r="VZD33" s="206"/>
      <c r="VZE33" s="206"/>
      <c r="VZF33" s="206"/>
      <c r="VZG33" s="206"/>
      <c r="VZH33" s="206"/>
      <c r="VZI33" s="206"/>
      <c r="VZJ33" s="206"/>
      <c r="VZK33" s="206"/>
      <c r="VZL33" s="206"/>
      <c r="VZM33" s="206"/>
      <c r="VZN33" s="206"/>
      <c r="VZO33" s="206"/>
      <c r="VZP33" s="206"/>
      <c r="VZQ33" s="206"/>
      <c r="VZR33" s="206"/>
      <c r="VZS33" s="206"/>
      <c r="VZT33" s="206"/>
      <c r="VZU33" s="206"/>
      <c r="VZV33" s="206"/>
      <c r="VZW33" s="206"/>
      <c r="VZX33" s="206"/>
      <c r="VZY33" s="206"/>
      <c r="VZZ33" s="206"/>
      <c r="WAA33" s="206"/>
      <c r="WAB33" s="206"/>
      <c r="WAC33" s="206"/>
      <c r="WAD33" s="206"/>
      <c r="WAE33" s="206"/>
      <c r="WAF33" s="206"/>
      <c r="WAG33" s="206"/>
      <c r="WAH33" s="206"/>
      <c r="WAI33" s="206"/>
      <c r="WAJ33" s="206"/>
      <c r="WAK33" s="206"/>
      <c r="WAL33" s="206"/>
      <c r="WAM33" s="206"/>
      <c r="WAN33" s="206"/>
      <c r="WAO33" s="206"/>
      <c r="WAP33" s="206"/>
      <c r="WAQ33" s="206"/>
      <c r="WAR33" s="206"/>
      <c r="WAS33" s="206"/>
      <c r="WAT33" s="206"/>
      <c r="WAU33" s="206"/>
      <c r="WAV33" s="206"/>
      <c r="WAW33" s="206"/>
      <c r="WAX33" s="206"/>
      <c r="WAY33" s="206"/>
      <c r="WAZ33" s="206"/>
      <c r="WBA33" s="206"/>
      <c r="WBB33" s="206"/>
      <c r="WBC33" s="206"/>
      <c r="WBD33" s="206"/>
      <c r="WBE33" s="206"/>
      <c r="WBF33" s="206"/>
      <c r="WBG33" s="206"/>
      <c r="WBH33" s="206"/>
      <c r="WBI33" s="206"/>
      <c r="WBJ33" s="206"/>
      <c r="WBK33" s="206"/>
      <c r="WBL33" s="206"/>
      <c r="WBM33" s="206"/>
      <c r="WBN33" s="206"/>
      <c r="WBO33" s="206"/>
      <c r="WBP33" s="206"/>
      <c r="WBQ33" s="206"/>
      <c r="WBR33" s="206"/>
      <c r="WBS33" s="206"/>
      <c r="WBT33" s="206"/>
      <c r="WBU33" s="206"/>
      <c r="WBV33" s="206"/>
      <c r="WBW33" s="206"/>
      <c r="WBX33" s="206"/>
      <c r="WBY33" s="206"/>
      <c r="WBZ33" s="206"/>
      <c r="WCA33" s="206"/>
      <c r="WCB33" s="206"/>
      <c r="WCC33" s="206"/>
      <c r="WCD33" s="206"/>
      <c r="WCE33" s="206"/>
      <c r="WCF33" s="206"/>
      <c r="WCG33" s="206"/>
      <c r="WCH33" s="206"/>
      <c r="WCI33" s="206"/>
      <c r="WCJ33" s="206"/>
      <c r="WCK33" s="206"/>
      <c r="WCL33" s="206"/>
      <c r="WCM33" s="206"/>
      <c r="WCN33" s="206"/>
      <c r="WCO33" s="206"/>
      <c r="WCP33" s="206"/>
      <c r="WCQ33" s="206"/>
      <c r="WCR33" s="206"/>
      <c r="WCS33" s="206"/>
      <c r="WCT33" s="206"/>
      <c r="WCU33" s="206"/>
      <c r="WCV33" s="206"/>
      <c r="WCW33" s="206"/>
      <c r="WCX33" s="206"/>
      <c r="WCY33" s="206"/>
      <c r="WCZ33" s="206"/>
      <c r="WDA33" s="206"/>
      <c r="WDB33" s="206"/>
      <c r="WDC33" s="206"/>
      <c r="WDD33" s="206"/>
      <c r="WDE33" s="206"/>
      <c r="WDF33" s="206"/>
      <c r="WDG33" s="206"/>
      <c r="WDH33" s="206"/>
      <c r="WDI33" s="206"/>
      <c r="WDJ33" s="206"/>
      <c r="WDK33" s="206"/>
      <c r="WDL33" s="206"/>
      <c r="WDM33" s="206"/>
      <c r="WDN33" s="206"/>
      <c r="WDO33" s="206"/>
      <c r="WDP33" s="206"/>
      <c r="WDQ33" s="206"/>
      <c r="WDR33" s="206"/>
      <c r="WDS33" s="206"/>
      <c r="WDT33" s="206"/>
      <c r="WDU33" s="206"/>
      <c r="WDV33" s="206"/>
      <c r="WDW33" s="206"/>
      <c r="WDX33" s="206"/>
      <c r="WDY33" s="206"/>
      <c r="WDZ33" s="206"/>
      <c r="WEA33" s="206"/>
      <c r="WEB33" s="206"/>
      <c r="WEC33" s="206"/>
      <c r="WED33" s="206"/>
      <c r="WEE33" s="206"/>
      <c r="WEF33" s="206"/>
      <c r="WEG33" s="206"/>
      <c r="WEH33" s="206"/>
      <c r="WEI33" s="206"/>
      <c r="WEJ33" s="206"/>
      <c r="WEK33" s="206"/>
      <c r="WEL33" s="206"/>
      <c r="WEM33" s="206"/>
      <c r="WEN33" s="206"/>
      <c r="WEO33" s="206"/>
      <c r="WEP33" s="206"/>
      <c r="WEQ33" s="206"/>
      <c r="WER33" s="206"/>
      <c r="WES33" s="206"/>
      <c r="WET33" s="206"/>
      <c r="WEU33" s="206"/>
      <c r="WEV33" s="206"/>
      <c r="WEW33" s="206"/>
      <c r="WEX33" s="206"/>
      <c r="WEY33" s="206"/>
      <c r="WEZ33" s="206"/>
      <c r="WFA33" s="206"/>
      <c r="WFB33" s="206"/>
      <c r="WFC33" s="206"/>
      <c r="WFD33" s="206"/>
      <c r="WFE33" s="206"/>
      <c r="WFF33" s="206"/>
      <c r="WFG33" s="206"/>
      <c r="WFH33" s="206"/>
      <c r="WFI33" s="206"/>
      <c r="WFJ33" s="206"/>
      <c r="WFK33" s="206"/>
      <c r="WFL33" s="206"/>
      <c r="WFM33" s="206"/>
      <c r="WFN33" s="206"/>
      <c r="WFO33" s="206"/>
      <c r="WFP33" s="206"/>
      <c r="WFQ33" s="206"/>
      <c r="WFR33" s="206"/>
      <c r="WFS33" s="206"/>
      <c r="WFT33" s="206"/>
      <c r="WFU33" s="206"/>
      <c r="WFV33" s="206"/>
      <c r="WFW33" s="206"/>
      <c r="WFX33" s="206"/>
      <c r="WFY33" s="206"/>
      <c r="WFZ33" s="206"/>
      <c r="WGA33" s="206"/>
      <c r="WGB33" s="206"/>
      <c r="WGC33" s="206"/>
      <c r="WGD33" s="206"/>
      <c r="WGE33" s="206"/>
      <c r="WGF33" s="206"/>
      <c r="WGG33" s="206"/>
      <c r="WGH33" s="206"/>
      <c r="WGI33" s="206"/>
      <c r="WGJ33" s="206"/>
      <c r="WGK33" s="206"/>
      <c r="WGL33" s="206"/>
      <c r="WGM33" s="206"/>
      <c r="WGN33" s="206"/>
      <c r="WGO33" s="206"/>
      <c r="WGP33" s="206"/>
      <c r="WGQ33" s="206"/>
      <c r="WGR33" s="206"/>
      <c r="WGS33" s="206"/>
      <c r="WGT33" s="206"/>
      <c r="WGU33" s="206"/>
      <c r="WGV33" s="206"/>
      <c r="WGW33" s="206"/>
      <c r="WGX33" s="206"/>
      <c r="WGY33" s="206"/>
      <c r="WGZ33" s="206"/>
      <c r="WHA33" s="206"/>
      <c r="WHB33" s="206"/>
      <c r="WHC33" s="206"/>
      <c r="WHD33" s="206"/>
      <c r="WHE33" s="206"/>
      <c r="WHF33" s="206"/>
      <c r="WHG33" s="206"/>
      <c r="WHH33" s="206"/>
      <c r="WHI33" s="206"/>
      <c r="WHJ33" s="206"/>
      <c r="WHK33" s="206"/>
      <c r="WHL33" s="206"/>
      <c r="WHM33" s="206"/>
      <c r="WHN33" s="206"/>
      <c r="WHO33" s="206"/>
      <c r="WHP33" s="206"/>
      <c r="WHQ33" s="206"/>
      <c r="WHR33" s="206"/>
      <c r="WHS33" s="206"/>
      <c r="WHT33" s="206"/>
      <c r="WHU33" s="206"/>
      <c r="WHV33" s="206"/>
      <c r="WHW33" s="206"/>
      <c r="WHX33" s="206"/>
      <c r="WHY33" s="206"/>
      <c r="WHZ33" s="206"/>
      <c r="WIA33" s="206"/>
      <c r="WIB33" s="206"/>
      <c r="WIC33" s="206"/>
      <c r="WID33" s="206"/>
      <c r="WIE33" s="206"/>
      <c r="WIF33" s="206"/>
      <c r="WIG33" s="206"/>
      <c r="WIH33" s="206"/>
      <c r="WII33" s="206"/>
      <c r="WIJ33" s="206"/>
      <c r="WIK33" s="206"/>
      <c r="WIL33" s="206"/>
      <c r="WIM33" s="206"/>
      <c r="WIN33" s="206"/>
      <c r="WIO33" s="206"/>
      <c r="WIP33" s="206"/>
      <c r="WIQ33" s="206"/>
      <c r="WIR33" s="206"/>
      <c r="WIS33" s="206"/>
      <c r="WIT33" s="206"/>
      <c r="WIU33" s="206"/>
      <c r="WIV33" s="206"/>
      <c r="WIW33" s="206"/>
      <c r="WIX33" s="206"/>
      <c r="WIY33" s="206"/>
      <c r="WIZ33" s="206"/>
      <c r="WJA33" s="206"/>
      <c r="WJB33" s="206"/>
      <c r="WJC33" s="206"/>
      <c r="WJD33" s="206"/>
      <c r="WJE33" s="206"/>
      <c r="WJF33" s="206"/>
      <c r="WJG33" s="206"/>
      <c r="WJH33" s="206"/>
      <c r="WJI33" s="206"/>
      <c r="WJJ33" s="206"/>
      <c r="WJK33" s="206"/>
      <c r="WJL33" s="206"/>
      <c r="WJM33" s="206"/>
      <c r="WJN33" s="206"/>
      <c r="WJO33" s="206"/>
      <c r="WJP33" s="206"/>
      <c r="WJQ33" s="206"/>
      <c r="WJR33" s="206"/>
      <c r="WJS33" s="206"/>
      <c r="WJT33" s="206"/>
      <c r="WJU33" s="206"/>
      <c r="WJV33" s="206"/>
      <c r="WJW33" s="206"/>
      <c r="WJX33" s="206"/>
      <c r="WJY33" s="206"/>
      <c r="WJZ33" s="206"/>
      <c r="WKA33" s="206"/>
      <c r="WKB33" s="206"/>
      <c r="WKC33" s="206"/>
      <c r="WKD33" s="206"/>
      <c r="WKE33" s="206"/>
      <c r="WKF33" s="206"/>
      <c r="WKG33" s="206"/>
      <c r="WKH33" s="206"/>
      <c r="WKI33" s="206"/>
      <c r="WKJ33" s="206"/>
      <c r="WKK33" s="206"/>
      <c r="WKL33" s="206"/>
      <c r="WKM33" s="206"/>
      <c r="WKN33" s="206"/>
      <c r="WKO33" s="206"/>
      <c r="WKP33" s="206"/>
      <c r="WKQ33" s="206"/>
      <c r="WKR33" s="206"/>
      <c r="WKS33" s="206"/>
      <c r="WKT33" s="206"/>
      <c r="WKU33" s="206"/>
      <c r="WKV33" s="206"/>
      <c r="WKW33" s="206"/>
      <c r="WKX33" s="206"/>
      <c r="WKY33" s="206"/>
      <c r="WKZ33" s="206"/>
      <c r="WLA33" s="206"/>
      <c r="WLB33" s="206"/>
      <c r="WLC33" s="206"/>
      <c r="WLD33" s="206"/>
      <c r="WLE33" s="206"/>
      <c r="WLF33" s="206"/>
      <c r="WLG33" s="206"/>
      <c r="WLH33" s="206"/>
      <c r="WLI33" s="206"/>
      <c r="WLJ33" s="206"/>
      <c r="WLK33" s="206"/>
      <c r="WLL33" s="206"/>
      <c r="WLM33" s="206"/>
      <c r="WLN33" s="206"/>
      <c r="WLO33" s="206"/>
      <c r="WLP33" s="206"/>
      <c r="WLQ33" s="206"/>
      <c r="WLR33" s="206"/>
      <c r="WLS33" s="206"/>
      <c r="WLT33" s="206"/>
      <c r="WLU33" s="206"/>
      <c r="WLV33" s="206"/>
      <c r="WLW33" s="206"/>
      <c r="WLX33" s="206"/>
      <c r="WLY33" s="206"/>
      <c r="WLZ33" s="206"/>
      <c r="WMA33" s="206"/>
      <c r="WMB33" s="206"/>
      <c r="WMC33" s="206"/>
      <c r="WMD33" s="206"/>
      <c r="WME33" s="206"/>
      <c r="WMF33" s="206"/>
      <c r="WMG33" s="206"/>
      <c r="WMH33" s="206"/>
      <c r="WMI33" s="206"/>
      <c r="WMJ33" s="206"/>
      <c r="WMK33" s="206"/>
      <c r="WML33" s="206"/>
      <c r="WMM33" s="206"/>
      <c r="WMN33" s="206"/>
      <c r="WMO33" s="206"/>
      <c r="WMP33" s="206"/>
      <c r="WMQ33" s="206"/>
      <c r="WMR33" s="206"/>
      <c r="WMS33" s="206"/>
      <c r="WMT33" s="206"/>
      <c r="WMU33" s="206"/>
      <c r="WMV33" s="206"/>
      <c r="WMW33" s="206"/>
      <c r="WMX33" s="206"/>
      <c r="WMY33" s="206"/>
      <c r="WMZ33" s="206"/>
      <c r="WNA33" s="206"/>
      <c r="WNB33" s="206"/>
      <c r="WNC33" s="206"/>
      <c r="WND33" s="206"/>
      <c r="WNE33" s="206"/>
      <c r="WNF33" s="206"/>
      <c r="WNG33" s="206"/>
      <c r="WNH33" s="206"/>
      <c r="WNI33" s="206"/>
      <c r="WNJ33" s="206"/>
      <c r="WNK33" s="206"/>
      <c r="WNL33" s="206"/>
      <c r="WNM33" s="206"/>
      <c r="WNN33" s="206"/>
      <c r="WNO33" s="206"/>
      <c r="WNP33" s="206"/>
      <c r="WNQ33" s="206"/>
      <c r="WNR33" s="206"/>
      <c r="WNS33" s="206"/>
      <c r="WNT33" s="206"/>
      <c r="WNU33" s="206"/>
      <c r="WNV33" s="206"/>
      <c r="WNW33" s="206"/>
      <c r="WNX33" s="206"/>
      <c r="WNY33" s="206"/>
      <c r="WNZ33" s="206"/>
      <c r="WOA33" s="206"/>
      <c r="WOB33" s="206"/>
      <c r="WOC33" s="206"/>
      <c r="WOD33" s="206"/>
      <c r="WOE33" s="206"/>
      <c r="WOF33" s="206"/>
      <c r="WOG33" s="206"/>
      <c r="WOH33" s="206"/>
      <c r="WOI33" s="206"/>
      <c r="WOJ33" s="206"/>
      <c r="WOK33" s="206"/>
      <c r="WOL33" s="206"/>
      <c r="WOM33" s="206"/>
      <c r="WON33" s="206"/>
      <c r="WOO33" s="206"/>
      <c r="WOP33" s="206"/>
      <c r="WOQ33" s="206"/>
      <c r="WOR33" s="206"/>
      <c r="WOS33" s="206"/>
      <c r="WOT33" s="206"/>
      <c r="WOU33" s="206"/>
      <c r="WOV33" s="206"/>
      <c r="WOW33" s="206"/>
      <c r="WOX33" s="206"/>
      <c r="WOY33" s="206"/>
      <c r="WOZ33" s="206"/>
      <c r="WPA33" s="206"/>
      <c r="WPB33" s="206"/>
      <c r="WPC33" s="206"/>
      <c r="WPD33" s="206"/>
      <c r="WPE33" s="206"/>
      <c r="WPF33" s="206"/>
      <c r="WPG33" s="206"/>
      <c r="WPH33" s="206"/>
      <c r="WPI33" s="206"/>
      <c r="WPJ33" s="206"/>
      <c r="WPK33" s="206"/>
      <c r="WPL33" s="206"/>
      <c r="WPM33" s="206"/>
      <c r="WPN33" s="206"/>
      <c r="WPO33" s="206"/>
      <c r="WPP33" s="206"/>
      <c r="WPQ33" s="206"/>
      <c r="WPR33" s="206"/>
      <c r="WPS33" s="206"/>
      <c r="WPT33" s="206"/>
      <c r="WPU33" s="206"/>
      <c r="WPV33" s="206"/>
      <c r="WPW33" s="206"/>
      <c r="WPX33" s="206"/>
      <c r="WPY33" s="206"/>
      <c r="WPZ33" s="206"/>
      <c r="WQA33" s="206"/>
      <c r="WQB33" s="206"/>
      <c r="WQC33" s="206"/>
      <c r="WQD33" s="206"/>
      <c r="WQE33" s="206"/>
      <c r="WQF33" s="206"/>
      <c r="WQG33" s="206"/>
      <c r="WQH33" s="206"/>
      <c r="WQI33" s="206"/>
      <c r="WQJ33" s="206"/>
      <c r="WQK33" s="206"/>
      <c r="WQL33" s="206"/>
      <c r="WQM33" s="206"/>
      <c r="WQN33" s="206"/>
      <c r="WQO33" s="206"/>
      <c r="WQP33" s="206"/>
      <c r="WQQ33" s="206"/>
      <c r="WQR33" s="206"/>
      <c r="WQS33" s="206"/>
      <c r="WQT33" s="206"/>
      <c r="WQU33" s="206"/>
      <c r="WQV33" s="206"/>
      <c r="WQW33" s="206"/>
      <c r="WQX33" s="206"/>
      <c r="WQY33" s="206"/>
      <c r="WQZ33" s="206"/>
      <c r="WRA33" s="206"/>
      <c r="WRB33" s="206"/>
      <c r="WRC33" s="206"/>
      <c r="WRD33" s="206"/>
      <c r="WRE33" s="206"/>
      <c r="WRF33" s="206"/>
      <c r="WRG33" s="206"/>
      <c r="WRH33" s="206"/>
      <c r="WRI33" s="206"/>
      <c r="WRJ33" s="206"/>
      <c r="WRK33" s="206"/>
      <c r="WRL33" s="206"/>
      <c r="WRM33" s="206"/>
      <c r="WRN33" s="206"/>
      <c r="WRO33" s="206"/>
      <c r="WRP33" s="206"/>
      <c r="WRQ33" s="206"/>
      <c r="WRR33" s="206"/>
      <c r="WRS33" s="206"/>
      <c r="WRT33" s="206"/>
      <c r="WRU33" s="206"/>
      <c r="WRV33" s="206"/>
      <c r="WRW33" s="206"/>
      <c r="WRX33" s="206"/>
      <c r="WRY33" s="206"/>
      <c r="WRZ33" s="206"/>
      <c r="WSA33" s="206"/>
      <c r="WSB33" s="206"/>
      <c r="WSC33" s="206"/>
      <c r="WSD33" s="206"/>
      <c r="WSE33" s="206"/>
      <c r="WSF33" s="206"/>
      <c r="WSG33" s="206"/>
      <c r="WSH33" s="206"/>
      <c r="WSI33" s="206"/>
      <c r="WSJ33" s="206"/>
      <c r="WSK33" s="206"/>
      <c r="WSL33" s="206"/>
      <c r="WSM33" s="206"/>
      <c r="WSN33" s="206"/>
      <c r="WSO33" s="206"/>
      <c r="WSP33" s="206"/>
      <c r="WSQ33" s="206"/>
      <c r="WSR33" s="206"/>
      <c r="WSS33" s="206"/>
      <c r="WST33" s="206"/>
      <c r="WSU33" s="206"/>
      <c r="WSV33" s="206"/>
      <c r="WSW33" s="206"/>
      <c r="WSX33" s="206"/>
      <c r="WSY33" s="206"/>
      <c r="WSZ33" s="206"/>
      <c r="WTA33" s="206"/>
      <c r="WTB33" s="206"/>
      <c r="WTC33" s="206"/>
      <c r="WTD33" s="206"/>
      <c r="WTE33" s="206"/>
      <c r="WTF33" s="206"/>
      <c r="WTG33" s="206"/>
      <c r="WTH33" s="206"/>
      <c r="WTI33" s="206"/>
      <c r="WTJ33" s="206"/>
      <c r="WTK33" s="206"/>
      <c r="WTL33" s="206"/>
      <c r="WTM33" s="206"/>
      <c r="WTN33" s="206"/>
      <c r="WTO33" s="206"/>
      <c r="WTP33" s="206"/>
      <c r="WTQ33" s="206"/>
      <c r="WTR33" s="206"/>
      <c r="WTS33" s="206"/>
      <c r="WTT33" s="206"/>
      <c r="WTU33" s="206"/>
      <c r="WTV33" s="206"/>
      <c r="WTW33" s="206"/>
      <c r="WTX33" s="206"/>
      <c r="WTY33" s="206"/>
      <c r="WTZ33" s="206"/>
      <c r="WUA33" s="206"/>
      <c r="WUB33" s="206"/>
      <c r="WUC33" s="206"/>
      <c r="WUD33" s="206"/>
      <c r="WUE33" s="206"/>
      <c r="WUF33" s="206"/>
      <c r="WUG33" s="206"/>
      <c r="WUH33" s="206"/>
      <c r="WUI33" s="206"/>
      <c r="WUJ33" s="206"/>
      <c r="WUK33" s="206"/>
      <c r="WUL33" s="206"/>
      <c r="WUM33" s="206"/>
      <c r="WUN33" s="206"/>
      <c r="WUO33" s="206"/>
      <c r="WUP33" s="206"/>
      <c r="WUQ33" s="206"/>
      <c r="WUR33" s="206"/>
      <c r="WUS33" s="206"/>
      <c r="WUT33" s="206"/>
      <c r="WUU33" s="206"/>
      <c r="WUV33" s="206"/>
      <c r="WUW33" s="206"/>
      <c r="WUX33" s="206"/>
      <c r="WUY33" s="206"/>
      <c r="WUZ33" s="206"/>
      <c r="WVA33" s="206"/>
      <c r="WVB33" s="206"/>
      <c r="WVC33" s="206"/>
      <c r="WVD33" s="206"/>
      <c r="WVE33" s="206"/>
      <c r="WVF33" s="206"/>
      <c r="WVG33" s="206"/>
      <c r="WVH33" s="206"/>
      <c r="WVI33" s="206"/>
      <c r="WVJ33" s="206"/>
      <c r="WVK33" s="206"/>
      <c r="WVL33" s="206"/>
      <c r="WVM33" s="206"/>
      <c r="WVN33" s="206"/>
      <c r="WVO33" s="206"/>
      <c r="WVP33" s="206"/>
      <c r="WVQ33" s="206"/>
      <c r="WVR33" s="206"/>
      <c r="WVS33" s="206"/>
      <c r="WVT33" s="206"/>
      <c r="WVU33" s="206"/>
      <c r="WVV33" s="206"/>
      <c r="WVW33" s="206"/>
      <c r="WVX33" s="206"/>
      <c r="WVY33" s="206"/>
      <c r="WVZ33" s="206"/>
      <c r="WWA33" s="206"/>
      <c r="WWB33" s="206"/>
      <c r="WWC33" s="206"/>
      <c r="WWD33" s="206"/>
      <c r="WWE33" s="206"/>
      <c r="WWF33" s="206"/>
      <c r="WWG33" s="206"/>
      <c r="WWH33" s="206"/>
      <c r="WWI33" s="206"/>
      <c r="WWJ33" s="206"/>
      <c r="WWK33" s="206"/>
      <c r="WWL33" s="206"/>
      <c r="WWM33" s="206"/>
      <c r="WWN33" s="206"/>
      <c r="WWO33" s="206"/>
      <c r="WWP33" s="206"/>
      <c r="WWQ33" s="206"/>
      <c r="WWR33" s="206"/>
      <c r="WWS33" s="206"/>
      <c r="WWT33" s="206"/>
      <c r="WWU33" s="206"/>
      <c r="WWV33" s="206"/>
      <c r="WWW33" s="206"/>
      <c r="WWX33" s="206"/>
      <c r="WWY33" s="206"/>
      <c r="WWZ33" s="206"/>
      <c r="WXA33" s="206"/>
      <c r="WXB33" s="206"/>
      <c r="WXC33" s="206"/>
      <c r="WXD33" s="206"/>
      <c r="WXE33" s="206"/>
      <c r="WXF33" s="206"/>
      <c r="WXG33" s="206"/>
      <c r="WXH33" s="206"/>
      <c r="WXI33" s="206"/>
      <c r="WXJ33" s="206"/>
      <c r="WXK33" s="206"/>
      <c r="WXL33" s="206"/>
      <c r="WXM33" s="206"/>
      <c r="WXN33" s="206"/>
      <c r="WXO33" s="206"/>
      <c r="WXP33" s="206"/>
      <c r="WXQ33" s="206"/>
      <c r="WXR33" s="206"/>
      <c r="WXS33" s="206"/>
      <c r="WXT33" s="206"/>
      <c r="WXU33" s="206"/>
      <c r="WXV33" s="206"/>
      <c r="WXW33" s="206"/>
      <c r="WXX33" s="206"/>
      <c r="WXY33" s="206"/>
      <c r="WXZ33" s="206"/>
      <c r="WYA33" s="206"/>
      <c r="WYB33" s="206"/>
      <c r="WYC33" s="206"/>
      <c r="WYD33" s="206"/>
      <c r="WYE33" s="206"/>
      <c r="WYF33" s="206"/>
      <c r="WYG33" s="206"/>
      <c r="WYH33" s="206"/>
      <c r="WYI33" s="206"/>
      <c r="WYJ33" s="206"/>
      <c r="WYK33" s="206"/>
      <c r="WYL33" s="206"/>
      <c r="WYM33" s="206"/>
      <c r="WYN33" s="206"/>
      <c r="WYO33" s="206"/>
      <c r="WYP33" s="206"/>
      <c r="WYQ33" s="206"/>
      <c r="WYR33" s="206"/>
      <c r="WYS33" s="206"/>
      <c r="WYT33" s="206"/>
      <c r="WYU33" s="206"/>
      <c r="WYV33" s="206"/>
      <c r="WYW33" s="206"/>
      <c r="WYX33" s="206"/>
      <c r="WYY33" s="206"/>
      <c r="WYZ33" s="206"/>
      <c r="WZA33" s="206"/>
      <c r="WZB33" s="206"/>
      <c r="WZC33" s="206"/>
      <c r="WZD33" s="206"/>
      <c r="WZE33" s="206"/>
      <c r="WZF33" s="206"/>
      <c r="WZG33" s="206"/>
      <c r="WZH33" s="206"/>
      <c r="WZI33" s="206"/>
      <c r="WZJ33" s="206"/>
      <c r="WZK33" s="206"/>
      <c r="WZL33" s="206"/>
      <c r="WZM33" s="206"/>
      <c r="WZN33" s="206"/>
      <c r="WZO33" s="206"/>
      <c r="WZP33" s="206"/>
      <c r="WZQ33" s="206"/>
      <c r="WZR33" s="206"/>
      <c r="WZS33" s="206"/>
      <c r="WZT33" s="206"/>
      <c r="WZU33" s="206"/>
      <c r="WZV33" s="206"/>
      <c r="WZW33" s="206"/>
      <c r="WZX33" s="206"/>
      <c r="WZY33" s="206"/>
      <c r="WZZ33" s="206"/>
      <c r="XAA33" s="206"/>
      <c r="XAB33" s="206"/>
      <c r="XAC33" s="206"/>
      <c r="XAD33" s="206"/>
      <c r="XAE33" s="206"/>
      <c r="XAF33" s="206"/>
      <c r="XAG33" s="206"/>
      <c r="XAH33" s="206"/>
      <c r="XAI33" s="206"/>
      <c r="XAJ33" s="206"/>
      <c r="XAK33" s="206"/>
      <c r="XAL33" s="206"/>
      <c r="XAM33" s="206"/>
      <c r="XAN33" s="206"/>
      <c r="XAO33" s="206"/>
      <c r="XAP33" s="206"/>
      <c r="XAQ33" s="206"/>
      <c r="XAR33" s="206"/>
      <c r="XAS33" s="206"/>
      <c r="XAT33" s="206"/>
      <c r="XAU33" s="206"/>
      <c r="XAV33" s="206"/>
      <c r="XAW33" s="206"/>
      <c r="XAX33" s="206"/>
      <c r="XAY33" s="206"/>
      <c r="XAZ33" s="206"/>
      <c r="XBA33" s="206"/>
      <c r="XBB33" s="206"/>
      <c r="XBC33" s="206"/>
      <c r="XBD33" s="206"/>
      <c r="XBE33" s="206"/>
      <c r="XBF33" s="206"/>
      <c r="XBG33" s="206"/>
      <c r="XBH33" s="206"/>
      <c r="XBI33" s="206"/>
      <c r="XBJ33" s="206"/>
      <c r="XBK33" s="206"/>
      <c r="XBL33" s="206"/>
      <c r="XBM33" s="206"/>
      <c r="XBN33" s="206"/>
      <c r="XBO33" s="206"/>
      <c r="XBP33" s="206"/>
      <c r="XBQ33" s="206"/>
      <c r="XBR33" s="206"/>
      <c r="XBS33" s="206"/>
      <c r="XBT33" s="206"/>
      <c r="XBU33" s="206"/>
      <c r="XBV33" s="206"/>
      <c r="XBW33" s="206"/>
      <c r="XBX33" s="206"/>
      <c r="XBY33" s="206"/>
      <c r="XBZ33" s="206"/>
      <c r="XCA33" s="206"/>
      <c r="XCB33" s="206"/>
      <c r="XCC33" s="206"/>
      <c r="XCD33" s="206"/>
      <c r="XCE33" s="206"/>
      <c r="XCF33" s="206"/>
      <c r="XCG33" s="206"/>
      <c r="XCH33" s="206"/>
      <c r="XCI33" s="206"/>
      <c r="XCJ33" s="206"/>
      <c r="XCK33" s="206"/>
      <c r="XCL33" s="206"/>
      <c r="XCM33" s="206"/>
      <c r="XCN33" s="206"/>
      <c r="XCO33" s="206"/>
      <c r="XCP33" s="206"/>
      <c r="XCQ33" s="206"/>
      <c r="XCR33" s="206"/>
      <c r="XCS33" s="206"/>
      <c r="XCT33" s="206"/>
      <c r="XCU33" s="206"/>
      <c r="XCV33" s="206"/>
      <c r="XCW33" s="206"/>
      <c r="XCX33" s="206"/>
      <c r="XCY33" s="206"/>
      <c r="XCZ33" s="206"/>
      <c r="XDA33" s="206"/>
      <c r="XDB33" s="206"/>
      <c r="XDC33" s="206"/>
      <c r="XDD33" s="206"/>
      <c r="XDE33" s="206"/>
      <c r="XDF33" s="206"/>
      <c r="XDG33" s="206"/>
      <c r="XDH33" s="206"/>
      <c r="XDI33" s="206"/>
      <c r="XDJ33" s="206"/>
      <c r="XDK33" s="206"/>
      <c r="XDL33" s="206"/>
      <c r="XDM33" s="206"/>
      <c r="XDN33" s="206"/>
      <c r="XDO33" s="206"/>
      <c r="XDP33" s="206"/>
      <c r="XDQ33" s="206"/>
      <c r="XDR33" s="206"/>
      <c r="XDS33" s="206"/>
      <c r="XDT33" s="206"/>
      <c r="XDU33" s="206"/>
      <c r="XDV33" s="206"/>
      <c r="XDW33" s="206"/>
      <c r="XDX33" s="206"/>
      <c r="XDY33" s="206"/>
      <c r="XDZ33" s="206"/>
      <c r="XEA33" s="206"/>
      <c r="XEB33" s="206"/>
      <c r="XEC33" s="206"/>
      <c r="XED33" s="206"/>
      <c r="XEE33" s="206"/>
      <c r="XEF33" s="206"/>
      <c r="XEG33" s="206"/>
      <c r="XEH33" s="206"/>
      <c r="XEI33" s="206"/>
      <c r="XEJ33" s="206"/>
      <c r="XEK33" s="206"/>
      <c r="XEL33" s="206"/>
      <c r="XEM33" s="206"/>
      <c r="XEN33" s="206"/>
      <c r="XEO33" s="206"/>
      <c r="XEP33" s="206"/>
      <c r="XEQ33" s="206"/>
      <c r="XER33" s="206"/>
      <c r="XES33" s="206"/>
      <c r="XET33" s="206"/>
      <c r="XEU33" s="206"/>
      <c r="XEV33" s="206"/>
      <c r="XEW33" s="206"/>
      <c r="XEX33" s="206"/>
      <c r="XEY33" s="206"/>
    </row>
    <row r="34" spans="1:16379" s="147" customFormat="1" x14ac:dyDescent="0.25">
      <c r="A34" s="200">
        <v>45717</v>
      </c>
      <c r="B34" s="201" t="s">
        <v>40</v>
      </c>
      <c r="C34" s="201" t="s">
        <v>41</v>
      </c>
      <c r="D34" s="201">
        <v>25708062</v>
      </c>
      <c r="E34" s="202">
        <v>24106526</v>
      </c>
      <c r="F34" s="202" t="s">
        <v>870</v>
      </c>
      <c r="G34" s="203">
        <v>45729</v>
      </c>
      <c r="H34" s="201" t="s">
        <v>203</v>
      </c>
      <c r="I34" s="201" t="s">
        <v>216</v>
      </c>
      <c r="J34" s="201" t="s">
        <v>861</v>
      </c>
      <c r="K34" s="143">
        <v>40</v>
      </c>
      <c r="L34" s="143" t="s">
        <v>42</v>
      </c>
      <c r="M34" s="143">
        <v>40</v>
      </c>
      <c r="N34" s="143">
        <v>572680.38</v>
      </c>
      <c r="O34" s="143">
        <v>22907215.199999999</v>
      </c>
      <c r="P34" s="143">
        <v>22907215.199999999</v>
      </c>
      <c r="Q34" s="143">
        <v>0</v>
      </c>
      <c r="R34" s="143">
        <v>0</v>
      </c>
      <c r="S34" s="143" t="s">
        <v>43</v>
      </c>
      <c r="T34" s="143">
        <v>11665296.1</v>
      </c>
      <c r="U34" s="143">
        <v>11665296.1</v>
      </c>
      <c r="V34" s="143">
        <v>11241919.1</v>
      </c>
      <c r="W34" s="144">
        <v>0.49075887233900001</v>
      </c>
      <c r="X34" s="143">
        <v>11241919.1</v>
      </c>
      <c r="Y34" s="201" t="s">
        <v>69</v>
      </c>
      <c r="Z34" s="201" t="s">
        <v>46</v>
      </c>
      <c r="AA34" s="204">
        <v>15440</v>
      </c>
      <c r="AB34" s="201" t="s">
        <v>862</v>
      </c>
      <c r="AC34" s="201" t="s">
        <v>56</v>
      </c>
      <c r="AD34" s="201" t="s">
        <v>77</v>
      </c>
      <c r="AE34" s="205">
        <v>0</v>
      </c>
      <c r="AF34" s="201" t="s">
        <v>124</v>
      </c>
      <c r="AG34" s="201" t="s">
        <v>69</v>
      </c>
      <c r="AH34" s="201" t="s">
        <v>46</v>
      </c>
      <c r="AI34" s="201" t="s">
        <v>69</v>
      </c>
      <c r="AJ34" s="201" t="s">
        <v>46</v>
      </c>
      <c r="AK34" s="201" t="s">
        <v>54</v>
      </c>
      <c r="AL34" s="201" t="s">
        <v>48</v>
      </c>
      <c r="AM34" s="201" t="s">
        <v>64</v>
      </c>
      <c r="AN34" s="206" t="str">
        <f>VLOOKUP(I34,Sheet1!A:D,4,FALSE)</f>
        <v>A320400</v>
      </c>
      <c r="AO34" s="133"/>
      <c r="AP34" s="206" t="s">
        <v>699</v>
      </c>
      <c r="AQ34" s="206"/>
      <c r="AR34" s="206" t="s">
        <v>871</v>
      </c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6"/>
      <c r="BD34" s="206"/>
      <c r="BE34" s="206"/>
      <c r="BF34" s="206"/>
      <c r="BG34" s="206"/>
      <c r="BH34" s="206"/>
      <c r="BI34" s="206"/>
      <c r="BJ34" s="206"/>
      <c r="BK34" s="206"/>
      <c r="BL34" s="206"/>
      <c r="BM34" s="206"/>
      <c r="BN34" s="206"/>
      <c r="BO34" s="206"/>
      <c r="BP34" s="206"/>
      <c r="BQ34" s="206"/>
      <c r="BR34" s="206"/>
      <c r="BS34" s="206"/>
      <c r="BT34" s="206"/>
      <c r="BU34" s="206"/>
      <c r="BV34" s="206"/>
      <c r="BW34" s="206"/>
      <c r="BX34" s="206"/>
      <c r="BY34" s="206"/>
      <c r="BZ34" s="206"/>
      <c r="CA34" s="206"/>
      <c r="CB34" s="206"/>
      <c r="CC34" s="206"/>
      <c r="CD34" s="206"/>
      <c r="CE34" s="206"/>
      <c r="CF34" s="206"/>
      <c r="CG34" s="206"/>
      <c r="CH34" s="206"/>
      <c r="CI34" s="206"/>
      <c r="CJ34" s="206"/>
      <c r="CK34" s="206"/>
      <c r="CL34" s="206"/>
      <c r="CM34" s="206"/>
      <c r="CN34" s="206"/>
      <c r="CO34" s="206"/>
      <c r="CP34" s="206"/>
      <c r="CQ34" s="206"/>
      <c r="CR34" s="206"/>
      <c r="CS34" s="206"/>
      <c r="CT34" s="206"/>
      <c r="CU34" s="206"/>
      <c r="CV34" s="206"/>
      <c r="CW34" s="206"/>
      <c r="CX34" s="206"/>
      <c r="CY34" s="206"/>
      <c r="CZ34" s="206"/>
      <c r="DA34" s="206"/>
      <c r="DB34" s="206"/>
      <c r="DC34" s="206"/>
      <c r="DD34" s="206"/>
      <c r="DE34" s="206"/>
      <c r="DF34" s="206"/>
      <c r="DG34" s="206"/>
      <c r="DH34" s="206"/>
      <c r="DI34" s="206"/>
      <c r="DJ34" s="206"/>
      <c r="DK34" s="206"/>
      <c r="DL34" s="206"/>
      <c r="DM34" s="206"/>
      <c r="DN34" s="206"/>
      <c r="DO34" s="206"/>
      <c r="DP34" s="206"/>
      <c r="DQ34" s="206"/>
      <c r="DR34" s="206"/>
      <c r="DS34" s="206"/>
      <c r="DT34" s="206"/>
      <c r="DU34" s="206"/>
      <c r="DV34" s="206"/>
      <c r="DW34" s="206"/>
      <c r="DX34" s="206"/>
      <c r="DY34" s="206"/>
      <c r="DZ34" s="206"/>
      <c r="EA34" s="206"/>
      <c r="EB34" s="206"/>
      <c r="EC34" s="206"/>
      <c r="ED34" s="206"/>
      <c r="EE34" s="206"/>
      <c r="EF34" s="206"/>
      <c r="EG34" s="206"/>
      <c r="EH34" s="206"/>
      <c r="EI34" s="206"/>
      <c r="EJ34" s="206"/>
      <c r="EK34" s="206"/>
      <c r="EL34" s="206"/>
      <c r="EM34" s="206"/>
      <c r="EN34" s="206"/>
      <c r="EO34" s="206"/>
      <c r="EP34" s="206"/>
      <c r="EQ34" s="206"/>
      <c r="ER34" s="206"/>
      <c r="ES34" s="206"/>
      <c r="ET34" s="206"/>
      <c r="EU34" s="206"/>
      <c r="EV34" s="206"/>
      <c r="EW34" s="206"/>
      <c r="EX34" s="206"/>
      <c r="EY34" s="206"/>
      <c r="EZ34" s="206"/>
      <c r="FA34" s="206"/>
      <c r="FB34" s="206"/>
      <c r="FC34" s="206"/>
      <c r="FD34" s="206"/>
      <c r="FE34" s="206"/>
      <c r="FF34" s="206"/>
      <c r="FG34" s="206"/>
      <c r="FH34" s="206"/>
      <c r="FI34" s="206"/>
      <c r="FJ34" s="206"/>
      <c r="FK34" s="206"/>
      <c r="FL34" s="206"/>
      <c r="FM34" s="206"/>
      <c r="FN34" s="206"/>
      <c r="FO34" s="206"/>
      <c r="FP34" s="206"/>
      <c r="FQ34" s="206"/>
      <c r="FR34" s="206"/>
      <c r="FS34" s="206"/>
      <c r="FT34" s="206"/>
      <c r="FU34" s="206"/>
      <c r="FV34" s="206"/>
      <c r="FW34" s="206"/>
      <c r="FX34" s="206"/>
      <c r="FY34" s="206"/>
      <c r="FZ34" s="206"/>
      <c r="GA34" s="206"/>
      <c r="GB34" s="206"/>
      <c r="GC34" s="206"/>
      <c r="GD34" s="206"/>
      <c r="GE34" s="206"/>
      <c r="GF34" s="206"/>
      <c r="GG34" s="206"/>
      <c r="GH34" s="206"/>
      <c r="GI34" s="206"/>
      <c r="GJ34" s="206"/>
      <c r="GK34" s="206"/>
      <c r="GL34" s="206"/>
      <c r="GM34" s="206"/>
      <c r="GN34" s="206"/>
      <c r="GO34" s="206"/>
      <c r="GP34" s="206"/>
      <c r="GQ34" s="206"/>
      <c r="GR34" s="206"/>
      <c r="GS34" s="206"/>
      <c r="GT34" s="206"/>
      <c r="GU34" s="206"/>
      <c r="GV34" s="206"/>
      <c r="GW34" s="206"/>
      <c r="GX34" s="206"/>
      <c r="GY34" s="206"/>
      <c r="GZ34" s="206"/>
      <c r="HA34" s="206"/>
      <c r="HB34" s="206"/>
      <c r="HC34" s="206"/>
      <c r="HD34" s="206"/>
      <c r="HE34" s="206"/>
      <c r="HF34" s="206"/>
      <c r="HG34" s="206"/>
      <c r="HH34" s="206"/>
      <c r="HI34" s="206"/>
      <c r="HJ34" s="206"/>
      <c r="HK34" s="206"/>
      <c r="HL34" s="206"/>
      <c r="HM34" s="206"/>
      <c r="HN34" s="206"/>
      <c r="HO34" s="206"/>
      <c r="HP34" s="206"/>
      <c r="HQ34" s="206"/>
      <c r="HR34" s="206"/>
      <c r="HS34" s="206"/>
      <c r="HT34" s="206"/>
      <c r="HU34" s="206"/>
      <c r="HV34" s="206"/>
      <c r="HW34" s="206"/>
      <c r="HX34" s="206"/>
      <c r="HY34" s="206"/>
      <c r="HZ34" s="206"/>
      <c r="IA34" s="206"/>
      <c r="IB34" s="206"/>
      <c r="IC34" s="206"/>
      <c r="ID34" s="206"/>
      <c r="IE34" s="206"/>
      <c r="IF34" s="206"/>
      <c r="IG34" s="206"/>
      <c r="IH34" s="206"/>
      <c r="II34" s="206"/>
      <c r="IJ34" s="206"/>
      <c r="IK34" s="206"/>
      <c r="IL34" s="206"/>
      <c r="IM34" s="206"/>
      <c r="IN34" s="206"/>
      <c r="IO34" s="206"/>
      <c r="IP34" s="206"/>
      <c r="IQ34" s="206"/>
      <c r="IR34" s="206"/>
      <c r="IS34" s="206"/>
      <c r="IT34" s="206"/>
      <c r="IU34" s="206"/>
      <c r="IV34" s="206"/>
      <c r="IW34" s="206"/>
      <c r="IX34" s="206"/>
      <c r="IY34" s="206"/>
      <c r="IZ34" s="206"/>
      <c r="JA34" s="206"/>
      <c r="JB34" s="206"/>
      <c r="JC34" s="206"/>
      <c r="JD34" s="206"/>
      <c r="JE34" s="206"/>
      <c r="JF34" s="206"/>
      <c r="JG34" s="206"/>
      <c r="JH34" s="206"/>
      <c r="JI34" s="206"/>
      <c r="JJ34" s="206"/>
      <c r="JK34" s="206"/>
      <c r="JL34" s="206"/>
      <c r="JM34" s="206"/>
      <c r="JN34" s="206"/>
      <c r="JO34" s="206"/>
      <c r="JP34" s="206"/>
      <c r="JQ34" s="206"/>
      <c r="JR34" s="206"/>
      <c r="JS34" s="206"/>
      <c r="JT34" s="206"/>
      <c r="JU34" s="206"/>
      <c r="JV34" s="206"/>
      <c r="JW34" s="206"/>
      <c r="JX34" s="206"/>
      <c r="JY34" s="206"/>
      <c r="JZ34" s="206"/>
      <c r="KA34" s="206"/>
      <c r="KB34" s="206"/>
      <c r="KC34" s="206"/>
      <c r="KD34" s="206"/>
      <c r="KE34" s="206"/>
      <c r="KF34" s="206"/>
      <c r="KG34" s="206"/>
      <c r="KH34" s="206"/>
      <c r="KI34" s="206"/>
      <c r="KJ34" s="206"/>
      <c r="KK34" s="206"/>
      <c r="KL34" s="206"/>
      <c r="KM34" s="206"/>
      <c r="KN34" s="206"/>
      <c r="KO34" s="206"/>
      <c r="KP34" s="206"/>
      <c r="KQ34" s="206"/>
      <c r="KR34" s="206"/>
      <c r="KS34" s="206"/>
      <c r="KT34" s="206"/>
      <c r="KU34" s="206"/>
      <c r="KV34" s="206"/>
      <c r="KW34" s="206"/>
      <c r="KX34" s="206"/>
      <c r="KY34" s="206"/>
      <c r="KZ34" s="206"/>
      <c r="LA34" s="206"/>
      <c r="LB34" s="206"/>
      <c r="LC34" s="206"/>
      <c r="LD34" s="206"/>
      <c r="LE34" s="206"/>
      <c r="LF34" s="206"/>
      <c r="LG34" s="206"/>
      <c r="LH34" s="206"/>
      <c r="LI34" s="206"/>
      <c r="LJ34" s="206"/>
      <c r="LK34" s="206"/>
      <c r="LL34" s="206"/>
      <c r="LM34" s="206"/>
      <c r="LN34" s="206"/>
      <c r="LO34" s="206"/>
      <c r="LP34" s="206"/>
      <c r="LQ34" s="206"/>
      <c r="LR34" s="206"/>
      <c r="LS34" s="206"/>
      <c r="LT34" s="206"/>
      <c r="LU34" s="206"/>
      <c r="LV34" s="206"/>
      <c r="LW34" s="206"/>
      <c r="LX34" s="206"/>
      <c r="LY34" s="206"/>
      <c r="LZ34" s="206"/>
      <c r="MA34" s="206"/>
      <c r="MB34" s="206"/>
      <c r="MC34" s="206"/>
      <c r="MD34" s="206"/>
      <c r="ME34" s="206"/>
      <c r="MF34" s="206"/>
      <c r="MG34" s="206"/>
      <c r="MH34" s="206"/>
      <c r="MI34" s="206"/>
      <c r="MJ34" s="206"/>
      <c r="MK34" s="206"/>
      <c r="ML34" s="206"/>
      <c r="MM34" s="206"/>
      <c r="MN34" s="206"/>
      <c r="MO34" s="206"/>
      <c r="MP34" s="206"/>
      <c r="MQ34" s="206"/>
      <c r="MR34" s="206"/>
      <c r="MS34" s="206"/>
      <c r="MT34" s="206"/>
      <c r="MU34" s="206"/>
      <c r="MV34" s="206"/>
      <c r="MW34" s="206"/>
      <c r="MX34" s="206"/>
      <c r="MY34" s="206"/>
      <c r="MZ34" s="206"/>
      <c r="NA34" s="206"/>
      <c r="NB34" s="206"/>
      <c r="NC34" s="206"/>
      <c r="ND34" s="206"/>
      <c r="NE34" s="206"/>
      <c r="NF34" s="206"/>
      <c r="NG34" s="206"/>
      <c r="NH34" s="206"/>
      <c r="NI34" s="206"/>
      <c r="NJ34" s="206"/>
      <c r="NK34" s="206"/>
      <c r="NL34" s="206"/>
      <c r="NM34" s="206"/>
      <c r="NN34" s="206"/>
      <c r="NO34" s="206"/>
      <c r="NP34" s="206"/>
      <c r="NQ34" s="206"/>
      <c r="NR34" s="206"/>
      <c r="NS34" s="206"/>
      <c r="NT34" s="206"/>
      <c r="NU34" s="206"/>
      <c r="NV34" s="206"/>
      <c r="NW34" s="206"/>
      <c r="NX34" s="206"/>
      <c r="NY34" s="206"/>
      <c r="NZ34" s="206"/>
      <c r="OA34" s="206"/>
      <c r="OB34" s="206"/>
      <c r="OC34" s="206"/>
      <c r="OD34" s="206"/>
      <c r="OE34" s="206"/>
      <c r="OF34" s="206"/>
      <c r="OG34" s="206"/>
      <c r="OH34" s="206"/>
      <c r="OI34" s="206"/>
      <c r="OJ34" s="206"/>
      <c r="OK34" s="206"/>
      <c r="OL34" s="206"/>
      <c r="OM34" s="206"/>
      <c r="ON34" s="206"/>
      <c r="OO34" s="206"/>
      <c r="OP34" s="206"/>
      <c r="OQ34" s="206"/>
      <c r="OR34" s="206"/>
      <c r="OS34" s="206"/>
      <c r="OT34" s="206"/>
      <c r="OU34" s="206"/>
      <c r="OV34" s="206"/>
      <c r="OW34" s="206"/>
      <c r="OX34" s="206"/>
      <c r="OY34" s="206"/>
      <c r="OZ34" s="206"/>
      <c r="PA34" s="206"/>
      <c r="PB34" s="206"/>
      <c r="PC34" s="206"/>
      <c r="PD34" s="206"/>
      <c r="PE34" s="206"/>
      <c r="PF34" s="206"/>
      <c r="PG34" s="206"/>
      <c r="PH34" s="206"/>
      <c r="PI34" s="206"/>
      <c r="PJ34" s="206"/>
      <c r="PK34" s="206"/>
      <c r="PL34" s="206"/>
      <c r="PM34" s="206"/>
      <c r="PN34" s="206"/>
      <c r="PO34" s="206"/>
      <c r="PP34" s="206"/>
      <c r="PQ34" s="206"/>
      <c r="PR34" s="206"/>
      <c r="PS34" s="206"/>
      <c r="PT34" s="206"/>
      <c r="PU34" s="206"/>
      <c r="PV34" s="206"/>
      <c r="PW34" s="206"/>
      <c r="PX34" s="206"/>
      <c r="PY34" s="206"/>
      <c r="PZ34" s="206"/>
      <c r="QA34" s="206"/>
      <c r="QB34" s="206"/>
      <c r="QC34" s="206"/>
      <c r="QD34" s="206"/>
      <c r="QE34" s="206"/>
      <c r="QF34" s="206"/>
      <c r="QG34" s="206"/>
      <c r="QH34" s="206"/>
      <c r="QI34" s="206"/>
      <c r="QJ34" s="206"/>
      <c r="QK34" s="206"/>
      <c r="QL34" s="206"/>
      <c r="QM34" s="206"/>
      <c r="QN34" s="206"/>
      <c r="QO34" s="206"/>
      <c r="QP34" s="206"/>
      <c r="QQ34" s="206"/>
      <c r="QR34" s="206"/>
      <c r="QS34" s="206"/>
      <c r="QT34" s="206"/>
      <c r="QU34" s="206"/>
      <c r="QV34" s="206"/>
      <c r="QW34" s="206"/>
      <c r="QX34" s="206"/>
      <c r="QY34" s="206"/>
      <c r="QZ34" s="206"/>
      <c r="RA34" s="206"/>
      <c r="RB34" s="206"/>
      <c r="RC34" s="206"/>
      <c r="RD34" s="206"/>
      <c r="RE34" s="206"/>
      <c r="RF34" s="206"/>
      <c r="RG34" s="206"/>
      <c r="RH34" s="206"/>
      <c r="RI34" s="206"/>
      <c r="RJ34" s="206"/>
      <c r="RK34" s="206"/>
      <c r="RL34" s="206"/>
      <c r="RM34" s="206"/>
      <c r="RN34" s="206"/>
      <c r="RO34" s="206"/>
      <c r="RP34" s="206"/>
      <c r="RQ34" s="206"/>
      <c r="RR34" s="206"/>
      <c r="RS34" s="206"/>
      <c r="RT34" s="206"/>
      <c r="RU34" s="206"/>
      <c r="RV34" s="206"/>
      <c r="RW34" s="206"/>
      <c r="RX34" s="206"/>
      <c r="RY34" s="206"/>
      <c r="RZ34" s="206"/>
      <c r="SA34" s="206"/>
      <c r="SB34" s="206"/>
      <c r="SC34" s="206"/>
      <c r="SD34" s="206"/>
      <c r="SE34" s="206"/>
      <c r="SF34" s="206"/>
      <c r="SG34" s="206"/>
      <c r="SH34" s="206"/>
      <c r="SI34" s="206"/>
      <c r="SJ34" s="206"/>
      <c r="SK34" s="206"/>
      <c r="SL34" s="206"/>
      <c r="SM34" s="206"/>
      <c r="SN34" s="206"/>
      <c r="SO34" s="206"/>
      <c r="SP34" s="206"/>
      <c r="SQ34" s="206"/>
      <c r="SR34" s="206"/>
      <c r="SS34" s="206"/>
      <c r="ST34" s="206"/>
      <c r="SU34" s="206"/>
      <c r="SV34" s="206"/>
      <c r="SW34" s="206"/>
      <c r="SX34" s="206"/>
      <c r="SY34" s="206"/>
      <c r="SZ34" s="206"/>
      <c r="TA34" s="206"/>
      <c r="TB34" s="206"/>
      <c r="TC34" s="206"/>
      <c r="TD34" s="206"/>
      <c r="TE34" s="206"/>
      <c r="TF34" s="206"/>
      <c r="TG34" s="206"/>
      <c r="TH34" s="206"/>
      <c r="TI34" s="206"/>
      <c r="TJ34" s="206"/>
      <c r="TK34" s="206"/>
      <c r="TL34" s="206"/>
      <c r="TM34" s="206"/>
      <c r="TN34" s="206"/>
      <c r="TO34" s="206"/>
      <c r="TP34" s="206"/>
      <c r="TQ34" s="206"/>
      <c r="TR34" s="206"/>
      <c r="TS34" s="206"/>
      <c r="TT34" s="206"/>
      <c r="TU34" s="206"/>
      <c r="TV34" s="206"/>
      <c r="TW34" s="206"/>
      <c r="TX34" s="206"/>
      <c r="TY34" s="206"/>
      <c r="TZ34" s="206"/>
      <c r="UA34" s="206"/>
      <c r="UB34" s="206"/>
      <c r="UC34" s="206"/>
      <c r="UD34" s="206"/>
      <c r="UE34" s="206"/>
      <c r="UF34" s="206"/>
      <c r="UG34" s="206"/>
      <c r="UH34" s="206"/>
      <c r="UI34" s="206"/>
      <c r="UJ34" s="206"/>
      <c r="UK34" s="206"/>
      <c r="UL34" s="206"/>
      <c r="UM34" s="206"/>
      <c r="UN34" s="206"/>
      <c r="UO34" s="206"/>
      <c r="UP34" s="206"/>
      <c r="UQ34" s="206"/>
      <c r="UR34" s="206"/>
      <c r="US34" s="206"/>
      <c r="UT34" s="206"/>
      <c r="UU34" s="206"/>
      <c r="UV34" s="206"/>
      <c r="UW34" s="206"/>
      <c r="UX34" s="206"/>
      <c r="UY34" s="206"/>
      <c r="UZ34" s="206"/>
      <c r="VA34" s="206"/>
      <c r="VB34" s="206"/>
      <c r="VC34" s="206"/>
      <c r="VD34" s="206"/>
      <c r="VE34" s="206"/>
      <c r="VF34" s="206"/>
      <c r="VG34" s="206"/>
      <c r="VH34" s="206"/>
      <c r="VI34" s="206"/>
      <c r="VJ34" s="206"/>
      <c r="VK34" s="206"/>
      <c r="VL34" s="206"/>
      <c r="VM34" s="206"/>
      <c r="VN34" s="206"/>
      <c r="VO34" s="206"/>
      <c r="VP34" s="206"/>
      <c r="VQ34" s="206"/>
      <c r="VR34" s="206"/>
      <c r="VS34" s="206"/>
      <c r="VT34" s="206"/>
      <c r="VU34" s="206"/>
      <c r="VV34" s="206"/>
      <c r="VW34" s="206"/>
      <c r="VX34" s="206"/>
      <c r="VY34" s="206"/>
      <c r="VZ34" s="206"/>
      <c r="WA34" s="206"/>
      <c r="WB34" s="206"/>
      <c r="WC34" s="206"/>
      <c r="WD34" s="206"/>
      <c r="WE34" s="206"/>
      <c r="WF34" s="206"/>
      <c r="WG34" s="206"/>
      <c r="WH34" s="206"/>
      <c r="WI34" s="206"/>
      <c r="WJ34" s="206"/>
      <c r="WK34" s="206"/>
      <c r="WL34" s="206"/>
      <c r="WM34" s="206"/>
      <c r="WN34" s="206"/>
      <c r="WO34" s="206"/>
      <c r="WP34" s="206"/>
      <c r="WQ34" s="206"/>
      <c r="WR34" s="206"/>
      <c r="WS34" s="206"/>
      <c r="WT34" s="206"/>
      <c r="WU34" s="206"/>
      <c r="WV34" s="206"/>
      <c r="WW34" s="206"/>
      <c r="WX34" s="206"/>
      <c r="WY34" s="206"/>
      <c r="WZ34" s="206"/>
      <c r="XA34" s="206"/>
      <c r="XB34" s="206"/>
      <c r="XC34" s="206"/>
      <c r="XD34" s="206"/>
      <c r="XE34" s="206"/>
      <c r="XF34" s="206"/>
      <c r="XG34" s="206"/>
      <c r="XH34" s="206"/>
      <c r="XI34" s="206"/>
      <c r="XJ34" s="206"/>
      <c r="XK34" s="206"/>
      <c r="XL34" s="206"/>
      <c r="XM34" s="206"/>
      <c r="XN34" s="206"/>
      <c r="XO34" s="206"/>
      <c r="XP34" s="206"/>
      <c r="XQ34" s="206"/>
      <c r="XR34" s="206"/>
      <c r="XS34" s="206"/>
      <c r="XT34" s="206"/>
      <c r="XU34" s="206"/>
      <c r="XV34" s="206"/>
      <c r="XW34" s="206"/>
      <c r="XX34" s="206"/>
      <c r="XY34" s="206"/>
      <c r="XZ34" s="206"/>
      <c r="YA34" s="206"/>
      <c r="YB34" s="206"/>
      <c r="YC34" s="206"/>
      <c r="YD34" s="206"/>
      <c r="YE34" s="206"/>
      <c r="YF34" s="206"/>
      <c r="YG34" s="206"/>
      <c r="YH34" s="206"/>
      <c r="YI34" s="206"/>
      <c r="YJ34" s="206"/>
      <c r="YK34" s="206"/>
      <c r="YL34" s="206"/>
      <c r="YM34" s="206"/>
      <c r="YN34" s="206"/>
      <c r="YO34" s="206"/>
      <c r="YP34" s="206"/>
      <c r="YQ34" s="206"/>
      <c r="YR34" s="206"/>
      <c r="YS34" s="206"/>
      <c r="YT34" s="206"/>
      <c r="YU34" s="206"/>
      <c r="YV34" s="206"/>
      <c r="YW34" s="206"/>
      <c r="YX34" s="206"/>
      <c r="YY34" s="206"/>
      <c r="YZ34" s="206"/>
      <c r="ZA34" s="206"/>
      <c r="ZB34" s="206"/>
      <c r="ZC34" s="206"/>
      <c r="ZD34" s="206"/>
      <c r="ZE34" s="206"/>
      <c r="ZF34" s="206"/>
      <c r="ZG34" s="206"/>
      <c r="ZH34" s="206"/>
      <c r="ZI34" s="206"/>
      <c r="ZJ34" s="206"/>
      <c r="ZK34" s="206"/>
      <c r="ZL34" s="206"/>
      <c r="ZM34" s="206"/>
      <c r="ZN34" s="206"/>
      <c r="ZO34" s="206"/>
      <c r="ZP34" s="206"/>
      <c r="ZQ34" s="206"/>
      <c r="ZR34" s="206"/>
      <c r="ZS34" s="206"/>
      <c r="ZT34" s="206"/>
      <c r="ZU34" s="206"/>
      <c r="ZV34" s="206"/>
      <c r="ZW34" s="206"/>
      <c r="ZX34" s="206"/>
      <c r="ZY34" s="206"/>
      <c r="ZZ34" s="206"/>
      <c r="AAA34" s="206"/>
      <c r="AAB34" s="206"/>
      <c r="AAC34" s="206"/>
      <c r="AAD34" s="206"/>
      <c r="AAE34" s="206"/>
      <c r="AAF34" s="206"/>
      <c r="AAG34" s="206"/>
      <c r="AAH34" s="206"/>
      <c r="AAI34" s="206"/>
      <c r="AAJ34" s="206"/>
      <c r="AAK34" s="206"/>
      <c r="AAL34" s="206"/>
      <c r="AAM34" s="206"/>
      <c r="AAN34" s="206"/>
      <c r="AAO34" s="206"/>
      <c r="AAP34" s="206"/>
      <c r="AAQ34" s="206"/>
      <c r="AAR34" s="206"/>
      <c r="AAS34" s="206"/>
      <c r="AAT34" s="206"/>
      <c r="AAU34" s="206"/>
      <c r="AAV34" s="206"/>
      <c r="AAW34" s="206"/>
      <c r="AAX34" s="206"/>
      <c r="AAY34" s="206"/>
      <c r="AAZ34" s="206"/>
      <c r="ABA34" s="206"/>
      <c r="ABB34" s="206"/>
      <c r="ABC34" s="206"/>
      <c r="ABD34" s="206"/>
      <c r="ABE34" s="206"/>
      <c r="ABF34" s="206"/>
      <c r="ABG34" s="206"/>
      <c r="ABH34" s="206"/>
      <c r="ABI34" s="206"/>
      <c r="ABJ34" s="206"/>
      <c r="ABK34" s="206"/>
      <c r="ABL34" s="206"/>
      <c r="ABM34" s="206"/>
      <c r="ABN34" s="206"/>
      <c r="ABO34" s="206"/>
      <c r="ABP34" s="206"/>
      <c r="ABQ34" s="206"/>
      <c r="ABR34" s="206"/>
      <c r="ABS34" s="206"/>
      <c r="ABT34" s="206"/>
      <c r="ABU34" s="206"/>
      <c r="ABV34" s="206"/>
      <c r="ABW34" s="206"/>
      <c r="ABX34" s="206"/>
      <c r="ABY34" s="206"/>
      <c r="ABZ34" s="206"/>
      <c r="ACA34" s="206"/>
      <c r="ACB34" s="206"/>
      <c r="ACC34" s="206"/>
      <c r="ACD34" s="206"/>
      <c r="ACE34" s="206"/>
      <c r="ACF34" s="206"/>
      <c r="ACG34" s="206"/>
      <c r="ACH34" s="206"/>
      <c r="ACI34" s="206"/>
      <c r="ACJ34" s="206"/>
      <c r="ACK34" s="206"/>
      <c r="ACL34" s="206"/>
      <c r="ACM34" s="206"/>
      <c r="ACN34" s="206"/>
      <c r="ACO34" s="206"/>
      <c r="ACP34" s="206"/>
      <c r="ACQ34" s="206"/>
      <c r="ACR34" s="206"/>
      <c r="ACS34" s="206"/>
      <c r="ACT34" s="206"/>
      <c r="ACU34" s="206"/>
      <c r="ACV34" s="206"/>
      <c r="ACW34" s="206"/>
      <c r="ACX34" s="206"/>
      <c r="ACY34" s="206"/>
      <c r="ACZ34" s="206"/>
      <c r="ADA34" s="206"/>
      <c r="ADB34" s="206"/>
      <c r="ADC34" s="206"/>
      <c r="ADD34" s="206"/>
      <c r="ADE34" s="206"/>
      <c r="ADF34" s="206"/>
      <c r="ADG34" s="206"/>
      <c r="ADH34" s="206"/>
      <c r="ADI34" s="206"/>
      <c r="ADJ34" s="206"/>
      <c r="ADK34" s="206"/>
      <c r="ADL34" s="206"/>
      <c r="ADM34" s="206"/>
      <c r="ADN34" s="206"/>
      <c r="ADO34" s="206"/>
      <c r="ADP34" s="206"/>
      <c r="ADQ34" s="206"/>
      <c r="ADR34" s="206"/>
      <c r="ADS34" s="206"/>
      <c r="ADT34" s="206"/>
      <c r="ADU34" s="206"/>
      <c r="ADV34" s="206"/>
      <c r="ADW34" s="206"/>
      <c r="ADX34" s="206"/>
      <c r="ADY34" s="206"/>
      <c r="ADZ34" s="206"/>
      <c r="AEA34" s="206"/>
      <c r="AEB34" s="206"/>
      <c r="AEC34" s="206"/>
      <c r="AED34" s="206"/>
      <c r="AEE34" s="206"/>
      <c r="AEF34" s="206"/>
      <c r="AEG34" s="206"/>
      <c r="AEH34" s="206"/>
      <c r="AEI34" s="206"/>
      <c r="AEJ34" s="206"/>
      <c r="AEK34" s="206"/>
      <c r="AEL34" s="206"/>
      <c r="AEM34" s="206"/>
      <c r="AEN34" s="206"/>
      <c r="AEO34" s="206"/>
      <c r="AEP34" s="206"/>
      <c r="AEQ34" s="206"/>
      <c r="AER34" s="206"/>
      <c r="AES34" s="206"/>
      <c r="AET34" s="206"/>
      <c r="AEU34" s="206"/>
      <c r="AEV34" s="206"/>
      <c r="AEW34" s="206"/>
      <c r="AEX34" s="206"/>
      <c r="AEY34" s="206"/>
      <c r="AEZ34" s="206"/>
      <c r="AFA34" s="206"/>
      <c r="AFB34" s="206"/>
      <c r="AFC34" s="206"/>
      <c r="AFD34" s="206"/>
      <c r="AFE34" s="206"/>
      <c r="AFF34" s="206"/>
      <c r="AFG34" s="206"/>
      <c r="AFH34" s="206"/>
      <c r="AFI34" s="206"/>
      <c r="AFJ34" s="206"/>
      <c r="AFK34" s="206"/>
      <c r="AFL34" s="206"/>
      <c r="AFM34" s="206"/>
      <c r="AFN34" s="206"/>
      <c r="AFO34" s="206"/>
      <c r="AFP34" s="206"/>
      <c r="AFQ34" s="206"/>
      <c r="AFR34" s="206"/>
      <c r="AFS34" s="206"/>
      <c r="AFT34" s="206"/>
      <c r="AFU34" s="206"/>
      <c r="AFV34" s="206"/>
      <c r="AFW34" s="206"/>
      <c r="AFX34" s="206"/>
      <c r="AFY34" s="206"/>
      <c r="AFZ34" s="206"/>
      <c r="AGA34" s="206"/>
      <c r="AGB34" s="206"/>
      <c r="AGC34" s="206"/>
      <c r="AGD34" s="206"/>
      <c r="AGE34" s="206"/>
      <c r="AGF34" s="206"/>
      <c r="AGG34" s="206"/>
      <c r="AGH34" s="206"/>
      <c r="AGI34" s="206"/>
      <c r="AGJ34" s="206"/>
      <c r="AGK34" s="206"/>
      <c r="AGL34" s="206"/>
      <c r="AGM34" s="206"/>
      <c r="AGN34" s="206"/>
      <c r="AGO34" s="206"/>
      <c r="AGP34" s="206"/>
      <c r="AGQ34" s="206"/>
      <c r="AGR34" s="206"/>
      <c r="AGS34" s="206"/>
      <c r="AGT34" s="206"/>
      <c r="AGU34" s="206"/>
      <c r="AGV34" s="206"/>
      <c r="AGW34" s="206"/>
      <c r="AGX34" s="206"/>
      <c r="AGY34" s="206"/>
      <c r="AGZ34" s="206"/>
      <c r="AHA34" s="206"/>
      <c r="AHB34" s="206"/>
      <c r="AHC34" s="206"/>
      <c r="AHD34" s="206"/>
      <c r="AHE34" s="206"/>
      <c r="AHF34" s="206"/>
      <c r="AHG34" s="206"/>
      <c r="AHH34" s="206"/>
      <c r="AHI34" s="206"/>
      <c r="AHJ34" s="206"/>
      <c r="AHK34" s="206"/>
      <c r="AHL34" s="206"/>
      <c r="AHM34" s="206"/>
      <c r="AHN34" s="206"/>
      <c r="AHO34" s="206"/>
      <c r="AHP34" s="206"/>
      <c r="AHQ34" s="206"/>
      <c r="AHR34" s="206"/>
      <c r="AHS34" s="206"/>
      <c r="AHT34" s="206"/>
      <c r="AHU34" s="206"/>
      <c r="AHV34" s="206"/>
      <c r="AHW34" s="206"/>
      <c r="AHX34" s="206"/>
      <c r="AHY34" s="206"/>
      <c r="AHZ34" s="206"/>
      <c r="AIA34" s="206"/>
      <c r="AIB34" s="206"/>
      <c r="AIC34" s="206"/>
      <c r="AID34" s="206"/>
      <c r="AIE34" s="206"/>
      <c r="AIF34" s="206"/>
      <c r="AIG34" s="206"/>
      <c r="AIH34" s="206"/>
      <c r="AII34" s="206"/>
      <c r="AIJ34" s="206"/>
      <c r="AIK34" s="206"/>
      <c r="AIL34" s="206"/>
      <c r="AIM34" s="206"/>
      <c r="AIN34" s="206"/>
      <c r="AIO34" s="206"/>
      <c r="AIP34" s="206"/>
      <c r="AIQ34" s="206"/>
      <c r="AIR34" s="206"/>
      <c r="AIS34" s="206"/>
      <c r="AIT34" s="206"/>
      <c r="AIU34" s="206"/>
      <c r="AIV34" s="206"/>
      <c r="AIW34" s="206"/>
      <c r="AIX34" s="206"/>
      <c r="AIY34" s="206"/>
      <c r="AIZ34" s="206"/>
      <c r="AJA34" s="206"/>
      <c r="AJB34" s="206"/>
      <c r="AJC34" s="206"/>
      <c r="AJD34" s="206"/>
      <c r="AJE34" s="206"/>
      <c r="AJF34" s="206"/>
      <c r="AJG34" s="206"/>
      <c r="AJH34" s="206"/>
      <c r="AJI34" s="206"/>
      <c r="AJJ34" s="206"/>
      <c r="AJK34" s="206"/>
      <c r="AJL34" s="206"/>
      <c r="AJM34" s="206"/>
      <c r="AJN34" s="206"/>
      <c r="AJO34" s="206"/>
      <c r="AJP34" s="206"/>
      <c r="AJQ34" s="206"/>
      <c r="AJR34" s="206"/>
      <c r="AJS34" s="206"/>
      <c r="AJT34" s="206"/>
      <c r="AJU34" s="206"/>
      <c r="AJV34" s="206"/>
      <c r="AJW34" s="206"/>
      <c r="AJX34" s="206"/>
      <c r="AJY34" s="206"/>
      <c r="AJZ34" s="206"/>
      <c r="AKA34" s="206"/>
      <c r="AKB34" s="206"/>
      <c r="AKC34" s="206"/>
      <c r="AKD34" s="206"/>
      <c r="AKE34" s="206"/>
      <c r="AKF34" s="206"/>
      <c r="AKG34" s="206"/>
      <c r="AKH34" s="206"/>
      <c r="AKI34" s="206"/>
      <c r="AKJ34" s="206"/>
      <c r="AKK34" s="206"/>
      <c r="AKL34" s="206"/>
      <c r="AKM34" s="206"/>
      <c r="AKN34" s="206"/>
      <c r="AKO34" s="206"/>
      <c r="AKP34" s="206"/>
      <c r="AKQ34" s="206"/>
      <c r="AKR34" s="206"/>
      <c r="AKS34" s="206"/>
      <c r="AKT34" s="206"/>
      <c r="AKU34" s="206"/>
      <c r="AKV34" s="206"/>
      <c r="AKW34" s="206"/>
      <c r="AKX34" s="206"/>
      <c r="AKY34" s="206"/>
      <c r="AKZ34" s="206"/>
      <c r="ALA34" s="206"/>
      <c r="ALB34" s="206"/>
      <c r="ALC34" s="206"/>
      <c r="ALD34" s="206"/>
      <c r="ALE34" s="206"/>
      <c r="ALF34" s="206"/>
      <c r="ALG34" s="206"/>
      <c r="ALH34" s="206"/>
      <c r="ALI34" s="206"/>
      <c r="ALJ34" s="206"/>
      <c r="ALK34" s="206"/>
      <c r="ALL34" s="206"/>
      <c r="ALM34" s="206"/>
      <c r="ALN34" s="206"/>
      <c r="ALO34" s="206"/>
      <c r="ALP34" s="206"/>
      <c r="ALQ34" s="206"/>
      <c r="ALR34" s="206"/>
      <c r="ALS34" s="206"/>
      <c r="ALT34" s="206"/>
      <c r="ALU34" s="206"/>
      <c r="ALV34" s="206"/>
      <c r="ALW34" s="206"/>
      <c r="ALX34" s="206"/>
      <c r="ALY34" s="206"/>
      <c r="ALZ34" s="206"/>
      <c r="AMA34" s="206"/>
      <c r="AMB34" s="206"/>
      <c r="AMC34" s="206"/>
      <c r="AMD34" s="206"/>
      <c r="AME34" s="206"/>
      <c r="AMF34" s="206"/>
      <c r="AMG34" s="206"/>
      <c r="AMH34" s="206"/>
      <c r="AMI34" s="206"/>
      <c r="AMJ34" s="206"/>
      <c r="AMK34" s="206"/>
      <c r="AML34" s="206"/>
      <c r="AMM34" s="206"/>
      <c r="AMN34" s="206"/>
      <c r="AMO34" s="206"/>
      <c r="AMP34" s="206"/>
      <c r="AMQ34" s="206"/>
      <c r="AMR34" s="206"/>
      <c r="AMS34" s="206"/>
      <c r="AMT34" s="206"/>
      <c r="AMU34" s="206"/>
      <c r="AMV34" s="206"/>
      <c r="AMW34" s="206"/>
      <c r="AMX34" s="206"/>
      <c r="AMY34" s="206"/>
      <c r="AMZ34" s="206"/>
      <c r="ANA34" s="206"/>
      <c r="ANB34" s="206"/>
      <c r="ANC34" s="206"/>
      <c r="AND34" s="206"/>
      <c r="ANE34" s="206"/>
      <c r="ANF34" s="206"/>
      <c r="ANG34" s="206"/>
      <c r="ANH34" s="206"/>
      <c r="ANI34" s="206"/>
      <c r="ANJ34" s="206"/>
      <c r="ANK34" s="206"/>
      <c r="ANL34" s="206"/>
      <c r="ANM34" s="206"/>
      <c r="ANN34" s="206"/>
      <c r="ANO34" s="206"/>
      <c r="ANP34" s="206"/>
      <c r="ANQ34" s="206"/>
      <c r="ANR34" s="206"/>
      <c r="ANS34" s="206"/>
      <c r="ANT34" s="206"/>
      <c r="ANU34" s="206"/>
      <c r="ANV34" s="206"/>
      <c r="ANW34" s="206"/>
      <c r="ANX34" s="206"/>
      <c r="ANY34" s="206"/>
      <c r="ANZ34" s="206"/>
      <c r="AOA34" s="206"/>
      <c r="AOB34" s="206"/>
      <c r="AOC34" s="206"/>
      <c r="AOD34" s="206"/>
      <c r="AOE34" s="206"/>
      <c r="AOF34" s="206"/>
      <c r="AOG34" s="206"/>
      <c r="AOH34" s="206"/>
      <c r="AOI34" s="206"/>
      <c r="AOJ34" s="206"/>
      <c r="AOK34" s="206"/>
      <c r="AOL34" s="206"/>
      <c r="AOM34" s="206"/>
      <c r="AON34" s="206"/>
      <c r="AOO34" s="206"/>
      <c r="AOP34" s="206"/>
      <c r="AOQ34" s="206"/>
      <c r="AOR34" s="206"/>
      <c r="AOS34" s="206"/>
      <c r="AOT34" s="206"/>
      <c r="AOU34" s="206"/>
      <c r="AOV34" s="206"/>
      <c r="AOW34" s="206"/>
      <c r="AOX34" s="206"/>
      <c r="AOY34" s="206"/>
      <c r="AOZ34" s="206"/>
      <c r="APA34" s="206"/>
      <c r="APB34" s="206"/>
      <c r="APC34" s="206"/>
      <c r="APD34" s="206"/>
      <c r="APE34" s="206"/>
      <c r="APF34" s="206"/>
      <c r="APG34" s="206"/>
      <c r="APH34" s="206"/>
      <c r="API34" s="206"/>
      <c r="APJ34" s="206"/>
      <c r="APK34" s="206"/>
      <c r="APL34" s="206"/>
      <c r="APM34" s="206"/>
      <c r="APN34" s="206"/>
      <c r="APO34" s="206"/>
      <c r="APP34" s="206"/>
      <c r="APQ34" s="206"/>
      <c r="APR34" s="206"/>
      <c r="APS34" s="206"/>
      <c r="APT34" s="206"/>
      <c r="APU34" s="206"/>
      <c r="APV34" s="206"/>
      <c r="APW34" s="206"/>
      <c r="APX34" s="206"/>
      <c r="APY34" s="206"/>
      <c r="APZ34" s="206"/>
      <c r="AQA34" s="206"/>
      <c r="AQB34" s="206"/>
      <c r="AQC34" s="206"/>
      <c r="AQD34" s="206"/>
      <c r="AQE34" s="206"/>
      <c r="AQF34" s="206"/>
      <c r="AQG34" s="206"/>
      <c r="AQH34" s="206"/>
      <c r="AQI34" s="206"/>
      <c r="AQJ34" s="206"/>
      <c r="AQK34" s="206"/>
      <c r="AQL34" s="206"/>
      <c r="AQM34" s="206"/>
      <c r="AQN34" s="206"/>
      <c r="AQO34" s="206"/>
      <c r="AQP34" s="206"/>
      <c r="AQQ34" s="206"/>
      <c r="AQR34" s="206"/>
      <c r="AQS34" s="206"/>
      <c r="AQT34" s="206"/>
      <c r="AQU34" s="206"/>
      <c r="AQV34" s="206"/>
      <c r="AQW34" s="206"/>
      <c r="AQX34" s="206"/>
      <c r="AQY34" s="206"/>
      <c r="AQZ34" s="206"/>
      <c r="ARA34" s="206"/>
      <c r="ARB34" s="206"/>
      <c r="ARC34" s="206"/>
      <c r="ARD34" s="206"/>
      <c r="ARE34" s="206"/>
      <c r="ARF34" s="206"/>
      <c r="ARG34" s="206"/>
      <c r="ARH34" s="206"/>
      <c r="ARI34" s="206"/>
      <c r="ARJ34" s="206"/>
      <c r="ARK34" s="206"/>
      <c r="ARL34" s="206"/>
      <c r="ARM34" s="206"/>
      <c r="ARN34" s="206"/>
      <c r="ARO34" s="206"/>
      <c r="ARP34" s="206"/>
      <c r="ARQ34" s="206"/>
      <c r="ARR34" s="206"/>
      <c r="ARS34" s="206"/>
      <c r="ART34" s="206"/>
      <c r="ARU34" s="206"/>
      <c r="ARV34" s="206"/>
      <c r="ARW34" s="206"/>
      <c r="ARX34" s="206"/>
      <c r="ARY34" s="206"/>
      <c r="ARZ34" s="206"/>
      <c r="ASA34" s="206"/>
      <c r="ASB34" s="206"/>
      <c r="ASC34" s="206"/>
      <c r="ASD34" s="206"/>
      <c r="ASE34" s="206"/>
      <c r="ASF34" s="206"/>
      <c r="ASG34" s="206"/>
      <c r="ASH34" s="206"/>
      <c r="ASI34" s="206"/>
      <c r="ASJ34" s="206"/>
      <c r="ASK34" s="206"/>
      <c r="ASL34" s="206"/>
      <c r="ASM34" s="206"/>
      <c r="ASN34" s="206"/>
      <c r="ASO34" s="206"/>
      <c r="ASP34" s="206"/>
      <c r="ASQ34" s="206"/>
      <c r="ASR34" s="206"/>
      <c r="ASS34" s="206"/>
      <c r="AST34" s="206"/>
      <c r="ASU34" s="206"/>
      <c r="ASV34" s="206"/>
      <c r="ASW34" s="206"/>
      <c r="ASX34" s="206"/>
      <c r="ASY34" s="206"/>
      <c r="ASZ34" s="206"/>
      <c r="ATA34" s="206"/>
      <c r="ATB34" s="206"/>
      <c r="ATC34" s="206"/>
      <c r="ATD34" s="206"/>
      <c r="ATE34" s="206"/>
      <c r="ATF34" s="206"/>
      <c r="ATG34" s="206"/>
      <c r="ATH34" s="206"/>
      <c r="ATI34" s="206"/>
      <c r="ATJ34" s="206"/>
      <c r="ATK34" s="206"/>
      <c r="ATL34" s="206"/>
      <c r="ATM34" s="206"/>
      <c r="ATN34" s="206"/>
      <c r="ATO34" s="206"/>
      <c r="ATP34" s="206"/>
      <c r="ATQ34" s="206"/>
      <c r="ATR34" s="206"/>
      <c r="ATS34" s="206"/>
      <c r="ATT34" s="206"/>
      <c r="ATU34" s="206"/>
      <c r="ATV34" s="206"/>
      <c r="ATW34" s="206"/>
      <c r="ATX34" s="206"/>
      <c r="ATY34" s="206"/>
      <c r="ATZ34" s="206"/>
      <c r="AUA34" s="206"/>
      <c r="AUB34" s="206"/>
      <c r="AUC34" s="206"/>
      <c r="AUD34" s="206"/>
      <c r="AUE34" s="206"/>
      <c r="AUF34" s="206"/>
      <c r="AUG34" s="206"/>
      <c r="AUH34" s="206"/>
      <c r="AUI34" s="206"/>
      <c r="AUJ34" s="206"/>
      <c r="AUK34" s="206"/>
      <c r="AUL34" s="206"/>
      <c r="AUM34" s="206"/>
      <c r="AUN34" s="206"/>
      <c r="AUO34" s="206"/>
      <c r="AUP34" s="206"/>
      <c r="AUQ34" s="206"/>
      <c r="AUR34" s="206"/>
      <c r="AUS34" s="206"/>
      <c r="AUT34" s="206"/>
      <c r="AUU34" s="206"/>
      <c r="AUV34" s="206"/>
      <c r="AUW34" s="206"/>
      <c r="AUX34" s="206"/>
      <c r="AUY34" s="206"/>
      <c r="AUZ34" s="206"/>
      <c r="AVA34" s="206"/>
      <c r="AVB34" s="206"/>
      <c r="AVC34" s="206"/>
      <c r="AVD34" s="206"/>
      <c r="AVE34" s="206"/>
      <c r="AVF34" s="206"/>
      <c r="AVG34" s="206"/>
      <c r="AVH34" s="206"/>
      <c r="AVI34" s="206"/>
      <c r="AVJ34" s="206"/>
      <c r="AVK34" s="206"/>
      <c r="AVL34" s="206"/>
      <c r="AVM34" s="206"/>
      <c r="AVN34" s="206"/>
      <c r="AVO34" s="206"/>
      <c r="AVP34" s="206"/>
      <c r="AVQ34" s="206"/>
      <c r="AVR34" s="206"/>
      <c r="AVS34" s="206"/>
      <c r="AVT34" s="206"/>
      <c r="AVU34" s="206"/>
      <c r="AVV34" s="206"/>
      <c r="AVW34" s="206"/>
      <c r="AVX34" s="206"/>
      <c r="AVY34" s="206"/>
      <c r="AVZ34" s="206"/>
      <c r="AWA34" s="206"/>
      <c r="AWB34" s="206"/>
      <c r="AWC34" s="206"/>
      <c r="AWD34" s="206"/>
      <c r="AWE34" s="206"/>
      <c r="AWF34" s="206"/>
      <c r="AWG34" s="206"/>
      <c r="AWH34" s="206"/>
      <c r="AWI34" s="206"/>
      <c r="AWJ34" s="206"/>
      <c r="AWK34" s="206"/>
      <c r="AWL34" s="206"/>
      <c r="AWM34" s="206"/>
      <c r="AWN34" s="206"/>
      <c r="AWO34" s="206"/>
      <c r="AWP34" s="206"/>
      <c r="AWQ34" s="206"/>
      <c r="AWR34" s="206"/>
      <c r="AWS34" s="206"/>
      <c r="AWT34" s="206"/>
      <c r="AWU34" s="206"/>
      <c r="AWV34" s="206"/>
      <c r="AWW34" s="206"/>
      <c r="AWX34" s="206"/>
      <c r="AWY34" s="206"/>
      <c r="AWZ34" s="206"/>
      <c r="AXA34" s="206"/>
      <c r="AXB34" s="206"/>
      <c r="AXC34" s="206"/>
      <c r="AXD34" s="206"/>
      <c r="AXE34" s="206"/>
      <c r="AXF34" s="206"/>
      <c r="AXG34" s="206"/>
      <c r="AXH34" s="206"/>
      <c r="AXI34" s="206"/>
      <c r="AXJ34" s="206"/>
      <c r="AXK34" s="206"/>
      <c r="AXL34" s="206"/>
      <c r="AXM34" s="206"/>
      <c r="AXN34" s="206"/>
      <c r="AXO34" s="206"/>
      <c r="AXP34" s="206"/>
      <c r="AXQ34" s="206"/>
      <c r="AXR34" s="206"/>
      <c r="AXS34" s="206"/>
      <c r="AXT34" s="206"/>
      <c r="AXU34" s="206"/>
      <c r="AXV34" s="206"/>
      <c r="AXW34" s="206"/>
      <c r="AXX34" s="206"/>
      <c r="AXY34" s="206"/>
      <c r="AXZ34" s="206"/>
      <c r="AYA34" s="206"/>
      <c r="AYB34" s="206"/>
      <c r="AYC34" s="206"/>
      <c r="AYD34" s="206"/>
      <c r="AYE34" s="206"/>
      <c r="AYF34" s="206"/>
      <c r="AYG34" s="206"/>
      <c r="AYH34" s="206"/>
      <c r="AYI34" s="206"/>
      <c r="AYJ34" s="206"/>
      <c r="AYK34" s="206"/>
      <c r="AYL34" s="206"/>
      <c r="AYM34" s="206"/>
      <c r="AYN34" s="206"/>
      <c r="AYO34" s="206"/>
      <c r="AYP34" s="206"/>
      <c r="AYQ34" s="206"/>
      <c r="AYR34" s="206"/>
      <c r="AYS34" s="206"/>
      <c r="AYT34" s="206"/>
      <c r="AYU34" s="206"/>
      <c r="AYV34" s="206"/>
      <c r="AYW34" s="206"/>
      <c r="AYX34" s="206"/>
      <c r="AYY34" s="206"/>
      <c r="AYZ34" s="206"/>
      <c r="AZA34" s="206"/>
      <c r="AZB34" s="206"/>
      <c r="AZC34" s="206"/>
      <c r="AZD34" s="206"/>
      <c r="AZE34" s="206"/>
      <c r="AZF34" s="206"/>
      <c r="AZG34" s="206"/>
      <c r="AZH34" s="206"/>
      <c r="AZI34" s="206"/>
      <c r="AZJ34" s="206"/>
      <c r="AZK34" s="206"/>
      <c r="AZL34" s="206"/>
      <c r="AZM34" s="206"/>
      <c r="AZN34" s="206"/>
      <c r="AZO34" s="206"/>
      <c r="AZP34" s="206"/>
      <c r="AZQ34" s="206"/>
      <c r="AZR34" s="206"/>
      <c r="AZS34" s="206"/>
      <c r="AZT34" s="206"/>
      <c r="AZU34" s="206"/>
      <c r="AZV34" s="206"/>
      <c r="AZW34" s="206"/>
      <c r="AZX34" s="206"/>
      <c r="AZY34" s="206"/>
      <c r="AZZ34" s="206"/>
      <c r="BAA34" s="206"/>
      <c r="BAB34" s="206"/>
      <c r="BAC34" s="206"/>
      <c r="BAD34" s="206"/>
      <c r="BAE34" s="206"/>
      <c r="BAF34" s="206"/>
      <c r="BAG34" s="206"/>
      <c r="BAH34" s="206"/>
      <c r="BAI34" s="206"/>
      <c r="BAJ34" s="206"/>
      <c r="BAK34" s="206"/>
      <c r="BAL34" s="206"/>
      <c r="BAM34" s="206"/>
      <c r="BAN34" s="206"/>
      <c r="BAO34" s="206"/>
      <c r="BAP34" s="206"/>
      <c r="BAQ34" s="206"/>
      <c r="BAR34" s="206"/>
      <c r="BAS34" s="206"/>
      <c r="BAT34" s="206"/>
      <c r="BAU34" s="206"/>
      <c r="BAV34" s="206"/>
      <c r="BAW34" s="206"/>
      <c r="BAX34" s="206"/>
      <c r="BAY34" s="206"/>
      <c r="BAZ34" s="206"/>
      <c r="BBA34" s="206"/>
      <c r="BBB34" s="206"/>
      <c r="BBC34" s="206"/>
      <c r="BBD34" s="206"/>
      <c r="BBE34" s="206"/>
      <c r="BBF34" s="206"/>
      <c r="BBG34" s="206"/>
      <c r="BBH34" s="206"/>
      <c r="BBI34" s="206"/>
      <c r="BBJ34" s="206"/>
      <c r="BBK34" s="206"/>
      <c r="BBL34" s="206"/>
      <c r="BBM34" s="206"/>
      <c r="BBN34" s="206"/>
      <c r="BBO34" s="206"/>
      <c r="BBP34" s="206"/>
      <c r="BBQ34" s="206"/>
      <c r="BBR34" s="206"/>
      <c r="BBS34" s="206"/>
      <c r="BBT34" s="206"/>
      <c r="BBU34" s="206"/>
      <c r="BBV34" s="206"/>
      <c r="BBW34" s="206"/>
      <c r="BBX34" s="206"/>
      <c r="BBY34" s="206"/>
      <c r="BBZ34" s="206"/>
      <c r="BCA34" s="206"/>
      <c r="BCB34" s="206"/>
      <c r="BCC34" s="206"/>
      <c r="BCD34" s="206"/>
      <c r="BCE34" s="206"/>
      <c r="BCF34" s="206"/>
      <c r="BCG34" s="206"/>
      <c r="BCH34" s="206"/>
      <c r="BCI34" s="206"/>
      <c r="BCJ34" s="206"/>
      <c r="BCK34" s="206"/>
      <c r="BCL34" s="206"/>
      <c r="BCM34" s="206"/>
      <c r="BCN34" s="206"/>
      <c r="BCO34" s="206"/>
      <c r="BCP34" s="206"/>
      <c r="BCQ34" s="206"/>
      <c r="BCR34" s="206"/>
      <c r="BCS34" s="206"/>
      <c r="BCT34" s="206"/>
      <c r="BCU34" s="206"/>
      <c r="BCV34" s="206"/>
      <c r="BCW34" s="206"/>
      <c r="BCX34" s="206"/>
      <c r="BCY34" s="206"/>
      <c r="BCZ34" s="206"/>
      <c r="BDA34" s="206"/>
      <c r="BDB34" s="206"/>
      <c r="BDC34" s="206"/>
      <c r="BDD34" s="206"/>
      <c r="BDE34" s="206"/>
      <c r="BDF34" s="206"/>
      <c r="BDG34" s="206"/>
      <c r="BDH34" s="206"/>
      <c r="BDI34" s="206"/>
      <c r="BDJ34" s="206"/>
      <c r="BDK34" s="206"/>
      <c r="BDL34" s="206"/>
      <c r="BDM34" s="206"/>
      <c r="BDN34" s="206"/>
      <c r="BDO34" s="206"/>
      <c r="BDP34" s="206"/>
      <c r="BDQ34" s="206"/>
      <c r="BDR34" s="206"/>
      <c r="BDS34" s="206"/>
      <c r="BDT34" s="206"/>
      <c r="BDU34" s="206"/>
      <c r="BDV34" s="206"/>
      <c r="BDW34" s="206"/>
      <c r="BDX34" s="206"/>
      <c r="BDY34" s="206"/>
      <c r="BDZ34" s="206"/>
      <c r="BEA34" s="206"/>
      <c r="BEB34" s="206"/>
      <c r="BEC34" s="206"/>
      <c r="BED34" s="206"/>
      <c r="BEE34" s="206"/>
      <c r="BEF34" s="206"/>
      <c r="BEG34" s="206"/>
      <c r="BEH34" s="206"/>
      <c r="BEI34" s="206"/>
      <c r="BEJ34" s="206"/>
      <c r="BEK34" s="206"/>
      <c r="BEL34" s="206"/>
      <c r="BEM34" s="206"/>
      <c r="BEN34" s="206"/>
      <c r="BEO34" s="206"/>
      <c r="BEP34" s="206"/>
      <c r="BEQ34" s="206"/>
      <c r="BER34" s="206"/>
      <c r="BES34" s="206"/>
      <c r="BET34" s="206"/>
      <c r="BEU34" s="206"/>
      <c r="BEV34" s="206"/>
      <c r="BEW34" s="206"/>
      <c r="BEX34" s="206"/>
      <c r="BEY34" s="206"/>
      <c r="BEZ34" s="206"/>
      <c r="BFA34" s="206"/>
      <c r="BFB34" s="206"/>
      <c r="BFC34" s="206"/>
      <c r="BFD34" s="206"/>
      <c r="BFE34" s="206"/>
      <c r="BFF34" s="206"/>
      <c r="BFG34" s="206"/>
      <c r="BFH34" s="206"/>
      <c r="BFI34" s="206"/>
      <c r="BFJ34" s="206"/>
      <c r="BFK34" s="206"/>
      <c r="BFL34" s="206"/>
      <c r="BFM34" s="206"/>
      <c r="BFN34" s="206"/>
      <c r="BFO34" s="206"/>
      <c r="BFP34" s="206"/>
      <c r="BFQ34" s="206"/>
      <c r="BFR34" s="206"/>
      <c r="BFS34" s="206"/>
      <c r="BFT34" s="206"/>
      <c r="BFU34" s="206"/>
      <c r="BFV34" s="206"/>
      <c r="BFW34" s="206"/>
      <c r="BFX34" s="206"/>
      <c r="BFY34" s="206"/>
      <c r="BFZ34" s="206"/>
      <c r="BGA34" s="206"/>
      <c r="BGB34" s="206"/>
      <c r="BGC34" s="206"/>
      <c r="BGD34" s="206"/>
      <c r="BGE34" s="206"/>
      <c r="BGF34" s="206"/>
      <c r="BGG34" s="206"/>
      <c r="BGH34" s="206"/>
      <c r="BGI34" s="206"/>
      <c r="BGJ34" s="206"/>
      <c r="BGK34" s="206"/>
      <c r="BGL34" s="206"/>
      <c r="BGM34" s="206"/>
      <c r="BGN34" s="206"/>
      <c r="BGO34" s="206"/>
      <c r="BGP34" s="206"/>
      <c r="BGQ34" s="206"/>
      <c r="BGR34" s="206"/>
      <c r="BGS34" s="206"/>
      <c r="BGT34" s="206"/>
      <c r="BGU34" s="206"/>
      <c r="BGV34" s="206"/>
      <c r="BGW34" s="206"/>
      <c r="BGX34" s="206"/>
      <c r="BGY34" s="206"/>
      <c r="BGZ34" s="206"/>
      <c r="BHA34" s="206"/>
      <c r="BHB34" s="206"/>
      <c r="BHC34" s="206"/>
      <c r="BHD34" s="206"/>
      <c r="BHE34" s="206"/>
      <c r="BHF34" s="206"/>
      <c r="BHG34" s="206"/>
      <c r="BHH34" s="206"/>
      <c r="BHI34" s="206"/>
      <c r="BHJ34" s="206"/>
      <c r="BHK34" s="206"/>
      <c r="BHL34" s="206"/>
      <c r="BHM34" s="206"/>
      <c r="BHN34" s="206"/>
      <c r="BHO34" s="206"/>
      <c r="BHP34" s="206"/>
      <c r="BHQ34" s="206"/>
      <c r="BHR34" s="206"/>
      <c r="BHS34" s="206"/>
      <c r="BHT34" s="206"/>
      <c r="BHU34" s="206"/>
      <c r="BHV34" s="206"/>
      <c r="BHW34" s="206"/>
      <c r="BHX34" s="206"/>
      <c r="BHY34" s="206"/>
      <c r="BHZ34" s="206"/>
      <c r="BIA34" s="206"/>
      <c r="BIB34" s="206"/>
      <c r="BIC34" s="206"/>
      <c r="BID34" s="206"/>
      <c r="BIE34" s="206"/>
      <c r="BIF34" s="206"/>
      <c r="BIG34" s="206"/>
      <c r="BIH34" s="206"/>
      <c r="BII34" s="206"/>
      <c r="BIJ34" s="206"/>
      <c r="BIK34" s="206"/>
      <c r="BIL34" s="206"/>
      <c r="BIM34" s="206"/>
      <c r="BIN34" s="206"/>
      <c r="BIO34" s="206"/>
      <c r="BIP34" s="206"/>
      <c r="BIQ34" s="206"/>
      <c r="BIR34" s="206"/>
      <c r="BIS34" s="206"/>
      <c r="BIT34" s="206"/>
      <c r="BIU34" s="206"/>
      <c r="BIV34" s="206"/>
      <c r="BIW34" s="206"/>
      <c r="BIX34" s="206"/>
      <c r="BIY34" s="206"/>
      <c r="BIZ34" s="206"/>
      <c r="BJA34" s="206"/>
      <c r="BJB34" s="206"/>
      <c r="BJC34" s="206"/>
      <c r="BJD34" s="206"/>
      <c r="BJE34" s="206"/>
      <c r="BJF34" s="206"/>
      <c r="BJG34" s="206"/>
      <c r="BJH34" s="206"/>
      <c r="BJI34" s="206"/>
      <c r="BJJ34" s="206"/>
      <c r="BJK34" s="206"/>
      <c r="BJL34" s="206"/>
      <c r="BJM34" s="206"/>
      <c r="BJN34" s="206"/>
      <c r="BJO34" s="206"/>
      <c r="BJP34" s="206"/>
      <c r="BJQ34" s="206"/>
      <c r="BJR34" s="206"/>
      <c r="BJS34" s="206"/>
      <c r="BJT34" s="206"/>
      <c r="BJU34" s="206"/>
      <c r="BJV34" s="206"/>
      <c r="BJW34" s="206"/>
      <c r="BJX34" s="206"/>
      <c r="BJY34" s="206"/>
      <c r="BJZ34" s="206"/>
      <c r="BKA34" s="206"/>
      <c r="BKB34" s="206"/>
      <c r="BKC34" s="206"/>
      <c r="BKD34" s="206"/>
      <c r="BKE34" s="206"/>
      <c r="BKF34" s="206"/>
      <c r="BKG34" s="206"/>
      <c r="BKH34" s="206"/>
      <c r="BKI34" s="206"/>
      <c r="BKJ34" s="206"/>
      <c r="BKK34" s="206"/>
      <c r="BKL34" s="206"/>
      <c r="BKM34" s="206"/>
      <c r="BKN34" s="206"/>
      <c r="BKO34" s="206"/>
      <c r="BKP34" s="206"/>
      <c r="BKQ34" s="206"/>
      <c r="BKR34" s="206"/>
      <c r="BKS34" s="206"/>
      <c r="BKT34" s="206"/>
      <c r="BKU34" s="206"/>
      <c r="BKV34" s="206"/>
      <c r="BKW34" s="206"/>
      <c r="BKX34" s="206"/>
      <c r="BKY34" s="206"/>
      <c r="BKZ34" s="206"/>
      <c r="BLA34" s="206"/>
      <c r="BLB34" s="206"/>
      <c r="BLC34" s="206"/>
      <c r="BLD34" s="206"/>
      <c r="BLE34" s="206"/>
      <c r="BLF34" s="206"/>
      <c r="BLG34" s="206"/>
      <c r="BLH34" s="206"/>
      <c r="BLI34" s="206"/>
      <c r="BLJ34" s="206"/>
      <c r="BLK34" s="206"/>
      <c r="BLL34" s="206"/>
      <c r="BLM34" s="206"/>
      <c r="BLN34" s="206"/>
      <c r="BLO34" s="206"/>
      <c r="BLP34" s="206"/>
      <c r="BLQ34" s="206"/>
      <c r="BLR34" s="206"/>
      <c r="BLS34" s="206"/>
      <c r="BLT34" s="206"/>
      <c r="BLU34" s="206"/>
      <c r="BLV34" s="206"/>
      <c r="BLW34" s="206"/>
      <c r="BLX34" s="206"/>
      <c r="BLY34" s="206"/>
      <c r="BLZ34" s="206"/>
      <c r="BMA34" s="206"/>
      <c r="BMB34" s="206"/>
      <c r="BMC34" s="206"/>
      <c r="BMD34" s="206"/>
      <c r="BME34" s="206"/>
      <c r="BMF34" s="206"/>
      <c r="BMG34" s="206"/>
      <c r="BMH34" s="206"/>
      <c r="BMI34" s="206"/>
      <c r="BMJ34" s="206"/>
      <c r="BMK34" s="206"/>
      <c r="BML34" s="206"/>
      <c r="BMM34" s="206"/>
      <c r="BMN34" s="206"/>
      <c r="BMO34" s="206"/>
      <c r="BMP34" s="206"/>
      <c r="BMQ34" s="206"/>
      <c r="BMR34" s="206"/>
      <c r="BMS34" s="206"/>
      <c r="BMT34" s="206"/>
      <c r="BMU34" s="206"/>
      <c r="BMV34" s="206"/>
      <c r="BMW34" s="206"/>
      <c r="BMX34" s="206"/>
      <c r="BMY34" s="206"/>
      <c r="BMZ34" s="206"/>
      <c r="BNA34" s="206"/>
      <c r="BNB34" s="206"/>
      <c r="BNC34" s="206"/>
      <c r="BND34" s="206"/>
      <c r="BNE34" s="206"/>
      <c r="BNF34" s="206"/>
      <c r="BNG34" s="206"/>
      <c r="BNH34" s="206"/>
      <c r="BNI34" s="206"/>
      <c r="BNJ34" s="206"/>
      <c r="BNK34" s="206"/>
      <c r="BNL34" s="206"/>
      <c r="BNM34" s="206"/>
      <c r="BNN34" s="206"/>
      <c r="BNO34" s="206"/>
      <c r="BNP34" s="206"/>
      <c r="BNQ34" s="206"/>
      <c r="BNR34" s="206"/>
      <c r="BNS34" s="206"/>
      <c r="BNT34" s="206"/>
      <c r="BNU34" s="206"/>
      <c r="BNV34" s="206"/>
      <c r="BNW34" s="206"/>
      <c r="BNX34" s="206"/>
      <c r="BNY34" s="206"/>
      <c r="BNZ34" s="206"/>
      <c r="BOA34" s="206"/>
      <c r="BOB34" s="206"/>
      <c r="BOC34" s="206"/>
      <c r="BOD34" s="206"/>
      <c r="BOE34" s="206"/>
      <c r="BOF34" s="206"/>
      <c r="BOG34" s="206"/>
      <c r="BOH34" s="206"/>
      <c r="BOI34" s="206"/>
      <c r="BOJ34" s="206"/>
      <c r="BOK34" s="206"/>
      <c r="BOL34" s="206"/>
      <c r="BOM34" s="206"/>
      <c r="BON34" s="206"/>
      <c r="BOO34" s="206"/>
      <c r="BOP34" s="206"/>
      <c r="BOQ34" s="206"/>
      <c r="BOR34" s="206"/>
      <c r="BOS34" s="206"/>
      <c r="BOT34" s="206"/>
      <c r="BOU34" s="206"/>
      <c r="BOV34" s="206"/>
      <c r="BOW34" s="206"/>
      <c r="BOX34" s="206"/>
      <c r="BOY34" s="206"/>
      <c r="BOZ34" s="206"/>
      <c r="BPA34" s="206"/>
      <c r="BPB34" s="206"/>
      <c r="BPC34" s="206"/>
      <c r="BPD34" s="206"/>
      <c r="BPE34" s="206"/>
      <c r="BPF34" s="206"/>
      <c r="BPG34" s="206"/>
      <c r="BPH34" s="206"/>
      <c r="BPI34" s="206"/>
      <c r="BPJ34" s="206"/>
      <c r="BPK34" s="206"/>
      <c r="BPL34" s="206"/>
      <c r="BPM34" s="206"/>
      <c r="BPN34" s="206"/>
      <c r="BPO34" s="206"/>
      <c r="BPP34" s="206"/>
      <c r="BPQ34" s="206"/>
      <c r="BPR34" s="206"/>
      <c r="BPS34" s="206"/>
      <c r="BPT34" s="206"/>
      <c r="BPU34" s="206"/>
      <c r="BPV34" s="206"/>
      <c r="BPW34" s="206"/>
      <c r="BPX34" s="206"/>
      <c r="BPY34" s="206"/>
      <c r="BPZ34" s="206"/>
      <c r="BQA34" s="206"/>
      <c r="BQB34" s="206"/>
      <c r="BQC34" s="206"/>
      <c r="BQD34" s="206"/>
      <c r="BQE34" s="206"/>
      <c r="BQF34" s="206"/>
      <c r="BQG34" s="206"/>
      <c r="BQH34" s="206"/>
      <c r="BQI34" s="206"/>
      <c r="BQJ34" s="206"/>
      <c r="BQK34" s="206"/>
      <c r="BQL34" s="206"/>
      <c r="BQM34" s="206"/>
      <c r="BQN34" s="206"/>
      <c r="BQO34" s="206"/>
      <c r="BQP34" s="206"/>
      <c r="BQQ34" s="206"/>
      <c r="BQR34" s="206"/>
      <c r="BQS34" s="206"/>
      <c r="BQT34" s="206"/>
      <c r="BQU34" s="206"/>
      <c r="BQV34" s="206"/>
      <c r="BQW34" s="206"/>
      <c r="BQX34" s="206"/>
      <c r="BQY34" s="206"/>
      <c r="BQZ34" s="206"/>
      <c r="BRA34" s="206"/>
      <c r="BRB34" s="206"/>
      <c r="BRC34" s="206"/>
      <c r="BRD34" s="206"/>
      <c r="BRE34" s="206"/>
      <c r="BRF34" s="206"/>
      <c r="BRG34" s="206"/>
      <c r="BRH34" s="206"/>
      <c r="BRI34" s="206"/>
      <c r="BRJ34" s="206"/>
      <c r="BRK34" s="206"/>
      <c r="BRL34" s="206"/>
      <c r="BRM34" s="206"/>
      <c r="BRN34" s="206"/>
      <c r="BRO34" s="206"/>
      <c r="BRP34" s="206"/>
      <c r="BRQ34" s="206"/>
      <c r="BRR34" s="206"/>
      <c r="BRS34" s="206"/>
      <c r="BRT34" s="206"/>
      <c r="BRU34" s="206"/>
      <c r="BRV34" s="206"/>
      <c r="BRW34" s="206"/>
      <c r="BRX34" s="206"/>
      <c r="BRY34" s="206"/>
      <c r="BRZ34" s="206"/>
      <c r="BSA34" s="206"/>
      <c r="BSB34" s="206"/>
      <c r="BSC34" s="206"/>
      <c r="BSD34" s="206"/>
      <c r="BSE34" s="206"/>
      <c r="BSF34" s="206"/>
      <c r="BSG34" s="206"/>
      <c r="BSH34" s="206"/>
      <c r="BSI34" s="206"/>
      <c r="BSJ34" s="206"/>
      <c r="BSK34" s="206"/>
      <c r="BSL34" s="206"/>
      <c r="BSM34" s="206"/>
      <c r="BSN34" s="206"/>
      <c r="BSO34" s="206"/>
      <c r="BSP34" s="206"/>
      <c r="BSQ34" s="206"/>
      <c r="BSR34" s="206"/>
      <c r="BSS34" s="206"/>
      <c r="BST34" s="206"/>
      <c r="BSU34" s="206"/>
      <c r="BSV34" s="206"/>
      <c r="BSW34" s="206"/>
      <c r="BSX34" s="206"/>
      <c r="BSY34" s="206"/>
      <c r="BSZ34" s="206"/>
      <c r="BTA34" s="206"/>
      <c r="BTB34" s="206"/>
      <c r="BTC34" s="206"/>
      <c r="BTD34" s="206"/>
      <c r="BTE34" s="206"/>
      <c r="BTF34" s="206"/>
      <c r="BTG34" s="206"/>
      <c r="BTH34" s="206"/>
      <c r="BTI34" s="206"/>
      <c r="BTJ34" s="206"/>
      <c r="BTK34" s="206"/>
      <c r="BTL34" s="206"/>
      <c r="BTM34" s="206"/>
      <c r="BTN34" s="206"/>
      <c r="BTO34" s="206"/>
      <c r="BTP34" s="206"/>
      <c r="BTQ34" s="206"/>
      <c r="BTR34" s="206"/>
      <c r="BTS34" s="206"/>
      <c r="BTT34" s="206"/>
      <c r="BTU34" s="206"/>
      <c r="BTV34" s="206"/>
      <c r="BTW34" s="206"/>
      <c r="BTX34" s="206"/>
      <c r="BTY34" s="206"/>
      <c r="BTZ34" s="206"/>
      <c r="BUA34" s="206"/>
      <c r="BUB34" s="206"/>
      <c r="BUC34" s="206"/>
      <c r="BUD34" s="206"/>
      <c r="BUE34" s="206"/>
      <c r="BUF34" s="206"/>
      <c r="BUG34" s="206"/>
      <c r="BUH34" s="206"/>
      <c r="BUI34" s="206"/>
      <c r="BUJ34" s="206"/>
      <c r="BUK34" s="206"/>
      <c r="BUL34" s="206"/>
      <c r="BUM34" s="206"/>
      <c r="BUN34" s="206"/>
      <c r="BUO34" s="206"/>
      <c r="BUP34" s="206"/>
      <c r="BUQ34" s="206"/>
      <c r="BUR34" s="206"/>
      <c r="BUS34" s="206"/>
      <c r="BUT34" s="206"/>
      <c r="BUU34" s="206"/>
      <c r="BUV34" s="206"/>
      <c r="BUW34" s="206"/>
      <c r="BUX34" s="206"/>
      <c r="BUY34" s="206"/>
      <c r="BUZ34" s="206"/>
      <c r="BVA34" s="206"/>
      <c r="BVB34" s="206"/>
      <c r="BVC34" s="206"/>
      <c r="BVD34" s="206"/>
      <c r="BVE34" s="206"/>
      <c r="BVF34" s="206"/>
      <c r="BVG34" s="206"/>
      <c r="BVH34" s="206"/>
      <c r="BVI34" s="206"/>
      <c r="BVJ34" s="206"/>
      <c r="BVK34" s="206"/>
      <c r="BVL34" s="206"/>
      <c r="BVM34" s="206"/>
      <c r="BVN34" s="206"/>
      <c r="BVO34" s="206"/>
      <c r="BVP34" s="206"/>
      <c r="BVQ34" s="206"/>
      <c r="BVR34" s="206"/>
      <c r="BVS34" s="206"/>
      <c r="BVT34" s="206"/>
      <c r="BVU34" s="206"/>
      <c r="BVV34" s="206"/>
      <c r="BVW34" s="206"/>
      <c r="BVX34" s="206"/>
      <c r="BVY34" s="206"/>
      <c r="BVZ34" s="206"/>
      <c r="BWA34" s="206"/>
      <c r="BWB34" s="206"/>
      <c r="BWC34" s="206"/>
      <c r="BWD34" s="206"/>
      <c r="BWE34" s="206"/>
      <c r="BWF34" s="206"/>
      <c r="BWG34" s="206"/>
      <c r="BWH34" s="206"/>
      <c r="BWI34" s="206"/>
      <c r="BWJ34" s="206"/>
      <c r="BWK34" s="206"/>
      <c r="BWL34" s="206"/>
      <c r="BWM34" s="206"/>
      <c r="BWN34" s="206"/>
      <c r="BWO34" s="206"/>
      <c r="BWP34" s="206"/>
      <c r="BWQ34" s="206"/>
      <c r="BWR34" s="206"/>
      <c r="BWS34" s="206"/>
      <c r="BWT34" s="206"/>
      <c r="BWU34" s="206"/>
      <c r="BWV34" s="206"/>
      <c r="BWW34" s="206"/>
      <c r="BWX34" s="206"/>
      <c r="BWY34" s="206"/>
      <c r="BWZ34" s="206"/>
      <c r="BXA34" s="206"/>
      <c r="BXB34" s="206"/>
      <c r="BXC34" s="206"/>
      <c r="BXD34" s="206"/>
      <c r="BXE34" s="206"/>
      <c r="BXF34" s="206"/>
      <c r="BXG34" s="206"/>
      <c r="BXH34" s="206"/>
      <c r="BXI34" s="206"/>
      <c r="BXJ34" s="206"/>
      <c r="BXK34" s="206"/>
      <c r="BXL34" s="206"/>
      <c r="BXM34" s="206"/>
      <c r="BXN34" s="206"/>
      <c r="BXO34" s="206"/>
      <c r="BXP34" s="206"/>
      <c r="BXQ34" s="206"/>
      <c r="BXR34" s="206"/>
      <c r="BXS34" s="206"/>
      <c r="BXT34" s="206"/>
      <c r="BXU34" s="206"/>
      <c r="BXV34" s="206"/>
      <c r="BXW34" s="206"/>
      <c r="BXX34" s="206"/>
      <c r="BXY34" s="206"/>
      <c r="BXZ34" s="206"/>
      <c r="BYA34" s="206"/>
      <c r="BYB34" s="206"/>
      <c r="BYC34" s="206"/>
      <c r="BYD34" s="206"/>
      <c r="BYE34" s="206"/>
      <c r="BYF34" s="206"/>
      <c r="BYG34" s="206"/>
      <c r="BYH34" s="206"/>
      <c r="BYI34" s="206"/>
      <c r="BYJ34" s="206"/>
      <c r="BYK34" s="206"/>
      <c r="BYL34" s="206"/>
      <c r="BYM34" s="206"/>
      <c r="BYN34" s="206"/>
      <c r="BYO34" s="206"/>
      <c r="BYP34" s="206"/>
      <c r="BYQ34" s="206"/>
      <c r="BYR34" s="206"/>
      <c r="BYS34" s="206"/>
      <c r="BYT34" s="206"/>
      <c r="BYU34" s="206"/>
      <c r="BYV34" s="206"/>
      <c r="BYW34" s="206"/>
      <c r="BYX34" s="206"/>
      <c r="BYY34" s="206"/>
      <c r="BYZ34" s="206"/>
      <c r="BZA34" s="206"/>
      <c r="BZB34" s="206"/>
      <c r="BZC34" s="206"/>
      <c r="BZD34" s="206"/>
      <c r="BZE34" s="206"/>
      <c r="BZF34" s="206"/>
      <c r="BZG34" s="206"/>
      <c r="BZH34" s="206"/>
      <c r="BZI34" s="206"/>
      <c r="BZJ34" s="206"/>
      <c r="BZK34" s="206"/>
      <c r="BZL34" s="206"/>
      <c r="BZM34" s="206"/>
      <c r="BZN34" s="206"/>
      <c r="BZO34" s="206"/>
      <c r="BZP34" s="206"/>
      <c r="BZQ34" s="206"/>
      <c r="BZR34" s="206"/>
      <c r="BZS34" s="206"/>
      <c r="BZT34" s="206"/>
      <c r="BZU34" s="206"/>
      <c r="BZV34" s="206"/>
      <c r="BZW34" s="206"/>
      <c r="BZX34" s="206"/>
      <c r="BZY34" s="206"/>
      <c r="BZZ34" s="206"/>
      <c r="CAA34" s="206"/>
      <c r="CAB34" s="206"/>
      <c r="CAC34" s="206"/>
      <c r="CAD34" s="206"/>
      <c r="CAE34" s="206"/>
      <c r="CAF34" s="206"/>
      <c r="CAG34" s="206"/>
      <c r="CAH34" s="206"/>
      <c r="CAI34" s="206"/>
      <c r="CAJ34" s="206"/>
      <c r="CAK34" s="206"/>
      <c r="CAL34" s="206"/>
      <c r="CAM34" s="206"/>
      <c r="CAN34" s="206"/>
      <c r="CAO34" s="206"/>
      <c r="CAP34" s="206"/>
      <c r="CAQ34" s="206"/>
      <c r="CAR34" s="206"/>
      <c r="CAS34" s="206"/>
      <c r="CAT34" s="206"/>
      <c r="CAU34" s="206"/>
      <c r="CAV34" s="206"/>
      <c r="CAW34" s="206"/>
      <c r="CAX34" s="206"/>
      <c r="CAY34" s="206"/>
      <c r="CAZ34" s="206"/>
      <c r="CBA34" s="206"/>
      <c r="CBB34" s="206"/>
      <c r="CBC34" s="206"/>
      <c r="CBD34" s="206"/>
      <c r="CBE34" s="206"/>
      <c r="CBF34" s="206"/>
      <c r="CBG34" s="206"/>
      <c r="CBH34" s="206"/>
      <c r="CBI34" s="206"/>
      <c r="CBJ34" s="206"/>
      <c r="CBK34" s="206"/>
      <c r="CBL34" s="206"/>
      <c r="CBM34" s="206"/>
      <c r="CBN34" s="206"/>
      <c r="CBO34" s="206"/>
      <c r="CBP34" s="206"/>
      <c r="CBQ34" s="206"/>
      <c r="CBR34" s="206"/>
      <c r="CBS34" s="206"/>
      <c r="CBT34" s="206"/>
      <c r="CBU34" s="206"/>
      <c r="CBV34" s="206"/>
      <c r="CBW34" s="206"/>
      <c r="CBX34" s="206"/>
      <c r="CBY34" s="206"/>
      <c r="CBZ34" s="206"/>
      <c r="CCA34" s="206"/>
      <c r="CCB34" s="206"/>
      <c r="CCC34" s="206"/>
      <c r="CCD34" s="206"/>
      <c r="CCE34" s="206"/>
      <c r="CCF34" s="206"/>
      <c r="CCG34" s="206"/>
      <c r="CCH34" s="206"/>
      <c r="CCI34" s="206"/>
      <c r="CCJ34" s="206"/>
      <c r="CCK34" s="206"/>
      <c r="CCL34" s="206"/>
      <c r="CCM34" s="206"/>
      <c r="CCN34" s="206"/>
      <c r="CCO34" s="206"/>
      <c r="CCP34" s="206"/>
      <c r="CCQ34" s="206"/>
      <c r="CCR34" s="206"/>
      <c r="CCS34" s="206"/>
      <c r="CCT34" s="206"/>
      <c r="CCU34" s="206"/>
      <c r="CCV34" s="206"/>
      <c r="CCW34" s="206"/>
      <c r="CCX34" s="206"/>
      <c r="CCY34" s="206"/>
      <c r="CCZ34" s="206"/>
      <c r="CDA34" s="206"/>
      <c r="CDB34" s="206"/>
      <c r="CDC34" s="206"/>
      <c r="CDD34" s="206"/>
      <c r="CDE34" s="206"/>
      <c r="CDF34" s="206"/>
      <c r="CDG34" s="206"/>
      <c r="CDH34" s="206"/>
      <c r="CDI34" s="206"/>
      <c r="CDJ34" s="206"/>
      <c r="CDK34" s="206"/>
      <c r="CDL34" s="206"/>
      <c r="CDM34" s="206"/>
      <c r="CDN34" s="206"/>
      <c r="CDO34" s="206"/>
      <c r="CDP34" s="206"/>
      <c r="CDQ34" s="206"/>
      <c r="CDR34" s="206"/>
      <c r="CDS34" s="206"/>
      <c r="CDT34" s="206"/>
      <c r="CDU34" s="206"/>
      <c r="CDV34" s="206"/>
      <c r="CDW34" s="206"/>
      <c r="CDX34" s="206"/>
      <c r="CDY34" s="206"/>
      <c r="CDZ34" s="206"/>
      <c r="CEA34" s="206"/>
      <c r="CEB34" s="206"/>
      <c r="CEC34" s="206"/>
      <c r="CED34" s="206"/>
      <c r="CEE34" s="206"/>
      <c r="CEF34" s="206"/>
      <c r="CEG34" s="206"/>
      <c r="CEH34" s="206"/>
      <c r="CEI34" s="206"/>
      <c r="CEJ34" s="206"/>
      <c r="CEK34" s="206"/>
      <c r="CEL34" s="206"/>
      <c r="CEM34" s="206"/>
      <c r="CEN34" s="206"/>
      <c r="CEO34" s="206"/>
      <c r="CEP34" s="206"/>
      <c r="CEQ34" s="206"/>
      <c r="CER34" s="206"/>
      <c r="CES34" s="206"/>
      <c r="CET34" s="206"/>
      <c r="CEU34" s="206"/>
      <c r="CEV34" s="206"/>
      <c r="CEW34" s="206"/>
      <c r="CEX34" s="206"/>
      <c r="CEY34" s="206"/>
      <c r="CEZ34" s="206"/>
      <c r="CFA34" s="206"/>
      <c r="CFB34" s="206"/>
      <c r="CFC34" s="206"/>
      <c r="CFD34" s="206"/>
      <c r="CFE34" s="206"/>
      <c r="CFF34" s="206"/>
      <c r="CFG34" s="206"/>
      <c r="CFH34" s="206"/>
      <c r="CFI34" s="206"/>
      <c r="CFJ34" s="206"/>
      <c r="CFK34" s="206"/>
      <c r="CFL34" s="206"/>
      <c r="CFM34" s="206"/>
      <c r="CFN34" s="206"/>
      <c r="CFO34" s="206"/>
      <c r="CFP34" s="206"/>
      <c r="CFQ34" s="206"/>
      <c r="CFR34" s="206"/>
      <c r="CFS34" s="206"/>
      <c r="CFT34" s="206"/>
      <c r="CFU34" s="206"/>
      <c r="CFV34" s="206"/>
      <c r="CFW34" s="206"/>
      <c r="CFX34" s="206"/>
      <c r="CFY34" s="206"/>
      <c r="CFZ34" s="206"/>
      <c r="CGA34" s="206"/>
      <c r="CGB34" s="206"/>
      <c r="CGC34" s="206"/>
      <c r="CGD34" s="206"/>
      <c r="CGE34" s="206"/>
      <c r="CGF34" s="206"/>
      <c r="CGG34" s="206"/>
      <c r="CGH34" s="206"/>
      <c r="CGI34" s="206"/>
      <c r="CGJ34" s="206"/>
      <c r="CGK34" s="206"/>
      <c r="CGL34" s="206"/>
      <c r="CGM34" s="206"/>
      <c r="CGN34" s="206"/>
      <c r="CGO34" s="206"/>
      <c r="CGP34" s="206"/>
      <c r="CGQ34" s="206"/>
      <c r="CGR34" s="206"/>
      <c r="CGS34" s="206"/>
      <c r="CGT34" s="206"/>
      <c r="CGU34" s="206"/>
      <c r="CGV34" s="206"/>
      <c r="CGW34" s="206"/>
      <c r="CGX34" s="206"/>
      <c r="CGY34" s="206"/>
      <c r="CGZ34" s="206"/>
      <c r="CHA34" s="206"/>
      <c r="CHB34" s="206"/>
      <c r="CHC34" s="206"/>
      <c r="CHD34" s="206"/>
      <c r="CHE34" s="206"/>
      <c r="CHF34" s="206"/>
      <c r="CHG34" s="206"/>
      <c r="CHH34" s="206"/>
      <c r="CHI34" s="206"/>
      <c r="CHJ34" s="206"/>
      <c r="CHK34" s="206"/>
      <c r="CHL34" s="206"/>
      <c r="CHM34" s="206"/>
      <c r="CHN34" s="206"/>
      <c r="CHO34" s="206"/>
      <c r="CHP34" s="206"/>
      <c r="CHQ34" s="206"/>
      <c r="CHR34" s="206"/>
      <c r="CHS34" s="206"/>
      <c r="CHT34" s="206"/>
      <c r="CHU34" s="206"/>
      <c r="CHV34" s="206"/>
      <c r="CHW34" s="206"/>
      <c r="CHX34" s="206"/>
      <c r="CHY34" s="206"/>
      <c r="CHZ34" s="206"/>
      <c r="CIA34" s="206"/>
      <c r="CIB34" s="206"/>
      <c r="CIC34" s="206"/>
      <c r="CID34" s="206"/>
      <c r="CIE34" s="206"/>
      <c r="CIF34" s="206"/>
      <c r="CIG34" s="206"/>
      <c r="CIH34" s="206"/>
      <c r="CII34" s="206"/>
      <c r="CIJ34" s="206"/>
      <c r="CIK34" s="206"/>
      <c r="CIL34" s="206"/>
      <c r="CIM34" s="206"/>
      <c r="CIN34" s="206"/>
      <c r="CIO34" s="206"/>
      <c r="CIP34" s="206"/>
      <c r="CIQ34" s="206"/>
      <c r="CIR34" s="206"/>
      <c r="CIS34" s="206"/>
      <c r="CIT34" s="206"/>
      <c r="CIU34" s="206"/>
      <c r="CIV34" s="206"/>
      <c r="CIW34" s="206"/>
      <c r="CIX34" s="206"/>
      <c r="CIY34" s="206"/>
      <c r="CIZ34" s="206"/>
      <c r="CJA34" s="206"/>
      <c r="CJB34" s="206"/>
      <c r="CJC34" s="206"/>
      <c r="CJD34" s="206"/>
      <c r="CJE34" s="206"/>
      <c r="CJF34" s="206"/>
      <c r="CJG34" s="206"/>
      <c r="CJH34" s="206"/>
      <c r="CJI34" s="206"/>
      <c r="CJJ34" s="206"/>
      <c r="CJK34" s="206"/>
      <c r="CJL34" s="206"/>
      <c r="CJM34" s="206"/>
      <c r="CJN34" s="206"/>
      <c r="CJO34" s="206"/>
      <c r="CJP34" s="206"/>
      <c r="CJQ34" s="206"/>
      <c r="CJR34" s="206"/>
      <c r="CJS34" s="206"/>
      <c r="CJT34" s="206"/>
      <c r="CJU34" s="206"/>
      <c r="CJV34" s="206"/>
      <c r="CJW34" s="206"/>
      <c r="CJX34" s="206"/>
      <c r="CJY34" s="206"/>
      <c r="CJZ34" s="206"/>
      <c r="CKA34" s="206"/>
      <c r="CKB34" s="206"/>
      <c r="CKC34" s="206"/>
      <c r="CKD34" s="206"/>
      <c r="CKE34" s="206"/>
      <c r="CKF34" s="206"/>
      <c r="CKG34" s="206"/>
      <c r="CKH34" s="206"/>
      <c r="CKI34" s="206"/>
      <c r="CKJ34" s="206"/>
      <c r="CKK34" s="206"/>
      <c r="CKL34" s="206"/>
      <c r="CKM34" s="206"/>
      <c r="CKN34" s="206"/>
      <c r="CKO34" s="206"/>
      <c r="CKP34" s="206"/>
      <c r="CKQ34" s="206"/>
      <c r="CKR34" s="206"/>
      <c r="CKS34" s="206"/>
      <c r="CKT34" s="206"/>
      <c r="CKU34" s="206"/>
      <c r="CKV34" s="206"/>
      <c r="CKW34" s="206"/>
      <c r="CKX34" s="206"/>
      <c r="CKY34" s="206"/>
      <c r="CKZ34" s="206"/>
      <c r="CLA34" s="206"/>
      <c r="CLB34" s="206"/>
      <c r="CLC34" s="206"/>
      <c r="CLD34" s="206"/>
      <c r="CLE34" s="206"/>
      <c r="CLF34" s="206"/>
      <c r="CLG34" s="206"/>
      <c r="CLH34" s="206"/>
      <c r="CLI34" s="206"/>
      <c r="CLJ34" s="206"/>
      <c r="CLK34" s="206"/>
      <c r="CLL34" s="206"/>
      <c r="CLM34" s="206"/>
      <c r="CLN34" s="206"/>
      <c r="CLO34" s="206"/>
      <c r="CLP34" s="206"/>
      <c r="CLQ34" s="206"/>
      <c r="CLR34" s="206"/>
      <c r="CLS34" s="206"/>
      <c r="CLT34" s="206"/>
      <c r="CLU34" s="206"/>
      <c r="CLV34" s="206"/>
      <c r="CLW34" s="206"/>
      <c r="CLX34" s="206"/>
      <c r="CLY34" s="206"/>
      <c r="CLZ34" s="206"/>
      <c r="CMA34" s="206"/>
      <c r="CMB34" s="206"/>
      <c r="CMC34" s="206"/>
      <c r="CMD34" s="206"/>
      <c r="CME34" s="206"/>
      <c r="CMF34" s="206"/>
      <c r="CMG34" s="206"/>
      <c r="CMH34" s="206"/>
      <c r="CMI34" s="206"/>
      <c r="CMJ34" s="206"/>
      <c r="CMK34" s="206"/>
      <c r="CML34" s="206"/>
      <c r="CMM34" s="206"/>
      <c r="CMN34" s="206"/>
      <c r="CMO34" s="206"/>
      <c r="CMP34" s="206"/>
      <c r="CMQ34" s="206"/>
      <c r="CMR34" s="206"/>
      <c r="CMS34" s="206"/>
      <c r="CMT34" s="206"/>
      <c r="CMU34" s="206"/>
      <c r="CMV34" s="206"/>
      <c r="CMW34" s="206"/>
      <c r="CMX34" s="206"/>
      <c r="CMY34" s="206"/>
      <c r="CMZ34" s="206"/>
      <c r="CNA34" s="206"/>
      <c r="CNB34" s="206"/>
      <c r="CNC34" s="206"/>
      <c r="CND34" s="206"/>
      <c r="CNE34" s="206"/>
      <c r="CNF34" s="206"/>
      <c r="CNG34" s="206"/>
      <c r="CNH34" s="206"/>
      <c r="CNI34" s="206"/>
      <c r="CNJ34" s="206"/>
      <c r="CNK34" s="206"/>
      <c r="CNL34" s="206"/>
      <c r="CNM34" s="206"/>
      <c r="CNN34" s="206"/>
      <c r="CNO34" s="206"/>
      <c r="CNP34" s="206"/>
      <c r="CNQ34" s="206"/>
      <c r="CNR34" s="206"/>
      <c r="CNS34" s="206"/>
      <c r="CNT34" s="206"/>
      <c r="CNU34" s="206"/>
      <c r="CNV34" s="206"/>
      <c r="CNW34" s="206"/>
      <c r="CNX34" s="206"/>
      <c r="CNY34" s="206"/>
      <c r="CNZ34" s="206"/>
      <c r="COA34" s="206"/>
      <c r="COB34" s="206"/>
      <c r="COC34" s="206"/>
      <c r="COD34" s="206"/>
      <c r="COE34" s="206"/>
      <c r="COF34" s="206"/>
      <c r="COG34" s="206"/>
      <c r="COH34" s="206"/>
      <c r="COI34" s="206"/>
      <c r="COJ34" s="206"/>
      <c r="COK34" s="206"/>
      <c r="COL34" s="206"/>
      <c r="COM34" s="206"/>
      <c r="CON34" s="206"/>
      <c r="COO34" s="206"/>
      <c r="COP34" s="206"/>
      <c r="COQ34" s="206"/>
      <c r="COR34" s="206"/>
      <c r="COS34" s="206"/>
      <c r="COT34" s="206"/>
      <c r="COU34" s="206"/>
      <c r="COV34" s="206"/>
      <c r="COW34" s="206"/>
      <c r="COX34" s="206"/>
      <c r="COY34" s="206"/>
      <c r="COZ34" s="206"/>
      <c r="CPA34" s="206"/>
      <c r="CPB34" s="206"/>
      <c r="CPC34" s="206"/>
      <c r="CPD34" s="206"/>
      <c r="CPE34" s="206"/>
      <c r="CPF34" s="206"/>
      <c r="CPG34" s="206"/>
      <c r="CPH34" s="206"/>
      <c r="CPI34" s="206"/>
      <c r="CPJ34" s="206"/>
      <c r="CPK34" s="206"/>
      <c r="CPL34" s="206"/>
      <c r="CPM34" s="206"/>
      <c r="CPN34" s="206"/>
      <c r="CPO34" s="206"/>
      <c r="CPP34" s="206"/>
      <c r="CPQ34" s="206"/>
      <c r="CPR34" s="206"/>
      <c r="CPS34" s="206"/>
      <c r="CPT34" s="206"/>
      <c r="CPU34" s="206"/>
      <c r="CPV34" s="206"/>
      <c r="CPW34" s="206"/>
      <c r="CPX34" s="206"/>
      <c r="CPY34" s="206"/>
      <c r="CPZ34" s="206"/>
      <c r="CQA34" s="206"/>
      <c r="CQB34" s="206"/>
      <c r="CQC34" s="206"/>
      <c r="CQD34" s="206"/>
      <c r="CQE34" s="206"/>
      <c r="CQF34" s="206"/>
      <c r="CQG34" s="206"/>
      <c r="CQH34" s="206"/>
      <c r="CQI34" s="206"/>
      <c r="CQJ34" s="206"/>
      <c r="CQK34" s="206"/>
      <c r="CQL34" s="206"/>
      <c r="CQM34" s="206"/>
      <c r="CQN34" s="206"/>
      <c r="CQO34" s="206"/>
      <c r="CQP34" s="206"/>
      <c r="CQQ34" s="206"/>
      <c r="CQR34" s="206"/>
      <c r="CQS34" s="206"/>
      <c r="CQT34" s="206"/>
      <c r="CQU34" s="206"/>
      <c r="CQV34" s="206"/>
      <c r="CQW34" s="206"/>
      <c r="CQX34" s="206"/>
      <c r="CQY34" s="206"/>
      <c r="CQZ34" s="206"/>
      <c r="CRA34" s="206"/>
      <c r="CRB34" s="206"/>
      <c r="CRC34" s="206"/>
      <c r="CRD34" s="206"/>
      <c r="CRE34" s="206"/>
      <c r="CRF34" s="206"/>
      <c r="CRG34" s="206"/>
      <c r="CRH34" s="206"/>
      <c r="CRI34" s="206"/>
      <c r="CRJ34" s="206"/>
      <c r="CRK34" s="206"/>
      <c r="CRL34" s="206"/>
      <c r="CRM34" s="206"/>
      <c r="CRN34" s="206"/>
      <c r="CRO34" s="206"/>
      <c r="CRP34" s="206"/>
      <c r="CRQ34" s="206"/>
      <c r="CRR34" s="206"/>
      <c r="CRS34" s="206"/>
      <c r="CRT34" s="206"/>
      <c r="CRU34" s="206"/>
      <c r="CRV34" s="206"/>
      <c r="CRW34" s="206"/>
      <c r="CRX34" s="206"/>
      <c r="CRY34" s="206"/>
      <c r="CRZ34" s="206"/>
      <c r="CSA34" s="206"/>
      <c r="CSB34" s="206"/>
      <c r="CSC34" s="206"/>
      <c r="CSD34" s="206"/>
      <c r="CSE34" s="206"/>
      <c r="CSF34" s="206"/>
      <c r="CSG34" s="206"/>
      <c r="CSH34" s="206"/>
      <c r="CSI34" s="206"/>
      <c r="CSJ34" s="206"/>
      <c r="CSK34" s="206"/>
      <c r="CSL34" s="206"/>
      <c r="CSM34" s="206"/>
      <c r="CSN34" s="206"/>
      <c r="CSO34" s="206"/>
      <c r="CSP34" s="206"/>
      <c r="CSQ34" s="206"/>
      <c r="CSR34" s="206"/>
      <c r="CSS34" s="206"/>
      <c r="CST34" s="206"/>
      <c r="CSU34" s="206"/>
      <c r="CSV34" s="206"/>
      <c r="CSW34" s="206"/>
      <c r="CSX34" s="206"/>
      <c r="CSY34" s="206"/>
      <c r="CSZ34" s="206"/>
      <c r="CTA34" s="206"/>
      <c r="CTB34" s="206"/>
      <c r="CTC34" s="206"/>
      <c r="CTD34" s="206"/>
      <c r="CTE34" s="206"/>
      <c r="CTF34" s="206"/>
      <c r="CTG34" s="206"/>
      <c r="CTH34" s="206"/>
      <c r="CTI34" s="206"/>
      <c r="CTJ34" s="206"/>
      <c r="CTK34" s="206"/>
      <c r="CTL34" s="206"/>
      <c r="CTM34" s="206"/>
      <c r="CTN34" s="206"/>
      <c r="CTO34" s="206"/>
      <c r="CTP34" s="206"/>
      <c r="CTQ34" s="206"/>
      <c r="CTR34" s="206"/>
      <c r="CTS34" s="206"/>
      <c r="CTT34" s="206"/>
      <c r="CTU34" s="206"/>
      <c r="CTV34" s="206"/>
      <c r="CTW34" s="206"/>
      <c r="CTX34" s="206"/>
      <c r="CTY34" s="206"/>
      <c r="CTZ34" s="206"/>
      <c r="CUA34" s="206"/>
      <c r="CUB34" s="206"/>
      <c r="CUC34" s="206"/>
      <c r="CUD34" s="206"/>
      <c r="CUE34" s="206"/>
      <c r="CUF34" s="206"/>
      <c r="CUG34" s="206"/>
      <c r="CUH34" s="206"/>
      <c r="CUI34" s="206"/>
      <c r="CUJ34" s="206"/>
      <c r="CUK34" s="206"/>
      <c r="CUL34" s="206"/>
      <c r="CUM34" s="206"/>
      <c r="CUN34" s="206"/>
      <c r="CUO34" s="206"/>
      <c r="CUP34" s="206"/>
      <c r="CUQ34" s="206"/>
      <c r="CUR34" s="206"/>
      <c r="CUS34" s="206"/>
      <c r="CUT34" s="206"/>
      <c r="CUU34" s="206"/>
      <c r="CUV34" s="206"/>
      <c r="CUW34" s="206"/>
      <c r="CUX34" s="206"/>
      <c r="CUY34" s="206"/>
      <c r="CUZ34" s="206"/>
      <c r="CVA34" s="206"/>
      <c r="CVB34" s="206"/>
      <c r="CVC34" s="206"/>
      <c r="CVD34" s="206"/>
      <c r="CVE34" s="206"/>
      <c r="CVF34" s="206"/>
      <c r="CVG34" s="206"/>
      <c r="CVH34" s="206"/>
      <c r="CVI34" s="206"/>
      <c r="CVJ34" s="206"/>
      <c r="CVK34" s="206"/>
      <c r="CVL34" s="206"/>
      <c r="CVM34" s="206"/>
      <c r="CVN34" s="206"/>
      <c r="CVO34" s="206"/>
      <c r="CVP34" s="206"/>
      <c r="CVQ34" s="206"/>
      <c r="CVR34" s="206"/>
      <c r="CVS34" s="206"/>
      <c r="CVT34" s="206"/>
      <c r="CVU34" s="206"/>
      <c r="CVV34" s="206"/>
      <c r="CVW34" s="206"/>
      <c r="CVX34" s="206"/>
      <c r="CVY34" s="206"/>
      <c r="CVZ34" s="206"/>
      <c r="CWA34" s="206"/>
      <c r="CWB34" s="206"/>
      <c r="CWC34" s="206"/>
      <c r="CWD34" s="206"/>
      <c r="CWE34" s="206"/>
      <c r="CWF34" s="206"/>
      <c r="CWG34" s="206"/>
      <c r="CWH34" s="206"/>
      <c r="CWI34" s="206"/>
      <c r="CWJ34" s="206"/>
      <c r="CWK34" s="206"/>
      <c r="CWL34" s="206"/>
      <c r="CWM34" s="206"/>
      <c r="CWN34" s="206"/>
      <c r="CWO34" s="206"/>
      <c r="CWP34" s="206"/>
      <c r="CWQ34" s="206"/>
      <c r="CWR34" s="206"/>
      <c r="CWS34" s="206"/>
      <c r="CWT34" s="206"/>
      <c r="CWU34" s="206"/>
      <c r="CWV34" s="206"/>
      <c r="CWW34" s="206"/>
      <c r="CWX34" s="206"/>
      <c r="CWY34" s="206"/>
      <c r="CWZ34" s="206"/>
      <c r="CXA34" s="206"/>
      <c r="CXB34" s="206"/>
      <c r="CXC34" s="206"/>
      <c r="CXD34" s="206"/>
      <c r="CXE34" s="206"/>
      <c r="CXF34" s="206"/>
      <c r="CXG34" s="206"/>
      <c r="CXH34" s="206"/>
      <c r="CXI34" s="206"/>
      <c r="CXJ34" s="206"/>
      <c r="CXK34" s="206"/>
      <c r="CXL34" s="206"/>
      <c r="CXM34" s="206"/>
      <c r="CXN34" s="206"/>
      <c r="CXO34" s="206"/>
      <c r="CXP34" s="206"/>
      <c r="CXQ34" s="206"/>
      <c r="CXR34" s="206"/>
      <c r="CXS34" s="206"/>
      <c r="CXT34" s="206"/>
      <c r="CXU34" s="206"/>
      <c r="CXV34" s="206"/>
      <c r="CXW34" s="206"/>
      <c r="CXX34" s="206"/>
      <c r="CXY34" s="206"/>
      <c r="CXZ34" s="206"/>
      <c r="CYA34" s="206"/>
      <c r="CYB34" s="206"/>
      <c r="CYC34" s="206"/>
      <c r="CYD34" s="206"/>
      <c r="CYE34" s="206"/>
      <c r="CYF34" s="206"/>
      <c r="CYG34" s="206"/>
      <c r="CYH34" s="206"/>
      <c r="CYI34" s="206"/>
      <c r="CYJ34" s="206"/>
      <c r="CYK34" s="206"/>
      <c r="CYL34" s="206"/>
      <c r="CYM34" s="206"/>
      <c r="CYN34" s="206"/>
      <c r="CYO34" s="206"/>
      <c r="CYP34" s="206"/>
      <c r="CYQ34" s="206"/>
      <c r="CYR34" s="206"/>
      <c r="CYS34" s="206"/>
      <c r="CYT34" s="206"/>
      <c r="CYU34" s="206"/>
      <c r="CYV34" s="206"/>
      <c r="CYW34" s="206"/>
      <c r="CYX34" s="206"/>
      <c r="CYY34" s="206"/>
      <c r="CYZ34" s="206"/>
      <c r="CZA34" s="206"/>
      <c r="CZB34" s="206"/>
      <c r="CZC34" s="206"/>
      <c r="CZD34" s="206"/>
      <c r="CZE34" s="206"/>
      <c r="CZF34" s="206"/>
      <c r="CZG34" s="206"/>
      <c r="CZH34" s="206"/>
      <c r="CZI34" s="206"/>
      <c r="CZJ34" s="206"/>
      <c r="CZK34" s="206"/>
      <c r="CZL34" s="206"/>
      <c r="CZM34" s="206"/>
      <c r="CZN34" s="206"/>
      <c r="CZO34" s="206"/>
      <c r="CZP34" s="206"/>
      <c r="CZQ34" s="206"/>
      <c r="CZR34" s="206"/>
      <c r="CZS34" s="206"/>
      <c r="CZT34" s="206"/>
      <c r="CZU34" s="206"/>
      <c r="CZV34" s="206"/>
      <c r="CZW34" s="206"/>
      <c r="CZX34" s="206"/>
      <c r="CZY34" s="206"/>
      <c r="CZZ34" s="206"/>
      <c r="DAA34" s="206"/>
      <c r="DAB34" s="206"/>
      <c r="DAC34" s="206"/>
      <c r="DAD34" s="206"/>
      <c r="DAE34" s="206"/>
      <c r="DAF34" s="206"/>
      <c r="DAG34" s="206"/>
      <c r="DAH34" s="206"/>
      <c r="DAI34" s="206"/>
      <c r="DAJ34" s="206"/>
      <c r="DAK34" s="206"/>
      <c r="DAL34" s="206"/>
      <c r="DAM34" s="206"/>
      <c r="DAN34" s="206"/>
      <c r="DAO34" s="206"/>
      <c r="DAP34" s="206"/>
      <c r="DAQ34" s="206"/>
      <c r="DAR34" s="206"/>
      <c r="DAS34" s="206"/>
      <c r="DAT34" s="206"/>
      <c r="DAU34" s="206"/>
      <c r="DAV34" s="206"/>
      <c r="DAW34" s="206"/>
      <c r="DAX34" s="206"/>
      <c r="DAY34" s="206"/>
      <c r="DAZ34" s="206"/>
      <c r="DBA34" s="206"/>
      <c r="DBB34" s="206"/>
      <c r="DBC34" s="206"/>
      <c r="DBD34" s="206"/>
      <c r="DBE34" s="206"/>
      <c r="DBF34" s="206"/>
      <c r="DBG34" s="206"/>
      <c r="DBH34" s="206"/>
      <c r="DBI34" s="206"/>
      <c r="DBJ34" s="206"/>
      <c r="DBK34" s="206"/>
      <c r="DBL34" s="206"/>
      <c r="DBM34" s="206"/>
      <c r="DBN34" s="206"/>
      <c r="DBO34" s="206"/>
      <c r="DBP34" s="206"/>
      <c r="DBQ34" s="206"/>
      <c r="DBR34" s="206"/>
      <c r="DBS34" s="206"/>
      <c r="DBT34" s="206"/>
      <c r="DBU34" s="206"/>
      <c r="DBV34" s="206"/>
      <c r="DBW34" s="206"/>
      <c r="DBX34" s="206"/>
      <c r="DBY34" s="206"/>
      <c r="DBZ34" s="206"/>
      <c r="DCA34" s="206"/>
      <c r="DCB34" s="206"/>
      <c r="DCC34" s="206"/>
      <c r="DCD34" s="206"/>
      <c r="DCE34" s="206"/>
      <c r="DCF34" s="206"/>
      <c r="DCG34" s="206"/>
      <c r="DCH34" s="206"/>
      <c r="DCI34" s="206"/>
      <c r="DCJ34" s="206"/>
      <c r="DCK34" s="206"/>
      <c r="DCL34" s="206"/>
      <c r="DCM34" s="206"/>
      <c r="DCN34" s="206"/>
      <c r="DCO34" s="206"/>
      <c r="DCP34" s="206"/>
      <c r="DCQ34" s="206"/>
      <c r="DCR34" s="206"/>
      <c r="DCS34" s="206"/>
      <c r="DCT34" s="206"/>
      <c r="DCU34" s="206"/>
      <c r="DCV34" s="206"/>
      <c r="DCW34" s="206"/>
      <c r="DCX34" s="206"/>
      <c r="DCY34" s="206"/>
      <c r="DCZ34" s="206"/>
      <c r="DDA34" s="206"/>
      <c r="DDB34" s="206"/>
      <c r="DDC34" s="206"/>
      <c r="DDD34" s="206"/>
      <c r="DDE34" s="206"/>
      <c r="DDF34" s="206"/>
      <c r="DDG34" s="206"/>
      <c r="DDH34" s="206"/>
      <c r="DDI34" s="206"/>
      <c r="DDJ34" s="206"/>
      <c r="DDK34" s="206"/>
      <c r="DDL34" s="206"/>
      <c r="DDM34" s="206"/>
      <c r="DDN34" s="206"/>
      <c r="DDO34" s="206"/>
      <c r="DDP34" s="206"/>
      <c r="DDQ34" s="206"/>
      <c r="DDR34" s="206"/>
      <c r="DDS34" s="206"/>
      <c r="DDT34" s="206"/>
      <c r="DDU34" s="206"/>
      <c r="DDV34" s="206"/>
      <c r="DDW34" s="206"/>
      <c r="DDX34" s="206"/>
      <c r="DDY34" s="206"/>
      <c r="DDZ34" s="206"/>
      <c r="DEA34" s="206"/>
      <c r="DEB34" s="206"/>
      <c r="DEC34" s="206"/>
      <c r="DED34" s="206"/>
      <c r="DEE34" s="206"/>
      <c r="DEF34" s="206"/>
      <c r="DEG34" s="206"/>
      <c r="DEH34" s="206"/>
      <c r="DEI34" s="206"/>
      <c r="DEJ34" s="206"/>
      <c r="DEK34" s="206"/>
      <c r="DEL34" s="206"/>
      <c r="DEM34" s="206"/>
      <c r="DEN34" s="206"/>
      <c r="DEO34" s="206"/>
      <c r="DEP34" s="206"/>
      <c r="DEQ34" s="206"/>
      <c r="DER34" s="206"/>
      <c r="DES34" s="206"/>
      <c r="DET34" s="206"/>
      <c r="DEU34" s="206"/>
      <c r="DEV34" s="206"/>
      <c r="DEW34" s="206"/>
      <c r="DEX34" s="206"/>
      <c r="DEY34" s="206"/>
      <c r="DEZ34" s="206"/>
      <c r="DFA34" s="206"/>
      <c r="DFB34" s="206"/>
      <c r="DFC34" s="206"/>
      <c r="DFD34" s="206"/>
      <c r="DFE34" s="206"/>
      <c r="DFF34" s="206"/>
      <c r="DFG34" s="206"/>
      <c r="DFH34" s="206"/>
      <c r="DFI34" s="206"/>
      <c r="DFJ34" s="206"/>
      <c r="DFK34" s="206"/>
      <c r="DFL34" s="206"/>
      <c r="DFM34" s="206"/>
      <c r="DFN34" s="206"/>
      <c r="DFO34" s="206"/>
      <c r="DFP34" s="206"/>
      <c r="DFQ34" s="206"/>
      <c r="DFR34" s="206"/>
      <c r="DFS34" s="206"/>
      <c r="DFT34" s="206"/>
      <c r="DFU34" s="206"/>
      <c r="DFV34" s="206"/>
      <c r="DFW34" s="206"/>
      <c r="DFX34" s="206"/>
      <c r="DFY34" s="206"/>
      <c r="DFZ34" s="206"/>
      <c r="DGA34" s="206"/>
      <c r="DGB34" s="206"/>
      <c r="DGC34" s="206"/>
      <c r="DGD34" s="206"/>
      <c r="DGE34" s="206"/>
      <c r="DGF34" s="206"/>
      <c r="DGG34" s="206"/>
      <c r="DGH34" s="206"/>
      <c r="DGI34" s="206"/>
      <c r="DGJ34" s="206"/>
      <c r="DGK34" s="206"/>
      <c r="DGL34" s="206"/>
      <c r="DGM34" s="206"/>
      <c r="DGN34" s="206"/>
      <c r="DGO34" s="206"/>
      <c r="DGP34" s="206"/>
      <c r="DGQ34" s="206"/>
      <c r="DGR34" s="206"/>
      <c r="DGS34" s="206"/>
      <c r="DGT34" s="206"/>
      <c r="DGU34" s="206"/>
      <c r="DGV34" s="206"/>
      <c r="DGW34" s="206"/>
      <c r="DGX34" s="206"/>
      <c r="DGY34" s="206"/>
      <c r="DGZ34" s="206"/>
      <c r="DHA34" s="206"/>
      <c r="DHB34" s="206"/>
      <c r="DHC34" s="206"/>
      <c r="DHD34" s="206"/>
      <c r="DHE34" s="206"/>
      <c r="DHF34" s="206"/>
      <c r="DHG34" s="206"/>
      <c r="DHH34" s="206"/>
      <c r="DHI34" s="206"/>
      <c r="DHJ34" s="206"/>
      <c r="DHK34" s="206"/>
      <c r="DHL34" s="206"/>
      <c r="DHM34" s="206"/>
      <c r="DHN34" s="206"/>
      <c r="DHO34" s="206"/>
      <c r="DHP34" s="206"/>
      <c r="DHQ34" s="206"/>
      <c r="DHR34" s="206"/>
      <c r="DHS34" s="206"/>
      <c r="DHT34" s="206"/>
      <c r="DHU34" s="206"/>
      <c r="DHV34" s="206"/>
      <c r="DHW34" s="206"/>
      <c r="DHX34" s="206"/>
      <c r="DHY34" s="206"/>
      <c r="DHZ34" s="206"/>
      <c r="DIA34" s="206"/>
      <c r="DIB34" s="206"/>
      <c r="DIC34" s="206"/>
      <c r="DID34" s="206"/>
      <c r="DIE34" s="206"/>
      <c r="DIF34" s="206"/>
      <c r="DIG34" s="206"/>
      <c r="DIH34" s="206"/>
      <c r="DII34" s="206"/>
      <c r="DIJ34" s="206"/>
      <c r="DIK34" s="206"/>
      <c r="DIL34" s="206"/>
      <c r="DIM34" s="206"/>
      <c r="DIN34" s="206"/>
      <c r="DIO34" s="206"/>
      <c r="DIP34" s="206"/>
      <c r="DIQ34" s="206"/>
      <c r="DIR34" s="206"/>
      <c r="DIS34" s="206"/>
      <c r="DIT34" s="206"/>
      <c r="DIU34" s="206"/>
      <c r="DIV34" s="206"/>
      <c r="DIW34" s="206"/>
      <c r="DIX34" s="206"/>
      <c r="DIY34" s="206"/>
      <c r="DIZ34" s="206"/>
      <c r="DJA34" s="206"/>
      <c r="DJB34" s="206"/>
      <c r="DJC34" s="206"/>
      <c r="DJD34" s="206"/>
      <c r="DJE34" s="206"/>
      <c r="DJF34" s="206"/>
      <c r="DJG34" s="206"/>
      <c r="DJH34" s="206"/>
      <c r="DJI34" s="206"/>
      <c r="DJJ34" s="206"/>
      <c r="DJK34" s="206"/>
      <c r="DJL34" s="206"/>
      <c r="DJM34" s="206"/>
      <c r="DJN34" s="206"/>
      <c r="DJO34" s="206"/>
      <c r="DJP34" s="206"/>
      <c r="DJQ34" s="206"/>
      <c r="DJR34" s="206"/>
      <c r="DJS34" s="206"/>
      <c r="DJT34" s="206"/>
      <c r="DJU34" s="206"/>
      <c r="DJV34" s="206"/>
      <c r="DJW34" s="206"/>
      <c r="DJX34" s="206"/>
      <c r="DJY34" s="206"/>
      <c r="DJZ34" s="206"/>
      <c r="DKA34" s="206"/>
      <c r="DKB34" s="206"/>
      <c r="DKC34" s="206"/>
      <c r="DKD34" s="206"/>
      <c r="DKE34" s="206"/>
      <c r="DKF34" s="206"/>
      <c r="DKG34" s="206"/>
      <c r="DKH34" s="206"/>
      <c r="DKI34" s="206"/>
      <c r="DKJ34" s="206"/>
      <c r="DKK34" s="206"/>
      <c r="DKL34" s="206"/>
      <c r="DKM34" s="206"/>
      <c r="DKN34" s="206"/>
      <c r="DKO34" s="206"/>
      <c r="DKP34" s="206"/>
      <c r="DKQ34" s="206"/>
      <c r="DKR34" s="206"/>
      <c r="DKS34" s="206"/>
      <c r="DKT34" s="206"/>
      <c r="DKU34" s="206"/>
      <c r="DKV34" s="206"/>
      <c r="DKW34" s="206"/>
      <c r="DKX34" s="206"/>
      <c r="DKY34" s="206"/>
      <c r="DKZ34" s="206"/>
      <c r="DLA34" s="206"/>
      <c r="DLB34" s="206"/>
      <c r="DLC34" s="206"/>
      <c r="DLD34" s="206"/>
      <c r="DLE34" s="206"/>
      <c r="DLF34" s="206"/>
      <c r="DLG34" s="206"/>
      <c r="DLH34" s="206"/>
      <c r="DLI34" s="206"/>
      <c r="DLJ34" s="206"/>
      <c r="DLK34" s="206"/>
      <c r="DLL34" s="206"/>
      <c r="DLM34" s="206"/>
      <c r="DLN34" s="206"/>
      <c r="DLO34" s="206"/>
      <c r="DLP34" s="206"/>
      <c r="DLQ34" s="206"/>
      <c r="DLR34" s="206"/>
      <c r="DLS34" s="206"/>
      <c r="DLT34" s="206"/>
      <c r="DLU34" s="206"/>
      <c r="DLV34" s="206"/>
      <c r="DLW34" s="206"/>
      <c r="DLX34" s="206"/>
      <c r="DLY34" s="206"/>
      <c r="DLZ34" s="206"/>
      <c r="DMA34" s="206"/>
      <c r="DMB34" s="206"/>
      <c r="DMC34" s="206"/>
      <c r="DMD34" s="206"/>
      <c r="DME34" s="206"/>
      <c r="DMF34" s="206"/>
      <c r="DMG34" s="206"/>
      <c r="DMH34" s="206"/>
      <c r="DMI34" s="206"/>
      <c r="DMJ34" s="206"/>
      <c r="DMK34" s="206"/>
      <c r="DML34" s="206"/>
      <c r="DMM34" s="206"/>
      <c r="DMN34" s="206"/>
      <c r="DMO34" s="206"/>
      <c r="DMP34" s="206"/>
      <c r="DMQ34" s="206"/>
      <c r="DMR34" s="206"/>
      <c r="DMS34" s="206"/>
      <c r="DMT34" s="206"/>
      <c r="DMU34" s="206"/>
      <c r="DMV34" s="206"/>
      <c r="DMW34" s="206"/>
      <c r="DMX34" s="206"/>
      <c r="DMY34" s="206"/>
      <c r="DMZ34" s="206"/>
      <c r="DNA34" s="206"/>
      <c r="DNB34" s="206"/>
      <c r="DNC34" s="206"/>
      <c r="DND34" s="206"/>
      <c r="DNE34" s="206"/>
      <c r="DNF34" s="206"/>
      <c r="DNG34" s="206"/>
      <c r="DNH34" s="206"/>
      <c r="DNI34" s="206"/>
      <c r="DNJ34" s="206"/>
      <c r="DNK34" s="206"/>
      <c r="DNL34" s="206"/>
      <c r="DNM34" s="206"/>
      <c r="DNN34" s="206"/>
      <c r="DNO34" s="206"/>
      <c r="DNP34" s="206"/>
      <c r="DNQ34" s="206"/>
      <c r="DNR34" s="206"/>
      <c r="DNS34" s="206"/>
      <c r="DNT34" s="206"/>
      <c r="DNU34" s="206"/>
      <c r="DNV34" s="206"/>
      <c r="DNW34" s="206"/>
      <c r="DNX34" s="206"/>
      <c r="DNY34" s="206"/>
      <c r="DNZ34" s="206"/>
      <c r="DOA34" s="206"/>
      <c r="DOB34" s="206"/>
      <c r="DOC34" s="206"/>
      <c r="DOD34" s="206"/>
      <c r="DOE34" s="206"/>
      <c r="DOF34" s="206"/>
      <c r="DOG34" s="206"/>
      <c r="DOH34" s="206"/>
      <c r="DOI34" s="206"/>
      <c r="DOJ34" s="206"/>
      <c r="DOK34" s="206"/>
      <c r="DOL34" s="206"/>
      <c r="DOM34" s="206"/>
      <c r="DON34" s="206"/>
      <c r="DOO34" s="206"/>
      <c r="DOP34" s="206"/>
      <c r="DOQ34" s="206"/>
      <c r="DOR34" s="206"/>
      <c r="DOS34" s="206"/>
      <c r="DOT34" s="206"/>
      <c r="DOU34" s="206"/>
      <c r="DOV34" s="206"/>
      <c r="DOW34" s="206"/>
      <c r="DOX34" s="206"/>
      <c r="DOY34" s="206"/>
      <c r="DOZ34" s="206"/>
      <c r="DPA34" s="206"/>
      <c r="DPB34" s="206"/>
      <c r="DPC34" s="206"/>
      <c r="DPD34" s="206"/>
      <c r="DPE34" s="206"/>
      <c r="DPF34" s="206"/>
      <c r="DPG34" s="206"/>
      <c r="DPH34" s="206"/>
      <c r="DPI34" s="206"/>
      <c r="DPJ34" s="206"/>
      <c r="DPK34" s="206"/>
      <c r="DPL34" s="206"/>
      <c r="DPM34" s="206"/>
      <c r="DPN34" s="206"/>
      <c r="DPO34" s="206"/>
      <c r="DPP34" s="206"/>
      <c r="DPQ34" s="206"/>
      <c r="DPR34" s="206"/>
      <c r="DPS34" s="206"/>
      <c r="DPT34" s="206"/>
      <c r="DPU34" s="206"/>
      <c r="DPV34" s="206"/>
      <c r="DPW34" s="206"/>
      <c r="DPX34" s="206"/>
      <c r="DPY34" s="206"/>
      <c r="DPZ34" s="206"/>
      <c r="DQA34" s="206"/>
      <c r="DQB34" s="206"/>
      <c r="DQC34" s="206"/>
      <c r="DQD34" s="206"/>
      <c r="DQE34" s="206"/>
      <c r="DQF34" s="206"/>
      <c r="DQG34" s="206"/>
      <c r="DQH34" s="206"/>
      <c r="DQI34" s="206"/>
      <c r="DQJ34" s="206"/>
      <c r="DQK34" s="206"/>
      <c r="DQL34" s="206"/>
      <c r="DQM34" s="206"/>
      <c r="DQN34" s="206"/>
      <c r="DQO34" s="206"/>
      <c r="DQP34" s="206"/>
      <c r="DQQ34" s="206"/>
      <c r="DQR34" s="206"/>
      <c r="DQS34" s="206"/>
      <c r="DQT34" s="206"/>
      <c r="DQU34" s="206"/>
      <c r="DQV34" s="206"/>
      <c r="DQW34" s="206"/>
      <c r="DQX34" s="206"/>
      <c r="DQY34" s="206"/>
      <c r="DQZ34" s="206"/>
      <c r="DRA34" s="206"/>
      <c r="DRB34" s="206"/>
      <c r="DRC34" s="206"/>
      <c r="DRD34" s="206"/>
      <c r="DRE34" s="206"/>
      <c r="DRF34" s="206"/>
      <c r="DRG34" s="206"/>
      <c r="DRH34" s="206"/>
      <c r="DRI34" s="206"/>
      <c r="DRJ34" s="206"/>
      <c r="DRK34" s="206"/>
      <c r="DRL34" s="206"/>
      <c r="DRM34" s="206"/>
      <c r="DRN34" s="206"/>
      <c r="DRO34" s="206"/>
      <c r="DRP34" s="206"/>
      <c r="DRQ34" s="206"/>
      <c r="DRR34" s="206"/>
      <c r="DRS34" s="206"/>
      <c r="DRT34" s="206"/>
      <c r="DRU34" s="206"/>
      <c r="DRV34" s="206"/>
      <c r="DRW34" s="206"/>
      <c r="DRX34" s="206"/>
      <c r="DRY34" s="206"/>
      <c r="DRZ34" s="206"/>
      <c r="DSA34" s="206"/>
      <c r="DSB34" s="206"/>
      <c r="DSC34" s="206"/>
      <c r="DSD34" s="206"/>
      <c r="DSE34" s="206"/>
      <c r="DSF34" s="206"/>
      <c r="DSG34" s="206"/>
      <c r="DSH34" s="206"/>
      <c r="DSI34" s="206"/>
      <c r="DSJ34" s="206"/>
      <c r="DSK34" s="206"/>
      <c r="DSL34" s="206"/>
      <c r="DSM34" s="206"/>
      <c r="DSN34" s="206"/>
      <c r="DSO34" s="206"/>
      <c r="DSP34" s="206"/>
      <c r="DSQ34" s="206"/>
      <c r="DSR34" s="206"/>
      <c r="DSS34" s="206"/>
      <c r="DST34" s="206"/>
      <c r="DSU34" s="206"/>
      <c r="DSV34" s="206"/>
      <c r="DSW34" s="206"/>
      <c r="DSX34" s="206"/>
      <c r="DSY34" s="206"/>
      <c r="DSZ34" s="206"/>
      <c r="DTA34" s="206"/>
      <c r="DTB34" s="206"/>
      <c r="DTC34" s="206"/>
      <c r="DTD34" s="206"/>
      <c r="DTE34" s="206"/>
      <c r="DTF34" s="206"/>
      <c r="DTG34" s="206"/>
      <c r="DTH34" s="206"/>
      <c r="DTI34" s="206"/>
      <c r="DTJ34" s="206"/>
      <c r="DTK34" s="206"/>
      <c r="DTL34" s="206"/>
      <c r="DTM34" s="206"/>
      <c r="DTN34" s="206"/>
      <c r="DTO34" s="206"/>
      <c r="DTP34" s="206"/>
      <c r="DTQ34" s="206"/>
      <c r="DTR34" s="206"/>
      <c r="DTS34" s="206"/>
      <c r="DTT34" s="206"/>
      <c r="DTU34" s="206"/>
      <c r="DTV34" s="206"/>
      <c r="DTW34" s="206"/>
      <c r="DTX34" s="206"/>
      <c r="DTY34" s="206"/>
      <c r="DTZ34" s="206"/>
      <c r="DUA34" s="206"/>
      <c r="DUB34" s="206"/>
      <c r="DUC34" s="206"/>
      <c r="DUD34" s="206"/>
      <c r="DUE34" s="206"/>
      <c r="DUF34" s="206"/>
      <c r="DUG34" s="206"/>
      <c r="DUH34" s="206"/>
      <c r="DUI34" s="206"/>
      <c r="DUJ34" s="206"/>
      <c r="DUK34" s="206"/>
      <c r="DUL34" s="206"/>
      <c r="DUM34" s="206"/>
      <c r="DUN34" s="206"/>
      <c r="DUO34" s="206"/>
      <c r="DUP34" s="206"/>
      <c r="DUQ34" s="206"/>
      <c r="DUR34" s="206"/>
      <c r="DUS34" s="206"/>
      <c r="DUT34" s="206"/>
      <c r="DUU34" s="206"/>
      <c r="DUV34" s="206"/>
      <c r="DUW34" s="206"/>
      <c r="DUX34" s="206"/>
      <c r="DUY34" s="206"/>
      <c r="DUZ34" s="206"/>
      <c r="DVA34" s="206"/>
      <c r="DVB34" s="206"/>
      <c r="DVC34" s="206"/>
      <c r="DVD34" s="206"/>
      <c r="DVE34" s="206"/>
      <c r="DVF34" s="206"/>
      <c r="DVG34" s="206"/>
      <c r="DVH34" s="206"/>
      <c r="DVI34" s="206"/>
      <c r="DVJ34" s="206"/>
      <c r="DVK34" s="206"/>
      <c r="DVL34" s="206"/>
      <c r="DVM34" s="206"/>
      <c r="DVN34" s="206"/>
      <c r="DVO34" s="206"/>
      <c r="DVP34" s="206"/>
      <c r="DVQ34" s="206"/>
      <c r="DVR34" s="206"/>
      <c r="DVS34" s="206"/>
      <c r="DVT34" s="206"/>
      <c r="DVU34" s="206"/>
      <c r="DVV34" s="206"/>
      <c r="DVW34" s="206"/>
      <c r="DVX34" s="206"/>
      <c r="DVY34" s="206"/>
      <c r="DVZ34" s="206"/>
      <c r="DWA34" s="206"/>
      <c r="DWB34" s="206"/>
      <c r="DWC34" s="206"/>
      <c r="DWD34" s="206"/>
      <c r="DWE34" s="206"/>
      <c r="DWF34" s="206"/>
      <c r="DWG34" s="206"/>
      <c r="DWH34" s="206"/>
      <c r="DWI34" s="206"/>
      <c r="DWJ34" s="206"/>
      <c r="DWK34" s="206"/>
      <c r="DWL34" s="206"/>
      <c r="DWM34" s="206"/>
      <c r="DWN34" s="206"/>
      <c r="DWO34" s="206"/>
      <c r="DWP34" s="206"/>
      <c r="DWQ34" s="206"/>
      <c r="DWR34" s="206"/>
      <c r="DWS34" s="206"/>
      <c r="DWT34" s="206"/>
      <c r="DWU34" s="206"/>
      <c r="DWV34" s="206"/>
      <c r="DWW34" s="206"/>
      <c r="DWX34" s="206"/>
      <c r="DWY34" s="206"/>
      <c r="DWZ34" s="206"/>
      <c r="DXA34" s="206"/>
      <c r="DXB34" s="206"/>
      <c r="DXC34" s="206"/>
      <c r="DXD34" s="206"/>
      <c r="DXE34" s="206"/>
      <c r="DXF34" s="206"/>
      <c r="DXG34" s="206"/>
      <c r="DXH34" s="206"/>
      <c r="DXI34" s="206"/>
      <c r="DXJ34" s="206"/>
      <c r="DXK34" s="206"/>
      <c r="DXL34" s="206"/>
      <c r="DXM34" s="206"/>
      <c r="DXN34" s="206"/>
      <c r="DXO34" s="206"/>
      <c r="DXP34" s="206"/>
      <c r="DXQ34" s="206"/>
      <c r="DXR34" s="206"/>
      <c r="DXS34" s="206"/>
      <c r="DXT34" s="206"/>
      <c r="DXU34" s="206"/>
      <c r="DXV34" s="206"/>
      <c r="DXW34" s="206"/>
      <c r="DXX34" s="206"/>
      <c r="DXY34" s="206"/>
      <c r="DXZ34" s="206"/>
      <c r="DYA34" s="206"/>
      <c r="DYB34" s="206"/>
      <c r="DYC34" s="206"/>
      <c r="DYD34" s="206"/>
      <c r="DYE34" s="206"/>
      <c r="DYF34" s="206"/>
      <c r="DYG34" s="206"/>
      <c r="DYH34" s="206"/>
      <c r="DYI34" s="206"/>
      <c r="DYJ34" s="206"/>
      <c r="DYK34" s="206"/>
      <c r="DYL34" s="206"/>
      <c r="DYM34" s="206"/>
      <c r="DYN34" s="206"/>
      <c r="DYO34" s="206"/>
      <c r="DYP34" s="206"/>
      <c r="DYQ34" s="206"/>
      <c r="DYR34" s="206"/>
      <c r="DYS34" s="206"/>
      <c r="DYT34" s="206"/>
      <c r="DYU34" s="206"/>
      <c r="DYV34" s="206"/>
      <c r="DYW34" s="206"/>
      <c r="DYX34" s="206"/>
      <c r="DYY34" s="206"/>
      <c r="DYZ34" s="206"/>
      <c r="DZA34" s="206"/>
      <c r="DZB34" s="206"/>
      <c r="DZC34" s="206"/>
      <c r="DZD34" s="206"/>
      <c r="DZE34" s="206"/>
      <c r="DZF34" s="206"/>
      <c r="DZG34" s="206"/>
      <c r="DZH34" s="206"/>
      <c r="DZI34" s="206"/>
      <c r="DZJ34" s="206"/>
      <c r="DZK34" s="206"/>
      <c r="DZL34" s="206"/>
      <c r="DZM34" s="206"/>
      <c r="DZN34" s="206"/>
      <c r="DZO34" s="206"/>
      <c r="DZP34" s="206"/>
      <c r="DZQ34" s="206"/>
      <c r="DZR34" s="206"/>
      <c r="DZS34" s="206"/>
      <c r="DZT34" s="206"/>
      <c r="DZU34" s="206"/>
      <c r="DZV34" s="206"/>
      <c r="DZW34" s="206"/>
      <c r="DZX34" s="206"/>
      <c r="DZY34" s="206"/>
      <c r="DZZ34" s="206"/>
      <c r="EAA34" s="206"/>
      <c r="EAB34" s="206"/>
      <c r="EAC34" s="206"/>
      <c r="EAD34" s="206"/>
      <c r="EAE34" s="206"/>
      <c r="EAF34" s="206"/>
      <c r="EAG34" s="206"/>
      <c r="EAH34" s="206"/>
      <c r="EAI34" s="206"/>
      <c r="EAJ34" s="206"/>
      <c r="EAK34" s="206"/>
      <c r="EAL34" s="206"/>
      <c r="EAM34" s="206"/>
      <c r="EAN34" s="206"/>
      <c r="EAO34" s="206"/>
      <c r="EAP34" s="206"/>
      <c r="EAQ34" s="206"/>
      <c r="EAR34" s="206"/>
      <c r="EAS34" s="206"/>
      <c r="EAT34" s="206"/>
      <c r="EAU34" s="206"/>
      <c r="EAV34" s="206"/>
      <c r="EAW34" s="206"/>
      <c r="EAX34" s="206"/>
      <c r="EAY34" s="206"/>
      <c r="EAZ34" s="206"/>
      <c r="EBA34" s="206"/>
      <c r="EBB34" s="206"/>
      <c r="EBC34" s="206"/>
      <c r="EBD34" s="206"/>
      <c r="EBE34" s="206"/>
      <c r="EBF34" s="206"/>
      <c r="EBG34" s="206"/>
      <c r="EBH34" s="206"/>
      <c r="EBI34" s="206"/>
      <c r="EBJ34" s="206"/>
      <c r="EBK34" s="206"/>
      <c r="EBL34" s="206"/>
      <c r="EBM34" s="206"/>
      <c r="EBN34" s="206"/>
      <c r="EBO34" s="206"/>
      <c r="EBP34" s="206"/>
      <c r="EBQ34" s="206"/>
      <c r="EBR34" s="206"/>
      <c r="EBS34" s="206"/>
      <c r="EBT34" s="206"/>
      <c r="EBU34" s="206"/>
      <c r="EBV34" s="206"/>
      <c r="EBW34" s="206"/>
      <c r="EBX34" s="206"/>
      <c r="EBY34" s="206"/>
      <c r="EBZ34" s="206"/>
      <c r="ECA34" s="206"/>
      <c r="ECB34" s="206"/>
      <c r="ECC34" s="206"/>
      <c r="ECD34" s="206"/>
      <c r="ECE34" s="206"/>
      <c r="ECF34" s="206"/>
      <c r="ECG34" s="206"/>
      <c r="ECH34" s="206"/>
      <c r="ECI34" s="206"/>
      <c r="ECJ34" s="206"/>
      <c r="ECK34" s="206"/>
      <c r="ECL34" s="206"/>
      <c r="ECM34" s="206"/>
      <c r="ECN34" s="206"/>
      <c r="ECO34" s="206"/>
      <c r="ECP34" s="206"/>
      <c r="ECQ34" s="206"/>
      <c r="ECR34" s="206"/>
      <c r="ECS34" s="206"/>
      <c r="ECT34" s="206"/>
      <c r="ECU34" s="206"/>
      <c r="ECV34" s="206"/>
      <c r="ECW34" s="206"/>
      <c r="ECX34" s="206"/>
      <c r="ECY34" s="206"/>
      <c r="ECZ34" s="206"/>
      <c r="EDA34" s="206"/>
      <c r="EDB34" s="206"/>
      <c r="EDC34" s="206"/>
      <c r="EDD34" s="206"/>
      <c r="EDE34" s="206"/>
      <c r="EDF34" s="206"/>
      <c r="EDG34" s="206"/>
      <c r="EDH34" s="206"/>
      <c r="EDI34" s="206"/>
      <c r="EDJ34" s="206"/>
      <c r="EDK34" s="206"/>
      <c r="EDL34" s="206"/>
      <c r="EDM34" s="206"/>
      <c r="EDN34" s="206"/>
      <c r="EDO34" s="206"/>
      <c r="EDP34" s="206"/>
      <c r="EDQ34" s="206"/>
      <c r="EDR34" s="206"/>
      <c r="EDS34" s="206"/>
      <c r="EDT34" s="206"/>
      <c r="EDU34" s="206"/>
      <c r="EDV34" s="206"/>
      <c r="EDW34" s="206"/>
      <c r="EDX34" s="206"/>
      <c r="EDY34" s="206"/>
      <c r="EDZ34" s="206"/>
      <c r="EEA34" s="206"/>
      <c r="EEB34" s="206"/>
      <c r="EEC34" s="206"/>
      <c r="EED34" s="206"/>
      <c r="EEE34" s="206"/>
      <c r="EEF34" s="206"/>
      <c r="EEG34" s="206"/>
      <c r="EEH34" s="206"/>
      <c r="EEI34" s="206"/>
      <c r="EEJ34" s="206"/>
      <c r="EEK34" s="206"/>
      <c r="EEL34" s="206"/>
      <c r="EEM34" s="206"/>
      <c r="EEN34" s="206"/>
      <c r="EEO34" s="206"/>
      <c r="EEP34" s="206"/>
      <c r="EEQ34" s="206"/>
      <c r="EER34" s="206"/>
      <c r="EES34" s="206"/>
      <c r="EET34" s="206"/>
      <c r="EEU34" s="206"/>
      <c r="EEV34" s="206"/>
      <c r="EEW34" s="206"/>
      <c r="EEX34" s="206"/>
      <c r="EEY34" s="206"/>
      <c r="EEZ34" s="206"/>
      <c r="EFA34" s="206"/>
      <c r="EFB34" s="206"/>
      <c r="EFC34" s="206"/>
      <c r="EFD34" s="206"/>
      <c r="EFE34" s="206"/>
      <c r="EFF34" s="206"/>
      <c r="EFG34" s="206"/>
      <c r="EFH34" s="206"/>
      <c r="EFI34" s="206"/>
      <c r="EFJ34" s="206"/>
      <c r="EFK34" s="206"/>
      <c r="EFL34" s="206"/>
      <c r="EFM34" s="206"/>
      <c r="EFN34" s="206"/>
      <c r="EFO34" s="206"/>
      <c r="EFP34" s="206"/>
      <c r="EFQ34" s="206"/>
      <c r="EFR34" s="206"/>
      <c r="EFS34" s="206"/>
      <c r="EFT34" s="206"/>
      <c r="EFU34" s="206"/>
      <c r="EFV34" s="206"/>
      <c r="EFW34" s="206"/>
      <c r="EFX34" s="206"/>
      <c r="EFY34" s="206"/>
      <c r="EFZ34" s="206"/>
      <c r="EGA34" s="206"/>
      <c r="EGB34" s="206"/>
      <c r="EGC34" s="206"/>
      <c r="EGD34" s="206"/>
      <c r="EGE34" s="206"/>
      <c r="EGF34" s="206"/>
      <c r="EGG34" s="206"/>
      <c r="EGH34" s="206"/>
      <c r="EGI34" s="206"/>
      <c r="EGJ34" s="206"/>
      <c r="EGK34" s="206"/>
      <c r="EGL34" s="206"/>
      <c r="EGM34" s="206"/>
      <c r="EGN34" s="206"/>
      <c r="EGO34" s="206"/>
      <c r="EGP34" s="206"/>
      <c r="EGQ34" s="206"/>
      <c r="EGR34" s="206"/>
      <c r="EGS34" s="206"/>
      <c r="EGT34" s="206"/>
      <c r="EGU34" s="206"/>
      <c r="EGV34" s="206"/>
      <c r="EGW34" s="206"/>
      <c r="EGX34" s="206"/>
      <c r="EGY34" s="206"/>
      <c r="EGZ34" s="206"/>
      <c r="EHA34" s="206"/>
      <c r="EHB34" s="206"/>
      <c r="EHC34" s="206"/>
      <c r="EHD34" s="206"/>
      <c r="EHE34" s="206"/>
      <c r="EHF34" s="206"/>
      <c r="EHG34" s="206"/>
      <c r="EHH34" s="206"/>
      <c r="EHI34" s="206"/>
      <c r="EHJ34" s="206"/>
      <c r="EHK34" s="206"/>
      <c r="EHL34" s="206"/>
      <c r="EHM34" s="206"/>
      <c r="EHN34" s="206"/>
      <c r="EHO34" s="206"/>
      <c r="EHP34" s="206"/>
      <c r="EHQ34" s="206"/>
      <c r="EHR34" s="206"/>
      <c r="EHS34" s="206"/>
      <c r="EHT34" s="206"/>
      <c r="EHU34" s="206"/>
      <c r="EHV34" s="206"/>
      <c r="EHW34" s="206"/>
      <c r="EHX34" s="206"/>
      <c r="EHY34" s="206"/>
      <c r="EHZ34" s="206"/>
      <c r="EIA34" s="206"/>
      <c r="EIB34" s="206"/>
      <c r="EIC34" s="206"/>
      <c r="EID34" s="206"/>
      <c r="EIE34" s="206"/>
      <c r="EIF34" s="206"/>
      <c r="EIG34" s="206"/>
      <c r="EIH34" s="206"/>
      <c r="EII34" s="206"/>
      <c r="EIJ34" s="206"/>
      <c r="EIK34" s="206"/>
      <c r="EIL34" s="206"/>
      <c r="EIM34" s="206"/>
      <c r="EIN34" s="206"/>
      <c r="EIO34" s="206"/>
      <c r="EIP34" s="206"/>
      <c r="EIQ34" s="206"/>
      <c r="EIR34" s="206"/>
      <c r="EIS34" s="206"/>
      <c r="EIT34" s="206"/>
      <c r="EIU34" s="206"/>
      <c r="EIV34" s="206"/>
      <c r="EIW34" s="206"/>
      <c r="EIX34" s="206"/>
      <c r="EIY34" s="206"/>
      <c r="EIZ34" s="206"/>
      <c r="EJA34" s="206"/>
      <c r="EJB34" s="206"/>
      <c r="EJC34" s="206"/>
      <c r="EJD34" s="206"/>
      <c r="EJE34" s="206"/>
      <c r="EJF34" s="206"/>
      <c r="EJG34" s="206"/>
      <c r="EJH34" s="206"/>
      <c r="EJI34" s="206"/>
      <c r="EJJ34" s="206"/>
      <c r="EJK34" s="206"/>
      <c r="EJL34" s="206"/>
      <c r="EJM34" s="206"/>
      <c r="EJN34" s="206"/>
      <c r="EJO34" s="206"/>
      <c r="EJP34" s="206"/>
      <c r="EJQ34" s="206"/>
      <c r="EJR34" s="206"/>
      <c r="EJS34" s="206"/>
      <c r="EJT34" s="206"/>
      <c r="EJU34" s="206"/>
      <c r="EJV34" s="206"/>
      <c r="EJW34" s="206"/>
      <c r="EJX34" s="206"/>
      <c r="EJY34" s="206"/>
      <c r="EJZ34" s="206"/>
      <c r="EKA34" s="206"/>
      <c r="EKB34" s="206"/>
      <c r="EKC34" s="206"/>
      <c r="EKD34" s="206"/>
      <c r="EKE34" s="206"/>
      <c r="EKF34" s="206"/>
      <c r="EKG34" s="206"/>
      <c r="EKH34" s="206"/>
      <c r="EKI34" s="206"/>
      <c r="EKJ34" s="206"/>
      <c r="EKK34" s="206"/>
      <c r="EKL34" s="206"/>
      <c r="EKM34" s="206"/>
      <c r="EKN34" s="206"/>
      <c r="EKO34" s="206"/>
      <c r="EKP34" s="206"/>
      <c r="EKQ34" s="206"/>
      <c r="EKR34" s="206"/>
      <c r="EKS34" s="206"/>
      <c r="EKT34" s="206"/>
      <c r="EKU34" s="206"/>
      <c r="EKV34" s="206"/>
      <c r="EKW34" s="206"/>
      <c r="EKX34" s="206"/>
      <c r="EKY34" s="206"/>
      <c r="EKZ34" s="206"/>
      <c r="ELA34" s="206"/>
      <c r="ELB34" s="206"/>
      <c r="ELC34" s="206"/>
      <c r="ELD34" s="206"/>
      <c r="ELE34" s="206"/>
      <c r="ELF34" s="206"/>
      <c r="ELG34" s="206"/>
      <c r="ELH34" s="206"/>
      <c r="ELI34" s="206"/>
      <c r="ELJ34" s="206"/>
      <c r="ELK34" s="206"/>
      <c r="ELL34" s="206"/>
      <c r="ELM34" s="206"/>
      <c r="ELN34" s="206"/>
      <c r="ELO34" s="206"/>
      <c r="ELP34" s="206"/>
      <c r="ELQ34" s="206"/>
      <c r="ELR34" s="206"/>
      <c r="ELS34" s="206"/>
      <c r="ELT34" s="206"/>
      <c r="ELU34" s="206"/>
      <c r="ELV34" s="206"/>
      <c r="ELW34" s="206"/>
      <c r="ELX34" s="206"/>
      <c r="ELY34" s="206"/>
      <c r="ELZ34" s="206"/>
      <c r="EMA34" s="206"/>
      <c r="EMB34" s="206"/>
      <c r="EMC34" s="206"/>
      <c r="EMD34" s="206"/>
      <c r="EME34" s="206"/>
      <c r="EMF34" s="206"/>
      <c r="EMG34" s="206"/>
      <c r="EMH34" s="206"/>
      <c r="EMI34" s="206"/>
      <c r="EMJ34" s="206"/>
      <c r="EMK34" s="206"/>
      <c r="EML34" s="206"/>
      <c r="EMM34" s="206"/>
      <c r="EMN34" s="206"/>
      <c r="EMO34" s="206"/>
      <c r="EMP34" s="206"/>
      <c r="EMQ34" s="206"/>
      <c r="EMR34" s="206"/>
      <c r="EMS34" s="206"/>
      <c r="EMT34" s="206"/>
      <c r="EMU34" s="206"/>
      <c r="EMV34" s="206"/>
      <c r="EMW34" s="206"/>
      <c r="EMX34" s="206"/>
      <c r="EMY34" s="206"/>
      <c r="EMZ34" s="206"/>
      <c r="ENA34" s="206"/>
      <c r="ENB34" s="206"/>
      <c r="ENC34" s="206"/>
      <c r="END34" s="206"/>
      <c r="ENE34" s="206"/>
      <c r="ENF34" s="206"/>
      <c r="ENG34" s="206"/>
      <c r="ENH34" s="206"/>
      <c r="ENI34" s="206"/>
      <c r="ENJ34" s="206"/>
      <c r="ENK34" s="206"/>
      <c r="ENL34" s="206"/>
      <c r="ENM34" s="206"/>
      <c r="ENN34" s="206"/>
      <c r="ENO34" s="206"/>
      <c r="ENP34" s="206"/>
      <c r="ENQ34" s="206"/>
      <c r="ENR34" s="206"/>
      <c r="ENS34" s="206"/>
      <c r="ENT34" s="206"/>
      <c r="ENU34" s="206"/>
      <c r="ENV34" s="206"/>
      <c r="ENW34" s="206"/>
      <c r="ENX34" s="206"/>
      <c r="ENY34" s="206"/>
      <c r="ENZ34" s="206"/>
      <c r="EOA34" s="206"/>
      <c r="EOB34" s="206"/>
      <c r="EOC34" s="206"/>
      <c r="EOD34" s="206"/>
      <c r="EOE34" s="206"/>
      <c r="EOF34" s="206"/>
      <c r="EOG34" s="206"/>
      <c r="EOH34" s="206"/>
      <c r="EOI34" s="206"/>
      <c r="EOJ34" s="206"/>
      <c r="EOK34" s="206"/>
      <c r="EOL34" s="206"/>
      <c r="EOM34" s="206"/>
      <c r="EON34" s="206"/>
      <c r="EOO34" s="206"/>
      <c r="EOP34" s="206"/>
      <c r="EOQ34" s="206"/>
      <c r="EOR34" s="206"/>
      <c r="EOS34" s="206"/>
      <c r="EOT34" s="206"/>
      <c r="EOU34" s="206"/>
      <c r="EOV34" s="206"/>
      <c r="EOW34" s="206"/>
      <c r="EOX34" s="206"/>
      <c r="EOY34" s="206"/>
      <c r="EOZ34" s="206"/>
      <c r="EPA34" s="206"/>
      <c r="EPB34" s="206"/>
      <c r="EPC34" s="206"/>
      <c r="EPD34" s="206"/>
      <c r="EPE34" s="206"/>
      <c r="EPF34" s="206"/>
      <c r="EPG34" s="206"/>
      <c r="EPH34" s="206"/>
      <c r="EPI34" s="206"/>
      <c r="EPJ34" s="206"/>
      <c r="EPK34" s="206"/>
      <c r="EPL34" s="206"/>
      <c r="EPM34" s="206"/>
      <c r="EPN34" s="206"/>
      <c r="EPO34" s="206"/>
      <c r="EPP34" s="206"/>
      <c r="EPQ34" s="206"/>
      <c r="EPR34" s="206"/>
      <c r="EPS34" s="206"/>
      <c r="EPT34" s="206"/>
      <c r="EPU34" s="206"/>
      <c r="EPV34" s="206"/>
      <c r="EPW34" s="206"/>
      <c r="EPX34" s="206"/>
      <c r="EPY34" s="206"/>
      <c r="EPZ34" s="206"/>
      <c r="EQA34" s="206"/>
      <c r="EQB34" s="206"/>
      <c r="EQC34" s="206"/>
      <c r="EQD34" s="206"/>
      <c r="EQE34" s="206"/>
      <c r="EQF34" s="206"/>
      <c r="EQG34" s="206"/>
      <c r="EQH34" s="206"/>
      <c r="EQI34" s="206"/>
      <c r="EQJ34" s="206"/>
      <c r="EQK34" s="206"/>
      <c r="EQL34" s="206"/>
      <c r="EQM34" s="206"/>
      <c r="EQN34" s="206"/>
      <c r="EQO34" s="206"/>
      <c r="EQP34" s="206"/>
      <c r="EQQ34" s="206"/>
      <c r="EQR34" s="206"/>
      <c r="EQS34" s="206"/>
      <c r="EQT34" s="206"/>
      <c r="EQU34" s="206"/>
      <c r="EQV34" s="206"/>
      <c r="EQW34" s="206"/>
      <c r="EQX34" s="206"/>
      <c r="EQY34" s="206"/>
      <c r="EQZ34" s="206"/>
      <c r="ERA34" s="206"/>
      <c r="ERB34" s="206"/>
      <c r="ERC34" s="206"/>
      <c r="ERD34" s="206"/>
      <c r="ERE34" s="206"/>
      <c r="ERF34" s="206"/>
      <c r="ERG34" s="206"/>
      <c r="ERH34" s="206"/>
      <c r="ERI34" s="206"/>
      <c r="ERJ34" s="206"/>
      <c r="ERK34" s="206"/>
      <c r="ERL34" s="206"/>
      <c r="ERM34" s="206"/>
      <c r="ERN34" s="206"/>
      <c r="ERO34" s="206"/>
      <c r="ERP34" s="206"/>
      <c r="ERQ34" s="206"/>
      <c r="ERR34" s="206"/>
      <c r="ERS34" s="206"/>
      <c r="ERT34" s="206"/>
      <c r="ERU34" s="206"/>
      <c r="ERV34" s="206"/>
      <c r="ERW34" s="206"/>
      <c r="ERX34" s="206"/>
      <c r="ERY34" s="206"/>
      <c r="ERZ34" s="206"/>
      <c r="ESA34" s="206"/>
      <c r="ESB34" s="206"/>
      <c r="ESC34" s="206"/>
      <c r="ESD34" s="206"/>
      <c r="ESE34" s="206"/>
      <c r="ESF34" s="206"/>
      <c r="ESG34" s="206"/>
      <c r="ESH34" s="206"/>
      <c r="ESI34" s="206"/>
      <c r="ESJ34" s="206"/>
      <c r="ESK34" s="206"/>
      <c r="ESL34" s="206"/>
      <c r="ESM34" s="206"/>
      <c r="ESN34" s="206"/>
      <c r="ESO34" s="206"/>
      <c r="ESP34" s="206"/>
      <c r="ESQ34" s="206"/>
      <c r="ESR34" s="206"/>
      <c r="ESS34" s="206"/>
      <c r="EST34" s="206"/>
      <c r="ESU34" s="206"/>
      <c r="ESV34" s="206"/>
      <c r="ESW34" s="206"/>
      <c r="ESX34" s="206"/>
      <c r="ESY34" s="206"/>
      <c r="ESZ34" s="206"/>
      <c r="ETA34" s="206"/>
      <c r="ETB34" s="206"/>
      <c r="ETC34" s="206"/>
      <c r="ETD34" s="206"/>
      <c r="ETE34" s="206"/>
      <c r="ETF34" s="206"/>
      <c r="ETG34" s="206"/>
      <c r="ETH34" s="206"/>
      <c r="ETI34" s="206"/>
      <c r="ETJ34" s="206"/>
      <c r="ETK34" s="206"/>
      <c r="ETL34" s="206"/>
      <c r="ETM34" s="206"/>
      <c r="ETN34" s="206"/>
      <c r="ETO34" s="206"/>
      <c r="ETP34" s="206"/>
      <c r="ETQ34" s="206"/>
      <c r="ETR34" s="206"/>
      <c r="ETS34" s="206"/>
      <c r="ETT34" s="206"/>
      <c r="ETU34" s="206"/>
      <c r="ETV34" s="206"/>
      <c r="ETW34" s="206"/>
      <c r="ETX34" s="206"/>
      <c r="ETY34" s="206"/>
      <c r="ETZ34" s="206"/>
      <c r="EUA34" s="206"/>
      <c r="EUB34" s="206"/>
      <c r="EUC34" s="206"/>
      <c r="EUD34" s="206"/>
      <c r="EUE34" s="206"/>
      <c r="EUF34" s="206"/>
      <c r="EUG34" s="206"/>
      <c r="EUH34" s="206"/>
      <c r="EUI34" s="206"/>
      <c r="EUJ34" s="206"/>
      <c r="EUK34" s="206"/>
      <c r="EUL34" s="206"/>
      <c r="EUM34" s="206"/>
      <c r="EUN34" s="206"/>
      <c r="EUO34" s="206"/>
      <c r="EUP34" s="206"/>
      <c r="EUQ34" s="206"/>
      <c r="EUR34" s="206"/>
      <c r="EUS34" s="206"/>
      <c r="EUT34" s="206"/>
      <c r="EUU34" s="206"/>
      <c r="EUV34" s="206"/>
      <c r="EUW34" s="206"/>
      <c r="EUX34" s="206"/>
      <c r="EUY34" s="206"/>
      <c r="EUZ34" s="206"/>
      <c r="EVA34" s="206"/>
      <c r="EVB34" s="206"/>
      <c r="EVC34" s="206"/>
      <c r="EVD34" s="206"/>
      <c r="EVE34" s="206"/>
      <c r="EVF34" s="206"/>
      <c r="EVG34" s="206"/>
      <c r="EVH34" s="206"/>
      <c r="EVI34" s="206"/>
      <c r="EVJ34" s="206"/>
      <c r="EVK34" s="206"/>
      <c r="EVL34" s="206"/>
      <c r="EVM34" s="206"/>
      <c r="EVN34" s="206"/>
      <c r="EVO34" s="206"/>
      <c r="EVP34" s="206"/>
      <c r="EVQ34" s="206"/>
      <c r="EVR34" s="206"/>
      <c r="EVS34" s="206"/>
      <c r="EVT34" s="206"/>
      <c r="EVU34" s="206"/>
      <c r="EVV34" s="206"/>
      <c r="EVW34" s="206"/>
      <c r="EVX34" s="206"/>
      <c r="EVY34" s="206"/>
      <c r="EVZ34" s="206"/>
      <c r="EWA34" s="206"/>
      <c r="EWB34" s="206"/>
      <c r="EWC34" s="206"/>
      <c r="EWD34" s="206"/>
      <c r="EWE34" s="206"/>
      <c r="EWF34" s="206"/>
      <c r="EWG34" s="206"/>
      <c r="EWH34" s="206"/>
      <c r="EWI34" s="206"/>
      <c r="EWJ34" s="206"/>
      <c r="EWK34" s="206"/>
      <c r="EWL34" s="206"/>
      <c r="EWM34" s="206"/>
      <c r="EWN34" s="206"/>
      <c r="EWO34" s="206"/>
      <c r="EWP34" s="206"/>
      <c r="EWQ34" s="206"/>
      <c r="EWR34" s="206"/>
      <c r="EWS34" s="206"/>
      <c r="EWT34" s="206"/>
      <c r="EWU34" s="206"/>
      <c r="EWV34" s="206"/>
      <c r="EWW34" s="206"/>
      <c r="EWX34" s="206"/>
      <c r="EWY34" s="206"/>
      <c r="EWZ34" s="206"/>
      <c r="EXA34" s="206"/>
      <c r="EXB34" s="206"/>
      <c r="EXC34" s="206"/>
      <c r="EXD34" s="206"/>
      <c r="EXE34" s="206"/>
      <c r="EXF34" s="206"/>
      <c r="EXG34" s="206"/>
      <c r="EXH34" s="206"/>
      <c r="EXI34" s="206"/>
      <c r="EXJ34" s="206"/>
      <c r="EXK34" s="206"/>
      <c r="EXL34" s="206"/>
      <c r="EXM34" s="206"/>
      <c r="EXN34" s="206"/>
      <c r="EXO34" s="206"/>
      <c r="EXP34" s="206"/>
      <c r="EXQ34" s="206"/>
      <c r="EXR34" s="206"/>
      <c r="EXS34" s="206"/>
      <c r="EXT34" s="206"/>
      <c r="EXU34" s="206"/>
      <c r="EXV34" s="206"/>
      <c r="EXW34" s="206"/>
      <c r="EXX34" s="206"/>
      <c r="EXY34" s="206"/>
      <c r="EXZ34" s="206"/>
      <c r="EYA34" s="206"/>
      <c r="EYB34" s="206"/>
      <c r="EYC34" s="206"/>
      <c r="EYD34" s="206"/>
      <c r="EYE34" s="206"/>
      <c r="EYF34" s="206"/>
      <c r="EYG34" s="206"/>
      <c r="EYH34" s="206"/>
      <c r="EYI34" s="206"/>
      <c r="EYJ34" s="206"/>
      <c r="EYK34" s="206"/>
      <c r="EYL34" s="206"/>
      <c r="EYM34" s="206"/>
      <c r="EYN34" s="206"/>
      <c r="EYO34" s="206"/>
      <c r="EYP34" s="206"/>
      <c r="EYQ34" s="206"/>
      <c r="EYR34" s="206"/>
      <c r="EYS34" s="206"/>
      <c r="EYT34" s="206"/>
      <c r="EYU34" s="206"/>
      <c r="EYV34" s="206"/>
      <c r="EYW34" s="206"/>
      <c r="EYX34" s="206"/>
      <c r="EYY34" s="206"/>
      <c r="EYZ34" s="206"/>
      <c r="EZA34" s="206"/>
      <c r="EZB34" s="206"/>
      <c r="EZC34" s="206"/>
      <c r="EZD34" s="206"/>
      <c r="EZE34" s="206"/>
      <c r="EZF34" s="206"/>
      <c r="EZG34" s="206"/>
      <c r="EZH34" s="206"/>
      <c r="EZI34" s="206"/>
      <c r="EZJ34" s="206"/>
      <c r="EZK34" s="206"/>
      <c r="EZL34" s="206"/>
      <c r="EZM34" s="206"/>
      <c r="EZN34" s="206"/>
      <c r="EZO34" s="206"/>
      <c r="EZP34" s="206"/>
      <c r="EZQ34" s="206"/>
      <c r="EZR34" s="206"/>
      <c r="EZS34" s="206"/>
      <c r="EZT34" s="206"/>
      <c r="EZU34" s="206"/>
      <c r="EZV34" s="206"/>
      <c r="EZW34" s="206"/>
      <c r="EZX34" s="206"/>
      <c r="EZY34" s="206"/>
      <c r="EZZ34" s="206"/>
      <c r="FAA34" s="206"/>
      <c r="FAB34" s="206"/>
      <c r="FAC34" s="206"/>
      <c r="FAD34" s="206"/>
      <c r="FAE34" s="206"/>
      <c r="FAF34" s="206"/>
      <c r="FAG34" s="206"/>
      <c r="FAH34" s="206"/>
      <c r="FAI34" s="206"/>
      <c r="FAJ34" s="206"/>
      <c r="FAK34" s="206"/>
      <c r="FAL34" s="206"/>
      <c r="FAM34" s="206"/>
      <c r="FAN34" s="206"/>
      <c r="FAO34" s="206"/>
      <c r="FAP34" s="206"/>
      <c r="FAQ34" s="206"/>
      <c r="FAR34" s="206"/>
      <c r="FAS34" s="206"/>
      <c r="FAT34" s="206"/>
      <c r="FAU34" s="206"/>
      <c r="FAV34" s="206"/>
      <c r="FAW34" s="206"/>
      <c r="FAX34" s="206"/>
      <c r="FAY34" s="206"/>
      <c r="FAZ34" s="206"/>
      <c r="FBA34" s="206"/>
      <c r="FBB34" s="206"/>
      <c r="FBC34" s="206"/>
      <c r="FBD34" s="206"/>
      <c r="FBE34" s="206"/>
      <c r="FBF34" s="206"/>
      <c r="FBG34" s="206"/>
      <c r="FBH34" s="206"/>
      <c r="FBI34" s="206"/>
      <c r="FBJ34" s="206"/>
      <c r="FBK34" s="206"/>
      <c r="FBL34" s="206"/>
      <c r="FBM34" s="206"/>
      <c r="FBN34" s="206"/>
      <c r="FBO34" s="206"/>
      <c r="FBP34" s="206"/>
      <c r="FBQ34" s="206"/>
      <c r="FBR34" s="206"/>
      <c r="FBS34" s="206"/>
      <c r="FBT34" s="206"/>
      <c r="FBU34" s="206"/>
      <c r="FBV34" s="206"/>
      <c r="FBW34" s="206"/>
      <c r="FBX34" s="206"/>
      <c r="FBY34" s="206"/>
      <c r="FBZ34" s="206"/>
      <c r="FCA34" s="206"/>
      <c r="FCB34" s="206"/>
      <c r="FCC34" s="206"/>
      <c r="FCD34" s="206"/>
      <c r="FCE34" s="206"/>
      <c r="FCF34" s="206"/>
      <c r="FCG34" s="206"/>
      <c r="FCH34" s="206"/>
      <c r="FCI34" s="206"/>
      <c r="FCJ34" s="206"/>
      <c r="FCK34" s="206"/>
      <c r="FCL34" s="206"/>
      <c r="FCM34" s="206"/>
      <c r="FCN34" s="206"/>
      <c r="FCO34" s="206"/>
      <c r="FCP34" s="206"/>
      <c r="FCQ34" s="206"/>
      <c r="FCR34" s="206"/>
      <c r="FCS34" s="206"/>
      <c r="FCT34" s="206"/>
      <c r="FCU34" s="206"/>
      <c r="FCV34" s="206"/>
      <c r="FCW34" s="206"/>
      <c r="FCX34" s="206"/>
      <c r="FCY34" s="206"/>
      <c r="FCZ34" s="206"/>
      <c r="FDA34" s="206"/>
      <c r="FDB34" s="206"/>
      <c r="FDC34" s="206"/>
      <c r="FDD34" s="206"/>
      <c r="FDE34" s="206"/>
      <c r="FDF34" s="206"/>
      <c r="FDG34" s="206"/>
      <c r="FDH34" s="206"/>
      <c r="FDI34" s="206"/>
      <c r="FDJ34" s="206"/>
      <c r="FDK34" s="206"/>
      <c r="FDL34" s="206"/>
      <c r="FDM34" s="206"/>
      <c r="FDN34" s="206"/>
      <c r="FDO34" s="206"/>
      <c r="FDP34" s="206"/>
      <c r="FDQ34" s="206"/>
      <c r="FDR34" s="206"/>
      <c r="FDS34" s="206"/>
      <c r="FDT34" s="206"/>
      <c r="FDU34" s="206"/>
      <c r="FDV34" s="206"/>
      <c r="FDW34" s="206"/>
      <c r="FDX34" s="206"/>
      <c r="FDY34" s="206"/>
      <c r="FDZ34" s="206"/>
      <c r="FEA34" s="206"/>
      <c r="FEB34" s="206"/>
      <c r="FEC34" s="206"/>
      <c r="FED34" s="206"/>
      <c r="FEE34" s="206"/>
      <c r="FEF34" s="206"/>
      <c r="FEG34" s="206"/>
      <c r="FEH34" s="206"/>
      <c r="FEI34" s="206"/>
      <c r="FEJ34" s="206"/>
      <c r="FEK34" s="206"/>
      <c r="FEL34" s="206"/>
      <c r="FEM34" s="206"/>
      <c r="FEN34" s="206"/>
      <c r="FEO34" s="206"/>
      <c r="FEP34" s="206"/>
      <c r="FEQ34" s="206"/>
      <c r="FER34" s="206"/>
      <c r="FES34" s="206"/>
      <c r="FET34" s="206"/>
      <c r="FEU34" s="206"/>
      <c r="FEV34" s="206"/>
      <c r="FEW34" s="206"/>
      <c r="FEX34" s="206"/>
      <c r="FEY34" s="206"/>
      <c r="FEZ34" s="206"/>
      <c r="FFA34" s="206"/>
      <c r="FFB34" s="206"/>
      <c r="FFC34" s="206"/>
      <c r="FFD34" s="206"/>
      <c r="FFE34" s="206"/>
      <c r="FFF34" s="206"/>
      <c r="FFG34" s="206"/>
      <c r="FFH34" s="206"/>
      <c r="FFI34" s="206"/>
      <c r="FFJ34" s="206"/>
      <c r="FFK34" s="206"/>
      <c r="FFL34" s="206"/>
      <c r="FFM34" s="206"/>
      <c r="FFN34" s="206"/>
      <c r="FFO34" s="206"/>
      <c r="FFP34" s="206"/>
      <c r="FFQ34" s="206"/>
      <c r="FFR34" s="206"/>
      <c r="FFS34" s="206"/>
      <c r="FFT34" s="206"/>
      <c r="FFU34" s="206"/>
      <c r="FFV34" s="206"/>
      <c r="FFW34" s="206"/>
      <c r="FFX34" s="206"/>
      <c r="FFY34" s="206"/>
      <c r="FFZ34" s="206"/>
      <c r="FGA34" s="206"/>
      <c r="FGB34" s="206"/>
      <c r="FGC34" s="206"/>
      <c r="FGD34" s="206"/>
      <c r="FGE34" s="206"/>
      <c r="FGF34" s="206"/>
      <c r="FGG34" s="206"/>
      <c r="FGH34" s="206"/>
      <c r="FGI34" s="206"/>
      <c r="FGJ34" s="206"/>
      <c r="FGK34" s="206"/>
      <c r="FGL34" s="206"/>
      <c r="FGM34" s="206"/>
      <c r="FGN34" s="206"/>
      <c r="FGO34" s="206"/>
      <c r="FGP34" s="206"/>
      <c r="FGQ34" s="206"/>
      <c r="FGR34" s="206"/>
      <c r="FGS34" s="206"/>
      <c r="FGT34" s="206"/>
      <c r="FGU34" s="206"/>
      <c r="FGV34" s="206"/>
      <c r="FGW34" s="206"/>
      <c r="FGX34" s="206"/>
      <c r="FGY34" s="206"/>
      <c r="FGZ34" s="206"/>
      <c r="FHA34" s="206"/>
      <c r="FHB34" s="206"/>
      <c r="FHC34" s="206"/>
      <c r="FHD34" s="206"/>
      <c r="FHE34" s="206"/>
      <c r="FHF34" s="206"/>
      <c r="FHG34" s="206"/>
      <c r="FHH34" s="206"/>
      <c r="FHI34" s="206"/>
      <c r="FHJ34" s="206"/>
      <c r="FHK34" s="206"/>
      <c r="FHL34" s="206"/>
      <c r="FHM34" s="206"/>
      <c r="FHN34" s="206"/>
      <c r="FHO34" s="206"/>
      <c r="FHP34" s="206"/>
      <c r="FHQ34" s="206"/>
      <c r="FHR34" s="206"/>
      <c r="FHS34" s="206"/>
      <c r="FHT34" s="206"/>
      <c r="FHU34" s="206"/>
      <c r="FHV34" s="206"/>
      <c r="FHW34" s="206"/>
      <c r="FHX34" s="206"/>
      <c r="FHY34" s="206"/>
      <c r="FHZ34" s="206"/>
      <c r="FIA34" s="206"/>
      <c r="FIB34" s="206"/>
      <c r="FIC34" s="206"/>
      <c r="FID34" s="206"/>
      <c r="FIE34" s="206"/>
      <c r="FIF34" s="206"/>
      <c r="FIG34" s="206"/>
      <c r="FIH34" s="206"/>
      <c r="FII34" s="206"/>
      <c r="FIJ34" s="206"/>
      <c r="FIK34" s="206"/>
      <c r="FIL34" s="206"/>
      <c r="FIM34" s="206"/>
      <c r="FIN34" s="206"/>
      <c r="FIO34" s="206"/>
      <c r="FIP34" s="206"/>
      <c r="FIQ34" s="206"/>
      <c r="FIR34" s="206"/>
      <c r="FIS34" s="206"/>
      <c r="FIT34" s="206"/>
      <c r="FIU34" s="206"/>
      <c r="FIV34" s="206"/>
      <c r="FIW34" s="206"/>
      <c r="FIX34" s="206"/>
      <c r="FIY34" s="206"/>
      <c r="FIZ34" s="206"/>
      <c r="FJA34" s="206"/>
      <c r="FJB34" s="206"/>
      <c r="FJC34" s="206"/>
      <c r="FJD34" s="206"/>
      <c r="FJE34" s="206"/>
      <c r="FJF34" s="206"/>
      <c r="FJG34" s="206"/>
      <c r="FJH34" s="206"/>
      <c r="FJI34" s="206"/>
      <c r="FJJ34" s="206"/>
      <c r="FJK34" s="206"/>
      <c r="FJL34" s="206"/>
      <c r="FJM34" s="206"/>
      <c r="FJN34" s="206"/>
      <c r="FJO34" s="206"/>
      <c r="FJP34" s="206"/>
      <c r="FJQ34" s="206"/>
      <c r="FJR34" s="206"/>
      <c r="FJS34" s="206"/>
      <c r="FJT34" s="206"/>
      <c r="FJU34" s="206"/>
      <c r="FJV34" s="206"/>
      <c r="FJW34" s="206"/>
      <c r="FJX34" s="206"/>
      <c r="FJY34" s="206"/>
      <c r="FJZ34" s="206"/>
      <c r="FKA34" s="206"/>
      <c r="FKB34" s="206"/>
      <c r="FKC34" s="206"/>
      <c r="FKD34" s="206"/>
      <c r="FKE34" s="206"/>
      <c r="FKF34" s="206"/>
      <c r="FKG34" s="206"/>
      <c r="FKH34" s="206"/>
      <c r="FKI34" s="206"/>
      <c r="FKJ34" s="206"/>
      <c r="FKK34" s="206"/>
      <c r="FKL34" s="206"/>
      <c r="FKM34" s="206"/>
      <c r="FKN34" s="206"/>
      <c r="FKO34" s="206"/>
      <c r="FKP34" s="206"/>
      <c r="FKQ34" s="206"/>
      <c r="FKR34" s="206"/>
      <c r="FKS34" s="206"/>
      <c r="FKT34" s="206"/>
      <c r="FKU34" s="206"/>
      <c r="FKV34" s="206"/>
      <c r="FKW34" s="206"/>
      <c r="FKX34" s="206"/>
      <c r="FKY34" s="206"/>
      <c r="FKZ34" s="206"/>
      <c r="FLA34" s="206"/>
      <c r="FLB34" s="206"/>
      <c r="FLC34" s="206"/>
      <c r="FLD34" s="206"/>
      <c r="FLE34" s="206"/>
      <c r="FLF34" s="206"/>
      <c r="FLG34" s="206"/>
      <c r="FLH34" s="206"/>
      <c r="FLI34" s="206"/>
      <c r="FLJ34" s="206"/>
      <c r="FLK34" s="206"/>
      <c r="FLL34" s="206"/>
      <c r="FLM34" s="206"/>
      <c r="FLN34" s="206"/>
      <c r="FLO34" s="206"/>
      <c r="FLP34" s="206"/>
      <c r="FLQ34" s="206"/>
      <c r="FLR34" s="206"/>
      <c r="FLS34" s="206"/>
      <c r="FLT34" s="206"/>
      <c r="FLU34" s="206"/>
      <c r="FLV34" s="206"/>
      <c r="FLW34" s="206"/>
      <c r="FLX34" s="206"/>
      <c r="FLY34" s="206"/>
      <c r="FLZ34" s="206"/>
      <c r="FMA34" s="206"/>
      <c r="FMB34" s="206"/>
      <c r="FMC34" s="206"/>
      <c r="FMD34" s="206"/>
      <c r="FME34" s="206"/>
      <c r="FMF34" s="206"/>
      <c r="FMG34" s="206"/>
      <c r="FMH34" s="206"/>
      <c r="FMI34" s="206"/>
      <c r="FMJ34" s="206"/>
      <c r="FMK34" s="206"/>
      <c r="FML34" s="206"/>
      <c r="FMM34" s="206"/>
      <c r="FMN34" s="206"/>
      <c r="FMO34" s="206"/>
      <c r="FMP34" s="206"/>
      <c r="FMQ34" s="206"/>
      <c r="FMR34" s="206"/>
      <c r="FMS34" s="206"/>
      <c r="FMT34" s="206"/>
      <c r="FMU34" s="206"/>
      <c r="FMV34" s="206"/>
      <c r="FMW34" s="206"/>
      <c r="FMX34" s="206"/>
      <c r="FMY34" s="206"/>
      <c r="FMZ34" s="206"/>
      <c r="FNA34" s="206"/>
      <c r="FNB34" s="206"/>
      <c r="FNC34" s="206"/>
      <c r="FND34" s="206"/>
      <c r="FNE34" s="206"/>
      <c r="FNF34" s="206"/>
      <c r="FNG34" s="206"/>
      <c r="FNH34" s="206"/>
      <c r="FNI34" s="206"/>
      <c r="FNJ34" s="206"/>
      <c r="FNK34" s="206"/>
      <c r="FNL34" s="206"/>
      <c r="FNM34" s="206"/>
      <c r="FNN34" s="206"/>
      <c r="FNO34" s="206"/>
      <c r="FNP34" s="206"/>
      <c r="FNQ34" s="206"/>
      <c r="FNR34" s="206"/>
      <c r="FNS34" s="206"/>
      <c r="FNT34" s="206"/>
      <c r="FNU34" s="206"/>
      <c r="FNV34" s="206"/>
      <c r="FNW34" s="206"/>
      <c r="FNX34" s="206"/>
      <c r="FNY34" s="206"/>
      <c r="FNZ34" s="206"/>
      <c r="FOA34" s="206"/>
      <c r="FOB34" s="206"/>
      <c r="FOC34" s="206"/>
      <c r="FOD34" s="206"/>
      <c r="FOE34" s="206"/>
      <c r="FOF34" s="206"/>
      <c r="FOG34" s="206"/>
      <c r="FOH34" s="206"/>
      <c r="FOI34" s="206"/>
      <c r="FOJ34" s="206"/>
      <c r="FOK34" s="206"/>
      <c r="FOL34" s="206"/>
      <c r="FOM34" s="206"/>
      <c r="FON34" s="206"/>
      <c r="FOO34" s="206"/>
      <c r="FOP34" s="206"/>
      <c r="FOQ34" s="206"/>
      <c r="FOR34" s="206"/>
      <c r="FOS34" s="206"/>
      <c r="FOT34" s="206"/>
      <c r="FOU34" s="206"/>
      <c r="FOV34" s="206"/>
      <c r="FOW34" s="206"/>
      <c r="FOX34" s="206"/>
      <c r="FOY34" s="206"/>
      <c r="FOZ34" s="206"/>
      <c r="FPA34" s="206"/>
      <c r="FPB34" s="206"/>
      <c r="FPC34" s="206"/>
      <c r="FPD34" s="206"/>
      <c r="FPE34" s="206"/>
      <c r="FPF34" s="206"/>
      <c r="FPG34" s="206"/>
      <c r="FPH34" s="206"/>
      <c r="FPI34" s="206"/>
      <c r="FPJ34" s="206"/>
      <c r="FPK34" s="206"/>
      <c r="FPL34" s="206"/>
      <c r="FPM34" s="206"/>
      <c r="FPN34" s="206"/>
      <c r="FPO34" s="206"/>
      <c r="FPP34" s="206"/>
      <c r="FPQ34" s="206"/>
      <c r="FPR34" s="206"/>
      <c r="FPS34" s="206"/>
      <c r="FPT34" s="206"/>
      <c r="FPU34" s="206"/>
      <c r="FPV34" s="206"/>
      <c r="FPW34" s="206"/>
      <c r="FPX34" s="206"/>
      <c r="FPY34" s="206"/>
      <c r="FPZ34" s="206"/>
      <c r="FQA34" s="206"/>
      <c r="FQB34" s="206"/>
      <c r="FQC34" s="206"/>
      <c r="FQD34" s="206"/>
      <c r="FQE34" s="206"/>
      <c r="FQF34" s="206"/>
      <c r="FQG34" s="206"/>
      <c r="FQH34" s="206"/>
      <c r="FQI34" s="206"/>
      <c r="FQJ34" s="206"/>
      <c r="FQK34" s="206"/>
      <c r="FQL34" s="206"/>
      <c r="FQM34" s="206"/>
      <c r="FQN34" s="206"/>
      <c r="FQO34" s="206"/>
      <c r="FQP34" s="206"/>
      <c r="FQQ34" s="206"/>
      <c r="FQR34" s="206"/>
      <c r="FQS34" s="206"/>
      <c r="FQT34" s="206"/>
      <c r="FQU34" s="206"/>
      <c r="FQV34" s="206"/>
      <c r="FQW34" s="206"/>
      <c r="FQX34" s="206"/>
      <c r="FQY34" s="206"/>
      <c r="FQZ34" s="206"/>
      <c r="FRA34" s="206"/>
      <c r="FRB34" s="206"/>
      <c r="FRC34" s="206"/>
      <c r="FRD34" s="206"/>
      <c r="FRE34" s="206"/>
      <c r="FRF34" s="206"/>
      <c r="FRG34" s="206"/>
      <c r="FRH34" s="206"/>
      <c r="FRI34" s="206"/>
      <c r="FRJ34" s="206"/>
      <c r="FRK34" s="206"/>
      <c r="FRL34" s="206"/>
      <c r="FRM34" s="206"/>
      <c r="FRN34" s="206"/>
      <c r="FRO34" s="206"/>
      <c r="FRP34" s="206"/>
      <c r="FRQ34" s="206"/>
      <c r="FRR34" s="206"/>
      <c r="FRS34" s="206"/>
      <c r="FRT34" s="206"/>
      <c r="FRU34" s="206"/>
      <c r="FRV34" s="206"/>
      <c r="FRW34" s="206"/>
      <c r="FRX34" s="206"/>
      <c r="FRY34" s="206"/>
      <c r="FRZ34" s="206"/>
      <c r="FSA34" s="206"/>
      <c r="FSB34" s="206"/>
      <c r="FSC34" s="206"/>
      <c r="FSD34" s="206"/>
      <c r="FSE34" s="206"/>
      <c r="FSF34" s="206"/>
      <c r="FSG34" s="206"/>
      <c r="FSH34" s="206"/>
      <c r="FSI34" s="206"/>
      <c r="FSJ34" s="206"/>
      <c r="FSK34" s="206"/>
      <c r="FSL34" s="206"/>
      <c r="FSM34" s="206"/>
      <c r="FSN34" s="206"/>
      <c r="FSO34" s="206"/>
      <c r="FSP34" s="206"/>
      <c r="FSQ34" s="206"/>
      <c r="FSR34" s="206"/>
      <c r="FSS34" s="206"/>
      <c r="FST34" s="206"/>
      <c r="FSU34" s="206"/>
      <c r="FSV34" s="206"/>
      <c r="FSW34" s="206"/>
      <c r="FSX34" s="206"/>
      <c r="FSY34" s="206"/>
      <c r="FSZ34" s="206"/>
      <c r="FTA34" s="206"/>
      <c r="FTB34" s="206"/>
      <c r="FTC34" s="206"/>
      <c r="FTD34" s="206"/>
      <c r="FTE34" s="206"/>
      <c r="FTF34" s="206"/>
      <c r="FTG34" s="206"/>
      <c r="FTH34" s="206"/>
      <c r="FTI34" s="206"/>
      <c r="FTJ34" s="206"/>
      <c r="FTK34" s="206"/>
      <c r="FTL34" s="206"/>
      <c r="FTM34" s="206"/>
      <c r="FTN34" s="206"/>
      <c r="FTO34" s="206"/>
      <c r="FTP34" s="206"/>
      <c r="FTQ34" s="206"/>
      <c r="FTR34" s="206"/>
      <c r="FTS34" s="206"/>
      <c r="FTT34" s="206"/>
      <c r="FTU34" s="206"/>
      <c r="FTV34" s="206"/>
      <c r="FTW34" s="206"/>
      <c r="FTX34" s="206"/>
      <c r="FTY34" s="206"/>
      <c r="FTZ34" s="206"/>
      <c r="FUA34" s="206"/>
      <c r="FUB34" s="206"/>
      <c r="FUC34" s="206"/>
      <c r="FUD34" s="206"/>
      <c r="FUE34" s="206"/>
      <c r="FUF34" s="206"/>
      <c r="FUG34" s="206"/>
      <c r="FUH34" s="206"/>
      <c r="FUI34" s="206"/>
      <c r="FUJ34" s="206"/>
      <c r="FUK34" s="206"/>
      <c r="FUL34" s="206"/>
      <c r="FUM34" s="206"/>
      <c r="FUN34" s="206"/>
      <c r="FUO34" s="206"/>
      <c r="FUP34" s="206"/>
      <c r="FUQ34" s="206"/>
      <c r="FUR34" s="206"/>
      <c r="FUS34" s="206"/>
      <c r="FUT34" s="206"/>
      <c r="FUU34" s="206"/>
      <c r="FUV34" s="206"/>
      <c r="FUW34" s="206"/>
      <c r="FUX34" s="206"/>
      <c r="FUY34" s="206"/>
      <c r="FUZ34" s="206"/>
      <c r="FVA34" s="206"/>
      <c r="FVB34" s="206"/>
      <c r="FVC34" s="206"/>
      <c r="FVD34" s="206"/>
      <c r="FVE34" s="206"/>
      <c r="FVF34" s="206"/>
      <c r="FVG34" s="206"/>
      <c r="FVH34" s="206"/>
      <c r="FVI34" s="206"/>
      <c r="FVJ34" s="206"/>
      <c r="FVK34" s="206"/>
      <c r="FVL34" s="206"/>
      <c r="FVM34" s="206"/>
      <c r="FVN34" s="206"/>
      <c r="FVO34" s="206"/>
      <c r="FVP34" s="206"/>
      <c r="FVQ34" s="206"/>
      <c r="FVR34" s="206"/>
      <c r="FVS34" s="206"/>
      <c r="FVT34" s="206"/>
      <c r="FVU34" s="206"/>
      <c r="FVV34" s="206"/>
      <c r="FVW34" s="206"/>
      <c r="FVX34" s="206"/>
      <c r="FVY34" s="206"/>
      <c r="FVZ34" s="206"/>
      <c r="FWA34" s="206"/>
      <c r="FWB34" s="206"/>
      <c r="FWC34" s="206"/>
      <c r="FWD34" s="206"/>
      <c r="FWE34" s="206"/>
      <c r="FWF34" s="206"/>
      <c r="FWG34" s="206"/>
      <c r="FWH34" s="206"/>
      <c r="FWI34" s="206"/>
      <c r="FWJ34" s="206"/>
      <c r="FWK34" s="206"/>
      <c r="FWL34" s="206"/>
      <c r="FWM34" s="206"/>
      <c r="FWN34" s="206"/>
      <c r="FWO34" s="206"/>
      <c r="FWP34" s="206"/>
      <c r="FWQ34" s="206"/>
      <c r="FWR34" s="206"/>
      <c r="FWS34" s="206"/>
      <c r="FWT34" s="206"/>
      <c r="FWU34" s="206"/>
      <c r="FWV34" s="206"/>
      <c r="FWW34" s="206"/>
      <c r="FWX34" s="206"/>
      <c r="FWY34" s="206"/>
      <c r="FWZ34" s="206"/>
      <c r="FXA34" s="206"/>
      <c r="FXB34" s="206"/>
      <c r="FXC34" s="206"/>
      <c r="FXD34" s="206"/>
      <c r="FXE34" s="206"/>
      <c r="FXF34" s="206"/>
      <c r="FXG34" s="206"/>
      <c r="FXH34" s="206"/>
      <c r="FXI34" s="206"/>
      <c r="FXJ34" s="206"/>
      <c r="FXK34" s="206"/>
      <c r="FXL34" s="206"/>
      <c r="FXM34" s="206"/>
      <c r="FXN34" s="206"/>
      <c r="FXO34" s="206"/>
      <c r="FXP34" s="206"/>
      <c r="FXQ34" s="206"/>
      <c r="FXR34" s="206"/>
      <c r="FXS34" s="206"/>
      <c r="FXT34" s="206"/>
      <c r="FXU34" s="206"/>
      <c r="FXV34" s="206"/>
      <c r="FXW34" s="206"/>
      <c r="FXX34" s="206"/>
      <c r="FXY34" s="206"/>
      <c r="FXZ34" s="206"/>
      <c r="FYA34" s="206"/>
      <c r="FYB34" s="206"/>
      <c r="FYC34" s="206"/>
      <c r="FYD34" s="206"/>
      <c r="FYE34" s="206"/>
      <c r="FYF34" s="206"/>
      <c r="FYG34" s="206"/>
      <c r="FYH34" s="206"/>
      <c r="FYI34" s="206"/>
      <c r="FYJ34" s="206"/>
      <c r="FYK34" s="206"/>
      <c r="FYL34" s="206"/>
      <c r="FYM34" s="206"/>
      <c r="FYN34" s="206"/>
      <c r="FYO34" s="206"/>
      <c r="FYP34" s="206"/>
      <c r="FYQ34" s="206"/>
      <c r="FYR34" s="206"/>
      <c r="FYS34" s="206"/>
      <c r="FYT34" s="206"/>
      <c r="FYU34" s="206"/>
      <c r="FYV34" s="206"/>
      <c r="FYW34" s="206"/>
      <c r="FYX34" s="206"/>
      <c r="FYY34" s="206"/>
      <c r="FYZ34" s="206"/>
      <c r="FZA34" s="206"/>
      <c r="FZB34" s="206"/>
      <c r="FZC34" s="206"/>
      <c r="FZD34" s="206"/>
      <c r="FZE34" s="206"/>
      <c r="FZF34" s="206"/>
      <c r="FZG34" s="206"/>
      <c r="FZH34" s="206"/>
      <c r="FZI34" s="206"/>
      <c r="FZJ34" s="206"/>
      <c r="FZK34" s="206"/>
      <c r="FZL34" s="206"/>
      <c r="FZM34" s="206"/>
      <c r="FZN34" s="206"/>
      <c r="FZO34" s="206"/>
      <c r="FZP34" s="206"/>
      <c r="FZQ34" s="206"/>
      <c r="FZR34" s="206"/>
      <c r="FZS34" s="206"/>
      <c r="FZT34" s="206"/>
      <c r="FZU34" s="206"/>
      <c r="FZV34" s="206"/>
      <c r="FZW34" s="206"/>
      <c r="FZX34" s="206"/>
      <c r="FZY34" s="206"/>
      <c r="FZZ34" s="206"/>
      <c r="GAA34" s="206"/>
      <c r="GAB34" s="206"/>
      <c r="GAC34" s="206"/>
      <c r="GAD34" s="206"/>
      <c r="GAE34" s="206"/>
      <c r="GAF34" s="206"/>
      <c r="GAG34" s="206"/>
      <c r="GAH34" s="206"/>
      <c r="GAI34" s="206"/>
      <c r="GAJ34" s="206"/>
      <c r="GAK34" s="206"/>
      <c r="GAL34" s="206"/>
      <c r="GAM34" s="206"/>
      <c r="GAN34" s="206"/>
      <c r="GAO34" s="206"/>
      <c r="GAP34" s="206"/>
      <c r="GAQ34" s="206"/>
      <c r="GAR34" s="206"/>
      <c r="GAS34" s="206"/>
      <c r="GAT34" s="206"/>
      <c r="GAU34" s="206"/>
      <c r="GAV34" s="206"/>
      <c r="GAW34" s="206"/>
      <c r="GAX34" s="206"/>
      <c r="GAY34" s="206"/>
      <c r="GAZ34" s="206"/>
      <c r="GBA34" s="206"/>
      <c r="GBB34" s="206"/>
      <c r="GBC34" s="206"/>
      <c r="GBD34" s="206"/>
      <c r="GBE34" s="206"/>
      <c r="GBF34" s="206"/>
      <c r="GBG34" s="206"/>
      <c r="GBH34" s="206"/>
      <c r="GBI34" s="206"/>
      <c r="GBJ34" s="206"/>
      <c r="GBK34" s="206"/>
      <c r="GBL34" s="206"/>
      <c r="GBM34" s="206"/>
      <c r="GBN34" s="206"/>
      <c r="GBO34" s="206"/>
      <c r="GBP34" s="206"/>
      <c r="GBQ34" s="206"/>
      <c r="GBR34" s="206"/>
      <c r="GBS34" s="206"/>
      <c r="GBT34" s="206"/>
      <c r="GBU34" s="206"/>
      <c r="GBV34" s="206"/>
      <c r="GBW34" s="206"/>
      <c r="GBX34" s="206"/>
      <c r="GBY34" s="206"/>
      <c r="GBZ34" s="206"/>
      <c r="GCA34" s="206"/>
      <c r="GCB34" s="206"/>
      <c r="GCC34" s="206"/>
      <c r="GCD34" s="206"/>
      <c r="GCE34" s="206"/>
      <c r="GCF34" s="206"/>
      <c r="GCG34" s="206"/>
      <c r="GCH34" s="206"/>
      <c r="GCI34" s="206"/>
      <c r="GCJ34" s="206"/>
      <c r="GCK34" s="206"/>
      <c r="GCL34" s="206"/>
      <c r="GCM34" s="206"/>
      <c r="GCN34" s="206"/>
      <c r="GCO34" s="206"/>
      <c r="GCP34" s="206"/>
      <c r="GCQ34" s="206"/>
      <c r="GCR34" s="206"/>
      <c r="GCS34" s="206"/>
      <c r="GCT34" s="206"/>
      <c r="GCU34" s="206"/>
      <c r="GCV34" s="206"/>
      <c r="GCW34" s="206"/>
      <c r="GCX34" s="206"/>
      <c r="GCY34" s="206"/>
      <c r="GCZ34" s="206"/>
      <c r="GDA34" s="206"/>
      <c r="GDB34" s="206"/>
      <c r="GDC34" s="206"/>
      <c r="GDD34" s="206"/>
      <c r="GDE34" s="206"/>
      <c r="GDF34" s="206"/>
      <c r="GDG34" s="206"/>
      <c r="GDH34" s="206"/>
      <c r="GDI34" s="206"/>
      <c r="GDJ34" s="206"/>
      <c r="GDK34" s="206"/>
      <c r="GDL34" s="206"/>
      <c r="GDM34" s="206"/>
      <c r="GDN34" s="206"/>
      <c r="GDO34" s="206"/>
      <c r="GDP34" s="206"/>
      <c r="GDQ34" s="206"/>
      <c r="GDR34" s="206"/>
      <c r="GDS34" s="206"/>
      <c r="GDT34" s="206"/>
      <c r="GDU34" s="206"/>
      <c r="GDV34" s="206"/>
      <c r="GDW34" s="206"/>
      <c r="GDX34" s="206"/>
      <c r="GDY34" s="206"/>
      <c r="GDZ34" s="206"/>
      <c r="GEA34" s="206"/>
      <c r="GEB34" s="206"/>
      <c r="GEC34" s="206"/>
      <c r="GED34" s="206"/>
      <c r="GEE34" s="206"/>
      <c r="GEF34" s="206"/>
      <c r="GEG34" s="206"/>
      <c r="GEH34" s="206"/>
      <c r="GEI34" s="206"/>
      <c r="GEJ34" s="206"/>
      <c r="GEK34" s="206"/>
      <c r="GEL34" s="206"/>
      <c r="GEM34" s="206"/>
      <c r="GEN34" s="206"/>
      <c r="GEO34" s="206"/>
      <c r="GEP34" s="206"/>
      <c r="GEQ34" s="206"/>
      <c r="GER34" s="206"/>
      <c r="GES34" s="206"/>
      <c r="GET34" s="206"/>
      <c r="GEU34" s="206"/>
      <c r="GEV34" s="206"/>
      <c r="GEW34" s="206"/>
      <c r="GEX34" s="206"/>
      <c r="GEY34" s="206"/>
      <c r="GEZ34" s="206"/>
      <c r="GFA34" s="206"/>
      <c r="GFB34" s="206"/>
      <c r="GFC34" s="206"/>
      <c r="GFD34" s="206"/>
      <c r="GFE34" s="206"/>
      <c r="GFF34" s="206"/>
      <c r="GFG34" s="206"/>
      <c r="GFH34" s="206"/>
      <c r="GFI34" s="206"/>
      <c r="GFJ34" s="206"/>
      <c r="GFK34" s="206"/>
      <c r="GFL34" s="206"/>
      <c r="GFM34" s="206"/>
      <c r="GFN34" s="206"/>
      <c r="GFO34" s="206"/>
      <c r="GFP34" s="206"/>
      <c r="GFQ34" s="206"/>
      <c r="GFR34" s="206"/>
      <c r="GFS34" s="206"/>
      <c r="GFT34" s="206"/>
      <c r="GFU34" s="206"/>
      <c r="GFV34" s="206"/>
      <c r="GFW34" s="206"/>
      <c r="GFX34" s="206"/>
      <c r="GFY34" s="206"/>
      <c r="GFZ34" s="206"/>
      <c r="GGA34" s="206"/>
      <c r="GGB34" s="206"/>
      <c r="GGC34" s="206"/>
      <c r="GGD34" s="206"/>
      <c r="GGE34" s="206"/>
      <c r="GGF34" s="206"/>
      <c r="GGG34" s="206"/>
      <c r="GGH34" s="206"/>
      <c r="GGI34" s="206"/>
      <c r="GGJ34" s="206"/>
      <c r="GGK34" s="206"/>
      <c r="GGL34" s="206"/>
      <c r="GGM34" s="206"/>
      <c r="GGN34" s="206"/>
      <c r="GGO34" s="206"/>
      <c r="GGP34" s="206"/>
      <c r="GGQ34" s="206"/>
      <c r="GGR34" s="206"/>
      <c r="GGS34" s="206"/>
      <c r="GGT34" s="206"/>
      <c r="GGU34" s="206"/>
      <c r="GGV34" s="206"/>
      <c r="GGW34" s="206"/>
      <c r="GGX34" s="206"/>
      <c r="GGY34" s="206"/>
      <c r="GGZ34" s="206"/>
      <c r="GHA34" s="206"/>
      <c r="GHB34" s="206"/>
      <c r="GHC34" s="206"/>
      <c r="GHD34" s="206"/>
      <c r="GHE34" s="206"/>
      <c r="GHF34" s="206"/>
      <c r="GHG34" s="206"/>
      <c r="GHH34" s="206"/>
      <c r="GHI34" s="206"/>
      <c r="GHJ34" s="206"/>
      <c r="GHK34" s="206"/>
      <c r="GHL34" s="206"/>
      <c r="GHM34" s="206"/>
      <c r="GHN34" s="206"/>
      <c r="GHO34" s="206"/>
      <c r="GHP34" s="206"/>
      <c r="GHQ34" s="206"/>
      <c r="GHR34" s="206"/>
      <c r="GHS34" s="206"/>
      <c r="GHT34" s="206"/>
      <c r="GHU34" s="206"/>
      <c r="GHV34" s="206"/>
      <c r="GHW34" s="206"/>
      <c r="GHX34" s="206"/>
      <c r="GHY34" s="206"/>
      <c r="GHZ34" s="206"/>
      <c r="GIA34" s="206"/>
      <c r="GIB34" s="206"/>
      <c r="GIC34" s="206"/>
      <c r="GID34" s="206"/>
      <c r="GIE34" s="206"/>
      <c r="GIF34" s="206"/>
      <c r="GIG34" s="206"/>
      <c r="GIH34" s="206"/>
      <c r="GII34" s="206"/>
      <c r="GIJ34" s="206"/>
      <c r="GIK34" s="206"/>
      <c r="GIL34" s="206"/>
      <c r="GIM34" s="206"/>
      <c r="GIN34" s="206"/>
      <c r="GIO34" s="206"/>
      <c r="GIP34" s="206"/>
      <c r="GIQ34" s="206"/>
      <c r="GIR34" s="206"/>
      <c r="GIS34" s="206"/>
      <c r="GIT34" s="206"/>
      <c r="GIU34" s="206"/>
      <c r="GIV34" s="206"/>
      <c r="GIW34" s="206"/>
      <c r="GIX34" s="206"/>
      <c r="GIY34" s="206"/>
      <c r="GIZ34" s="206"/>
      <c r="GJA34" s="206"/>
      <c r="GJB34" s="206"/>
      <c r="GJC34" s="206"/>
      <c r="GJD34" s="206"/>
      <c r="GJE34" s="206"/>
      <c r="GJF34" s="206"/>
      <c r="GJG34" s="206"/>
      <c r="GJH34" s="206"/>
      <c r="GJI34" s="206"/>
      <c r="GJJ34" s="206"/>
      <c r="GJK34" s="206"/>
      <c r="GJL34" s="206"/>
      <c r="GJM34" s="206"/>
      <c r="GJN34" s="206"/>
      <c r="GJO34" s="206"/>
      <c r="GJP34" s="206"/>
      <c r="GJQ34" s="206"/>
      <c r="GJR34" s="206"/>
      <c r="GJS34" s="206"/>
      <c r="GJT34" s="206"/>
      <c r="GJU34" s="206"/>
      <c r="GJV34" s="206"/>
      <c r="GJW34" s="206"/>
      <c r="GJX34" s="206"/>
      <c r="GJY34" s="206"/>
      <c r="GJZ34" s="206"/>
      <c r="GKA34" s="206"/>
      <c r="GKB34" s="206"/>
      <c r="GKC34" s="206"/>
      <c r="GKD34" s="206"/>
      <c r="GKE34" s="206"/>
      <c r="GKF34" s="206"/>
      <c r="GKG34" s="206"/>
      <c r="GKH34" s="206"/>
      <c r="GKI34" s="206"/>
      <c r="GKJ34" s="206"/>
      <c r="GKK34" s="206"/>
      <c r="GKL34" s="206"/>
      <c r="GKM34" s="206"/>
      <c r="GKN34" s="206"/>
      <c r="GKO34" s="206"/>
      <c r="GKP34" s="206"/>
      <c r="GKQ34" s="206"/>
      <c r="GKR34" s="206"/>
      <c r="GKS34" s="206"/>
      <c r="GKT34" s="206"/>
      <c r="GKU34" s="206"/>
      <c r="GKV34" s="206"/>
      <c r="GKW34" s="206"/>
      <c r="GKX34" s="206"/>
      <c r="GKY34" s="206"/>
      <c r="GKZ34" s="206"/>
      <c r="GLA34" s="206"/>
      <c r="GLB34" s="206"/>
      <c r="GLC34" s="206"/>
      <c r="GLD34" s="206"/>
      <c r="GLE34" s="206"/>
      <c r="GLF34" s="206"/>
      <c r="GLG34" s="206"/>
      <c r="GLH34" s="206"/>
      <c r="GLI34" s="206"/>
      <c r="GLJ34" s="206"/>
      <c r="GLK34" s="206"/>
      <c r="GLL34" s="206"/>
      <c r="GLM34" s="206"/>
      <c r="GLN34" s="206"/>
      <c r="GLO34" s="206"/>
      <c r="GLP34" s="206"/>
      <c r="GLQ34" s="206"/>
      <c r="GLR34" s="206"/>
      <c r="GLS34" s="206"/>
      <c r="GLT34" s="206"/>
      <c r="GLU34" s="206"/>
      <c r="GLV34" s="206"/>
      <c r="GLW34" s="206"/>
      <c r="GLX34" s="206"/>
      <c r="GLY34" s="206"/>
      <c r="GLZ34" s="206"/>
      <c r="GMA34" s="206"/>
      <c r="GMB34" s="206"/>
      <c r="GMC34" s="206"/>
      <c r="GMD34" s="206"/>
      <c r="GME34" s="206"/>
      <c r="GMF34" s="206"/>
      <c r="GMG34" s="206"/>
      <c r="GMH34" s="206"/>
      <c r="GMI34" s="206"/>
      <c r="GMJ34" s="206"/>
      <c r="GMK34" s="206"/>
      <c r="GML34" s="206"/>
      <c r="GMM34" s="206"/>
      <c r="GMN34" s="206"/>
      <c r="GMO34" s="206"/>
      <c r="GMP34" s="206"/>
      <c r="GMQ34" s="206"/>
      <c r="GMR34" s="206"/>
      <c r="GMS34" s="206"/>
      <c r="GMT34" s="206"/>
      <c r="GMU34" s="206"/>
      <c r="GMV34" s="206"/>
      <c r="GMW34" s="206"/>
      <c r="GMX34" s="206"/>
      <c r="GMY34" s="206"/>
      <c r="GMZ34" s="206"/>
      <c r="GNA34" s="206"/>
      <c r="GNB34" s="206"/>
      <c r="GNC34" s="206"/>
      <c r="GND34" s="206"/>
      <c r="GNE34" s="206"/>
      <c r="GNF34" s="206"/>
      <c r="GNG34" s="206"/>
      <c r="GNH34" s="206"/>
      <c r="GNI34" s="206"/>
      <c r="GNJ34" s="206"/>
      <c r="GNK34" s="206"/>
      <c r="GNL34" s="206"/>
      <c r="GNM34" s="206"/>
      <c r="GNN34" s="206"/>
      <c r="GNO34" s="206"/>
      <c r="GNP34" s="206"/>
      <c r="GNQ34" s="206"/>
      <c r="GNR34" s="206"/>
      <c r="GNS34" s="206"/>
      <c r="GNT34" s="206"/>
      <c r="GNU34" s="206"/>
      <c r="GNV34" s="206"/>
      <c r="GNW34" s="206"/>
      <c r="GNX34" s="206"/>
      <c r="GNY34" s="206"/>
      <c r="GNZ34" s="206"/>
      <c r="GOA34" s="206"/>
      <c r="GOB34" s="206"/>
      <c r="GOC34" s="206"/>
      <c r="GOD34" s="206"/>
      <c r="GOE34" s="206"/>
      <c r="GOF34" s="206"/>
      <c r="GOG34" s="206"/>
      <c r="GOH34" s="206"/>
      <c r="GOI34" s="206"/>
      <c r="GOJ34" s="206"/>
      <c r="GOK34" s="206"/>
      <c r="GOL34" s="206"/>
      <c r="GOM34" s="206"/>
      <c r="GON34" s="206"/>
      <c r="GOO34" s="206"/>
      <c r="GOP34" s="206"/>
      <c r="GOQ34" s="206"/>
      <c r="GOR34" s="206"/>
      <c r="GOS34" s="206"/>
      <c r="GOT34" s="206"/>
      <c r="GOU34" s="206"/>
      <c r="GOV34" s="206"/>
      <c r="GOW34" s="206"/>
      <c r="GOX34" s="206"/>
      <c r="GOY34" s="206"/>
      <c r="GOZ34" s="206"/>
      <c r="GPA34" s="206"/>
      <c r="GPB34" s="206"/>
      <c r="GPC34" s="206"/>
      <c r="GPD34" s="206"/>
      <c r="GPE34" s="206"/>
      <c r="GPF34" s="206"/>
      <c r="GPG34" s="206"/>
      <c r="GPH34" s="206"/>
      <c r="GPI34" s="206"/>
      <c r="GPJ34" s="206"/>
      <c r="GPK34" s="206"/>
      <c r="GPL34" s="206"/>
      <c r="GPM34" s="206"/>
      <c r="GPN34" s="206"/>
      <c r="GPO34" s="206"/>
      <c r="GPP34" s="206"/>
      <c r="GPQ34" s="206"/>
      <c r="GPR34" s="206"/>
      <c r="GPS34" s="206"/>
      <c r="GPT34" s="206"/>
      <c r="GPU34" s="206"/>
      <c r="GPV34" s="206"/>
      <c r="GPW34" s="206"/>
      <c r="GPX34" s="206"/>
      <c r="GPY34" s="206"/>
      <c r="GPZ34" s="206"/>
      <c r="GQA34" s="206"/>
      <c r="GQB34" s="206"/>
      <c r="GQC34" s="206"/>
      <c r="GQD34" s="206"/>
      <c r="GQE34" s="206"/>
      <c r="GQF34" s="206"/>
      <c r="GQG34" s="206"/>
      <c r="GQH34" s="206"/>
      <c r="GQI34" s="206"/>
      <c r="GQJ34" s="206"/>
      <c r="GQK34" s="206"/>
      <c r="GQL34" s="206"/>
      <c r="GQM34" s="206"/>
      <c r="GQN34" s="206"/>
      <c r="GQO34" s="206"/>
      <c r="GQP34" s="206"/>
      <c r="GQQ34" s="206"/>
      <c r="GQR34" s="206"/>
      <c r="GQS34" s="206"/>
      <c r="GQT34" s="206"/>
      <c r="GQU34" s="206"/>
      <c r="GQV34" s="206"/>
      <c r="GQW34" s="206"/>
      <c r="GQX34" s="206"/>
      <c r="GQY34" s="206"/>
      <c r="GQZ34" s="206"/>
      <c r="GRA34" s="206"/>
      <c r="GRB34" s="206"/>
      <c r="GRC34" s="206"/>
      <c r="GRD34" s="206"/>
      <c r="GRE34" s="206"/>
      <c r="GRF34" s="206"/>
      <c r="GRG34" s="206"/>
      <c r="GRH34" s="206"/>
      <c r="GRI34" s="206"/>
      <c r="GRJ34" s="206"/>
      <c r="GRK34" s="206"/>
      <c r="GRL34" s="206"/>
      <c r="GRM34" s="206"/>
      <c r="GRN34" s="206"/>
      <c r="GRO34" s="206"/>
      <c r="GRP34" s="206"/>
      <c r="GRQ34" s="206"/>
      <c r="GRR34" s="206"/>
      <c r="GRS34" s="206"/>
      <c r="GRT34" s="206"/>
      <c r="GRU34" s="206"/>
      <c r="GRV34" s="206"/>
      <c r="GRW34" s="206"/>
      <c r="GRX34" s="206"/>
      <c r="GRY34" s="206"/>
      <c r="GRZ34" s="206"/>
      <c r="GSA34" s="206"/>
      <c r="GSB34" s="206"/>
      <c r="GSC34" s="206"/>
      <c r="GSD34" s="206"/>
      <c r="GSE34" s="206"/>
      <c r="GSF34" s="206"/>
      <c r="GSG34" s="206"/>
      <c r="GSH34" s="206"/>
      <c r="GSI34" s="206"/>
      <c r="GSJ34" s="206"/>
      <c r="GSK34" s="206"/>
      <c r="GSL34" s="206"/>
      <c r="GSM34" s="206"/>
      <c r="GSN34" s="206"/>
      <c r="GSO34" s="206"/>
      <c r="GSP34" s="206"/>
      <c r="GSQ34" s="206"/>
      <c r="GSR34" s="206"/>
      <c r="GSS34" s="206"/>
      <c r="GST34" s="206"/>
      <c r="GSU34" s="206"/>
      <c r="GSV34" s="206"/>
      <c r="GSW34" s="206"/>
      <c r="GSX34" s="206"/>
      <c r="GSY34" s="206"/>
      <c r="GSZ34" s="206"/>
      <c r="GTA34" s="206"/>
      <c r="GTB34" s="206"/>
      <c r="GTC34" s="206"/>
      <c r="GTD34" s="206"/>
      <c r="GTE34" s="206"/>
      <c r="GTF34" s="206"/>
      <c r="GTG34" s="206"/>
      <c r="GTH34" s="206"/>
      <c r="GTI34" s="206"/>
      <c r="GTJ34" s="206"/>
      <c r="GTK34" s="206"/>
      <c r="GTL34" s="206"/>
      <c r="GTM34" s="206"/>
      <c r="GTN34" s="206"/>
      <c r="GTO34" s="206"/>
      <c r="GTP34" s="206"/>
      <c r="GTQ34" s="206"/>
      <c r="GTR34" s="206"/>
      <c r="GTS34" s="206"/>
      <c r="GTT34" s="206"/>
      <c r="GTU34" s="206"/>
      <c r="GTV34" s="206"/>
      <c r="GTW34" s="206"/>
      <c r="GTX34" s="206"/>
      <c r="GTY34" s="206"/>
      <c r="GTZ34" s="206"/>
      <c r="GUA34" s="206"/>
      <c r="GUB34" s="206"/>
      <c r="GUC34" s="206"/>
      <c r="GUD34" s="206"/>
      <c r="GUE34" s="206"/>
      <c r="GUF34" s="206"/>
      <c r="GUG34" s="206"/>
      <c r="GUH34" s="206"/>
      <c r="GUI34" s="206"/>
      <c r="GUJ34" s="206"/>
      <c r="GUK34" s="206"/>
      <c r="GUL34" s="206"/>
      <c r="GUM34" s="206"/>
      <c r="GUN34" s="206"/>
      <c r="GUO34" s="206"/>
      <c r="GUP34" s="206"/>
      <c r="GUQ34" s="206"/>
      <c r="GUR34" s="206"/>
      <c r="GUS34" s="206"/>
      <c r="GUT34" s="206"/>
      <c r="GUU34" s="206"/>
      <c r="GUV34" s="206"/>
      <c r="GUW34" s="206"/>
      <c r="GUX34" s="206"/>
      <c r="GUY34" s="206"/>
      <c r="GUZ34" s="206"/>
      <c r="GVA34" s="206"/>
      <c r="GVB34" s="206"/>
      <c r="GVC34" s="206"/>
      <c r="GVD34" s="206"/>
      <c r="GVE34" s="206"/>
      <c r="GVF34" s="206"/>
      <c r="GVG34" s="206"/>
      <c r="GVH34" s="206"/>
      <c r="GVI34" s="206"/>
      <c r="GVJ34" s="206"/>
      <c r="GVK34" s="206"/>
      <c r="GVL34" s="206"/>
      <c r="GVM34" s="206"/>
      <c r="GVN34" s="206"/>
      <c r="GVO34" s="206"/>
      <c r="GVP34" s="206"/>
      <c r="GVQ34" s="206"/>
      <c r="GVR34" s="206"/>
      <c r="GVS34" s="206"/>
      <c r="GVT34" s="206"/>
      <c r="GVU34" s="206"/>
      <c r="GVV34" s="206"/>
      <c r="GVW34" s="206"/>
      <c r="GVX34" s="206"/>
      <c r="GVY34" s="206"/>
      <c r="GVZ34" s="206"/>
      <c r="GWA34" s="206"/>
      <c r="GWB34" s="206"/>
      <c r="GWC34" s="206"/>
      <c r="GWD34" s="206"/>
      <c r="GWE34" s="206"/>
      <c r="GWF34" s="206"/>
      <c r="GWG34" s="206"/>
      <c r="GWH34" s="206"/>
      <c r="GWI34" s="206"/>
      <c r="GWJ34" s="206"/>
      <c r="GWK34" s="206"/>
      <c r="GWL34" s="206"/>
      <c r="GWM34" s="206"/>
      <c r="GWN34" s="206"/>
      <c r="GWO34" s="206"/>
      <c r="GWP34" s="206"/>
      <c r="GWQ34" s="206"/>
      <c r="GWR34" s="206"/>
      <c r="GWS34" s="206"/>
      <c r="GWT34" s="206"/>
      <c r="GWU34" s="206"/>
      <c r="GWV34" s="206"/>
      <c r="GWW34" s="206"/>
      <c r="GWX34" s="206"/>
      <c r="GWY34" s="206"/>
      <c r="GWZ34" s="206"/>
      <c r="GXA34" s="206"/>
      <c r="GXB34" s="206"/>
      <c r="GXC34" s="206"/>
      <c r="GXD34" s="206"/>
      <c r="GXE34" s="206"/>
      <c r="GXF34" s="206"/>
      <c r="GXG34" s="206"/>
      <c r="GXH34" s="206"/>
      <c r="GXI34" s="206"/>
      <c r="GXJ34" s="206"/>
      <c r="GXK34" s="206"/>
      <c r="GXL34" s="206"/>
      <c r="GXM34" s="206"/>
      <c r="GXN34" s="206"/>
      <c r="GXO34" s="206"/>
      <c r="GXP34" s="206"/>
      <c r="GXQ34" s="206"/>
      <c r="GXR34" s="206"/>
      <c r="GXS34" s="206"/>
      <c r="GXT34" s="206"/>
      <c r="GXU34" s="206"/>
      <c r="GXV34" s="206"/>
      <c r="GXW34" s="206"/>
      <c r="GXX34" s="206"/>
      <c r="GXY34" s="206"/>
      <c r="GXZ34" s="206"/>
      <c r="GYA34" s="206"/>
      <c r="GYB34" s="206"/>
      <c r="GYC34" s="206"/>
      <c r="GYD34" s="206"/>
      <c r="GYE34" s="206"/>
      <c r="GYF34" s="206"/>
      <c r="GYG34" s="206"/>
      <c r="GYH34" s="206"/>
      <c r="GYI34" s="206"/>
      <c r="GYJ34" s="206"/>
      <c r="GYK34" s="206"/>
      <c r="GYL34" s="206"/>
      <c r="GYM34" s="206"/>
      <c r="GYN34" s="206"/>
      <c r="GYO34" s="206"/>
      <c r="GYP34" s="206"/>
      <c r="GYQ34" s="206"/>
      <c r="GYR34" s="206"/>
      <c r="GYS34" s="206"/>
      <c r="GYT34" s="206"/>
      <c r="GYU34" s="206"/>
      <c r="GYV34" s="206"/>
      <c r="GYW34" s="206"/>
      <c r="GYX34" s="206"/>
      <c r="GYY34" s="206"/>
      <c r="GYZ34" s="206"/>
      <c r="GZA34" s="206"/>
      <c r="GZB34" s="206"/>
      <c r="GZC34" s="206"/>
      <c r="GZD34" s="206"/>
      <c r="GZE34" s="206"/>
      <c r="GZF34" s="206"/>
      <c r="GZG34" s="206"/>
      <c r="GZH34" s="206"/>
      <c r="GZI34" s="206"/>
      <c r="GZJ34" s="206"/>
      <c r="GZK34" s="206"/>
      <c r="GZL34" s="206"/>
      <c r="GZM34" s="206"/>
      <c r="GZN34" s="206"/>
      <c r="GZO34" s="206"/>
      <c r="GZP34" s="206"/>
      <c r="GZQ34" s="206"/>
      <c r="GZR34" s="206"/>
      <c r="GZS34" s="206"/>
      <c r="GZT34" s="206"/>
      <c r="GZU34" s="206"/>
      <c r="GZV34" s="206"/>
      <c r="GZW34" s="206"/>
      <c r="GZX34" s="206"/>
      <c r="GZY34" s="206"/>
      <c r="GZZ34" s="206"/>
      <c r="HAA34" s="206"/>
      <c r="HAB34" s="206"/>
      <c r="HAC34" s="206"/>
      <c r="HAD34" s="206"/>
      <c r="HAE34" s="206"/>
      <c r="HAF34" s="206"/>
      <c r="HAG34" s="206"/>
      <c r="HAH34" s="206"/>
      <c r="HAI34" s="206"/>
      <c r="HAJ34" s="206"/>
      <c r="HAK34" s="206"/>
      <c r="HAL34" s="206"/>
      <c r="HAM34" s="206"/>
      <c r="HAN34" s="206"/>
      <c r="HAO34" s="206"/>
      <c r="HAP34" s="206"/>
      <c r="HAQ34" s="206"/>
      <c r="HAR34" s="206"/>
      <c r="HAS34" s="206"/>
      <c r="HAT34" s="206"/>
      <c r="HAU34" s="206"/>
      <c r="HAV34" s="206"/>
      <c r="HAW34" s="206"/>
      <c r="HAX34" s="206"/>
      <c r="HAY34" s="206"/>
      <c r="HAZ34" s="206"/>
      <c r="HBA34" s="206"/>
      <c r="HBB34" s="206"/>
      <c r="HBC34" s="206"/>
      <c r="HBD34" s="206"/>
      <c r="HBE34" s="206"/>
      <c r="HBF34" s="206"/>
      <c r="HBG34" s="206"/>
      <c r="HBH34" s="206"/>
      <c r="HBI34" s="206"/>
      <c r="HBJ34" s="206"/>
      <c r="HBK34" s="206"/>
      <c r="HBL34" s="206"/>
      <c r="HBM34" s="206"/>
      <c r="HBN34" s="206"/>
      <c r="HBO34" s="206"/>
      <c r="HBP34" s="206"/>
      <c r="HBQ34" s="206"/>
      <c r="HBR34" s="206"/>
      <c r="HBS34" s="206"/>
      <c r="HBT34" s="206"/>
      <c r="HBU34" s="206"/>
      <c r="HBV34" s="206"/>
      <c r="HBW34" s="206"/>
      <c r="HBX34" s="206"/>
      <c r="HBY34" s="206"/>
      <c r="HBZ34" s="206"/>
      <c r="HCA34" s="206"/>
      <c r="HCB34" s="206"/>
      <c r="HCC34" s="206"/>
      <c r="HCD34" s="206"/>
      <c r="HCE34" s="206"/>
      <c r="HCF34" s="206"/>
      <c r="HCG34" s="206"/>
      <c r="HCH34" s="206"/>
      <c r="HCI34" s="206"/>
      <c r="HCJ34" s="206"/>
      <c r="HCK34" s="206"/>
      <c r="HCL34" s="206"/>
      <c r="HCM34" s="206"/>
      <c r="HCN34" s="206"/>
      <c r="HCO34" s="206"/>
      <c r="HCP34" s="206"/>
      <c r="HCQ34" s="206"/>
      <c r="HCR34" s="206"/>
      <c r="HCS34" s="206"/>
      <c r="HCT34" s="206"/>
      <c r="HCU34" s="206"/>
      <c r="HCV34" s="206"/>
      <c r="HCW34" s="206"/>
      <c r="HCX34" s="206"/>
      <c r="HCY34" s="206"/>
      <c r="HCZ34" s="206"/>
      <c r="HDA34" s="206"/>
      <c r="HDB34" s="206"/>
      <c r="HDC34" s="206"/>
      <c r="HDD34" s="206"/>
      <c r="HDE34" s="206"/>
      <c r="HDF34" s="206"/>
      <c r="HDG34" s="206"/>
      <c r="HDH34" s="206"/>
      <c r="HDI34" s="206"/>
      <c r="HDJ34" s="206"/>
      <c r="HDK34" s="206"/>
      <c r="HDL34" s="206"/>
      <c r="HDM34" s="206"/>
      <c r="HDN34" s="206"/>
      <c r="HDO34" s="206"/>
      <c r="HDP34" s="206"/>
      <c r="HDQ34" s="206"/>
      <c r="HDR34" s="206"/>
      <c r="HDS34" s="206"/>
      <c r="HDT34" s="206"/>
      <c r="HDU34" s="206"/>
      <c r="HDV34" s="206"/>
      <c r="HDW34" s="206"/>
      <c r="HDX34" s="206"/>
      <c r="HDY34" s="206"/>
      <c r="HDZ34" s="206"/>
      <c r="HEA34" s="206"/>
      <c r="HEB34" s="206"/>
      <c r="HEC34" s="206"/>
      <c r="HED34" s="206"/>
      <c r="HEE34" s="206"/>
      <c r="HEF34" s="206"/>
      <c r="HEG34" s="206"/>
      <c r="HEH34" s="206"/>
      <c r="HEI34" s="206"/>
      <c r="HEJ34" s="206"/>
      <c r="HEK34" s="206"/>
      <c r="HEL34" s="206"/>
      <c r="HEM34" s="206"/>
      <c r="HEN34" s="206"/>
      <c r="HEO34" s="206"/>
      <c r="HEP34" s="206"/>
      <c r="HEQ34" s="206"/>
      <c r="HER34" s="206"/>
      <c r="HES34" s="206"/>
      <c r="HET34" s="206"/>
      <c r="HEU34" s="206"/>
      <c r="HEV34" s="206"/>
      <c r="HEW34" s="206"/>
      <c r="HEX34" s="206"/>
      <c r="HEY34" s="206"/>
      <c r="HEZ34" s="206"/>
      <c r="HFA34" s="206"/>
      <c r="HFB34" s="206"/>
      <c r="HFC34" s="206"/>
      <c r="HFD34" s="206"/>
      <c r="HFE34" s="206"/>
      <c r="HFF34" s="206"/>
      <c r="HFG34" s="206"/>
      <c r="HFH34" s="206"/>
      <c r="HFI34" s="206"/>
      <c r="HFJ34" s="206"/>
      <c r="HFK34" s="206"/>
      <c r="HFL34" s="206"/>
      <c r="HFM34" s="206"/>
      <c r="HFN34" s="206"/>
      <c r="HFO34" s="206"/>
      <c r="HFP34" s="206"/>
      <c r="HFQ34" s="206"/>
      <c r="HFR34" s="206"/>
      <c r="HFS34" s="206"/>
      <c r="HFT34" s="206"/>
      <c r="HFU34" s="206"/>
      <c r="HFV34" s="206"/>
      <c r="HFW34" s="206"/>
      <c r="HFX34" s="206"/>
      <c r="HFY34" s="206"/>
      <c r="HFZ34" s="206"/>
      <c r="HGA34" s="206"/>
      <c r="HGB34" s="206"/>
      <c r="HGC34" s="206"/>
      <c r="HGD34" s="206"/>
      <c r="HGE34" s="206"/>
      <c r="HGF34" s="206"/>
      <c r="HGG34" s="206"/>
      <c r="HGH34" s="206"/>
      <c r="HGI34" s="206"/>
      <c r="HGJ34" s="206"/>
      <c r="HGK34" s="206"/>
      <c r="HGL34" s="206"/>
      <c r="HGM34" s="206"/>
      <c r="HGN34" s="206"/>
      <c r="HGO34" s="206"/>
      <c r="HGP34" s="206"/>
      <c r="HGQ34" s="206"/>
      <c r="HGR34" s="206"/>
      <c r="HGS34" s="206"/>
      <c r="HGT34" s="206"/>
      <c r="HGU34" s="206"/>
      <c r="HGV34" s="206"/>
      <c r="HGW34" s="206"/>
      <c r="HGX34" s="206"/>
      <c r="HGY34" s="206"/>
      <c r="HGZ34" s="206"/>
      <c r="HHA34" s="206"/>
      <c r="HHB34" s="206"/>
      <c r="HHC34" s="206"/>
      <c r="HHD34" s="206"/>
      <c r="HHE34" s="206"/>
      <c r="HHF34" s="206"/>
      <c r="HHG34" s="206"/>
      <c r="HHH34" s="206"/>
      <c r="HHI34" s="206"/>
      <c r="HHJ34" s="206"/>
      <c r="HHK34" s="206"/>
      <c r="HHL34" s="206"/>
      <c r="HHM34" s="206"/>
      <c r="HHN34" s="206"/>
      <c r="HHO34" s="206"/>
      <c r="HHP34" s="206"/>
      <c r="HHQ34" s="206"/>
      <c r="HHR34" s="206"/>
      <c r="HHS34" s="206"/>
      <c r="HHT34" s="206"/>
      <c r="HHU34" s="206"/>
      <c r="HHV34" s="206"/>
      <c r="HHW34" s="206"/>
      <c r="HHX34" s="206"/>
      <c r="HHY34" s="206"/>
      <c r="HHZ34" s="206"/>
      <c r="HIA34" s="206"/>
      <c r="HIB34" s="206"/>
      <c r="HIC34" s="206"/>
      <c r="HID34" s="206"/>
      <c r="HIE34" s="206"/>
      <c r="HIF34" s="206"/>
      <c r="HIG34" s="206"/>
      <c r="HIH34" s="206"/>
      <c r="HII34" s="206"/>
      <c r="HIJ34" s="206"/>
      <c r="HIK34" s="206"/>
      <c r="HIL34" s="206"/>
      <c r="HIM34" s="206"/>
      <c r="HIN34" s="206"/>
      <c r="HIO34" s="206"/>
      <c r="HIP34" s="206"/>
      <c r="HIQ34" s="206"/>
      <c r="HIR34" s="206"/>
      <c r="HIS34" s="206"/>
      <c r="HIT34" s="206"/>
      <c r="HIU34" s="206"/>
      <c r="HIV34" s="206"/>
      <c r="HIW34" s="206"/>
      <c r="HIX34" s="206"/>
      <c r="HIY34" s="206"/>
      <c r="HIZ34" s="206"/>
      <c r="HJA34" s="206"/>
      <c r="HJB34" s="206"/>
      <c r="HJC34" s="206"/>
      <c r="HJD34" s="206"/>
      <c r="HJE34" s="206"/>
      <c r="HJF34" s="206"/>
      <c r="HJG34" s="206"/>
      <c r="HJH34" s="206"/>
      <c r="HJI34" s="206"/>
      <c r="HJJ34" s="206"/>
      <c r="HJK34" s="206"/>
      <c r="HJL34" s="206"/>
      <c r="HJM34" s="206"/>
      <c r="HJN34" s="206"/>
      <c r="HJO34" s="206"/>
      <c r="HJP34" s="206"/>
      <c r="HJQ34" s="206"/>
      <c r="HJR34" s="206"/>
      <c r="HJS34" s="206"/>
      <c r="HJT34" s="206"/>
      <c r="HJU34" s="206"/>
      <c r="HJV34" s="206"/>
      <c r="HJW34" s="206"/>
      <c r="HJX34" s="206"/>
      <c r="HJY34" s="206"/>
      <c r="HJZ34" s="206"/>
      <c r="HKA34" s="206"/>
      <c r="HKB34" s="206"/>
      <c r="HKC34" s="206"/>
      <c r="HKD34" s="206"/>
      <c r="HKE34" s="206"/>
      <c r="HKF34" s="206"/>
      <c r="HKG34" s="206"/>
      <c r="HKH34" s="206"/>
      <c r="HKI34" s="206"/>
      <c r="HKJ34" s="206"/>
      <c r="HKK34" s="206"/>
      <c r="HKL34" s="206"/>
      <c r="HKM34" s="206"/>
      <c r="HKN34" s="206"/>
      <c r="HKO34" s="206"/>
      <c r="HKP34" s="206"/>
      <c r="HKQ34" s="206"/>
      <c r="HKR34" s="206"/>
      <c r="HKS34" s="206"/>
      <c r="HKT34" s="206"/>
      <c r="HKU34" s="206"/>
      <c r="HKV34" s="206"/>
      <c r="HKW34" s="206"/>
      <c r="HKX34" s="206"/>
      <c r="HKY34" s="206"/>
      <c r="HKZ34" s="206"/>
      <c r="HLA34" s="206"/>
      <c r="HLB34" s="206"/>
      <c r="HLC34" s="206"/>
      <c r="HLD34" s="206"/>
      <c r="HLE34" s="206"/>
      <c r="HLF34" s="206"/>
      <c r="HLG34" s="206"/>
      <c r="HLH34" s="206"/>
      <c r="HLI34" s="206"/>
      <c r="HLJ34" s="206"/>
      <c r="HLK34" s="206"/>
      <c r="HLL34" s="206"/>
      <c r="HLM34" s="206"/>
      <c r="HLN34" s="206"/>
      <c r="HLO34" s="206"/>
      <c r="HLP34" s="206"/>
      <c r="HLQ34" s="206"/>
      <c r="HLR34" s="206"/>
      <c r="HLS34" s="206"/>
      <c r="HLT34" s="206"/>
      <c r="HLU34" s="206"/>
      <c r="HLV34" s="206"/>
      <c r="HLW34" s="206"/>
      <c r="HLX34" s="206"/>
      <c r="HLY34" s="206"/>
      <c r="HLZ34" s="206"/>
      <c r="HMA34" s="206"/>
      <c r="HMB34" s="206"/>
      <c r="HMC34" s="206"/>
      <c r="HMD34" s="206"/>
      <c r="HME34" s="206"/>
      <c r="HMF34" s="206"/>
      <c r="HMG34" s="206"/>
      <c r="HMH34" s="206"/>
      <c r="HMI34" s="206"/>
      <c r="HMJ34" s="206"/>
      <c r="HMK34" s="206"/>
      <c r="HML34" s="206"/>
      <c r="HMM34" s="206"/>
      <c r="HMN34" s="206"/>
      <c r="HMO34" s="206"/>
      <c r="HMP34" s="206"/>
      <c r="HMQ34" s="206"/>
      <c r="HMR34" s="206"/>
      <c r="HMS34" s="206"/>
      <c r="HMT34" s="206"/>
      <c r="HMU34" s="206"/>
      <c r="HMV34" s="206"/>
      <c r="HMW34" s="206"/>
      <c r="HMX34" s="206"/>
      <c r="HMY34" s="206"/>
      <c r="HMZ34" s="206"/>
      <c r="HNA34" s="206"/>
      <c r="HNB34" s="206"/>
      <c r="HNC34" s="206"/>
      <c r="HND34" s="206"/>
      <c r="HNE34" s="206"/>
      <c r="HNF34" s="206"/>
      <c r="HNG34" s="206"/>
      <c r="HNH34" s="206"/>
      <c r="HNI34" s="206"/>
      <c r="HNJ34" s="206"/>
      <c r="HNK34" s="206"/>
      <c r="HNL34" s="206"/>
      <c r="HNM34" s="206"/>
      <c r="HNN34" s="206"/>
      <c r="HNO34" s="206"/>
      <c r="HNP34" s="206"/>
      <c r="HNQ34" s="206"/>
      <c r="HNR34" s="206"/>
      <c r="HNS34" s="206"/>
      <c r="HNT34" s="206"/>
      <c r="HNU34" s="206"/>
      <c r="HNV34" s="206"/>
      <c r="HNW34" s="206"/>
      <c r="HNX34" s="206"/>
      <c r="HNY34" s="206"/>
      <c r="HNZ34" s="206"/>
      <c r="HOA34" s="206"/>
      <c r="HOB34" s="206"/>
      <c r="HOC34" s="206"/>
      <c r="HOD34" s="206"/>
      <c r="HOE34" s="206"/>
      <c r="HOF34" s="206"/>
      <c r="HOG34" s="206"/>
      <c r="HOH34" s="206"/>
      <c r="HOI34" s="206"/>
      <c r="HOJ34" s="206"/>
      <c r="HOK34" s="206"/>
      <c r="HOL34" s="206"/>
      <c r="HOM34" s="206"/>
      <c r="HON34" s="206"/>
      <c r="HOO34" s="206"/>
      <c r="HOP34" s="206"/>
      <c r="HOQ34" s="206"/>
      <c r="HOR34" s="206"/>
      <c r="HOS34" s="206"/>
      <c r="HOT34" s="206"/>
      <c r="HOU34" s="206"/>
      <c r="HOV34" s="206"/>
      <c r="HOW34" s="206"/>
      <c r="HOX34" s="206"/>
      <c r="HOY34" s="206"/>
      <c r="HOZ34" s="206"/>
      <c r="HPA34" s="206"/>
      <c r="HPB34" s="206"/>
      <c r="HPC34" s="206"/>
      <c r="HPD34" s="206"/>
      <c r="HPE34" s="206"/>
      <c r="HPF34" s="206"/>
      <c r="HPG34" s="206"/>
      <c r="HPH34" s="206"/>
      <c r="HPI34" s="206"/>
      <c r="HPJ34" s="206"/>
      <c r="HPK34" s="206"/>
      <c r="HPL34" s="206"/>
      <c r="HPM34" s="206"/>
      <c r="HPN34" s="206"/>
      <c r="HPO34" s="206"/>
      <c r="HPP34" s="206"/>
      <c r="HPQ34" s="206"/>
      <c r="HPR34" s="206"/>
      <c r="HPS34" s="206"/>
      <c r="HPT34" s="206"/>
      <c r="HPU34" s="206"/>
      <c r="HPV34" s="206"/>
      <c r="HPW34" s="206"/>
      <c r="HPX34" s="206"/>
      <c r="HPY34" s="206"/>
      <c r="HPZ34" s="206"/>
      <c r="HQA34" s="206"/>
      <c r="HQB34" s="206"/>
      <c r="HQC34" s="206"/>
      <c r="HQD34" s="206"/>
      <c r="HQE34" s="206"/>
      <c r="HQF34" s="206"/>
      <c r="HQG34" s="206"/>
      <c r="HQH34" s="206"/>
      <c r="HQI34" s="206"/>
      <c r="HQJ34" s="206"/>
      <c r="HQK34" s="206"/>
      <c r="HQL34" s="206"/>
      <c r="HQM34" s="206"/>
      <c r="HQN34" s="206"/>
      <c r="HQO34" s="206"/>
      <c r="HQP34" s="206"/>
      <c r="HQQ34" s="206"/>
      <c r="HQR34" s="206"/>
      <c r="HQS34" s="206"/>
      <c r="HQT34" s="206"/>
      <c r="HQU34" s="206"/>
      <c r="HQV34" s="206"/>
      <c r="HQW34" s="206"/>
      <c r="HQX34" s="206"/>
      <c r="HQY34" s="206"/>
      <c r="HQZ34" s="206"/>
      <c r="HRA34" s="206"/>
      <c r="HRB34" s="206"/>
      <c r="HRC34" s="206"/>
      <c r="HRD34" s="206"/>
      <c r="HRE34" s="206"/>
      <c r="HRF34" s="206"/>
      <c r="HRG34" s="206"/>
      <c r="HRH34" s="206"/>
      <c r="HRI34" s="206"/>
      <c r="HRJ34" s="206"/>
      <c r="HRK34" s="206"/>
      <c r="HRL34" s="206"/>
      <c r="HRM34" s="206"/>
      <c r="HRN34" s="206"/>
      <c r="HRO34" s="206"/>
      <c r="HRP34" s="206"/>
      <c r="HRQ34" s="206"/>
      <c r="HRR34" s="206"/>
      <c r="HRS34" s="206"/>
      <c r="HRT34" s="206"/>
      <c r="HRU34" s="206"/>
      <c r="HRV34" s="206"/>
      <c r="HRW34" s="206"/>
      <c r="HRX34" s="206"/>
      <c r="HRY34" s="206"/>
      <c r="HRZ34" s="206"/>
      <c r="HSA34" s="206"/>
      <c r="HSB34" s="206"/>
      <c r="HSC34" s="206"/>
      <c r="HSD34" s="206"/>
      <c r="HSE34" s="206"/>
      <c r="HSF34" s="206"/>
      <c r="HSG34" s="206"/>
      <c r="HSH34" s="206"/>
      <c r="HSI34" s="206"/>
      <c r="HSJ34" s="206"/>
      <c r="HSK34" s="206"/>
      <c r="HSL34" s="206"/>
      <c r="HSM34" s="206"/>
      <c r="HSN34" s="206"/>
      <c r="HSO34" s="206"/>
      <c r="HSP34" s="206"/>
      <c r="HSQ34" s="206"/>
      <c r="HSR34" s="206"/>
      <c r="HSS34" s="206"/>
      <c r="HST34" s="206"/>
      <c r="HSU34" s="206"/>
      <c r="HSV34" s="206"/>
      <c r="HSW34" s="206"/>
      <c r="HSX34" s="206"/>
      <c r="HSY34" s="206"/>
      <c r="HSZ34" s="206"/>
      <c r="HTA34" s="206"/>
      <c r="HTB34" s="206"/>
      <c r="HTC34" s="206"/>
      <c r="HTD34" s="206"/>
      <c r="HTE34" s="206"/>
      <c r="HTF34" s="206"/>
      <c r="HTG34" s="206"/>
      <c r="HTH34" s="206"/>
      <c r="HTI34" s="206"/>
      <c r="HTJ34" s="206"/>
      <c r="HTK34" s="206"/>
      <c r="HTL34" s="206"/>
      <c r="HTM34" s="206"/>
      <c r="HTN34" s="206"/>
      <c r="HTO34" s="206"/>
      <c r="HTP34" s="206"/>
      <c r="HTQ34" s="206"/>
      <c r="HTR34" s="206"/>
      <c r="HTS34" s="206"/>
      <c r="HTT34" s="206"/>
      <c r="HTU34" s="206"/>
      <c r="HTV34" s="206"/>
      <c r="HTW34" s="206"/>
      <c r="HTX34" s="206"/>
      <c r="HTY34" s="206"/>
      <c r="HTZ34" s="206"/>
      <c r="HUA34" s="206"/>
      <c r="HUB34" s="206"/>
      <c r="HUC34" s="206"/>
      <c r="HUD34" s="206"/>
      <c r="HUE34" s="206"/>
      <c r="HUF34" s="206"/>
      <c r="HUG34" s="206"/>
      <c r="HUH34" s="206"/>
      <c r="HUI34" s="206"/>
      <c r="HUJ34" s="206"/>
      <c r="HUK34" s="206"/>
      <c r="HUL34" s="206"/>
      <c r="HUM34" s="206"/>
      <c r="HUN34" s="206"/>
      <c r="HUO34" s="206"/>
      <c r="HUP34" s="206"/>
      <c r="HUQ34" s="206"/>
      <c r="HUR34" s="206"/>
      <c r="HUS34" s="206"/>
      <c r="HUT34" s="206"/>
      <c r="HUU34" s="206"/>
      <c r="HUV34" s="206"/>
      <c r="HUW34" s="206"/>
      <c r="HUX34" s="206"/>
      <c r="HUY34" s="206"/>
      <c r="HUZ34" s="206"/>
      <c r="HVA34" s="206"/>
      <c r="HVB34" s="206"/>
      <c r="HVC34" s="206"/>
      <c r="HVD34" s="206"/>
      <c r="HVE34" s="206"/>
      <c r="HVF34" s="206"/>
      <c r="HVG34" s="206"/>
      <c r="HVH34" s="206"/>
      <c r="HVI34" s="206"/>
      <c r="HVJ34" s="206"/>
      <c r="HVK34" s="206"/>
      <c r="HVL34" s="206"/>
      <c r="HVM34" s="206"/>
      <c r="HVN34" s="206"/>
      <c r="HVO34" s="206"/>
      <c r="HVP34" s="206"/>
      <c r="HVQ34" s="206"/>
      <c r="HVR34" s="206"/>
      <c r="HVS34" s="206"/>
      <c r="HVT34" s="206"/>
      <c r="HVU34" s="206"/>
      <c r="HVV34" s="206"/>
      <c r="HVW34" s="206"/>
      <c r="HVX34" s="206"/>
      <c r="HVY34" s="206"/>
      <c r="HVZ34" s="206"/>
      <c r="HWA34" s="206"/>
      <c r="HWB34" s="206"/>
      <c r="HWC34" s="206"/>
      <c r="HWD34" s="206"/>
      <c r="HWE34" s="206"/>
      <c r="HWF34" s="206"/>
      <c r="HWG34" s="206"/>
      <c r="HWH34" s="206"/>
      <c r="HWI34" s="206"/>
      <c r="HWJ34" s="206"/>
      <c r="HWK34" s="206"/>
      <c r="HWL34" s="206"/>
      <c r="HWM34" s="206"/>
      <c r="HWN34" s="206"/>
      <c r="HWO34" s="206"/>
      <c r="HWP34" s="206"/>
      <c r="HWQ34" s="206"/>
      <c r="HWR34" s="206"/>
      <c r="HWS34" s="206"/>
      <c r="HWT34" s="206"/>
      <c r="HWU34" s="206"/>
      <c r="HWV34" s="206"/>
      <c r="HWW34" s="206"/>
      <c r="HWX34" s="206"/>
      <c r="HWY34" s="206"/>
      <c r="HWZ34" s="206"/>
      <c r="HXA34" s="206"/>
      <c r="HXB34" s="206"/>
      <c r="HXC34" s="206"/>
      <c r="HXD34" s="206"/>
      <c r="HXE34" s="206"/>
      <c r="HXF34" s="206"/>
      <c r="HXG34" s="206"/>
      <c r="HXH34" s="206"/>
      <c r="HXI34" s="206"/>
      <c r="HXJ34" s="206"/>
      <c r="HXK34" s="206"/>
      <c r="HXL34" s="206"/>
      <c r="HXM34" s="206"/>
      <c r="HXN34" s="206"/>
      <c r="HXO34" s="206"/>
      <c r="HXP34" s="206"/>
      <c r="HXQ34" s="206"/>
      <c r="HXR34" s="206"/>
      <c r="HXS34" s="206"/>
      <c r="HXT34" s="206"/>
      <c r="HXU34" s="206"/>
      <c r="HXV34" s="206"/>
      <c r="HXW34" s="206"/>
      <c r="HXX34" s="206"/>
      <c r="HXY34" s="206"/>
      <c r="HXZ34" s="206"/>
      <c r="HYA34" s="206"/>
      <c r="HYB34" s="206"/>
      <c r="HYC34" s="206"/>
      <c r="HYD34" s="206"/>
      <c r="HYE34" s="206"/>
      <c r="HYF34" s="206"/>
      <c r="HYG34" s="206"/>
      <c r="HYH34" s="206"/>
      <c r="HYI34" s="206"/>
      <c r="HYJ34" s="206"/>
      <c r="HYK34" s="206"/>
      <c r="HYL34" s="206"/>
      <c r="HYM34" s="206"/>
      <c r="HYN34" s="206"/>
      <c r="HYO34" s="206"/>
      <c r="HYP34" s="206"/>
      <c r="HYQ34" s="206"/>
      <c r="HYR34" s="206"/>
      <c r="HYS34" s="206"/>
      <c r="HYT34" s="206"/>
      <c r="HYU34" s="206"/>
      <c r="HYV34" s="206"/>
      <c r="HYW34" s="206"/>
      <c r="HYX34" s="206"/>
      <c r="HYY34" s="206"/>
      <c r="HYZ34" s="206"/>
      <c r="HZA34" s="206"/>
      <c r="HZB34" s="206"/>
      <c r="HZC34" s="206"/>
      <c r="HZD34" s="206"/>
      <c r="HZE34" s="206"/>
      <c r="HZF34" s="206"/>
      <c r="HZG34" s="206"/>
      <c r="HZH34" s="206"/>
      <c r="HZI34" s="206"/>
      <c r="HZJ34" s="206"/>
      <c r="HZK34" s="206"/>
      <c r="HZL34" s="206"/>
      <c r="HZM34" s="206"/>
      <c r="HZN34" s="206"/>
      <c r="HZO34" s="206"/>
      <c r="HZP34" s="206"/>
      <c r="HZQ34" s="206"/>
      <c r="HZR34" s="206"/>
      <c r="HZS34" s="206"/>
      <c r="HZT34" s="206"/>
      <c r="HZU34" s="206"/>
      <c r="HZV34" s="206"/>
      <c r="HZW34" s="206"/>
      <c r="HZX34" s="206"/>
      <c r="HZY34" s="206"/>
      <c r="HZZ34" s="206"/>
      <c r="IAA34" s="206"/>
      <c r="IAB34" s="206"/>
      <c r="IAC34" s="206"/>
      <c r="IAD34" s="206"/>
      <c r="IAE34" s="206"/>
      <c r="IAF34" s="206"/>
      <c r="IAG34" s="206"/>
      <c r="IAH34" s="206"/>
      <c r="IAI34" s="206"/>
      <c r="IAJ34" s="206"/>
      <c r="IAK34" s="206"/>
      <c r="IAL34" s="206"/>
      <c r="IAM34" s="206"/>
      <c r="IAN34" s="206"/>
      <c r="IAO34" s="206"/>
      <c r="IAP34" s="206"/>
      <c r="IAQ34" s="206"/>
      <c r="IAR34" s="206"/>
      <c r="IAS34" s="206"/>
      <c r="IAT34" s="206"/>
      <c r="IAU34" s="206"/>
      <c r="IAV34" s="206"/>
      <c r="IAW34" s="206"/>
      <c r="IAX34" s="206"/>
      <c r="IAY34" s="206"/>
      <c r="IAZ34" s="206"/>
      <c r="IBA34" s="206"/>
      <c r="IBB34" s="206"/>
      <c r="IBC34" s="206"/>
      <c r="IBD34" s="206"/>
      <c r="IBE34" s="206"/>
      <c r="IBF34" s="206"/>
      <c r="IBG34" s="206"/>
      <c r="IBH34" s="206"/>
      <c r="IBI34" s="206"/>
      <c r="IBJ34" s="206"/>
      <c r="IBK34" s="206"/>
      <c r="IBL34" s="206"/>
      <c r="IBM34" s="206"/>
      <c r="IBN34" s="206"/>
      <c r="IBO34" s="206"/>
      <c r="IBP34" s="206"/>
      <c r="IBQ34" s="206"/>
      <c r="IBR34" s="206"/>
      <c r="IBS34" s="206"/>
      <c r="IBT34" s="206"/>
      <c r="IBU34" s="206"/>
      <c r="IBV34" s="206"/>
      <c r="IBW34" s="206"/>
      <c r="IBX34" s="206"/>
      <c r="IBY34" s="206"/>
      <c r="IBZ34" s="206"/>
      <c r="ICA34" s="206"/>
      <c r="ICB34" s="206"/>
      <c r="ICC34" s="206"/>
      <c r="ICD34" s="206"/>
      <c r="ICE34" s="206"/>
      <c r="ICF34" s="206"/>
      <c r="ICG34" s="206"/>
      <c r="ICH34" s="206"/>
      <c r="ICI34" s="206"/>
      <c r="ICJ34" s="206"/>
      <c r="ICK34" s="206"/>
      <c r="ICL34" s="206"/>
      <c r="ICM34" s="206"/>
      <c r="ICN34" s="206"/>
      <c r="ICO34" s="206"/>
      <c r="ICP34" s="206"/>
      <c r="ICQ34" s="206"/>
      <c r="ICR34" s="206"/>
      <c r="ICS34" s="206"/>
      <c r="ICT34" s="206"/>
      <c r="ICU34" s="206"/>
      <c r="ICV34" s="206"/>
      <c r="ICW34" s="206"/>
      <c r="ICX34" s="206"/>
      <c r="ICY34" s="206"/>
      <c r="ICZ34" s="206"/>
      <c r="IDA34" s="206"/>
      <c r="IDB34" s="206"/>
      <c r="IDC34" s="206"/>
      <c r="IDD34" s="206"/>
      <c r="IDE34" s="206"/>
      <c r="IDF34" s="206"/>
      <c r="IDG34" s="206"/>
      <c r="IDH34" s="206"/>
      <c r="IDI34" s="206"/>
      <c r="IDJ34" s="206"/>
      <c r="IDK34" s="206"/>
      <c r="IDL34" s="206"/>
      <c r="IDM34" s="206"/>
      <c r="IDN34" s="206"/>
      <c r="IDO34" s="206"/>
      <c r="IDP34" s="206"/>
      <c r="IDQ34" s="206"/>
      <c r="IDR34" s="206"/>
      <c r="IDS34" s="206"/>
      <c r="IDT34" s="206"/>
      <c r="IDU34" s="206"/>
      <c r="IDV34" s="206"/>
      <c r="IDW34" s="206"/>
      <c r="IDX34" s="206"/>
      <c r="IDY34" s="206"/>
      <c r="IDZ34" s="206"/>
      <c r="IEA34" s="206"/>
      <c r="IEB34" s="206"/>
      <c r="IEC34" s="206"/>
      <c r="IED34" s="206"/>
      <c r="IEE34" s="206"/>
      <c r="IEF34" s="206"/>
      <c r="IEG34" s="206"/>
      <c r="IEH34" s="206"/>
      <c r="IEI34" s="206"/>
      <c r="IEJ34" s="206"/>
      <c r="IEK34" s="206"/>
      <c r="IEL34" s="206"/>
      <c r="IEM34" s="206"/>
      <c r="IEN34" s="206"/>
      <c r="IEO34" s="206"/>
      <c r="IEP34" s="206"/>
      <c r="IEQ34" s="206"/>
      <c r="IER34" s="206"/>
      <c r="IES34" s="206"/>
      <c r="IET34" s="206"/>
      <c r="IEU34" s="206"/>
      <c r="IEV34" s="206"/>
      <c r="IEW34" s="206"/>
      <c r="IEX34" s="206"/>
      <c r="IEY34" s="206"/>
      <c r="IEZ34" s="206"/>
      <c r="IFA34" s="206"/>
      <c r="IFB34" s="206"/>
      <c r="IFC34" s="206"/>
      <c r="IFD34" s="206"/>
      <c r="IFE34" s="206"/>
      <c r="IFF34" s="206"/>
      <c r="IFG34" s="206"/>
      <c r="IFH34" s="206"/>
      <c r="IFI34" s="206"/>
      <c r="IFJ34" s="206"/>
      <c r="IFK34" s="206"/>
      <c r="IFL34" s="206"/>
      <c r="IFM34" s="206"/>
      <c r="IFN34" s="206"/>
      <c r="IFO34" s="206"/>
      <c r="IFP34" s="206"/>
      <c r="IFQ34" s="206"/>
      <c r="IFR34" s="206"/>
      <c r="IFS34" s="206"/>
      <c r="IFT34" s="206"/>
      <c r="IFU34" s="206"/>
      <c r="IFV34" s="206"/>
      <c r="IFW34" s="206"/>
      <c r="IFX34" s="206"/>
      <c r="IFY34" s="206"/>
      <c r="IFZ34" s="206"/>
      <c r="IGA34" s="206"/>
      <c r="IGB34" s="206"/>
      <c r="IGC34" s="206"/>
      <c r="IGD34" s="206"/>
      <c r="IGE34" s="206"/>
      <c r="IGF34" s="206"/>
      <c r="IGG34" s="206"/>
      <c r="IGH34" s="206"/>
      <c r="IGI34" s="206"/>
      <c r="IGJ34" s="206"/>
      <c r="IGK34" s="206"/>
      <c r="IGL34" s="206"/>
      <c r="IGM34" s="206"/>
      <c r="IGN34" s="206"/>
      <c r="IGO34" s="206"/>
      <c r="IGP34" s="206"/>
      <c r="IGQ34" s="206"/>
      <c r="IGR34" s="206"/>
      <c r="IGS34" s="206"/>
      <c r="IGT34" s="206"/>
      <c r="IGU34" s="206"/>
      <c r="IGV34" s="206"/>
      <c r="IGW34" s="206"/>
      <c r="IGX34" s="206"/>
      <c r="IGY34" s="206"/>
      <c r="IGZ34" s="206"/>
      <c r="IHA34" s="206"/>
      <c r="IHB34" s="206"/>
      <c r="IHC34" s="206"/>
      <c r="IHD34" s="206"/>
      <c r="IHE34" s="206"/>
      <c r="IHF34" s="206"/>
      <c r="IHG34" s="206"/>
      <c r="IHH34" s="206"/>
      <c r="IHI34" s="206"/>
      <c r="IHJ34" s="206"/>
      <c r="IHK34" s="206"/>
      <c r="IHL34" s="206"/>
      <c r="IHM34" s="206"/>
      <c r="IHN34" s="206"/>
      <c r="IHO34" s="206"/>
      <c r="IHP34" s="206"/>
      <c r="IHQ34" s="206"/>
      <c r="IHR34" s="206"/>
      <c r="IHS34" s="206"/>
      <c r="IHT34" s="206"/>
      <c r="IHU34" s="206"/>
      <c r="IHV34" s="206"/>
      <c r="IHW34" s="206"/>
      <c r="IHX34" s="206"/>
      <c r="IHY34" s="206"/>
      <c r="IHZ34" s="206"/>
      <c r="IIA34" s="206"/>
      <c r="IIB34" s="206"/>
      <c r="IIC34" s="206"/>
      <c r="IID34" s="206"/>
      <c r="IIE34" s="206"/>
      <c r="IIF34" s="206"/>
      <c r="IIG34" s="206"/>
      <c r="IIH34" s="206"/>
      <c r="III34" s="206"/>
      <c r="IIJ34" s="206"/>
      <c r="IIK34" s="206"/>
      <c r="IIL34" s="206"/>
      <c r="IIM34" s="206"/>
      <c r="IIN34" s="206"/>
      <c r="IIO34" s="206"/>
      <c r="IIP34" s="206"/>
      <c r="IIQ34" s="206"/>
      <c r="IIR34" s="206"/>
      <c r="IIS34" s="206"/>
      <c r="IIT34" s="206"/>
      <c r="IIU34" s="206"/>
      <c r="IIV34" s="206"/>
      <c r="IIW34" s="206"/>
      <c r="IIX34" s="206"/>
      <c r="IIY34" s="206"/>
      <c r="IIZ34" s="206"/>
      <c r="IJA34" s="206"/>
      <c r="IJB34" s="206"/>
      <c r="IJC34" s="206"/>
      <c r="IJD34" s="206"/>
      <c r="IJE34" s="206"/>
      <c r="IJF34" s="206"/>
      <c r="IJG34" s="206"/>
      <c r="IJH34" s="206"/>
      <c r="IJI34" s="206"/>
      <c r="IJJ34" s="206"/>
      <c r="IJK34" s="206"/>
      <c r="IJL34" s="206"/>
      <c r="IJM34" s="206"/>
      <c r="IJN34" s="206"/>
      <c r="IJO34" s="206"/>
      <c r="IJP34" s="206"/>
      <c r="IJQ34" s="206"/>
      <c r="IJR34" s="206"/>
      <c r="IJS34" s="206"/>
      <c r="IJT34" s="206"/>
      <c r="IJU34" s="206"/>
      <c r="IJV34" s="206"/>
      <c r="IJW34" s="206"/>
      <c r="IJX34" s="206"/>
      <c r="IJY34" s="206"/>
      <c r="IJZ34" s="206"/>
      <c r="IKA34" s="206"/>
      <c r="IKB34" s="206"/>
      <c r="IKC34" s="206"/>
      <c r="IKD34" s="206"/>
      <c r="IKE34" s="206"/>
      <c r="IKF34" s="206"/>
      <c r="IKG34" s="206"/>
      <c r="IKH34" s="206"/>
      <c r="IKI34" s="206"/>
      <c r="IKJ34" s="206"/>
      <c r="IKK34" s="206"/>
      <c r="IKL34" s="206"/>
      <c r="IKM34" s="206"/>
      <c r="IKN34" s="206"/>
      <c r="IKO34" s="206"/>
      <c r="IKP34" s="206"/>
      <c r="IKQ34" s="206"/>
      <c r="IKR34" s="206"/>
      <c r="IKS34" s="206"/>
      <c r="IKT34" s="206"/>
      <c r="IKU34" s="206"/>
      <c r="IKV34" s="206"/>
      <c r="IKW34" s="206"/>
      <c r="IKX34" s="206"/>
      <c r="IKY34" s="206"/>
      <c r="IKZ34" s="206"/>
      <c r="ILA34" s="206"/>
      <c r="ILB34" s="206"/>
      <c r="ILC34" s="206"/>
      <c r="ILD34" s="206"/>
      <c r="ILE34" s="206"/>
      <c r="ILF34" s="206"/>
      <c r="ILG34" s="206"/>
      <c r="ILH34" s="206"/>
      <c r="ILI34" s="206"/>
      <c r="ILJ34" s="206"/>
      <c r="ILK34" s="206"/>
      <c r="ILL34" s="206"/>
      <c r="ILM34" s="206"/>
      <c r="ILN34" s="206"/>
      <c r="ILO34" s="206"/>
      <c r="ILP34" s="206"/>
      <c r="ILQ34" s="206"/>
      <c r="ILR34" s="206"/>
      <c r="ILS34" s="206"/>
      <c r="ILT34" s="206"/>
      <c r="ILU34" s="206"/>
      <c r="ILV34" s="206"/>
      <c r="ILW34" s="206"/>
      <c r="ILX34" s="206"/>
      <c r="ILY34" s="206"/>
      <c r="ILZ34" s="206"/>
      <c r="IMA34" s="206"/>
      <c r="IMB34" s="206"/>
      <c r="IMC34" s="206"/>
      <c r="IMD34" s="206"/>
      <c r="IME34" s="206"/>
      <c r="IMF34" s="206"/>
      <c r="IMG34" s="206"/>
      <c r="IMH34" s="206"/>
      <c r="IMI34" s="206"/>
      <c r="IMJ34" s="206"/>
      <c r="IMK34" s="206"/>
      <c r="IML34" s="206"/>
      <c r="IMM34" s="206"/>
      <c r="IMN34" s="206"/>
      <c r="IMO34" s="206"/>
      <c r="IMP34" s="206"/>
      <c r="IMQ34" s="206"/>
      <c r="IMR34" s="206"/>
      <c r="IMS34" s="206"/>
      <c r="IMT34" s="206"/>
      <c r="IMU34" s="206"/>
      <c r="IMV34" s="206"/>
      <c r="IMW34" s="206"/>
      <c r="IMX34" s="206"/>
      <c r="IMY34" s="206"/>
      <c r="IMZ34" s="206"/>
      <c r="INA34" s="206"/>
      <c r="INB34" s="206"/>
      <c r="INC34" s="206"/>
      <c r="IND34" s="206"/>
      <c r="INE34" s="206"/>
      <c r="INF34" s="206"/>
      <c r="ING34" s="206"/>
      <c r="INH34" s="206"/>
      <c r="INI34" s="206"/>
      <c r="INJ34" s="206"/>
      <c r="INK34" s="206"/>
      <c r="INL34" s="206"/>
      <c r="INM34" s="206"/>
      <c r="INN34" s="206"/>
      <c r="INO34" s="206"/>
      <c r="INP34" s="206"/>
      <c r="INQ34" s="206"/>
      <c r="INR34" s="206"/>
      <c r="INS34" s="206"/>
      <c r="INT34" s="206"/>
      <c r="INU34" s="206"/>
      <c r="INV34" s="206"/>
      <c r="INW34" s="206"/>
      <c r="INX34" s="206"/>
      <c r="INY34" s="206"/>
      <c r="INZ34" s="206"/>
      <c r="IOA34" s="206"/>
      <c r="IOB34" s="206"/>
      <c r="IOC34" s="206"/>
      <c r="IOD34" s="206"/>
      <c r="IOE34" s="206"/>
      <c r="IOF34" s="206"/>
      <c r="IOG34" s="206"/>
      <c r="IOH34" s="206"/>
      <c r="IOI34" s="206"/>
      <c r="IOJ34" s="206"/>
      <c r="IOK34" s="206"/>
      <c r="IOL34" s="206"/>
      <c r="IOM34" s="206"/>
      <c r="ION34" s="206"/>
      <c r="IOO34" s="206"/>
      <c r="IOP34" s="206"/>
      <c r="IOQ34" s="206"/>
      <c r="IOR34" s="206"/>
      <c r="IOS34" s="206"/>
      <c r="IOT34" s="206"/>
      <c r="IOU34" s="206"/>
      <c r="IOV34" s="206"/>
      <c r="IOW34" s="206"/>
      <c r="IOX34" s="206"/>
      <c r="IOY34" s="206"/>
      <c r="IOZ34" s="206"/>
      <c r="IPA34" s="206"/>
      <c r="IPB34" s="206"/>
      <c r="IPC34" s="206"/>
      <c r="IPD34" s="206"/>
      <c r="IPE34" s="206"/>
      <c r="IPF34" s="206"/>
      <c r="IPG34" s="206"/>
      <c r="IPH34" s="206"/>
      <c r="IPI34" s="206"/>
      <c r="IPJ34" s="206"/>
      <c r="IPK34" s="206"/>
      <c r="IPL34" s="206"/>
      <c r="IPM34" s="206"/>
      <c r="IPN34" s="206"/>
      <c r="IPO34" s="206"/>
      <c r="IPP34" s="206"/>
      <c r="IPQ34" s="206"/>
      <c r="IPR34" s="206"/>
      <c r="IPS34" s="206"/>
      <c r="IPT34" s="206"/>
      <c r="IPU34" s="206"/>
      <c r="IPV34" s="206"/>
      <c r="IPW34" s="206"/>
      <c r="IPX34" s="206"/>
      <c r="IPY34" s="206"/>
      <c r="IPZ34" s="206"/>
      <c r="IQA34" s="206"/>
      <c r="IQB34" s="206"/>
      <c r="IQC34" s="206"/>
      <c r="IQD34" s="206"/>
      <c r="IQE34" s="206"/>
      <c r="IQF34" s="206"/>
      <c r="IQG34" s="206"/>
      <c r="IQH34" s="206"/>
      <c r="IQI34" s="206"/>
      <c r="IQJ34" s="206"/>
      <c r="IQK34" s="206"/>
      <c r="IQL34" s="206"/>
      <c r="IQM34" s="206"/>
      <c r="IQN34" s="206"/>
      <c r="IQO34" s="206"/>
      <c r="IQP34" s="206"/>
      <c r="IQQ34" s="206"/>
      <c r="IQR34" s="206"/>
      <c r="IQS34" s="206"/>
      <c r="IQT34" s="206"/>
      <c r="IQU34" s="206"/>
      <c r="IQV34" s="206"/>
      <c r="IQW34" s="206"/>
      <c r="IQX34" s="206"/>
      <c r="IQY34" s="206"/>
      <c r="IQZ34" s="206"/>
      <c r="IRA34" s="206"/>
      <c r="IRB34" s="206"/>
      <c r="IRC34" s="206"/>
      <c r="IRD34" s="206"/>
      <c r="IRE34" s="206"/>
      <c r="IRF34" s="206"/>
      <c r="IRG34" s="206"/>
      <c r="IRH34" s="206"/>
      <c r="IRI34" s="206"/>
      <c r="IRJ34" s="206"/>
      <c r="IRK34" s="206"/>
      <c r="IRL34" s="206"/>
      <c r="IRM34" s="206"/>
      <c r="IRN34" s="206"/>
      <c r="IRO34" s="206"/>
      <c r="IRP34" s="206"/>
      <c r="IRQ34" s="206"/>
      <c r="IRR34" s="206"/>
      <c r="IRS34" s="206"/>
      <c r="IRT34" s="206"/>
      <c r="IRU34" s="206"/>
      <c r="IRV34" s="206"/>
      <c r="IRW34" s="206"/>
      <c r="IRX34" s="206"/>
      <c r="IRY34" s="206"/>
      <c r="IRZ34" s="206"/>
      <c r="ISA34" s="206"/>
      <c r="ISB34" s="206"/>
      <c r="ISC34" s="206"/>
      <c r="ISD34" s="206"/>
      <c r="ISE34" s="206"/>
      <c r="ISF34" s="206"/>
      <c r="ISG34" s="206"/>
      <c r="ISH34" s="206"/>
      <c r="ISI34" s="206"/>
      <c r="ISJ34" s="206"/>
      <c r="ISK34" s="206"/>
      <c r="ISL34" s="206"/>
      <c r="ISM34" s="206"/>
      <c r="ISN34" s="206"/>
      <c r="ISO34" s="206"/>
      <c r="ISP34" s="206"/>
      <c r="ISQ34" s="206"/>
      <c r="ISR34" s="206"/>
      <c r="ISS34" s="206"/>
      <c r="IST34" s="206"/>
      <c r="ISU34" s="206"/>
      <c r="ISV34" s="206"/>
      <c r="ISW34" s="206"/>
      <c r="ISX34" s="206"/>
      <c r="ISY34" s="206"/>
      <c r="ISZ34" s="206"/>
      <c r="ITA34" s="206"/>
      <c r="ITB34" s="206"/>
      <c r="ITC34" s="206"/>
      <c r="ITD34" s="206"/>
      <c r="ITE34" s="206"/>
      <c r="ITF34" s="206"/>
      <c r="ITG34" s="206"/>
      <c r="ITH34" s="206"/>
      <c r="ITI34" s="206"/>
      <c r="ITJ34" s="206"/>
      <c r="ITK34" s="206"/>
      <c r="ITL34" s="206"/>
      <c r="ITM34" s="206"/>
      <c r="ITN34" s="206"/>
      <c r="ITO34" s="206"/>
      <c r="ITP34" s="206"/>
      <c r="ITQ34" s="206"/>
      <c r="ITR34" s="206"/>
      <c r="ITS34" s="206"/>
      <c r="ITT34" s="206"/>
      <c r="ITU34" s="206"/>
      <c r="ITV34" s="206"/>
      <c r="ITW34" s="206"/>
      <c r="ITX34" s="206"/>
      <c r="ITY34" s="206"/>
      <c r="ITZ34" s="206"/>
      <c r="IUA34" s="206"/>
      <c r="IUB34" s="206"/>
      <c r="IUC34" s="206"/>
      <c r="IUD34" s="206"/>
      <c r="IUE34" s="206"/>
      <c r="IUF34" s="206"/>
      <c r="IUG34" s="206"/>
      <c r="IUH34" s="206"/>
      <c r="IUI34" s="206"/>
      <c r="IUJ34" s="206"/>
      <c r="IUK34" s="206"/>
      <c r="IUL34" s="206"/>
      <c r="IUM34" s="206"/>
      <c r="IUN34" s="206"/>
      <c r="IUO34" s="206"/>
      <c r="IUP34" s="206"/>
      <c r="IUQ34" s="206"/>
      <c r="IUR34" s="206"/>
      <c r="IUS34" s="206"/>
      <c r="IUT34" s="206"/>
      <c r="IUU34" s="206"/>
      <c r="IUV34" s="206"/>
      <c r="IUW34" s="206"/>
      <c r="IUX34" s="206"/>
      <c r="IUY34" s="206"/>
      <c r="IUZ34" s="206"/>
      <c r="IVA34" s="206"/>
      <c r="IVB34" s="206"/>
      <c r="IVC34" s="206"/>
      <c r="IVD34" s="206"/>
      <c r="IVE34" s="206"/>
      <c r="IVF34" s="206"/>
      <c r="IVG34" s="206"/>
      <c r="IVH34" s="206"/>
      <c r="IVI34" s="206"/>
      <c r="IVJ34" s="206"/>
      <c r="IVK34" s="206"/>
      <c r="IVL34" s="206"/>
      <c r="IVM34" s="206"/>
      <c r="IVN34" s="206"/>
      <c r="IVO34" s="206"/>
      <c r="IVP34" s="206"/>
      <c r="IVQ34" s="206"/>
      <c r="IVR34" s="206"/>
      <c r="IVS34" s="206"/>
      <c r="IVT34" s="206"/>
      <c r="IVU34" s="206"/>
      <c r="IVV34" s="206"/>
      <c r="IVW34" s="206"/>
      <c r="IVX34" s="206"/>
      <c r="IVY34" s="206"/>
      <c r="IVZ34" s="206"/>
      <c r="IWA34" s="206"/>
      <c r="IWB34" s="206"/>
      <c r="IWC34" s="206"/>
      <c r="IWD34" s="206"/>
      <c r="IWE34" s="206"/>
      <c r="IWF34" s="206"/>
      <c r="IWG34" s="206"/>
      <c r="IWH34" s="206"/>
      <c r="IWI34" s="206"/>
      <c r="IWJ34" s="206"/>
      <c r="IWK34" s="206"/>
      <c r="IWL34" s="206"/>
      <c r="IWM34" s="206"/>
      <c r="IWN34" s="206"/>
      <c r="IWO34" s="206"/>
      <c r="IWP34" s="206"/>
      <c r="IWQ34" s="206"/>
      <c r="IWR34" s="206"/>
      <c r="IWS34" s="206"/>
      <c r="IWT34" s="206"/>
      <c r="IWU34" s="206"/>
      <c r="IWV34" s="206"/>
      <c r="IWW34" s="206"/>
      <c r="IWX34" s="206"/>
      <c r="IWY34" s="206"/>
      <c r="IWZ34" s="206"/>
      <c r="IXA34" s="206"/>
      <c r="IXB34" s="206"/>
      <c r="IXC34" s="206"/>
      <c r="IXD34" s="206"/>
      <c r="IXE34" s="206"/>
      <c r="IXF34" s="206"/>
      <c r="IXG34" s="206"/>
      <c r="IXH34" s="206"/>
      <c r="IXI34" s="206"/>
      <c r="IXJ34" s="206"/>
      <c r="IXK34" s="206"/>
      <c r="IXL34" s="206"/>
      <c r="IXM34" s="206"/>
      <c r="IXN34" s="206"/>
      <c r="IXO34" s="206"/>
      <c r="IXP34" s="206"/>
      <c r="IXQ34" s="206"/>
      <c r="IXR34" s="206"/>
      <c r="IXS34" s="206"/>
      <c r="IXT34" s="206"/>
      <c r="IXU34" s="206"/>
      <c r="IXV34" s="206"/>
      <c r="IXW34" s="206"/>
      <c r="IXX34" s="206"/>
      <c r="IXY34" s="206"/>
      <c r="IXZ34" s="206"/>
      <c r="IYA34" s="206"/>
      <c r="IYB34" s="206"/>
      <c r="IYC34" s="206"/>
      <c r="IYD34" s="206"/>
      <c r="IYE34" s="206"/>
      <c r="IYF34" s="206"/>
      <c r="IYG34" s="206"/>
      <c r="IYH34" s="206"/>
      <c r="IYI34" s="206"/>
      <c r="IYJ34" s="206"/>
      <c r="IYK34" s="206"/>
      <c r="IYL34" s="206"/>
      <c r="IYM34" s="206"/>
      <c r="IYN34" s="206"/>
      <c r="IYO34" s="206"/>
      <c r="IYP34" s="206"/>
      <c r="IYQ34" s="206"/>
      <c r="IYR34" s="206"/>
      <c r="IYS34" s="206"/>
      <c r="IYT34" s="206"/>
      <c r="IYU34" s="206"/>
      <c r="IYV34" s="206"/>
      <c r="IYW34" s="206"/>
      <c r="IYX34" s="206"/>
      <c r="IYY34" s="206"/>
      <c r="IYZ34" s="206"/>
      <c r="IZA34" s="206"/>
      <c r="IZB34" s="206"/>
      <c r="IZC34" s="206"/>
      <c r="IZD34" s="206"/>
      <c r="IZE34" s="206"/>
      <c r="IZF34" s="206"/>
      <c r="IZG34" s="206"/>
      <c r="IZH34" s="206"/>
      <c r="IZI34" s="206"/>
      <c r="IZJ34" s="206"/>
      <c r="IZK34" s="206"/>
      <c r="IZL34" s="206"/>
      <c r="IZM34" s="206"/>
      <c r="IZN34" s="206"/>
      <c r="IZO34" s="206"/>
      <c r="IZP34" s="206"/>
      <c r="IZQ34" s="206"/>
      <c r="IZR34" s="206"/>
      <c r="IZS34" s="206"/>
      <c r="IZT34" s="206"/>
      <c r="IZU34" s="206"/>
      <c r="IZV34" s="206"/>
      <c r="IZW34" s="206"/>
      <c r="IZX34" s="206"/>
      <c r="IZY34" s="206"/>
      <c r="IZZ34" s="206"/>
      <c r="JAA34" s="206"/>
      <c r="JAB34" s="206"/>
      <c r="JAC34" s="206"/>
      <c r="JAD34" s="206"/>
      <c r="JAE34" s="206"/>
      <c r="JAF34" s="206"/>
      <c r="JAG34" s="206"/>
      <c r="JAH34" s="206"/>
      <c r="JAI34" s="206"/>
      <c r="JAJ34" s="206"/>
      <c r="JAK34" s="206"/>
      <c r="JAL34" s="206"/>
      <c r="JAM34" s="206"/>
      <c r="JAN34" s="206"/>
      <c r="JAO34" s="206"/>
      <c r="JAP34" s="206"/>
      <c r="JAQ34" s="206"/>
      <c r="JAR34" s="206"/>
      <c r="JAS34" s="206"/>
      <c r="JAT34" s="206"/>
      <c r="JAU34" s="206"/>
      <c r="JAV34" s="206"/>
      <c r="JAW34" s="206"/>
      <c r="JAX34" s="206"/>
      <c r="JAY34" s="206"/>
      <c r="JAZ34" s="206"/>
      <c r="JBA34" s="206"/>
      <c r="JBB34" s="206"/>
      <c r="JBC34" s="206"/>
      <c r="JBD34" s="206"/>
      <c r="JBE34" s="206"/>
      <c r="JBF34" s="206"/>
      <c r="JBG34" s="206"/>
      <c r="JBH34" s="206"/>
      <c r="JBI34" s="206"/>
      <c r="JBJ34" s="206"/>
      <c r="JBK34" s="206"/>
      <c r="JBL34" s="206"/>
      <c r="JBM34" s="206"/>
      <c r="JBN34" s="206"/>
      <c r="JBO34" s="206"/>
      <c r="JBP34" s="206"/>
      <c r="JBQ34" s="206"/>
      <c r="JBR34" s="206"/>
      <c r="JBS34" s="206"/>
      <c r="JBT34" s="206"/>
      <c r="JBU34" s="206"/>
      <c r="JBV34" s="206"/>
      <c r="JBW34" s="206"/>
      <c r="JBX34" s="206"/>
      <c r="JBY34" s="206"/>
      <c r="JBZ34" s="206"/>
      <c r="JCA34" s="206"/>
      <c r="JCB34" s="206"/>
      <c r="JCC34" s="206"/>
      <c r="JCD34" s="206"/>
      <c r="JCE34" s="206"/>
      <c r="JCF34" s="206"/>
      <c r="JCG34" s="206"/>
      <c r="JCH34" s="206"/>
      <c r="JCI34" s="206"/>
      <c r="JCJ34" s="206"/>
      <c r="JCK34" s="206"/>
      <c r="JCL34" s="206"/>
      <c r="JCM34" s="206"/>
      <c r="JCN34" s="206"/>
      <c r="JCO34" s="206"/>
      <c r="JCP34" s="206"/>
      <c r="JCQ34" s="206"/>
      <c r="JCR34" s="206"/>
      <c r="JCS34" s="206"/>
      <c r="JCT34" s="206"/>
      <c r="JCU34" s="206"/>
      <c r="JCV34" s="206"/>
      <c r="JCW34" s="206"/>
      <c r="JCX34" s="206"/>
      <c r="JCY34" s="206"/>
      <c r="JCZ34" s="206"/>
      <c r="JDA34" s="206"/>
      <c r="JDB34" s="206"/>
      <c r="JDC34" s="206"/>
      <c r="JDD34" s="206"/>
      <c r="JDE34" s="206"/>
      <c r="JDF34" s="206"/>
      <c r="JDG34" s="206"/>
      <c r="JDH34" s="206"/>
      <c r="JDI34" s="206"/>
      <c r="JDJ34" s="206"/>
      <c r="JDK34" s="206"/>
      <c r="JDL34" s="206"/>
      <c r="JDM34" s="206"/>
      <c r="JDN34" s="206"/>
      <c r="JDO34" s="206"/>
      <c r="JDP34" s="206"/>
      <c r="JDQ34" s="206"/>
      <c r="JDR34" s="206"/>
      <c r="JDS34" s="206"/>
      <c r="JDT34" s="206"/>
      <c r="JDU34" s="206"/>
      <c r="JDV34" s="206"/>
      <c r="JDW34" s="206"/>
      <c r="JDX34" s="206"/>
      <c r="JDY34" s="206"/>
      <c r="JDZ34" s="206"/>
      <c r="JEA34" s="206"/>
      <c r="JEB34" s="206"/>
      <c r="JEC34" s="206"/>
      <c r="JED34" s="206"/>
      <c r="JEE34" s="206"/>
      <c r="JEF34" s="206"/>
      <c r="JEG34" s="206"/>
      <c r="JEH34" s="206"/>
      <c r="JEI34" s="206"/>
      <c r="JEJ34" s="206"/>
      <c r="JEK34" s="206"/>
      <c r="JEL34" s="206"/>
      <c r="JEM34" s="206"/>
      <c r="JEN34" s="206"/>
      <c r="JEO34" s="206"/>
      <c r="JEP34" s="206"/>
      <c r="JEQ34" s="206"/>
      <c r="JER34" s="206"/>
      <c r="JES34" s="206"/>
      <c r="JET34" s="206"/>
      <c r="JEU34" s="206"/>
      <c r="JEV34" s="206"/>
      <c r="JEW34" s="206"/>
      <c r="JEX34" s="206"/>
      <c r="JEY34" s="206"/>
      <c r="JEZ34" s="206"/>
      <c r="JFA34" s="206"/>
      <c r="JFB34" s="206"/>
      <c r="JFC34" s="206"/>
      <c r="JFD34" s="206"/>
      <c r="JFE34" s="206"/>
      <c r="JFF34" s="206"/>
      <c r="JFG34" s="206"/>
      <c r="JFH34" s="206"/>
      <c r="JFI34" s="206"/>
      <c r="JFJ34" s="206"/>
      <c r="JFK34" s="206"/>
      <c r="JFL34" s="206"/>
      <c r="JFM34" s="206"/>
      <c r="JFN34" s="206"/>
      <c r="JFO34" s="206"/>
      <c r="JFP34" s="206"/>
      <c r="JFQ34" s="206"/>
      <c r="JFR34" s="206"/>
      <c r="JFS34" s="206"/>
      <c r="JFT34" s="206"/>
      <c r="JFU34" s="206"/>
      <c r="JFV34" s="206"/>
      <c r="JFW34" s="206"/>
      <c r="JFX34" s="206"/>
      <c r="JFY34" s="206"/>
      <c r="JFZ34" s="206"/>
      <c r="JGA34" s="206"/>
      <c r="JGB34" s="206"/>
      <c r="JGC34" s="206"/>
      <c r="JGD34" s="206"/>
      <c r="JGE34" s="206"/>
      <c r="JGF34" s="206"/>
      <c r="JGG34" s="206"/>
      <c r="JGH34" s="206"/>
      <c r="JGI34" s="206"/>
      <c r="JGJ34" s="206"/>
      <c r="JGK34" s="206"/>
      <c r="JGL34" s="206"/>
      <c r="JGM34" s="206"/>
      <c r="JGN34" s="206"/>
      <c r="JGO34" s="206"/>
      <c r="JGP34" s="206"/>
      <c r="JGQ34" s="206"/>
      <c r="JGR34" s="206"/>
      <c r="JGS34" s="206"/>
      <c r="JGT34" s="206"/>
      <c r="JGU34" s="206"/>
      <c r="JGV34" s="206"/>
      <c r="JGW34" s="206"/>
      <c r="JGX34" s="206"/>
      <c r="JGY34" s="206"/>
      <c r="JGZ34" s="206"/>
      <c r="JHA34" s="206"/>
      <c r="JHB34" s="206"/>
      <c r="JHC34" s="206"/>
      <c r="JHD34" s="206"/>
      <c r="JHE34" s="206"/>
      <c r="JHF34" s="206"/>
      <c r="JHG34" s="206"/>
      <c r="JHH34" s="206"/>
      <c r="JHI34" s="206"/>
      <c r="JHJ34" s="206"/>
      <c r="JHK34" s="206"/>
      <c r="JHL34" s="206"/>
      <c r="JHM34" s="206"/>
      <c r="JHN34" s="206"/>
      <c r="JHO34" s="206"/>
      <c r="JHP34" s="206"/>
      <c r="JHQ34" s="206"/>
      <c r="JHR34" s="206"/>
      <c r="JHS34" s="206"/>
      <c r="JHT34" s="206"/>
      <c r="JHU34" s="206"/>
      <c r="JHV34" s="206"/>
      <c r="JHW34" s="206"/>
      <c r="JHX34" s="206"/>
      <c r="JHY34" s="206"/>
      <c r="JHZ34" s="206"/>
      <c r="JIA34" s="206"/>
      <c r="JIB34" s="206"/>
      <c r="JIC34" s="206"/>
      <c r="JID34" s="206"/>
      <c r="JIE34" s="206"/>
      <c r="JIF34" s="206"/>
      <c r="JIG34" s="206"/>
      <c r="JIH34" s="206"/>
      <c r="JII34" s="206"/>
      <c r="JIJ34" s="206"/>
      <c r="JIK34" s="206"/>
      <c r="JIL34" s="206"/>
      <c r="JIM34" s="206"/>
      <c r="JIN34" s="206"/>
      <c r="JIO34" s="206"/>
      <c r="JIP34" s="206"/>
      <c r="JIQ34" s="206"/>
      <c r="JIR34" s="206"/>
      <c r="JIS34" s="206"/>
      <c r="JIT34" s="206"/>
      <c r="JIU34" s="206"/>
      <c r="JIV34" s="206"/>
      <c r="JIW34" s="206"/>
      <c r="JIX34" s="206"/>
      <c r="JIY34" s="206"/>
      <c r="JIZ34" s="206"/>
      <c r="JJA34" s="206"/>
      <c r="JJB34" s="206"/>
      <c r="JJC34" s="206"/>
      <c r="JJD34" s="206"/>
      <c r="JJE34" s="206"/>
      <c r="JJF34" s="206"/>
      <c r="JJG34" s="206"/>
      <c r="JJH34" s="206"/>
      <c r="JJI34" s="206"/>
      <c r="JJJ34" s="206"/>
      <c r="JJK34" s="206"/>
      <c r="JJL34" s="206"/>
      <c r="JJM34" s="206"/>
      <c r="JJN34" s="206"/>
      <c r="JJO34" s="206"/>
      <c r="JJP34" s="206"/>
      <c r="JJQ34" s="206"/>
      <c r="JJR34" s="206"/>
      <c r="JJS34" s="206"/>
      <c r="JJT34" s="206"/>
      <c r="JJU34" s="206"/>
      <c r="JJV34" s="206"/>
      <c r="JJW34" s="206"/>
      <c r="JJX34" s="206"/>
      <c r="JJY34" s="206"/>
      <c r="JJZ34" s="206"/>
      <c r="JKA34" s="206"/>
      <c r="JKB34" s="206"/>
      <c r="JKC34" s="206"/>
      <c r="JKD34" s="206"/>
      <c r="JKE34" s="206"/>
      <c r="JKF34" s="206"/>
      <c r="JKG34" s="206"/>
      <c r="JKH34" s="206"/>
      <c r="JKI34" s="206"/>
      <c r="JKJ34" s="206"/>
      <c r="JKK34" s="206"/>
      <c r="JKL34" s="206"/>
      <c r="JKM34" s="206"/>
      <c r="JKN34" s="206"/>
      <c r="JKO34" s="206"/>
      <c r="JKP34" s="206"/>
      <c r="JKQ34" s="206"/>
      <c r="JKR34" s="206"/>
      <c r="JKS34" s="206"/>
      <c r="JKT34" s="206"/>
      <c r="JKU34" s="206"/>
      <c r="JKV34" s="206"/>
      <c r="JKW34" s="206"/>
      <c r="JKX34" s="206"/>
      <c r="JKY34" s="206"/>
      <c r="JKZ34" s="206"/>
      <c r="JLA34" s="206"/>
      <c r="JLB34" s="206"/>
      <c r="JLC34" s="206"/>
      <c r="JLD34" s="206"/>
      <c r="JLE34" s="206"/>
      <c r="JLF34" s="206"/>
      <c r="JLG34" s="206"/>
      <c r="JLH34" s="206"/>
      <c r="JLI34" s="206"/>
      <c r="JLJ34" s="206"/>
      <c r="JLK34" s="206"/>
      <c r="JLL34" s="206"/>
      <c r="JLM34" s="206"/>
      <c r="JLN34" s="206"/>
      <c r="JLO34" s="206"/>
      <c r="JLP34" s="206"/>
      <c r="JLQ34" s="206"/>
      <c r="JLR34" s="206"/>
      <c r="JLS34" s="206"/>
      <c r="JLT34" s="206"/>
      <c r="JLU34" s="206"/>
      <c r="JLV34" s="206"/>
      <c r="JLW34" s="206"/>
      <c r="JLX34" s="206"/>
      <c r="JLY34" s="206"/>
      <c r="JLZ34" s="206"/>
      <c r="JMA34" s="206"/>
      <c r="JMB34" s="206"/>
      <c r="JMC34" s="206"/>
      <c r="JMD34" s="206"/>
      <c r="JME34" s="206"/>
      <c r="JMF34" s="206"/>
      <c r="JMG34" s="206"/>
      <c r="JMH34" s="206"/>
      <c r="JMI34" s="206"/>
      <c r="JMJ34" s="206"/>
      <c r="JMK34" s="206"/>
      <c r="JML34" s="206"/>
      <c r="JMM34" s="206"/>
      <c r="JMN34" s="206"/>
      <c r="JMO34" s="206"/>
      <c r="JMP34" s="206"/>
      <c r="JMQ34" s="206"/>
      <c r="JMR34" s="206"/>
      <c r="JMS34" s="206"/>
      <c r="JMT34" s="206"/>
      <c r="JMU34" s="206"/>
      <c r="JMV34" s="206"/>
      <c r="JMW34" s="206"/>
      <c r="JMX34" s="206"/>
      <c r="JMY34" s="206"/>
      <c r="JMZ34" s="206"/>
      <c r="JNA34" s="206"/>
      <c r="JNB34" s="206"/>
      <c r="JNC34" s="206"/>
      <c r="JND34" s="206"/>
      <c r="JNE34" s="206"/>
      <c r="JNF34" s="206"/>
      <c r="JNG34" s="206"/>
      <c r="JNH34" s="206"/>
      <c r="JNI34" s="206"/>
      <c r="JNJ34" s="206"/>
      <c r="JNK34" s="206"/>
      <c r="JNL34" s="206"/>
      <c r="JNM34" s="206"/>
      <c r="JNN34" s="206"/>
      <c r="JNO34" s="206"/>
      <c r="JNP34" s="206"/>
      <c r="JNQ34" s="206"/>
      <c r="JNR34" s="206"/>
      <c r="JNS34" s="206"/>
      <c r="JNT34" s="206"/>
      <c r="JNU34" s="206"/>
      <c r="JNV34" s="206"/>
      <c r="JNW34" s="206"/>
      <c r="JNX34" s="206"/>
      <c r="JNY34" s="206"/>
      <c r="JNZ34" s="206"/>
      <c r="JOA34" s="206"/>
      <c r="JOB34" s="206"/>
      <c r="JOC34" s="206"/>
      <c r="JOD34" s="206"/>
      <c r="JOE34" s="206"/>
      <c r="JOF34" s="206"/>
      <c r="JOG34" s="206"/>
      <c r="JOH34" s="206"/>
      <c r="JOI34" s="206"/>
      <c r="JOJ34" s="206"/>
      <c r="JOK34" s="206"/>
      <c r="JOL34" s="206"/>
      <c r="JOM34" s="206"/>
      <c r="JON34" s="206"/>
      <c r="JOO34" s="206"/>
      <c r="JOP34" s="206"/>
      <c r="JOQ34" s="206"/>
      <c r="JOR34" s="206"/>
      <c r="JOS34" s="206"/>
      <c r="JOT34" s="206"/>
      <c r="JOU34" s="206"/>
      <c r="JOV34" s="206"/>
      <c r="JOW34" s="206"/>
      <c r="JOX34" s="206"/>
      <c r="JOY34" s="206"/>
      <c r="JOZ34" s="206"/>
      <c r="JPA34" s="206"/>
      <c r="JPB34" s="206"/>
      <c r="JPC34" s="206"/>
      <c r="JPD34" s="206"/>
      <c r="JPE34" s="206"/>
      <c r="JPF34" s="206"/>
      <c r="JPG34" s="206"/>
      <c r="JPH34" s="206"/>
      <c r="JPI34" s="206"/>
      <c r="JPJ34" s="206"/>
      <c r="JPK34" s="206"/>
      <c r="JPL34" s="206"/>
      <c r="JPM34" s="206"/>
      <c r="JPN34" s="206"/>
      <c r="JPO34" s="206"/>
      <c r="JPP34" s="206"/>
      <c r="JPQ34" s="206"/>
      <c r="JPR34" s="206"/>
      <c r="JPS34" s="206"/>
      <c r="JPT34" s="206"/>
      <c r="JPU34" s="206"/>
      <c r="JPV34" s="206"/>
      <c r="JPW34" s="206"/>
      <c r="JPX34" s="206"/>
      <c r="JPY34" s="206"/>
      <c r="JPZ34" s="206"/>
      <c r="JQA34" s="206"/>
      <c r="JQB34" s="206"/>
      <c r="JQC34" s="206"/>
      <c r="JQD34" s="206"/>
      <c r="JQE34" s="206"/>
      <c r="JQF34" s="206"/>
      <c r="JQG34" s="206"/>
      <c r="JQH34" s="206"/>
      <c r="JQI34" s="206"/>
      <c r="JQJ34" s="206"/>
      <c r="JQK34" s="206"/>
      <c r="JQL34" s="206"/>
      <c r="JQM34" s="206"/>
      <c r="JQN34" s="206"/>
      <c r="JQO34" s="206"/>
      <c r="JQP34" s="206"/>
      <c r="JQQ34" s="206"/>
      <c r="JQR34" s="206"/>
      <c r="JQS34" s="206"/>
      <c r="JQT34" s="206"/>
      <c r="JQU34" s="206"/>
      <c r="JQV34" s="206"/>
      <c r="JQW34" s="206"/>
      <c r="JQX34" s="206"/>
      <c r="JQY34" s="206"/>
      <c r="JQZ34" s="206"/>
      <c r="JRA34" s="206"/>
      <c r="JRB34" s="206"/>
      <c r="JRC34" s="206"/>
      <c r="JRD34" s="206"/>
      <c r="JRE34" s="206"/>
      <c r="JRF34" s="206"/>
      <c r="JRG34" s="206"/>
      <c r="JRH34" s="206"/>
      <c r="JRI34" s="206"/>
      <c r="JRJ34" s="206"/>
      <c r="JRK34" s="206"/>
      <c r="JRL34" s="206"/>
      <c r="JRM34" s="206"/>
      <c r="JRN34" s="206"/>
      <c r="JRO34" s="206"/>
      <c r="JRP34" s="206"/>
      <c r="JRQ34" s="206"/>
      <c r="JRR34" s="206"/>
      <c r="JRS34" s="206"/>
      <c r="JRT34" s="206"/>
      <c r="JRU34" s="206"/>
      <c r="JRV34" s="206"/>
      <c r="JRW34" s="206"/>
      <c r="JRX34" s="206"/>
      <c r="JRY34" s="206"/>
      <c r="JRZ34" s="206"/>
      <c r="JSA34" s="206"/>
      <c r="JSB34" s="206"/>
      <c r="JSC34" s="206"/>
      <c r="JSD34" s="206"/>
      <c r="JSE34" s="206"/>
      <c r="JSF34" s="206"/>
      <c r="JSG34" s="206"/>
      <c r="JSH34" s="206"/>
      <c r="JSI34" s="206"/>
      <c r="JSJ34" s="206"/>
      <c r="JSK34" s="206"/>
      <c r="JSL34" s="206"/>
      <c r="JSM34" s="206"/>
      <c r="JSN34" s="206"/>
      <c r="JSO34" s="206"/>
      <c r="JSP34" s="206"/>
      <c r="JSQ34" s="206"/>
      <c r="JSR34" s="206"/>
      <c r="JSS34" s="206"/>
      <c r="JST34" s="206"/>
      <c r="JSU34" s="206"/>
      <c r="JSV34" s="206"/>
      <c r="JSW34" s="206"/>
      <c r="JSX34" s="206"/>
      <c r="JSY34" s="206"/>
      <c r="JSZ34" s="206"/>
      <c r="JTA34" s="206"/>
      <c r="JTB34" s="206"/>
      <c r="JTC34" s="206"/>
      <c r="JTD34" s="206"/>
      <c r="JTE34" s="206"/>
      <c r="JTF34" s="206"/>
      <c r="JTG34" s="206"/>
      <c r="JTH34" s="206"/>
      <c r="JTI34" s="206"/>
      <c r="JTJ34" s="206"/>
      <c r="JTK34" s="206"/>
      <c r="JTL34" s="206"/>
      <c r="JTM34" s="206"/>
      <c r="JTN34" s="206"/>
      <c r="JTO34" s="206"/>
      <c r="JTP34" s="206"/>
      <c r="JTQ34" s="206"/>
      <c r="JTR34" s="206"/>
      <c r="JTS34" s="206"/>
      <c r="JTT34" s="206"/>
      <c r="JTU34" s="206"/>
      <c r="JTV34" s="206"/>
      <c r="JTW34" s="206"/>
      <c r="JTX34" s="206"/>
      <c r="JTY34" s="206"/>
      <c r="JTZ34" s="206"/>
      <c r="JUA34" s="206"/>
      <c r="JUB34" s="206"/>
      <c r="JUC34" s="206"/>
      <c r="JUD34" s="206"/>
      <c r="JUE34" s="206"/>
      <c r="JUF34" s="206"/>
      <c r="JUG34" s="206"/>
      <c r="JUH34" s="206"/>
      <c r="JUI34" s="206"/>
      <c r="JUJ34" s="206"/>
      <c r="JUK34" s="206"/>
      <c r="JUL34" s="206"/>
      <c r="JUM34" s="206"/>
      <c r="JUN34" s="206"/>
      <c r="JUO34" s="206"/>
      <c r="JUP34" s="206"/>
      <c r="JUQ34" s="206"/>
      <c r="JUR34" s="206"/>
      <c r="JUS34" s="206"/>
      <c r="JUT34" s="206"/>
      <c r="JUU34" s="206"/>
      <c r="JUV34" s="206"/>
      <c r="JUW34" s="206"/>
      <c r="JUX34" s="206"/>
      <c r="JUY34" s="206"/>
      <c r="JUZ34" s="206"/>
      <c r="JVA34" s="206"/>
      <c r="JVB34" s="206"/>
      <c r="JVC34" s="206"/>
      <c r="JVD34" s="206"/>
      <c r="JVE34" s="206"/>
      <c r="JVF34" s="206"/>
      <c r="JVG34" s="206"/>
      <c r="JVH34" s="206"/>
      <c r="JVI34" s="206"/>
      <c r="JVJ34" s="206"/>
      <c r="JVK34" s="206"/>
      <c r="JVL34" s="206"/>
      <c r="JVM34" s="206"/>
      <c r="JVN34" s="206"/>
      <c r="JVO34" s="206"/>
      <c r="JVP34" s="206"/>
      <c r="JVQ34" s="206"/>
      <c r="JVR34" s="206"/>
      <c r="JVS34" s="206"/>
      <c r="JVT34" s="206"/>
      <c r="JVU34" s="206"/>
      <c r="JVV34" s="206"/>
      <c r="JVW34" s="206"/>
      <c r="JVX34" s="206"/>
      <c r="JVY34" s="206"/>
      <c r="JVZ34" s="206"/>
      <c r="JWA34" s="206"/>
      <c r="JWB34" s="206"/>
      <c r="JWC34" s="206"/>
      <c r="JWD34" s="206"/>
      <c r="JWE34" s="206"/>
      <c r="JWF34" s="206"/>
      <c r="JWG34" s="206"/>
      <c r="JWH34" s="206"/>
      <c r="JWI34" s="206"/>
      <c r="JWJ34" s="206"/>
      <c r="JWK34" s="206"/>
      <c r="JWL34" s="206"/>
      <c r="JWM34" s="206"/>
      <c r="JWN34" s="206"/>
      <c r="JWO34" s="206"/>
      <c r="JWP34" s="206"/>
      <c r="JWQ34" s="206"/>
      <c r="JWR34" s="206"/>
      <c r="JWS34" s="206"/>
      <c r="JWT34" s="206"/>
      <c r="JWU34" s="206"/>
      <c r="JWV34" s="206"/>
      <c r="JWW34" s="206"/>
      <c r="JWX34" s="206"/>
      <c r="JWY34" s="206"/>
      <c r="JWZ34" s="206"/>
      <c r="JXA34" s="206"/>
      <c r="JXB34" s="206"/>
      <c r="JXC34" s="206"/>
      <c r="JXD34" s="206"/>
      <c r="JXE34" s="206"/>
      <c r="JXF34" s="206"/>
      <c r="JXG34" s="206"/>
      <c r="JXH34" s="206"/>
      <c r="JXI34" s="206"/>
      <c r="JXJ34" s="206"/>
      <c r="JXK34" s="206"/>
      <c r="JXL34" s="206"/>
      <c r="JXM34" s="206"/>
      <c r="JXN34" s="206"/>
      <c r="JXO34" s="206"/>
      <c r="JXP34" s="206"/>
      <c r="JXQ34" s="206"/>
      <c r="JXR34" s="206"/>
      <c r="JXS34" s="206"/>
      <c r="JXT34" s="206"/>
      <c r="JXU34" s="206"/>
      <c r="JXV34" s="206"/>
      <c r="JXW34" s="206"/>
      <c r="JXX34" s="206"/>
      <c r="JXY34" s="206"/>
      <c r="JXZ34" s="206"/>
      <c r="JYA34" s="206"/>
      <c r="JYB34" s="206"/>
      <c r="JYC34" s="206"/>
      <c r="JYD34" s="206"/>
      <c r="JYE34" s="206"/>
      <c r="JYF34" s="206"/>
      <c r="JYG34" s="206"/>
      <c r="JYH34" s="206"/>
      <c r="JYI34" s="206"/>
      <c r="JYJ34" s="206"/>
      <c r="JYK34" s="206"/>
      <c r="JYL34" s="206"/>
      <c r="JYM34" s="206"/>
      <c r="JYN34" s="206"/>
      <c r="JYO34" s="206"/>
      <c r="JYP34" s="206"/>
      <c r="JYQ34" s="206"/>
      <c r="JYR34" s="206"/>
      <c r="JYS34" s="206"/>
      <c r="JYT34" s="206"/>
      <c r="JYU34" s="206"/>
      <c r="JYV34" s="206"/>
      <c r="JYW34" s="206"/>
      <c r="JYX34" s="206"/>
      <c r="JYY34" s="206"/>
      <c r="JYZ34" s="206"/>
      <c r="JZA34" s="206"/>
      <c r="JZB34" s="206"/>
      <c r="JZC34" s="206"/>
      <c r="JZD34" s="206"/>
      <c r="JZE34" s="206"/>
      <c r="JZF34" s="206"/>
      <c r="JZG34" s="206"/>
      <c r="JZH34" s="206"/>
      <c r="JZI34" s="206"/>
      <c r="JZJ34" s="206"/>
      <c r="JZK34" s="206"/>
      <c r="JZL34" s="206"/>
      <c r="JZM34" s="206"/>
      <c r="JZN34" s="206"/>
      <c r="JZO34" s="206"/>
      <c r="JZP34" s="206"/>
      <c r="JZQ34" s="206"/>
      <c r="JZR34" s="206"/>
      <c r="JZS34" s="206"/>
      <c r="JZT34" s="206"/>
      <c r="JZU34" s="206"/>
      <c r="JZV34" s="206"/>
      <c r="JZW34" s="206"/>
      <c r="JZX34" s="206"/>
      <c r="JZY34" s="206"/>
      <c r="JZZ34" s="206"/>
      <c r="KAA34" s="206"/>
      <c r="KAB34" s="206"/>
      <c r="KAC34" s="206"/>
      <c r="KAD34" s="206"/>
      <c r="KAE34" s="206"/>
      <c r="KAF34" s="206"/>
      <c r="KAG34" s="206"/>
      <c r="KAH34" s="206"/>
      <c r="KAI34" s="206"/>
      <c r="KAJ34" s="206"/>
      <c r="KAK34" s="206"/>
      <c r="KAL34" s="206"/>
      <c r="KAM34" s="206"/>
      <c r="KAN34" s="206"/>
      <c r="KAO34" s="206"/>
      <c r="KAP34" s="206"/>
      <c r="KAQ34" s="206"/>
      <c r="KAR34" s="206"/>
      <c r="KAS34" s="206"/>
      <c r="KAT34" s="206"/>
      <c r="KAU34" s="206"/>
      <c r="KAV34" s="206"/>
      <c r="KAW34" s="206"/>
      <c r="KAX34" s="206"/>
      <c r="KAY34" s="206"/>
      <c r="KAZ34" s="206"/>
      <c r="KBA34" s="206"/>
      <c r="KBB34" s="206"/>
      <c r="KBC34" s="206"/>
      <c r="KBD34" s="206"/>
      <c r="KBE34" s="206"/>
      <c r="KBF34" s="206"/>
      <c r="KBG34" s="206"/>
      <c r="KBH34" s="206"/>
      <c r="KBI34" s="206"/>
      <c r="KBJ34" s="206"/>
      <c r="KBK34" s="206"/>
      <c r="KBL34" s="206"/>
      <c r="KBM34" s="206"/>
      <c r="KBN34" s="206"/>
      <c r="KBO34" s="206"/>
      <c r="KBP34" s="206"/>
      <c r="KBQ34" s="206"/>
      <c r="KBR34" s="206"/>
      <c r="KBS34" s="206"/>
      <c r="KBT34" s="206"/>
      <c r="KBU34" s="206"/>
      <c r="KBV34" s="206"/>
      <c r="KBW34" s="206"/>
      <c r="KBX34" s="206"/>
      <c r="KBY34" s="206"/>
      <c r="KBZ34" s="206"/>
      <c r="KCA34" s="206"/>
      <c r="KCB34" s="206"/>
      <c r="KCC34" s="206"/>
      <c r="KCD34" s="206"/>
      <c r="KCE34" s="206"/>
      <c r="KCF34" s="206"/>
      <c r="KCG34" s="206"/>
      <c r="KCH34" s="206"/>
      <c r="KCI34" s="206"/>
      <c r="KCJ34" s="206"/>
      <c r="KCK34" s="206"/>
      <c r="KCL34" s="206"/>
      <c r="KCM34" s="206"/>
      <c r="KCN34" s="206"/>
      <c r="KCO34" s="206"/>
      <c r="KCP34" s="206"/>
      <c r="KCQ34" s="206"/>
      <c r="KCR34" s="206"/>
      <c r="KCS34" s="206"/>
      <c r="KCT34" s="206"/>
      <c r="KCU34" s="206"/>
      <c r="KCV34" s="206"/>
      <c r="KCW34" s="206"/>
      <c r="KCX34" s="206"/>
      <c r="KCY34" s="206"/>
      <c r="KCZ34" s="206"/>
      <c r="KDA34" s="206"/>
      <c r="KDB34" s="206"/>
      <c r="KDC34" s="206"/>
      <c r="KDD34" s="206"/>
      <c r="KDE34" s="206"/>
      <c r="KDF34" s="206"/>
      <c r="KDG34" s="206"/>
      <c r="KDH34" s="206"/>
      <c r="KDI34" s="206"/>
      <c r="KDJ34" s="206"/>
      <c r="KDK34" s="206"/>
      <c r="KDL34" s="206"/>
      <c r="KDM34" s="206"/>
      <c r="KDN34" s="206"/>
      <c r="KDO34" s="206"/>
      <c r="KDP34" s="206"/>
      <c r="KDQ34" s="206"/>
      <c r="KDR34" s="206"/>
      <c r="KDS34" s="206"/>
      <c r="KDT34" s="206"/>
      <c r="KDU34" s="206"/>
      <c r="KDV34" s="206"/>
      <c r="KDW34" s="206"/>
      <c r="KDX34" s="206"/>
      <c r="KDY34" s="206"/>
      <c r="KDZ34" s="206"/>
      <c r="KEA34" s="206"/>
      <c r="KEB34" s="206"/>
      <c r="KEC34" s="206"/>
      <c r="KED34" s="206"/>
      <c r="KEE34" s="206"/>
      <c r="KEF34" s="206"/>
      <c r="KEG34" s="206"/>
      <c r="KEH34" s="206"/>
      <c r="KEI34" s="206"/>
      <c r="KEJ34" s="206"/>
      <c r="KEK34" s="206"/>
      <c r="KEL34" s="206"/>
      <c r="KEM34" s="206"/>
      <c r="KEN34" s="206"/>
      <c r="KEO34" s="206"/>
      <c r="KEP34" s="206"/>
      <c r="KEQ34" s="206"/>
      <c r="KER34" s="206"/>
      <c r="KES34" s="206"/>
      <c r="KET34" s="206"/>
      <c r="KEU34" s="206"/>
      <c r="KEV34" s="206"/>
      <c r="KEW34" s="206"/>
      <c r="KEX34" s="206"/>
      <c r="KEY34" s="206"/>
      <c r="KEZ34" s="206"/>
      <c r="KFA34" s="206"/>
      <c r="KFB34" s="206"/>
      <c r="KFC34" s="206"/>
      <c r="KFD34" s="206"/>
      <c r="KFE34" s="206"/>
      <c r="KFF34" s="206"/>
      <c r="KFG34" s="206"/>
      <c r="KFH34" s="206"/>
      <c r="KFI34" s="206"/>
      <c r="KFJ34" s="206"/>
      <c r="KFK34" s="206"/>
      <c r="KFL34" s="206"/>
      <c r="KFM34" s="206"/>
      <c r="KFN34" s="206"/>
      <c r="KFO34" s="206"/>
      <c r="KFP34" s="206"/>
      <c r="KFQ34" s="206"/>
      <c r="KFR34" s="206"/>
      <c r="KFS34" s="206"/>
      <c r="KFT34" s="206"/>
      <c r="KFU34" s="206"/>
      <c r="KFV34" s="206"/>
      <c r="KFW34" s="206"/>
      <c r="KFX34" s="206"/>
      <c r="KFY34" s="206"/>
      <c r="KFZ34" s="206"/>
      <c r="KGA34" s="206"/>
      <c r="KGB34" s="206"/>
      <c r="KGC34" s="206"/>
      <c r="KGD34" s="206"/>
      <c r="KGE34" s="206"/>
      <c r="KGF34" s="206"/>
      <c r="KGG34" s="206"/>
      <c r="KGH34" s="206"/>
      <c r="KGI34" s="206"/>
      <c r="KGJ34" s="206"/>
      <c r="KGK34" s="206"/>
      <c r="KGL34" s="206"/>
      <c r="KGM34" s="206"/>
      <c r="KGN34" s="206"/>
      <c r="KGO34" s="206"/>
      <c r="KGP34" s="206"/>
      <c r="KGQ34" s="206"/>
      <c r="KGR34" s="206"/>
      <c r="KGS34" s="206"/>
      <c r="KGT34" s="206"/>
      <c r="KGU34" s="206"/>
      <c r="KGV34" s="206"/>
      <c r="KGW34" s="206"/>
      <c r="KGX34" s="206"/>
      <c r="KGY34" s="206"/>
      <c r="KGZ34" s="206"/>
      <c r="KHA34" s="206"/>
      <c r="KHB34" s="206"/>
      <c r="KHC34" s="206"/>
      <c r="KHD34" s="206"/>
      <c r="KHE34" s="206"/>
      <c r="KHF34" s="206"/>
      <c r="KHG34" s="206"/>
      <c r="KHH34" s="206"/>
      <c r="KHI34" s="206"/>
      <c r="KHJ34" s="206"/>
      <c r="KHK34" s="206"/>
      <c r="KHL34" s="206"/>
      <c r="KHM34" s="206"/>
      <c r="KHN34" s="206"/>
      <c r="KHO34" s="206"/>
      <c r="KHP34" s="206"/>
      <c r="KHQ34" s="206"/>
      <c r="KHR34" s="206"/>
      <c r="KHS34" s="206"/>
      <c r="KHT34" s="206"/>
      <c r="KHU34" s="206"/>
      <c r="KHV34" s="206"/>
      <c r="KHW34" s="206"/>
      <c r="KHX34" s="206"/>
      <c r="KHY34" s="206"/>
      <c r="KHZ34" s="206"/>
      <c r="KIA34" s="206"/>
      <c r="KIB34" s="206"/>
      <c r="KIC34" s="206"/>
      <c r="KID34" s="206"/>
      <c r="KIE34" s="206"/>
      <c r="KIF34" s="206"/>
      <c r="KIG34" s="206"/>
      <c r="KIH34" s="206"/>
      <c r="KII34" s="206"/>
      <c r="KIJ34" s="206"/>
      <c r="KIK34" s="206"/>
      <c r="KIL34" s="206"/>
      <c r="KIM34" s="206"/>
      <c r="KIN34" s="206"/>
      <c r="KIO34" s="206"/>
      <c r="KIP34" s="206"/>
      <c r="KIQ34" s="206"/>
      <c r="KIR34" s="206"/>
      <c r="KIS34" s="206"/>
      <c r="KIT34" s="206"/>
      <c r="KIU34" s="206"/>
      <c r="KIV34" s="206"/>
      <c r="KIW34" s="206"/>
      <c r="KIX34" s="206"/>
      <c r="KIY34" s="206"/>
      <c r="KIZ34" s="206"/>
      <c r="KJA34" s="206"/>
      <c r="KJB34" s="206"/>
      <c r="KJC34" s="206"/>
      <c r="KJD34" s="206"/>
      <c r="KJE34" s="206"/>
      <c r="KJF34" s="206"/>
      <c r="KJG34" s="206"/>
      <c r="KJH34" s="206"/>
      <c r="KJI34" s="206"/>
      <c r="KJJ34" s="206"/>
      <c r="KJK34" s="206"/>
      <c r="KJL34" s="206"/>
      <c r="KJM34" s="206"/>
      <c r="KJN34" s="206"/>
      <c r="KJO34" s="206"/>
      <c r="KJP34" s="206"/>
      <c r="KJQ34" s="206"/>
      <c r="KJR34" s="206"/>
      <c r="KJS34" s="206"/>
      <c r="KJT34" s="206"/>
      <c r="KJU34" s="206"/>
      <c r="KJV34" s="206"/>
      <c r="KJW34" s="206"/>
      <c r="KJX34" s="206"/>
      <c r="KJY34" s="206"/>
      <c r="KJZ34" s="206"/>
      <c r="KKA34" s="206"/>
      <c r="KKB34" s="206"/>
      <c r="KKC34" s="206"/>
      <c r="KKD34" s="206"/>
      <c r="KKE34" s="206"/>
      <c r="KKF34" s="206"/>
      <c r="KKG34" s="206"/>
      <c r="KKH34" s="206"/>
      <c r="KKI34" s="206"/>
      <c r="KKJ34" s="206"/>
      <c r="KKK34" s="206"/>
      <c r="KKL34" s="206"/>
      <c r="KKM34" s="206"/>
      <c r="KKN34" s="206"/>
      <c r="KKO34" s="206"/>
      <c r="KKP34" s="206"/>
      <c r="KKQ34" s="206"/>
      <c r="KKR34" s="206"/>
      <c r="KKS34" s="206"/>
      <c r="KKT34" s="206"/>
      <c r="KKU34" s="206"/>
      <c r="KKV34" s="206"/>
      <c r="KKW34" s="206"/>
      <c r="KKX34" s="206"/>
      <c r="KKY34" s="206"/>
      <c r="KKZ34" s="206"/>
      <c r="KLA34" s="206"/>
      <c r="KLB34" s="206"/>
      <c r="KLC34" s="206"/>
      <c r="KLD34" s="206"/>
      <c r="KLE34" s="206"/>
      <c r="KLF34" s="206"/>
      <c r="KLG34" s="206"/>
      <c r="KLH34" s="206"/>
      <c r="KLI34" s="206"/>
      <c r="KLJ34" s="206"/>
      <c r="KLK34" s="206"/>
      <c r="KLL34" s="206"/>
      <c r="KLM34" s="206"/>
      <c r="KLN34" s="206"/>
      <c r="KLO34" s="206"/>
      <c r="KLP34" s="206"/>
      <c r="KLQ34" s="206"/>
      <c r="KLR34" s="206"/>
      <c r="KLS34" s="206"/>
      <c r="KLT34" s="206"/>
      <c r="KLU34" s="206"/>
      <c r="KLV34" s="206"/>
      <c r="KLW34" s="206"/>
      <c r="KLX34" s="206"/>
      <c r="KLY34" s="206"/>
      <c r="KLZ34" s="206"/>
      <c r="KMA34" s="206"/>
      <c r="KMB34" s="206"/>
      <c r="KMC34" s="206"/>
      <c r="KMD34" s="206"/>
      <c r="KME34" s="206"/>
      <c r="KMF34" s="206"/>
      <c r="KMG34" s="206"/>
      <c r="KMH34" s="206"/>
      <c r="KMI34" s="206"/>
      <c r="KMJ34" s="206"/>
      <c r="KMK34" s="206"/>
      <c r="KML34" s="206"/>
      <c r="KMM34" s="206"/>
      <c r="KMN34" s="206"/>
      <c r="KMO34" s="206"/>
      <c r="KMP34" s="206"/>
      <c r="KMQ34" s="206"/>
      <c r="KMR34" s="206"/>
      <c r="KMS34" s="206"/>
      <c r="KMT34" s="206"/>
      <c r="KMU34" s="206"/>
      <c r="KMV34" s="206"/>
      <c r="KMW34" s="206"/>
      <c r="KMX34" s="206"/>
      <c r="KMY34" s="206"/>
      <c r="KMZ34" s="206"/>
      <c r="KNA34" s="206"/>
      <c r="KNB34" s="206"/>
      <c r="KNC34" s="206"/>
      <c r="KND34" s="206"/>
      <c r="KNE34" s="206"/>
      <c r="KNF34" s="206"/>
      <c r="KNG34" s="206"/>
      <c r="KNH34" s="206"/>
      <c r="KNI34" s="206"/>
      <c r="KNJ34" s="206"/>
      <c r="KNK34" s="206"/>
      <c r="KNL34" s="206"/>
      <c r="KNM34" s="206"/>
      <c r="KNN34" s="206"/>
      <c r="KNO34" s="206"/>
      <c r="KNP34" s="206"/>
      <c r="KNQ34" s="206"/>
      <c r="KNR34" s="206"/>
      <c r="KNS34" s="206"/>
      <c r="KNT34" s="206"/>
      <c r="KNU34" s="206"/>
      <c r="KNV34" s="206"/>
      <c r="KNW34" s="206"/>
      <c r="KNX34" s="206"/>
      <c r="KNY34" s="206"/>
      <c r="KNZ34" s="206"/>
      <c r="KOA34" s="206"/>
      <c r="KOB34" s="206"/>
      <c r="KOC34" s="206"/>
      <c r="KOD34" s="206"/>
      <c r="KOE34" s="206"/>
      <c r="KOF34" s="206"/>
      <c r="KOG34" s="206"/>
      <c r="KOH34" s="206"/>
      <c r="KOI34" s="206"/>
      <c r="KOJ34" s="206"/>
      <c r="KOK34" s="206"/>
      <c r="KOL34" s="206"/>
      <c r="KOM34" s="206"/>
      <c r="KON34" s="206"/>
      <c r="KOO34" s="206"/>
      <c r="KOP34" s="206"/>
      <c r="KOQ34" s="206"/>
      <c r="KOR34" s="206"/>
      <c r="KOS34" s="206"/>
      <c r="KOT34" s="206"/>
      <c r="KOU34" s="206"/>
      <c r="KOV34" s="206"/>
      <c r="KOW34" s="206"/>
      <c r="KOX34" s="206"/>
      <c r="KOY34" s="206"/>
      <c r="KOZ34" s="206"/>
      <c r="KPA34" s="206"/>
      <c r="KPB34" s="206"/>
      <c r="KPC34" s="206"/>
      <c r="KPD34" s="206"/>
      <c r="KPE34" s="206"/>
      <c r="KPF34" s="206"/>
      <c r="KPG34" s="206"/>
      <c r="KPH34" s="206"/>
      <c r="KPI34" s="206"/>
      <c r="KPJ34" s="206"/>
      <c r="KPK34" s="206"/>
      <c r="KPL34" s="206"/>
      <c r="KPM34" s="206"/>
      <c r="KPN34" s="206"/>
      <c r="KPO34" s="206"/>
      <c r="KPP34" s="206"/>
      <c r="KPQ34" s="206"/>
      <c r="KPR34" s="206"/>
      <c r="KPS34" s="206"/>
      <c r="KPT34" s="206"/>
      <c r="KPU34" s="206"/>
      <c r="KPV34" s="206"/>
      <c r="KPW34" s="206"/>
      <c r="KPX34" s="206"/>
      <c r="KPY34" s="206"/>
      <c r="KPZ34" s="206"/>
      <c r="KQA34" s="206"/>
      <c r="KQB34" s="206"/>
      <c r="KQC34" s="206"/>
      <c r="KQD34" s="206"/>
      <c r="KQE34" s="206"/>
      <c r="KQF34" s="206"/>
      <c r="KQG34" s="206"/>
      <c r="KQH34" s="206"/>
      <c r="KQI34" s="206"/>
      <c r="KQJ34" s="206"/>
      <c r="KQK34" s="206"/>
      <c r="KQL34" s="206"/>
      <c r="KQM34" s="206"/>
      <c r="KQN34" s="206"/>
      <c r="KQO34" s="206"/>
      <c r="KQP34" s="206"/>
      <c r="KQQ34" s="206"/>
      <c r="KQR34" s="206"/>
      <c r="KQS34" s="206"/>
      <c r="KQT34" s="206"/>
      <c r="KQU34" s="206"/>
      <c r="KQV34" s="206"/>
      <c r="KQW34" s="206"/>
      <c r="KQX34" s="206"/>
      <c r="KQY34" s="206"/>
      <c r="KQZ34" s="206"/>
      <c r="KRA34" s="206"/>
      <c r="KRB34" s="206"/>
      <c r="KRC34" s="206"/>
      <c r="KRD34" s="206"/>
      <c r="KRE34" s="206"/>
      <c r="KRF34" s="206"/>
      <c r="KRG34" s="206"/>
      <c r="KRH34" s="206"/>
      <c r="KRI34" s="206"/>
      <c r="KRJ34" s="206"/>
      <c r="KRK34" s="206"/>
      <c r="KRL34" s="206"/>
      <c r="KRM34" s="206"/>
      <c r="KRN34" s="206"/>
      <c r="KRO34" s="206"/>
      <c r="KRP34" s="206"/>
      <c r="KRQ34" s="206"/>
      <c r="KRR34" s="206"/>
      <c r="KRS34" s="206"/>
      <c r="KRT34" s="206"/>
      <c r="KRU34" s="206"/>
      <c r="KRV34" s="206"/>
      <c r="KRW34" s="206"/>
      <c r="KRX34" s="206"/>
      <c r="KRY34" s="206"/>
      <c r="KRZ34" s="206"/>
      <c r="KSA34" s="206"/>
      <c r="KSB34" s="206"/>
      <c r="KSC34" s="206"/>
      <c r="KSD34" s="206"/>
      <c r="KSE34" s="206"/>
      <c r="KSF34" s="206"/>
      <c r="KSG34" s="206"/>
      <c r="KSH34" s="206"/>
      <c r="KSI34" s="206"/>
      <c r="KSJ34" s="206"/>
      <c r="KSK34" s="206"/>
      <c r="KSL34" s="206"/>
      <c r="KSM34" s="206"/>
      <c r="KSN34" s="206"/>
      <c r="KSO34" s="206"/>
      <c r="KSP34" s="206"/>
      <c r="KSQ34" s="206"/>
      <c r="KSR34" s="206"/>
      <c r="KSS34" s="206"/>
      <c r="KST34" s="206"/>
      <c r="KSU34" s="206"/>
      <c r="KSV34" s="206"/>
      <c r="KSW34" s="206"/>
      <c r="KSX34" s="206"/>
      <c r="KSY34" s="206"/>
      <c r="KSZ34" s="206"/>
      <c r="KTA34" s="206"/>
      <c r="KTB34" s="206"/>
      <c r="KTC34" s="206"/>
      <c r="KTD34" s="206"/>
      <c r="KTE34" s="206"/>
      <c r="KTF34" s="206"/>
      <c r="KTG34" s="206"/>
      <c r="KTH34" s="206"/>
      <c r="KTI34" s="206"/>
      <c r="KTJ34" s="206"/>
      <c r="KTK34" s="206"/>
      <c r="KTL34" s="206"/>
      <c r="KTM34" s="206"/>
      <c r="KTN34" s="206"/>
      <c r="KTO34" s="206"/>
      <c r="KTP34" s="206"/>
      <c r="KTQ34" s="206"/>
      <c r="KTR34" s="206"/>
      <c r="KTS34" s="206"/>
      <c r="KTT34" s="206"/>
      <c r="KTU34" s="206"/>
      <c r="KTV34" s="206"/>
      <c r="KTW34" s="206"/>
      <c r="KTX34" s="206"/>
      <c r="KTY34" s="206"/>
      <c r="KTZ34" s="206"/>
      <c r="KUA34" s="206"/>
      <c r="KUB34" s="206"/>
      <c r="KUC34" s="206"/>
      <c r="KUD34" s="206"/>
      <c r="KUE34" s="206"/>
      <c r="KUF34" s="206"/>
      <c r="KUG34" s="206"/>
      <c r="KUH34" s="206"/>
      <c r="KUI34" s="206"/>
      <c r="KUJ34" s="206"/>
      <c r="KUK34" s="206"/>
      <c r="KUL34" s="206"/>
      <c r="KUM34" s="206"/>
      <c r="KUN34" s="206"/>
      <c r="KUO34" s="206"/>
      <c r="KUP34" s="206"/>
      <c r="KUQ34" s="206"/>
      <c r="KUR34" s="206"/>
      <c r="KUS34" s="206"/>
      <c r="KUT34" s="206"/>
      <c r="KUU34" s="206"/>
      <c r="KUV34" s="206"/>
      <c r="KUW34" s="206"/>
      <c r="KUX34" s="206"/>
      <c r="KUY34" s="206"/>
      <c r="KUZ34" s="206"/>
      <c r="KVA34" s="206"/>
      <c r="KVB34" s="206"/>
      <c r="KVC34" s="206"/>
      <c r="KVD34" s="206"/>
      <c r="KVE34" s="206"/>
      <c r="KVF34" s="206"/>
      <c r="KVG34" s="206"/>
      <c r="KVH34" s="206"/>
      <c r="KVI34" s="206"/>
      <c r="KVJ34" s="206"/>
      <c r="KVK34" s="206"/>
      <c r="KVL34" s="206"/>
      <c r="KVM34" s="206"/>
      <c r="KVN34" s="206"/>
      <c r="KVO34" s="206"/>
      <c r="KVP34" s="206"/>
      <c r="KVQ34" s="206"/>
      <c r="KVR34" s="206"/>
      <c r="KVS34" s="206"/>
      <c r="KVT34" s="206"/>
      <c r="KVU34" s="206"/>
      <c r="KVV34" s="206"/>
      <c r="KVW34" s="206"/>
      <c r="KVX34" s="206"/>
      <c r="KVY34" s="206"/>
      <c r="KVZ34" s="206"/>
      <c r="KWA34" s="206"/>
      <c r="KWB34" s="206"/>
      <c r="KWC34" s="206"/>
      <c r="KWD34" s="206"/>
      <c r="KWE34" s="206"/>
      <c r="KWF34" s="206"/>
      <c r="KWG34" s="206"/>
      <c r="KWH34" s="206"/>
      <c r="KWI34" s="206"/>
      <c r="KWJ34" s="206"/>
      <c r="KWK34" s="206"/>
      <c r="KWL34" s="206"/>
      <c r="KWM34" s="206"/>
      <c r="KWN34" s="206"/>
      <c r="KWO34" s="206"/>
      <c r="KWP34" s="206"/>
      <c r="KWQ34" s="206"/>
      <c r="KWR34" s="206"/>
      <c r="KWS34" s="206"/>
      <c r="KWT34" s="206"/>
      <c r="KWU34" s="206"/>
      <c r="KWV34" s="206"/>
      <c r="KWW34" s="206"/>
      <c r="KWX34" s="206"/>
      <c r="KWY34" s="206"/>
      <c r="KWZ34" s="206"/>
      <c r="KXA34" s="206"/>
      <c r="KXB34" s="206"/>
      <c r="KXC34" s="206"/>
      <c r="KXD34" s="206"/>
      <c r="KXE34" s="206"/>
      <c r="KXF34" s="206"/>
      <c r="KXG34" s="206"/>
      <c r="KXH34" s="206"/>
      <c r="KXI34" s="206"/>
      <c r="KXJ34" s="206"/>
      <c r="KXK34" s="206"/>
      <c r="KXL34" s="206"/>
      <c r="KXM34" s="206"/>
      <c r="KXN34" s="206"/>
      <c r="KXO34" s="206"/>
      <c r="KXP34" s="206"/>
      <c r="KXQ34" s="206"/>
      <c r="KXR34" s="206"/>
      <c r="KXS34" s="206"/>
      <c r="KXT34" s="206"/>
      <c r="KXU34" s="206"/>
      <c r="KXV34" s="206"/>
      <c r="KXW34" s="206"/>
      <c r="KXX34" s="206"/>
      <c r="KXY34" s="206"/>
      <c r="KXZ34" s="206"/>
      <c r="KYA34" s="206"/>
      <c r="KYB34" s="206"/>
      <c r="KYC34" s="206"/>
      <c r="KYD34" s="206"/>
      <c r="KYE34" s="206"/>
      <c r="KYF34" s="206"/>
      <c r="KYG34" s="206"/>
      <c r="KYH34" s="206"/>
      <c r="KYI34" s="206"/>
      <c r="KYJ34" s="206"/>
      <c r="KYK34" s="206"/>
      <c r="KYL34" s="206"/>
      <c r="KYM34" s="206"/>
      <c r="KYN34" s="206"/>
      <c r="KYO34" s="206"/>
      <c r="KYP34" s="206"/>
      <c r="KYQ34" s="206"/>
      <c r="KYR34" s="206"/>
      <c r="KYS34" s="206"/>
      <c r="KYT34" s="206"/>
      <c r="KYU34" s="206"/>
      <c r="KYV34" s="206"/>
      <c r="KYW34" s="206"/>
      <c r="KYX34" s="206"/>
      <c r="KYY34" s="206"/>
      <c r="KYZ34" s="206"/>
      <c r="KZA34" s="206"/>
      <c r="KZB34" s="206"/>
      <c r="KZC34" s="206"/>
      <c r="KZD34" s="206"/>
      <c r="KZE34" s="206"/>
      <c r="KZF34" s="206"/>
      <c r="KZG34" s="206"/>
      <c r="KZH34" s="206"/>
      <c r="KZI34" s="206"/>
      <c r="KZJ34" s="206"/>
      <c r="KZK34" s="206"/>
      <c r="KZL34" s="206"/>
      <c r="KZM34" s="206"/>
      <c r="KZN34" s="206"/>
      <c r="KZO34" s="206"/>
      <c r="KZP34" s="206"/>
      <c r="KZQ34" s="206"/>
      <c r="KZR34" s="206"/>
      <c r="KZS34" s="206"/>
      <c r="KZT34" s="206"/>
      <c r="KZU34" s="206"/>
      <c r="KZV34" s="206"/>
      <c r="KZW34" s="206"/>
      <c r="KZX34" s="206"/>
      <c r="KZY34" s="206"/>
      <c r="KZZ34" s="206"/>
      <c r="LAA34" s="206"/>
      <c r="LAB34" s="206"/>
      <c r="LAC34" s="206"/>
      <c r="LAD34" s="206"/>
      <c r="LAE34" s="206"/>
      <c r="LAF34" s="206"/>
      <c r="LAG34" s="206"/>
      <c r="LAH34" s="206"/>
      <c r="LAI34" s="206"/>
      <c r="LAJ34" s="206"/>
      <c r="LAK34" s="206"/>
      <c r="LAL34" s="206"/>
      <c r="LAM34" s="206"/>
      <c r="LAN34" s="206"/>
      <c r="LAO34" s="206"/>
      <c r="LAP34" s="206"/>
      <c r="LAQ34" s="206"/>
      <c r="LAR34" s="206"/>
      <c r="LAS34" s="206"/>
      <c r="LAT34" s="206"/>
      <c r="LAU34" s="206"/>
      <c r="LAV34" s="206"/>
      <c r="LAW34" s="206"/>
      <c r="LAX34" s="206"/>
      <c r="LAY34" s="206"/>
      <c r="LAZ34" s="206"/>
      <c r="LBA34" s="206"/>
      <c r="LBB34" s="206"/>
      <c r="LBC34" s="206"/>
      <c r="LBD34" s="206"/>
      <c r="LBE34" s="206"/>
      <c r="LBF34" s="206"/>
      <c r="LBG34" s="206"/>
      <c r="LBH34" s="206"/>
      <c r="LBI34" s="206"/>
      <c r="LBJ34" s="206"/>
      <c r="LBK34" s="206"/>
      <c r="LBL34" s="206"/>
      <c r="LBM34" s="206"/>
      <c r="LBN34" s="206"/>
      <c r="LBO34" s="206"/>
      <c r="LBP34" s="206"/>
      <c r="LBQ34" s="206"/>
      <c r="LBR34" s="206"/>
      <c r="LBS34" s="206"/>
      <c r="LBT34" s="206"/>
      <c r="LBU34" s="206"/>
      <c r="LBV34" s="206"/>
      <c r="LBW34" s="206"/>
      <c r="LBX34" s="206"/>
      <c r="LBY34" s="206"/>
      <c r="LBZ34" s="206"/>
      <c r="LCA34" s="206"/>
      <c r="LCB34" s="206"/>
      <c r="LCC34" s="206"/>
      <c r="LCD34" s="206"/>
      <c r="LCE34" s="206"/>
      <c r="LCF34" s="206"/>
      <c r="LCG34" s="206"/>
      <c r="LCH34" s="206"/>
      <c r="LCI34" s="206"/>
      <c r="LCJ34" s="206"/>
      <c r="LCK34" s="206"/>
      <c r="LCL34" s="206"/>
      <c r="LCM34" s="206"/>
      <c r="LCN34" s="206"/>
      <c r="LCO34" s="206"/>
      <c r="LCP34" s="206"/>
      <c r="LCQ34" s="206"/>
      <c r="LCR34" s="206"/>
      <c r="LCS34" s="206"/>
      <c r="LCT34" s="206"/>
      <c r="LCU34" s="206"/>
      <c r="LCV34" s="206"/>
      <c r="LCW34" s="206"/>
      <c r="LCX34" s="206"/>
      <c r="LCY34" s="206"/>
      <c r="LCZ34" s="206"/>
      <c r="LDA34" s="206"/>
      <c r="LDB34" s="206"/>
      <c r="LDC34" s="206"/>
      <c r="LDD34" s="206"/>
      <c r="LDE34" s="206"/>
      <c r="LDF34" s="206"/>
      <c r="LDG34" s="206"/>
      <c r="LDH34" s="206"/>
      <c r="LDI34" s="206"/>
      <c r="LDJ34" s="206"/>
      <c r="LDK34" s="206"/>
      <c r="LDL34" s="206"/>
      <c r="LDM34" s="206"/>
      <c r="LDN34" s="206"/>
      <c r="LDO34" s="206"/>
      <c r="LDP34" s="206"/>
      <c r="LDQ34" s="206"/>
      <c r="LDR34" s="206"/>
      <c r="LDS34" s="206"/>
      <c r="LDT34" s="206"/>
      <c r="LDU34" s="206"/>
      <c r="LDV34" s="206"/>
      <c r="LDW34" s="206"/>
      <c r="LDX34" s="206"/>
      <c r="LDY34" s="206"/>
      <c r="LDZ34" s="206"/>
      <c r="LEA34" s="206"/>
      <c r="LEB34" s="206"/>
      <c r="LEC34" s="206"/>
      <c r="LED34" s="206"/>
      <c r="LEE34" s="206"/>
      <c r="LEF34" s="206"/>
      <c r="LEG34" s="206"/>
      <c r="LEH34" s="206"/>
      <c r="LEI34" s="206"/>
      <c r="LEJ34" s="206"/>
      <c r="LEK34" s="206"/>
      <c r="LEL34" s="206"/>
      <c r="LEM34" s="206"/>
      <c r="LEN34" s="206"/>
      <c r="LEO34" s="206"/>
      <c r="LEP34" s="206"/>
      <c r="LEQ34" s="206"/>
      <c r="LER34" s="206"/>
      <c r="LES34" s="206"/>
      <c r="LET34" s="206"/>
      <c r="LEU34" s="206"/>
      <c r="LEV34" s="206"/>
      <c r="LEW34" s="206"/>
      <c r="LEX34" s="206"/>
      <c r="LEY34" s="206"/>
      <c r="LEZ34" s="206"/>
      <c r="LFA34" s="206"/>
      <c r="LFB34" s="206"/>
      <c r="LFC34" s="206"/>
      <c r="LFD34" s="206"/>
      <c r="LFE34" s="206"/>
      <c r="LFF34" s="206"/>
      <c r="LFG34" s="206"/>
      <c r="LFH34" s="206"/>
      <c r="LFI34" s="206"/>
      <c r="LFJ34" s="206"/>
      <c r="LFK34" s="206"/>
      <c r="LFL34" s="206"/>
      <c r="LFM34" s="206"/>
      <c r="LFN34" s="206"/>
      <c r="LFO34" s="206"/>
      <c r="LFP34" s="206"/>
      <c r="LFQ34" s="206"/>
      <c r="LFR34" s="206"/>
      <c r="LFS34" s="206"/>
      <c r="LFT34" s="206"/>
      <c r="LFU34" s="206"/>
      <c r="LFV34" s="206"/>
      <c r="LFW34" s="206"/>
      <c r="LFX34" s="206"/>
      <c r="LFY34" s="206"/>
      <c r="LFZ34" s="206"/>
      <c r="LGA34" s="206"/>
      <c r="LGB34" s="206"/>
      <c r="LGC34" s="206"/>
      <c r="LGD34" s="206"/>
      <c r="LGE34" s="206"/>
      <c r="LGF34" s="206"/>
      <c r="LGG34" s="206"/>
      <c r="LGH34" s="206"/>
      <c r="LGI34" s="206"/>
      <c r="LGJ34" s="206"/>
      <c r="LGK34" s="206"/>
      <c r="LGL34" s="206"/>
      <c r="LGM34" s="206"/>
      <c r="LGN34" s="206"/>
      <c r="LGO34" s="206"/>
      <c r="LGP34" s="206"/>
      <c r="LGQ34" s="206"/>
      <c r="LGR34" s="206"/>
      <c r="LGS34" s="206"/>
      <c r="LGT34" s="206"/>
      <c r="LGU34" s="206"/>
      <c r="LGV34" s="206"/>
      <c r="LGW34" s="206"/>
      <c r="LGX34" s="206"/>
      <c r="LGY34" s="206"/>
      <c r="LGZ34" s="206"/>
      <c r="LHA34" s="206"/>
      <c r="LHB34" s="206"/>
      <c r="LHC34" s="206"/>
      <c r="LHD34" s="206"/>
      <c r="LHE34" s="206"/>
      <c r="LHF34" s="206"/>
      <c r="LHG34" s="206"/>
      <c r="LHH34" s="206"/>
      <c r="LHI34" s="206"/>
      <c r="LHJ34" s="206"/>
      <c r="LHK34" s="206"/>
      <c r="LHL34" s="206"/>
      <c r="LHM34" s="206"/>
      <c r="LHN34" s="206"/>
      <c r="LHO34" s="206"/>
      <c r="LHP34" s="206"/>
      <c r="LHQ34" s="206"/>
      <c r="LHR34" s="206"/>
      <c r="LHS34" s="206"/>
      <c r="LHT34" s="206"/>
      <c r="LHU34" s="206"/>
      <c r="LHV34" s="206"/>
      <c r="LHW34" s="206"/>
      <c r="LHX34" s="206"/>
      <c r="LHY34" s="206"/>
      <c r="LHZ34" s="206"/>
      <c r="LIA34" s="206"/>
      <c r="LIB34" s="206"/>
      <c r="LIC34" s="206"/>
      <c r="LID34" s="206"/>
      <c r="LIE34" s="206"/>
      <c r="LIF34" s="206"/>
      <c r="LIG34" s="206"/>
      <c r="LIH34" s="206"/>
      <c r="LII34" s="206"/>
      <c r="LIJ34" s="206"/>
      <c r="LIK34" s="206"/>
      <c r="LIL34" s="206"/>
      <c r="LIM34" s="206"/>
      <c r="LIN34" s="206"/>
      <c r="LIO34" s="206"/>
      <c r="LIP34" s="206"/>
      <c r="LIQ34" s="206"/>
      <c r="LIR34" s="206"/>
      <c r="LIS34" s="206"/>
      <c r="LIT34" s="206"/>
      <c r="LIU34" s="206"/>
      <c r="LIV34" s="206"/>
      <c r="LIW34" s="206"/>
      <c r="LIX34" s="206"/>
      <c r="LIY34" s="206"/>
      <c r="LIZ34" s="206"/>
      <c r="LJA34" s="206"/>
      <c r="LJB34" s="206"/>
      <c r="LJC34" s="206"/>
      <c r="LJD34" s="206"/>
      <c r="LJE34" s="206"/>
      <c r="LJF34" s="206"/>
      <c r="LJG34" s="206"/>
      <c r="LJH34" s="206"/>
      <c r="LJI34" s="206"/>
      <c r="LJJ34" s="206"/>
      <c r="LJK34" s="206"/>
      <c r="LJL34" s="206"/>
      <c r="LJM34" s="206"/>
      <c r="LJN34" s="206"/>
      <c r="LJO34" s="206"/>
      <c r="LJP34" s="206"/>
      <c r="LJQ34" s="206"/>
      <c r="LJR34" s="206"/>
      <c r="LJS34" s="206"/>
      <c r="LJT34" s="206"/>
      <c r="LJU34" s="206"/>
      <c r="LJV34" s="206"/>
      <c r="LJW34" s="206"/>
      <c r="LJX34" s="206"/>
      <c r="LJY34" s="206"/>
      <c r="LJZ34" s="206"/>
      <c r="LKA34" s="206"/>
      <c r="LKB34" s="206"/>
      <c r="LKC34" s="206"/>
      <c r="LKD34" s="206"/>
      <c r="LKE34" s="206"/>
      <c r="LKF34" s="206"/>
      <c r="LKG34" s="206"/>
      <c r="LKH34" s="206"/>
      <c r="LKI34" s="206"/>
      <c r="LKJ34" s="206"/>
      <c r="LKK34" s="206"/>
      <c r="LKL34" s="206"/>
      <c r="LKM34" s="206"/>
      <c r="LKN34" s="206"/>
      <c r="LKO34" s="206"/>
      <c r="LKP34" s="206"/>
      <c r="LKQ34" s="206"/>
      <c r="LKR34" s="206"/>
      <c r="LKS34" s="206"/>
      <c r="LKT34" s="206"/>
      <c r="LKU34" s="206"/>
      <c r="LKV34" s="206"/>
      <c r="LKW34" s="206"/>
      <c r="LKX34" s="206"/>
      <c r="LKY34" s="206"/>
      <c r="LKZ34" s="206"/>
      <c r="LLA34" s="206"/>
      <c r="LLB34" s="206"/>
      <c r="LLC34" s="206"/>
      <c r="LLD34" s="206"/>
      <c r="LLE34" s="206"/>
      <c r="LLF34" s="206"/>
      <c r="LLG34" s="206"/>
      <c r="LLH34" s="206"/>
      <c r="LLI34" s="206"/>
      <c r="LLJ34" s="206"/>
      <c r="LLK34" s="206"/>
      <c r="LLL34" s="206"/>
      <c r="LLM34" s="206"/>
      <c r="LLN34" s="206"/>
      <c r="LLO34" s="206"/>
      <c r="LLP34" s="206"/>
      <c r="LLQ34" s="206"/>
      <c r="LLR34" s="206"/>
      <c r="LLS34" s="206"/>
      <c r="LLT34" s="206"/>
      <c r="LLU34" s="206"/>
      <c r="LLV34" s="206"/>
      <c r="LLW34" s="206"/>
      <c r="LLX34" s="206"/>
      <c r="LLY34" s="206"/>
      <c r="LLZ34" s="206"/>
      <c r="LMA34" s="206"/>
      <c r="LMB34" s="206"/>
      <c r="LMC34" s="206"/>
      <c r="LMD34" s="206"/>
      <c r="LME34" s="206"/>
      <c r="LMF34" s="206"/>
      <c r="LMG34" s="206"/>
      <c r="LMH34" s="206"/>
      <c r="LMI34" s="206"/>
      <c r="LMJ34" s="206"/>
      <c r="LMK34" s="206"/>
      <c r="LML34" s="206"/>
      <c r="LMM34" s="206"/>
      <c r="LMN34" s="206"/>
      <c r="LMO34" s="206"/>
      <c r="LMP34" s="206"/>
      <c r="LMQ34" s="206"/>
      <c r="LMR34" s="206"/>
      <c r="LMS34" s="206"/>
      <c r="LMT34" s="206"/>
      <c r="LMU34" s="206"/>
      <c r="LMV34" s="206"/>
      <c r="LMW34" s="206"/>
      <c r="LMX34" s="206"/>
      <c r="LMY34" s="206"/>
      <c r="LMZ34" s="206"/>
      <c r="LNA34" s="206"/>
      <c r="LNB34" s="206"/>
      <c r="LNC34" s="206"/>
      <c r="LND34" s="206"/>
      <c r="LNE34" s="206"/>
      <c r="LNF34" s="206"/>
      <c r="LNG34" s="206"/>
      <c r="LNH34" s="206"/>
      <c r="LNI34" s="206"/>
      <c r="LNJ34" s="206"/>
      <c r="LNK34" s="206"/>
      <c r="LNL34" s="206"/>
      <c r="LNM34" s="206"/>
      <c r="LNN34" s="206"/>
      <c r="LNO34" s="206"/>
      <c r="LNP34" s="206"/>
      <c r="LNQ34" s="206"/>
      <c r="LNR34" s="206"/>
      <c r="LNS34" s="206"/>
      <c r="LNT34" s="206"/>
      <c r="LNU34" s="206"/>
      <c r="LNV34" s="206"/>
      <c r="LNW34" s="206"/>
      <c r="LNX34" s="206"/>
      <c r="LNY34" s="206"/>
      <c r="LNZ34" s="206"/>
      <c r="LOA34" s="206"/>
      <c r="LOB34" s="206"/>
      <c r="LOC34" s="206"/>
      <c r="LOD34" s="206"/>
      <c r="LOE34" s="206"/>
      <c r="LOF34" s="206"/>
      <c r="LOG34" s="206"/>
      <c r="LOH34" s="206"/>
      <c r="LOI34" s="206"/>
      <c r="LOJ34" s="206"/>
      <c r="LOK34" s="206"/>
      <c r="LOL34" s="206"/>
      <c r="LOM34" s="206"/>
      <c r="LON34" s="206"/>
      <c r="LOO34" s="206"/>
      <c r="LOP34" s="206"/>
      <c r="LOQ34" s="206"/>
      <c r="LOR34" s="206"/>
      <c r="LOS34" s="206"/>
      <c r="LOT34" s="206"/>
      <c r="LOU34" s="206"/>
      <c r="LOV34" s="206"/>
      <c r="LOW34" s="206"/>
      <c r="LOX34" s="206"/>
      <c r="LOY34" s="206"/>
      <c r="LOZ34" s="206"/>
      <c r="LPA34" s="206"/>
      <c r="LPB34" s="206"/>
      <c r="LPC34" s="206"/>
      <c r="LPD34" s="206"/>
      <c r="LPE34" s="206"/>
      <c r="LPF34" s="206"/>
      <c r="LPG34" s="206"/>
      <c r="LPH34" s="206"/>
      <c r="LPI34" s="206"/>
      <c r="LPJ34" s="206"/>
      <c r="LPK34" s="206"/>
      <c r="LPL34" s="206"/>
      <c r="LPM34" s="206"/>
      <c r="LPN34" s="206"/>
      <c r="LPO34" s="206"/>
      <c r="LPP34" s="206"/>
      <c r="LPQ34" s="206"/>
      <c r="LPR34" s="206"/>
      <c r="LPS34" s="206"/>
      <c r="LPT34" s="206"/>
      <c r="LPU34" s="206"/>
      <c r="LPV34" s="206"/>
      <c r="LPW34" s="206"/>
      <c r="LPX34" s="206"/>
      <c r="LPY34" s="206"/>
      <c r="LPZ34" s="206"/>
      <c r="LQA34" s="206"/>
      <c r="LQB34" s="206"/>
      <c r="LQC34" s="206"/>
      <c r="LQD34" s="206"/>
      <c r="LQE34" s="206"/>
      <c r="LQF34" s="206"/>
      <c r="LQG34" s="206"/>
      <c r="LQH34" s="206"/>
      <c r="LQI34" s="206"/>
      <c r="LQJ34" s="206"/>
      <c r="LQK34" s="206"/>
      <c r="LQL34" s="206"/>
      <c r="LQM34" s="206"/>
      <c r="LQN34" s="206"/>
      <c r="LQO34" s="206"/>
      <c r="LQP34" s="206"/>
      <c r="LQQ34" s="206"/>
      <c r="LQR34" s="206"/>
      <c r="LQS34" s="206"/>
      <c r="LQT34" s="206"/>
      <c r="LQU34" s="206"/>
      <c r="LQV34" s="206"/>
      <c r="LQW34" s="206"/>
      <c r="LQX34" s="206"/>
      <c r="LQY34" s="206"/>
      <c r="LQZ34" s="206"/>
      <c r="LRA34" s="206"/>
      <c r="LRB34" s="206"/>
      <c r="LRC34" s="206"/>
      <c r="LRD34" s="206"/>
      <c r="LRE34" s="206"/>
      <c r="LRF34" s="206"/>
      <c r="LRG34" s="206"/>
      <c r="LRH34" s="206"/>
      <c r="LRI34" s="206"/>
      <c r="LRJ34" s="206"/>
      <c r="LRK34" s="206"/>
      <c r="LRL34" s="206"/>
      <c r="LRM34" s="206"/>
      <c r="LRN34" s="206"/>
      <c r="LRO34" s="206"/>
      <c r="LRP34" s="206"/>
      <c r="LRQ34" s="206"/>
      <c r="LRR34" s="206"/>
      <c r="LRS34" s="206"/>
      <c r="LRT34" s="206"/>
      <c r="LRU34" s="206"/>
      <c r="LRV34" s="206"/>
      <c r="LRW34" s="206"/>
      <c r="LRX34" s="206"/>
      <c r="LRY34" s="206"/>
      <c r="LRZ34" s="206"/>
      <c r="LSA34" s="206"/>
      <c r="LSB34" s="206"/>
      <c r="LSC34" s="206"/>
      <c r="LSD34" s="206"/>
      <c r="LSE34" s="206"/>
      <c r="LSF34" s="206"/>
      <c r="LSG34" s="206"/>
      <c r="LSH34" s="206"/>
      <c r="LSI34" s="206"/>
      <c r="LSJ34" s="206"/>
      <c r="LSK34" s="206"/>
      <c r="LSL34" s="206"/>
      <c r="LSM34" s="206"/>
      <c r="LSN34" s="206"/>
      <c r="LSO34" s="206"/>
      <c r="LSP34" s="206"/>
      <c r="LSQ34" s="206"/>
      <c r="LSR34" s="206"/>
      <c r="LSS34" s="206"/>
      <c r="LST34" s="206"/>
      <c r="LSU34" s="206"/>
      <c r="LSV34" s="206"/>
      <c r="LSW34" s="206"/>
      <c r="LSX34" s="206"/>
      <c r="LSY34" s="206"/>
      <c r="LSZ34" s="206"/>
      <c r="LTA34" s="206"/>
      <c r="LTB34" s="206"/>
      <c r="LTC34" s="206"/>
      <c r="LTD34" s="206"/>
      <c r="LTE34" s="206"/>
      <c r="LTF34" s="206"/>
      <c r="LTG34" s="206"/>
      <c r="LTH34" s="206"/>
      <c r="LTI34" s="206"/>
      <c r="LTJ34" s="206"/>
      <c r="LTK34" s="206"/>
      <c r="LTL34" s="206"/>
      <c r="LTM34" s="206"/>
      <c r="LTN34" s="206"/>
      <c r="LTO34" s="206"/>
      <c r="LTP34" s="206"/>
      <c r="LTQ34" s="206"/>
      <c r="LTR34" s="206"/>
      <c r="LTS34" s="206"/>
      <c r="LTT34" s="206"/>
      <c r="LTU34" s="206"/>
      <c r="LTV34" s="206"/>
      <c r="LTW34" s="206"/>
      <c r="LTX34" s="206"/>
      <c r="LTY34" s="206"/>
      <c r="LTZ34" s="206"/>
      <c r="LUA34" s="206"/>
      <c r="LUB34" s="206"/>
      <c r="LUC34" s="206"/>
      <c r="LUD34" s="206"/>
      <c r="LUE34" s="206"/>
      <c r="LUF34" s="206"/>
      <c r="LUG34" s="206"/>
      <c r="LUH34" s="206"/>
      <c r="LUI34" s="206"/>
      <c r="LUJ34" s="206"/>
      <c r="LUK34" s="206"/>
      <c r="LUL34" s="206"/>
      <c r="LUM34" s="206"/>
      <c r="LUN34" s="206"/>
      <c r="LUO34" s="206"/>
      <c r="LUP34" s="206"/>
      <c r="LUQ34" s="206"/>
      <c r="LUR34" s="206"/>
      <c r="LUS34" s="206"/>
      <c r="LUT34" s="206"/>
      <c r="LUU34" s="206"/>
      <c r="LUV34" s="206"/>
      <c r="LUW34" s="206"/>
      <c r="LUX34" s="206"/>
      <c r="LUY34" s="206"/>
      <c r="LUZ34" s="206"/>
      <c r="LVA34" s="206"/>
      <c r="LVB34" s="206"/>
      <c r="LVC34" s="206"/>
      <c r="LVD34" s="206"/>
      <c r="LVE34" s="206"/>
      <c r="LVF34" s="206"/>
      <c r="LVG34" s="206"/>
      <c r="LVH34" s="206"/>
      <c r="LVI34" s="206"/>
      <c r="LVJ34" s="206"/>
      <c r="LVK34" s="206"/>
      <c r="LVL34" s="206"/>
      <c r="LVM34" s="206"/>
      <c r="LVN34" s="206"/>
      <c r="LVO34" s="206"/>
      <c r="LVP34" s="206"/>
      <c r="LVQ34" s="206"/>
      <c r="LVR34" s="206"/>
      <c r="LVS34" s="206"/>
      <c r="LVT34" s="206"/>
      <c r="LVU34" s="206"/>
      <c r="LVV34" s="206"/>
      <c r="LVW34" s="206"/>
      <c r="LVX34" s="206"/>
      <c r="LVY34" s="206"/>
      <c r="LVZ34" s="206"/>
      <c r="LWA34" s="206"/>
      <c r="LWB34" s="206"/>
      <c r="LWC34" s="206"/>
      <c r="LWD34" s="206"/>
      <c r="LWE34" s="206"/>
      <c r="LWF34" s="206"/>
      <c r="LWG34" s="206"/>
      <c r="LWH34" s="206"/>
      <c r="LWI34" s="206"/>
      <c r="LWJ34" s="206"/>
      <c r="LWK34" s="206"/>
      <c r="LWL34" s="206"/>
      <c r="LWM34" s="206"/>
      <c r="LWN34" s="206"/>
      <c r="LWO34" s="206"/>
      <c r="LWP34" s="206"/>
      <c r="LWQ34" s="206"/>
      <c r="LWR34" s="206"/>
      <c r="LWS34" s="206"/>
      <c r="LWT34" s="206"/>
      <c r="LWU34" s="206"/>
      <c r="LWV34" s="206"/>
      <c r="LWW34" s="206"/>
      <c r="LWX34" s="206"/>
      <c r="LWY34" s="206"/>
      <c r="LWZ34" s="206"/>
      <c r="LXA34" s="206"/>
      <c r="LXB34" s="206"/>
      <c r="LXC34" s="206"/>
      <c r="LXD34" s="206"/>
      <c r="LXE34" s="206"/>
      <c r="LXF34" s="206"/>
      <c r="LXG34" s="206"/>
      <c r="LXH34" s="206"/>
      <c r="LXI34" s="206"/>
      <c r="LXJ34" s="206"/>
      <c r="LXK34" s="206"/>
      <c r="LXL34" s="206"/>
      <c r="LXM34" s="206"/>
      <c r="LXN34" s="206"/>
      <c r="LXO34" s="206"/>
      <c r="LXP34" s="206"/>
      <c r="LXQ34" s="206"/>
      <c r="LXR34" s="206"/>
      <c r="LXS34" s="206"/>
      <c r="LXT34" s="206"/>
      <c r="LXU34" s="206"/>
      <c r="LXV34" s="206"/>
      <c r="LXW34" s="206"/>
      <c r="LXX34" s="206"/>
      <c r="LXY34" s="206"/>
      <c r="LXZ34" s="206"/>
      <c r="LYA34" s="206"/>
      <c r="LYB34" s="206"/>
      <c r="LYC34" s="206"/>
      <c r="LYD34" s="206"/>
      <c r="LYE34" s="206"/>
      <c r="LYF34" s="206"/>
      <c r="LYG34" s="206"/>
      <c r="LYH34" s="206"/>
      <c r="LYI34" s="206"/>
      <c r="LYJ34" s="206"/>
      <c r="LYK34" s="206"/>
      <c r="LYL34" s="206"/>
      <c r="LYM34" s="206"/>
      <c r="LYN34" s="206"/>
      <c r="LYO34" s="206"/>
      <c r="LYP34" s="206"/>
      <c r="LYQ34" s="206"/>
      <c r="LYR34" s="206"/>
      <c r="LYS34" s="206"/>
      <c r="LYT34" s="206"/>
      <c r="LYU34" s="206"/>
      <c r="LYV34" s="206"/>
      <c r="LYW34" s="206"/>
      <c r="LYX34" s="206"/>
      <c r="LYY34" s="206"/>
      <c r="LYZ34" s="206"/>
      <c r="LZA34" s="206"/>
      <c r="LZB34" s="206"/>
      <c r="LZC34" s="206"/>
      <c r="LZD34" s="206"/>
      <c r="LZE34" s="206"/>
      <c r="LZF34" s="206"/>
      <c r="LZG34" s="206"/>
      <c r="LZH34" s="206"/>
      <c r="LZI34" s="206"/>
      <c r="LZJ34" s="206"/>
      <c r="LZK34" s="206"/>
      <c r="LZL34" s="206"/>
      <c r="LZM34" s="206"/>
      <c r="LZN34" s="206"/>
      <c r="LZO34" s="206"/>
      <c r="LZP34" s="206"/>
      <c r="LZQ34" s="206"/>
      <c r="LZR34" s="206"/>
      <c r="LZS34" s="206"/>
      <c r="LZT34" s="206"/>
      <c r="LZU34" s="206"/>
      <c r="LZV34" s="206"/>
      <c r="LZW34" s="206"/>
      <c r="LZX34" s="206"/>
      <c r="LZY34" s="206"/>
      <c r="LZZ34" s="206"/>
      <c r="MAA34" s="206"/>
      <c r="MAB34" s="206"/>
      <c r="MAC34" s="206"/>
      <c r="MAD34" s="206"/>
      <c r="MAE34" s="206"/>
      <c r="MAF34" s="206"/>
      <c r="MAG34" s="206"/>
      <c r="MAH34" s="206"/>
      <c r="MAI34" s="206"/>
      <c r="MAJ34" s="206"/>
      <c r="MAK34" s="206"/>
      <c r="MAL34" s="206"/>
      <c r="MAM34" s="206"/>
      <c r="MAN34" s="206"/>
      <c r="MAO34" s="206"/>
      <c r="MAP34" s="206"/>
      <c r="MAQ34" s="206"/>
      <c r="MAR34" s="206"/>
      <c r="MAS34" s="206"/>
      <c r="MAT34" s="206"/>
      <c r="MAU34" s="206"/>
      <c r="MAV34" s="206"/>
      <c r="MAW34" s="206"/>
      <c r="MAX34" s="206"/>
      <c r="MAY34" s="206"/>
      <c r="MAZ34" s="206"/>
      <c r="MBA34" s="206"/>
      <c r="MBB34" s="206"/>
      <c r="MBC34" s="206"/>
      <c r="MBD34" s="206"/>
      <c r="MBE34" s="206"/>
      <c r="MBF34" s="206"/>
      <c r="MBG34" s="206"/>
      <c r="MBH34" s="206"/>
      <c r="MBI34" s="206"/>
      <c r="MBJ34" s="206"/>
      <c r="MBK34" s="206"/>
      <c r="MBL34" s="206"/>
      <c r="MBM34" s="206"/>
      <c r="MBN34" s="206"/>
      <c r="MBO34" s="206"/>
      <c r="MBP34" s="206"/>
      <c r="MBQ34" s="206"/>
      <c r="MBR34" s="206"/>
      <c r="MBS34" s="206"/>
      <c r="MBT34" s="206"/>
      <c r="MBU34" s="206"/>
      <c r="MBV34" s="206"/>
      <c r="MBW34" s="206"/>
      <c r="MBX34" s="206"/>
      <c r="MBY34" s="206"/>
      <c r="MBZ34" s="206"/>
      <c r="MCA34" s="206"/>
      <c r="MCB34" s="206"/>
      <c r="MCC34" s="206"/>
      <c r="MCD34" s="206"/>
      <c r="MCE34" s="206"/>
      <c r="MCF34" s="206"/>
      <c r="MCG34" s="206"/>
      <c r="MCH34" s="206"/>
      <c r="MCI34" s="206"/>
      <c r="MCJ34" s="206"/>
      <c r="MCK34" s="206"/>
      <c r="MCL34" s="206"/>
      <c r="MCM34" s="206"/>
      <c r="MCN34" s="206"/>
      <c r="MCO34" s="206"/>
      <c r="MCP34" s="206"/>
      <c r="MCQ34" s="206"/>
      <c r="MCR34" s="206"/>
      <c r="MCS34" s="206"/>
      <c r="MCT34" s="206"/>
      <c r="MCU34" s="206"/>
      <c r="MCV34" s="206"/>
      <c r="MCW34" s="206"/>
      <c r="MCX34" s="206"/>
      <c r="MCY34" s="206"/>
      <c r="MCZ34" s="206"/>
      <c r="MDA34" s="206"/>
      <c r="MDB34" s="206"/>
      <c r="MDC34" s="206"/>
      <c r="MDD34" s="206"/>
      <c r="MDE34" s="206"/>
      <c r="MDF34" s="206"/>
      <c r="MDG34" s="206"/>
      <c r="MDH34" s="206"/>
      <c r="MDI34" s="206"/>
      <c r="MDJ34" s="206"/>
      <c r="MDK34" s="206"/>
      <c r="MDL34" s="206"/>
      <c r="MDM34" s="206"/>
      <c r="MDN34" s="206"/>
      <c r="MDO34" s="206"/>
      <c r="MDP34" s="206"/>
      <c r="MDQ34" s="206"/>
      <c r="MDR34" s="206"/>
      <c r="MDS34" s="206"/>
      <c r="MDT34" s="206"/>
      <c r="MDU34" s="206"/>
      <c r="MDV34" s="206"/>
      <c r="MDW34" s="206"/>
      <c r="MDX34" s="206"/>
      <c r="MDY34" s="206"/>
      <c r="MDZ34" s="206"/>
      <c r="MEA34" s="206"/>
      <c r="MEB34" s="206"/>
      <c r="MEC34" s="206"/>
      <c r="MED34" s="206"/>
      <c r="MEE34" s="206"/>
      <c r="MEF34" s="206"/>
      <c r="MEG34" s="206"/>
      <c r="MEH34" s="206"/>
      <c r="MEI34" s="206"/>
      <c r="MEJ34" s="206"/>
      <c r="MEK34" s="206"/>
      <c r="MEL34" s="206"/>
      <c r="MEM34" s="206"/>
      <c r="MEN34" s="206"/>
      <c r="MEO34" s="206"/>
      <c r="MEP34" s="206"/>
      <c r="MEQ34" s="206"/>
      <c r="MER34" s="206"/>
      <c r="MES34" s="206"/>
      <c r="MET34" s="206"/>
      <c r="MEU34" s="206"/>
      <c r="MEV34" s="206"/>
      <c r="MEW34" s="206"/>
      <c r="MEX34" s="206"/>
      <c r="MEY34" s="206"/>
      <c r="MEZ34" s="206"/>
      <c r="MFA34" s="206"/>
      <c r="MFB34" s="206"/>
      <c r="MFC34" s="206"/>
      <c r="MFD34" s="206"/>
      <c r="MFE34" s="206"/>
      <c r="MFF34" s="206"/>
      <c r="MFG34" s="206"/>
      <c r="MFH34" s="206"/>
      <c r="MFI34" s="206"/>
      <c r="MFJ34" s="206"/>
      <c r="MFK34" s="206"/>
      <c r="MFL34" s="206"/>
      <c r="MFM34" s="206"/>
      <c r="MFN34" s="206"/>
      <c r="MFO34" s="206"/>
      <c r="MFP34" s="206"/>
      <c r="MFQ34" s="206"/>
      <c r="MFR34" s="206"/>
      <c r="MFS34" s="206"/>
      <c r="MFT34" s="206"/>
      <c r="MFU34" s="206"/>
      <c r="MFV34" s="206"/>
      <c r="MFW34" s="206"/>
      <c r="MFX34" s="206"/>
      <c r="MFY34" s="206"/>
      <c r="MFZ34" s="206"/>
      <c r="MGA34" s="206"/>
      <c r="MGB34" s="206"/>
      <c r="MGC34" s="206"/>
      <c r="MGD34" s="206"/>
      <c r="MGE34" s="206"/>
      <c r="MGF34" s="206"/>
      <c r="MGG34" s="206"/>
      <c r="MGH34" s="206"/>
      <c r="MGI34" s="206"/>
      <c r="MGJ34" s="206"/>
      <c r="MGK34" s="206"/>
      <c r="MGL34" s="206"/>
      <c r="MGM34" s="206"/>
      <c r="MGN34" s="206"/>
      <c r="MGO34" s="206"/>
      <c r="MGP34" s="206"/>
      <c r="MGQ34" s="206"/>
      <c r="MGR34" s="206"/>
      <c r="MGS34" s="206"/>
      <c r="MGT34" s="206"/>
      <c r="MGU34" s="206"/>
      <c r="MGV34" s="206"/>
      <c r="MGW34" s="206"/>
      <c r="MGX34" s="206"/>
      <c r="MGY34" s="206"/>
      <c r="MGZ34" s="206"/>
      <c r="MHA34" s="206"/>
      <c r="MHB34" s="206"/>
      <c r="MHC34" s="206"/>
      <c r="MHD34" s="206"/>
      <c r="MHE34" s="206"/>
      <c r="MHF34" s="206"/>
      <c r="MHG34" s="206"/>
      <c r="MHH34" s="206"/>
      <c r="MHI34" s="206"/>
      <c r="MHJ34" s="206"/>
      <c r="MHK34" s="206"/>
      <c r="MHL34" s="206"/>
      <c r="MHM34" s="206"/>
      <c r="MHN34" s="206"/>
      <c r="MHO34" s="206"/>
      <c r="MHP34" s="206"/>
      <c r="MHQ34" s="206"/>
      <c r="MHR34" s="206"/>
      <c r="MHS34" s="206"/>
      <c r="MHT34" s="206"/>
      <c r="MHU34" s="206"/>
      <c r="MHV34" s="206"/>
      <c r="MHW34" s="206"/>
      <c r="MHX34" s="206"/>
      <c r="MHY34" s="206"/>
      <c r="MHZ34" s="206"/>
      <c r="MIA34" s="206"/>
      <c r="MIB34" s="206"/>
      <c r="MIC34" s="206"/>
      <c r="MID34" s="206"/>
      <c r="MIE34" s="206"/>
      <c r="MIF34" s="206"/>
      <c r="MIG34" s="206"/>
      <c r="MIH34" s="206"/>
      <c r="MII34" s="206"/>
      <c r="MIJ34" s="206"/>
      <c r="MIK34" s="206"/>
      <c r="MIL34" s="206"/>
      <c r="MIM34" s="206"/>
      <c r="MIN34" s="206"/>
      <c r="MIO34" s="206"/>
      <c r="MIP34" s="206"/>
      <c r="MIQ34" s="206"/>
      <c r="MIR34" s="206"/>
      <c r="MIS34" s="206"/>
      <c r="MIT34" s="206"/>
      <c r="MIU34" s="206"/>
      <c r="MIV34" s="206"/>
      <c r="MIW34" s="206"/>
      <c r="MIX34" s="206"/>
      <c r="MIY34" s="206"/>
      <c r="MIZ34" s="206"/>
      <c r="MJA34" s="206"/>
      <c r="MJB34" s="206"/>
      <c r="MJC34" s="206"/>
      <c r="MJD34" s="206"/>
      <c r="MJE34" s="206"/>
      <c r="MJF34" s="206"/>
      <c r="MJG34" s="206"/>
      <c r="MJH34" s="206"/>
      <c r="MJI34" s="206"/>
      <c r="MJJ34" s="206"/>
      <c r="MJK34" s="206"/>
      <c r="MJL34" s="206"/>
      <c r="MJM34" s="206"/>
      <c r="MJN34" s="206"/>
      <c r="MJO34" s="206"/>
      <c r="MJP34" s="206"/>
      <c r="MJQ34" s="206"/>
      <c r="MJR34" s="206"/>
      <c r="MJS34" s="206"/>
      <c r="MJT34" s="206"/>
      <c r="MJU34" s="206"/>
      <c r="MJV34" s="206"/>
      <c r="MJW34" s="206"/>
      <c r="MJX34" s="206"/>
      <c r="MJY34" s="206"/>
      <c r="MJZ34" s="206"/>
      <c r="MKA34" s="206"/>
      <c r="MKB34" s="206"/>
      <c r="MKC34" s="206"/>
      <c r="MKD34" s="206"/>
      <c r="MKE34" s="206"/>
      <c r="MKF34" s="206"/>
      <c r="MKG34" s="206"/>
      <c r="MKH34" s="206"/>
      <c r="MKI34" s="206"/>
      <c r="MKJ34" s="206"/>
      <c r="MKK34" s="206"/>
      <c r="MKL34" s="206"/>
      <c r="MKM34" s="206"/>
      <c r="MKN34" s="206"/>
      <c r="MKO34" s="206"/>
      <c r="MKP34" s="206"/>
      <c r="MKQ34" s="206"/>
      <c r="MKR34" s="206"/>
      <c r="MKS34" s="206"/>
      <c r="MKT34" s="206"/>
      <c r="MKU34" s="206"/>
      <c r="MKV34" s="206"/>
      <c r="MKW34" s="206"/>
      <c r="MKX34" s="206"/>
      <c r="MKY34" s="206"/>
      <c r="MKZ34" s="206"/>
      <c r="MLA34" s="206"/>
      <c r="MLB34" s="206"/>
      <c r="MLC34" s="206"/>
      <c r="MLD34" s="206"/>
      <c r="MLE34" s="206"/>
      <c r="MLF34" s="206"/>
      <c r="MLG34" s="206"/>
      <c r="MLH34" s="206"/>
      <c r="MLI34" s="206"/>
      <c r="MLJ34" s="206"/>
      <c r="MLK34" s="206"/>
      <c r="MLL34" s="206"/>
      <c r="MLM34" s="206"/>
      <c r="MLN34" s="206"/>
      <c r="MLO34" s="206"/>
      <c r="MLP34" s="206"/>
      <c r="MLQ34" s="206"/>
      <c r="MLR34" s="206"/>
      <c r="MLS34" s="206"/>
      <c r="MLT34" s="206"/>
      <c r="MLU34" s="206"/>
      <c r="MLV34" s="206"/>
      <c r="MLW34" s="206"/>
      <c r="MLX34" s="206"/>
      <c r="MLY34" s="206"/>
      <c r="MLZ34" s="206"/>
      <c r="MMA34" s="206"/>
      <c r="MMB34" s="206"/>
      <c r="MMC34" s="206"/>
      <c r="MMD34" s="206"/>
      <c r="MME34" s="206"/>
      <c r="MMF34" s="206"/>
      <c r="MMG34" s="206"/>
      <c r="MMH34" s="206"/>
      <c r="MMI34" s="206"/>
      <c r="MMJ34" s="206"/>
      <c r="MMK34" s="206"/>
      <c r="MML34" s="206"/>
      <c r="MMM34" s="206"/>
      <c r="MMN34" s="206"/>
      <c r="MMO34" s="206"/>
      <c r="MMP34" s="206"/>
      <c r="MMQ34" s="206"/>
      <c r="MMR34" s="206"/>
      <c r="MMS34" s="206"/>
      <c r="MMT34" s="206"/>
      <c r="MMU34" s="206"/>
      <c r="MMV34" s="206"/>
      <c r="MMW34" s="206"/>
      <c r="MMX34" s="206"/>
      <c r="MMY34" s="206"/>
      <c r="MMZ34" s="206"/>
      <c r="MNA34" s="206"/>
      <c r="MNB34" s="206"/>
      <c r="MNC34" s="206"/>
      <c r="MND34" s="206"/>
      <c r="MNE34" s="206"/>
      <c r="MNF34" s="206"/>
      <c r="MNG34" s="206"/>
      <c r="MNH34" s="206"/>
      <c r="MNI34" s="206"/>
      <c r="MNJ34" s="206"/>
      <c r="MNK34" s="206"/>
      <c r="MNL34" s="206"/>
      <c r="MNM34" s="206"/>
      <c r="MNN34" s="206"/>
      <c r="MNO34" s="206"/>
      <c r="MNP34" s="206"/>
      <c r="MNQ34" s="206"/>
      <c r="MNR34" s="206"/>
      <c r="MNS34" s="206"/>
      <c r="MNT34" s="206"/>
      <c r="MNU34" s="206"/>
      <c r="MNV34" s="206"/>
      <c r="MNW34" s="206"/>
      <c r="MNX34" s="206"/>
      <c r="MNY34" s="206"/>
      <c r="MNZ34" s="206"/>
      <c r="MOA34" s="206"/>
      <c r="MOB34" s="206"/>
      <c r="MOC34" s="206"/>
      <c r="MOD34" s="206"/>
      <c r="MOE34" s="206"/>
      <c r="MOF34" s="206"/>
      <c r="MOG34" s="206"/>
      <c r="MOH34" s="206"/>
      <c r="MOI34" s="206"/>
      <c r="MOJ34" s="206"/>
      <c r="MOK34" s="206"/>
      <c r="MOL34" s="206"/>
      <c r="MOM34" s="206"/>
      <c r="MON34" s="206"/>
      <c r="MOO34" s="206"/>
      <c r="MOP34" s="206"/>
      <c r="MOQ34" s="206"/>
      <c r="MOR34" s="206"/>
      <c r="MOS34" s="206"/>
      <c r="MOT34" s="206"/>
      <c r="MOU34" s="206"/>
      <c r="MOV34" s="206"/>
      <c r="MOW34" s="206"/>
      <c r="MOX34" s="206"/>
      <c r="MOY34" s="206"/>
      <c r="MOZ34" s="206"/>
      <c r="MPA34" s="206"/>
      <c r="MPB34" s="206"/>
      <c r="MPC34" s="206"/>
      <c r="MPD34" s="206"/>
      <c r="MPE34" s="206"/>
      <c r="MPF34" s="206"/>
      <c r="MPG34" s="206"/>
      <c r="MPH34" s="206"/>
      <c r="MPI34" s="206"/>
      <c r="MPJ34" s="206"/>
      <c r="MPK34" s="206"/>
      <c r="MPL34" s="206"/>
      <c r="MPM34" s="206"/>
      <c r="MPN34" s="206"/>
      <c r="MPO34" s="206"/>
      <c r="MPP34" s="206"/>
      <c r="MPQ34" s="206"/>
      <c r="MPR34" s="206"/>
      <c r="MPS34" s="206"/>
      <c r="MPT34" s="206"/>
      <c r="MPU34" s="206"/>
      <c r="MPV34" s="206"/>
      <c r="MPW34" s="206"/>
      <c r="MPX34" s="206"/>
      <c r="MPY34" s="206"/>
      <c r="MPZ34" s="206"/>
      <c r="MQA34" s="206"/>
      <c r="MQB34" s="206"/>
      <c r="MQC34" s="206"/>
      <c r="MQD34" s="206"/>
      <c r="MQE34" s="206"/>
      <c r="MQF34" s="206"/>
      <c r="MQG34" s="206"/>
      <c r="MQH34" s="206"/>
      <c r="MQI34" s="206"/>
      <c r="MQJ34" s="206"/>
      <c r="MQK34" s="206"/>
      <c r="MQL34" s="206"/>
      <c r="MQM34" s="206"/>
      <c r="MQN34" s="206"/>
      <c r="MQO34" s="206"/>
      <c r="MQP34" s="206"/>
      <c r="MQQ34" s="206"/>
      <c r="MQR34" s="206"/>
      <c r="MQS34" s="206"/>
      <c r="MQT34" s="206"/>
      <c r="MQU34" s="206"/>
      <c r="MQV34" s="206"/>
      <c r="MQW34" s="206"/>
      <c r="MQX34" s="206"/>
      <c r="MQY34" s="206"/>
      <c r="MQZ34" s="206"/>
      <c r="MRA34" s="206"/>
      <c r="MRB34" s="206"/>
      <c r="MRC34" s="206"/>
      <c r="MRD34" s="206"/>
      <c r="MRE34" s="206"/>
      <c r="MRF34" s="206"/>
      <c r="MRG34" s="206"/>
      <c r="MRH34" s="206"/>
      <c r="MRI34" s="206"/>
      <c r="MRJ34" s="206"/>
      <c r="MRK34" s="206"/>
      <c r="MRL34" s="206"/>
      <c r="MRM34" s="206"/>
      <c r="MRN34" s="206"/>
      <c r="MRO34" s="206"/>
      <c r="MRP34" s="206"/>
      <c r="MRQ34" s="206"/>
      <c r="MRR34" s="206"/>
      <c r="MRS34" s="206"/>
      <c r="MRT34" s="206"/>
      <c r="MRU34" s="206"/>
      <c r="MRV34" s="206"/>
      <c r="MRW34" s="206"/>
      <c r="MRX34" s="206"/>
      <c r="MRY34" s="206"/>
      <c r="MRZ34" s="206"/>
      <c r="MSA34" s="206"/>
      <c r="MSB34" s="206"/>
      <c r="MSC34" s="206"/>
      <c r="MSD34" s="206"/>
      <c r="MSE34" s="206"/>
      <c r="MSF34" s="206"/>
      <c r="MSG34" s="206"/>
      <c r="MSH34" s="206"/>
      <c r="MSI34" s="206"/>
      <c r="MSJ34" s="206"/>
      <c r="MSK34" s="206"/>
      <c r="MSL34" s="206"/>
      <c r="MSM34" s="206"/>
      <c r="MSN34" s="206"/>
      <c r="MSO34" s="206"/>
      <c r="MSP34" s="206"/>
      <c r="MSQ34" s="206"/>
      <c r="MSR34" s="206"/>
      <c r="MSS34" s="206"/>
      <c r="MST34" s="206"/>
      <c r="MSU34" s="206"/>
      <c r="MSV34" s="206"/>
      <c r="MSW34" s="206"/>
      <c r="MSX34" s="206"/>
      <c r="MSY34" s="206"/>
      <c r="MSZ34" s="206"/>
      <c r="MTA34" s="206"/>
      <c r="MTB34" s="206"/>
      <c r="MTC34" s="206"/>
      <c r="MTD34" s="206"/>
      <c r="MTE34" s="206"/>
      <c r="MTF34" s="206"/>
      <c r="MTG34" s="206"/>
      <c r="MTH34" s="206"/>
      <c r="MTI34" s="206"/>
      <c r="MTJ34" s="206"/>
      <c r="MTK34" s="206"/>
      <c r="MTL34" s="206"/>
      <c r="MTM34" s="206"/>
      <c r="MTN34" s="206"/>
      <c r="MTO34" s="206"/>
      <c r="MTP34" s="206"/>
      <c r="MTQ34" s="206"/>
      <c r="MTR34" s="206"/>
      <c r="MTS34" s="206"/>
      <c r="MTT34" s="206"/>
      <c r="MTU34" s="206"/>
      <c r="MTV34" s="206"/>
      <c r="MTW34" s="206"/>
      <c r="MTX34" s="206"/>
      <c r="MTY34" s="206"/>
      <c r="MTZ34" s="206"/>
      <c r="MUA34" s="206"/>
      <c r="MUB34" s="206"/>
      <c r="MUC34" s="206"/>
      <c r="MUD34" s="206"/>
      <c r="MUE34" s="206"/>
      <c r="MUF34" s="206"/>
      <c r="MUG34" s="206"/>
      <c r="MUH34" s="206"/>
      <c r="MUI34" s="206"/>
      <c r="MUJ34" s="206"/>
      <c r="MUK34" s="206"/>
      <c r="MUL34" s="206"/>
      <c r="MUM34" s="206"/>
      <c r="MUN34" s="206"/>
      <c r="MUO34" s="206"/>
      <c r="MUP34" s="206"/>
      <c r="MUQ34" s="206"/>
      <c r="MUR34" s="206"/>
      <c r="MUS34" s="206"/>
      <c r="MUT34" s="206"/>
      <c r="MUU34" s="206"/>
      <c r="MUV34" s="206"/>
      <c r="MUW34" s="206"/>
      <c r="MUX34" s="206"/>
      <c r="MUY34" s="206"/>
      <c r="MUZ34" s="206"/>
      <c r="MVA34" s="206"/>
      <c r="MVB34" s="206"/>
      <c r="MVC34" s="206"/>
      <c r="MVD34" s="206"/>
      <c r="MVE34" s="206"/>
      <c r="MVF34" s="206"/>
      <c r="MVG34" s="206"/>
      <c r="MVH34" s="206"/>
      <c r="MVI34" s="206"/>
      <c r="MVJ34" s="206"/>
      <c r="MVK34" s="206"/>
      <c r="MVL34" s="206"/>
      <c r="MVM34" s="206"/>
      <c r="MVN34" s="206"/>
      <c r="MVO34" s="206"/>
      <c r="MVP34" s="206"/>
      <c r="MVQ34" s="206"/>
      <c r="MVR34" s="206"/>
      <c r="MVS34" s="206"/>
      <c r="MVT34" s="206"/>
      <c r="MVU34" s="206"/>
      <c r="MVV34" s="206"/>
      <c r="MVW34" s="206"/>
      <c r="MVX34" s="206"/>
      <c r="MVY34" s="206"/>
      <c r="MVZ34" s="206"/>
      <c r="MWA34" s="206"/>
      <c r="MWB34" s="206"/>
      <c r="MWC34" s="206"/>
      <c r="MWD34" s="206"/>
      <c r="MWE34" s="206"/>
      <c r="MWF34" s="206"/>
      <c r="MWG34" s="206"/>
      <c r="MWH34" s="206"/>
      <c r="MWI34" s="206"/>
      <c r="MWJ34" s="206"/>
      <c r="MWK34" s="206"/>
      <c r="MWL34" s="206"/>
      <c r="MWM34" s="206"/>
      <c r="MWN34" s="206"/>
      <c r="MWO34" s="206"/>
      <c r="MWP34" s="206"/>
      <c r="MWQ34" s="206"/>
      <c r="MWR34" s="206"/>
      <c r="MWS34" s="206"/>
      <c r="MWT34" s="206"/>
      <c r="MWU34" s="206"/>
      <c r="MWV34" s="206"/>
      <c r="MWW34" s="206"/>
      <c r="MWX34" s="206"/>
      <c r="MWY34" s="206"/>
      <c r="MWZ34" s="206"/>
      <c r="MXA34" s="206"/>
      <c r="MXB34" s="206"/>
      <c r="MXC34" s="206"/>
      <c r="MXD34" s="206"/>
      <c r="MXE34" s="206"/>
      <c r="MXF34" s="206"/>
      <c r="MXG34" s="206"/>
      <c r="MXH34" s="206"/>
      <c r="MXI34" s="206"/>
      <c r="MXJ34" s="206"/>
      <c r="MXK34" s="206"/>
      <c r="MXL34" s="206"/>
      <c r="MXM34" s="206"/>
      <c r="MXN34" s="206"/>
      <c r="MXO34" s="206"/>
      <c r="MXP34" s="206"/>
      <c r="MXQ34" s="206"/>
      <c r="MXR34" s="206"/>
      <c r="MXS34" s="206"/>
      <c r="MXT34" s="206"/>
      <c r="MXU34" s="206"/>
      <c r="MXV34" s="206"/>
      <c r="MXW34" s="206"/>
      <c r="MXX34" s="206"/>
      <c r="MXY34" s="206"/>
      <c r="MXZ34" s="206"/>
      <c r="MYA34" s="206"/>
      <c r="MYB34" s="206"/>
      <c r="MYC34" s="206"/>
      <c r="MYD34" s="206"/>
      <c r="MYE34" s="206"/>
      <c r="MYF34" s="206"/>
      <c r="MYG34" s="206"/>
      <c r="MYH34" s="206"/>
      <c r="MYI34" s="206"/>
      <c r="MYJ34" s="206"/>
      <c r="MYK34" s="206"/>
      <c r="MYL34" s="206"/>
      <c r="MYM34" s="206"/>
      <c r="MYN34" s="206"/>
      <c r="MYO34" s="206"/>
      <c r="MYP34" s="206"/>
      <c r="MYQ34" s="206"/>
      <c r="MYR34" s="206"/>
      <c r="MYS34" s="206"/>
      <c r="MYT34" s="206"/>
      <c r="MYU34" s="206"/>
      <c r="MYV34" s="206"/>
      <c r="MYW34" s="206"/>
      <c r="MYX34" s="206"/>
      <c r="MYY34" s="206"/>
      <c r="MYZ34" s="206"/>
      <c r="MZA34" s="206"/>
      <c r="MZB34" s="206"/>
      <c r="MZC34" s="206"/>
      <c r="MZD34" s="206"/>
      <c r="MZE34" s="206"/>
      <c r="MZF34" s="206"/>
      <c r="MZG34" s="206"/>
      <c r="MZH34" s="206"/>
      <c r="MZI34" s="206"/>
      <c r="MZJ34" s="206"/>
      <c r="MZK34" s="206"/>
      <c r="MZL34" s="206"/>
      <c r="MZM34" s="206"/>
      <c r="MZN34" s="206"/>
      <c r="MZO34" s="206"/>
      <c r="MZP34" s="206"/>
      <c r="MZQ34" s="206"/>
      <c r="MZR34" s="206"/>
      <c r="MZS34" s="206"/>
      <c r="MZT34" s="206"/>
      <c r="MZU34" s="206"/>
      <c r="MZV34" s="206"/>
      <c r="MZW34" s="206"/>
      <c r="MZX34" s="206"/>
      <c r="MZY34" s="206"/>
      <c r="MZZ34" s="206"/>
      <c r="NAA34" s="206"/>
      <c r="NAB34" s="206"/>
      <c r="NAC34" s="206"/>
      <c r="NAD34" s="206"/>
      <c r="NAE34" s="206"/>
      <c r="NAF34" s="206"/>
      <c r="NAG34" s="206"/>
      <c r="NAH34" s="206"/>
      <c r="NAI34" s="206"/>
      <c r="NAJ34" s="206"/>
      <c r="NAK34" s="206"/>
      <c r="NAL34" s="206"/>
      <c r="NAM34" s="206"/>
      <c r="NAN34" s="206"/>
      <c r="NAO34" s="206"/>
      <c r="NAP34" s="206"/>
      <c r="NAQ34" s="206"/>
      <c r="NAR34" s="206"/>
      <c r="NAS34" s="206"/>
      <c r="NAT34" s="206"/>
      <c r="NAU34" s="206"/>
      <c r="NAV34" s="206"/>
      <c r="NAW34" s="206"/>
      <c r="NAX34" s="206"/>
      <c r="NAY34" s="206"/>
      <c r="NAZ34" s="206"/>
      <c r="NBA34" s="206"/>
      <c r="NBB34" s="206"/>
      <c r="NBC34" s="206"/>
      <c r="NBD34" s="206"/>
      <c r="NBE34" s="206"/>
      <c r="NBF34" s="206"/>
      <c r="NBG34" s="206"/>
      <c r="NBH34" s="206"/>
      <c r="NBI34" s="206"/>
      <c r="NBJ34" s="206"/>
      <c r="NBK34" s="206"/>
      <c r="NBL34" s="206"/>
      <c r="NBM34" s="206"/>
      <c r="NBN34" s="206"/>
      <c r="NBO34" s="206"/>
      <c r="NBP34" s="206"/>
      <c r="NBQ34" s="206"/>
      <c r="NBR34" s="206"/>
      <c r="NBS34" s="206"/>
      <c r="NBT34" s="206"/>
      <c r="NBU34" s="206"/>
      <c r="NBV34" s="206"/>
      <c r="NBW34" s="206"/>
      <c r="NBX34" s="206"/>
      <c r="NBY34" s="206"/>
      <c r="NBZ34" s="206"/>
      <c r="NCA34" s="206"/>
      <c r="NCB34" s="206"/>
      <c r="NCC34" s="206"/>
      <c r="NCD34" s="206"/>
      <c r="NCE34" s="206"/>
      <c r="NCF34" s="206"/>
      <c r="NCG34" s="206"/>
      <c r="NCH34" s="206"/>
      <c r="NCI34" s="206"/>
      <c r="NCJ34" s="206"/>
      <c r="NCK34" s="206"/>
      <c r="NCL34" s="206"/>
      <c r="NCM34" s="206"/>
      <c r="NCN34" s="206"/>
      <c r="NCO34" s="206"/>
      <c r="NCP34" s="206"/>
      <c r="NCQ34" s="206"/>
      <c r="NCR34" s="206"/>
      <c r="NCS34" s="206"/>
      <c r="NCT34" s="206"/>
      <c r="NCU34" s="206"/>
      <c r="NCV34" s="206"/>
      <c r="NCW34" s="206"/>
      <c r="NCX34" s="206"/>
      <c r="NCY34" s="206"/>
      <c r="NCZ34" s="206"/>
      <c r="NDA34" s="206"/>
      <c r="NDB34" s="206"/>
      <c r="NDC34" s="206"/>
      <c r="NDD34" s="206"/>
      <c r="NDE34" s="206"/>
      <c r="NDF34" s="206"/>
      <c r="NDG34" s="206"/>
      <c r="NDH34" s="206"/>
      <c r="NDI34" s="206"/>
      <c r="NDJ34" s="206"/>
      <c r="NDK34" s="206"/>
      <c r="NDL34" s="206"/>
      <c r="NDM34" s="206"/>
      <c r="NDN34" s="206"/>
      <c r="NDO34" s="206"/>
      <c r="NDP34" s="206"/>
      <c r="NDQ34" s="206"/>
      <c r="NDR34" s="206"/>
      <c r="NDS34" s="206"/>
      <c r="NDT34" s="206"/>
      <c r="NDU34" s="206"/>
      <c r="NDV34" s="206"/>
      <c r="NDW34" s="206"/>
      <c r="NDX34" s="206"/>
      <c r="NDY34" s="206"/>
      <c r="NDZ34" s="206"/>
      <c r="NEA34" s="206"/>
      <c r="NEB34" s="206"/>
      <c r="NEC34" s="206"/>
      <c r="NED34" s="206"/>
      <c r="NEE34" s="206"/>
      <c r="NEF34" s="206"/>
      <c r="NEG34" s="206"/>
      <c r="NEH34" s="206"/>
      <c r="NEI34" s="206"/>
      <c r="NEJ34" s="206"/>
      <c r="NEK34" s="206"/>
      <c r="NEL34" s="206"/>
      <c r="NEM34" s="206"/>
      <c r="NEN34" s="206"/>
      <c r="NEO34" s="206"/>
      <c r="NEP34" s="206"/>
      <c r="NEQ34" s="206"/>
      <c r="NER34" s="206"/>
      <c r="NES34" s="206"/>
      <c r="NET34" s="206"/>
      <c r="NEU34" s="206"/>
      <c r="NEV34" s="206"/>
      <c r="NEW34" s="206"/>
      <c r="NEX34" s="206"/>
      <c r="NEY34" s="206"/>
      <c r="NEZ34" s="206"/>
      <c r="NFA34" s="206"/>
      <c r="NFB34" s="206"/>
      <c r="NFC34" s="206"/>
      <c r="NFD34" s="206"/>
      <c r="NFE34" s="206"/>
      <c r="NFF34" s="206"/>
      <c r="NFG34" s="206"/>
      <c r="NFH34" s="206"/>
      <c r="NFI34" s="206"/>
      <c r="NFJ34" s="206"/>
      <c r="NFK34" s="206"/>
      <c r="NFL34" s="206"/>
      <c r="NFM34" s="206"/>
      <c r="NFN34" s="206"/>
      <c r="NFO34" s="206"/>
      <c r="NFP34" s="206"/>
      <c r="NFQ34" s="206"/>
      <c r="NFR34" s="206"/>
      <c r="NFS34" s="206"/>
      <c r="NFT34" s="206"/>
      <c r="NFU34" s="206"/>
      <c r="NFV34" s="206"/>
      <c r="NFW34" s="206"/>
      <c r="NFX34" s="206"/>
      <c r="NFY34" s="206"/>
      <c r="NFZ34" s="206"/>
      <c r="NGA34" s="206"/>
      <c r="NGB34" s="206"/>
      <c r="NGC34" s="206"/>
      <c r="NGD34" s="206"/>
      <c r="NGE34" s="206"/>
      <c r="NGF34" s="206"/>
      <c r="NGG34" s="206"/>
      <c r="NGH34" s="206"/>
      <c r="NGI34" s="206"/>
      <c r="NGJ34" s="206"/>
      <c r="NGK34" s="206"/>
      <c r="NGL34" s="206"/>
      <c r="NGM34" s="206"/>
      <c r="NGN34" s="206"/>
      <c r="NGO34" s="206"/>
      <c r="NGP34" s="206"/>
      <c r="NGQ34" s="206"/>
      <c r="NGR34" s="206"/>
      <c r="NGS34" s="206"/>
      <c r="NGT34" s="206"/>
      <c r="NGU34" s="206"/>
      <c r="NGV34" s="206"/>
      <c r="NGW34" s="206"/>
      <c r="NGX34" s="206"/>
      <c r="NGY34" s="206"/>
      <c r="NGZ34" s="206"/>
      <c r="NHA34" s="206"/>
      <c r="NHB34" s="206"/>
      <c r="NHC34" s="206"/>
      <c r="NHD34" s="206"/>
      <c r="NHE34" s="206"/>
      <c r="NHF34" s="206"/>
      <c r="NHG34" s="206"/>
      <c r="NHH34" s="206"/>
      <c r="NHI34" s="206"/>
      <c r="NHJ34" s="206"/>
      <c r="NHK34" s="206"/>
      <c r="NHL34" s="206"/>
      <c r="NHM34" s="206"/>
      <c r="NHN34" s="206"/>
      <c r="NHO34" s="206"/>
      <c r="NHP34" s="206"/>
      <c r="NHQ34" s="206"/>
      <c r="NHR34" s="206"/>
      <c r="NHS34" s="206"/>
      <c r="NHT34" s="206"/>
      <c r="NHU34" s="206"/>
      <c r="NHV34" s="206"/>
      <c r="NHW34" s="206"/>
      <c r="NHX34" s="206"/>
      <c r="NHY34" s="206"/>
      <c r="NHZ34" s="206"/>
      <c r="NIA34" s="206"/>
      <c r="NIB34" s="206"/>
      <c r="NIC34" s="206"/>
      <c r="NID34" s="206"/>
      <c r="NIE34" s="206"/>
      <c r="NIF34" s="206"/>
      <c r="NIG34" s="206"/>
      <c r="NIH34" s="206"/>
      <c r="NII34" s="206"/>
      <c r="NIJ34" s="206"/>
      <c r="NIK34" s="206"/>
      <c r="NIL34" s="206"/>
      <c r="NIM34" s="206"/>
      <c r="NIN34" s="206"/>
      <c r="NIO34" s="206"/>
      <c r="NIP34" s="206"/>
      <c r="NIQ34" s="206"/>
      <c r="NIR34" s="206"/>
      <c r="NIS34" s="206"/>
      <c r="NIT34" s="206"/>
      <c r="NIU34" s="206"/>
      <c r="NIV34" s="206"/>
      <c r="NIW34" s="206"/>
      <c r="NIX34" s="206"/>
      <c r="NIY34" s="206"/>
      <c r="NIZ34" s="206"/>
      <c r="NJA34" s="206"/>
      <c r="NJB34" s="206"/>
      <c r="NJC34" s="206"/>
      <c r="NJD34" s="206"/>
      <c r="NJE34" s="206"/>
      <c r="NJF34" s="206"/>
      <c r="NJG34" s="206"/>
      <c r="NJH34" s="206"/>
      <c r="NJI34" s="206"/>
      <c r="NJJ34" s="206"/>
      <c r="NJK34" s="206"/>
      <c r="NJL34" s="206"/>
      <c r="NJM34" s="206"/>
      <c r="NJN34" s="206"/>
      <c r="NJO34" s="206"/>
      <c r="NJP34" s="206"/>
      <c r="NJQ34" s="206"/>
      <c r="NJR34" s="206"/>
      <c r="NJS34" s="206"/>
      <c r="NJT34" s="206"/>
      <c r="NJU34" s="206"/>
      <c r="NJV34" s="206"/>
      <c r="NJW34" s="206"/>
      <c r="NJX34" s="206"/>
      <c r="NJY34" s="206"/>
      <c r="NJZ34" s="206"/>
      <c r="NKA34" s="206"/>
      <c r="NKB34" s="206"/>
      <c r="NKC34" s="206"/>
      <c r="NKD34" s="206"/>
      <c r="NKE34" s="206"/>
      <c r="NKF34" s="206"/>
      <c r="NKG34" s="206"/>
      <c r="NKH34" s="206"/>
      <c r="NKI34" s="206"/>
      <c r="NKJ34" s="206"/>
      <c r="NKK34" s="206"/>
      <c r="NKL34" s="206"/>
      <c r="NKM34" s="206"/>
      <c r="NKN34" s="206"/>
      <c r="NKO34" s="206"/>
      <c r="NKP34" s="206"/>
      <c r="NKQ34" s="206"/>
      <c r="NKR34" s="206"/>
      <c r="NKS34" s="206"/>
      <c r="NKT34" s="206"/>
      <c r="NKU34" s="206"/>
      <c r="NKV34" s="206"/>
      <c r="NKW34" s="206"/>
      <c r="NKX34" s="206"/>
      <c r="NKY34" s="206"/>
      <c r="NKZ34" s="206"/>
      <c r="NLA34" s="206"/>
      <c r="NLB34" s="206"/>
      <c r="NLC34" s="206"/>
      <c r="NLD34" s="206"/>
      <c r="NLE34" s="206"/>
      <c r="NLF34" s="206"/>
      <c r="NLG34" s="206"/>
      <c r="NLH34" s="206"/>
      <c r="NLI34" s="206"/>
      <c r="NLJ34" s="206"/>
      <c r="NLK34" s="206"/>
      <c r="NLL34" s="206"/>
      <c r="NLM34" s="206"/>
      <c r="NLN34" s="206"/>
      <c r="NLO34" s="206"/>
      <c r="NLP34" s="206"/>
      <c r="NLQ34" s="206"/>
      <c r="NLR34" s="206"/>
      <c r="NLS34" s="206"/>
      <c r="NLT34" s="206"/>
      <c r="NLU34" s="206"/>
      <c r="NLV34" s="206"/>
      <c r="NLW34" s="206"/>
      <c r="NLX34" s="206"/>
      <c r="NLY34" s="206"/>
      <c r="NLZ34" s="206"/>
      <c r="NMA34" s="206"/>
      <c r="NMB34" s="206"/>
      <c r="NMC34" s="206"/>
      <c r="NMD34" s="206"/>
      <c r="NME34" s="206"/>
      <c r="NMF34" s="206"/>
      <c r="NMG34" s="206"/>
      <c r="NMH34" s="206"/>
      <c r="NMI34" s="206"/>
      <c r="NMJ34" s="206"/>
      <c r="NMK34" s="206"/>
      <c r="NML34" s="206"/>
      <c r="NMM34" s="206"/>
      <c r="NMN34" s="206"/>
      <c r="NMO34" s="206"/>
      <c r="NMP34" s="206"/>
      <c r="NMQ34" s="206"/>
      <c r="NMR34" s="206"/>
      <c r="NMS34" s="206"/>
      <c r="NMT34" s="206"/>
      <c r="NMU34" s="206"/>
      <c r="NMV34" s="206"/>
      <c r="NMW34" s="206"/>
      <c r="NMX34" s="206"/>
      <c r="NMY34" s="206"/>
      <c r="NMZ34" s="206"/>
      <c r="NNA34" s="206"/>
      <c r="NNB34" s="206"/>
      <c r="NNC34" s="206"/>
      <c r="NND34" s="206"/>
      <c r="NNE34" s="206"/>
      <c r="NNF34" s="206"/>
      <c r="NNG34" s="206"/>
      <c r="NNH34" s="206"/>
      <c r="NNI34" s="206"/>
      <c r="NNJ34" s="206"/>
      <c r="NNK34" s="206"/>
      <c r="NNL34" s="206"/>
      <c r="NNM34" s="206"/>
      <c r="NNN34" s="206"/>
      <c r="NNO34" s="206"/>
      <c r="NNP34" s="206"/>
      <c r="NNQ34" s="206"/>
      <c r="NNR34" s="206"/>
      <c r="NNS34" s="206"/>
      <c r="NNT34" s="206"/>
      <c r="NNU34" s="206"/>
      <c r="NNV34" s="206"/>
      <c r="NNW34" s="206"/>
      <c r="NNX34" s="206"/>
      <c r="NNY34" s="206"/>
      <c r="NNZ34" s="206"/>
      <c r="NOA34" s="206"/>
      <c r="NOB34" s="206"/>
      <c r="NOC34" s="206"/>
      <c r="NOD34" s="206"/>
      <c r="NOE34" s="206"/>
      <c r="NOF34" s="206"/>
      <c r="NOG34" s="206"/>
      <c r="NOH34" s="206"/>
      <c r="NOI34" s="206"/>
      <c r="NOJ34" s="206"/>
      <c r="NOK34" s="206"/>
      <c r="NOL34" s="206"/>
      <c r="NOM34" s="206"/>
      <c r="NON34" s="206"/>
      <c r="NOO34" s="206"/>
      <c r="NOP34" s="206"/>
      <c r="NOQ34" s="206"/>
      <c r="NOR34" s="206"/>
      <c r="NOS34" s="206"/>
      <c r="NOT34" s="206"/>
      <c r="NOU34" s="206"/>
      <c r="NOV34" s="206"/>
      <c r="NOW34" s="206"/>
      <c r="NOX34" s="206"/>
      <c r="NOY34" s="206"/>
      <c r="NOZ34" s="206"/>
      <c r="NPA34" s="206"/>
      <c r="NPB34" s="206"/>
      <c r="NPC34" s="206"/>
      <c r="NPD34" s="206"/>
      <c r="NPE34" s="206"/>
      <c r="NPF34" s="206"/>
      <c r="NPG34" s="206"/>
      <c r="NPH34" s="206"/>
      <c r="NPI34" s="206"/>
      <c r="NPJ34" s="206"/>
      <c r="NPK34" s="206"/>
      <c r="NPL34" s="206"/>
      <c r="NPM34" s="206"/>
      <c r="NPN34" s="206"/>
      <c r="NPO34" s="206"/>
      <c r="NPP34" s="206"/>
      <c r="NPQ34" s="206"/>
      <c r="NPR34" s="206"/>
      <c r="NPS34" s="206"/>
      <c r="NPT34" s="206"/>
      <c r="NPU34" s="206"/>
      <c r="NPV34" s="206"/>
      <c r="NPW34" s="206"/>
      <c r="NPX34" s="206"/>
      <c r="NPY34" s="206"/>
      <c r="NPZ34" s="206"/>
      <c r="NQA34" s="206"/>
      <c r="NQB34" s="206"/>
      <c r="NQC34" s="206"/>
      <c r="NQD34" s="206"/>
      <c r="NQE34" s="206"/>
      <c r="NQF34" s="206"/>
      <c r="NQG34" s="206"/>
      <c r="NQH34" s="206"/>
      <c r="NQI34" s="206"/>
      <c r="NQJ34" s="206"/>
      <c r="NQK34" s="206"/>
      <c r="NQL34" s="206"/>
      <c r="NQM34" s="206"/>
      <c r="NQN34" s="206"/>
      <c r="NQO34" s="206"/>
      <c r="NQP34" s="206"/>
      <c r="NQQ34" s="206"/>
      <c r="NQR34" s="206"/>
      <c r="NQS34" s="206"/>
      <c r="NQT34" s="206"/>
      <c r="NQU34" s="206"/>
      <c r="NQV34" s="206"/>
      <c r="NQW34" s="206"/>
      <c r="NQX34" s="206"/>
      <c r="NQY34" s="206"/>
      <c r="NQZ34" s="206"/>
      <c r="NRA34" s="206"/>
      <c r="NRB34" s="206"/>
      <c r="NRC34" s="206"/>
      <c r="NRD34" s="206"/>
      <c r="NRE34" s="206"/>
      <c r="NRF34" s="206"/>
      <c r="NRG34" s="206"/>
      <c r="NRH34" s="206"/>
      <c r="NRI34" s="206"/>
      <c r="NRJ34" s="206"/>
      <c r="NRK34" s="206"/>
      <c r="NRL34" s="206"/>
      <c r="NRM34" s="206"/>
      <c r="NRN34" s="206"/>
      <c r="NRO34" s="206"/>
      <c r="NRP34" s="206"/>
      <c r="NRQ34" s="206"/>
      <c r="NRR34" s="206"/>
      <c r="NRS34" s="206"/>
      <c r="NRT34" s="206"/>
      <c r="NRU34" s="206"/>
      <c r="NRV34" s="206"/>
      <c r="NRW34" s="206"/>
      <c r="NRX34" s="206"/>
      <c r="NRY34" s="206"/>
      <c r="NRZ34" s="206"/>
      <c r="NSA34" s="206"/>
      <c r="NSB34" s="206"/>
      <c r="NSC34" s="206"/>
      <c r="NSD34" s="206"/>
      <c r="NSE34" s="206"/>
      <c r="NSF34" s="206"/>
      <c r="NSG34" s="206"/>
      <c r="NSH34" s="206"/>
      <c r="NSI34" s="206"/>
      <c r="NSJ34" s="206"/>
      <c r="NSK34" s="206"/>
      <c r="NSL34" s="206"/>
      <c r="NSM34" s="206"/>
      <c r="NSN34" s="206"/>
      <c r="NSO34" s="206"/>
      <c r="NSP34" s="206"/>
      <c r="NSQ34" s="206"/>
      <c r="NSR34" s="206"/>
      <c r="NSS34" s="206"/>
      <c r="NST34" s="206"/>
      <c r="NSU34" s="206"/>
      <c r="NSV34" s="206"/>
      <c r="NSW34" s="206"/>
      <c r="NSX34" s="206"/>
      <c r="NSY34" s="206"/>
      <c r="NSZ34" s="206"/>
      <c r="NTA34" s="206"/>
      <c r="NTB34" s="206"/>
      <c r="NTC34" s="206"/>
      <c r="NTD34" s="206"/>
      <c r="NTE34" s="206"/>
      <c r="NTF34" s="206"/>
      <c r="NTG34" s="206"/>
      <c r="NTH34" s="206"/>
      <c r="NTI34" s="206"/>
      <c r="NTJ34" s="206"/>
      <c r="NTK34" s="206"/>
      <c r="NTL34" s="206"/>
      <c r="NTM34" s="206"/>
      <c r="NTN34" s="206"/>
      <c r="NTO34" s="206"/>
      <c r="NTP34" s="206"/>
      <c r="NTQ34" s="206"/>
      <c r="NTR34" s="206"/>
      <c r="NTS34" s="206"/>
      <c r="NTT34" s="206"/>
      <c r="NTU34" s="206"/>
      <c r="NTV34" s="206"/>
      <c r="NTW34" s="206"/>
      <c r="NTX34" s="206"/>
      <c r="NTY34" s="206"/>
      <c r="NTZ34" s="206"/>
      <c r="NUA34" s="206"/>
      <c r="NUB34" s="206"/>
      <c r="NUC34" s="206"/>
      <c r="NUD34" s="206"/>
      <c r="NUE34" s="206"/>
      <c r="NUF34" s="206"/>
      <c r="NUG34" s="206"/>
      <c r="NUH34" s="206"/>
      <c r="NUI34" s="206"/>
      <c r="NUJ34" s="206"/>
      <c r="NUK34" s="206"/>
      <c r="NUL34" s="206"/>
      <c r="NUM34" s="206"/>
      <c r="NUN34" s="206"/>
      <c r="NUO34" s="206"/>
      <c r="NUP34" s="206"/>
      <c r="NUQ34" s="206"/>
      <c r="NUR34" s="206"/>
      <c r="NUS34" s="206"/>
      <c r="NUT34" s="206"/>
      <c r="NUU34" s="206"/>
      <c r="NUV34" s="206"/>
      <c r="NUW34" s="206"/>
      <c r="NUX34" s="206"/>
      <c r="NUY34" s="206"/>
      <c r="NUZ34" s="206"/>
      <c r="NVA34" s="206"/>
      <c r="NVB34" s="206"/>
      <c r="NVC34" s="206"/>
      <c r="NVD34" s="206"/>
      <c r="NVE34" s="206"/>
      <c r="NVF34" s="206"/>
      <c r="NVG34" s="206"/>
      <c r="NVH34" s="206"/>
      <c r="NVI34" s="206"/>
      <c r="NVJ34" s="206"/>
      <c r="NVK34" s="206"/>
      <c r="NVL34" s="206"/>
      <c r="NVM34" s="206"/>
      <c r="NVN34" s="206"/>
      <c r="NVO34" s="206"/>
      <c r="NVP34" s="206"/>
      <c r="NVQ34" s="206"/>
      <c r="NVR34" s="206"/>
      <c r="NVS34" s="206"/>
      <c r="NVT34" s="206"/>
      <c r="NVU34" s="206"/>
      <c r="NVV34" s="206"/>
      <c r="NVW34" s="206"/>
      <c r="NVX34" s="206"/>
      <c r="NVY34" s="206"/>
      <c r="NVZ34" s="206"/>
      <c r="NWA34" s="206"/>
      <c r="NWB34" s="206"/>
      <c r="NWC34" s="206"/>
      <c r="NWD34" s="206"/>
      <c r="NWE34" s="206"/>
      <c r="NWF34" s="206"/>
      <c r="NWG34" s="206"/>
      <c r="NWH34" s="206"/>
      <c r="NWI34" s="206"/>
      <c r="NWJ34" s="206"/>
      <c r="NWK34" s="206"/>
      <c r="NWL34" s="206"/>
      <c r="NWM34" s="206"/>
      <c r="NWN34" s="206"/>
      <c r="NWO34" s="206"/>
      <c r="NWP34" s="206"/>
      <c r="NWQ34" s="206"/>
      <c r="NWR34" s="206"/>
      <c r="NWS34" s="206"/>
      <c r="NWT34" s="206"/>
      <c r="NWU34" s="206"/>
      <c r="NWV34" s="206"/>
      <c r="NWW34" s="206"/>
      <c r="NWX34" s="206"/>
      <c r="NWY34" s="206"/>
      <c r="NWZ34" s="206"/>
      <c r="NXA34" s="206"/>
      <c r="NXB34" s="206"/>
      <c r="NXC34" s="206"/>
      <c r="NXD34" s="206"/>
      <c r="NXE34" s="206"/>
      <c r="NXF34" s="206"/>
      <c r="NXG34" s="206"/>
      <c r="NXH34" s="206"/>
      <c r="NXI34" s="206"/>
      <c r="NXJ34" s="206"/>
      <c r="NXK34" s="206"/>
      <c r="NXL34" s="206"/>
      <c r="NXM34" s="206"/>
      <c r="NXN34" s="206"/>
      <c r="NXO34" s="206"/>
      <c r="NXP34" s="206"/>
      <c r="NXQ34" s="206"/>
      <c r="NXR34" s="206"/>
      <c r="NXS34" s="206"/>
      <c r="NXT34" s="206"/>
      <c r="NXU34" s="206"/>
      <c r="NXV34" s="206"/>
      <c r="NXW34" s="206"/>
      <c r="NXX34" s="206"/>
      <c r="NXY34" s="206"/>
      <c r="NXZ34" s="206"/>
      <c r="NYA34" s="206"/>
      <c r="NYB34" s="206"/>
      <c r="NYC34" s="206"/>
      <c r="NYD34" s="206"/>
      <c r="NYE34" s="206"/>
      <c r="NYF34" s="206"/>
      <c r="NYG34" s="206"/>
      <c r="NYH34" s="206"/>
      <c r="NYI34" s="206"/>
      <c r="NYJ34" s="206"/>
      <c r="NYK34" s="206"/>
      <c r="NYL34" s="206"/>
      <c r="NYM34" s="206"/>
      <c r="NYN34" s="206"/>
      <c r="NYO34" s="206"/>
      <c r="NYP34" s="206"/>
      <c r="NYQ34" s="206"/>
      <c r="NYR34" s="206"/>
      <c r="NYS34" s="206"/>
      <c r="NYT34" s="206"/>
      <c r="NYU34" s="206"/>
      <c r="NYV34" s="206"/>
      <c r="NYW34" s="206"/>
      <c r="NYX34" s="206"/>
      <c r="NYY34" s="206"/>
      <c r="NYZ34" s="206"/>
      <c r="NZA34" s="206"/>
      <c r="NZB34" s="206"/>
      <c r="NZC34" s="206"/>
      <c r="NZD34" s="206"/>
      <c r="NZE34" s="206"/>
      <c r="NZF34" s="206"/>
      <c r="NZG34" s="206"/>
      <c r="NZH34" s="206"/>
      <c r="NZI34" s="206"/>
      <c r="NZJ34" s="206"/>
      <c r="NZK34" s="206"/>
      <c r="NZL34" s="206"/>
      <c r="NZM34" s="206"/>
      <c r="NZN34" s="206"/>
      <c r="NZO34" s="206"/>
      <c r="NZP34" s="206"/>
      <c r="NZQ34" s="206"/>
      <c r="NZR34" s="206"/>
      <c r="NZS34" s="206"/>
      <c r="NZT34" s="206"/>
      <c r="NZU34" s="206"/>
      <c r="NZV34" s="206"/>
      <c r="NZW34" s="206"/>
      <c r="NZX34" s="206"/>
      <c r="NZY34" s="206"/>
      <c r="NZZ34" s="206"/>
      <c r="OAA34" s="206"/>
      <c r="OAB34" s="206"/>
      <c r="OAC34" s="206"/>
      <c r="OAD34" s="206"/>
      <c r="OAE34" s="206"/>
      <c r="OAF34" s="206"/>
      <c r="OAG34" s="206"/>
      <c r="OAH34" s="206"/>
      <c r="OAI34" s="206"/>
      <c r="OAJ34" s="206"/>
      <c r="OAK34" s="206"/>
      <c r="OAL34" s="206"/>
      <c r="OAM34" s="206"/>
      <c r="OAN34" s="206"/>
      <c r="OAO34" s="206"/>
      <c r="OAP34" s="206"/>
      <c r="OAQ34" s="206"/>
      <c r="OAR34" s="206"/>
      <c r="OAS34" s="206"/>
      <c r="OAT34" s="206"/>
      <c r="OAU34" s="206"/>
      <c r="OAV34" s="206"/>
      <c r="OAW34" s="206"/>
      <c r="OAX34" s="206"/>
      <c r="OAY34" s="206"/>
      <c r="OAZ34" s="206"/>
      <c r="OBA34" s="206"/>
      <c r="OBB34" s="206"/>
      <c r="OBC34" s="206"/>
      <c r="OBD34" s="206"/>
      <c r="OBE34" s="206"/>
      <c r="OBF34" s="206"/>
      <c r="OBG34" s="206"/>
      <c r="OBH34" s="206"/>
      <c r="OBI34" s="206"/>
      <c r="OBJ34" s="206"/>
      <c r="OBK34" s="206"/>
      <c r="OBL34" s="206"/>
      <c r="OBM34" s="206"/>
      <c r="OBN34" s="206"/>
      <c r="OBO34" s="206"/>
      <c r="OBP34" s="206"/>
      <c r="OBQ34" s="206"/>
      <c r="OBR34" s="206"/>
      <c r="OBS34" s="206"/>
      <c r="OBT34" s="206"/>
      <c r="OBU34" s="206"/>
      <c r="OBV34" s="206"/>
      <c r="OBW34" s="206"/>
      <c r="OBX34" s="206"/>
      <c r="OBY34" s="206"/>
      <c r="OBZ34" s="206"/>
      <c r="OCA34" s="206"/>
      <c r="OCB34" s="206"/>
      <c r="OCC34" s="206"/>
      <c r="OCD34" s="206"/>
      <c r="OCE34" s="206"/>
      <c r="OCF34" s="206"/>
      <c r="OCG34" s="206"/>
      <c r="OCH34" s="206"/>
      <c r="OCI34" s="206"/>
      <c r="OCJ34" s="206"/>
      <c r="OCK34" s="206"/>
      <c r="OCL34" s="206"/>
      <c r="OCM34" s="206"/>
      <c r="OCN34" s="206"/>
      <c r="OCO34" s="206"/>
      <c r="OCP34" s="206"/>
      <c r="OCQ34" s="206"/>
      <c r="OCR34" s="206"/>
      <c r="OCS34" s="206"/>
      <c r="OCT34" s="206"/>
      <c r="OCU34" s="206"/>
      <c r="OCV34" s="206"/>
      <c r="OCW34" s="206"/>
      <c r="OCX34" s="206"/>
      <c r="OCY34" s="206"/>
      <c r="OCZ34" s="206"/>
      <c r="ODA34" s="206"/>
      <c r="ODB34" s="206"/>
      <c r="ODC34" s="206"/>
      <c r="ODD34" s="206"/>
      <c r="ODE34" s="206"/>
      <c r="ODF34" s="206"/>
      <c r="ODG34" s="206"/>
      <c r="ODH34" s="206"/>
      <c r="ODI34" s="206"/>
      <c r="ODJ34" s="206"/>
      <c r="ODK34" s="206"/>
      <c r="ODL34" s="206"/>
      <c r="ODM34" s="206"/>
      <c r="ODN34" s="206"/>
      <c r="ODO34" s="206"/>
      <c r="ODP34" s="206"/>
      <c r="ODQ34" s="206"/>
      <c r="ODR34" s="206"/>
      <c r="ODS34" s="206"/>
      <c r="ODT34" s="206"/>
      <c r="ODU34" s="206"/>
      <c r="ODV34" s="206"/>
      <c r="ODW34" s="206"/>
      <c r="ODX34" s="206"/>
      <c r="ODY34" s="206"/>
      <c r="ODZ34" s="206"/>
      <c r="OEA34" s="206"/>
      <c r="OEB34" s="206"/>
      <c r="OEC34" s="206"/>
      <c r="OED34" s="206"/>
      <c r="OEE34" s="206"/>
      <c r="OEF34" s="206"/>
      <c r="OEG34" s="206"/>
      <c r="OEH34" s="206"/>
      <c r="OEI34" s="206"/>
      <c r="OEJ34" s="206"/>
      <c r="OEK34" s="206"/>
      <c r="OEL34" s="206"/>
      <c r="OEM34" s="206"/>
      <c r="OEN34" s="206"/>
      <c r="OEO34" s="206"/>
      <c r="OEP34" s="206"/>
      <c r="OEQ34" s="206"/>
      <c r="OER34" s="206"/>
      <c r="OES34" s="206"/>
      <c r="OET34" s="206"/>
      <c r="OEU34" s="206"/>
      <c r="OEV34" s="206"/>
      <c r="OEW34" s="206"/>
      <c r="OEX34" s="206"/>
      <c r="OEY34" s="206"/>
      <c r="OEZ34" s="206"/>
      <c r="OFA34" s="206"/>
      <c r="OFB34" s="206"/>
      <c r="OFC34" s="206"/>
      <c r="OFD34" s="206"/>
      <c r="OFE34" s="206"/>
      <c r="OFF34" s="206"/>
      <c r="OFG34" s="206"/>
      <c r="OFH34" s="206"/>
      <c r="OFI34" s="206"/>
      <c r="OFJ34" s="206"/>
      <c r="OFK34" s="206"/>
      <c r="OFL34" s="206"/>
      <c r="OFM34" s="206"/>
      <c r="OFN34" s="206"/>
      <c r="OFO34" s="206"/>
      <c r="OFP34" s="206"/>
      <c r="OFQ34" s="206"/>
      <c r="OFR34" s="206"/>
      <c r="OFS34" s="206"/>
      <c r="OFT34" s="206"/>
      <c r="OFU34" s="206"/>
      <c r="OFV34" s="206"/>
      <c r="OFW34" s="206"/>
      <c r="OFX34" s="206"/>
      <c r="OFY34" s="206"/>
      <c r="OFZ34" s="206"/>
      <c r="OGA34" s="206"/>
      <c r="OGB34" s="206"/>
      <c r="OGC34" s="206"/>
      <c r="OGD34" s="206"/>
      <c r="OGE34" s="206"/>
      <c r="OGF34" s="206"/>
      <c r="OGG34" s="206"/>
      <c r="OGH34" s="206"/>
      <c r="OGI34" s="206"/>
      <c r="OGJ34" s="206"/>
      <c r="OGK34" s="206"/>
      <c r="OGL34" s="206"/>
      <c r="OGM34" s="206"/>
      <c r="OGN34" s="206"/>
      <c r="OGO34" s="206"/>
      <c r="OGP34" s="206"/>
      <c r="OGQ34" s="206"/>
      <c r="OGR34" s="206"/>
      <c r="OGS34" s="206"/>
      <c r="OGT34" s="206"/>
      <c r="OGU34" s="206"/>
      <c r="OGV34" s="206"/>
      <c r="OGW34" s="206"/>
      <c r="OGX34" s="206"/>
      <c r="OGY34" s="206"/>
      <c r="OGZ34" s="206"/>
      <c r="OHA34" s="206"/>
      <c r="OHB34" s="206"/>
      <c r="OHC34" s="206"/>
      <c r="OHD34" s="206"/>
      <c r="OHE34" s="206"/>
      <c r="OHF34" s="206"/>
      <c r="OHG34" s="206"/>
      <c r="OHH34" s="206"/>
      <c r="OHI34" s="206"/>
      <c r="OHJ34" s="206"/>
      <c r="OHK34" s="206"/>
      <c r="OHL34" s="206"/>
      <c r="OHM34" s="206"/>
      <c r="OHN34" s="206"/>
      <c r="OHO34" s="206"/>
      <c r="OHP34" s="206"/>
      <c r="OHQ34" s="206"/>
      <c r="OHR34" s="206"/>
      <c r="OHS34" s="206"/>
      <c r="OHT34" s="206"/>
      <c r="OHU34" s="206"/>
      <c r="OHV34" s="206"/>
      <c r="OHW34" s="206"/>
      <c r="OHX34" s="206"/>
      <c r="OHY34" s="206"/>
      <c r="OHZ34" s="206"/>
      <c r="OIA34" s="206"/>
      <c r="OIB34" s="206"/>
      <c r="OIC34" s="206"/>
      <c r="OID34" s="206"/>
      <c r="OIE34" s="206"/>
      <c r="OIF34" s="206"/>
      <c r="OIG34" s="206"/>
      <c r="OIH34" s="206"/>
      <c r="OII34" s="206"/>
      <c r="OIJ34" s="206"/>
      <c r="OIK34" s="206"/>
      <c r="OIL34" s="206"/>
      <c r="OIM34" s="206"/>
      <c r="OIN34" s="206"/>
      <c r="OIO34" s="206"/>
      <c r="OIP34" s="206"/>
      <c r="OIQ34" s="206"/>
      <c r="OIR34" s="206"/>
      <c r="OIS34" s="206"/>
      <c r="OIT34" s="206"/>
      <c r="OIU34" s="206"/>
      <c r="OIV34" s="206"/>
      <c r="OIW34" s="206"/>
      <c r="OIX34" s="206"/>
      <c r="OIY34" s="206"/>
      <c r="OIZ34" s="206"/>
      <c r="OJA34" s="206"/>
      <c r="OJB34" s="206"/>
      <c r="OJC34" s="206"/>
      <c r="OJD34" s="206"/>
      <c r="OJE34" s="206"/>
      <c r="OJF34" s="206"/>
      <c r="OJG34" s="206"/>
      <c r="OJH34" s="206"/>
      <c r="OJI34" s="206"/>
      <c r="OJJ34" s="206"/>
      <c r="OJK34" s="206"/>
      <c r="OJL34" s="206"/>
      <c r="OJM34" s="206"/>
      <c r="OJN34" s="206"/>
      <c r="OJO34" s="206"/>
      <c r="OJP34" s="206"/>
      <c r="OJQ34" s="206"/>
      <c r="OJR34" s="206"/>
      <c r="OJS34" s="206"/>
      <c r="OJT34" s="206"/>
      <c r="OJU34" s="206"/>
      <c r="OJV34" s="206"/>
      <c r="OJW34" s="206"/>
      <c r="OJX34" s="206"/>
      <c r="OJY34" s="206"/>
      <c r="OJZ34" s="206"/>
      <c r="OKA34" s="206"/>
      <c r="OKB34" s="206"/>
      <c r="OKC34" s="206"/>
      <c r="OKD34" s="206"/>
      <c r="OKE34" s="206"/>
      <c r="OKF34" s="206"/>
      <c r="OKG34" s="206"/>
      <c r="OKH34" s="206"/>
      <c r="OKI34" s="206"/>
      <c r="OKJ34" s="206"/>
      <c r="OKK34" s="206"/>
      <c r="OKL34" s="206"/>
      <c r="OKM34" s="206"/>
      <c r="OKN34" s="206"/>
      <c r="OKO34" s="206"/>
      <c r="OKP34" s="206"/>
      <c r="OKQ34" s="206"/>
      <c r="OKR34" s="206"/>
      <c r="OKS34" s="206"/>
      <c r="OKT34" s="206"/>
      <c r="OKU34" s="206"/>
      <c r="OKV34" s="206"/>
      <c r="OKW34" s="206"/>
      <c r="OKX34" s="206"/>
      <c r="OKY34" s="206"/>
      <c r="OKZ34" s="206"/>
      <c r="OLA34" s="206"/>
      <c r="OLB34" s="206"/>
      <c r="OLC34" s="206"/>
      <c r="OLD34" s="206"/>
      <c r="OLE34" s="206"/>
      <c r="OLF34" s="206"/>
      <c r="OLG34" s="206"/>
      <c r="OLH34" s="206"/>
      <c r="OLI34" s="206"/>
      <c r="OLJ34" s="206"/>
      <c r="OLK34" s="206"/>
      <c r="OLL34" s="206"/>
      <c r="OLM34" s="206"/>
      <c r="OLN34" s="206"/>
      <c r="OLO34" s="206"/>
      <c r="OLP34" s="206"/>
      <c r="OLQ34" s="206"/>
      <c r="OLR34" s="206"/>
      <c r="OLS34" s="206"/>
      <c r="OLT34" s="206"/>
      <c r="OLU34" s="206"/>
      <c r="OLV34" s="206"/>
      <c r="OLW34" s="206"/>
      <c r="OLX34" s="206"/>
      <c r="OLY34" s="206"/>
      <c r="OLZ34" s="206"/>
      <c r="OMA34" s="206"/>
      <c r="OMB34" s="206"/>
      <c r="OMC34" s="206"/>
      <c r="OMD34" s="206"/>
      <c r="OME34" s="206"/>
      <c r="OMF34" s="206"/>
      <c r="OMG34" s="206"/>
      <c r="OMH34" s="206"/>
      <c r="OMI34" s="206"/>
      <c r="OMJ34" s="206"/>
      <c r="OMK34" s="206"/>
      <c r="OML34" s="206"/>
      <c r="OMM34" s="206"/>
      <c r="OMN34" s="206"/>
      <c r="OMO34" s="206"/>
      <c r="OMP34" s="206"/>
      <c r="OMQ34" s="206"/>
      <c r="OMR34" s="206"/>
      <c r="OMS34" s="206"/>
      <c r="OMT34" s="206"/>
      <c r="OMU34" s="206"/>
      <c r="OMV34" s="206"/>
      <c r="OMW34" s="206"/>
      <c r="OMX34" s="206"/>
      <c r="OMY34" s="206"/>
      <c r="OMZ34" s="206"/>
      <c r="ONA34" s="206"/>
      <c r="ONB34" s="206"/>
      <c r="ONC34" s="206"/>
      <c r="OND34" s="206"/>
      <c r="ONE34" s="206"/>
      <c r="ONF34" s="206"/>
      <c r="ONG34" s="206"/>
      <c r="ONH34" s="206"/>
      <c r="ONI34" s="206"/>
      <c r="ONJ34" s="206"/>
      <c r="ONK34" s="206"/>
      <c r="ONL34" s="206"/>
      <c r="ONM34" s="206"/>
      <c r="ONN34" s="206"/>
      <c r="ONO34" s="206"/>
      <c r="ONP34" s="206"/>
      <c r="ONQ34" s="206"/>
      <c r="ONR34" s="206"/>
      <c r="ONS34" s="206"/>
      <c r="ONT34" s="206"/>
      <c r="ONU34" s="206"/>
      <c r="ONV34" s="206"/>
      <c r="ONW34" s="206"/>
      <c r="ONX34" s="206"/>
      <c r="ONY34" s="206"/>
      <c r="ONZ34" s="206"/>
      <c r="OOA34" s="206"/>
      <c r="OOB34" s="206"/>
      <c r="OOC34" s="206"/>
      <c r="OOD34" s="206"/>
      <c r="OOE34" s="206"/>
      <c r="OOF34" s="206"/>
      <c r="OOG34" s="206"/>
      <c r="OOH34" s="206"/>
      <c r="OOI34" s="206"/>
      <c r="OOJ34" s="206"/>
      <c r="OOK34" s="206"/>
      <c r="OOL34" s="206"/>
      <c r="OOM34" s="206"/>
      <c r="OON34" s="206"/>
      <c r="OOO34" s="206"/>
      <c r="OOP34" s="206"/>
      <c r="OOQ34" s="206"/>
      <c r="OOR34" s="206"/>
      <c r="OOS34" s="206"/>
      <c r="OOT34" s="206"/>
      <c r="OOU34" s="206"/>
      <c r="OOV34" s="206"/>
      <c r="OOW34" s="206"/>
      <c r="OOX34" s="206"/>
      <c r="OOY34" s="206"/>
      <c r="OOZ34" s="206"/>
      <c r="OPA34" s="206"/>
      <c r="OPB34" s="206"/>
      <c r="OPC34" s="206"/>
      <c r="OPD34" s="206"/>
      <c r="OPE34" s="206"/>
      <c r="OPF34" s="206"/>
      <c r="OPG34" s="206"/>
      <c r="OPH34" s="206"/>
      <c r="OPI34" s="206"/>
      <c r="OPJ34" s="206"/>
      <c r="OPK34" s="206"/>
      <c r="OPL34" s="206"/>
      <c r="OPM34" s="206"/>
      <c r="OPN34" s="206"/>
      <c r="OPO34" s="206"/>
      <c r="OPP34" s="206"/>
      <c r="OPQ34" s="206"/>
      <c r="OPR34" s="206"/>
      <c r="OPS34" s="206"/>
      <c r="OPT34" s="206"/>
      <c r="OPU34" s="206"/>
      <c r="OPV34" s="206"/>
      <c r="OPW34" s="206"/>
      <c r="OPX34" s="206"/>
      <c r="OPY34" s="206"/>
      <c r="OPZ34" s="206"/>
      <c r="OQA34" s="206"/>
      <c r="OQB34" s="206"/>
      <c r="OQC34" s="206"/>
      <c r="OQD34" s="206"/>
      <c r="OQE34" s="206"/>
      <c r="OQF34" s="206"/>
      <c r="OQG34" s="206"/>
      <c r="OQH34" s="206"/>
      <c r="OQI34" s="206"/>
      <c r="OQJ34" s="206"/>
      <c r="OQK34" s="206"/>
      <c r="OQL34" s="206"/>
      <c r="OQM34" s="206"/>
      <c r="OQN34" s="206"/>
      <c r="OQO34" s="206"/>
      <c r="OQP34" s="206"/>
      <c r="OQQ34" s="206"/>
      <c r="OQR34" s="206"/>
      <c r="OQS34" s="206"/>
      <c r="OQT34" s="206"/>
      <c r="OQU34" s="206"/>
      <c r="OQV34" s="206"/>
      <c r="OQW34" s="206"/>
      <c r="OQX34" s="206"/>
      <c r="OQY34" s="206"/>
      <c r="OQZ34" s="206"/>
      <c r="ORA34" s="206"/>
      <c r="ORB34" s="206"/>
      <c r="ORC34" s="206"/>
      <c r="ORD34" s="206"/>
      <c r="ORE34" s="206"/>
      <c r="ORF34" s="206"/>
      <c r="ORG34" s="206"/>
      <c r="ORH34" s="206"/>
      <c r="ORI34" s="206"/>
      <c r="ORJ34" s="206"/>
      <c r="ORK34" s="206"/>
      <c r="ORL34" s="206"/>
      <c r="ORM34" s="206"/>
      <c r="ORN34" s="206"/>
      <c r="ORO34" s="206"/>
      <c r="ORP34" s="206"/>
      <c r="ORQ34" s="206"/>
      <c r="ORR34" s="206"/>
      <c r="ORS34" s="206"/>
      <c r="ORT34" s="206"/>
      <c r="ORU34" s="206"/>
      <c r="ORV34" s="206"/>
      <c r="ORW34" s="206"/>
      <c r="ORX34" s="206"/>
      <c r="ORY34" s="206"/>
      <c r="ORZ34" s="206"/>
      <c r="OSA34" s="206"/>
      <c r="OSB34" s="206"/>
      <c r="OSC34" s="206"/>
      <c r="OSD34" s="206"/>
      <c r="OSE34" s="206"/>
      <c r="OSF34" s="206"/>
      <c r="OSG34" s="206"/>
      <c r="OSH34" s="206"/>
      <c r="OSI34" s="206"/>
      <c r="OSJ34" s="206"/>
      <c r="OSK34" s="206"/>
      <c r="OSL34" s="206"/>
      <c r="OSM34" s="206"/>
      <c r="OSN34" s="206"/>
      <c r="OSO34" s="206"/>
      <c r="OSP34" s="206"/>
      <c r="OSQ34" s="206"/>
      <c r="OSR34" s="206"/>
      <c r="OSS34" s="206"/>
      <c r="OST34" s="206"/>
      <c r="OSU34" s="206"/>
      <c r="OSV34" s="206"/>
      <c r="OSW34" s="206"/>
      <c r="OSX34" s="206"/>
      <c r="OSY34" s="206"/>
      <c r="OSZ34" s="206"/>
      <c r="OTA34" s="206"/>
      <c r="OTB34" s="206"/>
      <c r="OTC34" s="206"/>
      <c r="OTD34" s="206"/>
      <c r="OTE34" s="206"/>
      <c r="OTF34" s="206"/>
      <c r="OTG34" s="206"/>
      <c r="OTH34" s="206"/>
      <c r="OTI34" s="206"/>
      <c r="OTJ34" s="206"/>
      <c r="OTK34" s="206"/>
      <c r="OTL34" s="206"/>
      <c r="OTM34" s="206"/>
      <c r="OTN34" s="206"/>
      <c r="OTO34" s="206"/>
      <c r="OTP34" s="206"/>
      <c r="OTQ34" s="206"/>
      <c r="OTR34" s="206"/>
      <c r="OTS34" s="206"/>
      <c r="OTT34" s="206"/>
      <c r="OTU34" s="206"/>
      <c r="OTV34" s="206"/>
      <c r="OTW34" s="206"/>
      <c r="OTX34" s="206"/>
      <c r="OTY34" s="206"/>
      <c r="OTZ34" s="206"/>
      <c r="OUA34" s="206"/>
      <c r="OUB34" s="206"/>
      <c r="OUC34" s="206"/>
      <c r="OUD34" s="206"/>
      <c r="OUE34" s="206"/>
      <c r="OUF34" s="206"/>
      <c r="OUG34" s="206"/>
      <c r="OUH34" s="206"/>
      <c r="OUI34" s="206"/>
      <c r="OUJ34" s="206"/>
      <c r="OUK34" s="206"/>
      <c r="OUL34" s="206"/>
      <c r="OUM34" s="206"/>
      <c r="OUN34" s="206"/>
      <c r="OUO34" s="206"/>
      <c r="OUP34" s="206"/>
      <c r="OUQ34" s="206"/>
      <c r="OUR34" s="206"/>
      <c r="OUS34" s="206"/>
      <c r="OUT34" s="206"/>
      <c r="OUU34" s="206"/>
      <c r="OUV34" s="206"/>
      <c r="OUW34" s="206"/>
      <c r="OUX34" s="206"/>
      <c r="OUY34" s="206"/>
      <c r="OUZ34" s="206"/>
      <c r="OVA34" s="206"/>
      <c r="OVB34" s="206"/>
      <c r="OVC34" s="206"/>
      <c r="OVD34" s="206"/>
      <c r="OVE34" s="206"/>
      <c r="OVF34" s="206"/>
      <c r="OVG34" s="206"/>
      <c r="OVH34" s="206"/>
      <c r="OVI34" s="206"/>
      <c r="OVJ34" s="206"/>
      <c r="OVK34" s="206"/>
      <c r="OVL34" s="206"/>
      <c r="OVM34" s="206"/>
      <c r="OVN34" s="206"/>
      <c r="OVO34" s="206"/>
      <c r="OVP34" s="206"/>
      <c r="OVQ34" s="206"/>
      <c r="OVR34" s="206"/>
      <c r="OVS34" s="206"/>
      <c r="OVT34" s="206"/>
      <c r="OVU34" s="206"/>
      <c r="OVV34" s="206"/>
      <c r="OVW34" s="206"/>
      <c r="OVX34" s="206"/>
      <c r="OVY34" s="206"/>
      <c r="OVZ34" s="206"/>
      <c r="OWA34" s="206"/>
      <c r="OWB34" s="206"/>
      <c r="OWC34" s="206"/>
      <c r="OWD34" s="206"/>
      <c r="OWE34" s="206"/>
      <c r="OWF34" s="206"/>
      <c r="OWG34" s="206"/>
      <c r="OWH34" s="206"/>
      <c r="OWI34" s="206"/>
      <c r="OWJ34" s="206"/>
      <c r="OWK34" s="206"/>
      <c r="OWL34" s="206"/>
      <c r="OWM34" s="206"/>
      <c r="OWN34" s="206"/>
      <c r="OWO34" s="206"/>
      <c r="OWP34" s="206"/>
      <c r="OWQ34" s="206"/>
      <c r="OWR34" s="206"/>
      <c r="OWS34" s="206"/>
      <c r="OWT34" s="206"/>
      <c r="OWU34" s="206"/>
      <c r="OWV34" s="206"/>
      <c r="OWW34" s="206"/>
      <c r="OWX34" s="206"/>
      <c r="OWY34" s="206"/>
      <c r="OWZ34" s="206"/>
      <c r="OXA34" s="206"/>
      <c r="OXB34" s="206"/>
      <c r="OXC34" s="206"/>
      <c r="OXD34" s="206"/>
      <c r="OXE34" s="206"/>
      <c r="OXF34" s="206"/>
      <c r="OXG34" s="206"/>
      <c r="OXH34" s="206"/>
      <c r="OXI34" s="206"/>
      <c r="OXJ34" s="206"/>
      <c r="OXK34" s="206"/>
      <c r="OXL34" s="206"/>
      <c r="OXM34" s="206"/>
      <c r="OXN34" s="206"/>
      <c r="OXO34" s="206"/>
      <c r="OXP34" s="206"/>
      <c r="OXQ34" s="206"/>
      <c r="OXR34" s="206"/>
      <c r="OXS34" s="206"/>
      <c r="OXT34" s="206"/>
      <c r="OXU34" s="206"/>
      <c r="OXV34" s="206"/>
      <c r="OXW34" s="206"/>
      <c r="OXX34" s="206"/>
      <c r="OXY34" s="206"/>
      <c r="OXZ34" s="206"/>
      <c r="OYA34" s="206"/>
      <c r="OYB34" s="206"/>
      <c r="OYC34" s="206"/>
      <c r="OYD34" s="206"/>
      <c r="OYE34" s="206"/>
      <c r="OYF34" s="206"/>
      <c r="OYG34" s="206"/>
      <c r="OYH34" s="206"/>
      <c r="OYI34" s="206"/>
      <c r="OYJ34" s="206"/>
      <c r="OYK34" s="206"/>
      <c r="OYL34" s="206"/>
      <c r="OYM34" s="206"/>
      <c r="OYN34" s="206"/>
      <c r="OYO34" s="206"/>
      <c r="OYP34" s="206"/>
      <c r="OYQ34" s="206"/>
      <c r="OYR34" s="206"/>
      <c r="OYS34" s="206"/>
      <c r="OYT34" s="206"/>
      <c r="OYU34" s="206"/>
      <c r="OYV34" s="206"/>
      <c r="OYW34" s="206"/>
      <c r="OYX34" s="206"/>
      <c r="OYY34" s="206"/>
      <c r="OYZ34" s="206"/>
      <c r="OZA34" s="206"/>
      <c r="OZB34" s="206"/>
      <c r="OZC34" s="206"/>
      <c r="OZD34" s="206"/>
      <c r="OZE34" s="206"/>
      <c r="OZF34" s="206"/>
      <c r="OZG34" s="206"/>
      <c r="OZH34" s="206"/>
      <c r="OZI34" s="206"/>
      <c r="OZJ34" s="206"/>
      <c r="OZK34" s="206"/>
      <c r="OZL34" s="206"/>
      <c r="OZM34" s="206"/>
      <c r="OZN34" s="206"/>
      <c r="OZO34" s="206"/>
      <c r="OZP34" s="206"/>
      <c r="OZQ34" s="206"/>
      <c r="OZR34" s="206"/>
      <c r="OZS34" s="206"/>
      <c r="OZT34" s="206"/>
      <c r="OZU34" s="206"/>
      <c r="OZV34" s="206"/>
      <c r="OZW34" s="206"/>
      <c r="OZX34" s="206"/>
      <c r="OZY34" s="206"/>
      <c r="OZZ34" s="206"/>
      <c r="PAA34" s="206"/>
      <c r="PAB34" s="206"/>
      <c r="PAC34" s="206"/>
      <c r="PAD34" s="206"/>
      <c r="PAE34" s="206"/>
      <c r="PAF34" s="206"/>
      <c r="PAG34" s="206"/>
      <c r="PAH34" s="206"/>
      <c r="PAI34" s="206"/>
      <c r="PAJ34" s="206"/>
      <c r="PAK34" s="206"/>
      <c r="PAL34" s="206"/>
      <c r="PAM34" s="206"/>
      <c r="PAN34" s="206"/>
      <c r="PAO34" s="206"/>
      <c r="PAP34" s="206"/>
      <c r="PAQ34" s="206"/>
      <c r="PAR34" s="206"/>
      <c r="PAS34" s="206"/>
      <c r="PAT34" s="206"/>
      <c r="PAU34" s="206"/>
      <c r="PAV34" s="206"/>
      <c r="PAW34" s="206"/>
      <c r="PAX34" s="206"/>
      <c r="PAY34" s="206"/>
      <c r="PAZ34" s="206"/>
      <c r="PBA34" s="206"/>
      <c r="PBB34" s="206"/>
      <c r="PBC34" s="206"/>
      <c r="PBD34" s="206"/>
      <c r="PBE34" s="206"/>
      <c r="PBF34" s="206"/>
      <c r="PBG34" s="206"/>
      <c r="PBH34" s="206"/>
      <c r="PBI34" s="206"/>
      <c r="PBJ34" s="206"/>
      <c r="PBK34" s="206"/>
      <c r="PBL34" s="206"/>
      <c r="PBM34" s="206"/>
      <c r="PBN34" s="206"/>
      <c r="PBO34" s="206"/>
      <c r="PBP34" s="206"/>
      <c r="PBQ34" s="206"/>
      <c r="PBR34" s="206"/>
      <c r="PBS34" s="206"/>
      <c r="PBT34" s="206"/>
      <c r="PBU34" s="206"/>
      <c r="PBV34" s="206"/>
      <c r="PBW34" s="206"/>
      <c r="PBX34" s="206"/>
      <c r="PBY34" s="206"/>
      <c r="PBZ34" s="206"/>
      <c r="PCA34" s="206"/>
      <c r="PCB34" s="206"/>
      <c r="PCC34" s="206"/>
      <c r="PCD34" s="206"/>
      <c r="PCE34" s="206"/>
      <c r="PCF34" s="206"/>
      <c r="PCG34" s="206"/>
      <c r="PCH34" s="206"/>
      <c r="PCI34" s="206"/>
      <c r="PCJ34" s="206"/>
      <c r="PCK34" s="206"/>
      <c r="PCL34" s="206"/>
      <c r="PCM34" s="206"/>
      <c r="PCN34" s="206"/>
      <c r="PCO34" s="206"/>
      <c r="PCP34" s="206"/>
      <c r="PCQ34" s="206"/>
      <c r="PCR34" s="206"/>
      <c r="PCS34" s="206"/>
      <c r="PCT34" s="206"/>
      <c r="PCU34" s="206"/>
      <c r="PCV34" s="206"/>
      <c r="PCW34" s="206"/>
      <c r="PCX34" s="206"/>
      <c r="PCY34" s="206"/>
      <c r="PCZ34" s="206"/>
      <c r="PDA34" s="206"/>
      <c r="PDB34" s="206"/>
      <c r="PDC34" s="206"/>
      <c r="PDD34" s="206"/>
      <c r="PDE34" s="206"/>
      <c r="PDF34" s="206"/>
      <c r="PDG34" s="206"/>
      <c r="PDH34" s="206"/>
      <c r="PDI34" s="206"/>
      <c r="PDJ34" s="206"/>
      <c r="PDK34" s="206"/>
      <c r="PDL34" s="206"/>
      <c r="PDM34" s="206"/>
      <c r="PDN34" s="206"/>
      <c r="PDO34" s="206"/>
      <c r="PDP34" s="206"/>
      <c r="PDQ34" s="206"/>
      <c r="PDR34" s="206"/>
      <c r="PDS34" s="206"/>
      <c r="PDT34" s="206"/>
      <c r="PDU34" s="206"/>
      <c r="PDV34" s="206"/>
      <c r="PDW34" s="206"/>
      <c r="PDX34" s="206"/>
      <c r="PDY34" s="206"/>
      <c r="PDZ34" s="206"/>
      <c r="PEA34" s="206"/>
      <c r="PEB34" s="206"/>
      <c r="PEC34" s="206"/>
      <c r="PED34" s="206"/>
      <c r="PEE34" s="206"/>
      <c r="PEF34" s="206"/>
      <c r="PEG34" s="206"/>
      <c r="PEH34" s="206"/>
      <c r="PEI34" s="206"/>
      <c r="PEJ34" s="206"/>
      <c r="PEK34" s="206"/>
      <c r="PEL34" s="206"/>
      <c r="PEM34" s="206"/>
      <c r="PEN34" s="206"/>
      <c r="PEO34" s="206"/>
      <c r="PEP34" s="206"/>
      <c r="PEQ34" s="206"/>
      <c r="PER34" s="206"/>
      <c r="PES34" s="206"/>
      <c r="PET34" s="206"/>
      <c r="PEU34" s="206"/>
      <c r="PEV34" s="206"/>
      <c r="PEW34" s="206"/>
      <c r="PEX34" s="206"/>
      <c r="PEY34" s="206"/>
      <c r="PEZ34" s="206"/>
      <c r="PFA34" s="206"/>
      <c r="PFB34" s="206"/>
      <c r="PFC34" s="206"/>
      <c r="PFD34" s="206"/>
      <c r="PFE34" s="206"/>
      <c r="PFF34" s="206"/>
      <c r="PFG34" s="206"/>
      <c r="PFH34" s="206"/>
      <c r="PFI34" s="206"/>
      <c r="PFJ34" s="206"/>
      <c r="PFK34" s="206"/>
      <c r="PFL34" s="206"/>
      <c r="PFM34" s="206"/>
      <c r="PFN34" s="206"/>
      <c r="PFO34" s="206"/>
      <c r="PFP34" s="206"/>
      <c r="PFQ34" s="206"/>
      <c r="PFR34" s="206"/>
      <c r="PFS34" s="206"/>
      <c r="PFT34" s="206"/>
      <c r="PFU34" s="206"/>
      <c r="PFV34" s="206"/>
      <c r="PFW34" s="206"/>
      <c r="PFX34" s="206"/>
      <c r="PFY34" s="206"/>
      <c r="PFZ34" s="206"/>
      <c r="PGA34" s="206"/>
      <c r="PGB34" s="206"/>
      <c r="PGC34" s="206"/>
      <c r="PGD34" s="206"/>
      <c r="PGE34" s="206"/>
      <c r="PGF34" s="206"/>
      <c r="PGG34" s="206"/>
      <c r="PGH34" s="206"/>
      <c r="PGI34" s="206"/>
      <c r="PGJ34" s="206"/>
      <c r="PGK34" s="206"/>
      <c r="PGL34" s="206"/>
      <c r="PGM34" s="206"/>
      <c r="PGN34" s="206"/>
      <c r="PGO34" s="206"/>
      <c r="PGP34" s="206"/>
      <c r="PGQ34" s="206"/>
      <c r="PGR34" s="206"/>
      <c r="PGS34" s="206"/>
      <c r="PGT34" s="206"/>
      <c r="PGU34" s="206"/>
      <c r="PGV34" s="206"/>
      <c r="PGW34" s="206"/>
      <c r="PGX34" s="206"/>
      <c r="PGY34" s="206"/>
      <c r="PGZ34" s="206"/>
      <c r="PHA34" s="206"/>
      <c r="PHB34" s="206"/>
      <c r="PHC34" s="206"/>
      <c r="PHD34" s="206"/>
      <c r="PHE34" s="206"/>
      <c r="PHF34" s="206"/>
      <c r="PHG34" s="206"/>
      <c r="PHH34" s="206"/>
      <c r="PHI34" s="206"/>
      <c r="PHJ34" s="206"/>
      <c r="PHK34" s="206"/>
      <c r="PHL34" s="206"/>
      <c r="PHM34" s="206"/>
      <c r="PHN34" s="206"/>
      <c r="PHO34" s="206"/>
      <c r="PHP34" s="206"/>
      <c r="PHQ34" s="206"/>
      <c r="PHR34" s="206"/>
      <c r="PHS34" s="206"/>
      <c r="PHT34" s="206"/>
      <c r="PHU34" s="206"/>
      <c r="PHV34" s="206"/>
      <c r="PHW34" s="206"/>
      <c r="PHX34" s="206"/>
      <c r="PHY34" s="206"/>
      <c r="PHZ34" s="206"/>
      <c r="PIA34" s="206"/>
      <c r="PIB34" s="206"/>
      <c r="PIC34" s="206"/>
      <c r="PID34" s="206"/>
      <c r="PIE34" s="206"/>
      <c r="PIF34" s="206"/>
      <c r="PIG34" s="206"/>
      <c r="PIH34" s="206"/>
      <c r="PII34" s="206"/>
      <c r="PIJ34" s="206"/>
      <c r="PIK34" s="206"/>
      <c r="PIL34" s="206"/>
      <c r="PIM34" s="206"/>
      <c r="PIN34" s="206"/>
      <c r="PIO34" s="206"/>
      <c r="PIP34" s="206"/>
      <c r="PIQ34" s="206"/>
      <c r="PIR34" s="206"/>
      <c r="PIS34" s="206"/>
      <c r="PIT34" s="206"/>
      <c r="PIU34" s="206"/>
      <c r="PIV34" s="206"/>
      <c r="PIW34" s="206"/>
      <c r="PIX34" s="206"/>
      <c r="PIY34" s="206"/>
      <c r="PIZ34" s="206"/>
      <c r="PJA34" s="206"/>
      <c r="PJB34" s="206"/>
      <c r="PJC34" s="206"/>
      <c r="PJD34" s="206"/>
      <c r="PJE34" s="206"/>
      <c r="PJF34" s="206"/>
      <c r="PJG34" s="206"/>
      <c r="PJH34" s="206"/>
      <c r="PJI34" s="206"/>
      <c r="PJJ34" s="206"/>
      <c r="PJK34" s="206"/>
      <c r="PJL34" s="206"/>
      <c r="PJM34" s="206"/>
      <c r="PJN34" s="206"/>
      <c r="PJO34" s="206"/>
      <c r="PJP34" s="206"/>
      <c r="PJQ34" s="206"/>
      <c r="PJR34" s="206"/>
      <c r="PJS34" s="206"/>
      <c r="PJT34" s="206"/>
      <c r="PJU34" s="206"/>
      <c r="PJV34" s="206"/>
      <c r="PJW34" s="206"/>
      <c r="PJX34" s="206"/>
      <c r="PJY34" s="206"/>
      <c r="PJZ34" s="206"/>
      <c r="PKA34" s="206"/>
      <c r="PKB34" s="206"/>
      <c r="PKC34" s="206"/>
      <c r="PKD34" s="206"/>
      <c r="PKE34" s="206"/>
      <c r="PKF34" s="206"/>
      <c r="PKG34" s="206"/>
      <c r="PKH34" s="206"/>
      <c r="PKI34" s="206"/>
      <c r="PKJ34" s="206"/>
      <c r="PKK34" s="206"/>
      <c r="PKL34" s="206"/>
      <c r="PKM34" s="206"/>
      <c r="PKN34" s="206"/>
      <c r="PKO34" s="206"/>
      <c r="PKP34" s="206"/>
      <c r="PKQ34" s="206"/>
      <c r="PKR34" s="206"/>
      <c r="PKS34" s="206"/>
      <c r="PKT34" s="206"/>
      <c r="PKU34" s="206"/>
      <c r="PKV34" s="206"/>
      <c r="PKW34" s="206"/>
      <c r="PKX34" s="206"/>
      <c r="PKY34" s="206"/>
      <c r="PKZ34" s="206"/>
      <c r="PLA34" s="206"/>
      <c r="PLB34" s="206"/>
      <c r="PLC34" s="206"/>
      <c r="PLD34" s="206"/>
      <c r="PLE34" s="206"/>
      <c r="PLF34" s="206"/>
      <c r="PLG34" s="206"/>
      <c r="PLH34" s="206"/>
      <c r="PLI34" s="206"/>
      <c r="PLJ34" s="206"/>
      <c r="PLK34" s="206"/>
      <c r="PLL34" s="206"/>
      <c r="PLM34" s="206"/>
      <c r="PLN34" s="206"/>
      <c r="PLO34" s="206"/>
      <c r="PLP34" s="206"/>
      <c r="PLQ34" s="206"/>
      <c r="PLR34" s="206"/>
      <c r="PLS34" s="206"/>
      <c r="PLT34" s="206"/>
      <c r="PLU34" s="206"/>
      <c r="PLV34" s="206"/>
      <c r="PLW34" s="206"/>
      <c r="PLX34" s="206"/>
      <c r="PLY34" s="206"/>
      <c r="PLZ34" s="206"/>
      <c r="PMA34" s="206"/>
      <c r="PMB34" s="206"/>
      <c r="PMC34" s="206"/>
      <c r="PMD34" s="206"/>
      <c r="PME34" s="206"/>
      <c r="PMF34" s="206"/>
      <c r="PMG34" s="206"/>
      <c r="PMH34" s="206"/>
      <c r="PMI34" s="206"/>
      <c r="PMJ34" s="206"/>
      <c r="PMK34" s="206"/>
      <c r="PML34" s="206"/>
      <c r="PMM34" s="206"/>
      <c r="PMN34" s="206"/>
      <c r="PMO34" s="206"/>
      <c r="PMP34" s="206"/>
      <c r="PMQ34" s="206"/>
      <c r="PMR34" s="206"/>
      <c r="PMS34" s="206"/>
      <c r="PMT34" s="206"/>
      <c r="PMU34" s="206"/>
      <c r="PMV34" s="206"/>
      <c r="PMW34" s="206"/>
      <c r="PMX34" s="206"/>
      <c r="PMY34" s="206"/>
      <c r="PMZ34" s="206"/>
      <c r="PNA34" s="206"/>
      <c r="PNB34" s="206"/>
      <c r="PNC34" s="206"/>
      <c r="PND34" s="206"/>
      <c r="PNE34" s="206"/>
      <c r="PNF34" s="206"/>
      <c r="PNG34" s="206"/>
      <c r="PNH34" s="206"/>
      <c r="PNI34" s="206"/>
      <c r="PNJ34" s="206"/>
      <c r="PNK34" s="206"/>
      <c r="PNL34" s="206"/>
      <c r="PNM34" s="206"/>
      <c r="PNN34" s="206"/>
      <c r="PNO34" s="206"/>
      <c r="PNP34" s="206"/>
      <c r="PNQ34" s="206"/>
      <c r="PNR34" s="206"/>
      <c r="PNS34" s="206"/>
      <c r="PNT34" s="206"/>
      <c r="PNU34" s="206"/>
      <c r="PNV34" s="206"/>
      <c r="PNW34" s="206"/>
      <c r="PNX34" s="206"/>
      <c r="PNY34" s="206"/>
      <c r="PNZ34" s="206"/>
      <c r="POA34" s="206"/>
      <c r="POB34" s="206"/>
      <c r="POC34" s="206"/>
      <c r="POD34" s="206"/>
      <c r="POE34" s="206"/>
      <c r="POF34" s="206"/>
      <c r="POG34" s="206"/>
      <c r="POH34" s="206"/>
      <c r="POI34" s="206"/>
      <c r="POJ34" s="206"/>
      <c r="POK34" s="206"/>
      <c r="POL34" s="206"/>
      <c r="POM34" s="206"/>
      <c r="PON34" s="206"/>
      <c r="POO34" s="206"/>
      <c r="POP34" s="206"/>
      <c r="POQ34" s="206"/>
      <c r="POR34" s="206"/>
      <c r="POS34" s="206"/>
      <c r="POT34" s="206"/>
      <c r="POU34" s="206"/>
      <c r="POV34" s="206"/>
      <c r="POW34" s="206"/>
      <c r="POX34" s="206"/>
      <c r="POY34" s="206"/>
      <c r="POZ34" s="206"/>
      <c r="PPA34" s="206"/>
      <c r="PPB34" s="206"/>
      <c r="PPC34" s="206"/>
      <c r="PPD34" s="206"/>
      <c r="PPE34" s="206"/>
      <c r="PPF34" s="206"/>
      <c r="PPG34" s="206"/>
      <c r="PPH34" s="206"/>
      <c r="PPI34" s="206"/>
      <c r="PPJ34" s="206"/>
      <c r="PPK34" s="206"/>
      <c r="PPL34" s="206"/>
      <c r="PPM34" s="206"/>
      <c r="PPN34" s="206"/>
      <c r="PPO34" s="206"/>
      <c r="PPP34" s="206"/>
      <c r="PPQ34" s="206"/>
      <c r="PPR34" s="206"/>
      <c r="PPS34" s="206"/>
      <c r="PPT34" s="206"/>
      <c r="PPU34" s="206"/>
      <c r="PPV34" s="206"/>
      <c r="PPW34" s="206"/>
      <c r="PPX34" s="206"/>
      <c r="PPY34" s="206"/>
      <c r="PPZ34" s="206"/>
      <c r="PQA34" s="206"/>
      <c r="PQB34" s="206"/>
      <c r="PQC34" s="206"/>
      <c r="PQD34" s="206"/>
      <c r="PQE34" s="206"/>
      <c r="PQF34" s="206"/>
      <c r="PQG34" s="206"/>
      <c r="PQH34" s="206"/>
      <c r="PQI34" s="206"/>
      <c r="PQJ34" s="206"/>
      <c r="PQK34" s="206"/>
      <c r="PQL34" s="206"/>
      <c r="PQM34" s="206"/>
      <c r="PQN34" s="206"/>
      <c r="PQO34" s="206"/>
      <c r="PQP34" s="206"/>
      <c r="PQQ34" s="206"/>
      <c r="PQR34" s="206"/>
      <c r="PQS34" s="206"/>
      <c r="PQT34" s="206"/>
      <c r="PQU34" s="206"/>
      <c r="PQV34" s="206"/>
      <c r="PQW34" s="206"/>
      <c r="PQX34" s="206"/>
      <c r="PQY34" s="206"/>
      <c r="PQZ34" s="206"/>
      <c r="PRA34" s="206"/>
      <c r="PRB34" s="206"/>
      <c r="PRC34" s="206"/>
      <c r="PRD34" s="206"/>
      <c r="PRE34" s="206"/>
      <c r="PRF34" s="206"/>
      <c r="PRG34" s="206"/>
      <c r="PRH34" s="206"/>
      <c r="PRI34" s="206"/>
      <c r="PRJ34" s="206"/>
      <c r="PRK34" s="206"/>
      <c r="PRL34" s="206"/>
      <c r="PRM34" s="206"/>
      <c r="PRN34" s="206"/>
      <c r="PRO34" s="206"/>
      <c r="PRP34" s="206"/>
      <c r="PRQ34" s="206"/>
      <c r="PRR34" s="206"/>
      <c r="PRS34" s="206"/>
      <c r="PRT34" s="206"/>
      <c r="PRU34" s="206"/>
      <c r="PRV34" s="206"/>
      <c r="PRW34" s="206"/>
      <c r="PRX34" s="206"/>
      <c r="PRY34" s="206"/>
      <c r="PRZ34" s="206"/>
      <c r="PSA34" s="206"/>
      <c r="PSB34" s="206"/>
      <c r="PSC34" s="206"/>
      <c r="PSD34" s="206"/>
      <c r="PSE34" s="206"/>
      <c r="PSF34" s="206"/>
      <c r="PSG34" s="206"/>
      <c r="PSH34" s="206"/>
      <c r="PSI34" s="206"/>
      <c r="PSJ34" s="206"/>
      <c r="PSK34" s="206"/>
      <c r="PSL34" s="206"/>
      <c r="PSM34" s="206"/>
      <c r="PSN34" s="206"/>
      <c r="PSO34" s="206"/>
      <c r="PSP34" s="206"/>
      <c r="PSQ34" s="206"/>
      <c r="PSR34" s="206"/>
      <c r="PSS34" s="206"/>
      <c r="PST34" s="206"/>
      <c r="PSU34" s="206"/>
      <c r="PSV34" s="206"/>
      <c r="PSW34" s="206"/>
      <c r="PSX34" s="206"/>
      <c r="PSY34" s="206"/>
      <c r="PSZ34" s="206"/>
      <c r="PTA34" s="206"/>
      <c r="PTB34" s="206"/>
      <c r="PTC34" s="206"/>
      <c r="PTD34" s="206"/>
      <c r="PTE34" s="206"/>
      <c r="PTF34" s="206"/>
      <c r="PTG34" s="206"/>
      <c r="PTH34" s="206"/>
      <c r="PTI34" s="206"/>
      <c r="PTJ34" s="206"/>
      <c r="PTK34" s="206"/>
      <c r="PTL34" s="206"/>
      <c r="PTM34" s="206"/>
      <c r="PTN34" s="206"/>
      <c r="PTO34" s="206"/>
      <c r="PTP34" s="206"/>
      <c r="PTQ34" s="206"/>
      <c r="PTR34" s="206"/>
      <c r="PTS34" s="206"/>
      <c r="PTT34" s="206"/>
      <c r="PTU34" s="206"/>
      <c r="PTV34" s="206"/>
      <c r="PTW34" s="206"/>
      <c r="PTX34" s="206"/>
      <c r="PTY34" s="206"/>
      <c r="PTZ34" s="206"/>
      <c r="PUA34" s="206"/>
      <c r="PUB34" s="206"/>
      <c r="PUC34" s="206"/>
      <c r="PUD34" s="206"/>
      <c r="PUE34" s="206"/>
      <c r="PUF34" s="206"/>
      <c r="PUG34" s="206"/>
      <c r="PUH34" s="206"/>
      <c r="PUI34" s="206"/>
      <c r="PUJ34" s="206"/>
      <c r="PUK34" s="206"/>
      <c r="PUL34" s="206"/>
      <c r="PUM34" s="206"/>
      <c r="PUN34" s="206"/>
      <c r="PUO34" s="206"/>
      <c r="PUP34" s="206"/>
      <c r="PUQ34" s="206"/>
      <c r="PUR34" s="206"/>
      <c r="PUS34" s="206"/>
      <c r="PUT34" s="206"/>
      <c r="PUU34" s="206"/>
      <c r="PUV34" s="206"/>
      <c r="PUW34" s="206"/>
      <c r="PUX34" s="206"/>
      <c r="PUY34" s="206"/>
      <c r="PUZ34" s="206"/>
      <c r="PVA34" s="206"/>
      <c r="PVB34" s="206"/>
      <c r="PVC34" s="206"/>
      <c r="PVD34" s="206"/>
      <c r="PVE34" s="206"/>
      <c r="PVF34" s="206"/>
      <c r="PVG34" s="206"/>
      <c r="PVH34" s="206"/>
      <c r="PVI34" s="206"/>
      <c r="PVJ34" s="206"/>
      <c r="PVK34" s="206"/>
      <c r="PVL34" s="206"/>
      <c r="PVM34" s="206"/>
      <c r="PVN34" s="206"/>
      <c r="PVO34" s="206"/>
      <c r="PVP34" s="206"/>
      <c r="PVQ34" s="206"/>
      <c r="PVR34" s="206"/>
      <c r="PVS34" s="206"/>
      <c r="PVT34" s="206"/>
      <c r="PVU34" s="206"/>
      <c r="PVV34" s="206"/>
      <c r="PVW34" s="206"/>
      <c r="PVX34" s="206"/>
      <c r="PVY34" s="206"/>
      <c r="PVZ34" s="206"/>
      <c r="PWA34" s="206"/>
      <c r="PWB34" s="206"/>
      <c r="PWC34" s="206"/>
      <c r="PWD34" s="206"/>
      <c r="PWE34" s="206"/>
      <c r="PWF34" s="206"/>
      <c r="PWG34" s="206"/>
      <c r="PWH34" s="206"/>
      <c r="PWI34" s="206"/>
      <c r="PWJ34" s="206"/>
      <c r="PWK34" s="206"/>
      <c r="PWL34" s="206"/>
      <c r="PWM34" s="206"/>
      <c r="PWN34" s="206"/>
      <c r="PWO34" s="206"/>
      <c r="PWP34" s="206"/>
      <c r="PWQ34" s="206"/>
      <c r="PWR34" s="206"/>
      <c r="PWS34" s="206"/>
      <c r="PWT34" s="206"/>
      <c r="PWU34" s="206"/>
      <c r="PWV34" s="206"/>
      <c r="PWW34" s="206"/>
      <c r="PWX34" s="206"/>
      <c r="PWY34" s="206"/>
      <c r="PWZ34" s="206"/>
      <c r="PXA34" s="206"/>
      <c r="PXB34" s="206"/>
      <c r="PXC34" s="206"/>
      <c r="PXD34" s="206"/>
      <c r="PXE34" s="206"/>
      <c r="PXF34" s="206"/>
      <c r="PXG34" s="206"/>
      <c r="PXH34" s="206"/>
      <c r="PXI34" s="206"/>
      <c r="PXJ34" s="206"/>
      <c r="PXK34" s="206"/>
      <c r="PXL34" s="206"/>
      <c r="PXM34" s="206"/>
      <c r="PXN34" s="206"/>
      <c r="PXO34" s="206"/>
      <c r="PXP34" s="206"/>
      <c r="PXQ34" s="206"/>
      <c r="PXR34" s="206"/>
      <c r="PXS34" s="206"/>
      <c r="PXT34" s="206"/>
      <c r="PXU34" s="206"/>
      <c r="PXV34" s="206"/>
      <c r="PXW34" s="206"/>
      <c r="PXX34" s="206"/>
      <c r="PXY34" s="206"/>
      <c r="PXZ34" s="206"/>
      <c r="PYA34" s="206"/>
      <c r="PYB34" s="206"/>
      <c r="PYC34" s="206"/>
      <c r="PYD34" s="206"/>
      <c r="PYE34" s="206"/>
      <c r="PYF34" s="206"/>
      <c r="PYG34" s="206"/>
      <c r="PYH34" s="206"/>
      <c r="PYI34" s="206"/>
      <c r="PYJ34" s="206"/>
      <c r="PYK34" s="206"/>
      <c r="PYL34" s="206"/>
      <c r="PYM34" s="206"/>
      <c r="PYN34" s="206"/>
      <c r="PYO34" s="206"/>
      <c r="PYP34" s="206"/>
      <c r="PYQ34" s="206"/>
      <c r="PYR34" s="206"/>
      <c r="PYS34" s="206"/>
      <c r="PYT34" s="206"/>
      <c r="PYU34" s="206"/>
      <c r="PYV34" s="206"/>
      <c r="PYW34" s="206"/>
      <c r="PYX34" s="206"/>
      <c r="PYY34" s="206"/>
      <c r="PYZ34" s="206"/>
      <c r="PZA34" s="206"/>
      <c r="PZB34" s="206"/>
      <c r="PZC34" s="206"/>
      <c r="PZD34" s="206"/>
      <c r="PZE34" s="206"/>
      <c r="PZF34" s="206"/>
      <c r="PZG34" s="206"/>
      <c r="PZH34" s="206"/>
      <c r="PZI34" s="206"/>
      <c r="PZJ34" s="206"/>
      <c r="PZK34" s="206"/>
      <c r="PZL34" s="206"/>
      <c r="PZM34" s="206"/>
      <c r="PZN34" s="206"/>
      <c r="PZO34" s="206"/>
      <c r="PZP34" s="206"/>
      <c r="PZQ34" s="206"/>
      <c r="PZR34" s="206"/>
      <c r="PZS34" s="206"/>
      <c r="PZT34" s="206"/>
      <c r="PZU34" s="206"/>
      <c r="PZV34" s="206"/>
      <c r="PZW34" s="206"/>
      <c r="PZX34" s="206"/>
      <c r="PZY34" s="206"/>
      <c r="PZZ34" s="206"/>
      <c r="QAA34" s="206"/>
      <c r="QAB34" s="206"/>
      <c r="QAC34" s="206"/>
      <c r="QAD34" s="206"/>
      <c r="QAE34" s="206"/>
      <c r="QAF34" s="206"/>
      <c r="QAG34" s="206"/>
      <c r="QAH34" s="206"/>
      <c r="QAI34" s="206"/>
      <c r="QAJ34" s="206"/>
      <c r="QAK34" s="206"/>
      <c r="QAL34" s="206"/>
      <c r="QAM34" s="206"/>
      <c r="QAN34" s="206"/>
      <c r="QAO34" s="206"/>
      <c r="QAP34" s="206"/>
      <c r="QAQ34" s="206"/>
      <c r="QAR34" s="206"/>
      <c r="QAS34" s="206"/>
      <c r="QAT34" s="206"/>
      <c r="QAU34" s="206"/>
      <c r="QAV34" s="206"/>
      <c r="QAW34" s="206"/>
      <c r="QAX34" s="206"/>
      <c r="QAY34" s="206"/>
      <c r="QAZ34" s="206"/>
      <c r="QBA34" s="206"/>
      <c r="QBB34" s="206"/>
      <c r="QBC34" s="206"/>
      <c r="QBD34" s="206"/>
      <c r="QBE34" s="206"/>
      <c r="QBF34" s="206"/>
      <c r="QBG34" s="206"/>
      <c r="QBH34" s="206"/>
      <c r="QBI34" s="206"/>
      <c r="QBJ34" s="206"/>
      <c r="QBK34" s="206"/>
      <c r="QBL34" s="206"/>
      <c r="QBM34" s="206"/>
      <c r="QBN34" s="206"/>
      <c r="QBO34" s="206"/>
      <c r="QBP34" s="206"/>
      <c r="QBQ34" s="206"/>
      <c r="QBR34" s="206"/>
      <c r="QBS34" s="206"/>
      <c r="QBT34" s="206"/>
      <c r="QBU34" s="206"/>
      <c r="QBV34" s="206"/>
      <c r="QBW34" s="206"/>
      <c r="QBX34" s="206"/>
      <c r="QBY34" s="206"/>
      <c r="QBZ34" s="206"/>
      <c r="QCA34" s="206"/>
      <c r="QCB34" s="206"/>
      <c r="QCC34" s="206"/>
      <c r="QCD34" s="206"/>
      <c r="QCE34" s="206"/>
      <c r="QCF34" s="206"/>
      <c r="QCG34" s="206"/>
      <c r="QCH34" s="206"/>
      <c r="QCI34" s="206"/>
      <c r="QCJ34" s="206"/>
      <c r="QCK34" s="206"/>
      <c r="QCL34" s="206"/>
      <c r="QCM34" s="206"/>
      <c r="QCN34" s="206"/>
      <c r="QCO34" s="206"/>
      <c r="QCP34" s="206"/>
      <c r="QCQ34" s="206"/>
      <c r="QCR34" s="206"/>
      <c r="QCS34" s="206"/>
      <c r="QCT34" s="206"/>
      <c r="QCU34" s="206"/>
      <c r="QCV34" s="206"/>
      <c r="QCW34" s="206"/>
      <c r="QCX34" s="206"/>
      <c r="QCY34" s="206"/>
      <c r="QCZ34" s="206"/>
      <c r="QDA34" s="206"/>
      <c r="QDB34" s="206"/>
      <c r="QDC34" s="206"/>
      <c r="QDD34" s="206"/>
      <c r="QDE34" s="206"/>
      <c r="QDF34" s="206"/>
      <c r="QDG34" s="206"/>
      <c r="QDH34" s="206"/>
      <c r="QDI34" s="206"/>
      <c r="QDJ34" s="206"/>
      <c r="QDK34" s="206"/>
      <c r="QDL34" s="206"/>
      <c r="QDM34" s="206"/>
      <c r="QDN34" s="206"/>
      <c r="QDO34" s="206"/>
      <c r="QDP34" s="206"/>
      <c r="QDQ34" s="206"/>
      <c r="QDR34" s="206"/>
      <c r="QDS34" s="206"/>
      <c r="QDT34" s="206"/>
      <c r="QDU34" s="206"/>
      <c r="QDV34" s="206"/>
      <c r="QDW34" s="206"/>
      <c r="QDX34" s="206"/>
      <c r="QDY34" s="206"/>
      <c r="QDZ34" s="206"/>
      <c r="QEA34" s="206"/>
      <c r="QEB34" s="206"/>
      <c r="QEC34" s="206"/>
      <c r="QED34" s="206"/>
      <c r="QEE34" s="206"/>
      <c r="QEF34" s="206"/>
      <c r="QEG34" s="206"/>
      <c r="QEH34" s="206"/>
      <c r="QEI34" s="206"/>
      <c r="QEJ34" s="206"/>
      <c r="QEK34" s="206"/>
      <c r="QEL34" s="206"/>
      <c r="QEM34" s="206"/>
      <c r="QEN34" s="206"/>
      <c r="QEO34" s="206"/>
      <c r="QEP34" s="206"/>
      <c r="QEQ34" s="206"/>
      <c r="QER34" s="206"/>
      <c r="QES34" s="206"/>
      <c r="QET34" s="206"/>
      <c r="QEU34" s="206"/>
      <c r="QEV34" s="206"/>
      <c r="QEW34" s="206"/>
      <c r="QEX34" s="206"/>
      <c r="QEY34" s="206"/>
      <c r="QEZ34" s="206"/>
      <c r="QFA34" s="206"/>
      <c r="QFB34" s="206"/>
      <c r="QFC34" s="206"/>
      <c r="QFD34" s="206"/>
      <c r="QFE34" s="206"/>
      <c r="QFF34" s="206"/>
      <c r="QFG34" s="206"/>
      <c r="QFH34" s="206"/>
      <c r="QFI34" s="206"/>
      <c r="QFJ34" s="206"/>
      <c r="QFK34" s="206"/>
      <c r="QFL34" s="206"/>
      <c r="QFM34" s="206"/>
      <c r="QFN34" s="206"/>
      <c r="QFO34" s="206"/>
      <c r="QFP34" s="206"/>
      <c r="QFQ34" s="206"/>
      <c r="QFR34" s="206"/>
      <c r="QFS34" s="206"/>
      <c r="QFT34" s="206"/>
      <c r="QFU34" s="206"/>
      <c r="QFV34" s="206"/>
      <c r="QFW34" s="206"/>
      <c r="QFX34" s="206"/>
      <c r="QFY34" s="206"/>
      <c r="QFZ34" s="206"/>
      <c r="QGA34" s="206"/>
      <c r="QGB34" s="206"/>
      <c r="QGC34" s="206"/>
      <c r="QGD34" s="206"/>
      <c r="QGE34" s="206"/>
      <c r="QGF34" s="206"/>
      <c r="QGG34" s="206"/>
      <c r="QGH34" s="206"/>
      <c r="QGI34" s="206"/>
      <c r="QGJ34" s="206"/>
      <c r="QGK34" s="206"/>
      <c r="QGL34" s="206"/>
      <c r="QGM34" s="206"/>
      <c r="QGN34" s="206"/>
      <c r="QGO34" s="206"/>
      <c r="QGP34" s="206"/>
      <c r="QGQ34" s="206"/>
      <c r="QGR34" s="206"/>
      <c r="QGS34" s="206"/>
      <c r="QGT34" s="206"/>
      <c r="QGU34" s="206"/>
      <c r="QGV34" s="206"/>
      <c r="QGW34" s="206"/>
      <c r="QGX34" s="206"/>
      <c r="QGY34" s="206"/>
      <c r="QGZ34" s="206"/>
      <c r="QHA34" s="206"/>
      <c r="QHB34" s="206"/>
      <c r="QHC34" s="206"/>
      <c r="QHD34" s="206"/>
      <c r="QHE34" s="206"/>
      <c r="QHF34" s="206"/>
      <c r="QHG34" s="206"/>
      <c r="QHH34" s="206"/>
      <c r="QHI34" s="206"/>
      <c r="QHJ34" s="206"/>
      <c r="QHK34" s="206"/>
      <c r="QHL34" s="206"/>
      <c r="QHM34" s="206"/>
      <c r="QHN34" s="206"/>
      <c r="QHO34" s="206"/>
      <c r="QHP34" s="206"/>
      <c r="QHQ34" s="206"/>
      <c r="QHR34" s="206"/>
      <c r="QHS34" s="206"/>
      <c r="QHT34" s="206"/>
      <c r="QHU34" s="206"/>
      <c r="QHV34" s="206"/>
      <c r="QHW34" s="206"/>
      <c r="QHX34" s="206"/>
      <c r="QHY34" s="206"/>
      <c r="QHZ34" s="206"/>
      <c r="QIA34" s="206"/>
      <c r="QIB34" s="206"/>
      <c r="QIC34" s="206"/>
      <c r="QID34" s="206"/>
      <c r="QIE34" s="206"/>
      <c r="QIF34" s="206"/>
      <c r="QIG34" s="206"/>
      <c r="QIH34" s="206"/>
      <c r="QII34" s="206"/>
      <c r="QIJ34" s="206"/>
      <c r="QIK34" s="206"/>
      <c r="QIL34" s="206"/>
      <c r="QIM34" s="206"/>
      <c r="QIN34" s="206"/>
      <c r="QIO34" s="206"/>
      <c r="QIP34" s="206"/>
      <c r="QIQ34" s="206"/>
      <c r="QIR34" s="206"/>
      <c r="QIS34" s="206"/>
      <c r="QIT34" s="206"/>
      <c r="QIU34" s="206"/>
      <c r="QIV34" s="206"/>
      <c r="QIW34" s="206"/>
      <c r="QIX34" s="206"/>
      <c r="QIY34" s="206"/>
      <c r="QIZ34" s="206"/>
      <c r="QJA34" s="206"/>
      <c r="QJB34" s="206"/>
      <c r="QJC34" s="206"/>
      <c r="QJD34" s="206"/>
      <c r="QJE34" s="206"/>
      <c r="QJF34" s="206"/>
      <c r="QJG34" s="206"/>
      <c r="QJH34" s="206"/>
      <c r="QJI34" s="206"/>
      <c r="QJJ34" s="206"/>
      <c r="QJK34" s="206"/>
      <c r="QJL34" s="206"/>
      <c r="QJM34" s="206"/>
      <c r="QJN34" s="206"/>
      <c r="QJO34" s="206"/>
      <c r="QJP34" s="206"/>
      <c r="QJQ34" s="206"/>
      <c r="QJR34" s="206"/>
      <c r="QJS34" s="206"/>
      <c r="QJT34" s="206"/>
      <c r="QJU34" s="206"/>
      <c r="QJV34" s="206"/>
      <c r="QJW34" s="206"/>
      <c r="QJX34" s="206"/>
      <c r="QJY34" s="206"/>
      <c r="QJZ34" s="206"/>
      <c r="QKA34" s="206"/>
      <c r="QKB34" s="206"/>
      <c r="QKC34" s="206"/>
      <c r="QKD34" s="206"/>
      <c r="QKE34" s="206"/>
      <c r="QKF34" s="206"/>
      <c r="QKG34" s="206"/>
      <c r="QKH34" s="206"/>
      <c r="QKI34" s="206"/>
      <c r="QKJ34" s="206"/>
      <c r="QKK34" s="206"/>
      <c r="QKL34" s="206"/>
      <c r="QKM34" s="206"/>
      <c r="QKN34" s="206"/>
      <c r="QKO34" s="206"/>
      <c r="QKP34" s="206"/>
      <c r="QKQ34" s="206"/>
      <c r="QKR34" s="206"/>
      <c r="QKS34" s="206"/>
      <c r="QKT34" s="206"/>
      <c r="QKU34" s="206"/>
      <c r="QKV34" s="206"/>
      <c r="QKW34" s="206"/>
      <c r="QKX34" s="206"/>
      <c r="QKY34" s="206"/>
      <c r="QKZ34" s="206"/>
      <c r="QLA34" s="206"/>
      <c r="QLB34" s="206"/>
      <c r="QLC34" s="206"/>
      <c r="QLD34" s="206"/>
      <c r="QLE34" s="206"/>
      <c r="QLF34" s="206"/>
      <c r="QLG34" s="206"/>
      <c r="QLH34" s="206"/>
      <c r="QLI34" s="206"/>
      <c r="QLJ34" s="206"/>
      <c r="QLK34" s="206"/>
      <c r="QLL34" s="206"/>
      <c r="QLM34" s="206"/>
      <c r="QLN34" s="206"/>
      <c r="QLO34" s="206"/>
      <c r="QLP34" s="206"/>
      <c r="QLQ34" s="206"/>
      <c r="QLR34" s="206"/>
      <c r="QLS34" s="206"/>
      <c r="QLT34" s="206"/>
      <c r="QLU34" s="206"/>
      <c r="QLV34" s="206"/>
      <c r="QLW34" s="206"/>
      <c r="QLX34" s="206"/>
      <c r="QLY34" s="206"/>
      <c r="QLZ34" s="206"/>
      <c r="QMA34" s="206"/>
      <c r="QMB34" s="206"/>
      <c r="QMC34" s="206"/>
      <c r="QMD34" s="206"/>
      <c r="QME34" s="206"/>
      <c r="QMF34" s="206"/>
      <c r="QMG34" s="206"/>
      <c r="QMH34" s="206"/>
      <c r="QMI34" s="206"/>
      <c r="QMJ34" s="206"/>
      <c r="QMK34" s="206"/>
      <c r="QML34" s="206"/>
      <c r="QMM34" s="206"/>
      <c r="QMN34" s="206"/>
      <c r="QMO34" s="206"/>
      <c r="QMP34" s="206"/>
      <c r="QMQ34" s="206"/>
      <c r="QMR34" s="206"/>
      <c r="QMS34" s="206"/>
      <c r="QMT34" s="206"/>
      <c r="QMU34" s="206"/>
      <c r="QMV34" s="206"/>
      <c r="QMW34" s="206"/>
      <c r="QMX34" s="206"/>
      <c r="QMY34" s="206"/>
      <c r="QMZ34" s="206"/>
      <c r="QNA34" s="206"/>
      <c r="QNB34" s="206"/>
      <c r="QNC34" s="206"/>
      <c r="QND34" s="206"/>
      <c r="QNE34" s="206"/>
      <c r="QNF34" s="206"/>
      <c r="QNG34" s="206"/>
      <c r="QNH34" s="206"/>
      <c r="QNI34" s="206"/>
      <c r="QNJ34" s="206"/>
      <c r="QNK34" s="206"/>
      <c r="QNL34" s="206"/>
      <c r="QNM34" s="206"/>
      <c r="QNN34" s="206"/>
      <c r="QNO34" s="206"/>
      <c r="QNP34" s="206"/>
      <c r="QNQ34" s="206"/>
      <c r="QNR34" s="206"/>
      <c r="QNS34" s="206"/>
      <c r="QNT34" s="206"/>
      <c r="QNU34" s="206"/>
      <c r="QNV34" s="206"/>
      <c r="QNW34" s="206"/>
      <c r="QNX34" s="206"/>
      <c r="QNY34" s="206"/>
      <c r="QNZ34" s="206"/>
      <c r="QOA34" s="206"/>
      <c r="QOB34" s="206"/>
      <c r="QOC34" s="206"/>
      <c r="QOD34" s="206"/>
      <c r="QOE34" s="206"/>
      <c r="QOF34" s="206"/>
      <c r="QOG34" s="206"/>
      <c r="QOH34" s="206"/>
      <c r="QOI34" s="206"/>
      <c r="QOJ34" s="206"/>
      <c r="QOK34" s="206"/>
      <c r="QOL34" s="206"/>
      <c r="QOM34" s="206"/>
      <c r="QON34" s="206"/>
      <c r="QOO34" s="206"/>
      <c r="QOP34" s="206"/>
      <c r="QOQ34" s="206"/>
      <c r="QOR34" s="206"/>
      <c r="QOS34" s="206"/>
      <c r="QOT34" s="206"/>
      <c r="QOU34" s="206"/>
      <c r="QOV34" s="206"/>
      <c r="QOW34" s="206"/>
      <c r="QOX34" s="206"/>
      <c r="QOY34" s="206"/>
      <c r="QOZ34" s="206"/>
      <c r="QPA34" s="206"/>
      <c r="QPB34" s="206"/>
      <c r="QPC34" s="206"/>
      <c r="QPD34" s="206"/>
      <c r="QPE34" s="206"/>
      <c r="QPF34" s="206"/>
      <c r="QPG34" s="206"/>
      <c r="QPH34" s="206"/>
      <c r="QPI34" s="206"/>
      <c r="QPJ34" s="206"/>
      <c r="QPK34" s="206"/>
      <c r="QPL34" s="206"/>
      <c r="QPM34" s="206"/>
      <c r="QPN34" s="206"/>
      <c r="QPO34" s="206"/>
      <c r="QPP34" s="206"/>
      <c r="QPQ34" s="206"/>
      <c r="QPR34" s="206"/>
      <c r="QPS34" s="206"/>
      <c r="QPT34" s="206"/>
      <c r="QPU34" s="206"/>
      <c r="QPV34" s="206"/>
      <c r="QPW34" s="206"/>
      <c r="QPX34" s="206"/>
      <c r="QPY34" s="206"/>
      <c r="QPZ34" s="206"/>
      <c r="QQA34" s="206"/>
      <c r="QQB34" s="206"/>
      <c r="QQC34" s="206"/>
      <c r="QQD34" s="206"/>
      <c r="QQE34" s="206"/>
      <c r="QQF34" s="206"/>
      <c r="QQG34" s="206"/>
      <c r="QQH34" s="206"/>
      <c r="QQI34" s="206"/>
      <c r="QQJ34" s="206"/>
      <c r="QQK34" s="206"/>
      <c r="QQL34" s="206"/>
      <c r="QQM34" s="206"/>
      <c r="QQN34" s="206"/>
      <c r="QQO34" s="206"/>
      <c r="QQP34" s="206"/>
      <c r="QQQ34" s="206"/>
      <c r="QQR34" s="206"/>
      <c r="QQS34" s="206"/>
      <c r="QQT34" s="206"/>
      <c r="QQU34" s="206"/>
      <c r="QQV34" s="206"/>
      <c r="QQW34" s="206"/>
      <c r="QQX34" s="206"/>
      <c r="QQY34" s="206"/>
      <c r="QQZ34" s="206"/>
      <c r="QRA34" s="206"/>
      <c r="QRB34" s="206"/>
      <c r="QRC34" s="206"/>
      <c r="QRD34" s="206"/>
      <c r="QRE34" s="206"/>
      <c r="QRF34" s="206"/>
      <c r="QRG34" s="206"/>
      <c r="QRH34" s="206"/>
      <c r="QRI34" s="206"/>
      <c r="QRJ34" s="206"/>
      <c r="QRK34" s="206"/>
      <c r="QRL34" s="206"/>
      <c r="QRM34" s="206"/>
      <c r="QRN34" s="206"/>
      <c r="QRO34" s="206"/>
      <c r="QRP34" s="206"/>
      <c r="QRQ34" s="206"/>
      <c r="QRR34" s="206"/>
      <c r="QRS34" s="206"/>
      <c r="QRT34" s="206"/>
      <c r="QRU34" s="206"/>
      <c r="QRV34" s="206"/>
      <c r="QRW34" s="206"/>
      <c r="QRX34" s="206"/>
      <c r="QRY34" s="206"/>
      <c r="QRZ34" s="206"/>
      <c r="QSA34" s="206"/>
      <c r="QSB34" s="206"/>
      <c r="QSC34" s="206"/>
      <c r="QSD34" s="206"/>
      <c r="QSE34" s="206"/>
      <c r="QSF34" s="206"/>
      <c r="QSG34" s="206"/>
      <c r="QSH34" s="206"/>
      <c r="QSI34" s="206"/>
      <c r="QSJ34" s="206"/>
      <c r="QSK34" s="206"/>
      <c r="QSL34" s="206"/>
      <c r="QSM34" s="206"/>
      <c r="QSN34" s="206"/>
      <c r="QSO34" s="206"/>
      <c r="QSP34" s="206"/>
      <c r="QSQ34" s="206"/>
      <c r="QSR34" s="206"/>
      <c r="QSS34" s="206"/>
      <c r="QST34" s="206"/>
      <c r="QSU34" s="206"/>
      <c r="QSV34" s="206"/>
      <c r="QSW34" s="206"/>
      <c r="QSX34" s="206"/>
      <c r="QSY34" s="206"/>
      <c r="QSZ34" s="206"/>
      <c r="QTA34" s="206"/>
      <c r="QTB34" s="206"/>
      <c r="QTC34" s="206"/>
      <c r="QTD34" s="206"/>
      <c r="QTE34" s="206"/>
      <c r="QTF34" s="206"/>
      <c r="QTG34" s="206"/>
      <c r="QTH34" s="206"/>
      <c r="QTI34" s="206"/>
      <c r="QTJ34" s="206"/>
      <c r="QTK34" s="206"/>
      <c r="QTL34" s="206"/>
      <c r="QTM34" s="206"/>
      <c r="QTN34" s="206"/>
      <c r="QTO34" s="206"/>
      <c r="QTP34" s="206"/>
      <c r="QTQ34" s="206"/>
      <c r="QTR34" s="206"/>
      <c r="QTS34" s="206"/>
      <c r="QTT34" s="206"/>
      <c r="QTU34" s="206"/>
      <c r="QTV34" s="206"/>
      <c r="QTW34" s="206"/>
      <c r="QTX34" s="206"/>
      <c r="QTY34" s="206"/>
      <c r="QTZ34" s="206"/>
      <c r="QUA34" s="206"/>
      <c r="QUB34" s="206"/>
      <c r="QUC34" s="206"/>
      <c r="QUD34" s="206"/>
      <c r="QUE34" s="206"/>
      <c r="QUF34" s="206"/>
      <c r="QUG34" s="206"/>
      <c r="QUH34" s="206"/>
      <c r="QUI34" s="206"/>
      <c r="QUJ34" s="206"/>
      <c r="QUK34" s="206"/>
      <c r="QUL34" s="206"/>
      <c r="QUM34" s="206"/>
      <c r="QUN34" s="206"/>
      <c r="QUO34" s="206"/>
      <c r="QUP34" s="206"/>
      <c r="QUQ34" s="206"/>
      <c r="QUR34" s="206"/>
      <c r="QUS34" s="206"/>
      <c r="QUT34" s="206"/>
      <c r="QUU34" s="206"/>
      <c r="QUV34" s="206"/>
      <c r="QUW34" s="206"/>
      <c r="QUX34" s="206"/>
      <c r="QUY34" s="206"/>
      <c r="QUZ34" s="206"/>
      <c r="QVA34" s="206"/>
      <c r="QVB34" s="206"/>
      <c r="QVC34" s="206"/>
      <c r="QVD34" s="206"/>
      <c r="QVE34" s="206"/>
      <c r="QVF34" s="206"/>
      <c r="QVG34" s="206"/>
      <c r="QVH34" s="206"/>
      <c r="QVI34" s="206"/>
      <c r="QVJ34" s="206"/>
      <c r="QVK34" s="206"/>
      <c r="QVL34" s="206"/>
      <c r="QVM34" s="206"/>
      <c r="QVN34" s="206"/>
      <c r="QVO34" s="206"/>
      <c r="QVP34" s="206"/>
      <c r="QVQ34" s="206"/>
      <c r="QVR34" s="206"/>
      <c r="QVS34" s="206"/>
      <c r="QVT34" s="206"/>
      <c r="QVU34" s="206"/>
      <c r="QVV34" s="206"/>
      <c r="QVW34" s="206"/>
      <c r="QVX34" s="206"/>
      <c r="QVY34" s="206"/>
      <c r="QVZ34" s="206"/>
      <c r="QWA34" s="206"/>
      <c r="QWB34" s="206"/>
      <c r="QWC34" s="206"/>
      <c r="QWD34" s="206"/>
      <c r="QWE34" s="206"/>
      <c r="QWF34" s="206"/>
      <c r="QWG34" s="206"/>
      <c r="QWH34" s="206"/>
      <c r="QWI34" s="206"/>
      <c r="QWJ34" s="206"/>
      <c r="QWK34" s="206"/>
      <c r="QWL34" s="206"/>
      <c r="QWM34" s="206"/>
      <c r="QWN34" s="206"/>
      <c r="QWO34" s="206"/>
      <c r="QWP34" s="206"/>
      <c r="QWQ34" s="206"/>
      <c r="QWR34" s="206"/>
      <c r="QWS34" s="206"/>
      <c r="QWT34" s="206"/>
      <c r="QWU34" s="206"/>
      <c r="QWV34" s="206"/>
      <c r="QWW34" s="206"/>
      <c r="QWX34" s="206"/>
      <c r="QWY34" s="206"/>
      <c r="QWZ34" s="206"/>
      <c r="QXA34" s="206"/>
      <c r="QXB34" s="206"/>
      <c r="QXC34" s="206"/>
      <c r="QXD34" s="206"/>
      <c r="QXE34" s="206"/>
      <c r="QXF34" s="206"/>
      <c r="QXG34" s="206"/>
      <c r="QXH34" s="206"/>
      <c r="QXI34" s="206"/>
      <c r="QXJ34" s="206"/>
      <c r="QXK34" s="206"/>
      <c r="QXL34" s="206"/>
      <c r="QXM34" s="206"/>
      <c r="QXN34" s="206"/>
      <c r="QXO34" s="206"/>
      <c r="QXP34" s="206"/>
      <c r="QXQ34" s="206"/>
      <c r="QXR34" s="206"/>
      <c r="QXS34" s="206"/>
      <c r="QXT34" s="206"/>
      <c r="QXU34" s="206"/>
      <c r="QXV34" s="206"/>
      <c r="QXW34" s="206"/>
      <c r="QXX34" s="206"/>
      <c r="QXY34" s="206"/>
      <c r="QXZ34" s="206"/>
      <c r="QYA34" s="206"/>
      <c r="QYB34" s="206"/>
      <c r="QYC34" s="206"/>
      <c r="QYD34" s="206"/>
      <c r="QYE34" s="206"/>
      <c r="QYF34" s="206"/>
      <c r="QYG34" s="206"/>
      <c r="QYH34" s="206"/>
      <c r="QYI34" s="206"/>
      <c r="QYJ34" s="206"/>
      <c r="QYK34" s="206"/>
      <c r="QYL34" s="206"/>
      <c r="QYM34" s="206"/>
      <c r="QYN34" s="206"/>
      <c r="QYO34" s="206"/>
      <c r="QYP34" s="206"/>
      <c r="QYQ34" s="206"/>
      <c r="QYR34" s="206"/>
      <c r="QYS34" s="206"/>
      <c r="QYT34" s="206"/>
      <c r="QYU34" s="206"/>
      <c r="QYV34" s="206"/>
      <c r="QYW34" s="206"/>
      <c r="QYX34" s="206"/>
      <c r="QYY34" s="206"/>
      <c r="QYZ34" s="206"/>
      <c r="QZA34" s="206"/>
      <c r="QZB34" s="206"/>
      <c r="QZC34" s="206"/>
      <c r="QZD34" s="206"/>
      <c r="QZE34" s="206"/>
      <c r="QZF34" s="206"/>
      <c r="QZG34" s="206"/>
      <c r="QZH34" s="206"/>
      <c r="QZI34" s="206"/>
      <c r="QZJ34" s="206"/>
      <c r="QZK34" s="206"/>
      <c r="QZL34" s="206"/>
      <c r="QZM34" s="206"/>
      <c r="QZN34" s="206"/>
      <c r="QZO34" s="206"/>
      <c r="QZP34" s="206"/>
      <c r="QZQ34" s="206"/>
      <c r="QZR34" s="206"/>
      <c r="QZS34" s="206"/>
      <c r="QZT34" s="206"/>
      <c r="QZU34" s="206"/>
      <c r="QZV34" s="206"/>
      <c r="QZW34" s="206"/>
      <c r="QZX34" s="206"/>
      <c r="QZY34" s="206"/>
      <c r="QZZ34" s="206"/>
      <c r="RAA34" s="206"/>
      <c r="RAB34" s="206"/>
      <c r="RAC34" s="206"/>
      <c r="RAD34" s="206"/>
      <c r="RAE34" s="206"/>
      <c r="RAF34" s="206"/>
      <c r="RAG34" s="206"/>
      <c r="RAH34" s="206"/>
      <c r="RAI34" s="206"/>
      <c r="RAJ34" s="206"/>
      <c r="RAK34" s="206"/>
      <c r="RAL34" s="206"/>
      <c r="RAM34" s="206"/>
      <c r="RAN34" s="206"/>
      <c r="RAO34" s="206"/>
      <c r="RAP34" s="206"/>
      <c r="RAQ34" s="206"/>
      <c r="RAR34" s="206"/>
      <c r="RAS34" s="206"/>
      <c r="RAT34" s="206"/>
      <c r="RAU34" s="206"/>
      <c r="RAV34" s="206"/>
      <c r="RAW34" s="206"/>
      <c r="RAX34" s="206"/>
      <c r="RAY34" s="206"/>
      <c r="RAZ34" s="206"/>
      <c r="RBA34" s="206"/>
      <c r="RBB34" s="206"/>
      <c r="RBC34" s="206"/>
      <c r="RBD34" s="206"/>
      <c r="RBE34" s="206"/>
      <c r="RBF34" s="206"/>
      <c r="RBG34" s="206"/>
      <c r="RBH34" s="206"/>
      <c r="RBI34" s="206"/>
      <c r="RBJ34" s="206"/>
      <c r="RBK34" s="206"/>
      <c r="RBL34" s="206"/>
      <c r="RBM34" s="206"/>
      <c r="RBN34" s="206"/>
      <c r="RBO34" s="206"/>
      <c r="RBP34" s="206"/>
      <c r="RBQ34" s="206"/>
      <c r="RBR34" s="206"/>
      <c r="RBS34" s="206"/>
      <c r="RBT34" s="206"/>
      <c r="RBU34" s="206"/>
      <c r="RBV34" s="206"/>
      <c r="RBW34" s="206"/>
      <c r="RBX34" s="206"/>
      <c r="RBY34" s="206"/>
      <c r="RBZ34" s="206"/>
      <c r="RCA34" s="206"/>
      <c r="RCB34" s="206"/>
      <c r="RCC34" s="206"/>
      <c r="RCD34" s="206"/>
      <c r="RCE34" s="206"/>
      <c r="RCF34" s="206"/>
      <c r="RCG34" s="206"/>
      <c r="RCH34" s="206"/>
      <c r="RCI34" s="206"/>
      <c r="RCJ34" s="206"/>
      <c r="RCK34" s="206"/>
      <c r="RCL34" s="206"/>
      <c r="RCM34" s="206"/>
      <c r="RCN34" s="206"/>
      <c r="RCO34" s="206"/>
      <c r="RCP34" s="206"/>
      <c r="RCQ34" s="206"/>
      <c r="RCR34" s="206"/>
      <c r="RCS34" s="206"/>
      <c r="RCT34" s="206"/>
      <c r="RCU34" s="206"/>
      <c r="RCV34" s="206"/>
      <c r="RCW34" s="206"/>
      <c r="RCX34" s="206"/>
      <c r="RCY34" s="206"/>
      <c r="RCZ34" s="206"/>
      <c r="RDA34" s="206"/>
      <c r="RDB34" s="206"/>
      <c r="RDC34" s="206"/>
      <c r="RDD34" s="206"/>
      <c r="RDE34" s="206"/>
      <c r="RDF34" s="206"/>
      <c r="RDG34" s="206"/>
      <c r="RDH34" s="206"/>
      <c r="RDI34" s="206"/>
      <c r="RDJ34" s="206"/>
      <c r="RDK34" s="206"/>
      <c r="RDL34" s="206"/>
      <c r="RDM34" s="206"/>
      <c r="RDN34" s="206"/>
      <c r="RDO34" s="206"/>
      <c r="RDP34" s="206"/>
      <c r="RDQ34" s="206"/>
      <c r="RDR34" s="206"/>
      <c r="RDS34" s="206"/>
      <c r="RDT34" s="206"/>
      <c r="RDU34" s="206"/>
      <c r="RDV34" s="206"/>
      <c r="RDW34" s="206"/>
      <c r="RDX34" s="206"/>
      <c r="RDY34" s="206"/>
      <c r="RDZ34" s="206"/>
      <c r="REA34" s="206"/>
      <c r="REB34" s="206"/>
      <c r="REC34" s="206"/>
      <c r="RED34" s="206"/>
      <c r="REE34" s="206"/>
      <c r="REF34" s="206"/>
      <c r="REG34" s="206"/>
      <c r="REH34" s="206"/>
      <c r="REI34" s="206"/>
      <c r="REJ34" s="206"/>
      <c r="REK34" s="206"/>
      <c r="REL34" s="206"/>
      <c r="REM34" s="206"/>
      <c r="REN34" s="206"/>
      <c r="REO34" s="206"/>
      <c r="REP34" s="206"/>
      <c r="REQ34" s="206"/>
      <c r="RER34" s="206"/>
      <c r="RES34" s="206"/>
      <c r="RET34" s="206"/>
      <c r="REU34" s="206"/>
      <c r="REV34" s="206"/>
      <c r="REW34" s="206"/>
      <c r="REX34" s="206"/>
      <c r="REY34" s="206"/>
      <c r="REZ34" s="206"/>
      <c r="RFA34" s="206"/>
      <c r="RFB34" s="206"/>
      <c r="RFC34" s="206"/>
      <c r="RFD34" s="206"/>
      <c r="RFE34" s="206"/>
      <c r="RFF34" s="206"/>
      <c r="RFG34" s="206"/>
      <c r="RFH34" s="206"/>
      <c r="RFI34" s="206"/>
      <c r="RFJ34" s="206"/>
      <c r="RFK34" s="206"/>
      <c r="RFL34" s="206"/>
      <c r="RFM34" s="206"/>
      <c r="RFN34" s="206"/>
      <c r="RFO34" s="206"/>
      <c r="RFP34" s="206"/>
      <c r="RFQ34" s="206"/>
      <c r="RFR34" s="206"/>
      <c r="RFS34" s="206"/>
      <c r="RFT34" s="206"/>
      <c r="RFU34" s="206"/>
      <c r="RFV34" s="206"/>
      <c r="RFW34" s="206"/>
      <c r="RFX34" s="206"/>
      <c r="RFY34" s="206"/>
      <c r="RFZ34" s="206"/>
      <c r="RGA34" s="206"/>
      <c r="RGB34" s="206"/>
      <c r="RGC34" s="206"/>
      <c r="RGD34" s="206"/>
      <c r="RGE34" s="206"/>
      <c r="RGF34" s="206"/>
      <c r="RGG34" s="206"/>
      <c r="RGH34" s="206"/>
      <c r="RGI34" s="206"/>
      <c r="RGJ34" s="206"/>
      <c r="RGK34" s="206"/>
      <c r="RGL34" s="206"/>
      <c r="RGM34" s="206"/>
      <c r="RGN34" s="206"/>
      <c r="RGO34" s="206"/>
      <c r="RGP34" s="206"/>
      <c r="RGQ34" s="206"/>
      <c r="RGR34" s="206"/>
      <c r="RGS34" s="206"/>
      <c r="RGT34" s="206"/>
      <c r="RGU34" s="206"/>
      <c r="RGV34" s="206"/>
      <c r="RGW34" s="206"/>
      <c r="RGX34" s="206"/>
      <c r="RGY34" s="206"/>
      <c r="RGZ34" s="206"/>
      <c r="RHA34" s="206"/>
      <c r="RHB34" s="206"/>
      <c r="RHC34" s="206"/>
      <c r="RHD34" s="206"/>
      <c r="RHE34" s="206"/>
      <c r="RHF34" s="206"/>
      <c r="RHG34" s="206"/>
      <c r="RHH34" s="206"/>
      <c r="RHI34" s="206"/>
      <c r="RHJ34" s="206"/>
      <c r="RHK34" s="206"/>
      <c r="RHL34" s="206"/>
      <c r="RHM34" s="206"/>
      <c r="RHN34" s="206"/>
      <c r="RHO34" s="206"/>
      <c r="RHP34" s="206"/>
      <c r="RHQ34" s="206"/>
      <c r="RHR34" s="206"/>
      <c r="RHS34" s="206"/>
      <c r="RHT34" s="206"/>
      <c r="RHU34" s="206"/>
      <c r="RHV34" s="206"/>
      <c r="RHW34" s="206"/>
      <c r="RHX34" s="206"/>
      <c r="RHY34" s="206"/>
      <c r="RHZ34" s="206"/>
      <c r="RIA34" s="206"/>
      <c r="RIB34" s="206"/>
      <c r="RIC34" s="206"/>
      <c r="RID34" s="206"/>
      <c r="RIE34" s="206"/>
      <c r="RIF34" s="206"/>
      <c r="RIG34" s="206"/>
      <c r="RIH34" s="206"/>
      <c r="RII34" s="206"/>
      <c r="RIJ34" s="206"/>
      <c r="RIK34" s="206"/>
      <c r="RIL34" s="206"/>
      <c r="RIM34" s="206"/>
      <c r="RIN34" s="206"/>
      <c r="RIO34" s="206"/>
      <c r="RIP34" s="206"/>
      <c r="RIQ34" s="206"/>
      <c r="RIR34" s="206"/>
      <c r="RIS34" s="206"/>
      <c r="RIT34" s="206"/>
      <c r="RIU34" s="206"/>
      <c r="RIV34" s="206"/>
      <c r="RIW34" s="206"/>
      <c r="RIX34" s="206"/>
      <c r="RIY34" s="206"/>
      <c r="RIZ34" s="206"/>
      <c r="RJA34" s="206"/>
      <c r="RJB34" s="206"/>
      <c r="RJC34" s="206"/>
      <c r="RJD34" s="206"/>
      <c r="RJE34" s="206"/>
      <c r="RJF34" s="206"/>
      <c r="RJG34" s="206"/>
      <c r="RJH34" s="206"/>
      <c r="RJI34" s="206"/>
      <c r="RJJ34" s="206"/>
      <c r="RJK34" s="206"/>
      <c r="RJL34" s="206"/>
      <c r="RJM34" s="206"/>
      <c r="RJN34" s="206"/>
      <c r="RJO34" s="206"/>
      <c r="RJP34" s="206"/>
      <c r="RJQ34" s="206"/>
      <c r="RJR34" s="206"/>
      <c r="RJS34" s="206"/>
      <c r="RJT34" s="206"/>
      <c r="RJU34" s="206"/>
      <c r="RJV34" s="206"/>
      <c r="RJW34" s="206"/>
      <c r="RJX34" s="206"/>
      <c r="RJY34" s="206"/>
      <c r="RJZ34" s="206"/>
      <c r="RKA34" s="206"/>
      <c r="RKB34" s="206"/>
      <c r="RKC34" s="206"/>
      <c r="RKD34" s="206"/>
      <c r="RKE34" s="206"/>
      <c r="RKF34" s="206"/>
      <c r="RKG34" s="206"/>
      <c r="RKH34" s="206"/>
      <c r="RKI34" s="206"/>
      <c r="RKJ34" s="206"/>
      <c r="RKK34" s="206"/>
      <c r="RKL34" s="206"/>
      <c r="RKM34" s="206"/>
      <c r="RKN34" s="206"/>
      <c r="RKO34" s="206"/>
      <c r="RKP34" s="206"/>
      <c r="RKQ34" s="206"/>
      <c r="RKR34" s="206"/>
      <c r="RKS34" s="206"/>
      <c r="RKT34" s="206"/>
      <c r="RKU34" s="206"/>
      <c r="RKV34" s="206"/>
      <c r="RKW34" s="206"/>
      <c r="RKX34" s="206"/>
      <c r="RKY34" s="206"/>
      <c r="RKZ34" s="206"/>
      <c r="RLA34" s="206"/>
      <c r="RLB34" s="206"/>
      <c r="RLC34" s="206"/>
      <c r="RLD34" s="206"/>
      <c r="RLE34" s="206"/>
      <c r="RLF34" s="206"/>
      <c r="RLG34" s="206"/>
      <c r="RLH34" s="206"/>
      <c r="RLI34" s="206"/>
      <c r="RLJ34" s="206"/>
      <c r="RLK34" s="206"/>
      <c r="RLL34" s="206"/>
      <c r="RLM34" s="206"/>
      <c r="RLN34" s="206"/>
      <c r="RLO34" s="206"/>
      <c r="RLP34" s="206"/>
      <c r="RLQ34" s="206"/>
      <c r="RLR34" s="206"/>
      <c r="RLS34" s="206"/>
      <c r="RLT34" s="206"/>
      <c r="RLU34" s="206"/>
      <c r="RLV34" s="206"/>
      <c r="RLW34" s="206"/>
      <c r="RLX34" s="206"/>
      <c r="RLY34" s="206"/>
      <c r="RLZ34" s="206"/>
      <c r="RMA34" s="206"/>
      <c r="RMB34" s="206"/>
      <c r="RMC34" s="206"/>
      <c r="RMD34" s="206"/>
      <c r="RME34" s="206"/>
      <c r="RMF34" s="206"/>
      <c r="RMG34" s="206"/>
      <c r="RMH34" s="206"/>
      <c r="RMI34" s="206"/>
      <c r="RMJ34" s="206"/>
      <c r="RMK34" s="206"/>
      <c r="RML34" s="206"/>
      <c r="RMM34" s="206"/>
      <c r="RMN34" s="206"/>
      <c r="RMO34" s="206"/>
      <c r="RMP34" s="206"/>
      <c r="RMQ34" s="206"/>
      <c r="RMR34" s="206"/>
      <c r="RMS34" s="206"/>
      <c r="RMT34" s="206"/>
      <c r="RMU34" s="206"/>
      <c r="RMV34" s="206"/>
      <c r="RMW34" s="206"/>
      <c r="RMX34" s="206"/>
      <c r="RMY34" s="206"/>
      <c r="RMZ34" s="206"/>
      <c r="RNA34" s="206"/>
      <c r="RNB34" s="206"/>
      <c r="RNC34" s="206"/>
      <c r="RND34" s="206"/>
      <c r="RNE34" s="206"/>
      <c r="RNF34" s="206"/>
      <c r="RNG34" s="206"/>
      <c r="RNH34" s="206"/>
      <c r="RNI34" s="206"/>
      <c r="RNJ34" s="206"/>
      <c r="RNK34" s="206"/>
      <c r="RNL34" s="206"/>
      <c r="RNM34" s="206"/>
      <c r="RNN34" s="206"/>
      <c r="RNO34" s="206"/>
      <c r="RNP34" s="206"/>
      <c r="RNQ34" s="206"/>
      <c r="RNR34" s="206"/>
      <c r="RNS34" s="206"/>
      <c r="RNT34" s="206"/>
      <c r="RNU34" s="206"/>
      <c r="RNV34" s="206"/>
      <c r="RNW34" s="206"/>
      <c r="RNX34" s="206"/>
      <c r="RNY34" s="206"/>
      <c r="RNZ34" s="206"/>
      <c r="ROA34" s="206"/>
      <c r="ROB34" s="206"/>
      <c r="ROC34" s="206"/>
      <c r="ROD34" s="206"/>
      <c r="ROE34" s="206"/>
      <c r="ROF34" s="206"/>
      <c r="ROG34" s="206"/>
      <c r="ROH34" s="206"/>
      <c r="ROI34" s="206"/>
      <c r="ROJ34" s="206"/>
      <c r="ROK34" s="206"/>
      <c r="ROL34" s="206"/>
      <c r="ROM34" s="206"/>
      <c r="RON34" s="206"/>
      <c r="ROO34" s="206"/>
      <c r="ROP34" s="206"/>
      <c r="ROQ34" s="206"/>
      <c r="ROR34" s="206"/>
      <c r="ROS34" s="206"/>
      <c r="ROT34" s="206"/>
      <c r="ROU34" s="206"/>
      <c r="ROV34" s="206"/>
      <c r="ROW34" s="206"/>
      <c r="ROX34" s="206"/>
      <c r="ROY34" s="206"/>
      <c r="ROZ34" s="206"/>
      <c r="RPA34" s="206"/>
      <c r="RPB34" s="206"/>
      <c r="RPC34" s="206"/>
      <c r="RPD34" s="206"/>
      <c r="RPE34" s="206"/>
      <c r="RPF34" s="206"/>
      <c r="RPG34" s="206"/>
      <c r="RPH34" s="206"/>
      <c r="RPI34" s="206"/>
      <c r="RPJ34" s="206"/>
      <c r="RPK34" s="206"/>
      <c r="RPL34" s="206"/>
      <c r="RPM34" s="206"/>
      <c r="RPN34" s="206"/>
      <c r="RPO34" s="206"/>
      <c r="RPP34" s="206"/>
      <c r="RPQ34" s="206"/>
      <c r="RPR34" s="206"/>
      <c r="RPS34" s="206"/>
      <c r="RPT34" s="206"/>
      <c r="RPU34" s="206"/>
      <c r="RPV34" s="206"/>
      <c r="RPW34" s="206"/>
      <c r="RPX34" s="206"/>
      <c r="RPY34" s="206"/>
      <c r="RPZ34" s="206"/>
      <c r="RQA34" s="206"/>
      <c r="RQB34" s="206"/>
      <c r="RQC34" s="206"/>
      <c r="RQD34" s="206"/>
      <c r="RQE34" s="206"/>
      <c r="RQF34" s="206"/>
      <c r="RQG34" s="206"/>
      <c r="RQH34" s="206"/>
      <c r="RQI34" s="206"/>
      <c r="RQJ34" s="206"/>
      <c r="RQK34" s="206"/>
      <c r="RQL34" s="206"/>
      <c r="RQM34" s="206"/>
      <c r="RQN34" s="206"/>
      <c r="RQO34" s="206"/>
      <c r="RQP34" s="206"/>
      <c r="RQQ34" s="206"/>
      <c r="RQR34" s="206"/>
      <c r="RQS34" s="206"/>
      <c r="RQT34" s="206"/>
      <c r="RQU34" s="206"/>
      <c r="RQV34" s="206"/>
      <c r="RQW34" s="206"/>
      <c r="RQX34" s="206"/>
      <c r="RQY34" s="206"/>
      <c r="RQZ34" s="206"/>
      <c r="RRA34" s="206"/>
      <c r="RRB34" s="206"/>
      <c r="RRC34" s="206"/>
      <c r="RRD34" s="206"/>
      <c r="RRE34" s="206"/>
      <c r="RRF34" s="206"/>
      <c r="RRG34" s="206"/>
      <c r="RRH34" s="206"/>
      <c r="RRI34" s="206"/>
      <c r="RRJ34" s="206"/>
      <c r="RRK34" s="206"/>
      <c r="RRL34" s="206"/>
      <c r="RRM34" s="206"/>
      <c r="RRN34" s="206"/>
      <c r="RRO34" s="206"/>
      <c r="RRP34" s="206"/>
      <c r="RRQ34" s="206"/>
      <c r="RRR34" s="206"/>
      <c r="RRS34" s="206"/>
      <c r="RRT34" s="206"/>
      <c r="RRU34" s="206"/>
      <c r="RRV34" s="206"/>
      <c r="RRW34" s="206"/>
      <c r="RRX34" s="206"/>
      <c r="RRY34" s="206"/>
      <c r="RRZ34" s="206"/>
      <c r="RSA34" s="206"/>
      <c r="RSB34" s="206"/>
      <c r="RSC34" s="206"/>
      <c r="RSD34" s="206"/>
      <c r="RSE34" s="206"/>
      <c r="RSF34" s="206"/>
      <c r="RSG34" s="206"/>
      <c r="RSH34" s="206"/>
      <c r="RSI34" s="206"/>
      <c r="RSJ34" s="206"/>
      <c r="RSK34" s="206"/>
      <c r="RSL34" s="206"/>
      <c r="RSM34" s="206"/>
      <c r="RSN34" s="206"/>
      <c r="RSO34" s="206"/>
      <c r="RSP34" s="206"/>
      <c r="RSQ34" s="206"/>
      <c r="RSR34" s="206"/>
      <c r="RSS34" s="206"/>
      <c r="RST34" s="206"/>
      <c r="RSU34" s="206"/>
      <c r="RSV34" s="206"/>
      <c r="RSW34" s="206"/>
      <c r="RSX34" s="206"/>
      <c r="RSY34" s="206"/>
      <c r="RSZ34" s="206"/>
      <c r="RTA34" s="206"/>
      <c r="RTB34" s="206"/>
      <c r="RTC34" s="206"/>
      <c r="RTD34" s="206"/>
      <c r="RTE34" s="206"/>
      <c r="RTF34" s="206"/>
      <c r="RTG34" s="206"/>
      <c r="RTH34" s="206"/>
      <c r="RTI34" s="206"/>
      <c r="RTJ34" s="206"/>
      <c r="RTK34" s="206"/>
      <c r="RTL34" s="206"/>
      <c r="RTM34" s="206"/>
      <c r="RTN34" s="206"/>
      <c r="RTO34" s="206"/>
      <c r="RTP34" s="206"/>
      <c r="RTQ34" s="206"/>
      <c r="RTR34" s="206"/>
      <c r="RTS34" s="206"/>
      <c r="RTT34" s="206"/>
      <c r="RTU34" s="206"/>
      <c r="RTV34" s="206"/>
      <c r="RTW34" s="206"/>
      <c r="RTX34" s="206"/>
      <c r="RTY34" s="206"/>
      <c r="RTZ34" s="206"/>
      <c r="RUA34" s="206"/>
      <c r="RUB34" s="206"/>
      <c r="RUC34" s="206"/>
      <c r="RUD34" s="206"/>
      <c r="RUE34" s="206"/>
      <c r="RUF34" s="206"/>
      <c r="RUG34" s="206"/>
      <c r="RUH34" s="206"/>
      <c r="RUI34" s="206"/>
      <c r="RUJ34" s="206"/>
      <c r="RUK34" s="206"/>
      <c r="RUL34" s="206"/>
      <c r="RUM34" s="206"/>
      <c r="RUN34" s="206"/>
      <c r="RUO34" s="206"/>
      <c r="RUP34" s="206"/>
      <c r="RUQ34" s="206"/>
      <c r="RUR34" s="206"/>
      <c r="RUS34" s="206"/>
      <c r="RUT34" s="206"/>
      <c r="RUU34" s="206"/>
      <c r="RUV34" s="206"/>
      <c r="RUW34" s="206"/>
      <c r="RUX34" s="206"/>
      <c r="RUY34" s="206"/>
      <c r="RUZ34" s="206"/>
      <c r="RVA34" s="206"/>
      <c r="RVB34" s="206"/>
      <c r="RVC34" s="206"/>
      <c r="RVD34" s="206"/>
      <c r="RVE34" s="206"/>
      <c r="RVF34" s="206"/>
      <c r="RVG34" s="206"/>
      <c r="RVH34" s="206"/>
      <c r="RVI34" s="206"/>
      <c r="RVJ34" s="206"/>
      <c r="RVK34" s="206"/>
      <c r="RVL34" s="206"/>
      <c r="RVM34" s="206"/>
      <c r="RVN34" s="206"/>
      <c r="RVO34" s="206"/>
      <c r="RVP34" s="206"/>
      <c r="RVQ34" s="206"/>
      <c r="RVR34" s="206"/>
      <c r="RVS34" s="206"/>
      <c r="RVT34" s="206"/>
      <c r="RVU34" s="206"/>
      <c r="RVV34" s="206"/>
      <c r="RVW34" s="206"/>
      <c r="RVX34" s="206"/>
      <c r="RVY34" s="206"/>
      <c r="RVZ34" s="206"/>
      <c r="RWA34" s="206"/>
      <c r="RWB34" s="206"/>
      <c r="RWC34" s="206"/>
      <c r="RWD34" s="206"/>
      <c r="RWE34" s="206"/>
      <c r="RWF34" s="206"/>
      <c r="RWG34" s="206"/>
      <c r="RWH34" s="206"/>
      <c r="RWI34" s="206"/>
      <c r="RWJ34" s="206"/>
      <c r="RWK34" s="206"/>
      <c r="RWL34" s="206"/>
      <c r="RWM34" s="206"/>
      <c r="RWN34" s="206"/>
      <c r="RWO34" s="206"/>
      <c r="RWP34" s="206"/>
      <c r="RWQ34" s="206"/>
      <c r="RWR34" s="206"/>
      <c r="RWS34" s="206"/>
      <c r="RWT34" s="206"/>
      <c r="RWU34" s="206"/>
      <c r="RWV34" s="206"/>
      <c r="RWW34" s="206"/>
      <c r="RWX34" s="206"/>
      <c r="RWY34" s="206"/>
      <c r="RWZ34" s="206"/>
      <c r="RXA34" s="206"/>
      <c r="RXB34" s="206"/>
      <c r="RXC34" s="206"/>
      <c r="RXD34" s="206"/>
      <c r="RXE34" s="206"/>
      <c r="RXF34" s="206"/>
      <c r="RXG34" s="206"/>
      <c r="RXH34" s="206"/>
      <c r="RXI34" s="206"/>
      <c r="RXJ34" s="206"/>
      <c r="RXK34" s="206"/>
      <c r="RXL34" s="206"/>
      <c r="RXM34" s="206"/>
      <c r="RXN34" s="206"/>
      <c r="RXO34" s="206"/>
      <c r="RXP34" s="206"/>
      <c r="RXQ34" s="206"/>
      <c r="RXR34" s="206"/>
      <c r="RXS34" s="206"/>
      <c r="RXT34" s="206"/>
      <c r="RXU34" s="206"/>
      <c r="RXV34" s="206"/>
      <c r="RXW34" s="206"/>
      <c r="RXX34" s="206"/>
      <c r="RXY34" s="206"/>
      <c r="RXZ34" s="206"/>
      <c r="RYA34" s="206"/>
      <c r="RYB34" s="206"/>
      <c r="RYC34" s="206"/>
      <c r="RYD34" s="206"/>
      <c r="RYE34" s="206"/>
      <c r="RYF34" s="206"/>
      <c r="RYG34" s="206"/>
      <c r="RYH34" s="206"/>
      <c r="RYI34" s="206"/>
      <c r="RYJ34" s="206"/>
      <c r="RYK34" s="206"/>
      <c r="RYL34" s="206"/>
      <c r="RYM34" s="206"/>
      <c r="RYN34" s="206"/>
      <c r="RYO34" s="206"/>
      <c r="RYP34" s="206"/>
      <c r="RYQ34" s="206"/>
      <c r="RYR34" s="206"/>
      <c r="RYS34" s="206"/>
      <c r="RYT34" s="206"/>
      <c r="RYU34" s="206"/>
      <c r="RYV34" s="206"/>
      <c r="RYW34" s="206"/>
      <c r="RYX34" s="206"/>
      <c r="RYY34" s="206"/>
      <c r="RYZ34" s="206"/>
      <c r="RZA34" s="206"/>
      <c r="RZB34" s="206"/>
      <c r="RZC34" s="206"/>
      <c r="RZD34" s="206"/>
      <c r="RZE34" s="206"/>
      <c r="RZF34" s="206"/>
      <c r="RZG34" s="206"/>
      <c r="RZH34" s="206"/>
      <c r="RZI34" s="206"/>
      <c r="RZJ34" s="206"/>
      <c r="RZK34" s="206"/>
      <c r="RZL34" s="206"/>
      <c r="RZM34" s="206"/>
      <c r="RZN34" s="206"/>
      <c r="RZO34" s="206"/>
      <c r="RZP34" s="206"/>
      <c r="RZQ34" s="206"/>
      <c r="RZR34" s="206"/>
      <c r="RZS34" s="206"/>
      <c r="RZT34" s="206"/>
      <c r="RZU34" s="206"/>
      <c r="RZV34" s="206"/>
      <c r="RZW34" s="206"/>
      <c r="RZX34" s="206"/>
      <c r="RZY34" s="206"/>
      <c r="RZZ34" s="206"/>
      <c r="SAA34" s="206"/>
      <c r="SAB34" s="206"/>
      <c r="SAC34" s="206"/>
      <c r="SAD34" s="206"/>
      <c r="SAE34" s="206"/>
      <c r="SAF34" s="206"/>
      <c r="SAG34" s="206"/>
      <c r="SAH34" s="206"/>
      <c r="SAI34" s="206"/>
      <c r="SAJ34" s="206"/>
      <c r="SAK34" s="206"/>
      <c r="SAL34" s="206"/>
      <c r="SAM34" s="206"/>
      <c r="SAN34" s="206"/>
      <c r="SAO34" s="206"/>
      <c r="SAP34" s="206"/>
      <c r="SAQ34" s="206"/>
      <c r="SAR34" s="206"/>
      <c r="SAS34" s="206"/>
      <c r="SAT34" s="206"/>
      <c r="SAU34" s="206"/>
      <c r="SAV34" s="206"/>
      <c r="SAW34" s="206"/>
      <c r="SAX34" s="206"/>
      <c r="SAY34" s="206"/>
      <c r="SAZ34" s="206"/>
      <c r="SBA34" s="206"/>
      <c r="SBB34" s="206"/>
      <c r="SBC34" s="206"/>
      <c r="SBD34" s="206"/>
      <c r="SBE34" s="206"/>
      <c r="SBF34" s="206"/>
      <c r="SBG34" s="206"/>
      <c r="SBH34" s="206"/>
      <c r="SBI34" s="206"/>
      <c r="SBJ34" s="206"/>
      <c r="SBK34" s="206"/>
      <c r="SBL34" s="206"/>
      <c r="SBM34" s="206"/>
      <c r="SBN34" s="206"/>
      <c r="SBO34" s="206"/>
      <c r="SBP34" s="206"/>
      <c r="SBQ34" s="206"/>
      <c r="SBR34" s="206"/>
      <c r="SBS34" s="206"/>
      <c r="SBT34" s="206"/>
      <c r="SBU34" s="206"/>
      <c r="SBV34" s="206"/>
      <c r="SBW34" s="206"/>
      <c r="SBX34" s="206"/>
      <c r="SBY34" s="206"/>
      <c r="SBZ34" s="206"/>
      <c r="SCA34" s="206"/>
      <c r="SCB34" s="206"/>
      <c r="SCC34" s="206"/>
      <c r="SCD34" s="206"/>
      <c r="SCE34" s="206"/>
      <c r="SCF34" s="206"/>
      <c r="SCG34" s="206"/>
      <c r="SCH34" s="206"/>
      <c r="SCI34" s="206"/>
      <c r="SCJ34" s="206"/>
      <c r="SCK34" s="206"/>
      <c r="SCL34" s="206"/>
      <c r="SCM34" s="206"/>
      <c r="SCN34" s="206"/>
      <c r="SCO34" s="206"/>
      <c r="SCP34" s="206"/>
      <c r="SCQ34" s="206"/>
      <c r="SCR34" s="206"/>
      <c r="SCS34" s="206"/>
      <c r="SCT34" s="206"/>
      <c r="SCU34" s="206"/>
      <c r="SCV34" s="206"/>
      <c r="SCW34" s="206"/>
      <c r="SCX34" s="206"/>
      <c r="SCY34" s="206"/>
      <c r="SCZ34" s="206"/>
      <c r="SDA34" s="206"/>
      <c r="SDB34" s="206"/>
      <c r="SDC34" s="206"/>
      <c r="SDD34" s="206"/>
      <c r="SDE34" s="206"/>
      <c r="SDF34" s="206"/>
      <c r="SDG34" s="206"/>
      <c r="SDH34" s="206"/>
      <c r="SDI34" s="206"/>
      <c r="SDJ34" s="206"/>
      <c r="SDK34" s="206"/>
      <c r="SDL34" s="206"/>
      <c r="SDM34" s="206"/>
      <c r="SDN34" s="206"/>
      <c r="SDO34" s="206"/>
      <c r="SDP34" s="206"/>
      <c r="SDQ34" s="206"/>
      <c r="SDR34" s="206"/>
      <c r="SDS34" s="206"/>
      <c r="SDT34" s="206"/>
      <c r="SDU34" s="206"/>
      <c r="SDV34" s="206"/>
      <c r="SDW34" s="206"/>
      <c r="SDX34" s="206"/>
      <c r="SDY34" s="206"/>
      <c r="SDZ34" s="206"/>
      <c r="SEA34" s="206"/>
      <c r="SEB34" s="206"/>
      <c r="SEC34" s="206"/>
      <c r="SED34" s="206"/>
      <c r="SEE34" s="206"/>
      <c r="SEF34" s="206"/>
      <c r="SEG34" s="206"/>
      <c r="SEH34" s="206"/>
      <c r="SEI34" s="206"/>
      <c r="SEJ34" s="206"/>
      <c r="SEK34" s="206"/>
      <c r="SEL34" s="206"/>
      <c r="SEM34" s="206"/>
      <c r="SEN34" s="206"/>
      <c r="SEO34" s="206"/>
      <c r="SEP34" s="206"/>
      <c r="SEQ34" s="206"/>
      <c r="SER34" s="206"/>
      <c r="SES34" s="206"/>
      <c r="SET34" s="206"/>
      <c r="SEU34" s="206"/>
      <c r="SEV34" s="206"/>
      <c r="SEW34" s="206"/>
      <c r="SEX34" s="206"/>
      <c r="SEY34" s="206"/>
      <c r="SEZ34" s="206"/>
      <c r="SFA34" s="206"/>
      <c r="SFB34" s="206"/>
      <c r="SFC34" s="206"/>
      <c r="SFD34" s="206"/>
      <c r="SFE34" s="206"/>
      <c r="SFF34" s="206"/>
      <c r="SFG34" s="206"/>
      <c r="SFH34" s="206"/>
      <c r="SFI34" s="206"/>
      <c r="SFJ34" s="206"/>
      <c r="SFK34" s="206"/>
      <c r="SFL34" s="206"/>
      <c r="SFM34" s="206"/>
      <c r="SFN34" s="206"/>
      <c r="SFO34" s="206"/>
      <c r="SFP34" s="206"/>
      <c r="SFQ34" s="206"/>
      <c r="SFR34" s="206"/>
      <c r="SFS34" s="206"/>
      <c r="SFT34" s="206"/>
      <c r="SFU34" s="206"/>
      <c r="SFV34" s="206"/>
      <c r="SFW34" s="206"/>
      <c r="SFX34" s="206"/>
      <c r="SFY34" s="206"/>
      <c r="SFZ34" s="206"/>
      <c r="SGA34" s="206"/>
      <c r="SGB34" s="206"/>
      <c r="SGC34" s="206"/>
      <c r="SGD34" s="206"/>
      <c r="SGE34" s="206"/>
      <c r="SGF34" s="206"/>
      <c r="SGG34" s="206"/>
      <c r="SGH34" s="206"/>
      <c r="SGI34" s="206"/>
      <c r="SGJ34" s="206"/>
      <c r="SGK34" s="206"/>
      <c r="SGL34" s="206"/>
      <c r="SGM34" s="206"/>
      <c r="SGN34" s="206"/>
      <c r="SGO34" s="206"/>
      <c r="SGP34" s="206"/>
      <c r="SGQ34" s="206"/>
      <c r="SGR34" s="206"/>
      <c r="SGS34" s="206"/>
      <c r="SGT34" s="206"/>
      <c r="SGU34" s="206"/>
      <c r="SGV34" s="206"/>
      <c r="SGW34" s="206"/>
      <c r="SGX34" s="206"/>
      <c r="SGY34" s="206"/>
      <c r="SGZ34" s="206"/>
      <c r="SHA34" s="206"/>
      <c r="SHB34" s="206"/>
      <c r="SHC34" s="206"/>
      <c r="SHD34" s="206"/>
      <c r="SHE34" s="206"/>
      <c r="SHF34" s="206"/>
      <c r="SHG34" s="206"/>
      <c r="SHH34" s="206"/>
      <c r="SHI34" s="206"/>
      <c r="SHJ34" s="206"/>
      <c r="SHK34" s="206"/>
      <c r="SHL34" s="206"/>
      <c r="SHM34" s="206"/>
      <c r="SHN34" s="206"/>
      <c r="SHO34" s="206"/>
      <c r="SHP34" s="206"/>
      <c r="SHQ34" s="206"/>
      <c r="SHR34" s="206"/>
      <c r="SHS34" s="206"/>
      <c r="SHT34" s="206"/>
      <c r="SHU34" s="206"/>
      <c r="SHV34" s="206"/>
      <c r="SHW34" s="206"/>
      <c r="SHX34" s="206"/>
      <c r="SHY34" s="206"/>
      <c r="SHZ34" s="206"/>
      <c r="SIA34" s="206"/>
      <c r="SIB34" s="206"/>
      <c r="SIC34" s="206"/>
      <c r="SID34" s="206"/>
      <c r="SIE34" s="206"/>
      <c r="SIF34" s="206"/>
      <c r="SIG34" s="206"/>
      <c r="SIH34" s="206"/>
      <c r="SII34" s="206"/>
      <c r="SIJ34" s="206"/>
      <c r="SIK34" s="206"/>
      <c r="SIL34" s="206"/>
      <c r="SIM34" s="206"/>
      <c r="SIN34" s="206"/>
      <c r="SIO34" s="206"/>
      <c r="SIP34" s="206"/>
      <c r="SIQ34" s="206"/>
      <c r="SIR34" s="206"/>
      <c r="SIS34" s="206"/>
      <c r="SIT34" s="206"/>
      <c r="SIU34" s="206"/>
      <c r="SIV34" s="206"/>
      <c r="SIW34" s="206"/>
      <c r="SIX34" s="206"/>
      <c r="SIY34" s="206"/>
      <c r="SIZ34" s="206"/>
      <c r="SJA34" s="206"/>
      <c r="SJB34" s="206"/>
      <c r="SJC34" s="206"/>
      <c r="SJD34" s="206"/>
      <c r="SJE34" s="206"/>
      <c r="SJF34" s="206"/>
      <c r="SJG34" s="206"/>
      <c r="SJH34" s="206"/>
      <c r="SJI34" s="206"/>
      <c r="SJJ34" s="206"/>
      <c r="SJK34" s="206"/>
      <c r="SJL34" s="206"/>
      <c r="SJM34" s="206"/>
      <c r="SJN34" s="206"/>
      <c r="SJO34" s="206"/>
      <c r="SJP34" s="206"/>
      <c r="SJQ34" s="206"/>
      <c r="SJR34" s="206"/>
      <c r="SJS34" s="206"/>
      <c r="SJT34" s="206"/>
      <c r="SJU34" s="206"/>
      <c r="SJV34" s="206"/>
      <c r="SJW34" s="206"/>
      <c r="SJX34" s="206"/>
      <c r="SJY34" s="206"/>
      <c r="SJZ34" s="206"/>
      <c r="SKA34" s="206"/>
      <c r="SKB34" s="206"/>
      <c r="SKC34" s="206"/>
      <c r="SKD34" s="206"/>
      <c r="SKE34" s="206"/>
      <c r="SKF34" s="206"/>
      <c r="SKG34" s="206"/>
      <c r="SKH34" s="206"/>
      <c r="SKI34" s="206"/>
      <c r="SKJ34" s="206"/>
      <c r="SKK34" s="206"/>
      <c r="SKL34" s="206"/>
      <c r="SKM34" s="206"/>
      <c r="SKN34" s="206"/>
      <c r="SKO34" s="206"/>
      <c r="SKP34" s="206"/>
      <c r="SKQ34" s="206"/>
      <c r="SKR34" s="206"/>
      <c r="SKS34" s="206"/>
      <c r="SKT34" s="206"/>
      <c r="SKU34" s="206"/>
      <c r="SKV34" s="206"/>
      <c r="SKW34" s="206"/>
      <c r="SKX34" s="206"/>
      <c r="SKY34" s="206"/>
      <c r="SKZ34" s="206"/>
      <c r="SLA34" s="206"/>
      <c r="SLB34" s="206"/>
      <c r="SLC34" s="206"/>
      <c r="SLD34" s="206"/>
      <c r="SLE34" s="206"/>
      <c r="SLF34" s="206"/>
      <c r="SLG34" s="206"/>
      <c r="SLH34" s="206"/>
      <c r="SLI34" s="206"/>
      <c r="SLJ34" s="206"/>
      <c r="SLK34" s="206"/>
      <c r="SLL34" s="206"/>
      <c r="SLM34" s="206"/>
      <c r="SLN34" s="206"/>
      <c r="SLO34" s="206"/>
      <c r="SLP34" s="206"/>
      <c r="SLQ34" s="206"/>
      <c r="SLR34" s="206"/>
      <c r="SLS34" s="206"/>
      <c r="SLT34" s="206"/>
      <c r="SLU34" s="206"/>
      <c r="SLV34" s="206"/>
      <c r="SLW34" s="206"/>
      <c r="SLX34" s="206"/>
      <c r="SLY34" s="206"/>
      <c r="SLZ34" s="206"/>
      <c r="SMA34" s="206"/>
      <c r="SMB34" s="206"/>
      <c r="SMC34" s="206"/>
      <c r="SMD34" s="206"/>
      <c r="SME34" s="206"/>
      <c r="SMF34" s="206"/>
      <c r="SMG34" s="206"/>
      <c r="SMH34" s="206"/>
      <c r="SMI34" s="206"/>
      <c r="SMJ34" s="206"/>
      <c r="SMK34" s="206"/>
      <c r="SML34" s="206"/>
      <c r="SMM34" s="206"/>
      <c r="SMN34" s="206"/>
      <c r="SMO34" s="206"/>
      <c r="SMP34" s="206"/>
      <c r="SMQ34" s="206"/>
      <c r="SMR34" s="206"/>
      <c r="SMS34" s="206"/>
      <c r="SMT34" s="206"/>
      <c r="SMU34" s="206"/>
      <c r="SMV34" s="206"/>
      <c r="SMW34" s="206"/>
      <c r="SMX34" s="206"/>
      <c r="SMY34" s="206"/>
      <c r="SMZ34" s="206"/>
      <c r="SNA34" s="206"/>
      <c r="SNB34" s="206"/>
      <c r="SNC34" s="206"/>
      <c r="SND34" s="206"/>
      <c r="SNE34" s="206"/>
      <c r="SNF34" s="206"/>
      <c r="SNG34" s="206"/>
      <c r="SNH34" s="206"/>
      <c r="SNI34" s="206"/>
      <c r="SNJ34" s="206"/>
      <c r="SNK34" s="206"/>
      <c r="SNL34" s="206"/>
      <c r="SNM34" s="206"/>
      <c r="SNN34" s="206"/>
      <c r="SNO34" s="206"/>
      <c r="SNP34" s="206"/>
      <c r="SNQ34" s="206"/>
      <c r="SNR34" s="206"/>
      <c r="SNS34" s="206"/>
      <c r="SNT34" s="206"/>
      <c r="SNU34" s="206"/>
      <c r="SNV34" s="206"/>
      <c r="SNW34" s="206"/>
      <c r="SNX34" s="206"/>
      <c r="SNY34" s="206"/>
      <c r="SNZ34" s="206"/>
      <c r="SOA34" s="206"/>
      <c r="SOB34" s="206"/>
      <c r="SOC34" s="206"/>
      <c r="SOD34" s="206"/>
      <c r="SOE34" s="206"/>
      <c r="SOF34" s="206"/>
      <c r="SOG34" s="206"/>
      <c r="SOH34" s="206"/>
      <c r="SOI34" s="206"/>
      <c r="SOJ34" s="206"/>
      <c r="SOK34" s="206"/>
      <c r="SOL34" s="206"/>
      <c r="SOM34" s="206"/>
      <c r="SON34" s="206"/>
      <c r="SOO34" s="206"/>
      <c r="SOP34" s="206"/>
      <c r="SOQ34" s="206"/>
      <c r="SOR34" s="206"/>
      <c r="SOS34" s="206"/>
      <c r="SOT34" s="206"/>
      <c r="SOU34" s="206"/>
      <c r="SOV34" s="206"/>
      <c r="SOW34" s="206"/>
      <c r="SOX34" s="206"/>
      <c r="SOY34" s="206"/>
      <c r="SOZ34" s="206"/>
      <c r="SPA34" s="206"/>
      <c r="SPB34" s="206"/>
      <c r="SPC34" s="206"/>
      <c r="SPD34" s="206"/>
      <c r="SPE34" s="206"/>
      <c r="SPF34" s="206"/>
      <c r="SPG34" s="206"/>
      <c r="SPH34" s="206"/>
      <c r="SPI34" s="206"/>
      <c r="SPJ34" s="206"/>
      <c r="SPK34" s="206"/>
      <c r="SPL34" s="206"/>
      <c r="SPM34" s="206"/>
      <c r="SPN34" s="206"/>
      <c r="SPO34" s="206"/>
      <c r="SPP34" s="206"/>
      <c r="SPQ34" s="206"/>
      <c r="SPR34" s="206"/>
      <c r="SPS34" s="206"/>
      <c r="SPT34" s="206"/>
      <c r="SPU34" s="206"/>
      <c r="SPV34" s="206"/>
      <c r="SPW34" s="206"/>
      <c r="SPX34" s="206"/>
      <c r="SPY34" s="206"/>
      <c r="SPZ34" s="206"/>
      <c r="SQA34" s="206"/>
      <c r="SQB34" s="206"/>
      <c r="SQC34" s="206"/>
      <c r="SQD34" s="206"/>
      <c r="SQE34" s="206"/>
      <c r="SQF34" s="206"/>
      <c r="SQG34" s="206"/>
      <c r="SQH34" s="206"/>
      <c r="SQI34" s="206"/>
      <c r="SQJ34" s="206"/>
      <c r="SQK34" s="206"/>
      <c r="SQL34" s="206"/>
      <c r="SQM34" s="206"/>
      <c r="SQN34" s="206"/>
      <c r="SQO34" s="206"/>
      <c r="SQP34" s="206"/>
      <c r="SQQ34" s="206"/>
      <c r="SQR34" s="206"/>
      <c r="SQS34" s="206"/>
      <c r="SQT34" s="206"/>
      <c r="SQU34" s="206"/>
      <c r="SQV34" s="206"/>
      <c r="SQW34" s="206"/>
      <c r="SQX34" s="206"/>
      <c r="SQY34" s="206"/>
      <c r="SQZ34" s="206"/>
      <c r="SRA34" s="206"/>
      <c r="SRB34" s="206"/>
      <c r="SRC34" s="206"/>
      <c r="SRD34" s="206"/>
      <c r="SRE34" s="206"/>
      <c r="SRF34" s="206"/>
      <c r="SRG34" s="206"/>
      <c r="SRH34" s="206"/>
      <c r="SRI34" s="206"/>
      <c r="SRJ34" s="206"/>
      <c r="SRK34" s="206"/>
      <c r="SRL34" s="206"/>
      <c r="SRM34" s="206"/>
      <c r="SRN34" s="206"/>
      <c r="SRO34" s="206"/>
      <c r="SRP34" s="206"/>
      <c r="SRQ34" s="206"/>
      <c r="SRR34" s="206"/>
      <c r="SRS34" s="206"/>
      <c r="SRT34" s="206"/>
      <c r="SRU34" s="206"/>
      <c r="SRV34" s="206"/>
      <c r="SRW34" s="206"/>
      <c r="SRX34" s="206"/>
      <c r="SRY34" s="206"/>
      <c r="SRZ34" s="206"/>
      <c r="SSA34" s="206"/>
      <c r="SSB34" s="206"/>
      <c r="SSC34" s="206"/>
      <c r="SSD34" s="206"/>
      <c r="SSE34" s="206"/>
      <c r="SSF34" s="206"/>
      <c r="SSG34" s="206"/>
      <c r="SSH34" s="206"/>
      <c r="SSI34" s="206"/>
      <c r="SSJ34" s="206"/>
      <c r="SSK34" s="206"/>
      <c r="SSL34" s="206"/>
      <c r="SSM34" s="206"/>
      <c r="SSN34" s="206"/>
      <c r="SSO34" s="206"/>
      <c r="SSP34" s="206"/>
      <c r="SSQ34" s="206"/>
      <c r="SSR34" s="206"/>
      <c r="SSS34" s="206"/>
      <c r="SST34" s="206"/>
      <c r="SSU34" s="206"/>
      <c r="SSV34" s="206"/>
      <c r="SSW34" s="206"/>
      <c r="SSX34" s="206"/>
      <c r="SSY34" s="206"/>
      <c r="SSZ34" s="206"/>
      <c r="STA34" s="206"/>
      <c r="STB34" s="206"/>
      <c r="STC34" s="206"/>
      <c r="STD34" s="206"/>
      <c r="STE34" s="206"/>
      <c r="STF34" s="206"/>
      <c r="STG34" s="206"/>
      <c r="STH34" s="206"/>
      <c r="STI34" s="206"/>
      <c r="STJ34" s="206"/>
      <c r="STK34" s="206"/>
      <c r="STL34" s="206"/>
      <c r="STM34" s="206"/>
      <c r="STN34" s="206"/>
      <c r="STO34" s="206"/>
      <c r="STP34" s="206"/>
      <c r="STQ34" s="206"/>
      <c r="STR34" s="206"/>
      <c r="STS34" s="206"/>
      <c r="STT34" s="206"/>
      <c r="STU34" s="206"/>
      <c r="STV34" s="206"/>
      <c r="STW34" s="206"/>
      <c r="STX34" s="206"/>
      <c r="STY34" s="206"/>
      <c r="STZ34" s="206"/>
      <c r="SUA34" s="206"/>
      <c r="SUB34" s="206"/>
      <c r="SUC34" s="206"/>
      <c r="SUD34" s="206"/>
      <c r="SUE34" s="206"/>
      <c r="SUF34" s="206"/>
      <c r="SUG34" s="206"/>
      <c r="SUH34" s="206"/>
      <c r="SUI34" s="206"/>
      <c r="SUJ34" s="206"/>
      <c r="SUK34" s="206"/>
      <c r="SUL34" s="206"/>
      <c r="SUM34" s="206"/>
      <c r="SUN34" s="206"/>
      <c r="SUO34" s="206"/>
      <c r="SUP34" s="206"/>
      <c r="SUQ34" s="206"/>
      <c r="SUR34" s="206"/>
      <c r="SUS34" s="206"/>
      <c r="SUT34" s="206"/>
      <c r="SUU34" s="206"/>
      <c r="SUV34" s="206"/>
      <c r="SUW34" s="206"/>
      <c r="SUX34" s="206"/>
      <c r="SUY34" s="206"/>
      <c r="SUZ34" s="206"/>
      <c r="SVA34" s="206"/>
      <c r="SVB34" s="206"/>
      <c r="SVC34" s="206"/>
      <c r="SVD34" s="206"/>
      <c r="SVE34" s="206"/>
      <c r="SVF34" s="206"/>
      <c r="SVG34" s="206"/>
      <c r="SVH34" s="206"/>
      <c r="SVI34" s="206"/>
      <c r="SVJ34" s="206"/>
      <c r="SVK34" s="206"/>
      <c r="SVL34" s="206"/>
      <c r="SVM34" s="206"/>
      <c r="SVN34" s="206"/>
      <c r="SVO34" s="206"/>
      <c r="SVP34" s="206"/>
      <c r="SVQ34" s="206"/>
      <c r="SVR34" s="206"/>
      <c r="SVS34" s="206"/>
      <c r="SVT34" s="206"/>
      <c r="SVU34" s="206"/>
      <c r="SVV34" s="206"/>
      <c r="SVW34" s="206"/>
      <c r="SVX34" s="206"/>
      <c r="SVY34" s="206"/>
      <c r="SVZ34" s="206"/>
      <c r="SWA34" s="206"/>
      <c r="SWB34" s="206"/>
      <c r="SWC34" s="206"/>
      <c r="SWD34" s="206"/>
      <c r="SWE34" s="206"/>
      <c r="SWF34" s="206"/>
      <c r="SWG34" s="206"/>
      <c r="SWH34" s="206"/>
      <c r="SWI34" s="206"/>
      <c r="SWJ34" s="206"/>
      <c r="SWK34" s="206"/>
      <c r="SWL34" s="206"/>
      <c r="SWM34" s="206"/>
      <c r="SWN34" s="206"/>
      <c r="SWO34" s="206"/>
      <c r="SWP34" s="206"/>
      <c r="SWQ34" s="206"/>
      <c r="SWR34" s="206"/>
      <c r="SWS34" s="206"/>
      <c r="SWT34" s="206"/>
      <c r="SWU34" s="206"/>
      <c r="SWV34" s="206"/>
      <c r="SWW34" s="206"/>
      <c r="SWX34" s="206"/>
      <c r="SWY34" s="206"/>
      <c r="SWZ34" s="206"/>
      <c r="SXA34" s="206"/>
      <c r="SXB34" s="206"/>
      <c r="SXC34" s="206"/>
      <c r="SXD34" s="206"/>
      <c r="SXE34" s="206"/>
      <c r="SXF34" s="206"/>
      <c r="SXG34" s="206"/>
      <c r="SXH34" s="206"/>
      <c r="SXI34" s="206"/>
      <c r="SXJ34" s="206"/>
      <c r="SXK34" s="206"/>
      <c r="SXL34" s="206"/>
      <c r="SXM34" s="206"/>
      <c r="SXN34" s="206"/>
      <c r="SXO34" s="206"/>
      <c r="SXP34" s="206"/>
      <c r="SXQ34" s="206"/>
      <c r="SXR34" s="206"/>
      <c r="SXS34" s="206"/>
      <c r="SXT34" s="206"/>
      <c r="SXU34" s="206"/>
      <c r="SXV34" s="206"/>
      <c r="SXW34" s="206"/>
      <c r="SXX34" s="206"/>
      <c r="SXY34" s="206"/>
      <c r="SXZ34" s="206"/>
      <c r="SYA34" s="206"/>
      <c r="SYB34" s="206"/>
      <c r="SYC34" s="206"/>
      <c r="SYD34" s="206"/>
      <c r="SYE34" s="206"/>
      <c r="SYF34" s="206"/>
      <c r="SYG34" s="206"/>
      <c r="SYH34" s="206"/>
      <c r="SYI34" s="206"/>
      <c r="SYJ34" s="206"/>
      <c r="SYK34" s="206"/>
      <c r="SYL34" s="206"/>
      <c r="SYM34" s="206"/>
      <c r="SYN34" s="206"/>
      <c r="SYO34" s="206"/>
      <c r="SYP34" s="206"/>
      <c r="SYQ34" s="206"/>
      <c r="SYR34" s="206"/>
      <c r="SYS34" s="206"/>
      <c r="SYT34" s="206"/>
      <c r="SYU34" s="206"/>
      <c r="SYV34" s="206"/>
      <c r="SYW34" s="206"/>
      <c r="SYX34" s="206"/>
      <c r="SYY34" s="206"/>
      <c r="SYZ34" s="206"/>
      <c r="SZA34" s="206"/>
      <c r="SZB34" s="206"/>
      <c r="SZC34" s="206"/>
      <c r="SZD34" s="206"/>
      <c r="SZE34" s="206"/>
      <c r="SZF34" s="206"/>
      <c r="SZG34" s="206"/>
      <c r="SZH34" s="206"/>
      <c r="SZI34" s="206"/>
      <c r="SZJ34" s="206"/>
      <c r="SZK34" s="206"/>
      <c r="SZL34" s="206"/>
      <c r="SZM34" s="206"/>
      <c r="SZN34" s="206"/>
      <c r="SZO34" s="206"/>
      <c r="SZP34" s="206"/>
      <c r="SZQ34" s="206"/>
      <c r="SZR34" s="206"/>
      <c r="SZS34" s="206"/>
      <c r="SZT34" s="206"/>
      <c r="SZU34" s="206"/>
      <c r="SZV34" s="206"/>
      <c r="SZW34" s="206"/>
      <c r="SZX34" s="206"/>
      <c r="SZY34" s="206"/>
      <c r="SZZ34" s="206"/>
      <c r="TAA34" s="206"/>
      <c r="TAB34" s="206"/>
      <c r="TAC34" s="206"/>
      <c r="TAD34" s="206"/>
      <c r="TAE34" s="206"/>
      <c r="TAF34" s="206"/>
      <c r="TAG34" s="206"/>
      <c r="TAH34" s="206"/>
      <c r="TAI34" s="206"/>
      <c r="TAJ34" s="206"/>
      <c r="TAK34" s="206"/>
      <c r="TAL34" s="206"/>
      <c r="TAM34" s="206"/>
      <c r="TAN34" s="206"/>
      <c r="TAO34" s="206"/>
      <c r="TAP34" s="206"/>
      <c r="TAQ34" s="206"/>
      <c r="TAR34" s="206"/>
      <c r="TAS34" s="206"/>
      <c r="TAT34" s="206"/>
      <c r="TAU34" s="206"/>
      <c r="TAV34" s="206"/>
      <c r="TAW34" s="206"/>
      <c r="TAX34" s="206"/>
      <c r="TAY34" s="206"/>
      <c r="TAZ34" s="206"/>
      <c r="TBA34" s="206"/>
      <c r="TBB34" s="206"/>
      <c r="TBC34" s="206"/>
      <c r="TBD34" s="206"/>
      <c r="TBE34" s="206"/>
      <c r="TBF34" s="206"/>
      <c r="TBG34" s="206"/>
      <c r="TBH34" s="206"/>
      <c r="TBI34" s="206"/>
      <c r="TBJ34" s="206"/>
      <c r="TBK34" s="206"/>
      <c r="TBL34" s="206"/>
      <c r="TBM34" s="206"/>
      <c r="TBN34" s="206"/>
      <c r="TBO34" s="206"/>
      <c r="TBP34" s="206"/>
      <c r="TBQ34" s="206"/>
      <c r="TBR34" s="206"/>
      <c r="TBS34" s="206"/>
      <c r="TBT34" s="206"/>
      <c r="TBU34" s="206"/>
      <c r="TBV34" s="206"/>
      <c r="TBW34" s="206"/>
      <c r="TBX34" s="206"/>
      <c r="TBY34" s="206"/>
      <c r="TBZ34" s="206"/>
      <c r="TCA34" s="206"/>
      <c r="TCB34" s="206"/>
      <c r="TCC34" s="206"/>
      <c r="TCD34" s="206"/>
      <c r="TCE34" s="206"/>
      <c r="TCF34" s="206"/>
      <c r="TCG34" s="206"/>
      <c r="TCH34" s="206"/>
      <c r="TCI34" s="206"/>
      <c r="TCJ34" s="206"/>
      <c r="TCK34" s="206"/>
      <c r="TCL34" s="206"/>
      <c r="TCM34" s="206"/>
      <c r="TCN34" s="206"/>
      <c r="TCO34" s="206"/>
      <c r="TCP34" s="206"/>
      <c r="TCQ34" s="206"/>
      <c r="TCR34" s="206"/>
      <c r="TCS34" s="206"/>
      <c r="TCT34" s="206"/>
      <c r="TCU34" s="206"/>
      <c r="TCV34" s="206"/>
      <c r="TCW34" s="206"/>
      <c r="TCX34" s="206"/>
      <c r="TCY34" s="206"/>
      <c r="TCZ34" s="206"/>
      <c r="TDA34" s="206"/>
      <c r="TDB34" s="206"/>
      <c r="TDC34" s="206"/>
      <c r="TDD34" s="206"/>
      <c r="TDE34" s="206"/>
      <c r="TDF34" s="206"/>
      <c r="TDG34" s="206"/>
      <c r="TDH34" s="206"/>
      <c r="TDI34" s="206"/>
      <c r="TDJ34" s="206"/>
      <c r="TDK34" s="206"/>
      <c r="TDL34" s="206"/>
      <c r="TDM34" s="206"/>
      <c r="TDN34" s="206"/>
      <c r="TDO34" s="206"/>
      <c r="TDP34" s="206"/>
      <c r="TDQ34" s="206"/>
      <c r="TDR34" s="206"/>
      <c r="TDS34" s="206"/>
      <c r="TDT34" s="206"/>
      <c r="TDU34" s="206"/>
      <c r="TDV34" s="206"/>
      <c r="TDW34" s="206"/>
      <c r="TDX34" s="206"/>
      <c r="TDY34" s="206"/>
      <c r="TDZ34" s="206"/>
      <c r="TEA34" s="206"/>
      <c r="TEB34" s="206"/>
      <c r="TEC34" s="206"/>
      <c r="TED34" s="206"/>
      <c r="TEE34" s="206"/>
      <c r="TEF34" s="206"/>
      <c r="TEG34" s="206"/>
      <c r="TEH34" s="206"/>
      <c r="TEI34" s="206"/>
      <c r="TEJ34" s="206"/>
      <c r="TEK34" s="206"/>
      <c r="TEL34" s="206"/>
      <c r="TEM34" s="206"/>
      <c r="TEN34" s="206"/>
      <c r="TEO34" s="206"/>
      <c r="TEP34" s="206"/>
      <c r="TEQ34" s="206"/>
      <c r="TER34" s="206"/>
      <c r="TES34" s="206"/>
      <c r="TET34" s="206"/>
      <c r="TEU34" s="206"/>
      <c r="TEV34" s="206"/>
      <c r="TEW34" s="206"/>
      <c r="TEX34" s="206"/>
      <c r="TEY34" s="206"/>
      <c r="TEZ34" s="206"/>
      <c r="TFA34" s="206"/>
      <c r="TFB34" s="206"/>
      <c r="TFC34" s="206"/>
      <c r="TFD34" s="206"/>
      <c r="TFE34" s="206"/>
      <c r="TFF34" s="206"/>
      <c r="TFG34" s="206"/>
      <c r="TFH34" s="206"/>
      <c r="TFI34" s="206"/>
      <c r="TFJ34" s="206"/>
      <c r="TFK34" s="206"/>
      <c r="TFL34" s="206"/>
      <c r="TFM34" s="206"/>
      <c r="TFN34" s="206"/>
      <c r="TFO34" s="206"/>
      <c r="TFP34" s="206"/>
      <c r="TFQ34" s="206"/>
      <c r="TFR34" s="206"/>
      <c r="TFS34" s="206"/>
      <c r="TFT34" s="206"/>
      <c r="TFU34" s="206"/>
      <c r="TFV34" s="206"/>
      <c r="TFW34" s="206"/>
      <c r="TFX34" s="206"/>
      <c r="TFY34" s="206"/>
      <c r="TFZ34" s="206"/>
      <c r="TGA34" s="206"/>
      <c r="TGB34" s="206"/>
      <c r="TGC34" s="206"/>
      <c r="TGD34" s="206"/>
      <c r="TGE34" s="206"/>
      <c r="TGF34" s="206"/>
      <c r="TGG34" s="206"/>
      <c r="TGH34" s="206"/>
      <c r="TGI34" s="206"/>
      <c r="TGJ34" s="206"/>
      <c r="TGK34" s="206"/>
      <c r="TGL34" s="206"/>
      <c r="TGM34" s="206"/>
      <c r="TGN34" s="206"/>
      <c r="TGO34" s="206"/>
      <c r="TGP34" s="206"/>
      <c r="TGQ34" s="206"/>
      <c r="TGR34" s="206"/>
      <c r="TGS34" s="206"/>
      <c r="TGT34" s="206"/>
      <c r="TGU34" s="206"/>
      <c r="TGV34" s="206"/>
      <c r="TGW34" s="206"/>
      <c r="TGX34" s="206"/>
      <c r="TGY34" s="206"/>
      <c r="TGZ34" s="206"/>
      <c r="THA34" s="206"/>
      <c r="THB34" s="206"/>
      <c r="THC34" s="206"/>
      <c r="THD34" s="206"/>
      <c r="THE34" s="206"/>
      <c r="THF34" s="206"/>
      <c r="THG34" s="206"/>
      <c r="THH34" s="206"/>
      <c r="THI34" s="206"/>
      <c r="THJ34" s="206"/>
      <c r="THK34" s="206"/>
      <c r="THL34" s="206"/>
      <c r="THM34" s="206"/>
      <c r="THN34" s="206"/>
      <c r="THO34" s="206"/>
      <c r="THP34" s="206"/>
      <c r="THQ34" s="206"/>
      <c r="THR34" s="206"/>
      <c r="THS34" s="206"/>
      <c r="THT34" s="206"/>
      <c r="THU34" s="206"/>
      <c r="THV34" s="206"/>
      <c r="THW34" s="206"/>
      <c r="THX34" s="206"/>
      <c r="THY34" s="206"/>
      <c r="THZ34" s="206"/>
      <c r="TIA34" s="206"/>
      <c r="TIB34" s="206"/>
      <c r="TIC34" s="206"/>
      <c r="TID34" s="206"/>
      <c r="TIE34" s="206"/>
      <c r="TIF34" s="206"/>
      <c r="TIG34" s="206"/>
      <c r="TIH34" s="206"/>
      <c r="TII34" s="206"/>
      <c r="TIJ34" s="206"/>
      <c r="TIK34" s="206"/>
      <c r="TIL34" s="206"/>
      <c r="TIM34" s="206"/>
      <c r="TIN34" s="206"/>
      <c r="TIO34" s="206"/>
      <c r="TIP34" s="206"/>
      <c r="TIQ34" s="206"/>
      <c r="TIR34" s="206"/>
      <c r="TIS34" s="206"/>
      <c r="TIT34" s="206"/>
      <c r="TIU34" s="206"/>
      <c r="TIV34" s="206"/>
      <c r="TIW34" s="206"/>
      <c r="TIX34" s="206"/>
      <c r="TIY34" s="206"/>
      <c r="TIZ34" s="206"/>
      <c r="TJA34" s="206"/>
      <c r="TJB34" s="206"/>
      <c r="TJC34" s="206"/>
      <c r="TJD34" s="206"/>
      <c r="TJE34" s="206"/>
      <c r="TJF34" s="206"/>
      <c r="TJG34" s="206"/>
      <c r="TJH34" s="206"/>
      <c r="TJI34" s="206"/>
      <c r="TJJ34" s="206"/>
      <c r="TJK34" s="206"/>
      <c r="TJL34" s="206"/>
      <c r="TJM34" s="206"/>
      <c r="TJN34" s="206"/>
      <c r="TJO34" s="206"/>
      <c r="TJP34" s="206"/>
      <c r="TJQ34" s="206"/>
      <c r="TJR34" s="206"/>
      <c r="TJS34" s="206"/>
      <c r="TJT34" s="206"/>
      <c r="TJU34" s="206"/>
      <c r="TJV34" s="206"/>
      <c r="TJW34" s="206"/>
      <c r="TJX34" s="206"/>
      <c r="TJY34" s="206"/>
      <c r="TJZ34" s="206"/>
      <c r="TKA34" s="206"/>
      <c r="TKB34" s="206"/>
      <c r="TKC34" s="206"/>
      <c r="TKD34" s="206"/>
      <c r="TKE34" s="206"/>
      <c r="TKF34" s="206"/>
      <c r="TKG34" s="206"/>
      <c r="TKH34" s="206"/>
      <c r="TKI34" s="206"/>
      <c r="TKJ34" s="206"/>
      <c r="TKK34" s="206"/>
      <c r="TKL34" s="206"/>
      <c r="TKM34" s="206"/>
      <c r="TKN34" s="206"/>
      <c r="TKO34" s="206"/>
      <c r="TKP34" s="206"/>
      <c r="TKQ34" s="206"/>
      <c r="TKR34" s="206"/>
      <c r="TKS34" s="206"/>
      <c r="TKT34" s="206"/>
      <c r="TKU34" s="206"/>
      <c r="TKV34" s="206"/>
      <c r="TKW34" s="206"/>
      <c r="TKX34" s="206"/>
      <c r="TKY34" s="206"/>
      <c r="TKZ34" s="206"/>
      <c r="TLA34" s="206"/>
      <c r="TLB34" s="206"/>
      <c r="TLC34" s="206"/>
      <c r="TLD34" s="206"/>
      <c r="TLE34" s="206"/>
      <c r="TLF34" s="206"/>
      <c r="TLG34" s="206"/>
      <c r="TLH34" s="206"/>
      <c r="TLI34" s="206"/>
      <c r="TLJ34" s="206"/>
      <c r="TLK34" s="206"/>
      <c r="TLL34" s="206"/>
      <c r="TLM34" s="206"/>
      <c r="TLN34" s="206"/>
      <c r="TLO34" s="206"/>
      <c r="TLP34" s="206"/>
      <c r="TLQ34" s="206"/>
      <c r="TLR34" s="206"/>
      <c r="TLS34" s="206"/>
      <c r="TLT34" s="206"/>
      <c r="TLU34" s="206"/>
      <c r="TLV34" s="206"/>
      <c r="TLW34" s="206"/>
      <c r="TLX34" s="206"/>
      <c r="TLY34" s="206"/>
      <c r="TLZ34" s="206"/>
      <c r="TMA34" s="206"/>
      <c r="TMB34" s="206"/>
      <c r="TMC34" s="206"/>
      <c r="TMD34" s="206"/>
      <c r="TME34" s="206"/>
      <c r="TMF34" s="206"/>
      <c r="TMG34" s="206"/>
      <c r="TMH34" s="206"/>
      <c r="TMI34" s="206"/>
      <c r="TMJ34" s="206"/>
      <c r="TMK34" s="206"/>
      <c r="TML34" s="206"/>
      <c r="TMM34" s="206"/>
      <c r="TMN34" s="206"/>
      <c r="TMO34" s="206"/>
      <c r="TMP34" s="206"/>
      <c r="TMQ34" s="206"/>
      <c r="TMR34" s="206"/>
      <c r="TMS34" s="206"/>
      <c r="TMT34" s="206"/>
      <c r="TMU34" s="206"/>
      <c r="TMV34" s="206"/>
      <c r="TMW34" s="206"/>
      <c r="TMX34" s="206"/>
      <c r="TMY34" s="206"/>
      <c r="TMZ34" s="206"/>
      <c r="TNA34" s="206"/>
      <c r="TNB34" s="206"/>
      <c r="TNC34" s="206"/>
      <c r="TND34" s="206"/>
      <c r="TNE34" s="206"/>
      <c r="TNF34" s="206"/>
      <c r="TNG34" s="206"/>
      <c r="TNH34" s="206"/>
      <c r="TNI34" s="206"/>
      <c r="TNJ34" s="206"/>
      <c r="TNK34" s="206"/>
      <c r="TNL34" s="206"/>
      <c r="TNM34" s="206"/>
      <c r="TNN34" s="206"/>
      <c r="TNO34" s="206"/>
      <c r="TNP34" s="206"/>
      <c r="TNQ34" s="206"/>
      <c r="TNR34" s="206"/>
      <c r="TNS34" s="206"/>
      <c r="TNT34" s="206"/>
      <c r="TNU34" s="206"/>
      <c r="TNV34" s="206"/>
      <c r="TNW34" s="206"/>
      <c r="TNX34" s="206"/>
      <c r="TNY34" s="206"/>
      <c r="TNZ34" s="206"/>
      <c r="TOA34" s="206"/>
      <c r="TOB34" s="206"/>
      <c r="TOC34" s="206"/>
      <c r="TOD34" s="206"/>
      <c r="TOE34" s="206"/>
      <c r="TOF34" s="206"/>
      <c r="TOG34" s="206"/>
      <c r="TOH34" s="206"/>
      <c r="TOI34" s="206"/>
      <c r="TOJ34" s="206"/>
      <c r="TOK34" s="206"/>
      <c r="TOL34" s="206"/>
      <c r="TOM34" s="206"/>
      <c r="TON34" s="206"/>
      <c r="TOO34" s="206"/>
      <c r="TOP34" s="206"/>
      <c r="TOQ34" s="206"/>
      <c r="TOR34" s="206"/>
      <c r="TOS34" s="206"/>
      <c r="TOT34" s="206"/>
      <c r="TOU34" s="206"/>
      <c r="TOV34" s="206"/>
      <c r="TOW34" s="206"/>
      <c r="TOX34" s="206"/>
      <c r="TOY34" s="206"/>
      <c r="TOZ34" s="206"/>
      <c r="TPA34" s="206"/>
      <c r="TPB34" s="206"/>
      <c r="TPC34" s="206"/>
      <c r="TPD34" s="206"/>
      <c r="TPE34" s="206"/>
      <c r="TPF34" s="206"/>
      <c r="TPG34" s="206"/>
      <c r="TPH34" s="206"/>
      <c r="TPI34" s="206"/>
      <c r="TPJ34" s="206"/>
      <c r="TPK34" s="206"/>
      <c r="TPL34" s="206"/>
      <c r="TPM34" s="206"/>
      <c r="TPN34" s="206"/>
      <c r="TPO34" s="206"/>
      <c r="TPP34" s="206"/>
      <c r="TPQ34" s="206"/>
      <c r="TPR34" s="206"/>
      <c r="TPS34" s="206"/>
      <c r="TPT34" s="206"/>
      <c r="TPU34" s="206"/>
      <c r="TPV34" s="206"/>
      <c r="TPW34" s="206"/>
      <c r="TPX34" s="206"/>
      <c r="TPY34" s="206"/>
      <c r="TPZ34" s="206"/>
      <c r="TQA34" s="206"/>
      <c r="TQB34" s="206"/>
      <c r="TQC34" s="206"/>
      <c r="TQD34" s="206"/>
      <c r="TQE34" s="206"/>
      <c r="TQF34" s="206"/>
      <c r="TQG34" s="206"/>
      <c r="TQH34" s="206"/>
      <c r="TQI34" s="206"/>
      <c r="TQJ34" s="206"/>
      <c r="TQK34" s="206"/>
      <c r="TQL34" s="206"/>
      <c r="TQM34" s="206"/>
      <c r="TQN34" s="206"/>
      <c r="TQO34" s="206"/>
      <c r="TQP34" s="206"/>
      <c r="TQQ34" s="206"/>
      <c r="TQR34" s="206"/>
      <c r="TQS34" s="206"/>
      <c r="TQT34" s="206"/>
      <c r="TQU34" s="206"/>
      <c r="TQV34" s="206"/>
      <c r="TQW34" s="206"/>
      <c r="TQX34" s="206"/>
      <c r="TQY34" s="206"/>
      <c r="TQZ34" s="206"/>
      <c r="TRA34" s="206"/>
      <c r="TRB34" s="206"/>
      <c r="TRC34" s="206"/>
      <c r="TRD34" s="206"/>
      <c r="TRE34" s="206"/>
      <c r="TRF34" s="206"/>
      <c r="TRG34" s="206"/>
      <c r="TRH34" s="206"/>
      <c r="TRI34" s="206"/>
      <c r="TRJ34" s="206"/>
      <c r="TRK34" s="206"/>
      <c r="TRL34" s="206"/>
      <c r="TRM34" s="206"/>
      <c r="TRN34" s="206"/>
      <c r="TRO34" s="206"/>
      <c r="TRP34" s="206"/>
      <c r="TRQ34" s="206"/>
      <c r="TRR34" s="206"/>
      <c r="TRS34" s="206"/>
      <c r="TRT34" s="206"/>
      <c r="TRU34" s="206"/>
      <c r="TRV34" s="206"/>
      <c r="TRW34" s="206"/>
      <c r="TRX34" s="206"/>
      <c r="TRY34" s="206"/>
      <c r="TRZ34" s="206"/>
      <c r="TSA34" s="206"/>
      <c r="TSB34" s="206"/>
      <c r="TSC34" s="206"/>
      <c r="TSD34" s="206"/>
      <c r="TSE34" s="206"/>
      <c r="TSF34" s="206"/>
      <c r="TSG34" s="206"/>
      <c r="TSH34" s="206"/>
      <c r="TSI34" s="206"/>
      <c r="TSJ34" s="206"/>
      <c r="TSK34" s="206"/>
      <c r="TSL34" s="206"/>
      <c r="TSM34" s="206"/>
      <c r="TSN34" s="206"/>
      <c r="TSO34" s="206"/>
      <c r="TSP34" s="206"/>
      <c r="TSQ34" s="206"/>
      <c r="TSR34" s="206"/>
      <c r="TSS34" s="206"/>
      <c r="TST34" s="206"/>
      <c r="TSU34" s="206"/>
      <c r="TSV34" s="206"/>
      <c r="TSW34" s="206"/>
      <c r="TSX34" s="206"/>
      <c r="TSY34" s="206"/>
      <c r="TSZ34" s="206"/>
      <c r="TTA34" s="206"/>
      <c r="TTB34" s="206"/>
      <c r="TTC34" s="206"/>
      <c r="TTD34" s="206"/>
      <c r="TTE34" s="206"/>
      <c r="TTF34" s="206"/>
      <c r="TTG34" s="206"/>
      <c r="TTH34" s="206"/>
      <c r="TTI34" s="206"/>
      <c r="TTJ34" s="206"/>
      <c r="TTK34" s="206"/>
      <c r="TTL34" s="206"/>
      <c r="TTM34" s="206"/>
      <c r="TTN34" s="206"/>
      <c r="TTO34" s="206"/>
      <c r="TTP34" s="206"/>
      <c r="TTQ34" s="206"/>
      <c r="TTR34" s="206"/>
      <c r="TTS34" s="206"/>
      <c r="TTT34" s="206"/>
      <c r="TTU34" s="206"/>
      <c r="TTV34" s="206"/>
      <c r="TTW34" s="206"/>
      <c r="TTX34" s="206"/>
      <c r="TTY34" s="206"/>
      <c r="TTZ34" s="206"/>
      <c r="TUA34" s="206"/>
      <c r="TUB34" s="206"/>
      <c r="TUC34" s="206"/>
      <c r="TUD34" s="206"/>
      <c r="TUE34" s="206"/>
      <c r="TUF34" s="206"/>
      <c r="TUG34" s="206"/>
      <c r="TUH34" s="206"/>
      <c r="TUI34" s="206"/>
      <c r="TUJ34" s="206"/>
      <c r="TUK34" s="206"/>
      <c r="TUL34" s="206"/>
      <c r="TUM34" s="206"/>
      <c r="TUN34" s="206"/>
      <c r="TUO34" s="206"/>
      <c r="TUP34" s="206"/>
      <c r="TUQ34" s="206"/>
      <c r="TUR34" s="206"/>
      <c r="TUS34" s="206"/>
      <c r="TUT34" s="206"/>
      <c r="TUU34" s="206"/>
      <c r="TUV34" s="206"/>
      <c r="TUW34" s="206"/>
      <c r="TUX34" s="206"/>
      <c r="TUY34" s="206"/>
      <c r="TUZ34" s="206"/>
      <c r="TVA34" s="206"/>
      <c r="TVB34" s="206"/>
      <c r="TVC34" s="206"/>
      <c r="TVD34" s="206"/>
      <c r="TVE34" s="206"/>
      <c r="TVF34" s="206"/>
      <c r="TVG34" s="206"/>
      <c r="TVH34" s="206"/>
      <c r="TVI34" s="206"/>
      <c r="TVJ34" s="206"/>
      <c r="TVK34" s="206"/>
      <c r="TVL34" s="206"/>
      <c r="TVM34" s="206"/>
      <c r="TVN34" s="206"/>
      <c r="TVO34" s="206"/>
      <c r="TVP34" s="206"/>
      <c r="TVQ34" s="206"/>
      <c r="TVR34" s="206"/>
      <c r="TVS34" s="206"/>
      <c r="TVT34" s="206"/>
      <c r="TVU34" s="206"/>
      <c r="TVV34" s="206"/>
      <c r="TVW34" s="206"/>
      <c r="TVX34" s="206"/>
      <c r="TVY34" s="206"/>
      <c r="TVZ34" s="206"/>
      <c r="TWA34" s="206"/>
      <c r="TWB34" s="206"/>
      <c r="TWC34" s="206"/>
      <c r="TWD34" s="206"/>
      <c r="TWE34" s="206"/>
      <c r="TWF34" s="206"/>
      <c r="TWG34" s="206"/>
      <c r="TWH34" s="206"/>
      <c r="TWI34" s="206"/>
      <c r="TWJ34" s="206"/>
      <c r="TWK34" s="206"/>
      <c r="TWL34" s="206"/>
      <c r="TWM34" s="206"/>
      <c r="TWN34" s="206"/>
      <c r="TWO34" s="206"/>
      <c r="TWP34" s="206"/>
      <c r="TWQ34" s="206"/>
      <c r="TWR34" s="206"/>
      <c r="TWS34" s="206"/>
      <c r="TWT34" s="206"/>
      <c r="TWU34" s="206"/>
      <c r="TWV34" s="206"/>
      <c r="TWW34" s="206"/>
      <c r="TWX34" s="206"/>
      <c r="TWY34" s="206"/>
      <c r="TWZ34" s="206"/>
      <c r="TXA34" s="206"/>
      <c r="TXB34" s="206"/>
      <c r="TXC34" s="206"/>
      <c r="TXD34" s="206"/>
      <c r="TXE34" s="206"/>
      <c r="TXF34" s="206"/>
      <c r="TXG34" s="206"/>
      <c r="TXH34" s="206"/>
      <c r="TXI34" s="206"/>
      <c r="TXJ34" s="206"/>
      <c r="TXK34" s="206"/>
      <c r="TXL34" s="206"/>
      <c r="TXM34" s="206"/>
      <c r="TXN34" s="206"/>
      <c r="TXO34" s="206"/>
      <c r="TXP34" s="206"/>
      <c r="TXQ34" s="206"/>
      <c r="TXR34" s="206"/>
      <c r="TXS34" s="206"/>
      <c r="TXT34" s="206"/>
      <c r="TXU34" s="206"/>
      <c r="TXV34" s="206"/>
      <c r="TXW34" s="206"/>
      <c r="TXX34" s="206"/>
      <c r="TXY34" s="206"/>
      <c r="TXZ34" s="206"/>
      <c r="TYA34" s="206"/>
      <c r="TYB34" s="206"/>
      <c r="TYC34" s="206"/>
      <c r="TYD34" s="206"/>
      <c r="TYE34" s="206"/>
      <c r="TYF34" s="206"/>
      <c r="TYG34" s="206"/>
      <c r="TYH34" s="206"/>
      <c r="TYI34" s="206"/>
      <c r="TYJ34" s="206"/>
      <c r="TYK34" s="206"/>
      <c r="TYL34" s="206"/>
      <c r="TYM34" s="206"/>
      <c r="TYN34" s="206"/>
      <c r="TYO34" s="206"/>
      <c r="TYP34" s="206"/>
      <c r="TYQ34" s="206"/>
      <c r="TYR34" s="206"/>
      <c r="TYS34" s="206"/>
      <c r="TYT34" s="206"/>
      <c r="TYU34" s="206"/>
      <c r="TYV34" s="206"/>
      <c r="TYW34" s="206"/>
      <c r="TYX34" s="206"/>
      <c r="TYY34" s="206"/>
      <c r="TYZ34" s="206"/>
      <c r="TZA34" s="206"/>
      <c r="TZB34" s="206"/>
      <c r="TZC34" s="206"/>
      <c r="TZD34" s="206"/>
      <c r="TZE34" s="206"/>
      <c r="TZF34" s="206"/>
      <c r="TZG34" s="206"/>
      <c r="TZH34" s="206"/>
      <c r="TZI34" s="206"/>
      <c r="TZJ34" s="206"/>
      <c r="TZK34" s="206"/>
      <c r="TZL34" s="206"/>
      <c r="TZM34" s="206"/>
      <c r="TZN34" s="206"/>
      <c r="TZO34" s="206"/>
      <c r="TZP34" s="206"/>
      <c r="TZQ34" s="206"/>
      <c r="TZR34" s="206"/>
      <c r="TZS34" s="206"/>
      <c r="TZT34" s="206"/>
      <c r="TZU34" s="206"/>
      <c r="TZV34" s="206"/>
      <c r="TZW34" s="206"/>
      <c r="TZX34" s="206"/>
      <c r="TZY34" s="206"/>
      <c r="TZZ34" s="206"/>
      <c r="UAA34" s="206"/>
      <c r="UAB34" s="206"/>
      <c r="UAC34" s="206"/>
      <c r="UAD34" s="206"/>
      <c r="UAE34" s="206"/>
      <c r="UAF34" s="206"/>
      <c r="UAG34" s="206"/>
      <c r="UAH34" s="206"/>
      <c r="UAI34" s="206"/>
      <c r="UAJ34" s="206"/>
      <c r="UAK34" s="206"/>
      <c r="UAL34" s="206"/>
      <c r="UAM34" s="206"/>
      <c r="UAN34" s="206"/>
      <c r="UAO34" s="206"/>
      <c r="UAP34" s="206"/>
      <c r="UAQ34" s="206"/>
      <c r="UAR34" s="206"/>
      <c r="UAS34" s="206"/>
      <c r="UAT34" s="206"/>
      <c r="UAU34" s="206"/>
      <c r="UAV34" s="206"/>
      <c r="UAW34" s="206"/>
      <c r="UAX34" s="206"/>
      <c r="UAY34" s="206"/>
      <c r="UAZ34" s="206"/>
      <c r="UBA34" s="206"/>
      <c r="UBB34" s="206"/>
      <c r="UBC34" s="206"/>
      <c r="UBD34" s="206"/>
      <c r="UBE34" s="206"/>
      <c r="UBF34" s="206"/>
      <c r="UBG34" s="206"/>
      <c r="UBH34" s="206"/>
      <c r="UBI34" s="206"/>
      <c r="UBJ34" s="206"/>
      <c r="UBK34" s="206"/>
      <c r="UBL34" s="206"/>
      <c r="UBM34" s="206"/>
      <c r="UBN34" s="206"/>
      <c r="UBO34" s="206"/>
      <c r="UBP34" s="206"/>
      <c r="UBQ34" s="206"/>
      <c r="UBR34" s="206"/>
      <c r="UBS34" s="206"/>
      <c r="UBT34" s="206"/>
      <c r="UBU34" s="206"/>
      <c r="UBV34" s="206"/>
      <c r="UBW34" s="206"/>
      <c r="UBX34" s="206"/>
      <c r="UBY34" s="206"/>
      <c r="UBZ34" s="206"/>
      <c r="UCA34" s="206"/>
      <c r="UCB34" s="206"/>
      <c r="UCC34" s="206"/>
      <c r="UCD34" s="206"/>
      <c r="UCE34" s="206"/>
      <c r="UCF34" s="206"/>
      <c r="UCG34" s="206"/>
      <c r="UCH34" s="206"/>
      <c r="UCI34" s="206"/>
      <c r="UCJ34" s="206"/>
      <c r="UCK34" s="206"/>
      <c r="UCL34" s="206"/>
      <c r="UCM34" s="206"/>
      <c r="UCN34" s="206"/>
      <c r="UCO34" s="206"/>
      <c r="UCP34" s="206"/>
      <c r="UCQ34" s="206"/>
      <c r="UCR34" s="206"/>
      <c r="UCS34" s="206"/>
      <c r="UCT34" s="206"/>
      <c r="UCU34" s="206"/>
      <c r="UCV34" s="206"/>
      <c r="UCW34" s="206"/>
      <c r="UCX34" s="206"/>
      <c r="UCY34" s="206"/>
      <c r="UCZ34" s="206"/>
      <c r="UDA34" s="206"/>
      <c r="UDB34" s="206"/>
      <c r="UDC34" s="206"/>
      <c r="UDD34" s="206"/>
      <c r="UDE34" s="206"/>
      <c r="UDF34" s="206"/>
      <c r="UDG34" s="206"/>
      <c r="UDH34" s="206"/>
      <c r="UDI34" s="206"/>
      <c r="UDJ34" s="206"/>
      <c r="UDK34" s="206"/>
      <c r="UDL34" s="206"/>
      <c r="UDM34" s="206"/>
      <c r="UDN34" s="206"/>
      <c r="UDO34" s="206"/>
      <c r="UDP34" s="206"/>
      <c r="UDQ34" s="206"/>
      <c r="UDR34" s="206"/>
      <c r="UDS34" s="206"/>
      <c r="UDT34" s="206"/>
      <c r="UDU34" s="206"/>
      <c r="UDV34" s="206"/>
      <c r="UDW34" s="206"/>
      <c r="UDX34" s="206"/>
      <c r="UDY34" s="206"/>
      <c r="UDZ34" s="206"/>
      <c r="UEA34" s="206"/>
      <c r="UEB34" s="206"/>
      <c r="UEC34" s="206"/>
      <c r="UED34" s="206"/>
      <c r="UEE34" s="206"/>
      <c r="UEF34" s="206"/>
      <c r="UEG34" s="206"/>
      <c r="UEH34" s="206"/>
      <c r="UEI34" s="206"/>
      <c r="UEJ34" s="206"/>
      <c r="UEK34" s="206"/>
      <c r="UEL34" s="206"/>
      <c r="UEM34" s="206"/>
      <c r="UEN34" s="206"/>
      <c r="UEO34" s="206"/>
      <c r="UEP34" s="206"/>
      <c r="UEQ34" s="206"/>
      <c r="UER34" s="206"/>
      <c r="UES34" s="206"/>
      <c r="UET34" s="206"/>
      <c r="UEU34" s="206"/>
      <c r="UEV34" s="206"/>
      <c r="UEW34" s="206"/>
      <c r="UEX34" s="206"/>
      <c r="UEY34" s="206"/>
      <c r="UEZ34" s="206"/>
      <c r="UFA34" s="206"/>
      <c r="UFB34" s="206"/>
      <c r="UFC34" s="206"/>
      <c r="UFD34" s="206"/>
      <c r="UFE34" s="206"/>
      <c r="UFF34" s="206"/>
      <c r="UFG34" s="206"/>
      <c r="UFH34" s="206"/>
      <c r="UFI34" s="206"/>
      <c r="UFJ34" s="206"/>
      <c r="UFK34" s="206"/>
      <c r="UFL34" s="206"/>
      <c r="UFM34" s="206"/>
      <c r="UFN34" s="206"/>
      <c r="UFO34" s="206"/>
      <c r="UFP34" s="206"/>
      <c r="UFQ34" s="206"/>
      <c r="UFR34" s="206"/>
      <c r="UFS34" s="206"/>
      <c r="UFT34" s="206"/>
      <c r="UFU34" s="206"/>
      <c r="UFV34" s="206"/>
      <c r="UFW34" s="206"/>
      <c r="UFX34" s="206"/>
      <c r="UFY34" s="206"/>
      <c r="UFZ34" s="206"/>
      <c r="UGA34" s="206"/>
      <c r="UGB34" s="206"/>
      <c r="UGC34" s="206"/>
      <c r="UGD34" s="206"/>
      <c r="UGE34" s="206"/>
      <c r="UGF34" s="206"/>
      <c r="UGG34" s="206"/>
      <c r="UGH34" s="206"/>
      <c r="UGI34" s="206"/>
      <c r="UGJ34" s="206"/>
      <c r="UGK34" s="206"/>
      <c r="UGL34" s="206"/>
      <c r="UGM34" s="206"/>
      <c r="UGN34" s="206"/>
      <c r="UGO34" s="206"/>
      <c r="UGP34" s="206"/>
      <c r="UGQ34" s="206"/>
      <c r="UGR34" s="206"/>
      <c r="UGS34" s="206"/>
      <c r="UGT34" s="206"/>
      <c r="UGU34" s="206"/>
      <c r="UGV34" s="206"/>
      <c r="UGW34" s="206"/>
      <c r="UGX34" s="206"/>
      <c r="UGY34" s="206"/>
      <c r="UGZ34" s="206"/>
      <c r="UHA34" s="206"/>
      <c r="UHB34" s="206"/>
      <c r="UHC34" s="206"/>
      <c r="UHD34" s="206"/>
      <c r="UHE34" s="206"/>
      <c r="UHF34" s="206"/>
      <c r="UHG34" s="206"/>
      <c r="UHH34" s="206"/>
      <c r="UHI34" s="206"/>
      <c r="UHJ34" s="206"/>
      <c r="UHK34" s="206"/>
      <c r="UHL34" s="206"/>
      <c r="UHM34" s="206"/>
      <c r="UHN34" s="206"/>
      <c r="UHO34" s="206"/>
      <c r="UHP34" s="206"/>
      <c r="UHQ34" s="206"/>
      <c r="UHR34" s="206"/>
      <c r="UHS34" s="206"/>
      <c r="UHT34" s="206"/>
      <c r="UHU34" s="206"/>
      <c r="UHV34" s="206"/>
      <c r="UHW34" s="206"/>
      <c r="UHX34" s="206"/>
      <c r="UHY34" s="206"/>
      <c r="UHZ34" s="206"/>
      <c r="UIA34" s="206"/>
      <c r="UIB34" s="206"/>
      <c r="UIC34" s="206"/>
      <c r="UID34" s="206"/>
      <c r="UIE34" s="206"/>
      <c r="UIF34" s="206"/>
      <c r="UIG34" s="206"/>
      <c r="UIH34" s="206"/>
      <c r="UII34" s="206"/>
      <c r="UIJ34" s="206"/>
      <c r="UIK34" s="206"/>
      <c r="UIL34" s="206"/>
      <c r="UIM34" s="206"/>
      <c r="UIN34" s="206"/>
      <c r="UIO34" s="206"/>
      <c r="UIP34" s="206"/>
      <c r="UIQ34" s="206"/>
      <c r="UIR34" s="206"/>
      <c r="UIS34" s="206"/>
      <c r="UIT34" s="206"/>
      <c r="UIU34" s="206"/>
      <c r="UIV34" s="206"/>
      <c r="UIW34" s="206"/>
      <c r="UIX34" s="206"/>
      <c r="UIY34" s="206"/>
      <c r="UIZ34" s="206"/>
      <c r="UJA34" s="206"/>
      <c r="UJB34" s="206"/>
      <c r="UJC34" s="206"/>
      <c r="UJD34" s="206"/>
      <c r="UJE34" s="206"/>
      <c r="UJF34" s="206"/>
      <c r="UJG34" s="206"/>
      <c r="UJH34" s="206"/>
      <c r="UJI34" s="206"/>
      <c r="UJJ34" s="206"/>
      <c r="UJK34" s="206"/>
      <c r="UJL34" s="206"/>
      <c r="UJM34" s="206"/>
      <c r="UJN34" s="206"/>
      <c r="UJO34" s="206"/>
      <c r="UJP34" s="206"/>
      <c r="UJQ34" s="206"/>
      <c r="UJR34" s="206"/>
      <c r="UJS34" s="206"/>
      <c r="UJT34" s="206"/>
      <c r="UJU34" s="206"/>
      <c r="UJV34" s="206"/>
      <c r="UJW34" s="206"/>
      <c r="UJX34" s="206"/>
      <c r="UJY34" s="206"/>
      <c r="UJZ34" s="206"/>
      <c r="UKA34" s="206"/>
      <c r="UKB34" s="206"/>
      <c r="UKC34" s="206"/>
      <c r="UKD34" s="206"/>
      <c r="UKE34" s="206"/>
      <c r="UKF34" s="206"/>
      <c r="UKG34" s="206"/>
      <c r="UKH34" s="206"/>
      <c r="UKI34" s="206"/>
      <c r="UKJ34" s="206"/>
      <c r="UKK34" s="206"/>
      <c r="UKL34" s="206"/>
      <c r="UKM34" s="206"/>
      <c r="UKN34" s="206"/>
      <c r="UKO34" s="206"/>
      <c r="UKP34" s="206"/>
      <c r="UKQ34" s="206"/>
      <c r="UKR34" s="206"/>
      <c r="UKS34" s="206"/>
      <c r="UKT34" s="206"/>
      <c r="UKU34" s="206"/>
      <c r="UKV34" s="206"/>
      <c r="UKW34" s="206"/>
      <c r="UKX34" s="206"/>
      <c r="UKY34" s="206"/>
      <c r="UKZ34" s="206"/>
      <c r="ULA34" s="206"/>
      <c r="ULB34" s="206"/>
      <c r="ULC34" s="206"/>
      <c r="ULD34" s="206"/>
      <c r="ULE34" s="206"/>
      <c r="ULF34" s="206"/>
      <c r="ULG34" s="206"/>
      <c r="ULH34" s="206"/>
      <c r="ULI34" s="206"/>
      <c r="ULJ34" s="206"/>
      <c r="ULK34" s="206"/>
      <c r="ULL34" s="206"/>
      <c r="ULM34" s="206"/>
      <c r="ULN34" s="206"/>
      <c r="ULO34" s="206"/>
      <c r="ULP34" s="206"/>
      <c r="ULQ34" s="206"/>
      <c r="ULR34" s="206"/>
      <c r="ULS34" s="206"/>
      <c r="ULT34" s="206"/>
      <c r="ULU34" s="206"/>
      <c r="ULV34" s="206"/>
      <c r="ULW34" s="206"/>
      <c r="ULX34" s="206"/>
      <c r="ULY34" s="206"/>
      <c r="ULZ34" s="206"/>
      <c r="UMA34" s="206"/>
      <c r="UMB34" s="206"/>
      <c r="UMC34" s="206"/>
      <c r="UMD34" s="206"/>
      <c r="UME34" s="206"/>
      <c r="UMF34" s="206"/>
      <c r="UMG34" s="206"/>
      <c r="UMH34" s="206"/>
      <c r="UMI34" s="206"/>
      <c r="UMJ34" s="206"/>
      <c r="UMK34" s="206"/>
      <c r="UML34" s="206"/>
      <c r="UMM34" s="206"/>
      <c r="UMN34" s="206"/>
      <c r="UMO34" s="206"/>
      <c r="UMP34" s="206"/>
      <c r="UMQ34" s="206"/>
      <c r="UMR34" s="206"/>
      <c r="UMS34" s="206"/>
      <c r="UMT34" s="206"/>
      <c r="UMU34" s="206"/>
      <c r="UMV34" s="206"/>
      <c r="UMW34" s="206"/>
      <c r="UMX34" s="206"/>
      <c r="UMY34" s="206"/>
      <c r="UMZ34" s="206"/>
      <c r="UNA34" s="206"/>
      <c r="UNB34" s="206"/>
      <c r="UNC34" s="206"/>
      <c r="UND34" s="206"/>
      <c r="UNE34" s="206"/>
      <c r="UNF34" s="206"/>
      <c r="UNG34" s="206"/>
      <c r="UNH34" s="206"/>
      <c r="UNI34" s="206"/>
      <c r="UNJ34" s="206"/>
      <c r="UNK34" s="206"/>
      <c r="UNL34" s="206"/>
      <c r="UNM34" s="206"/>
      <c r="UNN34" s="206"/>
      <c r="UNO34" s="206"/>
      <c r="UNP34" s="206"/>
      <c r="UNQ34" s="206"/>
      <c r="UNR34" s="206"/>
      <c r="UNS34" s="206"/>
      <c r="UNT34" s="206"/>
      <c r="UNU34" s="206"/>
      <c r="UNV34" s="206"/>
      <c r="UNW34" s="206"/>
      <c r="UNX34" s="206"/>
      <c r="UNY34" s="206"/>
      <c r="UNZ34" s="206"/>
      <c r="UOA34" s="206"/>
      <c r="UOB34" s="206"/>
      <c r="UOC34" s="206"/>
      <c r="UOD34" s="206"/>
      <c r="UOE34" s="206"/>
      <c r="UOF34" s="206"/>
      <c r="UOG34" s="206"/>
      <c r="UOH34" s="206"/>
      <c r="UOI34" s="206"/>
      <c r="UOJ34" s="206"/>
      <c r="UOK34" s="206"/>
      <c r="UOL34" s="206"/>
      <c r="UOM34" s="206"/>
      <c r="UON34" s="206"/>
      <c r="UOO34" s="206"/>
      <c r="UOP34" s="206"/>
      <c r="UOQ34" s="206"/>
      <c r="UOR34" s="206"/>
      <c r="UOS34" s="206"/>
      <c r="UOT34" s="206"/>
      <c r="UOU34" s="206"/>
      <c r="UOV34" s="206"/>
      <c r="UOW34" s="206"/>
      <c r="UOX34" s="206"/>
      <c r="UOY34" s="206"/>
      <c r="UOZ34" s="206"/>
      <c r="UPA34" s="206"/>
      <c r="UPB34" s="206"/>
      <c r="UPC34" s="206"/>
      <c r="UPD34" s="206"/>
      <c r="UPE34" s="206"/>
      <c r="UPF34" s="206"/>
      <c r="UPG34" s="206"/>
      <c r="UPH34" s="206"/>
      <c r="UPI34" s="206"/>
      <c r="UPJ34" s="206"/>
      <c r="UPK34" s="206"/>
      <c r="UPL34" s="206"/>
      <c r="UPM34" s="206"/>
      <c r="UPN34" s="206"/>
      <c r="UPO34" s="206"/>
      <c r="UPP34" s="206"/>
      <c r="UPQ34" s="206"/>
      <c r="UPR34" s="206"/>
      <c r="UPS34" s="206"/>
      <c r="UPT34" s="206"/>
      <c r="UPU34" s="206"/>
      <c r="UPV34" s="206"/>
      <c r="UPW34" s="206"/>
      <c r="UPX34" s="206"/>
      <c r="UPY34" s="206"/>
      <c r="UPZ34" s="206"/>
      <c r="UQA34" s="206"/>
      <c r="UQB34" s="206"/>
      <c r="UQC34" s="206"/>
      <c r="UQD34" s="206"/>
      <c r="UQE34" s="206"/>
      <c r="UQF34" s="206"/>
      <c r="UQG34" s="206"/>
      <c r="UQH34" s="206"/>
      <c r="UQI34" s="206"/>
      <c r="UQJ34" s="206"/>
      <c r="UQK34" s="206"/>
      <c r="UQL34" s="206"/>
      <c r="UQM34" s="206"/>
      <c r="UQN34" s="206"/>
      <c r="UQO34" s="206"/>
      <c r="UQP34" s="206"/>
      <c r="UQQ34" s="206"/>
      <c r="UQR34" s="206"/>
      <c r="UQS34" s="206"/>
      <c r="UQT34" s="206"/>
      <c r="UQU34" s="206"/>
      <c r="UQV34" s="206"/>
      <c r="UQW34" s="206"/>
      <c r="UQX34" s="206"/>
      <c r="UQY34" s="206"/>
      <c r="UQZ34" s="206"/>
      <c r="URA34" s="206"/>
      <c r="URB34" s="206"/>
      <c r="URC34" s="206"/>
      <c r="URD34" s="206"/>
      <c r="URE34" s="206"/>
      <c r="URF34" s="206"/>
      <c r="URG34" s="206"/>
      <c r="URH34" s="206"/>
      <c r="URI34" s="206"/>
      <c r="URJ34" s="206"/>
      <c r="URK34" s="206"/>
      <c r="URL34" s="206"/>
      <c r="URM34" s="206"/>
      <c r="URN34" s="206"/>
      <c r="URO34" s="206"/>
      <c r="URP34" s="206"/>
      <c r="URQ34" s="206"/>
      <c r="URR34" s="206"/>
      <c r="URS34" s="206"/>
      <c r="URT34" s="206"/>
      <c r="URU34" s="206"/>
      <c r="URV34" s="206"/>
      <c r="URW34" s="206"/>
      <c r="URX34" s="206"/>
      <c r="URY34" s="206"/>
      <c r="URZ34" s="206"/>
      <c r="USA34" s="206"/>
      <c r="USB34" s="206"/>
      <c r="USC34" s="206"/>
      <c r="USD34" s="206"/>
      <c r="USE34" s="206"/>
      <c r="USF34" s="206"/>
      <c r="USG34" s="206"/>
      <c r="USH34" s="206"/>
      <c r="USI34" s="206"/>
      <c r="USJ34" s="206"/>
      <c r="USK34" s="206"/>
      <c r="USL34" s="206"/>
      <c r="USM34" s="206"/>
      <c r="USN34" s="206"/>
      <c r="USO34" s="206"/>
      <c r="USP34" s="206"/>
      <c r="USQ34" s="206"/>
      <c r="USR34" s="206"/>
      <c r="USS34" s="206"/>
      <c r="UST34" s="206"/>
      <c r="USU34" s="206"/>
      <c r="USV34" s="206"/>
      <c r="USW34" s="206"/>
      <c r="USX34" s="206"/>
      <c r="USY34" s="206"/>
      <c r="USZ34" s="206"/>
      <c r="UTA34" s="206"/>
      <c r="UTB34" s="206"/>
      <c r="UTC34" s="206"/>
      <c r="UTD34" s="206"/>
      <c r="UTE34" s="206"/>
      <c r="UTF34" s="206"/>
      <c r="UTG34" s="206"/>
      <c r="UTH34" s="206"/>
      <c r="UTI34" s="206"/>
      <c r="UTJ34" s="206"/>
      <c r="UTK34" s="206"/>
      <c r="UTL34" s="206"/>
      <c r="UTM34" s="206"/>
      <c r="UTN34" s="206"/>
      <c r="UTO34" s="206"/>
      <c r="UTP34" s="206"/>
      <c r="UTQ34" s="206"/>
      <c r="UTR34" s="206"/>
      <c r="UTS34" s="206"/>
      <c r="UTT34" s="206"/>
      <c r="UTU34" s="206"/>
      <c r="UTV34" s="206"/>
      <c r="UTW34" s="206"/>
      <c r="UTX34" s="206"/>
      <c r="UTY34" s="206"/>
      <c r="UTZ34" s="206"/>
      <c r="UUA34" s="206"/>
      <c r="UUB34" s="206"/>
      <c r="UUC34" s="206"/>
      <c r="UUD34" s="206"/>
      <c r="UUE34" s="206"/>
      <c r="UUF34" s="206"/>
      <c r="UUG34" s="206"/>
      <c r="UUH34" s="206"/>
      <c r="UUI34" s="206"/>
      <c r="UUJ34" s="206"/>
      <c r="UUK34" s="206"/>
      <c r="UUL34" s="206"/>
      <c r="UUM34" s="206"/>
      <c r="UUN34" s="206"/>
      <c r="UUO34" s="206"/>
      <c r="UUP34" s="206"/>
      <c r="UUQ34" s="206"/>
      <c r="UUR34" s="206"/>
      <c r="UUS34" s="206"/>
      <c r="UUT34" s="206"/>
      <c r="UUU34" s="206"/>
      <c r="UUV34" s="206"/>
      <c r="UUW34" s="206"/>
      <c r="UUX34" s="206"/>
      <c r="UUY34" s="206"/>
      <c r="UUZ34" s="206"/>
      <c r="UVA34" s="206"/>
      <c r="UVB34" s="206"/>
      <c r="UVC34" s="206"/>
      <c r="UVD34" s="206"/>
      <c r="UVE34" s="206"/>
      <c r="UVF34" s="206"/>
      <c r="UVG34" s="206"/>
      <c r="UVH34" s="206"/>
      <c r="UVI34" s="206"/>
      <c r="UVJ34" s="206"/>
      <c r="UVK34" s="206"/>
      <c r="UVL34" s="206"/>
      <c r="UVM34" s="206"/>
      <c r="UVN34" s="206"/>
      <c r="UVO34" s="206"/>
      <c r="UVP34" s="206"/>
      <c r="UVQ34" s="206"/>
      <c r="UVR34" s="206"/>
      <c r="UVS34" s="206"/>
      <c r="UVT34" s="206"/>
      <c r="UVU34" s="206"/>
      <c r="UVV34" s="206"/>
      <c r="UVW34" s="206"/>
      <c r="UVX34" s="206"/>
      <c r="UVY34" s="206"/>
      <c r="UVZ34" s="206"/>
      <c r="UWA34" s="206"/>
      <c r="UWB34" s="206"/>
      <c r="UWC34" s="206"/>
      <c r="UWD34" s="206"/>
      <c r="UWE34" s="206"/>
      <c r="UWF34" s="206"/>
      <c r="UWG34" s="206"/>
      <c r="UWH34" s="206"/>
      <c r="UWI34" s="206"/>
      <c r="UWJ34" s="206"/>
      <c r="UWK34" s="206"/>
      <c r="UWL34" s="206"/>
      <c r="UWM34" s="206"/>
      <c r="UWN34" s="206"/>
      <c r="UWO34" s="206"/>
      <c r="UWP34" s="206"/>
      <c r="UWQ34" s="206"/>
      <c r="UWR34" s="206"/>
      <c r="UWS34" s="206"/>
      <c r="UWT34" s="206"/>
      <c r="UWU34" s="206"/>
      <c r="UWV34" s="206"/>
      <c r="UWW34" s="206"/>
      <c r="UWX34" s="206"/>
      <c r="UWY34" s="206"/>
      <c r="UWZ34" s="206"/>
      <c r="UXA34" s="206"/>
      <c r="UXB34" s="206"/>
      <c r="UXC34" s="206"/>
      <c r="UXD34" s="206"/>
      <c r="UXE34" s="206"/>
      <c r="UXF34" s="206"/>
      <c r="UXG34" s="206"/>
      <c r="UXH34" s="206"/>
      <c r="UXI34" s="206"/>
      <c r="UXJ34" s="206"/>
      <c r="UXK34" s="206"/>
      <c r="UXL34" s="206"/>
      <c r="UXM34" s="206"/>
      <c r="UXN34" s="206"/>
      <c r="UXO34" s="206"/>
      <c r="UXP34" s="206"/>
      <c r="UXQ34" s="206"/>
      <c r="UXR34" s="206"/>
      <c r="UXS34" s="206"/>
      <c r="UXT34" s="206"/>
      <c r="UXU34" s="206"/>
      <c r="UXV34" s="206"/>
      <c r="UXW34" s="206"/>
      <c r="UXX34" s="206"/>
      <c r="UXY34" s="206"/>
      <c r="UXZ34" s="206"/>
      <c r="UYA34" s="206"/>
      <c r="UYB34" s="206"/>
      <c r="UYC34" s="206"/>
      <c r="UYD34" s="206"/>
      <c r="UYE34" s="206"/>
      <c r="UYF34" s="206"/>
      <c r="UYG34" s="206"/>
      <c r="UYH34" s="206"/>
      <c r="UYI34" s="206"/>
      <c r="UYJ34" s="206"/>
      <c r="UYK34" s="206"/>
      <c r="UYL34" s="206"/>
      <c r="UYM34" s="206"/>
      <c r="UYN34" s="206"/>
      <c r="UYO34" s="206"/>
      <c r="UYP34" s="206"/>
      <c r="UYQ34" s="206"/>
      <c r="UYR34" s="206"/>
      <c r="UYS34" s="206"/>
      <c r="UYT34" s="206"/>
      <c r="UYU34" s="206"/>
      <c r="UYV34" s="206"/>
      <c r="UYW34" s="206"/>
      <c r="UYX34" s="206"/>
      <c r="UYY34" s="206"/>
      <c r="UYZ34" s="206"/>
      <c r="UZA34" s="206"/>
      <c r="UZB34" s="206"/>
      <c r="UZC34" s="206"/>
      <c r="UZD34" s="206"/>
      <c r="UZE34" s="206"/>
      <c r="UZF34" s="206"/>
      <c r="UZG34" s="206"/>
      <c r="UZH34" s="206"/>
      <c r="UZI34" s="206"/>
      <c r="UZJ34" s="206"/>
      <c r="UZK34" s="206"/>
      <c r="UZL34" s="206"/>
      <c r="UZM34" s="206"/>
      <c r="UZN34" s="206"/>
      <c r="UZO34" s="206"/>
      <c r="UZP34" s="206"/>
      <c r="UZQ34" s="206"/>
      <c r="UZR34" s="206"/>
      <c r="UZS34" s="206"/>
      <c r="UZT34" s="206"/>
      <c r="UZU34" s="206"/>
      <c r="UZV34" s="206"/>
      <c r="UZW34" s="206"/>
      <c r="UZX34" s="206"/>
      <c r="UZY34" s="206"/>
      <c r="UZZ34" s="206"/>
      <c r="VAA34" s="206"/>
      <c r="VAB34" s="206"/>
      <c r="VAC34" s="206"/>
      <c r="VAD34" s="206"/>
      <c r="VAE34" s="206"/>
      <c r="VAF34" s="206"/>
      <c r="VAG34" s="206"/>
      <c r="VAH34" s="206"/>
      <c r="VAI34" s="206"/>
      <c r="VAJ34" s="206"/>
      <c r="VAK34" s="206"/>
      <c r="VAL34" s="206"/>
      <c r="VAM34" s="206"/>
      <c r="VAN34" s="206"/>
      <c r="VAO34" s="206"/>
      <c r="VAP34" s="206"/>
      <c r="VAQ34" s="206"/>
      <c r="VAR34" s="206"/>
      <c r="VAS34" s="206"/>
      <c r="VAT34" s="206"/>
      <c r="VAU34" s="206"/>
      <c r="VAV34" s="206"/>
      <c r="VAW34" s="206"/>
      <c r="VAX34" s="206"/>
      <c r="VAY34" s="206"/>
      <c r="VAZ34" s="206"/>
      <c r="VBA34" s="206"/>
      <c r="VBB34" s="206"/>
      <c r="VBC34" s="206"/>
      <c r="VBD34" s="206"/>
      <c r="VBE34" s="206"/>
      <c r="VBF34" s="206"/>
      <c r="VBG34" s="206"/>
      <c r="VBH34" s="206"/>
      <c r="VBI34" s="206"/>
      <c r="VBJ34" s="206"/>
      <c r="VBK34" s="206"/>
      <c r="VBL34" s="206"/>
      <c r="VBM34" s="206"/>
      <c r="VBN34" s="206"/>
      <c r="VBO34" s="206"/>
      <c r="VBP34" s="206"/>
      <c r="VBQ34" s="206"/>
      <c r="VBR34" s="206"/>
      <c r="VBS34" s="206"/>
      <c r="VBT34" s="206"/>
      <c r="VBU34" s="206"/>
      <c r="VBV34" s="206"/>
      <c r="VBW34" s="206"/>
      <c r="VBX34" s="206"/>
      <c r="VBY34" s="206"/>
      <c r="VBZ34" s="206"/>
      <c r="VCA34" s="206"/>
      <c r="VCB34" s="206"/>
      <c r="VCC34" s="206"/>
      <c r="VCD34" s="206"/>
      <c r="VCE34" s="206"/>
      <c r="VCF34" s="206"/>
      <c r="VCG34" s="206"/>
      <c r="VCH34" s="206"/>
      <c r="VCI34" s="206"/>
      <c r="VCJ34" s="206"/>
      <c r="VCK34" s="206"/>
      <c r="VCL34" s="206"/>
      <c r="VCM34" s="206"/>
      <c r="VCN34" s="206"/>
      <c r="VCO34" s="206"/>
      <c r="VCP34" s="206"/>
      <c r="VCQ34" s="206"/>
      <c r="VCR34" s="206"/>
      <c r="VCS34" s="206"/>
      <c r="VCT34" s="206"/>
      <c r="VCU34" s="206"/>
      <c r="VCV34" s="206"/>
      <c r="VCW34" s="206"/>
      <c r="VCX34" s="206"/>
      <c r="VCY34" s="206"/>
      <c r="VCZ34" s="206"/>
      <c r="VDA34" s="206"/>
      <c r="VDB34" s="206"/>
      <c r="VDC34" s="206"/>
      <c r="VDD34" s="206"/>
      <c r="VDE34" s="206"/>
      <c r="VDF34" s="206"/>
      <c r="VDG34" s="206"/>
      <c r="VDH34" s="206"/>
      <c r="VDI34" s="206"/>
      <c r="VDJ34" s="206"/>
      <c r="VDK34" s="206"/>
      <c r="VDL34" s="206"/>
      <c r="VDM34" s="206"/>
      <c r="VDN34" s="206"/>
      <c r="VDO34" s="206"/>
      <c r="VDP34" s="206"/>
      <c r="VDQ34" s="206"/>
      <c r="VDR34" s="206"/>
      <c r="VDS34" s="206"/>
      <c r="VDT34" s="206"/>
      <c r="VDU34" s="206"/>
      <c r="VDV34" s="206"/>
      <c r="VDW34" s="206"/>
      <c r="VDX34" s="206"/>
      <c r="VDY34" s="206"/>
      <c r="VDZ34" s="206"/>
      <c r="VEA34" s="206"/>
      <c r="VEB34" s="206"/>
      <c r="VEC34" s="206"/>
      <c r="VED34" s="206"/>
      <c r="VEE34" s="206"/>
      <c r="VEF34" s="206"/>
      <c r="VEG34" s="206"/>
      <c r="VEH34" s="206"/>
      <c r="VEI34" s="206"/>
      <c r="VEJ34" s="206"/>
      <c r="VEK34" s="206"/>
      <c r="VEL34" s="206"/>
      <c r="VEM34" s="206"/>
      <c r="VEN34" s="206"/>
      <c r="VEO34" s="206"/>
      <c r="VEP34" s="206"/>
      <c r="VEQ34" s="206"/>
      <c r="VER34" s="206"/>
      <c r="VES34" s="206"/>
      <c r="VET34" s="206"/>
      <c r="VEU34" s="206"/>
      <c r="VEV34" s="206"/>
      <c r="VEW34" s="206"/>
      <c r="VEX34" s="206"/>
      <c r="VEY34" s="206"/>
      <c r="VEZ34" s="206"/>
      <c r="VFA34" s="206"/>
      <c r="VFB34" s="206"/>
      <c r="VFC34" s="206"/>
      <c r="VFD34" s="206"/>
      <c r="VFE34" s="206"/>
      <c r="VFF34" s="206"/>
      <c r="VFG34" s="206"/>
      <c r="VFH34" s="206"/>
      <c r="VFI34" s="206"/>
      <c r="VFJ34" s="206"/>
      <c r="VFK34" s="206"/>
      <c r="VFL34" s="206"/>
      <c r="VFM34" s="206"/>
      <c r="VFN34" s="206"/>
      <c r="VFO34" s="206"/>
      <c r="VFP34" s="206"/>
      <c r="VFQ34" s="206"/>
      <c r="VFR34" s="206"/>
      <c r="VFS34" s="206"/>
      <c r="VFT34" s="206"/>
      <c r="VFU34" s="206"/>
      <c r="VFV34" s="206"/>
      <c r="VFW34" s="206"/>
      <c r="VFX34" s="206"/>
      <c r="VFY34" s="206"/>
      <c r="VFZ34" s="206"/>
      <c r="VGA34" s="206"/>
      <c r="VGB34" s="206"/>
      <c r="VGC34" s="206"/>
      <c r="VGD34" s="206"/>
      <c r="VGE34" s="206"/>
      <c r="VGF34" s="206"/>
      <c r="VGG34" s="206"/>
      <c r="VGH34" s="206"/>
      <c r="VGI34" s="206"/>
      <c r="VGJ34" s="206"/>
      <c r="VGK34" s="206"/>
      <c r="VGL34" s="206"/>
      <c r="VGM34" s="206"/>
      <c r="VGN34" s="206"/>
      <c r="VGO34" s="206"/>
      <c r="VGP34" s="206"/>
      <c r="VGQ34" s="206"/>
      <c r="VGR34" s="206"/>
      <c r="VGS34" s="206"/>
      <c r="VGT34" s="206"/>
      <c r="VGU34" s="206"/>
      <c r="VGV34" s="206"/>
      <c r="VGW34" s="206"/>
      <c r="VGX34" s="206"/>
      <c r="VGY34" s="206"/>
      <c r="VGZ34" s="206"/>
      <c r="VHA34" s="206"/>
      <c r="VHB34" s="206"/>
      <c r="VHC34" s="206"/>
      <c r="VHD34" s="206"/>
      <c r="VHE34" s="206"/>
      <c r="VHF34" s="206"/>
      <c r="VHG34" s="206"/>
      <c r="VHH34" s="206"/>
      <c r="VHI34" s="206"/>
      <c r="VHJ34" s="206"/>
      <c r="VHK34" s="206"/>
      <c r="VHL34" s="206"/>
      <c r="VHM34" s="206"/>
      <c r="VHN34" s="206"/>
      <c r="VHO34" s="206"/>
      <c r="VHP34" s="206"/>
      <c r="VHQ34" s="206"/>
      <c r="VHR34" s="206"/>
      <c r="VHS34" s="206"/>
      <c r="VHT34" s="206"/>
      <c r="VHU34" s="206"/>
      <c r="VHV34" s="206"/>
      <c r="VHW34" s="206"/>
      <c r="VHX34" s="206"/>
      <c r="VHY34" s="206"/>
      <c r="VHZ34" s="206"/>
      <c r="VIA34" s="206"/>
      <c r="VIB34" s="206"/>
      <c r="VIC34" s="206"/>
      <c r="VID34" s="206"/>
      <c r="VIE34" s="206"/>
      <c r="VIF34" s="206"/>
      <c r="VIG34" s="206"/>
      <c r="VIH34" s="206"/>
      <c r="VII34" s="206"/>
      <c r="VIJ34" s="206"/>
      <c r="VIK34" s="206"/>
      <c r="VIL34" s="206"/>
      <c r="VIM34" s="206"/>
      <c r="VIN34" s="206"/>
      <c r="VIO34" s="206"/>
      <c r="VIP34" s="206"/>
      <c r="VIQ34" s="206"/>
      <c r="VIR34" s="206"/>
      <c r="VIS34" s="206"/>
      <c r="VIT34" s="206"/>
      <c r="VIU34" s="206"/>
      <c r="VIV34" s="206"/>
      <c r="VIW34" s="206"/>
      <c r="VIX34" s="206"/>
      <c r="VIY34" s="206"/>
      <c r="VIZ34" s="206"/>
      <c r="VJA34" s="206"/>
      <c r="VJB34" s="206"/>
      <c r="VJC34" s="206"/>
      <c r="VJD34" s="206"/>
      <c r="VJE34" s="206"/>
      <c r="VJF34" s="206"/>
      <c r="VJG34" s="206"/>
      <c r="VJH34" s="206"/>
      <c r="VJI34" s="206"/>
      <c r="VJJ34" s="206"/>
      <c r="VJK34" s="206"/>
      <c r="VJL34" s="206"/>
      <c r="VJM34" s="206"/>
      <c r="VJN34" s="206"/>
      <c r="VJO34" s="206"/>
      <c r="VJP34" s="206"/>
      <c r="VJQ34" s="206"/>
      <c r="VJR34" s="206"/>
      <c r="VJS34" s="206"/>
      <c r="VJT34" s="206"/>
      <c r="VJU34" s="206"/>
      <c r="VJV34" s="206"/>
      <c r="VJW34" s="206"/>
      <c r="VJX34" s="206"/>
      <c r="VJY34" s="206"/>
      <c r="VJZ34" s="206"/>
      <c r="VKA34" s="206"/>
      <c r="VKB34" s="206"/>
      <c r="VKC34" s="206"/>
      <c r="VKD34" s="206"/>
      <c r="VKE34" s="206"/>
      <c r="VKF34" s="206"/>
      <c r="VKG34" s="206"/>
      <c r="VKH34" s="206"/>
      <c r="VKI34" s="206"/>
      <c r="VKJ34" s="206"/>
      <c r="VKK34" s="206"/>
      <c r="VKL34" s="206"/>
      <c r="VKM34" s="206"/>
      <c r="VKN34" s="206"/>
      <c r="VKO34" s="206"/>
      <c r="VKP34" s="206"/>
      <c r="VKQ34" s="206"/>
      <c r="VKR34" s="206"/>
      <c r="VKS34" s="206"/>
      <c r="VKT34" s="206"/>
      <c r="VKU34" s="206"/>
      <c r="VKV34" s="206"/>
      <c r="VKW34" s="206"/>
      <c r="VKX34" s="206"/>
      <c r="VKY34" s="206"/>
      <c r="VKZ34" s="206"/>
      <c r="VLA34" s="206"/>
      <c r="VLB34" s="206"/>
      <c r="VLC34" s="206"/>
      <c r="VLD34" s="206"/>
      <c r="VLE34" s="206"/>
      <c r="VLF34" s="206"/>
      <c r="VLG34" s="206"/>
      <c r="VLH34" s="206"/>
      <c r="VLI34" s="206"/>
      <c r="VLJ34" s="206"/>
      <c r="VLK34" s="206"/>
      <c r="VLL34" s="206"/>
      <c r="VLM34" s="206"/>
      <c r="VLN34" s="206"/>
      <c r="VLO34" s="206"/>
      <c r="VLP34" s="206"/>
      <c r="VLQ34" s="206"/>
      <c r="VLR34" s="206"/>
      <c r="VLS34" s="206"/>
      <c r="VLT34" s="206"/>
      <c r="VLU34" s="206"/>
      <c r="VLV34" s="206"/>
      <c r="VLW34" s="206"/>
      <c r="VLX34" s="206"/>
      <c r="VLY34" s="206"/>
      <c r="VLZ34" s="206"/>
      <c r="VMA34" s="206"/>
      <c r="VMB34" s="206"/>
      <c r="VMC34" s="206"/>
      <c r="VMD34" s="206"/>
      <c r="VME34" s="206"/>
      <c r="VMF34" s="206"/>
      <c r="VMG34" s="206"/>
      <c r="VMH34" s="206"/>
      <c r="VMI34" s="206"/>
      <c r="VMJ34" s="206"/>
      <c r="VMK34" s="206"/>
      <c r="VML34" s="206"/>
      <c r="VMM34" s="206"/>
      <c r="VMN34" s="206"/>
      <c r="VMO34" s="206"/>
      <c r="VMP34" s="206"/>
      <c r="VMQ34" s="206"/>
      <c r="VMR34" s="206"/>
      <c r="VMS34" s="206"/>
      <c r="VMT34" s="206"/>
      <c r="VMU34" s="206"/>
      <c r="VMV34" s="206"/>
      <c r="VMW34" s="206"/>
      <c r="VMX34" s="206"/>
      <c r="VMY34" s="206"/>
      <c r="VMZ34" s="206"/>
      <c r="VNA34" s="206"/>
      <c r="VNB34" s="206"/>
      <c r="VNC34" s="206"/>
      <c r="VND34" s="206"/>
      <c r="VNE34" s="206"/>
      <c r="VNF34" s="206"/>
      <c r="VNG34" s="206"/>
      <c r="VNH34" s="206"/>
      <c r="VNI34" s="206"/>
      <c r="VNJ34" s="206"/>
      <c r="VNK34" s="206"/>
      <c r="VNL34" s="206"/>
      <c r="VNM34" s="206"/>
      <c r="VNN34" s="206"/>
      <c r="VNO34" s="206"/>
      <c r="VNP34" s="206"/>
      <c r="VNQ34" s="206"/>
      <c r="VNR34" s="206"/>
      <c r="VNS34" s="206"/>
      <c r="VNT34" s="206"/>
      <c r="VNU34" s="206"/>
      <c r="VNV34" s="206"/>
      <c r="VNW34" s="206"/>
      <c r="VNX34" s="206"/>
      <c r="VNY34" s="206"/>
      <c r="VNZ34" s="206"/>
      <c r="VOA34" s="206"/>
      <c r="VOB34" s="206"/>
      <c r="VOC34" s="206"/>
      <c r="VOD34" s="206"/>
      <c r="VOE34" s="206"/>
      <c r="VOF34" s="206"/>
      <c r="VOG34" s="206"/>
      <c r="VOH34" s="206"/>
      <c r="VOI34" s="206"/>
      <c r="VOJ34" s="206"/>
      <c r="VOK34" s="206"/>
      <c r="VOL34" s="206"/>
      <c r="VOM34" s="206"/>
      <c r="VON34" s="206"/>
      <c r="VOO34" s="206"/>
      <c r="VOP34" s="206"/>
      <c r="VOQ34" s="206"/>
      <c r="VOR34" s="206"/>
      <c r="VOS34" s="206"/>
      <c r="VOT34" s="206"/>
      <c r="VOU34" s="206"/>
      <c r="VOV34" s="206"/>
      <c r="VOW34" s="206"/>
      <c r="VOX34" s="206"/>
      <c r="VOY34" s="206"/>
      <c r="VOZ34" s="206"/>
      <c r="VPA34" s="206"/>
      <c r="VPB34" s="206"/>
      <c r="VPC34" s="206"/>
      <c r="VPD34" s="206"/>
      <c r="VPE34" s="206"/>
      <c r="VPF34" s="206"/>
      <c r="VPG34" s="206"/>
      <c r="VPH34" s="206"/>
      <c r="VPI34" s="206"/>
      <c r="VPJ34" s="206"/>
      <c r="VPK34" s="206"/>
      <c r="VPL34" s="206"/>
      <c r="VPM34" s="206"/>
      <c r="VPN34" s="206"/>
      <c r="VPO34" s="206"/>
      <c r="VPP34" s="206"/>
      <c r="VPQ34" s="206"/>
      <c r="VPR34" s="206"/>
      <c r="VPS34" s="206"/>
      <c r="VPT34" s="206"/>
      <c r="VPU34" s="206"/>
      <c r="VPV34" s="206"/>
      <c r="VPW34" s="206"/>
      <c r="VPX34" s="206"/>
      <c r="VPY34" s="206"/>
      <c r="VPZ34" s="206"/>
      <c r="VQA34" s="206"/>
      <c r="VQB34" s="206"/>
      <c r="VQC34" s="206"/>
      <c r="VQD34" s="206"/>
      <c r="VQE34" s="206"/>
      <c r="VQF34" s="206"/>
      <c r="VQG34" s="206"/>
      <c r="VQH34" s="206"/>
      <c r="VQI34" s="206"/>
      <c r="VQJ34" s="206"/>
      <c r="VQK34" s="206"/>
      <c r="VQL34" s="206"/>
      <c r="VQM34" s="206"/>
      <c r="VQN34" s="206"/>
      <c r="VQO34" s="206"/>
      <c r="VQP34" s="206"/>
      <c r="VQQ34" s="206"/>
      <c r="VQR34" s="206"/>
      <c r="VQS34" s="206"/>
      <c r="VQT34" s="206"/>
      <c r="VQU34" s="206"/>
      <c r="VQV34" s="206"/>
      <c r="VQW34" s="206"/>
      <c r="VQX34" s="206"/>
      <c r="VQY34" s="206"/>
      <c r="VQZ34" s="206"/>
      <c r="VRA34" s="206"/>
      <c r="VRB34" s="206"/>
      <c r="VRC34" s="206"/>
      <c r="VRD34" s="206"/>
      <c r="VRE34" s="206"/>
      <c r="VRF34" s="206"/>
      <c r="VRG34" s="206"/>
      <c r="VRH34" s="206"/>
      <c r="VRI34" s="206"/>
      <c r="VRJ34" s="206"/>
      <c r="VRK34" s="206"/>
      <c r="VRL34" s="206"/>
      <c r="VRM34" s="206"/>
      <c r="VRN34" s="206"/>
      <c r="VRO34" s="206"/>
      <c r="VRP34" s="206"/>
      <c r="VRQ34" s="206"/>
      <c r="VRR34" s="206"/>
      <c r="VRS34" s="206"/>
      <c r="VRT34" s="206"/>
      <c r="VRU34" s="206"/>
      <c r="VRV34" s="206"/>
      <c r="VRW34" s="206"/>
      <c r="VRX34" s="206"/>
      <c r="VRY34" s="206"/>
      <c r="VRZ34" s="206"/>
      <c r="VSA34" s="206"/>
      <c r="VSB34" s="206"/>
      <c r="VSC34" s="206"/>
      <c r="VSD34" s="206"/>
      <c r="VSE34" s="206"/>
      <c r="VSF34" s="206"/>
      <c r="VSG34" s="206"/>
      <c r="VSH34" s="206"/>
      <c r="VSI34" s="206"/>
      <c r="VSJ34" s="206"/>
      <c r="VSK34" s="206"/>
      <c r="VSL34" s="206"/>
      <c r="VSM34" s="206"/>
      <c r="VSN34" s="206"/>
      <c r="VSO34" s="206"/>
      <c r="VSP34" s="206"/>
      <c r="VSQ34" s="206"/>
      <c r="VSR34" s="206"/>
      <c r="VSS34" s="206"/>
      <c r="VST34" s="206"/>
      <c r="VSU34" s="206"/>
      <c r="VSV34" s="206"/>
      <c r="VSW34" s="206"/>
      <c r="VSX34" s="206"/>
      <c r="VSY34" s="206"/>
      <c r="VSZ34" s="206"/>
      <c r="VTA34" s="206"/>
      <c r="VTB34" s="206"/>
      <c r="VTC34" s="206"/>
      <c r="VTD34" s="206"/>
      <c r="VTE34" s="206"/>
      <c r="VTF34" s="206"/>
      <c r="VTG34" s="206"/>
      <c r="VTH34" s="206"/>
      <c r="VTI34" s="206"/>
      <c r="VTJ34" s="206"/>
      <c r="VTK34" s="206"/>
      <c r="VTL34" s="206"/>
      <c r="VTM34" s="206"/>
      <c r="VTN34" s="206"/>
      <c r="VTO34" s="206"/>
      <c r="VTP34" s="206"/>
      <c r="VTQ34" s="206"/>
      <c r="VTR34" s="206"/>
      <c r="VTS34" s="206"/>
      <c r="VTT34" s="206"/>
      <c r="VTU34" s="206"/>
      <c r="VTV34" s="206"/>
      <c r="VTW34" s="206"/>
      <c r="VTX34" s="206"/>
      <c r="VTY34" s="206"/>
      <c r="VTZ34" s="206"/>
      <c r="VUA34" s="206"/>
      <c r="VUB34" s="206"/>
      <c r="VUC34" s="206"/>
      <c r="VUD34" s="206"/>
      <c r="VUE34" s="206"/>
      <c r="VUF34" s="206"/>
      <c r="VUG34" s="206"/>
      <c r="VUH34" s="206"/>
      <c r="VUI34" s="206"/>
      <c r="VUJ34" s="206"/>
      <c r="VUK34" s="206"/>
      <c r="VUL34" s="206"/>
      <c r="VUM34" s="206"/>
      <c r="VUN34" s="206"/>
      <c r="VUO34" s="206"/>
      <c r="VUP34" s="206"/>
      <c r="VUQ34" s="206"/>
      <c r="VUR34" s="206"/>
      <c r="VUS34" s="206"/>
      <c r="VUT34" s="206"/>
      <c r="VUU34" s="206"/>
      <c r="VUV34" s="206"/>
      <c r="VUW34" s="206"/>
      <c r="VUX34" s="206"/>
      <c r="VUY34" s="206"/>
      <c r="VUZ34" s="206"/>
      <c r="VVA34" s="206"/>
      <c r="VVB34" s="206"/>
      <c r="VVC34" s="206"/>
      <c r="VVD34" s="206"/>
      <c r="VVE34" s="206"/>
      <c r="VVF34" s="206"/>
      <c r="VVG34" s="206"/>
      <c r="VVH34" s="206"/>
      <c r="VVI34" s="206"/>
      <c r="VVJ34" s="206"/>
      <c r="VVK34" s="206"/>
      <c r="VVL34" s="206"/>
      <c r="VVM34" s="206"/>
      <c r="VVN34" s="206"/>
      <c r="VVO34" s="206"/>
      <c r="VVP34" s="206"/>
      <c r="VVQ34" s="206"/>
      <c r="VVR34" s="206"/>
      <c r="VVS34" s="206"/>
      <c r="VVT34" s="206"/>
      <c r="VVU34" s="206"/>
      <c r="VVV34" s="206"/>
      <c r="VVW34" s="206"/>
      <c r="VVX34" s="206"/>
      <c r="VVY34" s="206"/>
      <c r="VVZ34" s="206"/>
      <c r="VWA34" s="206"/>
      <c r="VWB34" s="206"/>
      <c r="VWC34" s="206"/>
      <c r="VWD34" s="206"/>
      <c r="VWE34" s="206"/>
      <c r="VWF34" s="206"/>
      <c r="VWG34" s="206"/>
      <c r="VWH34" s="206"/>
      <c r="VWI34" s="206"/>
      <c r="VWJ34" s="206"/>
      <c r="VWK34" s="206"/>
      <c r="VWL34" s="206"/>
      <c r="VWM34" s="206"/>
      <c r="VWN34" s="206"/>
      <c r="VWO34" s="206"/>
      <c r="VWP34" s="206"/>
      <c r="VWQ34" s="206"/>
      <c r="VWR34" s="206"/>
      <c r="VWS34" s="206"/>
      <c r="VWT34" s="206"/>
      <c r="VWU34" s="206"/>
      <c r="VWV34" s="206"/>
      <c r="VWW34" s="206"/>
      <c r="VWX34" s="206"/>
      <c r="VWY34" s="206"/>
      <c r="VWZ34" s="206"/>
      <c r="VXA34" s="206"/>
      <c r="VXB34" s="206"/>
      <c r="VXC34" s="206"/>
      <c r="VXD34" s="206"/>
      <c r="VXE34" s="206"/>
      <c r="VXF34" s="206"/>
      <c r="VXG34" s="206"/>
      <c r="VXH34" s="206"/>
      <c r="VXI34" s="206"/>
      <c r="VXJ34" s="206"/>
      <c r="VXK34" s="206"/>
      <c r="VXL34" s="206"/>
      <c r="VXM34" s="206"/>
      <c r="VXN34" s="206"/>
      <c r="VXO34" s="206"/>
      <c r="VXP34" s="206"/>
      <c r="VXQ34" s="206"/>
      <c r="VXR34" s="206"/>
      <c r="VXS34" s="206"/>
      <c r="VXT34" s="206"/>
      <c r="VXU34" s="206"/>
      <c r="VXV34" s="206"/>
      <c r="VXW34" s="206"/>
      <c r="VXX34" s="206"/>
      <c r="VXY34" s="206"/>
      <c r="VXZ34" s="206"/>
      <c r="VYA34" s="206"/>
      <c r="VYB34" s="206"/>
      <c r="VYC34" s="206"/>
      <c r="VYD34" s="206"/>
      <c r="VYE34" s="206"/>
      <c r="VYF34" s="206"/>
      <c r="VYG34" s="206"/>
      <c r="VYH34" s="206"/>
      <c r="VYI34" s="206"/>
      <c r="VYJ34" s="206"/>
      <c r="VYK34" s="206"/>
      <c r="VYL34" s="206"/>
      <c r="VYM34" s="206"/>
      <c r="VYN34" s="206"/>
      <c r="VYO34" s="206"/>
      <c r="VYP34" s="206"/>
      <c r="VYQ34" s="206"/>
      <c r="VYR34" s="206"/>
      <c r="VYS34" s="206"/>
      <c r="VYT34" s="206"/>
      <c r="VYU34" s="206"/>
      <c r="VYV34" s="206"/>
      <c r="VYW34" s="206"/>
      <c r="VYX34" s="206"/>
      <c r="VYY34" s="206"/>
      <c r="VYZ34" s="206"/>
      <c r="VZA34" s="206"/>
      <c r="VZB34" s="206"/>
      <c r="VZC34" s="206"/>
      <c r="VZD34" s="206"/>
      <c r="VZE34" s="206"/>
      <c r="VZF34" s="206"/>
      <c r="VZG34" s="206"/>
      <c r="VZH34" s="206"/>
      <c r="VZI34" s="206"/>
      <c r="VZJ34" s="206"/>
      <c r="VZK34" s="206"/>
      <c r="VZL34" s="206"/>
      <c r="VZM34" s="206"/>
      <c r="VZN34" s="206"/>
      <c r="VZO34" s="206"/>
      <c r="VZP34" s="206"/>
      <c r="VZQ34" s="206"/>
      <c r="VZR34" s="206"/>
      <c r="VZS34" s="206"/>
      <c r="VZT34" s="206"/>
      <c r="VZU34" s="206"/>
      <c r="VZV34" s="206"/>
      <c r="VZW34" s="206"/>
      <c r="VZX34" s="206"/>
      <c r="VZY34" s="206"/>
      <c r="VZZ34" s="206"/>
      <c r="WAA34" s="206"/>
      <c r="WAB34" s="206"/>
      <c r="WAC34" s="206"/>
      <c r="WAD34" s="206"/>
      <c r="WAE34" s="206"/>
      <c r="WAF34" s="206"/>
      <c r="WAG34" s="206"/>
      <c r="WAH34" s="206"/>
      <c r="WAI34" s="206"/>
      <c r="WAJ34" s="206"/>
      <c r="WAK34" s="206"/>
      <c r="WAL34" s="206"/>
      <c r="WAM34" s="206"/>
      <c r="WAN34" s="206"/>
      <c r="WAO34" s="206"/>
      <c r="WAP34" s="206"/>
      <c r="WAQ34" s="206"/>
      <c r="WAR34" s="206"/>
      <c r="WAS34" s="206"/>
      <c r="WAT34" s="206"/>
      <c r="WAU34" s="206"/>
      <c r="WAV34" s="206"/>
      <c r="WAW34" s="206"/>
      <c r="WAX34" s="206"/>
      <c r="WAY34" s="206"/>
      <c r="WAZ34" s="206"/>
      <c r="WBA34" s="206"/>
      <c r="WBB34" s="206"/>
      <c r="WBC34" s="206"/>
      <c r="WBD34" s="206"/>
      <c r="WBE34" s="206"/>
      <c r="WBF34" s="206"/>
      <c r="WBG34" s="206"/>
      <c r="WBH34" s="206"/>
      <c r="WBI34" s="206"/>
      <c r="WBJ34" s="206"/>
      <c r="WBK34" s="206"/>
      <c r="WBL34" s="206"/>
      <c r="WBM34" s="206"/>
      <c r="WBN34" s="206"/>
      <c r="WBO34" s="206"/>
      <c r="WBP34" s="206"/>
      <c r="WBQ34" s="206"/>
      <c r="WBR34" s="206"/>
      <c r="WBS34" s="206"/>
      <c r="WBT34" s="206"/>
      <c r="WBU34" s="206"/>
      <c r="WBV34" s="206"/>
      <c r="WBW34" s="206"/>
      <c r="WBX34" s="206"/>
      <c r="WBY34" s="206"/>
      <c r="WBZ34" s="206"/>
      <c r="WCA34" s="206"/>
      <c r="WCB34" s="206"/>
      <c r="WCC34" s="206"/>
      <c r="WCD34" s="206"/>
      <c r="WCE34" s="206"/>
      <c r="WCF34" s="206"/>
      <c r="WCG34" s="206"/>
      <c r="WCH34" s="206"/>
      <c r="WCI34" s="206"/>
      <c r="WCJ34" s="206"/>
      <c r="WCK34" s="206"/>
      <c r="WCL34" s="206"/>
      <c r="WCM34" s="206"/>
      <c r="WCN34" s="206"/>
      <c r="WCO34" s="206"/>
      <c r="WCP34" s="206"/>
      <c r="WCQ34" s="206"/>
      <c r="WCR34" s="206"/>
      <c r="WCS34" s="206"/>
      <c r="WCT34" s="206"/>
      <c r="WCU34" s="206"/>
      <c r="WCV34" s="206"/>
      <c r="WCW34" s="206"/>
      <c r="WCX34" s="206"/>
      <c r="WCY34" s="206"/>
      <c r="WCZ34" s="206"/>
      <c r="WDA34" s="206"/>
      <c r="WDB34" s="206"/>
      <c r="WDC34" s="206"/>
      <c r="WDD34" s="206"/>
      <c r="WDE34" s="206"/>
      <c r="WDF34" s="206"/>
      <c r="WDG34" s="206"/>
      <c r="WDH34" s="206"/>
      <c r="WDI34" s="206"/>
      <c r="WDJ34" s="206"/>
      <c r="WDK34" s="206"/>
      <c r="WDL34" s="206"/>
      <c r="WDM34" s="206"/>
      <c r="WDN34" s="206"/>
      <c r="WDO34" s="206"/>
      <c r="WDP34" s="206"/>
      <c r="WDQ34" s="206"/>
      <c r="WDR34" s="206"/>
      <c r="WDS34" s="206"/>
      <c r="WDT34" s="206"/>
      <c r="WDU34" s="206"/>
      <c r="WDV34" s="206"/>
      <c r="WDW34" s="206"/>
      <c r="WDX34" s="206"/>
      <c r="WDY34" s="206"/>
      <c r="WDZ34" s="206"/>
      <c r="WEA34" s="206"/>
      <c r="WEB34" s="206"/>
      <c r="WEC34" s="206"/>
      <c r="WED34" s="206"/>
      <c r="WEE34" s="206"/>
      <c r="WEF34" s="206"/>
      <c r="WEG34" s="206"/>
      <c r="WEH34" s="206"/>
      <c r="WEI34" s="206"/>
      <c r="WEJ34" s="206"/>
      <c r="WEK34" s="206"/>
      <c r="WEL34" s="206"/>
      <c r="WEM34" s="206"/>
      <c r="WEN34" s="206"/>
      <c r="WEO34" s="206"/>
      <c r="WEP34" s="206"/>
      <c r="WEQ34" s="206"/>
      <c r="WER34" s="206"/>
      <c r="WES34" s="206"/>
      <c r="WET34" s="206"/>
      <c r="WEU34" s="206"/>
      <c r="WEV34" s="206"/>
      <c r="WEW34" s="206"/>
      <c r="WEX34" s="206"/>
      <c r="WEY34" s="206"/>
      <c r="WEZ34" s="206"/>
      <c r="WFA34" s="206"/>
      <c r="WFB34" s="206"/>
      <c r="WFC34" s="206"/>
      <c r="WFD34" s="206"/>
      <c r="WFE34" s="206"/>
      <c r="WFF34" s="206"/>
      <c r="WFG34" s="206"/>
      <c r="WFH34" s="206"/>
      <c r="WFI34" s="206"/>
      <c r="WFJ34" s="206"/>
      <c r="WFK34" s="206"/>
      <c r="WFL34" s="206"/>
      <c r="WFM34" s="206"/>
      <c r="WFN34" s="206"/>
      <c r="WFO34" s="206"/>
      <c r="WFP34" s="206"/>
      <c r="WFQ34" s="206"/>
      <c r="WFR34" s="206"/>
      <c r="WFS34" s="206"/>
      <c r="WFT34" s="206"/>
      <c r="WFU34" s="206"/>
      <c r="WFV34" s="206"/>
      <c r="WFW34" s="206"/>
      <c r="WFX34" s="206"/>
      <c r="WFY34" s="206"/>
      <c r="WFZ34" s="206"/>
      <c r="WGA34" s="206"/>
      <c r="WGB34" s="206"/>
      <c r="WGC34" s="206"/>
      <c r="WGD34" s="206"/>
      <c r="WGE34" s="206"/>
      <c r="WGF34" s="206"/>
      <c r="WGG34" s="206"/>
      <c r="WGH34" s="206"/>
      <c r="WGI34" s="206"/>
      <c r="WGJ34" s="206"/>
      <c r="WGK34" s="206"/>
      <c r="WGL34" s="206"/>
      <c r="WGM34" s="206"/>
      <c r="WGN34" s="206"/>
      <c r="WGO34" s="206"/>
      <c r="WGP34" s="206"/>
      <c r="WGQ34" s="206"/>
      <c r="WGR34" s="206"/>
      <c r="WGS34" s="206"/>
      <c r="WGT34" s="206"/>
      <c r="WGU34" s="206"/>
      <c r="WGV34" s="206"/>
      <c r="WGW34" s="206"/>
      <c r="WGX34" s="206"/>
      <c r="WGY34" s="206"/>
      <c r="WGZ34" s="206"/>
      <c r="WHA34" s="206"/>
      <c r="WHB34" s="206"/>
      <c r="WHC34" s="206"/>
      <c r="WHD34" s="206"/>
      <c r="WHE34" s="206"/>
      <c r="WHF34" s="206"/>
      <c r="WHG34" s="206"/>
      <c r="WHH34" s="206"/>
      <c r="WHI34" s="206"/>
      <c r="WHJ34" s="206"/>
      <c r="WHK34" s="206"/>
      <c r="WHL34" s="206"/>
      <c r="WHM34" s="206"/>
      <c r="WHN34" s="206"/>
      <c r="WHO34" s="206"/>
      <c r="WHP34" s="206"/>
      <c r="WHQ34" s="206"/>
      <c r="WHR34" s="206"/>
      <c r="WHS34" s="206"/>
      <c r="WHT34" s="206"/>
      <c r="WHU34" s="206"/>
      <c r="WHV34" s="206"/>
      <c r="WHW34" s="206"/>
      <c r="WHX34" s="206"/>
      <c r="WHY34" s="206"/>
      <c r="WHZ34" s="206"/>
      <c r="WIA34" s="206"/>
      <c r="WIB34" s="206"/>
      <c r="WIC34" s="206"/>
      <c r="WID34" s="206"/>
      <c r="WIE34" s="206"/>
      <c r="WIF34" s="206"/>
      <c r="WIG34" s="206"/>
      <c r="WIH34" s="206"/>
      <c r="WII34" s="206"/>
      <c r="WIJ34" s="206"/>
      <c r="WIK34" s="206"/>
      <c r="WIL34" s="206"/>
      <c r="WIM34" s="206"/>
      <c r="WIN34" s="206"/>
      <c r="WIO34" s="206"/>
      <c r="WIP34" s="206"/>
      <c r="WIQ34" s="206"/>
      <c r="WIR34" s="206"/>
      <c r="WIS34" s="206"/>
      <c r="WIT34" s="206"/>
      <c r="WIU34" s="206"/>
      <c r="WIV34" s="206"/>
      <c r="WIW34" s="206"/>
      <c r="WIX34" s="206"/>
      <c r="WIY34" s="206"/>
      <c r="WIZ34" s="206"/>
      <c r="WJA34" s="206"/>
      <c r="WJB34" s="206"/>
      <c r="WJC34" s="206"/>
      <c r="WJD34" s="206"/>
      <c r="WJE34" s="206"/>
      <c r="WJF34" s="206"/>
      <c r="WJG34" s="206"/>
      <c r="WJH34" s="206"/>
      <c r="WJI34" s="206"/>
      <c r="WJJ34" s="206"/>
      <c r="WJK34" s="206"/>
      <c r="WJL34" s="206"/>
      <c r="WJM34" s="206"/>
      <c r="WJN34" s="206"/>
      <c r="WJO34" s="206"/>
      <c r="WJP34" s="206"/>
      <c r="WJQ34" s="206"/>
      <c r="WJR34" s="206"/>
      <c r="WJS34" s="206"/>
      <c r="WJT34" s="206"/>
      <c r="WJU34" s="206"/>
      <c r="WJV34" s="206"/>
      <c r="WJW34" s="206"/>
      <c r="WJX34" s="206"/>
      <c r="WJY34" s="206"/>
      <c r="WJZ34" s="206"/>
      <c r="WKA34" s="206"/>
      <c r="WKB34" s="206"/>
      <c r="WKC34" s="206"/>
      <c r="WKD34" s="206"/>
      <c r="WKE34" s="206"/>
      <c r="WKF34" s="206"/>
      <c r="WKG34" s="206"/>
      <c r="WKH34" s="206"/>
      <c r="WKI34" s="206"/>
      <c r="WKJ34" s="206"/>
      <c r="WKK34" s="206"/>
      <c r="WKL34" s="206"/>
      <c r="WKM34" s="206"/>
      <c r="WKN34" s="206"/>
      <c r="WKO34" s="206"/>
      <c r="WKP34" s="206"/>
      <c r="WKQ34" s="206"/>
      <c r="WKR34" s="206"/>
      <c r="WKS34" s="206"/>
      <c r="WKT34" s="206"/>
      <c r="WKU34" s="206"/>
      <c r="WKV34" s="206"/>
      <c r="WKW34" s="206"/>
      <c r="WKX34" s="206"/>
      <c r="WKY34" s="206"/>
      <c r="WKZ34" s="206"/>
      <c r="WLA34" s="206"/>
      <c r="WLB34" s="206"/>
      <c r="WLC34" s="206"/>
      <c r="WLD34" s="206"/>
      <c r="WLE34" s="206"/>
      <c r="WLF34" s="206"/>
      <c r="WLG34" s="206"/>
      <c r="WLH34" s="206"/>
      <c r="WLI34" s="206"/>
      <c r="WLJ34" s="206"/>
      <c r="WLK34" s="206"/>
      <c r="WLL34" s="206"/>
      <c r="WLM34" s="206"/>
      <c r="WLN34" s="206"/>
      <c r="WLO34" s="206"/>
      <c r="WLP34" s="206"/>
      <c r="WLQ34" s="206"/>
      <c r="WLR34" s="206"/>
      <c r="WLS34" s="206"/>
      <c r="WLT34" s="206"/>
      <c r="WLU34" s="206"/>
      <c r="WLV34" s="206"/>
      <c r="WLW34" s="206"/>
      <c r="WLX34" s="206"/>
      <c r="WLY34" s="206"/>
      <c r="WLZ34" s="206"/>
      <c r="WMA34" s="206"/>
      <c r="WMB34" s="206"/>
      <c r="WMC34" s="206"/>
      <c r="WMD34" s="206"/>
      <c r="WME34" s="206"/>
      <c r="WMF34" s="206"/>
      <c r="WMG34" s="206"/>
      <c r="WMH34" s="206"/>
      <c r="WMI34" s="206"/>
      <c r="WMJ34" s="206"/>
      <c r="WMK34" s="206"/>
      <c r="WML34" s="206"/>
      <c r="WMM34" s="206"/>
      <c r="WMN34" s="206"/>
      <c r="WMO34" s="206"/>
      <c r="WMP34" s="206"/>
      <c r="WMQ34" s="206"/>
      <c r="WMR34" s="206"/>
      <c r="WMS34" s="206"/>
      <c r="WMT34" s="206"/>
      <c r="WMU34" s="206"/>
      <c r="WMV34" s="206"/>
      <c r="WMW34" s="206"/>
      <c r="WMX34" s="206"/>
      <c r="WMY34" s="206"/>
      <c r="WMZ34" s="206"/>
      <c r="WNA34" s="206"/>
      <c r="WNB34" s="206"/>
      <c r="WNC34" s="206"/>
      <c r="WND34" s="206"/>
      <c r="WNE34" s="206"/>
      <c r="WNF34" s="206"/>
      <c r="WNG34" s="206"/>
      <c r="WNH34" s="206"/>
      <c r="WNI34" s="206"/>
      <c r="WNJ34" s="206"/>
      <c r="WNK34" s="206"/>
      <c r="WNL34" s="206"/>
      <c r="WNM34" s="206"/>
      <c r="WNN34" s="206"/>
      <c r="WNO34" s="206"/>
      <c r="WNP34" s="206"/>
      <c r="WNQ34" s="206"/>
      <c r="WNR34" s="206"/>
      <c r="WNS34" s="206"/>
      <c r="WNT34" s="206"/>
      <c r="WNU34" s="206"/>
      <c r="WNV34" s="206"/>
      <c r="WNW34" s="206"/>
      <c r="WNX34" s="206"/>
      <c r="WNY34" s="206"/>
      <c r="WNZ34" s="206"/>
      <c r="WOA34" s="206"/>
      <c r="WOB34" s="206"/>
      <c r="WOC34" s="206"/>
      <c r="WOD34" s="206"/>
      <c r="WOE34" s="206"/>
      <c r="WOF34" s="206"/>
      <c r="WOG34" s="206"/>
      <c r="WOH34" s="206"/>
      <c r="WOI34" s="206"/>
      <c r="WOJ34" s="206"/>
      <c r="WOK34" s="206"/>
      <c r="WOL34" s="206"/>
      <c r="WOM34" s="206"/>
      <c r="WON34" s="206"/>
      <c r="WOO34" s="206"/>
      <c r="WOP34" s="206"/>
      <c r="WOQ34" s="206"/>
      <c r="WOR34" s="206"/>
      <c r="WOS34" s="206"/>
      <c r="WOT34" s="206"/>
      <c r="WOU34" s="206"/>
      <c r="WOV34" s="206"/>
      <c r="WOW34" s="206"/>
      <c r="WOX34" s="206"/>
      <c r="WOY34" s="206"/>
      <c r="WOZ34" s="206"/>
      <c r="WPA34" s="206"/>
      <c r="WPB34" s="206"/>
      <c r="WPC34" s="206"/>
      <c r="WPD34" s="206"/>
      <c r="WPE34" s="206"/>
      <c r="WPF34" s="206"/>
      <c r="WPG34" s="206"/>
      <c r="WPH34" s="206"/>
      <c r="WPI34" s="206"/>
      <c r="WPJ34" s="206"/>
      <c r="WPK34" s="206"/>
      <c r="WPL34" s="206"/>
      <c r="WPM34" s="206"/>
      <c r="WPN34" s="206"/>
      <c r="WPO34" s="206"/>
      <c r="WPP34" s="206"/>
      <c r="WPQ34" s="206"/>
      <c r="WPR34" s="206"/>
      <c r="WPS34" s="206"/>
      <c r="WPT34" s="206"/>
      <c r="WPU34" s="206"/>
      <c r="WPV34" s="206"/>
      <c r="WPW34" s="206"/>
      <c r="WPX34" s="206"/>
      <c r="WPY34" s="206"/>
      <c r="WPZ34" s="206"/>
      <c r="WQA34" s="206"/>
      <c r="WQB34" s="206"/>
      <c r="WQC34" s="206"/>
      <c r="WQD34" s="206"/>
      <c r="WQE34" s="206"/>
      <c r="WQF34" s="206"/>
      <c r="WQG34" s="206"/>
      <c r="WQH34" s="206"/>
      <c r="WQI34" s="206"/>
      <c r="WQJ34" s="206"/>
      <c r="WQK34" s="206"/>
      <c r="WQL34" s="206"/>
      <c r="WQM34" s="206"/>
      <c r="WQN34" s="206"/>
      <c r="WQO34" s="206"/>
      <c r="WQP34" s="206"/>
      <c r="WQQ34" s="206"/>
      <c r="WQR34" s="206"/>
      <c r="WQS34" s="206"/>
      <c r="WQT34" s="206"/>
      <c r="WQU34" s="206"/>
      <c r="WQV34" s="206"/>
      <c r="WQW34" s="206"/>
      <c r="WQX34" s="206"/>
      <c r="WQY34" s="206"/>
      <c r="WQZ34" s="206"/>
      <c r="WRA34" s="206"/>
      <c r="WRB34" s="206"/>
      <c r="WRC34" s="206"/>
      <c r="WRD34" s="206"/>
      <c r="WRE34" s="206"/>
      <c r="WRF34" s="206"/>
      <c r="WRG34" s="206"/>
      <c r="WRH34" s="206"/>
      <c r="WRI34" s="206"/>
      <c r="WRJ34" s="206"/>
      <c r="WRK34" s="206"/>
      <c r="WRL34" s="206"/>
      <c r="WRM34" s="206"/>
      <c r="WRN34" s="206"/>
      <c r="WRO34" s="206"/>
      <c r="WRP34" s="206"/>
      <c r="WRQ34" s="206"/>
      <c r="WRR34" s="206"/>
      <c r="WRS34" s="206"/>
      <c r="WRT34" s="206"/>
      <c r="WRU34" s="206"/>
      <c r="WRV34" s="206"/>
      <c r="WRW34" s="206"/>
      <c r="WRX34" s="206"/>
      <c r="WRY34" s="206"/>
      <c r="WRZ34" s="206"/>
      <c r="WSA34" s="206"/>
      <c r="WSB34" s="206"/>
      <c r="WSC34" s="206"/>
      <c r="WSD34" s="206"/>
      <c r="WSE34" s="206"/>
      <c r="WSF34" s="206"/>
      <c r="WSG34" s="206"/>
      <c r="WSH34" s="206"/>
      <c r="WSI34" s="206"/>
      <c r="WSJ34" s="206"/>
      <c r="WSK34" s="206"/>
      <c r="WSL34" s="206"/>
      <c r="WSM34" s="206"/>
      <c r="WSN34" s="206"/>
      <c r="WSO34" s="206"/>
      <c r="WSP34" s="206"/>
      <c r="WSQ34" s="206"/>
      <c r="WSR34" s="206"/>
      <c r="WSS34" s="206"/>
      <c r="WST34" s="206"/>
      <c r="WSU34" s="206"/>
      <c r="WSV34" s="206"/>
      <c r="WSW34" s="206"/>
      <c r="WSX34" s="206"/>
      <c r="WSY34" s="206"/>
      <c r="WSZ34" s="206"/>
      <c r="WTA34" s="206"/>
      <c r="WTB34" s="206"/>
      <c r="WTC34" s="206"/>
      <c r="WTD34" s="206"/>
      <c r="WTE34" s="206"/>
      <c r="WTF34" s="206"/>
      <c r="WTG34" s="206"/>
      <c r="WTH34" s="206"/>
      <c r="WTI34" s="206"/>
      <c r="WTJ34" s="206"/>
      <c r="WTK34" s="206"/>
      <c r="WTL34" s="206"/>
      <c r="WTM34" s="206"/>
      <c r="WTN34" s="206"/>
      <c r="WTO34" s="206"/>
      <c r="WTP34" s="206"/>
      <c r="WTQ34" s="206"/>
      <c r="WTR34" s="206"/>
      <c r="WTS34" s="206"/>
      <c r="WTT34" s="206"/>
      <c r="WTU34" s="206"/>
      <c r="WTV34" s="206"/>
      <c r="WTW34" s="206"/>
      <c r="WTX34" s="206"/>
      <c r="WTY34" s="206"/>
      <c r="WTZ34" s="206"/>
      <c r="WUA34" s="206"/>
      <c r="WUB34" s="206"/>
      <c r="WUC34" s="206"/>
      <c r="WUD34" s="206"/>
      <c r="WUE34" s="206"/>
      <c r="WUF34" s="206"/>
      <c r="WUG34" s="206"/>
      <c r="WUH34" s="206"/>
      <c r="WUI34" s="206"/>
      <c r="WUJ34" s="206"/>
      <c r="WUK34" s="206"/>
      <c r="WUL34" s="206"/>
      <c r="WUM34" s="206"/>
      <c r="WUN34" s="206"/>
      <c r="WUO34" s="206"/>
      <c r="WUP34" s="206"/>
      <c r="WUQ34" s="206"/>
      <c r="WUR34" s="206"/>
      <c r="WUS34" s="206"/>
      <c r="WUT34" s="206"/>
      <c r="WUU34" s="206"/>
      <c r="WUV34" s="206"/>
      <c r="WUW34" s="206"/>
      <c r="WUX34" s="206"/>
      <c r="WUY34" s="206"/>
      <c r="WUZ34" s="206"/>
      <c r="WVA34" s="206"/>
      <c r="WVB34" s="206"/>
      <c r="WVC34" s="206"/>
      <c r="WVD34" s="206"/>
      <c r="WVE34" s="206"/>
      <c r="WVF34" s="206"/>
      <c r="WVG34" s="206"/>
      <c r="WVH34" s="206"/>
      <c r="WVI34" s="206"/>
      <c r="WVJ34" s="206"/>
      <c r="WVK34" s="206"/>
      <c r="WVL34" s="206"/>
      <c r="WVM34" s="206"/>
      <c r="WVN34" s="206"/>
      <c r="WVO34" s="206"/>
      <c r="WVP34" s="206"/>
      <c r="WVQ34" s="206"/>
      <c r="WVR34" s="206"/>
      <c r="WVS34" s="206"/>
      <c r="WVT34" s="206"/>
      <c r="WVU34" s="206"/>
      <c r="WVV34" s="206"/>
      <c r="WVW34" s="206"/>
      <c r="WVX34" s="206"/>
      <c r="WVY34" s="206"/>
      <c r="WVZ34" s="206"/>
      <c r="WWA34" s="206"/>
      <c r="WWB34" s="206"/>
      <c r="WWC34" s="206"/>
      <c r="WWD34" s="206"/>
      <c r="WWE34" s="206"/>
      <c r="WWF34" s="206"/>
      <c r="WWG34" s="206"/>
      <c r="WWH34" s="206"/>
      <c r="WWI34" s="206"/>
      <c r="WWJ34" s="206"/>
      <c r="WWK34" s="206"/>
      <c r="WWL34" s="206"/>
      <c r="WWM34" s="206"/>
      <c r="WWN34" s="206"/>
      <c r="WWO34" s="206"/>
      <c r="WWP34" s="206"/>
      <c r="WWQ34" s="206"/>
      <c r="WWR34" s="206"/>
      <c r="WWS34" s="206"/>
      <c r="WWT34" s="206"/>
      <c r="WWU34" s="206"/>
      <c r="WWV34" s="206"/>
      <c r="WWW34" s="206"/>
      <c r="WWX34" s="206"/>
      <c r="WWY34" s="206"/>
      <c r="WWZ34" s="206"/>
      <c r="WXA34" s="206"/>
      <c r="WXB34" s="206"/>
      <c r="WXC34" s="206"/>
      <c r="WXD34" s="206"/>
      <c r="WXE34" s="206"/>
      <c r="WXF34" s="206"/>
      <c r="WXG34" s="206"/>
      <c r="WXH34" s="206"/>
      <c r="WXI34" s="206"/>
      <c r="WXJ34" s="206"/>
      <c r="WXK34" s="206"/>
      <c r="WXL34" s="206"/>
      <c r="WXM34" s="206"/>
      <c r="WXN34" s="206"/>
      <c r="WXO34" s="206"/>
      <c r="WXP34" s="206"/>
      <c r="WXQ34" s="206"/>
      <c r="WXR34" s="206"/>
      <c r="WXS34" s="206"/>
      <c r="WXT34" s="206"/>
      <c r="WXU34" s="206"/>
      <c r="WXV34" s="206"/>
      <c r="WXW34" s="206"/>
      <c r="WXX34" s="206"/>
      <c r="WXY34" s="206"/>
      <c r="WXZ34" s="206"/>
      <c r="WYA34" s="206"/>
      <c r="WYB34" s="206"/>
      <c r="WYC34" s="206"/>
      <c r="WYD34" s="206"/>
      <c r="WYE34" s="206"/>
      <c r="WYF34" s="206"/>
      <c r="WYG34" s="206"/>
      <c r="WYH34" s="206"/>
      <c r="WYI34" s="206"/>
      <c r="WYJ34" s="206"/>
      <c r="WYK34" s="206"/>
      <c r="WYL34" s="206"/>
      <c r="WYM34" s="206"/>
      <c r="WYN34" s="206"/>
      <c r="WYO34" s="206"/>
      <c r="WYP34" s="206"/>
      <c r="WYQ34" s="206"/>
      <c r="WYR34" s="206"/>
      <c r="WYS34" s="206"/>
      <c r="WYT34" s="206"/>
      <c r="WYU34" s="206"/>
      <c r="WYV34" s="206"/>
      <c r="WYW34" s="206"/>
      <c r="WYX34" s="206"/>
      <c r="WYY34" s="206"/>
      <c r="WYZ34" s="206"/>
      <c r="WZA34" s="206"/>
      <c r="WZB34" s="206"/>
      <c r="WZC34" s="206"/>
      <c r="WZD34" s="206"/>
      <c r="WZE34" s="206"/>
      <c r="WZF34" s="206"/>
      <c r="WZG34" s="206"/>
      <c r="WZH34" s="206"/>
      <c r="WZI34" s="206"/>
      <c r="WZJ34" s="206"/>
      <c r="WZK34" s="206"/>
      <c r="WZL34" s="206"/>
      <c r="WZM34" s="206"/>
      <c r="WZN34" s="206"/>
      <c r="WZO34" s="206"/>
      <c r="WZP34" s="206"/>
      <c r="WZQ34" s="206"/>
      <c r="WZR34" s="206"/>
      <c r="WZS34" s="206"/>
      <c r="WZT34" s="206"/>
      <c r="WZU34" s="206"/>
      <c r="WZV34" s="206"/>
      <c r="WZW34" s="206"/>
      <c r="WZX34" s="206"/>
      <c r="WZY34" s="206"/>
      <c r="WZZ34" s="206"/>
      <c r="XAA34" s="206"/>
      <c r="XAB34" s="206"/>
      <c r="XAC34" s="206"/>
      <c r="XAD34" s="206"/>
      <c r="XAE34" s="206"/>
      <c r="XAF34" s="206"/>
      <c r="XAG34" s="206"/>
      <c r="XAH34" s="206"/>
      <c r="XAI34" s="206"/>
      <c r="XAJ34" s="206"/>
      <c r="XAK34" s="206"/>
      <c r="XAL34" s="206"/>
      <c r="XAM34" s="206"/>
      <c r="XAN34" s="206"/>
      <c r="XAO34" s="206"/>
      <c r="XAP34" s="206"/>
      <c r="XAQ34" s="206"/>
      <c r="XAR34" s="206"/>
      <c r="XAS34" s="206"/>
      <c r="XAT34" s="206"/>
      <c r="XAU34" s="206"/>
      <c r="XAV34" s="206"/>
      <c r="XAW34" s="206"/>
      <c r="XAX34" s="206"/>
      <c r="XAY34" s="206"/>
      <c r="XAZ34" s="206"/>
      <c r="XBA34" s="206"/>
      <c r="XBB34" s="206"/>
      <c r="XBC34" s="206"/>
      <c r="XBD34" s="206"/>
      <c r="XBE34" s="206"/>
      <c r="XBF34" s="206"/>
      <c r="XBG34" s="206"/>
      <c r="XBH34" s="206"/>
      <c r="XBI34" s="206"/>
      <c r="XBJ34" s="206"/>
      <c r="XBK34" s="206"/>
      <c r="XBL34" s="206"/>
      <c r="XBM34" s="206"/>
      <c r="XBN34" s="206"/>
      <c r="XBO34" s="206"/>
      <c r="XBP34" s="206"/>
      <c r="XBQ34" s="206"/>
      <c r="XBR34" s="206"/>
      <c r="XBS34" s="206"/>
      <c r="XBT34" s="206"/>
      <c r="XBU34" s="206"/>
      <c r="XBV34" s="206"/>
      <c r="XBW34" s="206"/>
      <c r="XBX34" s="206"/>
      <c r="XBY34" s="206"/>
      <c r="XBZ34" s="206"/>
      <c r="XCA34" s="206"/>
      <c r="XCB34" s="206"/>
      <c r="XCC34" s="206"/>
      <c r="XCD34" s="206"/>
      <c r="XCE34" s="206"/>
      <c r="XCF34" s="206"/>
      <c r="XCG34" s="206"/>
      <c r="XCH34" s="206"/>
      <c r="XCI34" s="206"/>
      <c r="XCJ34" s="206"/>
      <c r="XCK34" s="206"/>
      <c r="XCL34" s="206"/>
      <c r="XCM34" s="206"/>
      <c r="XCN34" s="206"/>
      <c r="XCO34" s="206"/>
      <c r="XCP34" s="206"/>
      <c r="XCQ34" s="206"/>
      <c r="XCR34" s="206"/>
      <c r="XCS34" s="206"/>
      <c r="XCT34" s="206"/>
      <c r="XCU34" s="206"/>
      <c r="XCV34" s="206"/>
      <c r="XCW34" s="206"/>
      <c r="XCX34" s="206"/>
      <c r="XCY34" s="206"/>
      <c r="XCZ34" s="206"/>
      <c r="XDA34" s="206"/>
      <c r="XDB34" s="206"/>
      <c r="XDC34" s="206"/>
      <c r="XDD34" s="206"/>
      <c r="XDE34" s="206"/>
      <c r="XDF34" s="206"/>
      <c r="XDG34" s="206"/>
      <c r="XDH34" s="206"/>
      <c r="XDI34" s="206"/>
      <c r="XDJ34" s="206"/>
      <c r="XDK34" s="206"/>
      <c r="XDL34" s="206"/>
      <c r="XDM34" s="206"/>
      <c r="XDN34" s="206"/>
      <c r="XDO34" s="206"/>
      <c r="XDP34" s="206"/>
      <c r="XDQ34" s="206"/>
      <c r="XDR34" s="206"/>
      <c r="XDS34" s="206"/>
      <c r="XDT34" s="206"/>
      <c r="XDU34" s="206"/>
      <c r="XDV34" s="206"/>
      <c r="XDW34" s="206"/>
      <c r="XDX34" s="206"/>
      <c r="XDY34" s="206"/>
      <c r="XDZ34" s="206"/>
      <c r="XEA34" s="206"/>
      <c r="XEB34" s="206"/>
      <c r="XEC34" s="206"/>
      <c r="XED34" s="206"/>
      <c r="XEE34" s="206"/>
      <c r="XEF34" s="206"/>
      <c r="XEG34" s="206"/>
      <c r="XEH34" s="206"/>
      <c r="XEI34" s="206"/>
      <c r="XEJ34" s="206"/>
      <c r="XEK34" s="206"/>
      <c r="XEL34" s="206"/>
      <c r="XEM34" s="206"/>
      <c r="XEN34" s="206"/>
      <c r="XEO34" s="206"/>
      <c r="XEP34" s="206"/>
      <c r="XEQ34" s="206"/>
      <c r="XER34" s="206"/>
      <c r="XES34" s="206"/>
      <c r="XET34" s="206"/>
      <c r="XEU34" s="206"/>
      <c r="XEV34" s="206"/>
      <c r="XEW34" s="206"/>
      <c r="XEX34" s="206"/>
      <c r="XEY34" s="206"/>
    </row>
    <row r="35" spans="1:16379" s="150" customFormat="1" x14ac:dyDescent="0.25">
      <c r="A35" s="149">
        <v>45717</v>
      </c>
      <c r="B35" s="150" t="s">
        <v>40</v>
      </c>
      <c r="C35" s="150" t="s">
        <v>41</v>
      </c>
      <c r="D35" s="150">
        <v>25708063</v>
      </c>
      <c r="E35" s="150">
        <v>25106587</v>
      </c>
      <c r="F35" s="150" t="s">
        <v>811</v>
      </c>
      <c r="G35" s="151">
        <v>45729</v>
      </c>
      <c r="H35" s="150" t="s">
        <v>203</v>
      </c>
      <c r="I35" s="150" t="s">
        <v>403</v>
      </c>
      <c r="J35" s="150" t="s">
        <v>812</v>
      </c>
      <c r="K35" s="169">
        <v>6.8</v>
      </c>
      <c r="L35" s="169" t="s">
        <v>42</v>
      </c>
      <c r="M35" s="169">
        <v>6.8</v>
      </c>
      <c r="N35" s="169">
        <v>4170023</v>
      </c>
      <c r="O35" s="169">
        <v>28356156.399999999</v>
      </c>
      <c r="P35" s="169">
        <v>28356156.399999999</v>
      </c>
      <c r="Q35" s="169">
        <v>0</v>
      </c>
      <c r="R35" s="169">
        <v>0</v>
      </c>
      <c r="S35" s="169" t="s">
        <v>43</v>
      </c>
      <c r="T35" s="169">
        <v>22189966.510000002</v>
      </c>
      <c r="U35" s="169">
        <v>22189966.510000002</v>
      </c>
      <c r="V35" s="169">
        <v>6166189.8899999997</v>
      </c>
      <c r="W35" s="170">
        <v>0.21745506700600001</v>
      </c>
      <c r="X35" s="169">
        <v>6166189.8899999997</v>
      </c>
      <c r="Y35" s="150" t="s">
        <v>66</v>
      </c>
      <c r="Z35" s="150" t="s">
        <v>44</v>
      </c>
      <c r="AA35" s="150">
        <v>15191</v>
      </c>
      <c r="AB35" s="150" t="s">
        <v>813</v>
      </c>
      <c r="AC35" s="150" t="s">
        <v>56</v>
      </c>
      <c r="AD35" s="150" t="s">
        <v>77</v>
      </c>
      <c r="AE35" s="150">
        <v>0</v>
      </c>
      <c r="AF35" s="150" t="s">
        <v>72</v>
      </c>
      <c r="AG35" s="150" t="s">
        <v>69</v>
      </c>
      <c r="AH35" s="150" t="s">
        <v>46</v>
      </c>
      <c r="AI35" s="150" t="s">
        <v>69</v>
      </c>
      <c r="AJ35" s="150" t="s">
        <v>46</v>
      </c>
      <c r="AK35" s="150" t="s">
        <v>54</v>
      </c>
      <c r="AL35" s="150" t="s">
        <v>48</v>
      </c>
      <c r="AM35" s="150" t="s">
        <v>64</v>
      </c>
      <c r="AN35" s="150" t="str">
        <f>VLOOKUP(I35,Sheet1!A:D,4,FALSE)</f>
        <v>A320400</v>
      </c>
      <c r="AP35" s="150" t="s">
        <v>698</v>
      </c>
      <c r="AR35" s="206" t="s">
        <v>871</v>
      </c>
    </row>
    <row r="36" spans="1:16379" s="206" customFormat="1" x14ac:dyDescent="0.25">
      <c r="A36" s="226">
        <v>45748</v>
      </c>
      <c r="B36" s="206" t="s">
        <v>40</v>
      </c>
      <c r="C36" s="206" t="s">
        <v>41</v>
      </c>
      <c r="D36" s="206">
        <v>25708150</v>
      </c>
      <c r="E36" s="206">
        <v>24106506</v>
      </c>
      <c r="F36" s="206" t="s">
        <v>972</v>
      </c>
      <c r="G36" s="223">
        <v>45771</v>
      </c>
      <c r="H36" s="206" t="s">
        <v>203</v>
      </c>
      <c r="I36" s="206" t="s">
        <v>204</v>
      </c>
      <c r="J36" s="206" t="s">
        <v>205</v>
      </c>
      <c r="K36" s="224">
        <v>100</v>
      </c>
      <c r="L36" s="224" t="s">
        <v>42</v>
      </c>
      <c r="M36" s="224">
        <v>100</v>
      </c>
      <c r="N36" s="224">
        <v>200912.73</v>
      </c>
      <c r="O36" s="224">
        <v>20091273</v>
      </c>
      <c r="P36" s="224">
        <v>20091273</v>
      </c>
      <c r="Q36" s="224">
        <v>0</v>
      </c>
      <c r="R36" s="224">
        <v>0</v>
      </c>
      <c r="S36" s="224" t="s">
        <v>43</v>
      </c>
      <c r="T36" s="224">
        <v>11764568.449999999</v>
      </c>
      <c r="U36" s="224">
        <v>11764568.449999999</v>
      </c>
      <c r="V36" s="224">
        <v>8326704.5499999998</v>
      </c>
      <c r="W36" s="230">
        <v>0.41444385082000001</v>
      </c>
      <c r="X36" s="224">
        <v>8326704.5499999998</v>
      </c>
      <c r="Y36" s="206" t="s">
        <v>101</v>
      </c>
      <c r="Z36" s="206" t="s">
        <v>46</v>
      </c>
      <c r="AA36" s="206">
        <v>2308688</v>
      </c>
      <c r="AB36" s="206" t="s">
        <v>206</v>
      </c>
      <c r="AC36" s="206" t="s">
        <v>56</v>
      </c>
      <c r="AD36" s="206" t="s">
        <v>103</v>
      </c>
      <c r="AE36" s="206">
        <v>0</v>
      </c>
      <c r="AF36" s="206" t="s">
        <v>207</v>
      </c>
      <c r="AG36" s="206" t="s">
        <v>101</v>
      </c>
      <c r="AH36" s="206" t="s">
        <v>46</v>
      </c>
      <c r="AI36" s="206" t="s">
        <v>101</v>
      </c>
      <c r="AJ36" s="206" t="s">
        <v>46</v>
      </c>
      <c r="AK36" s="206" t="s">
        <v>54</v>
      </c>
      <c r="AL36" s="206" t="s">
        <v>48</v>
      </c>
      <c r="AM36" s="206" t="s">
        <v>64</v>
      </c>
      <c r="AN36" s="206" t="str">
        <f>VLOOKUP(I36,Sheet1!A:D,4,FALSE)</f>
        <v>A320400</v>
      </c>
      <c r="AO36" s="133"/>
      <c r="AP36" s="206" t="s">
        <v>698</v>
      </c>
      <c r="AR36" s="133" t="s">
        <v>982</v>
      </c>
    </row>
    <row r="37" spans="1:16379" s="206" customFormat="1" x14ac:dyDescent="0.25">
      <c r="A37" s="226">
        <v>45748</v>
      </c>
      <c r="B37" s="206" t="s">
        <v>40</v>
      </c>
      <c r="C37" s="206" t="s">
        <v>41</v>
      </c>
      <c r="D37" s="206">
        <v>25708151</v>
      </c>
      <c r="E37" s="206">
        <v>24106510</v>
      </c>
      <c r="F37" s="206" t="s">
        <v>973</v>
      </c>
      <c r="G37" s="223">
        <v>45771</v>
      </c>
      <c r="H37" s="206" t="s">
        <v>203</v>
      </c>
      <c r="I37" s="206" t="s">
        <v>226</v>
      </c>
      <c r="J37" s="206" t="s">
        <v>227</v>
      </c>
      <c r="K37" s="224">
        <v>500</v>
      </c>
      <c r="L37" s="224" t="s">
        <v>42</v>
      </c>
      <c r="M37" s="224">
        <v>500</v>
      </c>
      <c r="N37" s="224">
        <v>195850.36</v>
      </c>
      <c r="O37" s="224">
        <v>97925180</v>
      </c>
      <c r="P37" s="224">
        <v>97925180</v>
      </c>
      <c r="Q37" s="224">
        <v>0</v>
      </c>
      <c r="R37" s="224">
        <v>0</v>
      </c>
      <c r="S37" s="224" t="s">
        <v>43</v>
      </c>
      <c r="T37" s="224">
        <v>65480870.25</v>
      </c>
      <c r="U37" s="224">
        <v>65480870.25</v>
      </c>
      <c r="V37" s="224">
        <v>32444309.75</v>
      </c>
      <c r="W37" s="230">
        <v>0.33131733584700002</v>
      </c>
      <c r="X37" s="224">
        <v>32444309.75</v>
      </c>
      <c r="Y37" s="206" t="s">
        <v>101</v>
      </c>
      <c r="Z37" s="206" t="s">
        <v>46</v>
      </c>
      <c r="AA37" s="206">
        <v>2308688</v>
      </c>
      <c r="AB37" s="206" t="s">
        <v>206</v>
      </c>
      <c r="AC37" s="206" t="s">
        <v>56</v>
      </c>
      <c r="AD37" s="206" t="s">
        <v>103</v>
      </c>
      <c r="AE37" s="206">
        <v>0</v>
      </c>
      <c r="AF37" s="206" t="s">
        <v>212</v>
      </c>
      <c r="AG37" s="206" t="s">
        <v>213</v>
      </c>
      <c r="AH37" s="206" t="s">
        <v>57</v>
      </c>
      <c r="AI37" s="206" t="s">
        <v>101</v>
      </c>
      <c r="AJ37" s="206" t="s">
        <v>46</v>
      </c>
      <c r="AK37" s="206" t="s">
        <v>54</v>
      </c>
      <c r="AL37" s="206" t="s">
        <v>48</v>
      </c>
      <c r="AM37" s="206" t="s">
        <v>64</v>
      </c>
      <c r="AN37" s="206" t="str">
        <f>VLOOKUP(I37,Sheet1!A:D,4,FALSE)</f>
        <v>A320400</v>
      </c>
      <c r="AO37" s="133"/>
      <c r="AP37" s="206" t="s">
        <v>698</v>
      </c>
      <c r="AR37" s="133" t="s">
        <v>982</v>
      </c>
    </row>
    <row r="38" spans="1:16379" s="206" customFormat="1" x14ac:dyDescent="0.25">
      <c r="A38" s="226">
        <v>45748</v>
      </c>
      <c r="B38" s="206" t="s">
        <v>40</v>
      </c>
      <c r="C38" s="206" t="s">
        <v>41</v>
      </c>
      <c r="D38" s="206">
        <v>25708152</v>
      </c>
      <c r="E38" s="206">
        <v>24106524</v>
      </c>
      <c r="F38" s="206" t="s">
        <v>974</v>
      </c>
      <c r="G38" s="223">
        <v>45771</v>
      </c>
      <c r="H38" s="206" t="s">
        <v>203</v>
      </c>
      <c r="I38" s="206" t="s">
        <v>226</v>
      </c>
      <c r="J38" s="206" t="s">
        <v>227</v>
      </c>
      <c r="K38" s="224">
        <v>500</v>
      </c>
      <c r="L38" s="224" t="s">
        <v>42</v>
      </c>
      <c r="M38" s="224">
        <v>500</v>
      </c>
      <c r="N38" s="224">
        <v>195850.36</v>
      </c>
      <c r="O38" s="224">
        <v>97925180</v>
      </c>
      <c r="P38" s="224">
        <v>97925180</v>
      </c>
      <c r="Q38" s="224">
        <v>0</v>
      </c>
      <c r="R38" s="224">
        <v>0</v>
      </c>
      <c r="S38" s="224" t="s">
        <v>43</v>
      </c>
      <c r="T38" s="224">
        <v>65480870.25</v>
      </c>
      <c r="U38" s="224">
        <v>65480870.25</v>
      </c>
      <c r="V38" s="224">
        <v>32444309.75</v>
      </c>
      <c r="W38" s="230">
        <v>0.33131733584700002</v>
      </c>
      <c r="X38" s="224">
        <v>32444309.75</v>
      </c>
      <c r="Y38" s="206" t="s">
        <v>101</v>
      </c>
      <c r="Z38" s="206" t="s">
        <v>46</v>
      </c>
      <c r="AA38" s="206">
        <v>15440</v>
      </c>
      <c r="AB38" s="206" t="s">
        <v>211</v>
      </c>
      <c r="AC38" s="206" t="s">
        <v>56</v>
      </c>
      <c r="AD38" s="206" t="s">
        <v>103</v>
      </c>
      <c r="AE38" s="206">
        <v>0</v>
      </c>
      <c r="AF38" s="206" t="s">
        <v>212</v>
      </c>
      <c r="AG38" s="206" t="s">
        <v>213</v>
      </c>
      <c r="AH38" s="206" t="s">
        <v>57</v>
      </c>
      <c r="AI38" s="206" t="s">
        <v>101</v>
      </c>
      <c r="AJ38" s="206" t="s">
        <v>46</v>
      </c>
      <c r="AK38" s="206" t="s">
        <v>54</v>
      </c>
      <c r="AL38" s="206" t="s">
        <v>48</v>
      </c>
      <c r="AM38" s="206" t="s">
        <v>64</v>
      </c>
      <c r="AN38" s="206" t="str">
        <f>VLOOKUP(I38,Sheet1!A:D,4,FALSE)</f>
        <v>A320400</v>
      </c>
      <c r="AO38" s="133"/>
      <c r="AP38" s="206" t="s">
        <v>699</v>
      </c>
      <c r="AR38" s="133" t="s">
        <v>982</v>
      </c>
    </row>
    <row r="39" spans="1:16379" s="206" customFormat="1" x14ac:dyDescent="0.25">
      <c r="A39" s="226">
        <v>45748</v>
      </c>
      <c r="B39" s="206" t="s">
        <v>40</v>
      </c>
      <c r="C39" s="206" t="s">
        <v>41</v>
      </c>
      <c r="D39" s="206">
        <v>25708153</v>
      </c>
      <c r="E39" s="206">
        <v>24106527</v>
      </c>
      <c r="F39" s="206" t="s">
        <v>975</v>
      </c>
      <c r="G39" s="223">
        <v>45771</v>
      </c>
      <c r="H39" s="206" t="s">
        <v>203</v>
      </c>
      <c r="I39" s="206" t="s">
        <v>216</v>
      </c>
      <c r="J39" s="206" t="s">
        <v>217</v>
      </c>
      <c r="K39" s="224">
        <v>40</v>
      </c>
      <c r="L39" s="224" t="s">
        <v>42</v>
      </c>
      <c r="M39" s="224">
        <v>40</v>
      </c>
      <c r="N39" s="224">
        <v>572680.38</v>
      </c>
      <c r="O39" s="224">
        <v>22907215.199999999</v>
      </c>
      <c r="P39" s="224">
        <v>22907215.199999999</v>
      </c>
      <c r="Q39" s="224">
        <v>0</v>
      </c>
      <c r="R39" s="224">
        <v>0</v>
      </c>
      <c r="S39" s="224" t="s">
        <v>43</v>
      </c>
      <c r="T39" s="224">
        <v>11665296.1</v>
      </c>
      <c r="U39" s="224">
        <v>11665296.1</v>
      </c>
      <c r="V39" s="224">
        <v>11241919.1</v>
      </c>
      <c r="W39" s="230">
        <v>0.49075887233900001</v>
      </c>
      <c r="X39" s="224">
        <v>11241919.1</v>
      </c>
      <c r="Y39" s="206" t="s">
        <v>101</v>
      </c>
      <c r="Z39" s="206" t="s">
        <v>46</v>
      </c>
      <c r="AA39" s="206">
        <v>15440</v>
      </c>
      <c r="AB39" s="206" t="s">
        <v>211</v>
      </c>
      <c r="AC39" s="206" t="s">
        <v>56</v>
      </c>
      <c r="AD39" s="206" t="s">
        <v>103</v>
      </c>
      <c r="AE39" s="206">
        <v>0</v>
      </c>
      <c r="AF39" s="206" t="s">
        <v>212</v>
      </c>
      <c r="AG39" s="206" t="s">
        <v>101</v>
      </c>
      <c r="AH39" s="206" t="s">
        <v>46</v>
      </c>
      <c r="AI39" s="206" t="s">
        <v>101</v>
      </c>
      <c r="AJ39" s="206" t="s">
        <v>46</v>
      </c>
      <c r="AK39" s="206" t="s">
        <v>54</v>
      </c>
      <c r="AL39" s="206" t="s">
        <v>48</v>
      </c>
      <c r="AM39" s="206" t="s">
        <v>64</v>
      </c>
      <c r="AN39" s="206" t="str">
        <f>VLOOKUP(I39,Sheet1!A:D,4,FALSE)</f>
        <v>A320400</v>
      </c>
      <c r="AO39" s="133"/>
      <c r="AP39" s="206" t="s">
        <v>699</v>
      </c>
      <c r="AR39" s="133" t="s">
        <v>982</v>
      </c>
    </row>
    <row r="40" spans="1:16379" s="206" customFormat="1" x14ac:dyDescent="0.25">
      <c r="A40" s="226">
        <v>45778</v>
      </c>
      <c r="B40" s="206" t="s">
        <v>40</v>
      </c>
      <c r="C40" s="206" t="s">
        <v>41</v>
      </c>
      <c r="D40" s="206">
        <v>25708233</v>
      </c>
      <c r="E40" s="206">
        <v>24106504</v>
      </c>
      <c r="F40" s="206" t="s">
        <v>1044</v>
      </c>
      <c r="G40" s="223">
        <v>45798</v>
      </c>
      <c r="H40" s="206" t="s">
        <v>203</v>
      </c>
      <c r="I40" s="206" t="s">
        <v>474</v>
      </c>
      <c r="J40" s="206" t="s">
        <v>752</v>
      </c>
      <c r="K40" s="224">
        <v>100</v>
      </c>
      <c r="L40" s="224" t="s">
        <v>42</v>
      </c>
      <c r="M40" s="224">
        <v>100</v>
      </c>
      <c r="N40" s="224">
        <v>803654.11</v>
      </c>
      <c r="O40" s="224">
        <v>80365411</v>
      </c>
      <c r="P40" s="224">
        <v>80365411</v>
      </c>
      <c r="Q40" s="224">
        <v>0</v>
      </c>
      <c r="R40" s="224">
        <v>0</v>
      </c>
      <c r="S40" s="224" t="s">
        <v>43</v>
      </c>
      <c r="T40" s="224">
        <v>70550350.5</v>
      </c>
      <c r="U40" s="224">
        <v>70550350.5</v>
      </c>
      <c r="V40" s="224">
        <v>9815060.5</v>
      </c>
      <c r="W40" s="230">
        <v>0.122130408814</v>
      </c>
      <c r="X40" s="224">
        <v>9815060.5</v>
      </c>
      <c r="Y40" s="206" t="s">
        <v>69</v>
      </c>
      <c r="Z40" s="206" t="s">
        <v>46</v>
      </c>
      <c r="AA40" s="206">
        <v>2308688</v>
      </c>
      <c r="AB40" s="206" t="s">
        <v>813</v>
      </c>
      <c r="AC40" s="206" t="s">
        <v>56</v>
      </c>
      <c r="AD40" s="206" t="s">
        <v>77</v>
      </c>
      <c r="AE40" s="206">
        <v>0</v>
      </c>
      <c r="AF40" s="206" t="s">
        <v>72</v>
      </c>
      <c r="AG40" s="206" t="s">
        <v>69</v>
      </c>
      <c r="AH40" s="206" t="s">
        <v>46</v>
      </c>
      <c r="AI40" s="206" t="s">
        <v>69</v>
      </c>
      <c r="AJ40" s="206" t="s">
        <v>46</v>
      </c>
      <c r="AK40" s="206" t="s">
        <v>54</v>
      </c>
      <c r="AL40" s="206" t="s">
        <v>48</v>
      </c>
      <c r="AM40" s="206" t="s">
        <v>64</v>
      </c>
      <c r="AN40" s="206" t="str">
        <f>VLOOKUP(I40,Sheet1!A:D,4,FALSE)</f>
        <v>A320400</v>
      </c>
      <c r="AO40" s="133"/>
      <c r="AP40" s="206" t="s">
        <v>698</v>
      </c>
      <c r="AR40" s="133" t="s">
        <v>1055</v>
      </c>
    </row>
    <row r="41" spans="1:16379" s="206" customFormat="1" x14ac:dyDescent="0.25">
      <c r="A41" s="226">
        <v>45778</v>
      </c>
      <c r="B41" s="206" t="s">
        <v>40</v>
      </c>
      <c r="C41" s="206" t="s">
        <v>41</v>
      </c>
      <c r="D41" s="206">
        <v>25708234</v>
      </c>
      <c r="E41" s="206">
        <v>25106653</v>
      </c>
      <c r="F41" s="206" t="s">
        <v>1045</v>
      </c>
      <c r="G41" s="223">
        <v>45798</v>
      </c>
      <c r="H41" s="206" t="s">
        <v>203</v>
      </c>
      <c r="I41" s="206" t="s">
        <v>122</v>
      </c>
      <c r="J41" s="206" t="s">
        <v>123</v>
      </c>
      <c r="K41" s="224">
        <v>20</v>
      </c>
      <c r="L41" s="224" t="s">
        <v>42</v>
      </c>
      <c r="M41" s="224">
        <v>20</v>
      </c>
      <c r="N41" s="224">
        <v>460445.57</v>
      </c>
      <c r="O41" s="224">
        <v>9208911.4000000004</v>
      </c>
      <c r="P41" s="224">
        <v>9208911.4000000004</v>
      </c>
      <c r="Q41" s="224">
        <v>0</v>
      </c>
      <c r="R41" s="224">
        <v>0</v>
      </c>
      <c r="S41" s="224" t="s">
        <v>43</v>
      </c>
      <c r="T41" s="224">
        <v>4803127.0599999996</v>
      </c>
      <c r="U41" s="224">
        <v>4803127.0599999996</v>
      </c>
      <c r="V41" s="224">
        <v>4405784.34</v>
      </c>
      <c r="W41" s="230">
        <v>0.47842618401100001</v>
      </c>
      <c r="X41" s="224">
        <v>4405784.34</v>
      </c>
      <c r="Y41" s="206" t="s">
        <v>69</v>
      </c>
      <c r="Z41" s="206" t="s">
        <v>46</v>
      </c>
      <c r="AA41" s="206">
        <v>2308688</v>
      </c>
      <c r="AB41" s="206" t="s">
        <v>813</v>
      </c>
      <c r="AC41" s="206" t="s">
        <v>56</v>
      </c>
      <c r="AD41" s="206" t="s">
        <v>77</v>
      </c>
      <c r="AE41" s="206">
        <v>0</v>
      </c>
      <c r="AF41" s="206" t="s">
        <v>124</v>
      </c>
      <c r="AG41" s="206" t="s">
        <v>81</v>
      </c>
      <c r="AH41" s="206" t="s">
        <v>57</v>
      </c>
      <c r="AI41" s="206" t="s">
        <v>69</v>
      </c>
      <c r="AJ41" s="206" t="s">
        <v>46</v>
      </c>
      <c r="AK41" s="206" t="s">
        <v>54</v>
      </c>
      <c r="AL41" s="206" t="s">
        <v>48</v>
      </c>
      <c r="AM41" s="206" t="s">
        <v>64</v>
      </c>
      <c r="AN41" s="206" t="str">
        <f>VLOOKUP(I41,Sheet1!A:D,4,FALSE)</f>
        <v>A320400</v>
      </c>
      <c r="AO41" s="133"/>
      <c r="AP41" s="206" t="s">
        <v>698</v>
      </c>
      <c r="AR41" s="133" t="s">
        <v>1055</v>
      </c>
    </row>
    <row r="42" spans="1:16379" s="206" customFormat="1" x14ac:dyDescent="0.25">
      <c r="A42" s="226">
        <v>45778</v>
      </c>
      <c r="B42" s="206" t="s">
        <v>40</v>
      </c>
      <c r="C42" s="206" t="s">
        <v>41</v>
      </c>
      <c r="D42" s="206">
        <v>25708235</v>
      </c>
      <c r="E42" s="206">
        <v>25106654</v>
      </c>
      <c r="F42" s="206" t="s">
        <v>1046</v>
      </c>
      <c r="G42" s="223">
        <v>45798</v>
      </c>
      <c r="H42" s="206" t="s">
        <v>203</v>
      </c>
      <c r="I42" s="206" t="s">
        <v>220</v>
      </c>
      <c r="J42" s="206" t="s">
        <v>866</v>
      </c>
      <c r="K42" s="224">
        <v>1</v>
      </c>
      <c r="L42" s="224" t="s">
        <v>42</v>
      </c>
      <c r="M42" s="224">
        <v>1</v>
      </c>
      <c r="N42" s="224">
        <v>6902268.7400000002</v>
      </c>
      <c r="O42" s="224">
        <v>6902268.7400000002</v>
      </c>
      <c r="P42" s="224">
        <v>6902268.7400000002</v>
      </c>
      <c r="Q42" s="224">
        <v>0</v>
      </c>
      <c r="R42" s="224">
        <v>0</v>
      </c>
      <c r="S42" s="224" t="s">
        <v>43</v>
      </c>
      <c r="T42" s="224">
        <v>2653917.2799999998</v>
      </c>
      <c r="U42" s="224">
        <v>2653917.2799999998</v>
      </c>
      <c r="V42" s="224">
        <v>4248351.46</v>
      </c>
      <c r="W42" s="230">
        <v>0.61550073171999997</v>
      </c>
      <c r="X42" s="224">
        <v>4248351.46</v>
      </c>
      <c r="Y42" s="206" t="s">
        <v>66</v>
      </c>
      <c r="Z42" s="206" t="s">
        <v>44</v>
      </c>
      <c r="AA42" s="206">
        <v>15191</v>
      </c>
      <c r="AB42" s="206" t="s">
        <v>813</v>
      </c>
      <c r="AC42" s="206" t="s">
        <v>56</v>
      </c>
      <c r="AD42" s="206" t="s">
        <v>77</v>
      </c>
      <c r="AE42" s="206">
        <v>0</v>
      </c>
      <c r="AF42" s="206" t="s">
        <v>72</v>
      </c>
      <c r="AG42" s="206" t="s">
        <v>69</v>
      </c>
      <c r="AH42" s="206" t="s">
        <v>46</v>
      </c>
      <c r="AI42" s="206" t="s">
        <v>69</v>
      </c>
      <c r="AJ42" s="206" t="s">
        <v>46</v>
      </c>
      <c r="AK42" s="206" t="s">
        <v>54</v>
      </c>
      <c r="AL42" s="206" t="s">
        <v>48</v>
      </c>
      <c r="AM42" s="206" t="s">
        <v>64</v>
      </c>
      <c r="AN42" s="206" t="str">
        <f>VLOOKUP(I42,Sheet1!A:D,4,FALSE)</f>
        <v>A320400</v>
      </c>
      <c r="AP42" s="206" t="s">
        <v>698</v>
      </c>
      <c r="AR42" s="133" t="s">
        <v>1055</v>
      </c>
    </row>
    <row r="43" spans="1:16379" s="206" customFormat="1" x14ac:dyDescent="0.25">
      <c r="A43" s="226">
        <v>45778</v>
      </c>
      <c r="B43" s="206" t="s">
        <v>40</v>
      </c>
      <c r="C43" s="206" t="s">
        <v>41</v>
      </c>
      <c r="D43" s="206">
        <v>25708236</v>
      </c>
      <c r="E43" s="206">
        <v>25106655</v>
      </c>
      <c r="F43" s="206" t="s">
        <v>1047</v>
      </c>
      <c r="G43" s="223">
        <v>45798</v>
      </c>
      <c r="H43" s="206" t="s">
        <v>203</v>
      </c>
      <c r="I43" s="206" t="s">
        <v>223</v>
      </c>
      <c r="J43" s="206" t="s">
        <v>864</v>
      </c>
      <c r="K43" s="224">
        <v>1</v>
      </c>
      <c r="L43" s="224" t="s">
        <v>42</v>
      </c>
      <c r="M43" s="224">
        <v>1</v>
      </c>
      <c r="N43" s="224">
        <v>11236441.560000001</v>
      </c>
      <c r="O43" s="224">
        <v>11236441.560000001</v>
      </c>
      <c r="P43" s="224">
        <v>11236441.560000001</v>
      </c>
      <c r="Q43" s="224">
        <v>0</v>
      </c>
      <c r="R43" s="224">
        <v>0</v>
      </c>
      <c r="S43" s="224" t="s">
        <v>43</v>
      </c>
      <c r="T43" s="224">
        <v>5523883.7999999998</v>
      </c>
      <c r="U43" s="224">
        <v>5523883.7999999998</v>
      </c>
      <c r="V43" s="224">
        <v>5712557.7599999998</v>
      </c>
      <c r="W43" s="230">
        <v>0.50839562769900004</v>
      </c>
      <c r="X43" s="224">
        <v>5712557.7599999998</v>
      </c>
      <c r="Y43" s="206" t="s">
        <v>66</v>
      </c>
      <c r="Z43" s="206" t="s">
        <v>44</v>
      </c>
      <c r="AA43" s="206">
        <v>15191</v>
      </c>
      <c r="AB43" s="206" t="s">
        <v>813</v>
      </c>
      <c r="AC43" s="206" t="s">
        <v>56</v>
      </c>
      <c r="AD43" s="206" t="s">
        <v>77</v>
      </c>
      <c r="AE43" s="206">
        <v>0</v>
      </c>
      <c r="AF43" s="206" t="s">
        <v>72</v>
      </c>
      <c r="AG43" s="206" t="s">
        <v>69</v>
      </c>
      <c r="AH43" s="206" t="s">
        <v>46</v>
      </c>
      <c r="AI43" s="206" t="s">
        <v>69</v>
      </c>
      <c r="AJ43" s="206" t="s">
        <v>46</v>
      </c>
      <c r="AK43" s="206" t="s">
        <v>54</v>
      </c>
      <c r="AL43" s="206" t="s">
        <v>48</v>
      </c>
      <c r="AM43" s="206" t="s">
        <v>64</v>
      </c>
      <c r="AN43" s="206" t="str">
        <f>VLOOKUP(I43,Sheet1!A:D,4,FALSE)</f>
        <v>A320400</v>
      </c>
      <c r="AP43" s="206" t="s">
        <v>698</v>
      </c>
      <c r="AR43" s="133" t="s">
        <v>1055</v>
      </c>
    </row>
    <row r="44" spans="1:16379" s="206" customFormat="1" x14ac:dyDescent="0.25">
      <c r="A44" s="226">
        <v>45778</v>
      </c>
      <c r="B44" s="206" t="s">
        <v>40</v>
      </c>
      <c r="C44" s="206" t="s">
        <v>41</v>
      </c>
      <c r="D44" s="206">
        <v>25708237</v>
      </c>
      <c r="E44" s="206">
        <v>25106656</v>
      </c>
      <c r="F44" s="206" t="s">
        <v>1048</v>
      </c>
      <c r="G44" s="223">
        <v>45798</v>
      </c>
      <c r="H44" s="206" t="s">
        <v>203</v>
      </c>
      <c r="I44" s="206" t="s">
        <v>216</v>
      </c>
      <c r="J44" s="206" t="s">
        <v>861</v>
      </c>
      <c r="K44" s="224">
        <v>40</v>
      </c>
      <c r="L44" s="224" t="s">
        <v>42</v>
      </c>
      <c r="M44" s="224">
        <v>40</v>
      </c>
      <c r="N44" s="224">
        <v>591908.01</v>
      </c>
      <c r="O44" s="224">
        <v>23676320.399999999</v>
      </c>
      <c r="P44" s="224">
        <v>23676320.399999999</v>
      </c>
      <c r="Q44" s="224">
        <v>0</v>
      </c>
      <c r="R44" s="224">
        <v>0</v>
      </c>
      <c r="S44" s="224" t="s">
        <v>43</v>
      </c>
      <c r="T44" s="224">
        <v>12207024.880000001</v>
      </c>
      <c r="U44" s="224">
        <v>12207024.880000001</v>
      </c>
      <c r="V44" s="224">
        <v>11469295.52</v>
      </c>
      <c r="W44" s="230">
        <v>0.48442052338500002</v>
      </c>
      <c r="X44" s="224">
        <v>11469295.52</v>
      </c>
      <c r="Y44" s="206" t="s">
        <v>69</v>
      </c>
      <c r="Z44" s="206" t="s">
        <v>46</v>
      </c>
      <c r="AA44" s="206">
        <v>2308688</v>
      </c>
      <c r="AB44" s="206" t="s">
        <v>813</v>
      </c>
      <c r="AC44" s="206" t="s">
        <v>56</v>
      </c>
      <c r="AD44" s="206" t="s">
        <v>77</v>
      </c>
      <c r="AE44" s="206">
        <v>0</v>
      </c>
      <c r="AF44" s="206" t="s">
        <v>124</v>
      </c>
      <c r="AG44" s="206" t="s">
        <v>69</v>
      </c>
      <c r="AH44" s="206" t="s">
        <v>46</v>
      </c>
      <c r="AI44" s="206" t="s">
        <v>69</v>
      </c>
      <c r="AJ44" s="206" t="s">
        <v>46</v>
      </c>
      <c r="AK44" s="206" t="s">
        <v>54</v>
      </c>
      <c r="AL44" s="206" t="s">
        <v>48</v>
      </c>
      <c r="AM44" s="206" t="s">
        <v>64</v>
      </c>
      <c r="AN44" s="206" t="str">
        <f>VLOOKUP(I44,Sheet1!A:D,4,FALSE)</f>
        <v>A320400</v>
      </c>
      <c r="AP44" s="206" t="s">
        <v>698</v>
      </c>
      <c r="AR44" s="133" t="s">
        <v>1055</v>
      </c>
    </row>
    <row r="45" spans="1:16379" s="206" customFormat="1" x14ac:dyDescent="0.25">
      <c r="A45" s="226">
        <v>45778</v>
      </c>
      <c r="B45" s="206" t="s">
        <v>40</v>
      </c>
      <c r="C45" s="206" t="s">
        <v>41</v>
      </c>
      <c r="D45" s="206">
        <v>25708238</v>
      </c>
      <c r="E45" s="206">
        <v>25106657</v>
      </c>
      <c r="F45" s="206" t="s">
        <v>1049</v>
      </c>
      <c r="G45" s="223">
        <v>45798</v>
      </c>
      <c r="H45" s="206" t="s">
        <v>203</v>
      </c>
      <c r="I45" s="206" t="s">
        <v>209</v>
      </c>
      <c r="J45" s="206" t="s">
        <v>868</v>
      </c>
      <c r="K45" s="224">
        <v>8</v>
      </c>
      <c r="L45" s="224" t="s">
        <v>42</v>
      </c>
      <c r="M45" s="224">
        <v>8</v>
      </c>
      <c r="N45" s="224">
        <v>953266.22</v>
      </c>
      <c r="O45" s="224">
        <v>7626129.7599999998</v>
      </c>
      <c r="P45" s="224">
        <v>7626129.7599999998</v>
      </c>
      <c r="Q45" s="224">
        <v>0</v>
      </c>
      <c r="R45" s="224">
        <v>0</v>
      </c>
      <c r="S45" s="224" t="s">
        <v>43</v>
      </c>
      <c r="T45" s="224">
        <v>5398260.8799999999</v>
      </c>
      <c r="U45" s="224">
        <v>5398260.8799999999</v>
      </c>
      <c r="V45" s="224">
        <v>2227868.88</v>
      </c>
      <c r="W45" s="230">
        <v>0.29213624080700001</v>
      </c>
      <c r="X45" s="224">
        <v>2227868.88</v>
      </c>
      <c r="Y45" s="206" t="s">
        <v>69</v>
      </c>
      <c r="Z45" s="206" t="s">
        <v>46</v>
      </c>
      <c r="AA45" s="206">
        <v>2308688</v>
      </c>
      <c r="AB45" s="206" t="s">
        <v>813</v>
      </c>
      <c r="AC45" s="206" t="s">
        <v>56</v>
      </c>
      <c r="AD45" s="206" t="s">
        <v>77</v>
      </c>
      <c r="AE45" s="206">
        <v>0</v>
      </c>
      <c r="AF45" s="206" t="s">
        <v>124</v>
      </c>
      <c r="AG45" s="206" t="s">
        <v>81</v>
      </c>
      <c r="AH45" s="206" t="s">
        <v>57</v>
      </c>
      <c r="AI45" s="206" t="s">
        <v>69</v>
      </c>
      <c r="AJ45" s="206" t="s">
        <v>46</v>
      </c>
      <c r="AK45" s="206" t="s">
        <v>54</v>
      </c>
      <c r="AL45" s="206" t="s">
        <v>48</v>
      </c>
      <c r="AM45" s="206" t="s">
        <v>64</v>
      </c>
      <c r="AN45" s="206" t="str">
        <f>VLOOKUP(I45,Sheet1!A:D,4,FALSE)</f>
        <v>A320400</v>
      </c>
      <c r="AP45" s="206" t="s">
        <v>698</v>
      </c>
      <c r="AR45" s="133" t="s">
        <v>1055</v>
      </c>
    </row>
    <row r="46" spans="1:16379" s="206" customFormat="1" x14ac:dyDescent="0.25">
      <c r="A46" s="226">
        <v>45778</v>
      </c>
      <c r="B46" s="206" t="s">
        <v>40</v>
      </c>
      <c r="C46" s="206" t="s">
        <v>41</v>
      </c>
      <c r="D46" s="206">
        <v>25708241</v>
      </c>
      <c r="E46" s="206">
        <v>24106507</v>
      </c>
      <c r="F46" s="206" t="s">
        <v>1050</v>
      </c>
      <c r="G46" s="223">
        <v>45798</v>
      </c>
      <c r="H46" s="206" t="s">
        <v>203</v>
      </c>
      <c r="I46" s="206" t="s">
        <v>204</v>
      </c>
      <c r="J46" s="206" t="s">
        <v>706</v>
      </c>
      <c r="K46" s="224">
        <v>100</v>
      </c>
      <c r="L46" s="224" t="s">
        <v>42</v>
      </c>
      <c r="M46" s="224">
        <v>100</v>
      </c>
      <c r="N46" s="224">
        <v>207658.34</v>
      </c>
      <c r="O46" s="224">
        <v>20765834</v>
      </c>
      <c r="P46" s="224">
        <v>20765834</v>
      </c>
      <c r="Q46" s="224">
        <v>0</v>
      </c>
      <c r="R46" s="224">
        <v>0</v>
      </c>
      <c r="S46" s="224" t="s">
        <v>43</v>
      </c>
      <c r="T46" s="224">
        <v>15198430.130000001</v>
      </c>
      <c r="U46" s="224">
        <v>15198430.130000001</v>
      </c>
      <c r="V46" s="224">
        <v>5567403.8700000001</v>
      </c>
      <c r="W46" s="230">
        <v>0.26810403425099999</v>
      </c>
      <c r="X46" s="224">
        <v>5567403.8700000001</v>
      </c>
      <c r="Y46" s="206" t="s">
        <v>69</v>
      </c>
      <c r="Z46" s="206" t="s">
        <v>46</v>
      </c>
      <c r="AA46" s="206">
        <v>2308688</v>
      </c>
      <c r="AB46" s="206" t="s">
        <v>813</v>
      </c>
      <c r="AC46" s="206" t="s">
        <v>56</v>
      </c>
      <c r="AD46" s="206" t="s">
        <v>77</v>
      </c>
      <c r="AE46" s="206">
        <v>0</v>
      </c>
      <c r="AF46" s="206" t="s">
        <v>72</v>
      </c>
      <c r="AG46" s="206" t="s">
        <v>69</v>
      </c>
      <c r="AH46" s="206" t="s">
        <v>46</v>
      </c>
      <c r="AI46" s="206" t="s">
        <v>69</v>
      </c>
      <c r="AJ46" s="206" t="s">
        <v>46</v>
      </c>
      <c r="AK46" s="206" t="s">
        <v>54</v>
      </c>
      <c r="AL46" s="206" t="s">
        <v>48</v>
      </c>
      <c r="AM46" s="206" t="s">
        <v>64</v>
      </c>
      <c r="AN46" s="206" t="str">
        <f>VLOOKUP(I46,Sheet1!A:D,4,FALSE)</f>
        <v>A320400</v>
      </c>
      <c r="AP46" s="206" t="s">
        <v>698</v>
      </c>
      <c r="AR46" s="133" t="s">
        <v>1055</v>
      </c>
    </row>
    <row r="47" spans="1:16379" s="206" customFormat="1" x14ac:dyDescent="0.25">
      <c r="A47" s="226">
        <v>45778</v>
      </c>
      <c r="B47" s="206" t="s">
        <v>40</v>
      </c>
      <c r="C47" s="206" t="s">
        <v>41</v>
      </c>
      <c r="D47" s="206">
        <v>25708242</v>
      </c>
      <c r="E47" s="206">
        <v>24106511</v>
      </c>
      <c r="F47" s="206" t="s">
        <v>1051</v>
      </c>
      <c r="G47" s="223">
        <v>45798</v>
      </c>
      <c r="H47" s="206" t="s">
        <v>203</v>
      </c>
      <c r="I47" s="206" t="s">
        <v>226</v>
      </c>
      <c r="J47" s="206" t="s">
        <v>936</v>
      </c>
      <c r="K47" s="224">
        <v>500</v>
      </c>
      <c r="L47" s="224" t="s">
        <v>42</v>
      </c>
      <c r="M47" s="224">
        <v>500</v>
      </c>
      <c r="N47" s="224">
        <v>202426</v>
      </c>
      <c r="O47" s="224">
        <v>101213000</v>
      </c>
      <c r="P47" s="224">
        <v>101213000</v>
      </c>
      <c r="Q47" s="224">
        <v>0</v>
      </c>
      <c r="R47" s="224">
        <v>0</v>
      </c>
      <c r="S47" s="224" t="s">
        <v>43</v>
      </c>
      <c r="T47" s="224">
        <v>69685289.730000004</v>
      </c>
      <c r="U47" s="224">
        <v>69685289.730000004</v>
      </c>
      <c r="V47" s="224">
        <v>31527710.27</v>
      </c>
      <c r="W47" s="230">
        <v>0.31149862438600001</v>
      </c>
      <c r="X47" s="224">
        <v>31527710.27</v>
      </c>
      <c r="Y47" s="206" t="s">
        <v>69</v>
      </c>
      <c r="Z47" s="206" t="s">
        <v>46</v>
      </c>
      <c r="AA47" s="206">
        <v>2308688</v>
      </c>
      <c r="AB47" s="206" t="s">
        <v>813</v>
      </c>
      <c r="AC47" s="206" t="s">
        <v>56</v>
      </c>
      <c r="AD47" s="206" t="s">
        <v>77</v>
      </c>
      <c r="AE47" s="206">
        <v>0</v>
      </c>
      <c r="AF47" s="206" t="s">
        <v>124</v>
      </c>
      <c r="AG47" s="206" t="s">
        <v>81</v>
      </c>
      <c r="AH47" s="206" t="s">
        <v>57</v>
      </c>
      <c r="AI47" s="206" t="s">
        <v>69</v>
      </c>
      <c r="AJ47" s="206" t="s">
        <v>46</v>
      </c>
      <c r="AK47" s="206" t="s">
        <v>54</v>
      </c>
      <c r="AL47" s="206" t="s">
        <v>48</v>
      </c>
      <c r="AM47" s="206" t="s">
        <v>64</v>
      </c>
      <c r="AN47" s="206" t="str">
        <f>VLOOKUP(I47,Sheet1!A:D,4,FALSE)</f>
        <v>A320400</v>
      </c>
      <c r="AP47" s="206" t="s">
        <v>698</v>
      </c>
      <c r="AR47" s="133" t="s">
        <v>1055</v>
      </c>
    </row>
    <row r="48" spans="1:16379" s="206" customFormat="1" x14ac:dyDescent="0.25">
      <c r="A48" s="222">
        <v>45809</v>
      </c>
      <c r="B48" s="206" t="s">
        <v>40</v>
      </c>
      <c r="C48" s="206" t="s">
        <v>41</v>
      </c>
      <c r="D48" s="206">
        <v>25708278</v>
      </c>
      <c r="E48" s="206">
        <v>25106701</v>
      </c>
      <c r="F48" s="206" t="s">
        <v>1073</v>
      </c>
      <c r="G48" s="223">
        <v>45820</v>
      </c>
      <c r="H48" s="206" t="s">
        <v>203</v>
      </c>
      <c r="I48" s="206" t="s">
        <v>209</v>
      </c>
      <c r="J48" s="206" t="s">
        <v>868</v>
      </c>
      <c r="K48" s="224">
        <v>8</v>
      </c>
      <c r="L48" s="224" t="s">
        <v>42</v>
      </c>
      <c r="M48" s="224">
        <v>8</v>
      </c>
      <c r="N48" s="224">
        <v>959366.14</v>
      </c>
      <c r="O48" s="224">
        <v>7674929.1200000001</v>
      </c>
      <c r="P48" s="224">
        <v>7674929.1200000001</v>
      </c>
      <c r="Q48" s="224">
        <v>0</v>
      </c>
      <c r="R48" s="224">
        <v>0</v>
      </c>
      <c r="S48" s="224" t="s">
        <v>43</v>
      </c>
      <c r="T48" s="224">
        <v>5398260.8799999999</v>
      </c>
      <c r="U48" s="224">
        <v>5398260.8799999999</v>
      </c>
      <c r="V48" s="224">
        <v>2276668.2400000002</v>
      </c>
      <c r="W48" s="230">
        <v>0.29663703786700002</v>
      </c>
      <c r="X48" s="224">
        <v>2276668.2400000002</v>
      </c>
      <c r="Y48" s="206" t="s">
        <v>69</v>
      </c>
      <c r="Z48" s="206" t="s">
        <v>46</v>
      </c>
      <c r="AA48" s="206">
        <v>2308688</v>
      </c>
      <c r="AB48" s="206" t="s">
        <v>813</v>
      </c>
      <c r="AC48" s="206" t="s">
        <v>56</v>
      </c>
      <c r="AD48" s="206" t="s">
        <v>77</v>
      </c>
      <c r="AE48" s="206">
        <v>0</v>
      </c>
      <c r="AF48" s="206" t="s">
        <v>124</v>
      </c>
      <c r="AG48" s="206" t="s">
        <v>81</v>
      </c>
      <c r="AH48" s="206" t="s">
        <v>57</v>
      </c>
      <c r="AI48" s="206" t="s">
        <v>69</v>
      </c>
      <c r="AJ48" s="206" t="s">
        <v>46</v>
      </c>
      <c r="AK48" s="206" t="s">
        <v>54</v>
      </c>
      <c r="AL48" s="206" t="s">
        <v>48</v>
      </c>
      <c r="AM48" s="206" t="s">
        <v>64</v>
      </c>
      <c r="AN48" s="206" t="str">
        <f>VLOOKUP(I48,Sheet1!A:D,4,FALSE)</f>
        <v>A320400</v>
      </c>
      <c r="AP48" s="206" t="s">
        <v>698</v>
      </c>
      <c r="AR48" s="133" t="s">
        <v>1080</v>
      </c>
    </row>
    <row r="49" spans="1:44" s="206" customFormat="1" x14ac:dyDescent="0.25">
      <c r="A49" s="222">
        <v>45809</v>
      </c>
      <c r="B49" s="206" t="s">
        <v>40</v>
      </c>
      <c r="C49" s="206" t="s">
        <v>41</v>
      </c>
      <c r="D49" s="206">
        <v>25708279</v>
      </c>
      <c r="E49" s="206">
        <v>25106702</v>
      </c>
      <c r="F49" s="206" t="s">
        <v>1074</v>
      </c>
      <c r="G49" s="223">
        <v>45820</v>
      </c>
      <c r="H49" s="206" t="s">
        <v>203</v>
      </c>
      <c r="I49" s="206" t="s">
        <v>122</v>
      </c>
      <c r="J49" s="206" t="s">
        <v>123</v>
      </c>
      <c r="K49" s="224">
        <v>20</v>
      </c>
      <c r="L49" s="224" t="s">
        <v>42</v>
      </c>
      <c r="M49" s="224">
        <v>20</v>
      </c>
      <c r="N49" s="224">
        <v>463391.95</v>
      </c>
      <c r="O49" s="224">
        <v>9267839</v>
      </c>
      <c r="P49" s="224">
        <v>9267839</v>
      </c>
      <c r="Q49" s="224">
        <v>0</v>
      </c>
      <c r="R49" s="224">
        <v>0</v>
      </c>
      <c r="S49" s="224" t="s">
        <v>43</v>
      </c>
      <c r="T49" s="224">
        <v>4532790</v>
      </c>
      <c r="U49" s="224">
        <v>4532790</v>
      </c>
      <c r="V49" s="224">
        <v>4735049</v>
      </c>
      <c r="W49" s="230">
        <v>0.51091187492500001</v>
      </c>
      <c r="X49" s="224">
        <v>4735049</v>
      </c>
      <c r="Y49" s="206" t="s">
        <v>69</v>
      </c>
      <c r="Z49" s="206" t="s">
        <v>46</v>
      </c>
      <c r="AA49" s="206">
        <v>2308688</v>
      </c>
      <c r="AB49" s="206" t="s">
        <v>813</v>
      </c>
      <c r="AC49" s="206" t="s">
        <v>56</v>
      </c>
      <c r="AD49" s="206" t="s">
        <v>77</v>
      </c>
      <c r="AE49" s="206">
        <v>0</v>
      </c>
      <c r="AF49" s="206" t="s">
        <v>124</v>
      </c>
      <c r="AG49" s="206" t="s">
        <v>81</v>
      </c>
      <c r="AH49" s="206" t="s">
        <v>57</v>
      </c>
      <c r="AI49" s="206" t="s">
        <v>69</v>
      </c>
      <c r="AJ49" s="206" t="s">
        <v>46</v>
      </c>
      <c r="AK49" s="206" t="s">
        <v>54</v>
      </c>
      <c r="AL49" s="206" t="s">
        <v>48</v>
      </c>
      <c r="AM49" s="206" t="s">
        <v>64</v>
      </c>
      <c r="AN49" s="206" t="str">
        <f>VLOOKUP(I49,Sheet1!A:D,4,FALSE)</f>
        <v>A320400</v>
      </c>
      <c r="AP49" s="206" t="s">
        <v>698</v>
      </c>
      <c r="AR49" s="133" t="s">
        <v>1080</v>
      </c>
    </row>
    <row r="50" spans="1:44" s="206" customFormat="1" x14ac:dyDescent="0.25">
      <c r="A50" s="222">
        <v>45809</v>
      </c>
      <c r="B50" s="206" t="s">
        <v>40</v>
      </c>
      <c r="C50" s="206" t="s">
        <v>41</v>
      </c>
      <c r="D50" s="206">
        <v>25708280</v>
      </c>
      <c r="E50" s="206">
        <v>25106703</v>
      </c>
      <c r="F50" s="206" t="s">
        <v>1075</v>
      </c>
      <c r="G50" s="223">
        <v>45820</v>
      </c>
      <c r="H50" s="206" t="s">
        <v>203</v>
      </c>
      <c r="I50" s="206" t="s">
        <v>216</v>
      </c>
      <c r="J50" s="206" t="s">
        <v>861</v>
      </c>
      <c r="K50" s="224">
        <v>40</v>
      </c>
      <c r="L50" s="224" t="s">
        <v>42</v>
      </c>
      <c r="M50" s="224">
        <v>40</v>
      </c>
      <c r="N50" s="224">
        <v>595695.62</v>
      </c>
      <c r="O50" s="224">
        <v>23827824.800000001</v>
      </c>
      <c r="P50" s="224">
        <v>23827824.800000001</v>
      </c>
      <c r="Q50" s="224">
        <v>0</v>
      </c>
      <c r="R50" s="224">
        <v>0</v>
      </c>
      <c r="S50" s="224" t="s">
        <v>43</v>
      </c>
      <c r="T50" s="224">
        <v>12207024.880000001</v>
      </c>
      <c r="U50" s="224">
        <v>12207024.880000001</v>
      </c>
      <c r="V50" s="224">
        <v>11620799.92</v>
      </c>
      <c r="W50" s="230">
        <v>0.48769873110700002</v>
      </c>
      <c r="X50" s="224">
        <v>11620799.92</v>
      </c>
      <c r="Y50" s="206" t="s">
        <v>69</v>
      </c>
      <c r="Z50" s="206" t="s">
        <v>46</v>
      </c>
      <c r="AA50" s="206">
        <v>2308688</v>
      </c>
      <c r="AB50" s="206" t="s">
        <v>813</v>
      </c>
      <c r="AC50" s="206" t="s">
        <v>56</v>
      </c>
      <c r="AD50" s="206" t="s">
        <v>77</v>
      </c>
      <c r="AE50" s="206">
        <v>0</v>
      </c>
      <c r="AF50" s="206" t="s">
        <v>124</v>
      </c>
      <c r="AG50" s="206" t="s">
        <v>69</v>
      </c>
      <c r="AH50" s="206" t="s">
        <v>46</v>
      </c>
      <c r="AI50" s="206" t="s">
        <v>69</v>
      </c>
      <c r="AJ50" s="206" t="s">
        <v>46</v>
      </c>
      <c r="AK50" s="206" t="s">
        <v>54</v>
      </c>
      <c r="AL50" s="206" t="s">
        <v>48</v>
      </c>
      <c r="AM50" s="206" t="s">
        <v>64</v>
      </c>
      <c r="AN50" s="206" t="str">
        <f>VLOOKUP(I50,Sheet1!A:D,4,FALSE)</f>
        <v>A320400</v>
      </c>
      <c r="AP50" s="206" t="s">
        <v>698</v>
      </c>
      <c r="AR50" s="133" t="s">
        <v>1080</v>
      </c>
    </row>
    <row r="51" spans="1:44" s="206" customFormat="1" x14ac:dyDescent="0.25">
      <c r="A51" s="222">
        <v>45809</v>
      </c>
      <c r="B51" s="206" t="s">
        <v>40</v>
      </c>
      <c r="C51" s="206" t="s">
        <v>41</v>
      </c>
      <c r="D51" s="206">
        <v>25708281</v>
      </c>
      <c r="E51" s="206">
        <v>25106704</v>
      </c>
      <c r="F51" s="206" t="s">
        <v>1076</v>
      </c>
      <c r="G51" s="223">
        <v>45820</v>
      </c>
      <c r="H51" s="206" t="s">
        <v>203</v>
      </c>
      <c r="I51" s="206" t="s">
        <v>216</v>
      </c>
      <c r="J51" s="206" t="s">
        <v>861</v>
      </c>
      <c r="K51" s="224">
        <v>40</v>
      </c>
      <c r="L51" s="224" t="s">
        <v>42</v>
      </c>
      <c r="M51" s="224">
        <v>40</v>
      </c>
      <c r="N51" s="224">
        <v>595695.62</v>
      </c>
      <c r="O51" s="224">
        <v>23827824.800000001</v>
      </c>
      <c r="P51" s="224">
        <v>23827824.800000001</v>
      </c>
      <c r="Q51" s="224">
        <v>0</v>
      </c>
      <c r="R51" s="224">
        <v>0</v>
      </c>
      <c r="S51" s="224" t="s">
        <v>43</v>
      </c>
      <c r="T51" s="224">
        <v>12207024.880000001</v>
      </c>
      <c r="U51" s="224">
        <v>12207024.880000001</v>
      </c>
      <c r="V51" s="224">
        <v>11620799.92</v>
      </c>
      <c r="W51" s="230">
        <v>0.48769873110700002</v>
      </c>
      <c r="X51" s="224">
        <v>11620799.92</v>
      </c>
      <c r="Y51" s="206" t="s">
        <v>69</v>
      </c>
      <c r="Z51" s="206" t="s">
        <v>46</v>
      </c>
      <c r="AA51" s="206">
        <v>2308688</v>
      </c>
      <c r="AB51" s="206" t="s">
        <v>813</v>
      </c>
      <c r="AC51" s="206" t="s">
        <v>56</v>
      </c>
      <c r="AD51" s="206" t="s">
        <v>77</v>
      </c>
      <c r="AE51" s="206">
        <v>0</v>
      </c>
      <c r="AF51" s="206" t="s">
        <v>124</v>
      </c>
      <c r="AG51" s="206" t="s">
        <v>69</v>
      </c>
      <c r="AH51" s="206" t="s">
        <v>46</v>
      </c>
      <c r="AI51" s="206" t="s">
        <v>69</v>
      </c>
      <c r="AJ51" s="206" t="s">
        <v>46</v>
      </c>
      <c r="AK51" s="206" t="s">
        <v>54</v>
      </c>
      <c r="AL51" s="206" t="s">
        <v>48</v>
      </c>
      <c r="AM51" s="206" t="s">
        <v>64</v>
      </c>
      <c r="AN51" s="206" t="str">
        <f>VLOOKUP(I51,Sheet1!A:D,4,FALSE)</f>
        <v>A320400</v>
      </c>
      <c r="AP51" s="206" t="s">
        <v>698</v>
      </c>
      <c r="AR51" s="133" t="s">
        <v>1080</v>
      </c>
    </row>
    <row r="52" spans="1:44" s="206" customFormat="1" x14ac:dyDescent="0.25">
      <c r="A52" s="222">
        <v>45809</v>
      </c>
      <c r="B52" s="206" t="s">
        <v>40</v>
      </c>
      <c r="C52" s="206" t="s">
        <v>41</v>
      </c>
      <c r="D52" s="206">
        <v>25708282</v>
      </c>
      <c r="E52" s="206">
        <v>25106705</v>
      </c>
      <c r="F52" s="206" t="s">
        <v>1077</v>
      </c>
      <c r="G52" s="223">
        <v>45820</v>
      </c>
      <c r="H52" s="206" t="s">
        <v>203</v>
      </c>
      <c r="I52" s="206" t="s">
        <v>403</v>
      </c>
      <c r="J52" s="206" t="s">
        <v>812</v>
      </c>
      <c r="K52" s="224">
        <v>10</v>
      </c>
      <c r="L52" s="224" t="s">
        <v>42</v>
      </c>
      <c r="M52" s="224">
        <v>10</v>
      </c>
      <c r="N52" s="224">
        <v>4278476.7999999998</v>
      </c>
      <c r="O52" s="224">
        <v>42784768</v>
      </c>
      <c r="P52" s="224">
        <v>42784768</v>
      </c>
      <c r="Q52" s="224">
        <v>0</v>
      </c>
      <c r="R52" s="224">
        <v>0</v>
      </c>
      <c r="S52" s="224" t="s">
        <v>43</v>
      </c>
      <c r="T52" s="224">
        <v>30858579.559999999</v>
      </c>
      <c r="U52" s="224">
        <v>30858579.559999999</v>
      </c>
      <c r="V52" s="224">
        <v>11926188.439999999</v>
      </c>
      <c r="W52" s="230">
        <v>0.27874846580899998</v>
      </c>
      <c r="X52" s="224">
        <v>11926188.439999999</v>
      </c>
      <c r="Y52" s="206" t="s">
        <v>66</v>
      </c>
      <c r="Z52" s="206" t="s">
        <v>44</v>
      </c>
      <c r="AA52" s="206">
        <v>15191</v>
      </c>
      <c r="AB52" s="206" t="s">
        <v>813</v>
      </c>
      <c r="AC52" s="206" t="s">
        <v>56</v>
      </c>
      <c r="AD52" s="206" t="s">
        <v>77</v>
      </c>
      <c r="AE52" s="206">
        <v>0</v>
      </c>
      <c r="AF52" s="206" t="s">
        <v>72</v>
      </c>
      <c r="AG52" s="206" t="s">
        <v>69</v>
      </c>
      <c r="AH52" s="206" t="s">
        <v>46</v>
      </c>
      <c r="AI52" s="206" t="s">
        <v>69</v>
      </c>
      <c r="AJ52" s="206" t="s">
        <v>46</v>
      </c>
      <c r="AK52" s="206" t="s">
        <v>54</v>
      </c>
      <c r="AL52" s="206" t="s">
        <v>48</v>
      </c>
      <c r="AM52" s="206" t="s">
        <v>64</v>
      </c>
      <c r="AN52" s="206" t="str">
        <f>VLOOKUP(I52,Sheet1!A:D,4,FALSE)</f>
        <v>A320400</v>
      </c>
      <c r="AP52" s="206" t="s">
        <v>698</v>
      </c>
      <c r="AR52" s="133" t="s">
        <v>1080</v>
      </c>
    </row>
    <row r="53" spans="1:44" s="206" customFormat="1" x14ac:dyDescent="0.25">
      <c r="A53" s="222">
        <v>45839</v>
      </c>
      <c r="B53" s="206" t="s">
        <v>40</v>
      </c>
      <c r="C53" s="206" t="s">
        <v>41</v>
      </c>
      <c r="D53" s="206">
        <v>25708362</v>
      </c>
      <c r="E53" s="206">
        <v>25106726</v>
      </c>
      <c r="F53" s="206" t="s">
        <v>1155</v>
      </c>
      <c r="G53" s="223">
        <v>45860</v>
      </c>
      <c r="H53" s="206" t="s">
        <v>203</v>
      </c>
      <c r="I53" s="206" t="s">
        <v>209</v>
      </c>
      <c r="J53" s="206" t="s">
        <v>868</v>
      </c>
      <c r="K53" s="224">
        <v>8</v>
      </c>
      <c r="L53" s="224" t="s">
        <v>42</v>
      </c>
      <c r="M53" s="224">
        <v>8</v>
      </c>
      <c r="N53" s="224">
        <v>981017.59999999998</v>
      </c>
      <c r="O53" s="224">
        <v>7848140.7999999998</v>
      </c>
      <c r="P53" s="224">
        <v>7848140.7999999998</v>
      </c>
      <c r="Q53" s="224">
        <v>0</v>
      </c>
      <c r="R53" s="224">
        <v>0</v>
      </c>
      <c r="S53" s="224" t="s">
        <v>43</v>
      </c>
      <c r="T53" s="224">
        <v>5398260.8799999999</v>
      </c>
      <c r="U53" s="224">
        <v>5398260.8799999999</v>
      </c>
      <c r="V53" s="224">
        <v>2449879.92</v>
      </c>
      <c r="W53" s="230">
        <v>0.31216054635500001</v>
      </c>
      <c r="X53" s="224">
        <v>2449879.92</v>
      </c>
      <c r="Y53" s="206" t="s">
        <v>69</v>
      </c>
      <c r="Z53" s="206" t="s">
        <v>46</v>
      </c>
      <c r="AA53" s="206">
        <v>2308688</v>
      </c>
      <c r="AB53" s="206" t="s">
        <v>813</v>
      </c>
      <c r="AC53" s="206" t="s">
        <v>56</v>
      </c>
      <c r="AD53" s="206" t="s">
        <v>77</v>
      </c>
      <c r="AE53" s="206">
        <v>0</v>
      </c>
      <c r="AF53" s="206" t="s">
        <v>124</v>
      </c>
      <c r="AG53" s="206" t="s">
        <v>81</v>
      </c>
      <c r="AH53" s="206" t="s">
        <v>57</v>
      </c>
      <c r="AI53" s="206" t="s">
        <v>69</v>
      </c>
      <c r="AJ53" s="206" t="s">
        <v>46</v>
      </c>
      <c r="AK53" s="206" t="s">
        <v>54</v>
      </c>
      <c r="AL53" s="206" t="s">
        <v>48</v>
      </c>
      <c r="AM53" s="206" t="s">
        <v>64</v>
      </c>
      <c r="AN53" s="206" t="str">
        <f>VLOOKUP(I53,Sheet1!A:D,4,FALSE)</f>
        <v>A320400</v>
      </c>
      <c r="AP53" s="206" t="s">
        <v>698</v>
      </c>
      <c r="AR53" s="206" t="s">
        <v>1165</v>
      </c>
    </row>
    <row r="54" spans="1:44" s="206" customFormat="1" x14ac:dyDescent="0.25">
      <c r="A54" s="222">
        <v>45839</v>
      </c>
      <c r="B54" s="206" t="s">
        <v>40</v>
      </c>
      <c r="C54" s="206" t="s">
        <v>41</v>
      </c>
      <c r="D54" s="206">
        <v>25708363</v>
      </c>
      <c r="E54" s="206">
        <v>25106727</v>
      </c>
      <c r="F54" s="206" t="s">
        <v>1156</v>
      </c>
      <c r="G54" s="223">
        <v>45860</v>
      </c>
      <c r="H54" s="206" t="s">
        <v>203</v>
      </c>
      <c r="I54" s="206" t="s">
        <v>223</v>
      </c>
      <c r="J54" s="206" t="s">
        <v>864</v>
      </c>
      <c r="K54" s="224">
        <v>1</v>
      </c>
      <c r="L54" s="224" t="s">
        <v>42</v>
      </c>
      <c r="M54" s="224">
        <v>1</v>
      </c>
      <c r="N54" s="224">
        <v>11563555.630000001</v>
      </c>
      <c r="O54" s="224">
        <v>11563555.630000001</v>
      </c>
      <c r="P54" s="224">
        <v>11563555.630000001</v>
      </c>
      <c r="Q54" s="224">
        <v>0</v>
      </c>
      <c r="R54" s="224">
        <v>0</v>
      </c>
      <c r="S54" s="224" t="s">
        <v>43</v>
      </c>
      <c r="T54" s="224">
        <v>5523883.7999999998</v>
      </c>
      <c r="U54" s="224">
        <v>5523883.7999999998</v>
      </c>
      <c r="V54" s="224">
        <v>6039671.8300000001</v>
      </c>
      <c r="W54" s="230">
        <v>0.52230231109199998</v>
      </c>
      <c r="X54" s="224">
        <v>6039671.8300000001</v>
      </c>
      <c r="Y54" s="206" t="s">
        <v>69</v>
      </c>
      <c r="Z54" s="206" t="s">
        <v>46</v>
      </c>
      <c r="AA54" s="206">
        <v>2308689</v>
      </c>
      <c r="AB54" s="206" t="s">
        <v>862</v>
      </c>
      <c r="AC54" s="206" t="s">
        <v>56</v>
      </c>
      <c r="AD54" s="206" t="s">
        <v>77</v>
      </c>
      <c r="AE54" s="206">
        <v>0</v>
      </c>
      <c r="AF54" s="206" t="s">
        <v>72</v>
      </c>
      <c r="AG54" s="206" t="s">
        <v>69</v>
      </c>
      <c r="AH54" s="206" t="s">
        <v>46</v>
      </c>
      <c r="AI54" s="206" t="s">
        <v>69</v>
      </c>
      <c r="AJ54" s="206" t="s">
        <v>46</v>
      </c>
      <c r="AK54" s="206" t="s">
        <v>54</v>
      </c>
      <c r="AL54" s="206" t="s">
        <v>48</v>
      </c>
      <c r="AM54" s="206" t="s">
        <v>64</v>
      </c>
      <c r="AN54" s="206" t="str">
        <f>VLOOKUP(I54,Sheet1!A:D,4,FALSE)</f>
        <v>A320400</v>
      </c>
      <c r="AP54" s="206" t="s">
        <v>699</v>
      </c>
      <c r="AR54" s="206" t="s">
        <v>1165</v>
      </c>
    </row>
    <row r="55" spans="1:44" s="206" customFormat="1" x14ac:dyDescent="0.25">
      <c r="A55" s="222">
        <v>45839</v>
      </c>
      <c r="B55" s="206" t="s">
        <v>40</v>
      </c>
      <c r="C55" s="206" t="s">
        <v>41</v>
      </c>
      <c r="D55" s="206">
        <v>25708364</v>
      </c>
      <c r="E55" s="206">
        <v>25106728</v>
      </c>
      <c r="F55" s="206" t="s">
        <v>1157</v>
      </c>
      <c r="G55" s="223">
        <v>45860</v>
      </c>
      <c r="H55" s="206" t="s">
        <v>203</v>
      </c>
      <c r="I55" s="206" t="s">
        <v>474</v>
      </c>
      <c r="J55" s="206" t="s">
        <v>752</v>
      </c>
      <c r="K55" s="224">
        <v>100</v>
      </c>
      <c r="L55" s="224" t="s">
        <v>42</v>
      </c>
      <c r="M55" s="224">
        <v>100</v>
      </c>
      <c r="N55" s="224">
        <v>827050</v>
      </c>
      <c r="O55" s="224">
        <v>82705000</v>
      </c>
      <c r="P55" s="224">
        <v>82705000</v>
      </c>
      <c r="Q55" s="224">
        <v>0</v>
      </c>
      <c r="R55" s="224">
        <v>0</v>
      </c>
      <c r="S55" s="224" t="s">
        <v>43</v>
      </c>
      <c r="T55" s="224">
        <v>70550350.5</v>
      </c>
      <c r="U55" s="224">
        <v>70550350.5</v>
      </c>
      <c r="V55" s="224">
        <v>12154649.5</v>
      </c>
      <c r="W55" s="230">
        <v>0.14696390181899999</v>
      </c>
      <c r="X55" s="224">
        <v>12154649.5</v>
      </c>
      <c r="Y55" s="206" t="s">
        <v>69</v>
      </c>
      <c r="Z55" s="206" t="s">
        <v>46</v>
      </c>
      <c r="AA55" s="206">
        <v>15440</v>
      </c>
      <c r="AB55" s="206" t="s">
        <v>862</v>
      </c>
      <c r="AC55" s="206" t="s">
        <v>56</v>
      </c>
      <c r="AD55" s="206" t="s">
        <v>77</v>
      </c>
      <c r="AE55" s="206">
        <v>0</v>
      </c>
      <c r="AF55" s="206" t="s">
        <v>72</v>
      </c>
      <c r="AG55" s="206" t="s">
        <v>69</v>
      </c>
      <c r="AH55" s="206" t="s">
        <v>46</v>
      </c>
      <c r="AI55" s="206" t="s">
        <v>69</v>
      </c>
      <c r="AJ55" s="206" t="s">
        <v>46</v>
      </c>
      <c r="AK55" s="206" t="s">
        <v>54</v>
      </c>
      <c r="AL55" s="206" t="s">
        <v>48</v>
      </c>
      <c r="AM55" s="206" t="s">
        <v>64</v>
      </c>
      <c r="AN55" s="206" t="str">
        <f>VLOOKUP(I55,Sheet1!A:D,4,FALSE)</f>
        <v>A320400</v>
      </c>
      <c r="AP55" s="206" t="s">
        <v>699</v>
      </c>
      <c r="AR55" s="206" t="s">
        <v>1165</v>
      </c>
    </row>
    <row r="56" spans="1:44" s="206" customFormat="1" x14ac:dyDescent="0.25">
      <c r="A56" s="222">
        <v>45839</v>
      </c>
      <c r="B56" s="206" t="s">
        <v>40</v>
      </c>
      <c r="C56" s="206" t="s">
        <v>41</v>
      </c>
      <c r="D56" s="206">
        <v>25708365</v>
      </c>
      <c r="E56" s="206">
        <v>25106729</v>
      </c>
      <c r="F56" s="206" t="s">
        <v>1158</v>
      </c>
      <c r="G56" s="223">
        <v>45860</v>
      </c>
      <c r="H56" s="206" t="s">
        <v>203</v>
      </c>
      <c r="I56" s="206" t="s">
        <v>204</v>
      </c>
      <c r="J56" s="206" t="s">
        <v>706</v>
      </c>
      <c r="K56" s="224">
        <v>100</v>
      </c>
      <c r="L56" s="224" t="s">
        <v>42</v>
      </c>
      <c r="M56" s="224">
        <v>100</v>
      </c>
      <c r="N56" s="224">
        <v>213703.66</v>
      </c>
      <c r="O56" s="224">
        <v>21370366</v>
      </c>
      <c r="P56" s="224">
        <v>21370366</v>
      </c>
      <c r="Q56" s="224">
        <v>0</v>
      </c>
      <c r="R56" s="224">
        <v>0</v>
      </c>
      <c r="S56" s="224" t="s">
        <v>43</v>
      </c>
      <c r="T56" s="224">
        <v>15198430.130000001</v>
      </c>
      <c r="U56" s="224">
        <v>15198430.130000001</v>
      </c>
      <c r="V56" s="224">
        <v>6171935.8700000001</v>
      </c>
      <c r="W56" s="230">
        <v>0.28880815003299998</v>
      </c>
      <c r="X56" s="224">
        <v>6171935.8700000001</v>
      </c>
      <c r="Y56" s="206" t="s">
        <v>69</v>
      </c>
      <c r="Z56" s="206" t="s">
        <v>46</v>
      </c>
      <c r="AA56" s="206">
        <v>15440</v>
      </c>
      <c r="AB56" s="206" t="s">
        <v>862</v>
      </c>
      <c r="AC56" s="206" t="s">
        <v>56</v>
      </c>
      <c r="AD56" s="206" t="s">
        <v>77</v>
      </c>
      <c r="AE56" s="206">
        <v>0</v>
      </c>
      <c r="AF56" s="206" t="s">
        <v>72</v>
      </c>
      <c r="AG56" s="206" t="s">
        <v>69</v>
      </c>
      <c r="AH56" s="206" t="s">
        <v>46</v>
      </c>
      <c r="AI56" s="206" t="s">
        <v>69</v>
      </c>
      <c r="AJ56" s="206" t="s">
        <v>46</v>
      </c>
      <c r="AK56" s="206" t="s">
        <v>54</v>
      </c>
      <c r="AL56" s="206" t="s">
        <v>48</v>
      </c>
      <c r="AM56" s="206" t="s">
        <v>64</v>
      </c>
      <c r="AN56" s="206" t="str">
        <f>VLOOKUP(I56,Sheet1!A:D,4,FALSE)</f>
        <v>A320400</v>
      </c>
      <c r="AP56" s="206" t="s">
        <v>699</v>
      </c>
      <c r="AR56" s="206" t="s">
        <v>1165</v>
      </c>
    </row>
    <row r="57" spans="1:44" s="206" customFormat="1" x14ac:dyDescent="0.25">
      <c r="A57" s="222">
        <v>45839</v>
      </c>
      <c r="B57" s="206" t="s">
        <v>40</v>
      </c>
      <c r="C57" s="206" t="s">
        <v>41</v>
      </c>
      <c r="D57" s="206">
        <v>25708366</v>
      </c>
      <c r="E57" s="206">
        <v>25106730</v>
      </c>
      <c r="F57" s="206" t="s">
        <v>1159</v>
      </c>
      <c r="G57" s="223">
        <v>45860</v>
      </c>
      <c r="H57" s="206" t="s">
        <v>203</v>
      </c>
      <c r="I57" s="206" t="s">
        <v>204</v>
      </c>
      <c r="J57" s="206" t="s">
        <v>706</v>
      </c>
      <c r="K57" s="224">
        <v>100</v>
      </c>
      <c r="L57" s="224" t="s">
        <v>42</v>
      </c>
      <c r="M57" s="224">
        <v>100</v>
      </c>
      <c r="N57" s="224">
        <v>213703.66</v>
      </c>
      <c r="O57" s="224">
        <v>21370366</v>
      </c>
      <c r="P57" s="224">
        <v>21370366</v>
      </c>
      <c r="Q57" s="224">
        <v>0</v>
      </c>
      <c r="R57" s="224">
        <v>0</v>
      </c>
      <c r="S57" s="224" t="s">
        <v>43</v>
      </c>
      <c r="T57" s="224">
        <v>15198430.130000001</v>
      </c>
      <c r="U57" s="224">
        <v>15198430.130000001</v>
      </c>
      <c r="V57" s="224">
        <v>6171935.8700000001</v>
      </c>
      <c r="W57" s="230">
        <v>0.28880815003299998</v>
      </c>
      <c r="X57" s="224">
        <v>6171935.8700000001</v>
      </c>
      <c r="Y57" s="206" t="s">
        <v>69</v>
      </c>
      <c r="Z57" s="206" t="s">
        <v>46</v>
      </c>
      <c r="AA57" s="206">
        <v>15440</v>
      </c>
      <c r="AB57" s="206" t="s">
        <v>862</v>
      </c>
      <c r="AC57" s="206" t="s">
        <v>56</v>
      </c>
      <c r="AD57" s="206" t="s">
        <v>77</v>
      </c>
      <c r="AE57" s="206">
        <v>0</v>
      </c>
      <c r="AF57" s="206" t="s">
        <v>72</v>
      </c>
      <c r="AG57" s="206" t="s">
        <v>69</v>
      </c>
      <c r="AH57" s="206" t="s">
        <v>46</v>
      </c>
      <c r="AI57" s="206" t="s">
        <v>69</v>
      </c>
      <c r="AJ57" s="206" t="s">
        <v>46</v>
      </c>
      <c r="AK57" s="206" t="s">
        <v>54</v>
      </c>
      <c r="AL57" s="206" t="s">
        <v>48</v>
      </c>
      <c r="AM57" s="206" t="s">
        <v>64</v>
      </c>
      <c r="AN57" s="206" t="str">
        <f>VLOOKUP(I57,Sheet1!A:D,4,FALSE)</f>
        <v>A320400</v>
      </c>
      <c r="AP57" s="206" t="s">
        <v>699</v>
      </c>
      <c r="AR57" s="206" t="s">
        <v>1165</v>
      </c>
    </row>
    <row r="58" spans="1:44" s="206" customFormat="1" x14ac:dyDescent="0.25">
      <c r="A58" s="222">
        <v>45839</v>
      </c>
      <c r="B58" s="206" t="s">
        <v>40</v>
      </c>
      <c r="C58" s="206" t="s">
        <v>41</v>
      </c>
      <c r="D58" s="206">
        <v>25708367</v>
      </c>
      <c r="E58" s="206">
        <v>25106731</v>
      </c>
      <c r="F58" s="206" t="s">
        <v>1160</v>
      </c>
      <c r="G58" s="223">
        <v>45860</v>
      </c>
      <c r="H58" s="206" t="s">
        <v>203</v>
      </c>
      <c r="I58" s="206" t="s">
        <v>226</v>
      </c>
      <c r="J58" s="206" t="s">
        <v>936</v>
      </c>
      <c r="K58" s="224">
        <v>500</v>
      </c>
      <c r="L58" s="224" t="s">
        <v>42</v>
      </c>
      <c r="M58" s="224">
        <v>500</v>
      </c>
      <c r="N58" s="224">
        <v>208319</v>
      </c>
      <c r="O58" s="224">
        <v>104159500</v>
      </c>
      <c r="P58" s="224">
        <v>104159500</v>
      </c>
      <c r="Q58" s="224">
        <v>0</v>
      </c>
      <c r="R58" s="224">
        <v>0</v>
      </c>
      <c r="S58" s="224" t="s">
        <v>43</v>
      </c>
      <c r="T58" s="224">
        <v>69766472.650000006</v>
      </c>
      <c r="U58" s="224">
        <v>69766472.650000006</v>
      </c>
      <c r="V58" s="224">
        <v>34393027.350000001</v>
      </c>
      <c r="W58" s="230">
        <v>0.33019578002900002</v>
      </c>
      <c r="X58" s="224">
        <v>34393027.350000001</v>
      </c>
      <c r="Y58" s="206" t="s">
        <v>69</v>
      </c>
      <c r="Z58" s="206" t="s">
        <v>46</v>
      </c>
      <c r="AA58" s="206">
        <v>2308688</v>
      </c>
      <c r="AB58" s="206" t="s">
        <v>813</v>
      </c>
      <c r="AC58" s="206" t="s">
        <v>56</v>
      </c>
      <c r="AD58" s="206" t="s">
        <v>77</v>
      </c>
      <c r="AE58" s="206">
        <v>0</v>
      </c>
      <c r="AF58" s="206" t="s">
        <v>124</v>
      </c>
      <c r="AG58" s="206" t="s">
        <v>81</v>
      </c>
      <c r="AH58" s="206" t="s">
        <v>57</v>
      </c>
      <c r="AI58" s="206" t="s">
        <v>69</v>
      </c>
      <c r="AJ58" s="206" t="s">
        <v>46</v>
      </c>
      <c r="AK58" s="206" t="s">
        <v>54</v>
      </c>
      <c r="AL58" s="206" t="s">
        <v>48</v>
      </c>
      <c r="AM58" s="206" t="s">
        <v>64</v>
      </c>
      <c r="AN58" s="206" t="str">
        <f>VLOOKUP(I58,Sheet1!A:D,4,FALSE)</f>
        <v>A320400</v>
      </c>
      <c r="AP58" s="206" t="s">
        <v>698</v>
      </c>
      <c r="AR58" s="206" t="s">
        <v>1165</v>
      </c>
    </row>
    <row r="59" spans="1:44" s="206" customFormat="1" x14ac:dyDescent="0.25">
      <c r="A59" s="222">
        <v>45839</v>
      </c>
      <c r="B59" s="206" t="s">
        <v>40</v>
      </c>
      <c r="C59" s="206" t="s">
        <v>41</v>
      </c>
      <c r="D59" s="206">
        <v>25708368</v>
      </c>
      <c r="E59" s="206">
        <v>25106732</v>
      </c>
      <c r="F59" s="206" t="s">
        <v>1161</v>
      </c>
      <c r="G59" s="223">
        <v>45860</v>
      </c>
      <c r="H59" s="206" t="s">
        <v>203</v>
      </c>
      <c r="I59" s="206" t="s">
        <v>226</v>
      </c>
      <c r="J59" s="206" t="s">
        <v>936</v>
      </c>
      <c r="K59" s="224">
        <v>500</v>
      </c>
      <c r="L59" s="224" t="s">
        <v>42</v>
      </c>
      <c r="M59" s="224">
        <v>500</v>
      </c>
      <c r="N59" s="224">
        <v>208319</v>
      </c>
      <c r="O59" s="224">
        <v>104159500</v>
      </c>
      <c r="P59" s="224">
        <v>104159500</v>
      </c>
      <c r="Q59" s="224">
        <v>0</v>
      </c>
      <c r="R59" s="224">
        <v>0</v>
      </c>
      <c r="S59" s="224" t="s">
        <v>43</v>
      </c>
      <c r="T59" s="224">
        <v>69766472.650000006</v>
      </c>
      <c r="U59" s="224">
        <v>69766472.650000006</v>
      </c>
      <c r="V59" s="224">
        <v>34393027.350000001</v>
      </c>
      <c r="W59" s="230">
        <v>0.33019578002900002</v>
      </c>
      <c r="X59" s="224">
        <v>34393027.350000001</v>
      </c>
      <c r="Y59" s="206" t="s">
        <v>69</v>
      </c>
      <c r="Z59" s="206" t="s">
        <v>46</v>
      </c>
      <c r="AA59" s="206">
        <v>2308688</v>
      </c>
      <c r="AB59" s="206" t="s">
        <v>813</v>
      </c>
      <c r="AC59" s="206" t="s">
        <v>56</v>
      </c>
      <c r="AD59" s="206" t="s">
        <v>77</v>
      </c>
      <c r="AE59" s="206">
        <v>0</v>
      </c>
      <c r="AF59" s="206" t="s">
        <v>124</v>
      </c>
      <c r="AG59" s="206" t="s">
        <v>81</v>
      </c>
      <c r="AH59" s="206" t="s">
        <v>57</v>
      </c>
      <c r="AI59" s="206" t="s">
        <v>69</v>
      </c>
      <c r="AJ59" s="206" t="s">
        <v>46</v>
      </c>
      <c r="AK59" s="206" t="s">
        <v>54</v>
      </c>
      <c r="AL59" s="206" t="s">
        <v>48</v>
      </c>
      <c r="AM59" s="206" t="s">
        <v>64</v>
      </c>
      <c r="AN59" s="206" t="str">
        <f>VLOOKUP(I59,Sheet1!A:D,4,FALSE)</f>
        <v>A320400</v>
      </c>
      <c r="AP59" s="206" t="s">
        <v>698</v>
      </c>
      <c r="AR59" s="206" t="s">
        <v>1165</v>
      </c>
    </row>
    <row r="60" spans="1:44" s="206" customFormat="1" x14ac:dyDescent="0.25">
      <c r="A60" s="222">
        <v>45839</v>
      </c>
      <c r="B60" s="206" t="s">
        <v>40</v>
      </c>
      <c r="C60" s="206" t="s">
        <v>41</v>
      </c>
      <c r="D60" s="206">
        <v>25708369</v>
      </c>
      <c r="E60" s="206">
        <v>25106733</v>
      </c>
      <c r="F60" s="206" t="s">
        <v>1162</v>
      </c>
      <c r="G60" s="223">
        <v>45860</v>
      </c>
      <c r="H60" s="206" t="s">
        <v>203</v>
      </c>
      <c r="I60" s="206" t="s">
        <v>216</v>
      </c>
      <c r="J60" s="206" t="s">
        <v>861</v>
      </c>
      <c r="K60" s="224">
        <v>40</v>
      </c>
      <c r="L60" s="224" t="s">
        <v>42</v>
      </c>
      <c r="M60" s="224">
        <v>40</v>
      </c>
      <c r="N60" s="224">
        <v>609139.56999999995</v>
      </c>
      <c r="O60" s="224">
        <v>24365582.800000001</v>
      </c>
      <c r="P60" s="224">
        <v>24365582.800000001</v>
      </c>
      <c r="Q60" s="224">
        <v>0</v>
      </c>
      <c r="R60" s="224">
        <v>0</v>
      </c>
      <c r="S60" s="224" t="s">
        <v>43</v>
      </c>
      <c r="T60" s="224">
        <v>12207024.880000001</v>
      </c>
      <c r="U60" s="224">
        <v>12207024.880000001</v>
      </c>
      <c r="V60" s="224">
        <v>12158557.92</v>
      </c>
      <c r="W60" s="230">
        <v>0.49900542169599998</v>
      </c>
      <c r="X60" s="224">
        <v>12158557.92</v>
      </c>
      <c r="Y60" s="206" t="s">
        <v>69</v>
      </c>
      <c r="Z60" s="206" t="s">
        <v>46</v>
      </c>
      <c r="AA60" s="206">
        <v>2308688</v>
      </c>
      <c r="AB60" s="206" t="s">
        <v>813</v>
      </c>
      <c r="AC60" s="206" t="s">
        <v>56</v>
      </c>
      <c r="AD60" s="206" t="s">
        <v>77</v>
      </c>
      <c r="AE60" s="206">
        <v>0</v>
      </c>
      <c r="AF60" s="206" t="s">
        <v>124</v>
      </c>
      <c r="AG60" s="206" t="s">
        <v>69</v>
      </c>
      <c r="AH60" s="206" t="s">
        <v>46</v>
      </c>
      <c r="AI60" s="206" t="s">
        <v>69</v>
      </c>
      <c r="AJ60" s="206" t="s">
        <v>46</v>
      </c>
      <c r="AK60" s="206" t="s">
        <v>54</v>
      </c>
      <c r="AL60" s="206" t="s">
        <v>48</v>
      </c>
      <c r="AM60" s="206" t="s">
        <v>64</v>
      </c>
      <c r="AN60" s="206" t="str">
        <f>VLOOKUP(I60,Sheet1!A:D,4,FALSE)</f>
        <v>A320400</v>
      </c>
      <c r="AP60" s="206" t="s">
        <v>698</v>
      </c>
      <c r="AR60" s="206" t="s">
        <v>1165</v>
      </c>
    </row>
    <row r="61" spans="1:44" s="206" customFormat="1" x14ac:dyDescent="0.25">
      <c r="A61" s="222">
        <v>45839</v>
      </c>
      <c r="B61" s="206" t="s">
        <v>40</v>
      </c>
      <c r="C61" s="206" t="s">
        <v>41</v>
      </c>
      <c r="D61" s="206">
        <v>25708370</v>
      </c>
      <c r="E61" s="206">
        <v>25106734</v>
      </c>
      <c r="F61" s="206" t="s">
        <v>1163</v>
      </c>
      <c r="G61" s="223">
        <v>45860</v>
      </c>
      <c r="H61" s="206" t="s">
        <v>203</v>
      </c>
      <c r="I61" s="206" t="s">
        <v>216</v>
      </c>
      <c r="J61" s="206" t="s">
        <v>861</v>
      </c>
      <c r="K61" s="224">
        <v>40</v>
      </c>
      <c r="L61" s="224" t="s">
        <v>42</v>
      </c>
      <c r="M61" s="224">
        <v>40</v>
      </c>
      <c r="N61" s="224">
        <v>609139.56999999995</v>
      </c>
      <c r="O61" s="224">
        <v>24365582.800000001</v>
      </c>
      <c r="P61" s="224">
        <v>24365582.800000001</v>
      </c>
      <c r="Q61" s="224">
        <v>0</v>
      </c>
      <c r="R61" s="224">
        <v>0</v>
      </c>
      <c r="S61" s="224" t="s">
        <v>43</v>
      </c>
      <c r="T61" s="224">
        <v>12207024.880000001</v>
      </c>
      <c r="U61" s="224">
        <v>12207024.880000001</v>
      </c>
      <c r="V61" s="224">
        <v>12158557.92</v>
      </c>
      <c r="W61" s="230">
        <v>0.49900542169599998</v>
      </c>
      <c r="X61" s="224">
        <v>12158557.92</v>
      </c>
      <c r="Y61" s="206" t="s">
        <v>69</v>
      </c>
      <c r="Z61" s="206" t="s">
        <v>46</v>
      </c>
      <c r="AA61" s="206">
        <v>15440</v>
      </c>
      <c r="AB61" s="206" t="s">
        <v>862</v>
      </c>
      <c r="AC61" s="206" t="s">
        <v>56</v>
      </c>
      <c r="AD61" s="206" t="s">
        <v>77</v>
      </c>
      <c r="AE61" s="206">
        <v>0</v>
      </c>
      <c r="AF61" s="206" t="s">
        <v>124</v>
      </c>
      <c r="AG61" s="206" t="s">
        <v>69</v>
      </c>
      <c r="AH61" s="206" t="s">
        <v>46</v>
      </c>
      <c r="AI61" s="206" t="s">
        <v>69</v>
      </c>
      <c r="AJ61" s="206" t="s">
        <v>46</v>
      </c>
      <c r="AK61" s="206" t="s">
        <v>54</v>
      </c>
      <c r="AL61" s="206" t="s">
        <v>48</v>
      </c>
      <c r="AM61" s="206" t="s">
        <v>64</v>
      </c>
      <c r="AN61" s="206" t="str">
        <f>VLOOKUP(I61,Sheet1!A:D,4,FALSE)</f>
        <v>A320400</v>
      </c>
      <c r="AP61" s="206" t="s">
        <v>699</v>
      </c>
      <c r="AR61" s="206" t="s">
        <v>1165</v>
      </c>
    </row>
    <row r="62" spans="1:44" s="206" customFormat="1" x14ac:dyDescent="0.25">
      <c r="A62" s="222">
        <v>45839</v>
      </c>
      <c r="B62" s="206" t="s">
        <v>40</v>
      </c>
      <c r="C62" s="206" t="s">
        <v>41</v>
      </c>
      <c r="D62" s="206">
        <v>25708371</v>
      </c>
      <c r="E62" s="206">
        <v>25106735</v>
      </c>
      <c r="F62" s="206" t="s">
        <v>1164</v>
      </c>
      <c r="G62" s="223">
        <v>45860</v>
      </c>
      <c r="H62" s="206" t="s">
        <v>203</v>
      </c>
      <c r="I62" s="206" t="s">
        <v>220</v>
      </c>
      <c r="J62" s="206" t="s">
        <v>866</v>
      </c>
      <c r="K62" s="224">
        <v>1</v>
      </c>
      <c r="L62" s="224" t="s">
        <v>42</v>
      </c>
      <c r="M62" s="224">
        <v>1</v>
      </c>
      <c r="N62" s="224">
        <v>7103206.8399999999</v>
      </c>
      <c r="O62" s="224">
        <v>7103206.8399999999</v>
      </c>
      <c r="P62" s="224">
        <v>7103206.8399999999</v>
      </c>
      <c r="Q62" s="224">
        <v>0</v>
      </c>
      <c r="R62" s="224">
        <v>0</v>
      </c>
      <c r="S62" s="224" t="s">
        <v>43</v>
      </c>
      <c r="T62" s="224">
        <v>2594799.6</v>
      </c>
      <c r="U62" s="224">
        <v>2594799.6</v>
      </c>
      <c r="V62" s="224">
        <v>4508407.24</v>
      </c>
      <c r="W62" s="230">
        <v>0.63470026166299998</v>
      </c>
      <c r="X62" s="224">
        <v>4508407.24</v>
      </c>
      <c r="Y62" s="206" t="s">
        <v>69</v>
      </c>
      <c r="Z62" s="206" t="s">
        <v>46</v>
      </c>
      <c r="AA62" s="206">
        <v>2308689</v>
      </c>
      <c r="AB62" s="206" t="s">
        <v>862</v>
      </c>
      <c r="AC62" s="206" t="s">
        <v>56</v>
      </c>
      <c r="AD62" s="206" t="s">
        <v>77</v>
      </c>
      <c r="AE62" s="206">
        <v>0</v>
      </c>
      <c r="AF62" s="206" t="s">
        <v>72</v>
      </c>
      <c r="AG62" s="206" t="s">
        <v>69</v>
      </c>
      <c r="AH62" s="206" t="s">
        <v>46</v>
      </c>
      <c r="AI62" s="206" t="s">
        <v>69</v>
      </c>
      <c r="AJ62" s="206" t="s">
        <v>46</v>
      </c>
      <c r="AK62" s="206" t="s">
        <v>54</v>
      </c>
      <c r="AL62" s="206" t="s">
        <v>48</v>
      </c>
      <c r="AM62" s="206" t="s">
        <v>64</v>
      </c>
      <c r="AN62" s="206" t="str">
        <f>VLOOKUP(I62,Sheet1!A:D,4,FALSE)</f>
        <v>A320400</v>
      </c>
      <c r="AP62" s="206" t="s">
        <v>699</v>
      </c>
      <c r="AR62" s="206" t="s">
        <v>1165</v>
      </c>
    </row>
    <row r="63" spans="1:44" s="206" customFormat="1" x14ac:dyDescent="0.25">
      <c r="A63" s="222">
        <v>45870</v>
      </c>
      <c r="B63" s="206" t="s">
        <v>40</v>
      </c>
      <c r="C63" s="206" t="s">
        <v>41</v>
      </c>
      <c r="D63" s="206">
        <v>25708412</v>
      </c>
      <c r="E63" s="206">
        <v>25106724</v>
      </c>
      <c r="F63" s="206" t="s">
        <v>1197</v>
      </c>
      <c r="G63" s="223">
        <v>45876</v>
      </c>
      <c r="H63" s="206" t="s">
        <v>203</v>
      </c>
      <c r="I63" s="206" t="s">
        <v>223</v>
      </c>
      <c r="J63" s="206" t="s">
        <v>864</v>
      </c>
      <c r="K63" s="224">
        <v>1</v>
      </c>
      <c r="L63" s="224" t="s">
        <v>42</v>
      </c>
      <c r="M63" s="224">
        <v>1</v>
      </c>
      <c r="N63" s="224">
        <v>11563555.630000001</v>
      </c>
      <c r="O63" s="224">
        <v>11563555.630000001</v>
      </c>
      <c r="P63" s="224">
        <v>11563555.630000001</v>
      </c>
      <c r="Q63" s="224">
        <v>0</v>
      </c>
      <c r="R63" s="224">
        <v>0</v>
      </c>
      <c r="S63" s="224" t="s">
        <v>43</v>
      </c>
      <c r="T63" s="224">
        <v>5414327.6799999997</v>
      </c>
      <c r="U63" s="224">
        <v>5414327.6799999997</v>
      </c>
      <c r="V63" s="224">
        <v>6149227.9500000002</v>
      </c>
      <c r="W63" s="230">
        <v>0.53177657000599998</v>
      </c>
      <c r="X63" s="224">
        <v>6149227.9500000002</v>
      </c>
      <c r="Y63" s="206" t="s">
        <v>69</v>
      </c>
      <c r="Z63" s="206" t="s">
        <v>46</v>
      </c>
      <c r="AA63" s="206">
        <v>2308689</v>
      </c>
      <c r="AB63" s="206" t="s">
        <v>862</v>
      </c>
      <c r="AC63" s="206" t="s">
        <v>56</v>
      </c>
      <c r="AD63" s="206" t="s">
        <v>77</v>
      </c>
      <c r="AE63" s="206">
        <v>0</v>
      </c>
      <c r="AF63" s="206" t="s">
        <v>72</v>
      </c>
      <c r="AG63" s="206" t="s">
        <v>69</v>
      </c>
      <c r="AH63" s="206" t="s">
        <v>46</v>
      </c>
      <c r="AI63" s="206" t="s">
        <v>69</v>
      </c>
      <c r="AJ63" s="206" t="s">
        <v>46</v>
      </c>
      <c r="AK63" s="206" t="s">
        <v>54</v>
      </c>
      <c r="AL63" s="206" t="s">
        <v>48</v>
      </c>
      <c r="AM63" s="206" t="s">
        <v>64</v>
      </c>
      <c r="AN63" s="206" t="str">
        <f>VLOOKUP(I63,Sheet1!A:D,4,FALSE)</f>
        <v>A320400</v>
      </c>
      <c r="AP63" s="206" t="s">
        <v>699</v>
      </c>
      <c r="AR63" s="206" t="s">
        <v>1207</v>
      </c>
    </row>
    <row r="64" spans="1:44" s="206" customFormat="1" x14ac:dyDescent="0.25">
      <c r="A64" s="222">
        <v>45870</v>
      </c>
      <c r="B64" s="206" t="s">
        <v>40</v>
      </c>
      <c r="C64" s="206" t="s">
        <v>41</v>
      </c>
      <c r="D64" s="206">
        <v>25708413</v>
      </c>
      <c r="E64" s="206">
        <v>25106725</v>
      </c>
      <c r="F64" s="206" t="s">
        <v>1198</v>
      </c>
      <c r="G64" s="223">
        <v>45876</v>
      </c>
      <c r="H64" s="206" t="s">
        <v>203</v>
      </c>
      <c r="I64" s="206" t="s">
        <v>220</v>
      </c>
      <c r="J64" s="206" t="s">
        <v>866</v>
      </c>
      <c r="K64" s="224">
        <v>1</v>
      </c>
      <c r="L64" s="224" t="s">
        <v>42</v>
      </c>
      <c r="M64" s="224">
        <v>1</v>
      </c>
      <c r="N64" s="224">
        <v>7103206.8399999999</v>
      </c>
      <c r="O64" s="224">
        <v>7103206.8399999999</v>
      </c>
      <c r="P64" s="224">
        <v>7103206.8399999999</v>
      </c>
      <c r="Q64" s="224">
        <v>0</v>
      </c>
      <c r="R64" s="224">
        <v>0</v>
      </c>
      <c r="S64" s="224" t="s">
        <v>43</v>
      </c>
      <c r="T64" s="224">
        <v>2588105.91</v>
      </c>
      <c r="U64" s="224">
        <v>2588105.91</v>
      </c>
      <c r="V64" s="224">
        <v>4515100.93</v>
      </c>
      <c r="W64" s="230">
        <v>0.63564260927500005</v>
      </c>
      <c r="X64" s="224">
        <v>4515100.93</v>
      </c>
      <c r="Y64" s="206" t="s">
        <v>69</v>
      </c>
      <c r="Z64" s="206" t="s">
        <v>46</v>
      </c>
      <c r="AA64" s="206">
        <v>2308689</v>
      </c>
      <c r="AB64" s="206" t="s">
        <v>862</v>
      </c>
      <c r="AC64" s="206" t="s">
        <v>56</v>
      </c>
      <c r="AD64" s="206" t="s">
        <v>77</v>
      </c>
      <c r="AE64" s="206">
        <v>0</v>
      </c>
      <c r="AF64" s="206" t="s">
        <v>72</v>
      </c>
      <c r="AG64" s="206" t="s">
        <v>69</v>
      </c>
      <c r="AH64" s="206" t="s">
        <v>46</v>
      </c>
      <c r="AI64" s="206" t="s">
        <v>69</v>
      </c>
      <c r="AJ64" s="206" t="s">
        <v>46</v>
      </c>
      <c r="AK64" s="206" t="s">
        <v>54</v>
      </c>
      <c r="AL64" s="206" t="s">
        <v>48</v>
      </c>
      <c r="AM64" s="206" t="s">
        <v>64</v>
      </c>
      <c r="AN64" s="206" t="str">
        <f>VLOOKUP(I64,Sheet1!A:D,4,FALSE)</f>
        <v>A320400</v>
      </c>
      <c r="AP64" s="206" t="s">
        <v>699</v>
      </c>
      <c r="AR64" s="206" t="s">
        <v>1207</v>
      </c>
    </row>
    <row r="65" spans="1:44" s="206" customFormat="1" x14ac:dyDescent="0.25">
      <c r="A65" s="222">
        <v>45870</v>
      </c>
      <c r="B65" s="206" t="s">
        <v>40</v>
      </c>
      <c r="C65" s="206" t="s">
        <v>41</v>
      </c>
      <c r="D65" s="206">
        <v>25708414</v>
      </c>
      <c r="E65" s="206">
        <v>25106812</v>
      </c>
      <c r="F65" s="206" t="s">
        <v>1199</v>
      </c>
      <c r="G65" s="223">
        <v>45876</v>
      </c>
      <c r="H65" s="206" t="s">
        <v>203</v>
      </c>
      <c r="I65" s="206" t="s">
        <v>216</v>
      </c>
      <c r="J65" s="206" t="s">
        <v>861</v>
      </c>
      <c r="K65" s="224">
        <v>40</v>
      </c>
      <c r="L65" s="224" t="s">
        <v>42</v>
      </c>
      <c r="M65" s="224">
        <v>40</v>
      </c>
      <c r="N65" s="224">
        <v>594346.43999999994</v>
      </c>
      <c r="O65" s="224">
        <v>23773857.600000001</v>
      </c>
      <c r="P65" s="224">
        <v>23773857.600000001</v>
      </c>
      <c r="Q65" s="224">
        <v>0</v>
      </c>
      <c r="R65" s="224">
        <v>0</v>
      </c>
      <c r="S65" s="224" t="s">
        <v>43</v>
      </c>
      <c r="T65" s="224">
        <v>12207024.880000001</v>
      </c>
      <c r="U65" s="224">
        <v>12207024.880000001</v>
      </c>
      <c r="V65" s="224">
        <v>11566832.720000001</v>
      </c>
      <c r="W65" s="230">
        <v>0.48653579551999998</v>
      </c>
      <c r="X65" s="224">
        <v>11566832.720000001</v>
      </c>
      <c r="Y65" s="206" t="s">
        <v>69</v>
      </c>
      <c r="Z65" s="206" t="s">
        <v>46</v>
      </c>
      <c r="AA65" s="206">
        <v>15440</v>
      </c>
      <c r="AB65" s="206" t="s">
        <v>862</v>
      </c>
      <c r="AC65" s="206" t="s">
        <v>56</v>
      </c>
      <c r="AD65" s="206" t="s">
        <v>77</v>
      </c>
      <c r="AE65" s="206">
        <v>0</v>
      </c>
      <c r="AF65" s="206" t="s">
        <v>124</v>
      </c>
      <c r="AG65" s="206" t="s">
        <v>69</v>
      </c>
      <c r="AH65" s="206" t="s">
        <v>46</v>
      </c>
      <c r="AI65" s="206" t="s">
        <v>69</v>
      </c>
      <c r="AJ65" s="206" t="s">
        <v>46</v>
      </c>
      <c r="AK65" s="206" t="s">
        <v>54</v>
      </c>
      <c r="AL65" s="206" t="s">
        <v>48</v>
      </c>
      <c r="AM65" s="206" t="s">
        <v>64</v>
      </c>
      <c r="AN65" s="206" t="str">
        <f>VLOOKUP(I65,Sheet1!A:D,4,FALSE)</f>
        <v>A320400</v>
      </c>
      <c r="AP65" s="206" t="s">
        <v>699</v>
      </c>
      <c r="AR65" s="206" t="s">
        <v>1207</v>
      </c>
    </row>
    <row r="66" spans="1:44" s="206" customFormat="1" x14ac:dyDescent="0.25">
      <c r="A66" s="222">
        <v>45870</v>
      </c>
      <c r="B66" s="206" t="s">
        <v>40</v>
      </c>
      <c r="C66" s="206" t="s">
        <v>41</v>
      </c>
      <c r="D66" s="206">
        <v>25708415</v>
      </c>
      <c r="E66" s="206">
        <v>25106813</v>
      </c>
      <c r="F66" s="206" t="s">
        <v>1200</v>
      </c>
      <c r="G66" s="223">
        <v>45876</v>
      </c>
      <c r="H66" s="206" t="s">
        <v>203</v>
      </c>
      <c r="I66" s="206" t="s">
        <v>216</v>
      </c>
      <c r="J66" s="206" t="s">
        <v>861</v>
      </c>
      <c r="K66" s="224">
        <v>40</v>
      </c>
      <c r="L66" s="224" t="s">
        <v>42</v>
      </c>
      <c r="M66" s="224">
        <v>40</v>
      </c>
      <c r="N66" s="224">
        <v>594346.43999999994</v>
      </c>
      <c r="O66" s="224">
        <v>23773857.600000001</v>
      </c>
      <c r="P66" s="224">
        <v>23773857.600000001</v>
      </c>
      <c r="Q66" s="224">
        <v>0</v>
      </c>
      <c r="R66" s="224">
        <v>0</v>
      </c>
      <c r="S66" s="224" t="s">
        <v>43</v>
      </c>
      <c r="T66" s="224">
        <v>12207024.880000001</v>
      </c>
      <c r="U66" s="224">
        <v>12207024.880000001</v>
      </c>
      <c r="V66" s="224">
        <v>11566832.720000001</v>
      </c>
      <c r="W66" s="230">
        <v>0.48653579551999998</v>
      </c>
      <c r="X66" s="224">
        <v>11566832.720000001</v>
      </c>
      <c r="Y66" s="206" t="s">
        <v>69</v>
      </c>
      <c r="Z66" s="206" t="s">
        <v>46</v>
      </c>
      <c r="AA66" s="206">
        <v>15440</v>
      </c>
      <c r="AB66" s="206" t="s">
        <v>862</v>
      </c>
      <c r="AC66" s="206" t="s">
        <v>56</v>
      </c>
      <c r="AD66" s="206" t="s">
        <v>77</v>
      </c>
      <c r="AE66" s="206">
        <v>0</v>
      </c>
      <c r="AF66" s="206" t="s">
        <v>124</v>
      </c>
      <c r="AG66" s="206" t="s">
        <v>69</v>
      </c>
      <c r="AH66" s="206" t="s">
        <v>46</v>
      </c>
      <c r="AI66" s="206" t="s">
        <v>69</v>
      </c>
      <c r="AJ66" s="206" t="s">
        <v>46</v>
      </c>
      <c r="AK66" s="206" t="s">
        <v>54</v>
      </c>
      <c r="AL66" s="206" t="s">
        <v>48</v>
      </c>
      <c r="AM66" s="206" t="s">
        <v>64</v>
      </c>
      <c r="AN66" s="206" t="str">
        <f>VLOOKUP(I66,Sheet1!A:D,4,FALSE)</f>
        <v>A320400</v>
      </c>
      <c r="AP66" s="206" t="s">
        <v>699</v>
      </c>
      <c r="AR66" s="206" t="s">
        <v>1207</v>
      </c>
    </row>
    <row r="67" spans="1:44" s="206" customFormat="1" x14ac:dyDescent="0.25">
      <c r="A67" s="222">
        <v>45870</v>
      </c>
      <c r="B67" s="206" t="s">
        <v>40</v>
      </c>
      <c r="C67" s="206" t="s">
        <v>41</v>
      </c>
      <c r="D67" s="206">
        <v>25708416</v>
      </c>
      <c r="E67" s="206">
        <v>25106814</v>
      </c>
      <c r="F67" s="206" t="s">
        <v>1201</v>
      </c>
      <c r="G67" s="223">
        <v>45876</v>
      </c>
      <c r="H67" s="206" t="s">
        <v>203</v>
      </c>
      <c r="I67" s="206" t="s">
        <v>209</v>
      </c>
      <c r="J67" s="206" t="s">
        <v>868</v>
      </c>
      <c r="K67" s="224">
        <v>8</v>
      </c>
      <c r="L67" s="224" t="s">
        <v>42</v>
      </c>
      <c r="M67" s="224">
        <v>8</v>
      </c>
      <c r="N67" s="224">
        <v>957193.3</v>
      </c>
      <c r="O67" s="224">
        <v>7657546.4000000004</v>
      </c>
      <c r="P67" s="224">
        <v>7657546.4000000004</v>
      </c>
      <c r="Q67" s="224">
        <v>0</v>
      </c>
      <c r="R67" s="224">
        <v>0</v>
      </c>
      <c r="S67" s="224" t="s">
        <v>43</v>
      </c>
      <c r="T67" s="224">
        <v>5398260.8799999999</v>
      </c>
      <c r="U67" s="224">
        <v>5398260.8799999999</v>
      </c>
      <c r="V67" s="224">
        <v>2259285.52</v>
      </c>
      <c r="W67" s="230">
        <v>0.29504039570599999</v>
      </c>
      <c r="X67" s="224">
        <v>2259285.52</v>
      </c>
      <c r="Y67" s="206" t="s">
        <v>69</v>
      </c>
      <c r="Z67" s="206" t="s">
        <v>46</v>
      </c>
      <c r="AA67" s="206">
        <v>15440</v>
      </c>
      <c r="AB67" s="206" t="s">
        <v>862</v>
      </c>
      <c r="AC67" s="206" t="s">
        <v>56</v>
      </c>
      <c r="AD67" s="206" t="s">
        <v>77</v>
      </c>
      <c r="AE67" s="206">
        <v>0</v>
      </c>
      <c r="AF67" s="206" t="s">
        <v>124</v>
      </c>
      <c r="AG67" s="206" t="s">
        <v>81</v>
      </c>
      <c r="AH67" s="206" t="s">
        <v>57</v>
      </c>
      <c r="AI67" s="206" t="s">
        <v>69</v>
      </c>
      <c r="AJ67" s="206" t="s">
        <v>46</v>
      </c>
      <c r="AK67" s="206" t="s">
        <v>54</v>
      </c>
      <c r="AL67" s="206" t="s">
        <v>48</v>
      </c>
      <c r="AM67" s="206" t="s">
        <v>64</v>
      </c>
      <c r="AN67" s="206" t="str">
        <f>VLOOKUP(I67,Sheet1!A:D,4,FALSE)</f>
        <v>A320400</v>
      </c>
      <c r="AP67" s="206" t="s">
        <v>699</v>
      </c>
      <c r="AR67" s="206" t="s">
        <v>1207</v>
      </c>
    </row>
    <row r="68" spans="1:44" s="206" customFormat="1" x14ac:dyDescent="0.25">
      <c r="A68" s="222">
        <v>45870</v>
      </c>
      <c r="B68" s="206" t="s">
        <v>40</v>
      </c>
      <c r="C68" s="206" t="s">
        <v>41</v>
      </c>
      <c r="D68" s="206">
        <v>25708468</v>
      </c>
      <c r="E68" s="206">
        <v>25106894</v>
      </c>
      <c r="F68" s="206" t="s">
        <v>1248</v>
      </c>
      <c r="G68" s="223">
        <v>45894</v>
      </c>
      <c r="H68" s="206" t="s">
        <v>203</v>
      </c>
      <c r="I68" s="206" t="s">
        <v>1249</v>
      </c>
      <c r="J68" s="206" t="s">
        <v>1250</v>
      </c>
      <c r="K68" s="224">
        <v>20</v>
      </c>
      <c r="L68" s="224" t="s">
        <v>42</v>
      </c>
      <c r="M68" s="224">
        <v>20</v>
      </c>
      <c r="N68" s="224">
        <v>627808.72</v>
      </c>
      <c r="O68" s="224">
        <v>12556174.4</v>
      </c>
      <c r="P68" s="224">
        <v>12556174.4</v>
      </c>
      <c r="Q68" s="224">
        <v>0</v>
      </c>
      <c r="R68" s="224">
        <v>0</v>
      </c>
      <c r="S68" s="224" t="s">
        <v>43</v>
      </c>
      <c r="T68" s="224">
        <v>6499591</v>
      </c>
      <c r="U68" s="224">
        <v>6499591</v>
      </c>
      <c r="V68" s="224">
        <v>6056583.4000000004</v>
      </c>
      <c r="W68" s="230">
        <v>0.48235897392400001</v>
      </c>
      <c r="X68" s="224">
        <v>6056583.4000000004</v>
      </c>
      <c r="Y68" s="206" t="s">
        <v>66</v>
      </c>
      <c r="Z68" s="206" t="s">
        <v>44</v>
      </c>
      <c r="AA68" s="206">
        <v>15191</v>
      </c>
      <c r="AB68" s="206" t="s">
        <v>813</v>
      </c>
      <c r="AC68" s="206" t="s">
        <v>56</v>
      </c>
      <c r="AD68" s="206" t="s">
        <v>77</v>
      </c>
      <c r="AE68" s="206">
        <v>0</v>
      </c>
      <c r="AF68" s="206" t="s">
        <v>68</v>
      </c>
      <c r="AG68" s="206" t="s">
        <v>69</v>
      </c>
      <c r="AH68" s="206" t="s">
        <v>46</v>
      </c>
      <c r="AI68" s="206" t="s">
        <v>69</v>
      </c>
      <c r="AJ68" s="206" t="s">
        <v>46</v>
      </c>
      <c r="AK68" s="206" t="s">
        <v>54</v>
      </c>
      <c r="AL68" s="206" t="s">
        <v>48</v>
      </c>
      <c r="AM68" s="206" t="s">
        <v>64</v>
      </c>
      <c r="AN68" s="206" t="str">
        <f>VLOOKUP(I68,Sheet1!A:D,4,FALSE)</f>
        <v>A320400</v>
      </c>
      <c r="AP68" s="206" t="s">
        <v>698</v>
      </c>
      <c r="AR68" s="206" t="s">
        <v>1261</v>
      </c>
    </row>
    <row r="69" spans="1:44" s="206" customFormat="1" x14ac:dyDescent="0.25">
      <c r="A69" s="222">
        <v>45870</v>
      </c>
      <c r="B69" s="206" t="s">
        <v>40</v>
      </c>
      <c r="C69" s="206" t="s">
        <v>41</v>
      </c>
      <c r="D69" s="206">
        <v>25708469</v>
      </c>
      <c r="E69" s="206">
        <v>25106893</v>
      </c>
      <c r="F69" s="206" t="s">
        <v>1251</v>
      </c>
      <c r="G69" s="223">
        <v>45894</v>
      </c>
      <c r="H69" s="206" t="s">
        <v>203</v>
      </c>
      <c r="I69" s="206" t="s">
        <v>1249</v>
      </c>
      <c r="J69" s="206" t="s">
        <v>1250</v>
      </c>
      <c r="K69" s="224">
        <v>20</v>
      </c>
      <c r="L69" s="224" t="s">
        <v>42</v>
      </c>
      <c r="M69" s="224">
        <v>20</v>
      </c>
      <c r="N69" s="224">
        <v>627808.72</v>
      </c>
      <c r="O69" s="224">
        <v>12556174.4</v>
      </c>
      <c r="P69" s="224">
        <v>12556174.4</v>
      </c>
      <c r="Q69" s="224">
        <v>0</v>
      </c>
      <c r="R69" s="224">
        <v>0</v>
      </c>
      <c r="S69" s="224" t="s">
        <v>43</v>
      </c>
      <c r="T69" s="224">
        <v>6499591</v>
      </c>
      <c r="U69" s="224">
        <v>6499591</v>
      </c>
      <c r="V69" s="224">
        <v>6056583.4000000004</v>
      </c>
      <c r="W69" s="230">
        <v>0.48235897392400001</v>
      </c>
      <c r="X69" s="224">
        <v>6056583.4000000004</v>
      </c>
      <c r="Y69" s="206" t="s">
        <v>66</v>
      </c>
      <c r="Z69" s="206" t="s">
        <v>44</v>
      </c>
      <c r="AA69" s="206">
        <v>15191</v>
      </c>
      <c r="AB69" s="206" t="s">
        <v>813</v>
      </c>
      <c r="AC69" s="206" t="s">
        <v>56</v>
      </c>
      <c r="AD69" s="206" t="s">
        <v>77</v>
      </c>
      <c r="AE69" s="206">
        <v>0</v>
      </c>
      <c r="AF69" s="206" t="s">
        <v>68</v>
      </c>
      <c r="AG69" s="206" t="s">
        <v>69</v>
      </c>
      <c r="AH69" s="206" t="s">
        <v>46</v>
      </c>
      <c r="AI69" s="206" t="s">
        <v>69</v>
      </c>
      <c r="AJ69" s="206" t="s">
        <v>46</v>
      </c>
      <c r="AK69" s="206" t="s">
        <v>54</v>
      </c>
      <c r="AL69" s="206" t="s">
        <v>48</v>
      </c>
      <c r="AM69" s="206" t="s">
        <v>64</v>
      </c>
      <c r="AN69" s="206" t="str">
        <f>VLOOKUP(I69,Sheet1!A:D,4,FALSE)</f>
        <v>A320400</v>
      </c>
      <c r="AP69" s="206" t="s">
        <v>698</v>
      </c>
      <c r="AR69" s="206" t="s">
        <v>1261</v>
      </c>
    </row>
    <row r="70" spans="1:44" s="206" customFormat="1" x14ac:dyDescent="0.25">
      <c r="A70" s="222">
        <v>45901</v>
      </c>
      <c r="B70" s="206" t="s">
        <v>40</v>
      </c>
      <c r="C70" s="206" t="s">
        <v>41</v>
      </c>
      <c r="D70" s="206">
        <v>25708490</v>
      </c>
      <c r="E70" s="206">
        <v>25106838</v>
      </c>
      <c r="F70" s="206" t="s">
        <v>1276</v>
      </c>
      <c r="G70" s="223">
        <v>45909</v>
      </c>
      <c r="H70" s="206" t="s">
        <v>203</v>
      </c>
      <c r="I70" s="206" t="s">
        <v>209</v>
      </c>
      <c r="J70" s="206" t="s">
        <v>210</v>
      </c>
      <c r="K70" s="224">
        <v>8</v>
      </c>
      <c r="L70" s="224" t="s">
        <v>42</v>
      </c>
      <c r="M70" s="224">
        <v>8</v>
      </c>
      <c r="N70" s="224">
        <v>950681.78</v>
      </c>
      <c r="O70" s="224">
        <v>7605454.2400000002</v>
      </c>
      <c r="P70" s="224">
        <v>7605454.2400000002</v>
      </c>
      <c r="Q70" s="224">
        <v>0</v>
      </c>
      <c r="R70" s="224">
        <v>0</v>
      </c>
      <c r="S70" s="224" t="s">
        <v>43</v>
      </c>
      <c r="T70" s="224">
        <v>5398260.8799999999</v>
      </c>
      <c r="U70" s="224">
        <v>5398260.8799999999</v>
      </c>
      <c r="V70" s="224">
        <v>2207193.36</v>
      </c>
      <c r="W70" s="230">
        <v>0.29021190455500001</v>
      </c>
      <c r="X70" s="224">
        <v>2207193.36</v>
      </c>
      <c r="Y70" s="206" t="s">
        <v>101</v>
      </c>
      <c r="Z70" s="206" t="s">
        <v>46</v>
      </c>
      <c r="AA70" s="206">
        <v>15440</v>
      </c>
      <c r="AB70" s="206" t="s">
        <v>211</v>
      </c>
      <c r="AC70" s="206" t="s">
        <v>56</v>
      </c>
      <c r="AD70" s="206" t="s">
        <v>103</v>
      </c>
      <c r="AE70" s="206">
        <v>0</v>
      </c>
      <c r="AF70" s="206" t="s">
        <v>212</v>
      </c>
      <c r="AG70" s="206" t="s">
        <v>213</v>
      </c>
      <c r="AH70" s="206" t="s">
        <v>57</v>
      </c>
      <c r="AI70" s="206" t="s">
        <v>101</v>
      </c>
      <c r="AJ70" s="206" t="s">
        <v>46</v>
      </c>
      <c r="AK70" s="206" t="s">
        <v>54</v>
      </c>
      <c r="AL70" s="206" t="s">
        <v>48</v>
      </c>
      <c r="AM70" s="206" t="s">
        <v>64</v>
      </c>
      <c r="AN70" s="206" t="str">
        <f>VLOOKUP(I70,Sheet1!A:D,4,FALSE)</f>
        <v>A320400</v>
      </c>
      <c r="AP70" s="206" t="s">
        <v>699</v>
      </c>
      <c r="AR70" s="133" t="s">
        <v>1283</v>
      </c>
    </row>
    <row r="71" spans="1:44" s="206" customFormat="1" x14ac:dyDescent="0.25">
      <c r="A71" s="222">
        <v>45901</v>
      </c>
      <c r="B71" s="206" t="s">
        <v>40</v>
      </c>
      <c r="C71" s="206" t="s">
        <v>41</v>
      </c>
      <c r="D71" s="206">
        <v>25708491</v>
      </c>
      <c r="E71" s="206">
        <v>25106839</v>
      </c>
      <c r="F71" s="206" t="s">
        <v>1277</v>
      </c>
      <c r="G71" s="223">
        <v>45909</v>
      </c>
      <c r="H71" s="206" t="s">
        <v>203</v>
      </c>
      <c r="I71" s="206" t="s">
        <v>122</v>
      </c>
      <c r="J71" s="206" t="s">
        <v>238</v>
      </c>
      <c r="K71" s="224">
        <v>20</v>
      </c>
      <c r="L71" s="224" t="s">
        <v>42</v>
      </c>
      <c r="M71" s="224">
        <v>20</v>
      </c>
      <c r="N71" s="224">
        <v>459197.24</v>
      </c>
      <c r="O71" s="224">
        <v>9183944.8000000007</v>
      </c>
      <c r="P71" s="224">
        <v>9183944.8000000007</v>
      </c>
      <c r="Q71" s="224">
        <v>0</v>
      </c>
      <c r="R71" s="224">
        <v>0</v>
      </c>
      <c r="S71" s="224" t="s">
        <v>43</v>
      </c>
      <c r="T71" s="224">
        <v>4615634</v>
      </c>
      <c r="U71" s="224">
        <v>4615634</v>
      </c>
      <c r="V71" s="224">
        <v>4568310.8</v>
      </c>
      <c r="W71" s="230">
        <v>0.49742359078600001</v>
      </c>
      <c r="X71" s="224">
        <v>4568310.8</v>
      </c>
      <c r="Y71" s="206" t="s">
        <v>101</v>
      </c>
      <c r="Z71" s="206" t="s">
        <v>46</v>
      </c>
      <c r="AA71" s="206">
        <v>15440</v>
      </c>
      <c r="AB71" s="206" t="s">
        <v>211</v>
      </c>
      <c r="AC71" s="206" t="s">
        <v>56</v>
      </c>
      <c r="AD71" s="206" t="s">
        <v>103</v>
      </c>
      <c r="AE71" s="206">
        <v>0</v>
      </c>
      <c r="AF71" s="206" t="s">
        <v>212</v>
      </c>
      <c r="AG71" s="206" t="s">
        <v>213</v>
      </c>
      <c r="AH71" s="206" t="s">
        <v>57</v>
      </c>
      <c r="AI71" s="206" t="s">
        <v>101</v>
      </c>
      <c r="AJ71" s="206" t="s">
        <v>46</v>
      </c>
      <c r="AK71" s="206" t="s">
        <v>54</v>
      </c>
      <c r="AL71" s="206" t="s">
        <v>48</v>
      </c>
      <c r="AM71" s="206" t="s">
        <v>64</v>
      </c>
      <c r="AN71" s="206" t="str">
        <f>VLOOKUP(I71,Sheet1!A:D,4,FALSE)</f>
        <v>A320400</v>
      </c>
      <c r="AP71" s="206" t="s">
        <v>699</v>
      </c>
      <c r="AR71" s="133" t="s">
        <v>1283</v>
      </c>
    </row>
    <row r="72" spans="1:44" s="206" customFormat="1" x14ac:dyDescent="0.25">
      <c r="A72" s="222">
        <v>45901</v>
      </c>
      <c r="B72" s="206" t="s">
        <v>40</v>
      </c>
      <c r="C72" s="206" t="s">
        <v>41</v>
      </c>
      <c r="D72" s="206">
        <v>25708492</v>
      </c>
      <c r="E72" s="206">
        <v>25106840</v>
      </c>
      <c r="F72" s="206" t="s">
        <v>1278</v>
      </c>
      <c r="G72" s="223">
        <v>45909</v>
      </c>
      <c r="H72" s="206" t="s">
        <v>203</v>
      </c>
      <c r="I72" s="206" t="s">
        <v>223</v>
      </c>
      <c r="J72" s="206" t="s">
        <v>224</v>
      </c>
      <c r="K72" s="224">
        <v>1</v>
      </c>
      <c r="L72" s="224" t="s">
        <v>42</v>
      </c>
      <c r="M72" s="224">
        <v>1</v>
      </c>
      <c r="N72" s="224">
        <v>11205977.98</v>
      </c>
      <c r="O72" s="224">
        <v>11205977.98</v>
      </c>
      <c r="P72" s="224">
        <v>11205977.98</v>
      </c>
      <c r="Q72" s="224">
        <v>0</v>
      </c>
      <c r="R72" s="224">
        <v>0</v>
      </c>
      <c r="S72" s="224" t="s">
        <v>43</v>
      </c>
      <c r="T72" s="224">
        <v>5414327.6799999997</v>
      </c>
      <c r="U72" s="224">
        <v>5414327.6799999997</v>
      </c>
      <c r="V72" s="224">
        <v>5791650.2999999998</v>
      </c>
      <c r="W72" s="230">
        <v>0.51683577375699996</v>
      </c>
      <c r="X72" s="224">
        <v>5791650.2999999998</v>
      </c>
      <c r="Y72" s="206" t="s">
        <v>101</v>
      </c>
      <c r="Z72" s="206" t="s">
        <v>46</v>
      </c>
      <c r="AA72" s="206">
        <v>15440</v>
      </c>
      <c r="AB72" s="206" t="s">
        <v>211</v>
      </c>
      <c r="AC72" s="206" t="s">
        <v>56</v>
      </c>
      <c r="AD72" s="206" t="s">
        <v>103</v>
      </c>
      <c r="AE72" s="206">
        <v>0</v>
      </c>
      <c r="AF72" s="206" t="s">
        <v>207</v>
      </c>
      <c r="AG72" s="206" t="s">
        <v>101</v>
      </c>
      <c r="AH72" s="206" t="s">
        <v>46</v>
      </c>
      <c r="AI72" s="206" t="s">
        <v>101</v>
      </c>
      <c r="AJ72" s="206" t="s">
        <v>46</v>
      </c>
      <c r="AK72" s="206" t="s">
        <v>54</v>
      </c>
      <c r="AL72" s="206" t="s">
        <v>48</v>
      </c>
      <c r="AM72" s="206" t="s">
        <v>64</v>
      </c>
      <c r="AN72" s="206" t="str">
        <f>VLOOKUP(I72,Sheet1!A:D,4,FALSE)</f>
        <v>A320400</v>
      </c>
      <c r="AP72" s="206" t="s">
        <v>699</v>
      </c>
      <c r="AR72" s="133" t="s">
        <v>1283</v>
      </c>
    </row>
    <row r="73" spans="1:44" s="206" customFormat="1" x14ac:dyDescent="0.25">
      <c r="A73" s="222">
        <v>45901</v>
      </c>
      <c r="B73" s="206" t="s">
        <v>40</v>
      </c>
      <c r="C73" s="206" t="s">
        <v>41</v>
      </c>
      <c r="D73" s="206">
        <v>25708493</v>
      </c>
      <c r="E73" s="206">
        <v>25106841</v>
      </c>
      <c r="F73" s="206" t="s">
        <v>1279</v>
      </c>
      <c r="G73" s="223">
        <v>45909</v>
      </c>
      <c r="H73" s="206" t="s">
        <v>203</v>
      </c>
      <c r="I73" s="206" t="s">
        <v>204</v>
      </c>
      <c r="J73" s="206" t="s">
        <v>205</v>
      </c>
      <c r="K73" s="224">
        <v>100</v>
      </c>
      <c r="L73" s="224" t="s">
        <v>42</v>
      </c>
      <c r="M73" s="224">
        <v>100</v>
      </c>
      <c r="N73" s="224">
        <v>207095.34</v>
      </c>
      <c r="O73" s="224">
        <v>20709534</v>
      </c>
      <c r="P73" s="224">
        <v>20709534</v>
      </c>
      <c r="Q73" s="224">
        <v>0</v>
      </c>
      <c r="R73" s="224">
        <v>0</v>
      </c>
      <c r="S73" s="224" t="s">
        <v>43</v>
      </c>
      <c r="T73" s="224">
        <v>15312952.050000001</v>
      </c>
      <c r="U73" s="224">
        <v>15312952.050000001</v>
      </c>
      <c r="V73" s="224">
        <v>5396581.9500000002</v>
      </c>
      <c r="W73" s="230">
        <v>0.26058442213100003</v>
      </c>
      <c r="X73" s="224">
        <v>5396581.9500000002</v>
      </c>
      <c r="Y73" s="206" t="s">
        <v>101</v>
      </c>
      <c r="Z73" s="206" t="s">
        <v>46</v>
      </c>
      <c r="AA73" s="206">
        <v>15440</v>
      </c>
      <c r="AB73" s="206" t="s">
        <v>211</v>
      </c>
      <c r="AC73" s="206" t="s">
        <v>56</v>
      </c>
      <c r="AD73" s="206" t="s">
        <v>103</v>
      </c>
      <c r="AE73" s="206">
        <v>0</v>
      </c>
      <c r="AF73" s="206" t="s">
        <v>207</v>
      </c>
      <c r="AG73" s="206" t="s">
        <v>101</v>
      </c>
      <c r="AH73" s="206" t="s">
        <v>46</v>
      </c>
      <c r="AI73" s="206" t="s">
        <v>101</v>
      </c>
      <c r="AJ73" s="206" t="s">
        <v>46</v>
      </c>
      <c r="AK73" s="206" t="s">
        <v>54</v>
      </c>
      <c r="AL73" s="206" t="s">
        <v>48</v>
      </c>
      <c r="AM73" s="206" t="s">
        <v>64</v>
      </c>
      <c r="AN73" s="206" t="str">
        <f>VLOOKUP(I73,Sheet1!A:D,4,FALSE)</f>
        <v>A320400</v>
      </c>
      <c r="AP73" s="206" t="s">
        <v>699</v>
      </c>
      <c r="AR73" s="133" t="s">
        <v>1283</v>
      </c>
    </row>
    <row r="74" spans="1:44" s="206" customFormat="1" x14ac:dyDescent="0.25">
      <c r="A74" s="222">
        <v>45901</v>
      </c>
      <c r="B74" s="206" t="s">
        <v>40</v>
      </c>
      <c r="C74" s="206" t="s">
        <v>41</v>
      </c>
      <c r="D74" s="206">
        <v>25708494</v>
      </c>
      <c r="E74" s="206">
        <v>25106842</v>
      </c>
      <c r="F74" s="206" t="s">
        <v>1280</v>
      </c>
      <c r="G74" s="223">
        <v>45909</v>
      </c>
      <c r="H74" s="206" t="s">
        <v>203</v>
      </c>
      <c r="I74" s="206" t="s">
        <v>226</v>
      </c>
      <c r="J74" s="206" t="s">
        <v>227</v>
      </c>
      <c r="K74" s="224">
        <v>500</v>
      </c>
      <c r="L74" s="224" t="s">
        <v>42</v>
      </c>
      <c r="M74" s="224">
        <v>500</v>
      </c>
      <c r="N74" s="224">
        <v>201877.19</v>
      </c>
      <c r="O74" s="224">
        <v>100938595</v>
      </c>
      <c r="P74" s="224">
        <v>100938595</v>
      </c>
      <c r="Q74" s="224">
        <v>0</v>
      </c>
      <c r="R74" s="224">
        <v>0</v>
      </c>
      <c r="S74" s="224" t="s">
        <v>43</v>
      </c>
      <c r="T74" s="224">
        <v>73496098.810000002</v>
      </c>
      <c r="U74" s="224">
        <v>73496098.810000002</v>
      </c>
      <c r="V74" s="224">
        <v>27442496.190000001</v>
      </c>
      <c r="W74" s="230">
        <v>0.27187317388299997</v>
      </c>
      <c r="X74" s="224">
        <v>27442496.190000001</v>
      </c>
      <c r="Y74" s="206" t="s">
        <v>101</v>
      </c>
      <c r="Z74" s="206" t="s">
        <v>46</v>
      </c>
      <c r="AA74" s="206">
        <v>15440</v>
      </c>
      <c r="AB74" s="206" t="s">
        <v>211</v>
      </c>
      <c r="AC74" s="206" t="s">
        <v>56</v>
      </c>
      <c r="AD74" s="206" t="s">
        <v>103</v>
      </c>
      <c r="AE74" s="206">
        <v>0</v>
      </c>
      <c r="AF74" s="206" t="s">
        <v>212</v>
      </c>
      <c r="AG74" s="206" t="s">
        <v>213</v>
      </c>
      <c r="AH74" s="206" t="s">
        <v>57</v>
      </c>
      <c r="AI74" s="206" t="s">
        <v>101</v>
      </c>
      <c r="AJ74" s="206" t="s">
        <v>46</v>
      </c>
      <c r="AK74" s="206" t="s">
        <v>54</v>
      </c>
      <c r="AL74" s="206" t="s">
        <v>48</v>
      </c>
      <c r="AM74" s="206" t="s">
        <v>64</v>
      </c>
      <c r="AN74" s="206" t="str">
        <f>VLOOKUP(I74,Sheet1!A:D,4,FALSE)</f>
        <v>A320400</v>
      </c>
      <c r="AO74" s="133"/>
      <c r="AP74" s="206" t="s">
        <v>699</v>
      </c>
      <c r="AR74" s="133" t="s">
        <v>1283</v>
      </c>
    </row>
    <row r="75" spans="1:44" s="206" customFormat="1" x14ac:dyDescent="0.25">
      <c r="A75" s="222">
        <v>45901</v>
      </c>
      <c r="B75" s="206" t="s">
        <v>40</v>
      </c>
      <c r="C75" s="206" t="s">
        <v>41</v>
      </c>
      <c r="D75" s="206">
        <v>25708495</v>
      </c>
      <c r="E75" s="206">
        <v>25106843</v>
      </c>
      <c r="F75" s="206" t="s">
        <v>1281</v>
      </c>
      <c r="G75" s="223">
        <v>45909</v>
      </c>
      <c r="H75" s="206" t="s">
        <v>203</v>
      </c>
      <c r="I75" s="206" t="s">
        <v>216</v>
      </c>
      <c r="J75" s="206" t="s">
        <v>217</v>
      </c>
      <c r="K75" s="224">
        <v>40</v>
      </c>
      <c r="L75" s="224" t="s">
        <v>42</v>
      </c>
      <c r="M75" s="224">
        <v>40</v>
      </c>
      <c r="N75" s="224">
        <v>590303.26</v>
      </c>
      <c r="O75" s="224">
        <v>23612130.399999999</v>
      </c>
      <c r="P75" s="224">
        <v>23612130.399999999</v>
      </c>
      <c r="Q75" s="224">
        <v>0</v>
      </c>
      <c r="R75" s="224">
        <v>0</v>
      </c>
      <c r="S75" s="224" t="s">
        <v>43</v>
      </c>
      <c r="T75" s="224">
        <v>12207024.880000001</v>
      </c>
      <c r="U75" s="224">
        <v>12207024.880000001</v>
      </c>
      <c r="V75" s="224">
        <v>11405105.52</v>
      </c>
      <c r="W75" s="230">
        <v>0.48301891133000002</v>
      </c>
      <c r="X75" s="224">
        <v>11405105.52</v>
      </c>
      <c r="Y75" s="206" t="s">
        <v>101</v>
      </c>
      <c r="Z75" s="206" t="s">
        <v>46</v>
      </c>
      <c r="AA75" s="206">
        <v>15440</v>
      </c>
      <c r="AB75" s="206" t="s">
        <v>211</v>
      </c>
      <c r="AC75" s="206" t="s">
        <v>56</v>
      </c>
      <c r="AD75" s="206" t="s">
        <v>103</v>
      </c>
      <c r="AE75" s="206">
        <v>0</v>
      </c>
      <c r="AF75" s="206" t="s">
        <v>212</v>
      </c>
      <c r="AG75" s="206" t="s">
        <v>101</v>
      </c>
      <c r="AH75" s="206" t="s">
        <v>46</v>
      </c>
      <c r="AI75" s="206" t="s">
        <v>101</v>
      </c>
      <c r="AJ75" s="206" t="s">
        <v>46</v>
      </c>
      <c r="AK75" s="206" t="s">
        <v>54</v>
      </c>
      <c r="AL75" s="206" t="s">
        <v>48</v>
      </c>
      <c r="AM75" s="206" t="s">
        <v>64</v>
      </c>
      <c r="AN75" s="206" t="str">
        <f>VLOOKUP(I75,Sheet1!A:D,4,FALSE)</f>
        <v>A320400</v>
      </c>
      <c r="AO75" s="133"/>
      <c r="AP75" s="206" t="s">
        <v>699</v>
      </c>
      <c r="AR75" s="133" t="s">
        <v>1283</v>
      </c>
    </row>
    <row r="76" spans="1:44" s="206" customFormat="1" x14ac:dyDescent="0.25">
      <c r="A76" s="222">
        <v>45901</v>
      </c>
      <c r="B76" s="206" t="s">
        <v>40</v>
      </c>
      <c r="C76" s="206" t="s">
        <v>41</v>
      </c>
      <c r="D76" s="206">
        <v>25708496</v>
      </c>
      <c r="E76" s="206">
        <v>25106844</v>
      </c>
      <c r="F76" s="206" t="s">
        <v>1282</v>
      </c>
      <c r="G76" s="223">
        <v>45909</v>
      </c>
      <c r="H76" s="206" t="s">
        <v>203</v>
      </c>
      <c r="I76" s="206" t="s">
        <v>216</v>
      </c>
      <c r="J76" s="206" t="s">
        <v>217</v>
      </c>
      <c r="K76" s="224">
        <v>40</v>
      </c>
      <c r="L76" s="224" t="s">
        <v>42</v>
      </c>
      <c r="M76" s="224">
        <v>40</v>
      </c>
      <c r="N76" s="224">
        <v>590303.26</v>
      </c>
      <c r="O76" s="224">
        <v>23612130.399999999</v>
      </c>
      <c r="P76" s="224">
        <v>23612130.399999999</v>
      </c>
      <c r="Q76" s="224">
        <v>0</v>
      </c>
      <c r="R76" s="224">
        <v>0</v>
      </c>
      <c r="S76" s="224" t="s">
        <v>43</v>
      </c>
      <c r="T76" s="224">
        <v>12207024.880000001</v>
      </c>
      <c r="U76" s="224">
        <v>12207024.880000001</v>
      </c>
      <c r="V76" s="224">
        <v>11405105.52</v>
      </c>
      <c r="W76" s="230">
        <v>0.48301891133000002</v>
      </c>
      <c r="X76" s="224">
        <v>11405105.52</v>
      </c>
      <c r="Y76" s="206" t="s">
        <v>101</v>
      </c>
      <c r="Z76" s="206" t="s">
        <v>46</v>
      </c>
      <c r="AA76" s="206">
        <v>15440</v>
      </c>
      <c r="AB76" s="206" t="s">
        <v>211</v>
      </c>
      <c r="AC76" s="206" t="s">
        <v>56</v>
      </c>
      <c r="AD76" s="206" t="s">
        <v>103</v>
      </c>
      <c r="AE76" s="206">
        <v>0</v>
      </c>
      <c r="AF76" s="206" t="s">
        <v>212</v>
      </c>
      <c r="AG76" s="206" t="s">
        <v>101</v>
      </c>
      <c r="AH76" s="206" t="s">
        <v>46</v>
      </c>
      <c r="AI76" s="206" t="s">
        <v>101</v>
      </c>
      <c r="AJ76" s="206" t="s">
        <v>46</v>
      </c>
      <c r="AK76" s="206" t="s">
        <v>54</v>
      </c>
      <c r="AL76" s="206" t="s">
        <v>48</v>
      </c>
      <c r="AM76" s="206" t="s">
        <v>64</v>
      </c>
      <c r="AN76" s="206" t="str">
        <f>VLOOKUP(I76,Sheet1!A:D,4,FALSE)</f>
        <v>A320400</v>
      </c>
      <c r="AO76" s="133"/>
      <c r="AP76" s="206" t="s">
        <v>699</v>
      </c>
    </row>
    <row r="77" spans="1:44" s="285" customFormat="1" x14ac:dyDescent="0.25">
      <c r="A77" s="284">
        <v>45901</v>
      </c>
      <c r="B77" s="285" t="s">
        <v>40</v>
      </c>
      <c r="C77" s="285" t="s">
        <v>41</v>
      </c>
      <c r="D77" s="285">
        <v>25708555</v>
      </c>
      <c r="E77" s="285">
        <v>25106918</v>
      </c>
      <c r="F77" s="285" t="s">
        <v>1348</v>
      </c>
      <c r="G77" s="286">
        <v>45922</v>
      </c>
      <c r="H77" s="285" t="s">
        <v>203</v>
      </c>
      <c r="I77" s="285" t="s">
        <v>403</v>
      </c>
      <c r="J77" s="285" t="s">
        <v>595</v>
      </c>
      <c r="K77" s="287">
        <v>10</v>
      </c>
      <c r="L77" s="287" t="s">
        <v>42</v>
      </c>
      <c r="M77" s="287">
        <v>10</v>
      </c>
      <c r="N77" s="287">
        <v>4239747.2</v>
      </c>
      <c r="O77" s="287">
        <v>42397472</v>
      </c>
      <c r="P77" s="287">
        <v>42397472</v>
      </c>
      <c r="Q77" s="287">
        <v>0</v>
      </c>
      <c r="R77" s="287">
        <v>0</v>
      </c>
      <c r="S77" s="287" t="s">
        <v>43</v>
      </c>
      <c r="T77" s="287">
        <v>23457298.530000001</v>
      </c>
      <c r="U77" s="287">
        <v>23457298.530000001</v>
      </c>
      <c r="V77" s="287">
        <v>18940173.469999999</v>
      </c>
      <c r="W77" s="288">
        <v>0.44672883963400001</v>
      </c>
      <c r="X77" s="287">
        <v>18940173.469999999</v>
      </c>
      <c r="Y77" s="285" t="s">
        <v>235</v>
      </c>
      <c r="Z77" s="285" t="s">
        <v>44</v>
      </c>
      <c r="AA77" s="285">
        <v>15191</v>
      </c>
      <c r="AB77" s="285" t="s">
        <v>206</v>
      </c>
      <c r="AC77" s="285" t="s">
        <v>56</v>
      </c>
      <c r="AD77" s="285" t="s">
        <v>103</v>
      </c>
      <c r="AE77" s="285">
        <v>0</v>
      </c>
      <c r="AF77" s="285" t="s">
        <v>207</v>
      </c>
      <c r="AG77" s="285" t="s">
        <v>101</v>
      </c>
      <c r="AH77" s="285" t="s">
        <v>46</v>
      </c>
      <c r="AI77" s="285" t="s">
        <v>101</v>
      </c>
      <c r="AJ77" s="285" t="s">
        <v>46</v>
      </c>
      <c r="AK77" s="285" t="s">
        <v>54</v>
      </c>
      <c r="AL77" s="285" t="s">
        <v>48</v>
      </c>
      <c r="AM77" s="285" t="s">
        <v>64</v>
      </c>
      <c r="AN77" s="285" t="str">
        <f>VLOOKUP(I77,Sheet1!A:D,4,FALSE)</f>
        <v>A320400</v>
      </c>
      <c r="AO77" s="254"/>
      <c r="AP77" s="285" t="s">
        <v>698</v>
      </c>
      <c r="AR77" s="285" t="s">
        <v>1351</v>
      </c>
    </row>
    <row r="78" spans="1:44" s="4" customFormat="1" x14ac:dyDescent="0.25">
      <c r="A78" s="6"/>
      <c r="G78" s="31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7"/>
      <c r="X78" s="46"/>
      <c r="AN78" s="206" t="e">
        <f>VLOOKUP(I78,Sheet1!A:D,4,FALSE)</f>
        <v>#N/A</v>
      </c>
      <c r="AO78" s="36"/>
    </row>
    <row r="79" spans="1:44" s="4" customFormat="1" x14ac:dyDescent="0.25">
      <c r="A79" s="6"/>
      <c r="G79" s="31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7"/>
      <c r="X79" s="46"/>
      <c r="AN79" s="206" t="e">
        <f>VLOOKUP(I79,Sheet1!A:D,4,FALSE)</f>
        <v>#N/A</v>
      </c>
      <c r="AO79" s="36"/>
    </row>
    <row r="80" spans="1:44" s="4" customFormat="1" x14ac:dyDescent="0.25">
      <c r="A80" s="6"/>
      <c r="G80" s="31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7"/>
      <c r="X80" s="46"/>
      <c r="AN80" s="206" t="e">
        <f>VLOOKUP(I80,Sheet1!A:D,4,FALSE)</f>
        <v>#N/A</v>
      </c>
      <c r="AO80" s="36"/>
    </row>
    <row r="81" spans="1:41" s="4" customFormat="1" x14ac:dyDescent="0.25">
      <c r="A81" s="6"/>
      <c r="G81" s="31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7"/>
      <c r="X81" s="46"/>
      <c r="AN81" s="206" t="e">
        <f>VLOOKUP(I81,Sheet1!A:D,4,FALSE)</f>
        <v>#N/A</v>
      </c>
      <c r="AO81" s="36"/>
    </row>
    <row r="82" spans="1:41" s="4" customFormat="1" x14ac:dyDescent="0.25">
      <c r="A82" s="6"/>
      <c r="G82" s="31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7"/>
      <c r="X82" s="46"/>
      <c r="AN82" s="206" t="e">
        <f>VLOOKUP(I82,Sheet1!A:D,4,FALSE)</f>
        <v>#N/A</v>
      </c>
      <c r="AO82" s="36"/>
    </row>
    <row r="83" spans="1:41" s="4" customFormat="1" x14ac:dyDescent="0.25">
      <c r="A83" s="6"/>
      <c r="G83" s="31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7"/>
      <c r="X83" s="46"/>
      <c r="AN83" s="206" t="e">
        <f>VLOOKUP(I83,Sheet1!A:D,4,FALSE)</f>
        <v>#N/A</v>
      </c>
      <c r="AO83" s="36"/>
    </row>
    <row r="84" spans="1:41" s="4" customFormat="1" x14ac:dyDescent="0.25">
      <c r="A84" s="6"/>
      <c r="G84" s="31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7"/>
      <c r="X84" s="46"/>
      <c r="AN84" s="206" t="e">
        <f>VLOOKUP(I84,Sheet1!A:D,4,FALSE)</f>
        <v>#N/A</v>
      </c>
      <c r="AO84" s="36"/>
    </row>
    <row r="85" spans="1:41" s="4" customFormat="1" x14ac:dyDescent="0.25">
      <c r="A85" s="6"/>
      <c r="G85" s="31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7"/>
      <c r="X85" s="46"/>
      <c r="AN85" s="206" t="e">
        <f>VLOOKUP(I85,Sheet1!A:D,4,FALSE)</f>
        <v>#N/A</v>
      </c>
      <c r="AO85" s="36"/>
    </row>
    <row r="86" spans="1:41" x14ac:dyDescent="0.25"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7"/>
      <c r="X86" s="46"/>
      <c r="AN86" s="206" t="e">
        <f>VLOOKUP(I86,Sheet1!A:D,4,FALSE)</f>
        <v>#N/A</v>
      </c>
      <c r="AO86" s="4"/>
    </row>
    <row r="87" spans="1:41" x14ac:dyDescent="0.25"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7"/>
      <c r="X87" s="46"/>
      <c r="AN87" s="206" t="e">
        <f>VLOOKUP(I87,Sheet1!A:D,4,FALSE)</f>
        <v>#N/A</v>
      </c>
      <c r="AO87" s="4"/>
    </row>
    <row r="88" spans="1:41" x14ac:dyDescent="0.25"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7"/>
      <c r="X88" s="46"/>
      <c r="AN88" s="206" t="e">
        <f>VLOOKUP(I88,Sheet1!A:D,4,FALSE)</f>
        <v>#N/A</v>
      </c>
      <c r="AO88" s="4"/>
    </row>
    <row r="89" spans="1:41" x14ac:dyDescent="0.25"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7"/>
      <c r="X89" s="46"/>
      <c r="AN89" s="206" t="e">
        <f>VLOOKUP(I89,Sheet1!A:D,4,FALSE)</f>
        <v>#N/A</v>
      </c>
      <c r="AO89" s="4"/>
    </row>
    <row r="90" spans="1:41" x14ac:dyDescent="0.25"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7"/>
      <c r="X90" s="46"/>
      <c r="AN90" s="206" t="e">
        <f>VLOOKUP(I90,Sheet1!A:D,4,FALSE)</f>
        <v>#N/A</v>
      </c>
      <c r="AO90" s="4"/>
    </row>
    <row r="91" spans="1:41" x14ac:dyDescent="0.25"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7"/>
      <c r="X91" s="46"/>
      <c r="AN91" s="206" t="e">
        <f>VLOOKUP(I91,Sheet1!A:D,4,FALSE)</f>
        <v>#N/A</v>
      </c>
      <c r="AO91" s="4"/>
    </row>
    <row r="92" spans="1:41" x14ac:dyDescent="0.25"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7"/>
      <c r="X92" s="46"/>
      <c r="AN92" s="206" t="e">
        <f>VLOOKUP(I92,Sheet1!A:D,4,FALSE)</f>
        <v>#N/A</v>
      </c>
      <c r="AO92" s="4"/>
    </row>
    <row r="93" spans="1:41" x14ac:dyDescent="0.25"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7"/>
      <c r="X93" s="46"/>
      <c r="AN93" s="206" t="e">
        <f>VLOOKUP(I93,Sheet1!A:D,4,FALSE)</f>
        <v>#N/A</v>
      </c>
      <c r="AO93" s="4"/>
    </row>
    <row r="94" spans="1:41" x14ac:dyDescent="0.25"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7"/>
      <c r="X94" s="46"/>
      <c r="AN94" s="206" t="e">
        <f>VLOOKUP(I94,Sheet1!A:D,4,FALSE)</f>
        <v>#N/A</v>
      </c>
      <c r="AO94" s="4"/>
    </row>
    <row r="95" spans="1:41" x14ac:dyDescent="0.25"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7"/>
      <c r="X95" s="46"/>
      <c r="AN95" s="206" t="e">
        <f>VLOOKUP(I95,Sheet1!A:D,4,FALSE)</f>
        <v>#N/A</v>
      </c>
      <c r="AO95" s="4"/>
    </row>
    <row r="96" spans="1:41" x14ac:dyDescent="0.25"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7"/>
      <c r="X96" s="46"/>
      <c r="AN96" s="206" t="e">
        <f>VLOOKUP(I96,Sheet1!A:D,4,FALSE)</f>
        <v>#N/A</v>
      </c>
      <c r="AO96" s="4"/>
    </row>
    <row r="97" spans="11:41" x14ac:dyDescent="0.25"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7"/>
      <c r="X97" s="46"/>
      <c r="AN97" s="206" t="e">
        <f>VLOOKUP(I97,Sheet1!A:D,4,FALSE)</f>
        <v>#N/A</v>
      </c>
      <c r="AO97" s="49"/>
    </row>
    <row r="98" spans="11:41" x14ac:dyDescent="0.25"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7"/>
      <c r="X98" s="46"/>
      <c r="AN98" s="206" t="e">
        <f>VLOOKUP(I98,Sheet1!A:D,4,FALSE)</f>
        <v>#N/A</v>
      </c>
      <c r="AO98" s="49"/>
    </row>
    <row r="99" spans="11:41" x14ac:dyDescent="0.25"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7"/>
      <c r="X99" s="46"/>
      <c r="AN99" s="206" t="e">
        <f>VLOOKUP(I99,Sheet1!A:D,4,FALSE)</f>
        <v>#N/A</v>
      </c>
      <c r="AO99" s="49"/>
    </row>
    <row r="100" spans="11:41" x14ac:dyDescent="0.25"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7"/>
      <c r="X100" s="46"/>
      <c r="AN100" s="206" t="e">
        <f>VLOOKUP(I100,Sheet1!A:D,4,FALSE)</f>
        <v>#N/A</v>
      </c>
      <c r="AO100" s="49"/>
    </row>
    <row r="101" spans="11:41" x14ac:dyDescent="0.25"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7"/>
      <c r="X101" s="46"/>
      <c r="AN101" s="206" t="e">
        <f>VLOOKUP(I101,Sheet1!A:D,4,FALSE)</f>
        <v>#N/A</v>
      </c>
      <c r="AO101" s="49"/>
    </row>
    <row r="102" spans="11:41" x14ac:dyDescent="0.25"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7"/>
      <c r="X102" s="46"/>
      <c r="AN102" s="206" t="e">
        <f>VLOOKUP(I102,Sheet1!A:D,4,FALSE)</f>
        <v>#N/A</v>
      </c>
      <c r="AO102" s="49"/>
    </row>
    <row r="103" spans="11:41" x14ac:dyDescent="0.25"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7"/>
      <c r="X103" s="46"/>
      <c r="AN103" s="206" t="e">
        <f>VLOOKUP(I103,Sheet1!A:D,4,FALSE)</f>
        <v>#N/A</v>
      </c>
      <c r="AO103" s="49"/>
    </row>
    <row r="104" spans="11:41" x14ac:dyDescent="0.25"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7"/>
      <c r="X104" s="46"/>
      <c r="AN104" s="206" t="e">
        <f>VLOOKUP(I104,Sheet1!A:D,4,FALSE)</f>
        <v>#N/A</v>
      </c>
      <c r="AO104" s="49"/>
    </row>
    <row r="105" spans="11:41" x14ac:dyDescent="0.25"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7"/>
      <c r="X105" s="46"/>
      <c r="AN105" s="206" t="e">
        <f>VLOOKUP(I105,Sheet1!A:D,4,FALSE)</f>
        <v>#N/A</v>
      </c>
      <c r="AO105" s="49"/>
    </row>
    <row r="106" spans="11:41" x14ac:dyDescent="0.25"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7"/>
      <c r="X106" s="46"/>
      <c r="AN106" s="206" t="e">
        <f>VLOOKUP(I106,Sheet1!A:D,4,FALSE)</f>
        <v>#N/A</v>
      </c>
    </row>
    <row r="107" spans="11:41" x14ac:dyDescent="0.25"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7"/>
      <c r="X107" s="46"/>
      <c r="AN107" s="206" t="e">
        <f>VLOOKUP(I107,Sheet1!A:D,4,FALSE)</f>
        <v>#N/A</v>
      </c>
    </row>
    <row r="108" spans="11:41" x14ac:dyDescent="0.25"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7"/>
      <c r="X108" s="46"/>
      <c r="AN108" s="206" t="e">
        <f>VLOOKUP(I108,Sheet1!A:D,4,FALSE)</f>
        <v>#N/A</v>
      </c>
    </row>
    <row r="109" spans="11:41" x14ac:dyDescent="0.25"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7"/>
      <c r="X109" s="46"/>
      <c r="AN109" s="206" t="e">
        <f>VLOOKUP(I109,Sheet1!A:D,4,FALSE)</f>
        <v>#N/A</v>
      </c>
    </row>
    <row r="110" spans="11:41" x14ac:dyDescent="0.25"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7"/>
      <c r="X110" s="46"/>
      <c r="AN110" s="206" t="e">
        <f>VLOOKUP(I110,Sheet1!A:D,4,FALSE)</f>
        <v>#N/A</v>
      </c>
    </row>
    <row r="111" spans="11:41" x14ac:dyDescent="0.25"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7"/>
      <c r="X111" s="46"/>
      <c r="AN111" s="206" t="e">
        <f>VLOOKUP(I111,Sheet1!A:D,4,FALSE)</f>
        <v>#N/A</v>
      </c>
    </row>
    <row r="112" spans="11:41" x14ac:dyDescent="0.25"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46"/>
      <c r="AN112" s="206" t="e">
        <f>VLOOKUP(I112,Sheet1!A:D,4,FALSE)</f>
        <v>#N/A</v>
      </c>
    </row>
    <row r="113" spans="11:40" x14ac:dyDescent="0.25"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46"/>
      <c r="AN113" s="206" t="e">
        <f>VLOOKUP(I113,Sheet1!A:D,4,FALSE)</f>
        <v>#N/A</v>
      </c>
    </row>
    <row r="114" spans="11:40" x14ac:dyDescent="0.25"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46"/>
      <c r="AN114" s="206" t="e">
        <f>VLOOKUP(I114,Sheet1!A:D,4,FALSE)</f>
        <v>#N/A</v>
      </c>
    </row>
    <row r="115" spans="11:40" x14ac:dyDescent="0.25"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7"/>
      <c r="X115" s="46"/>
      <c r="AN115" s="206" t="e">
        <f>VLOOKUP(I115,Sheet1!A:D,4,FALSE)</f>
        <v>#N/A</v>
      </c>
    </row>
    <row r="116" spans="11:40" x14ac:dyDescent="0.25"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7"/>
      <c r="X116" s="46"/>
      <c r="AN116" s="206" t="e">
        <f>VLOOKUP(I116,Sheet1!A:D,4,FALSE)</f>
        <v>#N/A</v>
      </c>
    </row>
    <row r="117" spans="11:40" x14ac:dyDescent="0.25"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7"/>
      <c r="X117" s="46"/>
      <c r="AN117" s="206" t="e">
        <f>VLOOKUP(I117,Sheet1!A:D,4,FALSE)</f>
        <v>#N/A</v>
      </c>
    </row>
    <row r="118" spans="11:40" x14ac:dyDescent="0.25"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7"/>
      <c r="X118" s="46"/>
      <c r="AN118" s="206" t="e">
        <f>VLOOKUP(I118,Sheet1!A:D,4,FALSE)</f>
        <v>#N/A</v>
      </c>
    </row>
    <row r="119" spans="11:40" x14ac:dyDescent="0.25"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7"/>
      <c r="X119" s="46"/>
      <c r="AN119" s="206" t="e">
        <f>VLOOKUP(I119,Sheet1!A:D,4,FALSE)</f>
        <v>#N/A</v>
      </c>
    </row>
    <row r="120" spans="11:40" x14ac:dyDescent="0.25"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7"/>
      <c r="X120" s="46"/>
      <c r="AN120" s="206" t="e">
        <f>VLOOKUP(I120,Sheet1!A:D,4,FALSE)</f>
        <v>#N/A</v>
      </c>
    </row>
    <row r="121" spans="11:40" x14ac:dyDescent="0.25"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7"/>
      <c r="X121" s="46"/>
      <c r="AN121" s="206" t="e">
        <f>VLOOKUP(I121,Sheet1!A:D,4,FALSE)</f>
        <v>#N/A</v>
      </c>
    </row>
    <row r="122" spans="11:40" x14ac:dyDescent="0.25"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7"/>
      <c r="X122" s="46"/>
      <c r="AN122" s="206" t="e">
        <f>VLOOKUP(I122,Sheet1!A:D,4,FALSE)</f>
        <v>#N/A</v>
      </c>
    </row>
    <row r="123" spans="11:40" x14ac:dyDescent="0.25"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7"/>
      <c r="X123" s="46"/>
      <c r="AN123" s="206" t="e">
        <f>VLOOKUP(I123,Sheet1!A:D,4,FALSE)</f>
        <v>#N/A</v>
      </c>
    </row>
    <row r="124" spans="11:40" x14ac:dyDescent="0.25"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7"/>
      <c r="X124" s="46"/>
      <c r="AN124" s="206" t="e">
        <f>VLOOKUP(I124,Sheet1!A:D,4,FALSE)</f>
        <v>#N/A</v>
      </c>
    </row>
    <row r="125" spans="11:40" x14ac:dyDescent="0.25"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7"/>
      <c r="X125" s="46"/>
      <c r="AN125" s="206" t="e">
        <f>VLOOKUP(I125,Sheet1!A:D,4,FALSE)</f>
        <v>#N/A</v>
      </c>
    </row>
    <row r="126" spans="11:40" x14ac:dyDescent="0.25"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7"/>
      <c r="X126" s="46"/>
      <c r="AN126" s="206" t="e">
        <f>VLOOKUP(I126,Sheet1!A:D,4,FALSE)</f>
        <v>#N/A</v>
      </c>
    </row>
    <row r="127" spans="11:40" x14ac:dyDescent="0.25"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7"/>
      <c r="X127" s="46"/>
      <c r="AN127" s="206" t="e">
        <f>VLOOKUP(I127,Sheet1!A:D,4,FALSE)</f>
        <v>#N/A</v>
      </c>
    </row>
    <row r="128" spans="11:40" x14ac:dyDescent="0.25"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7"/>
      <c r="X128" s="46"/>
      <c r="AN128" s="206" t="e">
        <f>VLOOKUP(I128,Sheet1!A:D,4,FALSE)</f>
        <v>#N/A</v>
      </c>
    </row>
    <row r="129" spans="11:40" x14ac:dyDescent="0.25"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7"/>
      <c r="X129" s="46"/>
      <c r="AN129" s="206" t="e">
        <f>VLOOKUP(I129,Sheet1!A:D,4,FALSE)</f>
        <v>#N/A</v>
      </c>
    </row>
    <row r="130" spans="11:40" x14ac:dyDescent="0.25"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7"/>
      <c r="X130" s="46"/>
      <c r="AN130" s="206" t="e">
        <f>VLOOKUP(I130,Sheet1!A:D,4,FALSE)</f>
        <v>#N/A</v>
      </c>
    </row>
    <row r="131" spans="11:40" x14ac:dyDescent="0.25"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7"/>
      <c r="X131" s="46"/>
      <c r="AN131" s="206" t="e">
        <f>VLOOKUP(I131,Sheet1!A:D,4,FALSE)</f>
        <v>#N/A</v>
      </c>
    </row>
    <row r="132" spans="11:40" x14ac:dyDescent="0.25"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7"/>
      <c r="X132" s="46"/>
      <c r="AN132" s="206" t="e">
        <f>VLOOKUP(I132,Sheet1!A:D,4,FALSE)</f>
        <v>#N/A</v>
      </c>
    </row>
    <row r="133" spans="11:40" x14ac:dyDescent="0.25"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7"/>
      <c r="X133" s="46"/>
      <c r="AN133" s="206" t="e">
        <f>VLOOKUP(I133,Sheet1!A:D,4,FALSE)</f>
        <v>#N/A</v>
      </c>
    </row>
    <row r="134" spans="11:40" x14ac:dyDescent="0.25"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7"/>
      <c r="X134" s="46"/>
      <c r="AN134" s="206" t="e">
        <f>VLOOKUP(I134,Sheet1!A:D,4,FALSE)</f>
        <v>#N/A</v>
      </c>
    </row>
    <row r="135" spans="11:40" x14ac:dyDescent="0.25"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7"/>
      <c r="X135" s="46"/>
      <c r="AN135" s="206" t="e">
        <f>VLOOKUP(I135,Sheet1!A:D,4,FALSE)</f>
        <v>#N/A</v>
      </c>
    </row>
    <row r="136" spans="11:40" x14ac:dyDescent="0.25"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7"/>
      <c r="X136" s="46"/>
      <c r="AN136" s="206" t="e">
        <f>VLOOKUP(I136,Sheet1!A:D,4,FALSE)</f>
        <v>#N/A</v>
      </c>
    </row>
    <row r="137" spans="11:40" x14ac:dyDescent="0.25"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7"/>
      <c r="X137" s="46"/>
      <c r="AN137" s="206" t="e">
        <f>VLOOKUP(I137,Sheet1!A:D,4,FALSE)</f>
        <v>#N/A</v>
      </c>
    </row>
    <row r="138" spans="11:40" x14ac:dyDescent="0.25"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7"/>
      <c r="X138" s="46"/>
      <c r="AN138" s="206" t="e">
        <f>VLOOKUP(I138,Sheet1!A:D,4,FALSE)</f>
        <v>#N/A</v>
      </c>
    </row>
    <row r="139" spans="11:40" x14ac:dyDescent="0.25"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7"/>
      <c r="X139" s="46"/>
      <c r="AN139" s="206" t="e">
        <f>VLOOKUP(I139,Sheet1!A:D,4,FALSE)</f>
        <v>#N/A</v>
      </c>
    </row>
    <row r="140" spans="11:40" x14ac:dyDescent="0.25"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7"/>
      <c r="X140" s="46"/>
      <c r="AN140" s="206" t="e">
        <f>VLOOKUP(I140,Sheet1!A:D,4,FALSE)</f>
        <v>#N/A</v>
      </c>
    </row>
    <row r="141" spans="11:40" x14ac:dyDescent="0.25"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7"/>
      <c r="X141" s="46"/>
      <c r="AN141" s="206" t="e">
        <f>VLOOKUP(I141,Sheet1!A:D,4,FALSE)</f>
        <v>#N/A</v>
      </c>
    </row>
    <row r="142" spans="11:40" x14ac:dyDescent="0.25"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7"/>
      <c r="X142" s="46"/>
      <c r="AN142" s="206" t="e">
        <f>VLOOKUP(I142,Sheet1!A:D,4,FALSE)</f>
        <v>#N/A</v>
      </c>
    </row>
    <row r="143" spans="11:40" x14ac:dyDescent="0.25"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7"/>
      <c r="X143" s="46"/>
      <c r="AN143" s="206" t="e">
        <f>VLOOKUP(I143,Sheet1!A:D,4,FALSE)</f>
        <v>#N/A</v>
      </c>
    </row>
    <row r="144" spans="11:40" x14ac:dyDescent="0.25"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7"/>
      <c r="X144" s="46"/>
      <c r="AN144" s="206" t="e">
        <f>VLOOKUP(I144,Sheet1!A:D,4,FALSE)</f>
        <v>#N/A</v>
      </c>
    </row>
    <row r="145" spans="11:40" x14ac:dyDescent="0.25"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7"/>
      <c r="X145" s="46"/>
      <c r="AN145" s="206" t="e">
        <f>VLOOKUP(I145,Sheet1!A:D,4,FALSE)</f>
        <v>#N/A</v>
      </c>
    </row>
    <row r="146" spans="11:40" x14ac:dyDescent="0.25"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7"/>
      <c r="X146" s="46"/>
      <c r="AN146" s="206" t="e">
        <f>VLOOKUP(I146,Sheet1!A:D,4,FALSE)</f>
        <v>#N/A</v>
      </c>
    </row>
    <row r="147" spans="11:40" x14ac:dyDescent="0.25"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7"/>
      <c r="X147" s="46"/>
      <c r="AN147" s="206" t="e">
        <f>VLOOKUP(I147,Sheet1!A:D,4,FALSE)</f>
        <v>#N/A</v>
      </c>
    </row>
    <row r="148" spans="11:40" x14ac:dyDescent="0.25"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7"/>
      <c r="X148" s="46"/>
      <c r="AN148" s="206" t="e">
        <f>VLOOKUP(I148,Sheet1!A:D,4,FALSE)</f>
        <v>#N/A</v>
      </c>
    </row>
    <row r="149" spans="11:40" x14ac:dyDescent="0.25"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7"/>
      <c r="X149" s="46"/>
      <c r="AN149" s="206" t="e">
        <f>VLOOKUP(I149,Sheet1!A:D,4,FALSE)</f>
        <v>#N/A</v>
      </c>
    </row>
    <row r="150" spans="11:40" x14ac:dyDescent="0.25"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7"/>
      <c r="X150" s="46"/>
      <c r="AN150" s="206" t="e">
        <f>VLOOKUP(I150,Sheet1!A:D,4,FALSE)</f>
        <v>#N/A</v>
      </c>
    </row>
    <row r="151" spans="11:40" x14ac:dyDescent="0.25"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7"/>
      <c r="X151" s="46"/>
      <c r="AN151" s="206" t="e">
        <f>VLOOKUP(I151,Sheet1!A:D,4,FALSE)</f>
        <v>#N/A</v>
      </c>
    </row>
    <row r="152" spans="11:40" x14ac:dyDescent="0.25"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7"/>
      <c r="X152" s="46"/>
    </row>
    <row r="153" spans="11:40" x14ac:dyDescent="0.25"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7"/>
      <c r="X153" s="46"/>
    </row>
    <row r="154" spans="11:40" x14ac:dyDescent="0.25"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7"/>
      <c r="X154" s="46"/>
    </row>
    <row r="155" spans="11:40" x14ac:dyDescent="0.25"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7"/>
      <c r="X155" s="46"/>
    </row>
    <row r="156" spans="11:40" x14ac:dyDescent="0.25"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7"/>
      <c r="X156" s="46"/>
    </row>
    <row r="157" spans="11:40" x14ac:dyDescent="0.25"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7"/>
      <c r="X157" s="46"/>
    </row>
    <row r="158" spans="11:40" x14ac:dyDescent="0.25"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7"/>
      <c r="X158" s="46"/>
    </row>
    <row r="159" spans="11:40" x14ac:dyDescent="0.25"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7"/>
      <c r="X159" s="46"/>
    </row>
    <row r="160" spans="11:40" x14ac:dyDescent="0.25"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7"/>
      <c r="X160" s="46"/>
    </row>
    <row r="161" spans="11:24" x14ac:dyDescent="0.25"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7"/>
      <c r="X161" s="46"/>
    </row>
    <row r="162" spans="11:24" x14ac:dyDescent="0.25"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7"/>
      <c r="X162" s="46"/>
    </row>
  </sheetData>
  <autoFilter ref="A6:AP6" xr:uid="{707243BB-113A-4332-A2DA-8E497D87BE96}"/>
  <mergeCells count="1">
    <mergeCell ref="AT6:AV6"/>
  </mergeCells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1559-6321-4B4A-ADC2-FDD0AAB3F481}">
  <dimension ref="A1:AT235"/>
  <sheetViews>
    <sheetView topLeftCell="A7" workbookViewId="0">
      <selection activeCell="A29" sqref="A29:XFD29"/>
    </sheetView>
  </sheetViews>
  <sheetFormatPr defaultColWidth="16.42578125" defaultRowHeight="15" x14ac:dyDescent="0.25"/>
  <cols>
    <col min="1" max="1" width="34.42578125" style="23" bestFit="1" customWidth="1"/>
    <col min="7" max="7" width="16.42578125" style="30"/>
    <col min="11" max="24" width="16.42578125" style="25"/>
    <col min="27" max="27" width="16.42578125" style="25"/>
    <col min="41" max="41" width="142.85546875" style="44" hidden="1" customWidth="1"/>
  </cols>
  <sheetData>
    <row r="1" spans="1:46" s="74" customFormat="1" x14ac:dyDescent="0.25">
      <c r="A1" s="89"/>
      <c r="G1" s="90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AA1" s="79"/>
      <c r="AO1" s="101"/>
    </row>
    <row r="2" spans="1:46" s="74" customFormat="1" x14ac:dyDescent="0.25">
      <c r="A2" s="89"/>
      <c r="G2" s="90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AA2" s="79"/>
      <c r="AO2" s="101"/>
    </row>
    <row r="3" spans="1:46" s="74" customFormat="1" x14ac:dyDescent="0.25">
      <c r="A3" s="89"/>
      <c r="G3" s="90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AA3" s="79"/>
      <c r="AO3" s="101"/>
    </row>
    <row r="4" spans="1:46" s="74" customFormat="1" x14ac:dyDescent="0.25">
      <c r="A4" s="89"/>
      <c r="G4" s="90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AA4" s="79"/>
      <c r="AO4" s="101"/>
    </row>
    <row r="5" spans="1:46" s="74" customFormat="1" x14ac:dyDescent="0.25">
      <c r="A5" s="89" t="s">
        <v>230</v>
      </c>
      <c r="G5" s="90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AA5" s="79"/>
      <c r="AO5" s="101"/>
    </row>
    <row r="6" spans="1:46" s="48" customFormat="1" ht="15" customHeight="1" x14ac:dyDescent="0.25">
      <c r="A6" s="83" t="s">
        <v>0</v>
      </c>
      <c r="B6" s="84" t="s">
        <v>1</v>
      </c>
      <c r="C6" s="84" t="s">
        <v>2</v>
      </c>
      <c r="D6" s="84" t="s">
        <v>4</v>
      </c>
      <c r="E6" s="84" t="s">
        <v>3</v>
      </c>
      <c r="F6" s="84" t="s">
        <v>5</v>
      </c>
      <c r="G6" s="85" t="s">
        <v>6</v>
      </c>
      <c r="H6" s="84" t="s">
        <v>7</v>
      </c>
      <c r="I6" s="84" t="s">
        <v>8</v>
      </c>
      <c r="J6" s="84" t="s">
        <v>9</v>
      </c>
      <c r="K6" s="86" t="s">
        <v>10</v>
      </c>
      <c r="L6" s="86" t="s">
        <v>11</v>
      </c>
      <c r="M6" s="86" t="s">
        <v>12</v>
      </c>
      <c r="N6" s="86" t="s">
        <v>13</v>
      </c>
      <c r="O6" s="86" t="s">
        <v>14</v>
      </c>
      <c r="P6" s="86" t="s">
        <v>15</v>
      </c>
      <c r="Q6" s="86" t="s">
        <v>16</v>
      </c>
      <c r="R6" s="86" t="s">
        <v>17</v>
      </c>
      <c r="S6" s="86" t="s">
        <v>18</v>
      </c>
      <c r="T6" s="86" t="s">
        <v>19</v>
      </c>
      <c r="U6" s="86" t="s">
        <v>20</v>
      </c>
      <c r="V6" s="86" t="s">
        <v>21</v>
      </c>
      <c r="W6" s="86" t="s">
        <v>22</v>
      </c>
      <c r="X6" s="86" t="s">
        <v>23</v>
      </c>
      <c r="Y6" s="84" t="s">
        <v>24</v>
      </c>
      <c r="Z6" s="84" t="s">
        <v>25</v>
      </c>
      <c r="AA6" s="86" t="s">
        <v>26</v>
      </c>
      <c r="AB6" s="84" t="s">
        <v>27</v>
      </c>
      <c r="AC6" s="84" t="s">
        <v>28</v>
      </c>
      <c r="AD6" s="84" t="s">
        <v>29</v>
      </c>
      <c r="AE6" s="84" t="s">
        <v>30</v>
      </c>
      <c r="AF6" s="84" t="s">
        <v>31</v>
      </c>
      <c r="AG6" s="84" t="s">
        <v>32</v>
      </c>
      <c r="AH6" s="84" t="s">
        <v>33</v>
      </c>
      <c r="AI6" s="84" t="s">
        <v>34</v>
      </c>
      <c r="AJ6" s="84" t="s">
        <v>35</v>
      </c>
      <c r="AK6" s="84" t="s">
        <v>36</v>
      </c>
      <c r="AL6" s="84" t="s">
        <v>37</v>
      </c>
      <c r="AM6" s="84" t="s">
        <v>38</v>
      </c>
      <c r="AN6" s="1" t="s">
        <v>276</v>
      </c>
      <c r="AO6" s="100" t="s">
        <v>65</v>
      </c>
      <c r="AP6" s="99"/>
      <c r="AQ6" s="84"/>
      <c r="AR6" s="84"/>
      <c r="AS6" s="99"/>
      <c r="AT6" s="99"/>
    </row>
    <row r="7" spans="1:46" s="133" customFormat="1" ht="14.25" customHeight="1" x14ac:dyDescent="0.2">
      <c r="A7" s="132">
        <v>45658</v>
      </c>
      <c r="B7" s="133" t="s">
        <v>40</v>
      </c>
      <c r="C7" s="133" t="s">
        <v>41</v>
      </c>
      <c r="D7" s="133">
        <v>25707897</v>
      </c>
      <c r="E7" s="133">
        <v>24106535</v>
      </c>
      <c r="F7" s="133" t="s">
        <v>88</v>
      </c>
      <c r="G7" s="135">
        <v>45659</v>
      </c>
      <c r="H7" s="133" t="s">
        <v>82</v>
      </c>
      <c r="I7" s="133" t="s">
        <v>55</v>
      </c>
      <c r="J7" s="133" t="s">
        <v>70</v>
      </c>
      <c r="K7" s="136">
        <v>250</v>
      </c>
      <c r="L7" s="136" t="s">
        <v>42</v>
      </c>
      <c r="M7" s="136">
        <v>250</v>
      </c>
      <c r="N7" s="136">
        <v>1207500</v>
      </c>
      <c r="O7" s="136">
        <v>301875000</v>
      </c>
      <c r="P7" s="136">
        <v>301875000</v>
      </c>
      <c r="Q7" s="136">
        <v>0</v>
      </c>
      <c r="R7" s="136">
        <v>0</v>
      </c>
      <c r="S7" s="136" t="s">
        <v>43</v>
      </c>
      <c r="T7" s="136">
        <v>120812421.68000001</v>
      </c>
      <c r="U7" s="136">
        <v>120812421.68000001</v>
      </c>
      <c r="V7" s="136">
        <v>181062578.31999999</v>
      </c>
      <c r="W7" s="136">
        <v>0.59979322010699998</v>
      </c>
      <c r="X7" s="136">
        <v>181062578.31999999</v>
      </c>
      <c r="Y7" s="133" t="s">
        <v>66</v>
      </c>
      <c r="Z7" s="133" t="s">
        <v>44</v>
      </c>
      <c r="AA7" s="171">
        <v>15413</v>
      </c>
      <c r="AB7" s="133" t="s">
        <v>82</v>
      </c>
      <c r="AC7" s="133" t="s">
        <v>56</v>
      </c>
      <c r="AD7" s="133" t="s">
        <v>77</v>
      </c>
      <c r="AE7" s="133">
        <v>0</v>
      </c>
      <c r="AF7" s="133" t="s">
        <v>68</v>
      </c>
      <c r="AG7" s="133" t="s">
        <v>71</v>
      </c>
      <c r="AH7" s="133" t="s">
        <v>53</v>
      </c>
      <c r="AI7" s="133" t="s">
        <v>69</v>
      </c>
      <c r="AJ7" s="133" t="s">
        <v>46</v>
      </c>
      <c r="AK7" s="133" t="s">
        <v>54</v>
      </c>
      <c r="AL7" s="133" t="s">
        <v>48</v>
      </c>
      <c r="AM7" s="133" t="s">
        <v>64</v>
      </c>
      <c r="AN7" s="155" t="str">
        <f>VLOOKUP(I7,Sheet1!A:D,4,FALSE)</f>
        <v>A320400</v>
      </c>
      <c r="AO7" s="164" t="s">
        <v>96</v>
      </c>
      <c r="AP7" s="172"/>
    </row>
    <row r="8" spans="1:46" s="133" customFormat="1" ht="14.25" customHeight="1" x14ac:dyDescent="0.2">
      <c r="A8" s="132">
        <v>45658</v>
      </c>
      <c r="B8" s="133" t="s">
        <v>40</v>
      </c>
      <c r="C8" s="133" t="s">
        <v>41</v>
      </c>
      <c r="D8" s="133">
        <v>25707898</v>
      </c>
      <c r="E8" s="133">
        <v>24106536</v>
      </c>
      <c r="F8" s="133" t="s">
        <v>89</v>
      </c>
      <c r="G8" s="135">
        <v>45659</v>
      </c>
      <c r="H8" s="133" t="s">
        <v>82</v>
      </c>
      <c r="I8" s="133" t="s">
        <v>55</v>
      </c>
      <c r="J8" s="133" t="s">
        <v>70</v>
      </c>
      <c r="K8" s="136">
        <v>200</v>
      </c>
      <c r="L8" s="136" t="s">
        <v>42</v>
      </c>
      <c r="M8" s="136">
        <v>200</v>
      </c>
      <c r="N8" s="136">
        <v>1207500</v>
      </c>
      <c r="O8" s="136">
        <v>241500000</v>
      </c>
      <c r="P8" s="136">
        <v>241500000</v>
      </c>
      <c r="Q8" s="136">
        <v>0</v>
      </c>
      <c r="R8" s="136">
        <v>0</v>
      </c>
      <c r="S8" s="136" t="s">
        <v>43</v>
      </c>
      <c r="T8" s="136">
        <v>96649937.340000004</v>
      </c>
      <c r="U8" s="136">
        <v>96649937.340000004</v>
      </c>
      <c r="V8" s="136">
        <v>144850062.66</v>
      </c>
      <c r="W8" s="136">
        <v>0.59979322012400005</v>
      </c>
      <c r="X8" s="136">
        <v>144850062.66</v>
      </c>
      <c r="Y8" s="133" t="s">
        <v>66</v>
      </c>
      <c r="Z8" s="133" t="s">
        <v>44</v>
      </c>
      <c r="AA8" s="136">
        <v>15413</v>
      </c>
      <c r="AB8" s="133" t="s">
        <v>82</v>
      </c>
      <c r="AC8" s="133" t="s">
        <v>56</v>
      </c>
      <c r="AD8" s="133" t="s">
        <v>77</v>
      </c>
      <c r="AE8" s="133">
        <v>0</v>
      </c>
      <c r="AF8" s="133" t="s">
        <v>68</v>
      </c>
      <c r="AG8" s="133" t="s">
        <v>71</v>
      </c>
      <c r="AH8" s="133" t="s">
        <v>53</v>
      </c>
      <c r="AI8" s="133" t="s">
        <v>69</v>
      </c>
      <c r="AJ8" s="133" t="s">
        <v>46</v>
      </c>
      <c r="AK8" s="133" t="s">
        <v>54</v>
      </c>
      <c r="AL8" s="133" t="s">
        <v>48</v>
      </c>
      <c r="AM8" s="133" t="s">
        <v>64</v>
      </c>
      <c r="AN8" s="155" t="str">
        <f>VLOOKUP(I8,Sheet1!A:D,4,FALSE)</f>
        <v>A320400</v>
      </c>
      <c r="AO8" s="164" t="s">
        <v>96</v>
      </c>
      <c r="AP8" s="172"/>
    </row>
    <row r="9" spans="1:46" s="133" customFormat="1" ht="14.25" x14ac:dyDescent="0.2">
      <c r="A9" s="132">
        <v>45658</v>
      </c>
      <c r="B9" s="133" t="s">
        <v>40</v>
      </c>
      <c r="C9" s="133" t="s">
        <v>41</v>
      </c>
      <c r="D9" s="133">
        <v>25707949</v>
      </c>
      <c r="E9" s="133">
        <v>25106552</v>
      </c>
      <c r="F9" s="133" t="s">
        <v>257</v>
      </c>
      <c r="G9" s="135">
        <v>45672</v>
      </c>
      <c r="H9" s="133" t="s">
        <v>258</v>
      </c>
      <c r="I9" s="133" t="s">
        <v>55</v>
      </c>
      <c r="J9" s="133" t="s">
        <v>259</v>
      </c>
      <c r="K9" s="136">
        <v>50</v>
      </c>
      <c r="L9" s="136" t="s">
        <v>42</v>
      </c>
      <c r="M9" s="136">
        <v>50</v>
      </c>
      <c r="N9" s="136">
        <v>1212150</v>
      </c>
      <c r="O9" s="136">
        <v>60607500</v>
      </c>
      <c r="P9" s="136">
        <v>60607500</v>
      </c>
      <c r="Q9" s="136">
        <v>0</v>
      </c>
      <c r="R9" s="136">
        <v>0</v>
      </c>
      <c r="S9" s="136" t="s">
        <v>43</v>
      </c>
      <c r="T9" s="136">
        <v>23262110</v>
      </c>
      <c r="U9" s="136">
        <v>23262110</v>
      </c>
      <c r="V9" s="136">
        <v>37345390</v>
      </c>
      <c r="W9" s="136">
        <v>0.61618430062200003</v>
      </c>
      <c r="X9" s="136">
        <v>37345390</v>
      </c>
      <c r="Y9" s="133" t="s">
        <v>235</v>
      </c>
      <c r="Z9" s="133" t="s">
        <v>44</v>
      </c>
      <c r="AA9" s="136">
        <v>15413</v>
      </c>
      <c r="AB9" s="133" t="s">
        <v>258</v>
      </c>
      <c r="AC9" s="133" t="s">
        <v>56</v>
      </c>
      <c r="AD9" s="133" t="s">
        <v>103</v>
      </c>
      <c r="AE9" s="133">
        <v>0</v>
      </c>
      <c r="AF9" s="133" t="s">
        <v>191</v>
      </c>
      <c r="AG9" s="133" t="s">
        <v>242</v>
      </c>
      <c r="AH9" s="133" t="s">
        <v>53</v>
      </c>
      <c r="AI9" s="133" t="s">
        <v>101</v>
      </c>
      <c r="AJ9" s="133" t="s">
        <v>46</v>
      </c>
      <c r="AK9" s="133" t="s">
        <v>54</v>
      </c>
      <c r="AL9" s="133" t="s">
        <v>48</v>
      </c>
      <c r="AM9" s="133" t="s">
        <v>64</v>
      </c>
      <c r="AN9" s="155" t="str">
        <f>VLOOKUP(I9,Sheet1!A:D,4,FALSE)</f>
        <v>A320400</v>
      </c>
      <c r="AO9" s="180" t="s">
        <v>275</v>
      </c>
      <c r="AP9" s="172"/>
    </row>
    <row r="10" spans="1:46" s="133" customFormat="1" ht="12.75" customHeight="1" x14ac:dyDescent="0.2">
      <c r="A10" s="132">
        <v>45658</v>
      </c>
      <c r="B10" s="133" t="s">
        <v>40</v>
      </c>
      <c r="C10" s="133" t="s">
        <v>41</v>
      </c>
      <c r="D10" s="133">
        <v>25707950</v>
      </c>
      <c r="E10" s="133">
        <v>25106554</v>
      </c>
      <c r="F10" s="133" t="s">
        <v>260</v>
      </c>
      <c r="G10" s="135">
        <v>45672</v>
      </c>
      <c r="H10" s="133" t="s">
        <v>258</v>
      </c>
      <c r="I10" s="133" t="s">
        <v>55</v>
      </c>
      <c r="J10" s="133" t="s">
        <v>259</v>
      </c>
      <c r="K10" s="136">
        <v>290</v>
      </c>
      <c r="L10" s="136" t="s">
        <v>42</v>
      </c>
      <c r="M10" s="136">
        <v>290</v>
      </c>
      <c r="N10" s="136">
        <v>1212150</v>
      </c>
      <c r="O10" s="136">
        <v>351523500</v>
      </c>
      <c r="P10" s="136">
        <v>351523500</v>
      </c>
      <c r="Q10" s="136">
        <v>0</v>
      </c>
      <c r="R10" s="136">
        <v>0</v>
      </c>
      <c r="S10" s="136" t="s">
        <v>43</v>
      </c>
      <c r="T10" s="136">
        <v>134920238</v>
      </c>
      <c r="U10" s="136">
        <v>134920238</v>
      </c>
      <c r="V10" s="136">
        <v>216603262</v>
      </c>
      <c r="W10" s="136">
        <v>0.61618430062200003</v>
      </c>
      <c r="X10" s="136">
        <v>216603262</v>
      </c>
      <c r="Y10" s="133" t="s">
        <v>235</v>
      </c>
      <c r="Z10" s="133" t="s">
        <v>44</v>
      </c>
      <c r="AA10" s="136">
        <v>15413</v>
      </c>
      <c r="AB10" s="133" t="s">
        <v>258</v>
      </c>
      <c r="AC10" s="133" t="s">
        <v>56</v>
      </c>
      <c r="AD10" s="133" t="s">
        <v>103</v>
      </c>
      <c r="AE10" s="133">
        <v>0</v>
      </c>
      <c r="AF10" s="133" t="s">
        <v>191</v>
      </c>
      <c r="AG10" s="133" t="s">
        <v>242</v>
      </c>
      <c r="AH10" s="133" t="s">
        <v>53</v>
      </c>
      <c r="AI10" s="133" t="s">
        <v>101</v>
      </c>
      <c r="AJ10" s="133" t="s">
        <v>46</v>
      </c>
      <c r="AK10" s="133" t="s">
        <v>54</v>
      </c>
      <c r="AL10" s="133" t="s">
        <v>48</v>
      </c>
      <c r="AM10" s="133" t="s">
        <v>64</v>
      </c>
      <c r="AN10" s="155" t="str">
        <f>VLOOKUP(I10,Sheet1!A:D,4,FALSE)</f>
        <v>A320400</v>
      </c>
      <c r="AO10" s="180" t="s">
        <v>275</v>
      </c>
      <c r="AP10" s="172"/>
    </row>
    <row r="11" spans="1:46" s="133" customFormat="1" ht="14.25" x14ac:dyDescent="0.2">
      <c r="A11" s="132">
        <v>45658</v>
      </c>
      <c r="B11" s="133" t="s">
        <v>40</v>
      </c>
      <c r="C11" s="133" t="s">
        <v>41</v>
      </c>
      <c r="D11" s="133">
        <v>25707960</v>
      </c>
      <c r="E11" s="133">
        <v>25106552</v>
      </c>
      <c r="F11" s="133" t="s">
        <v>257</v>
      </c>
      <c r="G11" s="135">
        <v>45681</v>
      </c>
      <c r="H11" s="133" t="s">
        <v>258</v>
      </c>
      <c r="I11" s="133" t="s">
        <v>55</v>
      </c>
      <c r="J11" s="133" t="s">
        <v>259</v>
      </c>
      <c r="K11" s="136">
        <v>250</v>
      </c>
      <c r="L11" s="136" t="s">
        <v>42</v>
      </c>
      <c r="M11" s="136">
        <v>250</v>
      </c>
      <c r="N11" s="136">
        <v>1212150</v>
      </c>
      <c r="O11" s="136">
        <v>303037500</v>
      </c>
      <c r="P11" s="136">
        <v>303037500</v>
      </c>
      <c r="Q11" s="136">
        <v>0</v>
      </c>
      <c r="R11" s="136">
        <v>0</v>
      </c>
      <c r="S11" s="136" t="s">
        <v>43</v>
      </c>
      <c r="T11" s="136">
        <v>116310550</v>
      </c>
      <c r="U11" s="136">
        <v>116310550</v>
      </c>
      <c r="V11" s="136">
        <v>186726950</v>
      </c>
      <c r="W11" s="136">
        <v>0.61618430062200003</v>
      </c>
      <c r="X11" s="136">
        <v>186726950</v>
      </c>
      <c r="Y11" s="133" t="s">
        <v>235</v>
      </c>
      <c r="Z11" s="133" t="s">
        <v>44</v>
      </c>
      <c r="AA11" s="136">
        <v>15413</v>
      </c>
      <c r="AB11" s="133" t="s">
        <v>258</v>
      </c>
      <c r="AC11" s="133" t="s">
        <v>56</v>
      </c>
      <c r="AD11" s="133" t="s">
        <v>103</v>
      </c>
      <c r="AE11" s="133">
        <v>0</v>
      </c>
      <c r="AF11" s="133" t="s">
        <v>191</v>
      </c>
      <c r="AG11" s="133" t="s">
        <v>242</v>
      </c>
      <c r="AH11" s="133" t="s">
        <v>53</v>
      </c>
      <c r="AI11" s="133" t="s">
        <v>101</v>
      </c>
      <c r="AJ11" s="133" t="s">
        <v>46</v>
      </c>
      <c r="AK11" s="133" t="s">
        <v>54</v>
      </c>
      <c r="AL11" s="133" t="s">
        <v>48</v>
      </c>
      <c r="AM11" s="133" t="s">
        <v>64</v>
      </c>
      <c r="AN11" s="155" t="str">
        <f>VLOOKUP(I11,Sheet1!A:D,4,FALSE)</f>
        <v>A320400</v>
      </c>
      <c r="AO11" s="180" t="s">
        <v>275</v>
      </c>
      <c r="AP11" s="172"/>
    </row>
    <row r="12" spans="1:46" s="133" customFormat="1" ht="14.25" x14ac:dyDescent="0.2">
      <c r="A12" s="132">
        <v>45658</v>
      </c>
      <c r="B12" s="133" t="s">
        <v>40</v>
      </c>
      <c r="C12" s="133" t="s">
        <v>41</v>
      </c>
      <c r="D12" s="133">
        <v>25707962</v>
      </c>
      <c r="E12" s="133">
        <v>25106553</v>
      </c>
      <c r="F12" s="133" t="s">
        <v>274</v>
      </c>
      <c r="G12" s="135">
        <v>45673</v>
      </c>
      <c r="H12" s="133" t="s">
        <v>82</v>
      </c>
      <c r="I12" s="133" t="s">
        <v>55</v>
      </c>
      <c r="J12" s="133" t="s">
        <v>70</v>
      </c>
      <c r="K12" s="136">
        <v>200</v>
      </c>
      <c r="L12" s="136" t="s">
        <v>42</v>
      </c>
      <c r="M12" s="136">
        <v>200</v>
      </c>
      <c r="N12" s="136">
        <v>1216275</v>
      </c>
      <c r="O12" s="136">
        <v>243255000</v>
      </c>
      <c r="P12" s="136">
        <v>243255000</v>
      </c>
      <c r="Q12" s="136">
        <v>0</v>
      </c>
      <c r="R12" s="136">
        <v>0</v>
      </c>
      <c r="S12" s="136" t="s">
        <v>43</v>
      </c>
      <c r="T12" s="136">
        <v>93048440</v>
      </c>
      <c r="U12" s="136">
        <v>93048440</v>
      </c>
      <c r="V12" s="136">
        <v>150206560</v>
      </c>
      <c r="W12" s="136">
        <v>0.61748601262000002</v>
      </c>
      <c r="X12" s="136">
        <v>150206560</v>
      </c>
      <c r="Y12" s="133" t="s">
        <v>66</v>
      </c>
      <c r="Z12" s="133" t="s">
        <v>44</v>
      </c>
      <c r="AA12" s="136">
        <v>15413</v>
      </c>
      <c r="AB12" s="133" t="s">
        <v>82</v>
      </c>
      <c r="AC12" s="133" t="s">
        <v>56</v>
      </c>
      <c r="AD12" s="133" t="s">
        <v>77</v>
      </c>
      <c r="AE12" s="133">
        <v>0</v>
      </c>
      <c r="AF12" s="133" t="s">
        <v>68</v>
      </c>
      <c r="AG12" s="133" t="s">
        <v>71</v>
      </c>
      <c r="AH12" s="133" t="s">
        <v>53</v>
      </c>
      <c r="AI12" s="133" t="s">
        <v>69</v>
      </c>
      <c r="AJ12" s="133" t="s">
        <v>46</v>
      </c>
      <c r="AK12" s="133" t="s">
        <v>54</v>
      </c>
      <c r="AL12" s="133" t="s">
        <v>48</v>
      </c>
      <c r="AM12" s="133" t="s">
        <v>64</v>
      </c>
      <c r="AN12" s="155" t="str">
        <f>VLOOKUP(I12,Sheet1!A:D,4,FALSE)</f>
        <v>A320400</v>
      </c>
      <c r="AO12" s="180" t="s">
        <v>275</v>
      </c>
      <c r="AP12" s="172"/>
    </row>
    <row r="13" spans="1:46" s="133" customFormat="1" ht="14.25" x14ac:dyDescent="0.2">
      <c r="A13" s="132">
        <v>45689</v>
      </c>
      <c r="B13" s="133" t="s">
        <v>40</v>
      </c>
      <c r="C13" s="133" t="s">
        <v>41</v>
      </c>
      <c r="D13" s="133">
        <v>25707991</v>
      </c>
      <c r="E13" s="133">
        <v>25106544</v>
      </c>
      <c r="F13" s="133" t="s">
        <v>749</v>
      </c>
      <c r="G13" s="135">
        <v>45699</v>
      </c>
      <c r="H13" s="133" t="s">
        <v>258</v>
      </c>
      <c r="I13" s="133" t="s">
        <v>55</v>
      </c>
      <c r="J13" s="133" t="s">
        <v>259</v>
      </c>
      <c r="K13" s="136">
        <v>300</v>
      </c>
      <c r="L13" s="136" t="s">
        <v>42</v>
      </c>
      <c r="M13" s="136">
        <v>300</v>
      </c>
      <c r="N13" s="136">
        <v>1216275</v>
      </c>
      <c r="O13" s="136">
        <v>364882500</v>
      </c>
      <c r="P13" s="136">
        <v>364882500</v>
      </c>
      <c r="Q13" s="136">
        <v>0</v>
      </c>
      <c r="R13" s="136">
        <v>0</v>
      </c>
      <c r="S13" s="136" t="s">
        <v>43</v>
      </c>
      <c r="T13" s="136">
        <v>134585421.31</v>
      </c>
      <c r="U13" s="136">
        <v>134585421.31</v>
      </c>
      <c r="V13" s="136">
        <v>230297078.69</v>
      </c>
      <c r="W13" s="136">
        <v>0.63115408025800002</v>
      </c>
      <c r="X13" s="136">
        <v>230297078.69</v>
      </c>
      <c r="Y13" s="133" t="s">
        <v>235</v>
      </c>
      <c r="Z13" s="133" t="s">
        <v>44</v>
      </c>
      <c r="AA13" s="136">
        <v>15413</v>
      </c>
      <c r="AB13" s="133" t="s">
        <v>258</v>
      </c>
      <c r="AC13" s="133" t="s">
        <v>56</v>
      </c>
      <c r="AD13" s="133" t="s">
        <v>103</v>
      </c>
      <c r="AE13" s="133">
        <v>0</v>
      </c>
      <c r="AF13" s="133" t="s">
        <v>191</v>
      </c>
      <c r="AG13" s="133" t="s">
        <v>242</v>
      </c>
      <c r="AH13" s="133" t="s">
        <v>53</v>
      </c>
      <c r="AI13" s="133" t="s">
        <v>101</v>
      </c>
      <c r="AJ13" s="133" t="s">
        <v>46</v>
      </c>
      <c r="AK13" s="133" t="s">
        <v>54</v>
      </c>
      <c r="AL13" s="133" t="s">
        <v>48</v>
      </c>
      <c r="AM13" s="133" t="s">
        <v>64</v>
      </c>
      <c r="AN13" s="155" t="str">
        <f>VLOOKUP(I13,Sheet1!A:D,4,FALSE)</f>
        <v>A320400</v>
      </c>
      <c r="AO13" s="207" t="s">
        <v>751</v>
      </c>
      <c r="AP13" s="172"/>
    </row>
    <row r="14" spans="1:46" s="133" customFormat="1" ht="14.25" x14ac:dyDescent="0.2">
      <c r="A14" s="132">
        <v>45689</v>
      </c>
      <c r="B14" s="133" t="s">
        <v>40</v>
      </c>
      <c r="C14" s="133" t="s">
        <v>41</v>
      </c>
      <c r="D14" s="133">
        <v>25707992</v>
      </c>
      <c r="E14" s="133">
        <v>25106580</v>
      </c>
      <c r="F14" s="133" t="s">
        <v>750</v>
      </c>
      <c r="G14" s="135">
        <v>45699</v>
      </c>
      <c r="H14" s="133" t="s">
        <v>258</v>
      </c>
      <c r="I14" s="133" t="s">
        <v>55</v>
      </c>
      <c r="J14" s="133" t="s">
        <v>259</v>
      </c>
      <c r="K14" s="136">
        <v>200</v>
      </c>
      <c r="L14" s="136" t="s">
        <v>42</v>
      </c>
      <c r="M14" s="136">
        <v>200</v>
      </c>
      <c r="N14" s="136">
        <v>1224525</v>
      </c>
      <c r="O14" s="136">
        <v>244905000</v>
      </c>
      <c r="P14" s="136">
        <v>244905000</v>
      </c>
      <c r="Q14" s="136">
        <v>0</v>
      </c>
      <c r="R14" s="136">
        <v>0</v>
      </c>
      <c r="S14" s="136" t="s">
        <v>43</v>
      </c>
      <c r="T14" s="136">
        <v>89723614.200000003</v>
      </c>
      <c r="U14" s="136">
        <v>89723614.200000003</v>
      </c>
      <c r="V14" s="136">
        <v>155181385.80000001</v>
      </c>
      <c r="W14" s="136">
        <v>0.63363910822500003</v>
      </c>
      <c r="X14" s="136">
        <v>155181385.80000001</v>
      </c>
      <c r="Y14" s="133" t="s">
        <v>235</v>
      </c>
      <c r="Z14" s="133" t="s">
        <v>44</v>
      </c>
      <c r="AA14" s="136">
        <v>15413</v>
      </c>
      <c r="AB14" s="133" t="s">
        <v>258</v>
      </c>
      <c r="AC14" s="133" t="s">
        <v>56</v>
      </c>
      <c r="AD14" s="133" t="s">
        <v>103</v>
      </c>
      <c r="AE14" s="133">
        <v>0</v>
      </c>
      <c r="AF14" s="133" t="s">
        <v>191</v>
      </c>
      <c r="AG14" s="133" t="s">
        <v>242</v>
      </c>
      <c r="AH14" s="133" t="s">
        <v>53</v>
      </c>
      <c r="AI14" s="133" t="s">
        <v>101</v>
      </c>
      <c r="AJ14" s="133" t="s">
        <v>46</v>
      </c>
      <c r="AK14" s="133" t="s">
        <v>54</v>
      </c>
      <c r="AL14" s="133" t="s">
        <v>48</v>
      </c>
      <c r="AM14" s="133" t="s">
        <v>64</v>
      </c>
      <c r="AN14" s="155" t="str">
        <f>VLOOKUP(I14,Sheet1!A:D,4,FALSE)</f>
        <v>A320400</v>
      </c>
      <c r="AO14" s="207" t="s">
        <v>751</v>
      </c>
      <c r="AP14" s="172"/>
    </row>
    <row r="15" spans="1:46" s="133" customFormat="1" ht="14.25" x14ac:dyDescent="0.2">
      <c r="A15" s="132">
        <v>45689</v>
      </c>
      <c r="B15" s="133" t="s">
        <v>40</v>
      </c>
      <c r="C15" s="133" t="s">
        <v>41</v>
      </c>
      <c r="D15" s="133">
        <v>25708032</v>
      </c>
      <c r="E15" s="133">
        <v>25106601</v>
      </c>
      <c r="F15" s="133" t="s">
        <v>824</v>
      </c>
      <c r="G15" s="135">
        <v>45714</v>
      </c>
      <c r="H15" s="133" t="s">
        <v>82</v>
      </c>
      <c r="I15" s="133" t="s">
        <v>146</v>
      </c>
      <c r="J15" s="133" t="s">
        <v>147</v>
      </c>
      <c r="K15" s="136">
        <v>1</v>
      </c>
      <c r="L15" s="136" t="s">
        <v>42</v>
      </c>
      <c r="M15" s="136">
        <v>1</v>
      </c>
      <c r="N15" s="136">
        <v>9810000</v>
      </c>
      <c r="O15" s="136">
        <v>9810000</v>
      </c>
      <c r="P15" s="136">
        <v>9810000</v>
      </c>
      <c r="Q15" s="136">
        <v>0</v>
      </c>
      <c r="R15" s="136">
        <v>0</v>
      </c>
      <c r="S15" s="136" t="s">
        <v>43</v>
      </c>
      <c r="T15" s="136">
        <v>6479281.5</v>
      </c>
      <c r="U15" s="136">
        <v>6479281.5</v>
      </c>
      <c r="V15" s="136">
        <v>3330718.5</v>
      </c>
      <c r="W15" s="136">
        <v>0.33952278287400001</v>
      </c>
      <c r="X15" s="136">
        <v>3330718.5</v>
      </c>
      <c r="Y15" s="133" t="s">
        <v>66</v>
      </c>
      <c r="Z15" s="133" t="s">
        <v>44</v>
      </c>
      <c r="AA15" s="136">
        <v>15413</v>
      </c>
      <c r="AB15" s="133" t="s">
        <v>82</v>
      </c>
      <c r="AC15" s="133" t="s">
        <v>56</v>
      </c>
      <c r="AD15" s="133" t="s">
        <v>77</v>
      </c>
      <c r="AE15" s="133">
        <v>0</v>
      </c>
      <c r="AF15" s="133" t="s">
        <v>68</v>
      </c>
      <c r="AG15" s="133" t="s">
        <v>69</v>
      </c>
      <c r="AH15" s="133" t="s">
        <v>46</v>
      </c>
      <c r="AI15" s="133" t="s">
        <v>69</v>
      </c>
      <c r="AJ15" s="133" t="s">
        <v>46</v>
      </c>
      <c r="AK15" s="133" t="s">
        <v>54</v>
      </c>
      <c r="AL15" s="133" t="s">
        <v>48</v>
      </c>
      <c r="AM15" s="133" t="s">
        <v>64</v>
      </c>
      <c r="AN15" s="155" t="str">
        <f>VLOOKUP(I15,Sheet1!A:D,4,FALSE)</f>
        <v>A320400</v>
      </c>
      <c r="AO15" s="207" t="s">
        <v>845</v>
      </c>
      <c r="AP15" s="172"/>
    </row>
    <row r="16" spans="1:46" s="133" customFormat="1" ht="14.25" x14ac:dyDescent="0.2">
      <c r="A16" s="132">
        <v>45717</v>
      </c>
      <c r="B16" s="133" t="s">
        <v>40</v>
      </c>
      <c r="C16" s="133" t="s">
        <v>41</v>
      </c>
      <c r="D16" s="133">
        <v>25708040</v>
      </c>
      <c r="E16" s="133">
        <v>25106620</v>
      </c>
      <c r="F16" s="133" t="s">
        <v>842</v>
      </c>
      <c r="G16" s="135">
        <v>45719</v>
      </c>
      <c r="H16" s="133" t="s">
        <v>82</v>
      </c>
      <c r="I16" s="133" t="s">
        <v>55</v>
      </c>
      <c r="J16" s="133" t="s">
        <v>70</v>
      </c>
      <c r="K16" s="136">
        <v>170</v>
      </c>
      <c r="L16" s="136" t="s">
        <v>42</v>
      </c>
      <c r="M16" s="136">
        <v>170</v>
      </c>
      <c r="N16" s="136">
        <v>1220625</v>
      </c>
      <c r="O16" s="136">
        <v>207506250</v>
      </c>
      <c r="P16" s="136">
        <v>207506250</v>
      </c>
      <c r="Q16" s="136">
        <v>0</v>
      </c>
      <c r="R16" s="136">
        <v>0</v>
      </c>
      <c r="S16" s="136" t="s">
        <v>43</v>
      </c>
      <c r="T16" s="136">
        <v>76265072.069999993</v>
      </c>
      <c r="U16" s="136">
        <v>76265072.069999993</v>
      </c>
      <c r="V16" s="136">
        <v>131241177.93000001</v>
      </c>
      <c r="W16" s="136">
        <v>0.63246855422399995</v>
      </c>
      <c r="X16" s="136">
        <v>131241177.93000001</v>
      </c>
      <c r="Y16" s="133" t="s">
        <v>66</v>
      </c>
      <c r="Z16" s="133" t="s">
        <v>44</v>
      </c>
      <c r="AA16" s="136">
        <v>15413</v>
      </c>
      <c r="AB16" s="133" t="s">
        <v>82</v>
      </c>
      <c r="AC16" s="133" t="s">
        <v>56</v>
      </c>
      <c r="AD16" s="133" t="s">
        <v>77</v>
      </c>
      <c r="AE16" s="133">
        <v>0</v>
      </c>
      <c r="AF16" s="133" t="s">
        <v>68</v>
      </c>
      <c r="AG16" s="133" t="s">
        <v>71</v>
      </c>
      <c r="AH16" s="133" t="s">
        <v>53</v>
      </c>
      <c r="AI16" s="133" t="s">
        <v>69</v>
      </c>
      <c r="AJ16" s="133" t="s">
        <v>46</v>
      </c>
      <c r="AK16" s="133" t="s">
        <v>54</v>
      </c>
      <c r="AL16" s="133" t="s">
        <v>48</v>
      </c>
      <c r="AM16" s="133" t="s">
        <v>64</v>
      </c>
      <c r="AN16" s="155" t="str">
        <f>VLOOKUP(I16,Sheet1!A:D,4,FALSE)</f>
        <v>A320400</v>
      </c>
      <c r="AO16" s="207" t="s">
        <v>845</v>
      </c>
      <c r="AP16" s="172"/>
    </row>
    <row r="17" spans="1:42" s="133" customFormat="1" ht="14.25" x14ac:dyDescent="0.2">
      <c r="A17" s="132">
        <v>45717</v>
      </c>
      <c r="B17" s="133" t="s">
        <v>40</v>
      </c>
      <c r="C17" s="133" t="s">
        <v>41</v>
      </c>
      <c r="D17" s="133">
        <v>25708051</v>
      </c>
      <c r="E17" s="133">
        <v>25106600</v>
      </c>
      <c r="F17" s="133" t="s">
        <v>853</v>
      </c>
      <c r="G17" s="135">
        <v>45719</v>
      </c>
      <c r="H17" s="133" t="s">
        <v>82</v>
      </c>
      <c r="I17" s="133" t="s">
        <v>55</v>
      </c>
      <c r="J17" s="133" t="s">
        <v>70</v>
      </c>
      <c r="K17" s="136">
        <v>200</v>
      </c>
      <c r="L17" s="136" t="s">
        <v>42</v>
      </c>
      <c r="M17" s="136">
        <v>200</v>
      </c>
      <c r="N17" s="136">
        <v>1226250</v>
      </c>
      <c r="O17" s="136">
        <v>245250000</v>
      </c>
      <c r="P17" s="136">
        <v>245250000</v>
      </c>
      <c r="Q17" s="136">
        <v>0</v>
      </c>
      <c r="R17" s="136">
        <v>0</v>
      </c>
      <c r="S17" s="136" t="s">
        <v>43</v>
      </c>
      <c r="T17" s="136">
        <v>89723614.200000003</v>
      </c>
      <c r="U17" s="136">
        <v>89723614.200000003</v>
      </c>
      <c r="V17" s="136">
        <v>155526385.80000001</v>
      </c>
      <c r="W17" s="136">
        <v>0.634154478287</v>
      </c>
      <c r="X17" s="136">
        <v>155526385.80000001</v>
      </c>
      <c r="Y17" s="133" t="s">
        <v>66</v>
      </c>
      <c r="Z17" s="133" t="s">
        <v>44</v>
      </c>
      <c r="AA17" s="136">
        <v>15413</v>
      </c>
      <c r="AB17" s="133" t="s">
        <v>82</v>
      </c>
      <c r="AC17" s="133" t="s">
        <v>56</v>
      </c>
      <c r="AD17" s="133" t="s">
        <v>77</v>
      </c>
      <c r="AE17" s="133">
        <v>0</v>
      </c>
      <c r="AF17" s="133" t="s">
        <v>68</v>
      </c>
      <c r="AG17" s="133" t="s">
        <v>71</v>
      </c>
      <c r="AH17" s="133" t="s">
        <v>53</v>
      </c>
      <c r="AI17" s="133" t="s">
        <v>69</v>
      </c>
      <c r="AJ17" s="133" t="s">
        <v>46</v>
      </c>
      <c r="AK17" s="133" t="s">
        <v>54</v>
      </c>
      <c r="AL17" s="133" t="s">
        <v>48</v>
      </c>
      <c r="AM17" s="133" t="s">
        <v>64</v>
      </c>
      <c r="AN17" s="155" t="str">
        <f>VLOOKUP(I17,Sheet1!A:D,4,FALSE)</f>
        <v>A320400</v>
      </c>
      <c r="AO17" s="207" t="s">
        <v>859</v>
      </c>
      <c r="AP17" s="172"/>
    </row>
    <row r="18" spans="1:42" s="133" customFormat="1" ht="14.25" x14ac:dyDescent="0.2">
      <c r="A18" s="132">
        <v>45717</v>
      </c>
      <c r="B18" s="133" t="s">
        <v>40</v>
      </c>
      <c r="C18" s="133" t="s">
        <v>41</v>
      </c>
      <c r="D18" s="133">
        <v>25708078</v>
      </c>
      <c r="E18" s="133">
        <v>25106620</v>
      </c>
      <c r="F18" s="133" t="s">
        <v>842</v>
      </c>
      <c r="G18" s="135">
        <v>45729</v>
      </c>
      <c r="H18" s="133" t="s">
        <v>82</v>
      </c>
      <c r="I18" s="133" t="s">
        <v>55</v>
      </c>
      <c r="J18" s="133" t="s">
        <v>70</v>
      </c>
      <c r="K18" s="136">
        <v>160</v>
      </c>
      <c r="L18" s="136" t="s">
        <v>42</v>
      </c>
      <c r="M18" s="136">
        <v>160</v>
      </c>
      <c r="N18" s="136">
        <v>1220625</v>
      </c>
      <c r="O18" s="136">
        <v>195300000</v>
      </c>
      <c r="P18" s="136">
        <v>195300000</v>
      </c>
      <c r="Q18" s="136">
        <v>0</v>
      </c>
      <c r="R18" s="136">
        <v>0</v>
      </c>
      <c r="S18" s="136" t="s">
        <v>43</v>
      </c>
      <c r="T18" s="136">
        <v>71778891.359999999</v>
      </c>
      <c r="U18" s="136">
        <v>71778891.359999999</v>
      </c>
      <c r="V18" s="136">
        <v>123521108.64</v>
      </c>
      <c r="W18" s="136">
        <v>0.63246855422399995</v>
      </c>
      <c r="X18" s="136">
        <v>123521108.64</v>
      </c>
      <c r="Y18" s="133" t="s">
        <v>66</v>
      </c>
      <c r="Z18" s="133" t="s">
        <v>44</v>
      </c>
      <c r="AA18" s="136">
        <v>15413</v>
      </c>
      <c r="AB18" s="133" t="s">
        <v>82</v>
      </c>
      <c r="AC18" s="133" t="s">
        <v>56</v>
      </c>
      <c r="AD18" s="133" t="s">
        <v>77</v>
      </c>
      <c r="AE18" s="133">
        <v>0</v>
      </c>
      <c r="AF18" s="133" t="s">
        <v>68</v>
      </c>
      <c r="AG18" s="133" t="s">
        <v>71</v>
      </c>
      <c r="AH18" s="133" t="s">
        <v>53</v>
      </c>
      <c r="AI18" s="133" t="s">
        <v>69</v>
      </c>
      <c r="AJ18" s="133" t="s">
        <v>46</v>
      </c>
      <c r="AK18" s="133" t="s">
        <v>54</v>
      </c>
      <c r="AL18" s="133" t="s">
        <v>48</v>
      </c>
      <c r="AM18" s="133" t="s">
        <v>64</v>
      </c>
      <c r="AN18" s="155" t="str">
        <f>VLOOKUP(I18,Sheet1!A:D,4,FALSE)</f>
        <v>A320400</v>
      </c>
      <c r="AO18" s="207" t="s">
        <v>887</v>
      </c>
      <c r="AP18" s="172"/>
    </row>
    <row r="19" spans="1:42" s="133" customFormat="1" ht="14.25" x14ac:dyDescent="0.2">
      <c r="A19" s="132">
        <v>45717</v>
      </c>
      <c r="B19" s="133" t="s">
        <v>40</v>
      </c>
      <c r="C19" s="133" t="s">
        <v>41</v>
      </c>
      <c r="D19" s="133">
        <v>25708079</v>
      </c>
      <c r="E19" s="133">
        <v>25106627</v>
      </c>
      <c r="F19" s="133" t="s">
        <v>885</v>
      </c>
      <c r="G19" s="135">
        <v>45729</v>
      </c>
      <c r="H19" s="133" t="s">
        <v>82</v>
      </c>
      <c r="I19" s="133" t="s">
        <v>146</v>
      </c>
      <c r="J19" s="133" t="s">
        <v>147</v>
      </c>
      <c r="K19" s="136">
        <v>1</v>
      </c>
      <c r="L19" s="136" t="s">
        <v>42</v>
      </c>
      <c r="M19" s="136">
        <v>1</v>
      </c>
      <c r="N19" s="136">
        <v>9789600</v>
      </c>
      <c r="O19" s="136">
        <v>9789600</v>
      </c>
      <c r="P19" s="136">
        <v>9789600</v>
      </c>
      <c r="Q19" s="136">
        <v>0</v>
      </c>
      <c r="R19" s="136">
        <v>0</v>
      </c>
      <c r="S19" s="136" t="s">
        <v>43</v>
      </c>
      <c r="T19" s="136">
        <v>6262631.7999999998</v>
      </c>
      <c r="U19" s="136">
        <v>6262631.7999999998</v>
      </c>
      <c r="V19" s="136">
        <v>3526968.2</v>
      </c>
      <c r="W19" s="136">
        <v>0.36027704911300001</v>
      </c>
      <c r="X19" s="136">
        <v>3526968.2</v>
      </c>
      <c r="Y19" s="133" t="s">
        <v>66</v>
      </c>
      <c r="Z19" s="133" t="s">
        <v>44</v>
      </c>
      <c r="AA19" s="136">
        <v>15413</v>
      </c>
      <c r="AB19" s="133" t="s">
        <v>82</v>
      </c>
      <c r="AC19" s="133" t="s">
        <v>56</v>
      </c>
      <c r="AD19" s="133" t="s">
        <v>77</v>
      </c>
      <c r="AE19" s="133">
        <v>0</v>
      </c>
      <c r="AF19" s="133" t="s">
        <v>68</v>
      </c>
      <c r="AG19" s="133" t="s">
        <v>69</v>
      </c>
      <c r="AH19" s="133" t="s">
        <v>46</v>
      </c>
      <c r="AI19" s="133" t="s">
        <v>69</v>
      </c>
      <c r="AJ19" s="133" t="s">
        <v>46</v>
      </c>
      <c r="AK19" s="133" t="s">
        <v>54</v>
      </c>
      <c r="AL19" s="133" t="s">
        <v>48</v>
      </c>
      <c r="AM19" s="133" t="s">
        <v>64</v>
      </c>
      <c r="AN19" s="155" t="str">
        <f>VLOOKUP(I19,Sheet1!A:D,4,FALSE)</f>
        <v>A320400</v>
      </c>
      <c r="AO19" s="207" t="s">
        <v>887</v>
      </c>
      <c r="AP19" s="172"/>
    </row>
    <row r="20" spans="1:42" s="133" customFormat="1" ht="14.25" x14ac:dyDescent="0.2">
      <c r="A20" s="132">
        <v>45717</v>
      </c>
      <c r="B20" s="133" t="s">
        <v>40</v>
      </c>
      <c r="C20" s="133" t="s">
        <v>41</v>
      </c>
      <c r="D20" s="133">
        <v>25708080</v>
      </c>
      <c r="E20" s="133">
        <v>25106628</v>
      </c>
      <c r="F20" s="133" t="s">
        <v>886</v>
      </c>
      <c r="G20" s="135">
        <v>45729</v>
      </c>
      <c r="H20" s="133" t="s">
        <v>82</v>
      </c>
      <c r="I20" s="133" t="s">
        <v>146</v>
      </c>
      <c r="J20" s="133" t="s">
        <v>147</v>
      </c>
      <c r="K20" s="136">
        <v>1</v>
      </c>
      <c r="L20" s="136" t="s">
        <v>42</v>
      </c>
      <c r="M20" s="136">
        <v>1</v>
      </c>
      <c r="N20" s="136">
        <v>9832200</v>
      </c>
      <c r="O20" s="136">
        <v>9832200</v>
      </c>
      <c r="P20" s="136">
        <v>9832200</v>
      </c>
      <c r="Q20" s="136">
        <v>0</v>
      </c>
      <c r="R20" s="136">
        <v>0</v>
      </c>
      <c r="S20" s="136" t="s">
        <v>43</v>
      </c>
      <c r="T20" s="136">
        <v>6262631.7999999998</v>
      </c>
      <c r="U20" s="136">
        <v>6262631.7999999998</v>
      </c>
      <c r="V20" s="136">
        <v>3569568.2</v>
      </c>
      <c r="W20" s="136">
        <v>0.36304877850299999</v>
      </c>
      <c r="X20" s="136">
        <v>3569568.2</v>
      </c>
      <c r="Y20" s="133" t="s">
        <v>66</v>
      </c>
      <c r="Z20" s="133" t="s">
        <v>44</v>
      </c>
      <c r="AA20" s="136">
        <v>15413</v>
      </c>
      <c r="AB20" s="133" t="s">
        <v>82</v>
      </c>
      <c r="AC20" s="133" t="s">
        <v>56</v>
      </c>
      <c r="AD20" s="133" t="s">
        <v>77</v>
      </c>
      <c r="AE20" s="133">
        <v>0</v>
      </c>
      <c r="AF20" s="133" t="s">
        <v>68</v>
      </c>
      <c r="AG20" s="133" t="s">
        <v>69</v>
      </c>
      <c r="AH20" s="133" t="s">
        <v>46</v>
      </c>
      <c r="AI20" s="133" t="s">
        <v>69</v>
      </c>
      <c r="AJ20" s="133" t="s">
        <v>46</v>
      </c>
      <c r="AK20" s="133" t="s">
        <v>54</v>
      </c>
      <c r="AL20" s="133" t="s">
        <v>48</v>
      </c>
      <c r="AM20" s="133" t="s">
        <v>64</v>
      </c>
      <c r="AN20" s="155" t="str">
        <f>VLOOKUP(I20,Sheet1!A:D,4,FALSE)</f>
        <v>A320400</v>
      </c>
      <c r="AO20" s="207" t="s">
        <v>887</v>
      </c>
      <c r="AP20" s="172"/>
    </row>
    <row r="21" spans="1:42" s="133" customFormat="1" ht="14.25" x14ac:dyDescent="0.2">
      <c r="A21" s="132">
        <v>45748</v>
      </c>
      <c r="B21" s="133" t="s">
        <v>40</v>
      </c>
      <c r="C21" s="133" t="s">
        <v>41</v>
      </c>
      <c r="D21" s="133">
        <v>25708103</v>
      </c>
      <c r="E21" s="133">
        <v>25106626</v>
      </c>
      <c r="F21" s="133" t="s">
        <v>927</v>
      </c>
      <c r="G21" s="135">
        <v>45755</v>
      </c>
      <c r="H21" s="133" t="s">
        <v>82</v>
      </c>
      <c r="I21" s="133" t="s">
        <v>55</v>
      </c>
      <c r="J21" s="133" t="s">
        <v>70</v>
      </c>
      <c r="K21" s="136">
        <v>80</v>
      </c>
      <c r="L21" s="136" t="s">
        <v>42</v>
      </c>
      <c r="M21" s="136">
        <v>80</v>
      </c>
      <c r="N21" s="136">
        <v>1223700</v>
      </c>
      <c r="O21" s="136">
        <v>97896000</v>
      </c>
      <c r="P21" s="136">
        <v>97896000</v>
      </c>
      <c r="Q21" s="136">
        <v>0</v>
      </c>
      <c r="R21" s="136">
        <v>0</v>
      </c>
      <c r="S21" s="136" t="s">
        <v>43</v>
      </c>
      <c r="T21" s="136">
        <v>40244234.530000001</v>
      </c>
      <c r="U21" s="136">
        <v>40244234.530000001</v>
      </c>
      <c r="V21" s="136">
        <v>57651765.469999999</v>
      </c>
      <c r="W21" s="136">
        <v>0.58890828501600001</v>
      </c>
      <c r="X21" s="136">
        <v>57651765.469999999</v>
      </c>
      <c r="Y21" s="133" t="s">
        <v>66</v>
      </c>
      <c r="Z21" s="133" t="s">
        <v>44</v>
      </c>
      <c r="AA21" s="136">
        <v>15413</v>
      </c>
      <c r="AB21" s="133" t="s">
        <v>82</v>
      </c>
      <c r="AC21" s="133" t="s">
        <v>56</v>
      </c>
      <c r="AD21" s="133" t="s">
        <v>77</v>
      </c>
      <c r="AE21" s="133">
        <v>0</v>
      </c>
      <c r="AF21" s="133" t="s">
        <v>68</v>
      </c>
      <c r="AG21" s="133" t="s">
        <v>71</v>
      </c>
      <c r="AH21" s="133" t="s">
        <v>53</v>
      </c>
      <c r="AI21" s="133" t="s">
        <v>69</v>
      </c>
      <c r="AJ21" s="133" t="s">
        <v>46</v>
      </c>
      <c r="AK21" s="133" t="s">
        <v>54</v>
      </c>
      <c r="AL21" s="133" t="s">
        <v>48</v>
      </c>
      <c r="AM21" s="133" t="s">
        <v>64</v>
      </c>
      <c r="AN21" s="155" t="str">
        <f>VLOOKUP(I21,Sheet1!A:D,4,FALSE)</f>
        <v>A320400</v>
      </c>
      <c r="AO21" s="133" t="s">
        <v>938</v>
      </c>
      <c r="AP21" s="172"/>
    </row>
    <row r="22" spans="1:42" s="133" customFormat="1" ht="14.25" x14ac:dyDescent="0.2">
      <c r="A22" s="132">
        <v>45748</v>
      </c>
      <c r="B22" s="133" t="s">
        <v>40</v>
      </c>
      <c r="C22" s="133" t="s">
        <v>41</v>
      </c>
      <c r="D22" s="133">
        <v>25708170</v>
      </c>
      <c r="E22" s="133">
        <v>25106664</v>
      </c>
      <c r="F22" s="133" t="s">
        <v>981</v>
      </c>
      <c r="G22" s="135">
        <v>45775</v>
      </c>
      <c r="H22" s="133" t="s">
        <v>258</v>
      </c>
      <c r="I22" s="133" t="s">
        <v>55</v>
      </c>
      <c r="J22" s="133" t="s">
        <v>259</v>
      </c>
      <c r="K22" s="136">
        <v>160</v>
      </c>
      <c r="L22" s="136" t="s">
        <v>42</v>
      </c>
      <c r="M22" s="136">
        <v>160</v>
      </c>
      <c r="N22" s="136">
        <v>1244100</v>
      </c>
      <c r="O22" s="136">
        <v>199056000</v>
      </c>
      <c r="P22" s="136">
        <v>199056000</v>
      </c>
      <c r="Q22" s="136">
        <v>0</v>
      </c>
      <c r="R22" s="136">
        <v>0</v>
      </c>
      <c r="S22" s="136" t="s">
        <v>43</v>
      </c>
      <c r="T22" s="136">
        <v>80488469.069999993</v>
      </c>
      <c r="U22" s="136">
        <v>80488469.069999993</v>
      </c>
      <c r="V22" s="136">
        <v>118567530.93000001</v>
      </c>
      <c r="W22" s="136">
        <v>0.59564911848900004</v>
      </c>
      <c r="X22" s="136">
        <v>118567530.93000001</v>
      </c>
      <c r="Y22" s="133" t="s">
        <v>235</v>
      </c>
      <c r="Z22" s="133" t="s">
        <v>44</v>
      </c>
      <c r="AA22" s="136">
        <v>15413</v>
      </c>
      <c r="AB22" s="133" t="s">
        <v>258</v>
      </c>
      <c r="AC22" s="133" t="s">
        <v>56</v>
      </c>
      <c r="AD22" s="133" t="s">
        <v>103</v>
      </c>
      <c r="AE22" s="133">
        <v>0</v>
      </c>
      <c r="AF22" s="133" t="s">
        <v>191</v>
      </c>
      <c r="AG22" s="133" t="s">
        <v>242</v>
      </c>
      <c r="AH22" s="133" t="s">
        <v>53</v>
      </c>
      <c r="AI22" s="133" t="s">
        <v>101</v>
      </c>
      <c r="AJ22" s="133" t="s">
        <v>46</v>
      </c>
      <c r="AK22" s="133" t="s">
        <v>54</v>
      </c>
      <c r="AL22" s="133" t="s">
        <v>48</v>
      </c>
      <c r="AM22" s="133" t="s">
        <v>64</v>
      </c>
      <c r="AN22" s="155" t="str">
        <f>VLOOKUP(I22,Sheet1!A:D,4,FALSE)</f>
        <v>A320400</v>
      </c>
      <c r="AO22" s="207" t="s">
        <v>982</v>
      </c>
      <c r="AP22" s="172"/>
    </row>
    <row r="23" spans="1:42" s="133" customFormat="1" ht="14.25" x14ac:dyDescent="0.2">
      <c r="A23" s="132">
        <v>45778</v>
      </c>
      <c r="B23" s="133" t="s">
        <v>40</v>
      </c>
      <c r="C23" s="133" t="s">
        <v>41</v>
      </c>
      <c r="D23" s="133">
        <v>25708209</v>
      </c>
      <c r="E23" s="133">
        <v>25106692</v>
      </c>
      <c r="F23" s="133" t="s">
        <v>1019</v>
      </c>
      <c r="G23" s="135">
        <v>45791</v>
      </c>
      <c r="H23" s="133" t="s">
        <v>82</v>
      </c>
      <c r="I23" s="133" t="s">
        <v>55</v>
      </c>
      <c r="J23" s="133" t="s">
        <v>70</v>
      </c>
      <c r="K23" s="136">
        <v>240</v>
      </c>
      <c r="L23" s="136" t="s">
        <v>42</v>
      </c>
      <c r="M23" s="136">
        <v>240</v>
      </c>
      <c r="N23" s="136">
        <v>1263675</v>
      </c>
      <c r="O23" s="136">
        <v>303282000</v>
      </c>
      <c r="P23" s="136">
        <v>303282000</v>
      </c>
      <c r="Q23" s="136">
        <v>0</v>
      </c>
      <c r="R23" s="136">
        <v>0</v>
      </c>
      <c r="S23" s="136" t="s">
        <v>43</v>
      </c>
      <c r="T23" s="136">
        <v>115300659.37</v>
      </c>
      <c r="U23" s="136">
        <v>115300659.37</v>
      </c>
      <c r="V23" s="136">
        <v>187981340.63</v>
      </c>
      <c r="W23" s="136">
        <v>0.61982359859799996</v>
      </c>
      <c r="X23" s="136">
        <v>187981340.63</v>
      </c>
      <c r="Y23" s="133" t="s">
        <v>66</v>
      </c>
      <c r="Z23" s="133" t="s">
        <v>44</v>
      </c>
      <c r="AA23" s="136">
        <v>15413</v>
      </c>
      <c r="AB23" s="133" t="s">
        <v>82</v>
      </c>
      <c r="AC23" s="133" t="s">
        <v>56</v>
      </c>
      <c r="AD23" s="133" t="s">
        <v>77</v>
      </c>
      <c r="AE23" s="133">
        <v>0</v>
      </c>
      <c r="AF23" s="133" t="s">
        <v>68</v>
      </c>
      <c r="AG23" s="133" t="s">
        <v>71</v>
      </c>
      <c r="AH23" s="133" t="s">
        <v>53</v>
      </c>
      <c r="AI23" s="133" t="s">
        <v>69</v>
      </c>
      <c r="AJ23" s="133" t="s">
        <v>46</v>
      </c>
      <c r="AK23" s="133" t="s">
        <v>54</v>
      </c>
      <c r="AL23" s="133" t="s">
        <v>48</v>
      </c>
      <c r="AM23" s="133" t="s">
        <v>64</v>
      </c>
      <c r="AN23" s="155" t="str">
        <f>VLOOKUP(I23,Sheet1!A:D,4,FALSE)</f>
        <v>A320400</v>
      </c>
      <c r="AO23" s="207" t="s">
        <v>1020</v>
      </c>
      <c r="AP23" s="172"/>
    </row>
    <row r="24" spans="1:42" s="133" customFormat="1" ht="14.25" x14ac:dyDescent="0.2">
      <c r="A24" s="132">
        <v>45809</v>
      </c>
      <c r="B24" s="133" t="s">
        <v>40</v>
      </c>
      <c r="C24" s="133" t="s">
        <v>41</v>
      </c>
      <c r="D24" s="133">
        <v>25708275</v>
      </c>
      <c r="E24" s="133">
        <v>25106692</v>
      </c>
      <c r="F24" s="133" t="s">
        <v>1019</v>
      </c>
      <c r="G24" s="135">
        <v>45813</v>
      </c>
      <c r="H24" s="133" t="s">
        <v>82</v>
      </c>
      <c r="I24" s="133" t="s">
        <v>55</v>
      </c>
      <c r="J24" s="133" t="s">
        <v>70</v>
      </c>
      <c r="K24" s="136">
        <v>10</v>
      </c>
      <c r="L24" s="136" t="s">
        <v>42</v>
      </c>
      <c r="M24" s="136">
        <v>10</v>
      </c>
      <c r="N24" s="136">
        <v>1263675</v>
      </c>
      <c r="O24" s="136">
        <v>12636750</v>
      </c>
      <c r="P24" s="136">
        <v>12636750</v>
      </c>
      <c r="Q24" s="136">
        <v>0</v>
      </c>
      <c r="R24" s="136">
        <v>0</v>
      </c>
      <c r="S24" s="136" t="s">
        <v>43</v>
      </c>
      <c r="T24" s="136">
        <v>4804194.1399999997</v>
      </c>
      <c r="U24" s="136">
        <v>4804194.1399999997</v>
      </c>
      <c r="V24" s="136">
        <v>7832555.8600000003</v>
      </c>
      <c r="W24" s="136">
        <v>0.61982359863000003</v>
      </c>
      <c r="X24" s="136">
        <v>7832555.8600000003</v>
      </c>
      <c r="Y24" s="133" t="s">
        <v>66</v>
      </c>
      <c r="Z24" s="133" t="s">
        <v>44</v>
      </c>
      <c r="AA24" s="136">
        <v>15413</v>
      </c>
      <c r="AB24" s="133" t="s">
        <v>82</v>
      </c>
      <c r="AC24" s="133" t="s">
        <v>56</v>
      </c>
      <c r="AD24" s="133" t="s">
        <v>77</v>
      </c>
      <c r="AE24" s="133">
        <v>0</v>
      </c>
      <c r="AF24" s="133" t="s">
        <v>68</v>
      </c>
      <c r="AG24" s="133" t="s">
        <v>71</v>
      </c>
      <c r="AH24" s="133" t="s">
        <v>53</v>
      </c>
      <c r="AI24" s="133" t="s">
        <v>69</v>
      </c>
      <c r="AJ24" s="133" t="s">
        <v>46</v>
      </c>
      <c r="AK24" s="133" t="s">
        <v>54</v>
      </c>
      <c r="AL24" s="133" t="s">
        <v>48</v>
      </c>
      <c r="AM24" s="133" t="s">
        <v>64</v>
      </c>
      <c r="AN24" s="155" t="str">
        <f>VLOOKUP(I24,Sheet1!A:D,4,FALSE)</f>
        <v>A320400</v>
      </c>
      <c r="AO24" s="207" t="s">
        <v>1072</v>
      </c>
      <c r="AP24" s="172"/>
    </row>
    <row r="25" spans="1:42" s="133" customFormat="1" ht="14.25" x14ac:dyDescent="0.2">
      <c r="A25" s="132">
        <v>45809</v>
      </c>
      <c r="B25" s="133" t="s">
        <v>40</v>
      </c>
      <c r="C25" s="133" t="s">
        <v>41</v>
      </c>
      <c r="D25" s="133">
        <v>25708276</v>
      </c>
      <c r="E25" s="133">
        <v>25106744</v>
      </c>
      <c r="F25" s="133" t="s">
        <v>1070</v>
      </c>
      <c r="G25" s="135">
        <v>45813</v>
      </c>
      <c r="H25" s="133" t="s">
        <v>82</v>
      </c>
      <c r="I25" s="133" t="s">
        <v>55</v>
      </c>
      <c r="J25" s="133" t="s">
        <v>70</v>
      </c>
      <c r="K25" s="136">
        <v>100</v>
      </c>
      <c r="L25" s="136" t="s">
        <v>42</v>
      </c>
      <c r="M25" s="136">
        <v>100</v>
      </c>
      <c r="N25" s="136">
        <v>1231575</v>
      </c>
      <c r="O25" s="136">
        <v>123157500</v>
      </c>
      <c r="P25" s="136">
        <v>123157500</v>
      </c>
      <c r="Q25" s="136">
        <v>0</v>
      </c>
      <c r="R25" s="136">
        <v>0</v>
      </c>
      <c r="S25" s="136" t="s">
        <v>43</v>
      </c>
      <c r="T25" s="136">
        <v>48041941.409999996</v>
      </c>
      <c r="U25" s="136">
        <v>48041941.409999996</v>
      </c>
      <c r="V25" s="136">
        <v>75115558.590000004</v>
      </c>
      <c r="W25" s="136">
        <v>0.60991461007199999</v>
      </c>
      <c r="X25" s="136">
        <v>75115558.590000004</v>
      </c>
      <c r="Y25" s="133" t="s">
        <v>66</v>
      </c>
      <c r="Z25" s="133" t="s">
        <v>44</v>
      </c>
      <c r="AA25" s="136">
        <v>15413</v>
      </c>
      <c r="AB25" s="133" t="s">
        <v>82</v>
      </c>
      <c r="AC25" s="133" t="s">
        <v>56</v>
      </c>
      <c r="AD25" s="133" t="s">
        <v>77</v>
      </c>
      <c r="AE25" s="133">
        <v>0</v>
      </c>
      <c r="AF25" s="133" t="s">
        <v>68</v>
      </c>
      <c r="AG25" s="133" t="s">
        <v>71</v>
      </c>
      <c r="AH25" s="133" t="s">
        <v>53</v>
      </c>
      <c r="AI25" s="133" t="s">
        <v>69</v>
      </c>
      <c r="AJ25" s="133" t="s">
        <v>46</v>
      </c>
      <c r="AK25" s="133" t="s">
        <v>54</v>
      </c>
      <c r="AL25" s="133" t="s">
        <v>48</v>
      </c>
      <c r="AM25" s="133" t="s">
        <v>64</v>
      </c>
      <c r="AN25" s="155" t="str">
        <f>VLOOKUP(I25,Sheet1!A:D,4,FALSE)</f>
        <v>A320400</v>
      </c>
      <c r="AO25" s="207" t="s">
        <v>1072</v>
      </c>
      <c r="AP25" s="172"/>
    </row>
    <row r="26" spans="1:42" s="133" customFormat="1" ht="14.25" x14ac:dyDescent="0.2">
      <c r="A26" s="132">
        <v>45809</v>
      </c>
      <c r="B26" s="133" t="s">
        <v>40</v>
      </c>
      <c r="C26" s="133" t="s">
        <v>41</v>
      </c>
      <c r="D26" s="133">
        <v>25708277</v>
      </c>
      <c r="E26" s="133">
        <v>25106771</v>
      </c>
      <c r="F26" s="133" t="s">
        <v>1071</v>
      </c>
      <c r="G26" s="135">
        <v>45813</v>
      </c>
      <c r="H26" s="133" t="s">
        <v>82</v>
      </c>
      <c r="I26" s="133" t="s">
        <v>55</v>
      </c>
      <c r="J26" s="133" t="s">
        <v>70</v>
      </c>
      <c r="K26" s="136">
        <v>110</v>
      </c>
      <c r="L26" s="136" t="s">
        <v>42</v>
      </c>
      <c r="M26" s="136">
        <v>110</v>
      </c>
      <c r="N26" s="136">
        <v>1223475</v>
      </c>
      <c r="O26" s="136">
        <v>134582250</v>
      </c>
      <c r="P26" s="136">
        <v>134582250</v>
      </c>
      <c r="Q26" s="136">
        <v>0</v>
      </c>
      <c r="R26" s="136">
        <v>0</v>
      </c>
      <c r="S26" s="136" t="s">
        <v>43</v>
      </c>
      <c r="T26" s="136">
        <v>52846135.549999997</v>
      </c>
      <c r="U26" s="136">
        <v>52846135.549999997</v>
      </c>
      <c r="V26" s="136">
        <v>81736114.450000003</v>
      </c>
      <c r="W26" s="136">
        <v>0.60733205493200004</v>
      </c>
      <c r="X26" s="136">
        <v>81736114.450000003</v>
      </c>
      <c r="Y26" s="133" t="s">
        <v>66</v>
      </c>
      <c r="Z26" s="133" t="s">
        <v>44</v>
      </c>
      <c r="AA26" s="136">
        <v>15413</v>
      </c>
      <c r="AB26" s="133" t="s">
        <v>82</v>
      </c>
      <c r="AC26" s="133" t="s">
        <v>56</v>
      </c>
      <c r="AD26" s="133" t="s">
        <v>77</v>
      </c>
      <c r="AE26" s="133">
        <v>0</v>
      </c>
      <c r="AF26" s="133" t="s">
        <v>68</v>
      </c>
      <c r="AG26" s="133" t="s">
        <v>71</v>
      </c>
      <c r="AH26" s="133" t="s">
        <v>53</v>
      </c>
      <c r="AI26" s="133" t="s">
        <v>69</v>
      </c>
      <c r="AJ26" s="133" t="s">
        <v>46</v>
      </c>
      <c r="AK26" s="133" t="s">
        <v>54</v>
      </c>
      <c r="AL26" s="133" t="s">
        <v>48</v>
      </c>
      <c r="AM26" s="133" t="s">
        <v>64</v>
      </c>
      <c r="AN26" s="155" t="str">
        <f>VLOOKUP(I26,Sheet1!A:D,4,FALSE)</f>
        <v>A320400</v>
      </c>
      <c r="AO26" s="207" t="s">
        <v>1072</v>
      </c>
      <c r="AP26" s="172"/>
    </row>
    <row r="27" spans="1:42" s="133" customFormat="1" ht="14.25" x14ac:dyDescent="0.2">
      <c r="A27" s="132">
        <v>45839</v>
      </c>
      <c r="B27" s="133" t="s">
        <v>40</v>
      </c>
      <c r="C27" s="133" t="s">
        <v>41</v>
      </c>
      <c r="D27" s="133">
        <v>25708329</v>
      </c>
      <c r="E27" s="133">
        <v>25106771</v>
      </c>
      <c r="F27" s="133" t="s">
        <v>1071</v>
      </c>
      <c r="G27" s="135">
        <v>45840</v>
      </c>
      <c r="H27" s="133" t="s">
        <v>82</v>
      </c>
      <c r="I27" s="133" t="s">
        <v>55</v>
      </c>
      <c r="J27" s="133" t="s">
        <v>70</v>
      </c>
      <c r="K27" s="136">
        <v>90</v>
      </c>
      <c r="L27" s="136" t="s">
        <v>42</v>
      </c>
      <c r="M27" s="136">
        <v>90</v>
      </c>
      <c r="N27" s="136">
        <v>1223475</v>
      </c>
      <c r="O27" s="136">
        <v>110112750</v>
      </c>
      <c r="P27" s="136">
        <v>110112750</v>
      </c>
      <c r="Q27" s="136">
        <v>0</v>
      </c>
      <c r="R27" s="136">
        <v>0</v>
      </c>
      <c r="S27" s="136" t="s">
        <v>43</v>
      </c>
      <c r="T27" s="136">
        <v>45819750.200000003</v>
      </c>
      <c r="U27" s="136">
        <v>45819750.200000003</v>
      </c>
      <c r="V27" s="136">
        <v>64292999.799999997</v>
      </c>
      <c r="W27" s="136">
        <v>0.58388333594399999</v>
      </c>
      <c r="X27" s="136">
        <v>64292999.799999997</v>
      </c>
      <c r="Y27" s="133" t="s">
        <v>66</v>
      </c>
      <c r="Z27" s="133" t="s">
        <v>44</v>
      </c>
      <c r="AA27" s="136">
        <v>15413</v>
      </c>
      <c r="AB27" s="133" t="s">
        <v>82</v>
      </c>
      <c r="AC27" s="133" t="s">
        <v>56</v>
      </c>
      <c r="AD27" s="133" t="s">
        <v>77</v>
      </c>
      <c r="AE27" s="133">
        <v>0</v>
      </c>
      <c r="AF27" s="133" t="s">
        <v>68</v>
      </c>
      <c r="AG27" s="133" t="s">
        <v>71</v>
      </c>
      <c r="AH27" s="133" t="s">
        <v>53</v>
      </c>
      <c r="AI27" s="133" t="s">
        <v>69</v>
      </c>
      <c r="AJ27" s="133" t="s">
        <v>46</v>
      </c>
      <c r="AK27" s="133" t="s">
        <v>54</v>
      </c>
      <c r="AL27" s="133" t="s">
        <v>48</v>
      </c>
      <c r="AM27" s="133" t="s">
        <v>64</v>
      </c>
      <c r="AN27" s="155" t="str">
        <f>VLOOKUP(I27,Sheet1!A:D,4,FALSE)</f>
        <v>A320400</v>
      </c>
      <c r="AO27" s="207" t="s">
        <v>1122</v>
      </c>
      <c r="AP27" s="172"/>
    </row>
    <row r="28" spans="1:42" s="133" customFormat="1" ht="14.25" x14ac:dyDescent="0.2">
      <c r="A28" s="132">
        <v>45901</v>
      </c>
      <c r="B28" s="133" t="s">
        <v>40</v>
      </c>
      <c r="C28" s="133" t="s">
        <v>41</v>
      </c>
      <c r="D28" s="133">
        <v>25708486</v>
      </c>
      <c r="E28" s="133">
        <v>25106885</v>
      </c>
      <c r="F28" s="133" t="s">
        <v>1267</v>
      </c>
      <c r="G28" s="135">
        <v>45901</v>
      </c>
      <c r="H28" s="133" t="s">
        <v>258</v>
      </c>
      <c r="I28" s="133" t="s">
        <v>55</v>
      </c>
      <c r="J28" s="133" t="s">
        <v>259</v>
      </c>
      <c r="K28" s="136">
        <v>220</v>
      </c>
      <c r="L28" s="136" t="s">
        <v>42</v>
      </c>
      <c r="M28" s="136">
        <v>220</v>
      </c>
      <c r="N28" s="136">
        <v>1223400</v>
      </c>
      <c r="O28" s="136">
        <v>269148000</v>
      </c>
      <c r="P28" s="136">
        <v>269148000</v>
      </c>
      <c r="Q28" s="136">
        <v>0</v>
      </c>
      <c r="R28" s="136">
        <v>0</v>
      </c>
      <c r="S28" s="136" t="s">
        <v>43</v>
      </c>
      <c r="T28" s="136">
        <v>112003833.81999999</v>
      </c>
      <c r="U28" s="136">
        <v>112003833.81999999</v>
      </c>
      <c r="V28" s="136">
        <v>157144166.18000001</v>
      </c>
      <c r="W28" s="136">
        <v>0.58385782610299997</v>
      </c>
      <c r="X28" s="136">
        <v>157144166.18000001</v>
      </c>
      <c r="Y28" s="133" t="s">
        <v>235</v>
      </c>
      <c r="Z28" s="133" t="s">
        <v>44</v>
      </c>
      <c r="AA28" s="136">
        <v>15413</v>
      </c>
      <c r="AB28" s="133" t="s">
        <v>258</v>
      </c>
      <c r="AC28" s="133" t="s">
        <v>56</v>
      </c>
      <c r="AD28" s="133" t="s">
        <v>103</v>
      </c>
      <c r="AE28" s="133">
        <v>0</v>
      </c>
      <c r="AF28" s="133" t="s">
        <v>191</v>
      </c>
      <c r="AG28" s="133" t="s">
        <v>242</v>
      </c>
      <c r="AH28" s="133" t="s">
        <v>53</v>
      </c>
      <c r="AI28" s="133" t="s">
        <v>101</v>
      </c>
      <c r="AJ28" s="133" t="s">
        <v>46</v>
      </c>
      <c r="AK28" s="133" t="s">
        <v>54</v>
      </c>
      <c r="AL28" s="133" t="s">
        <v>48</v>
      </c>
      <c r="AM28" s="133" t="s">
        <v>64</v>
      </c>
      <c r="AN28" s="155" t="str">
        <f>VLOOKUP(I28,Sheet1!A:D,4,FALSE)</f>
        <v>A320400</v>
      </c>
      <c r="AO28" s="207" t="s">
        <v>1275</v>
      </c>
      <c r="AP28" s="172"/>
    </row>
    <row r="29" spans="1:42" s="254" customFormat="1" x14ac:dyDescent="0.2">
      <c r="A29" s="253">
        <v>45901</v>
      </c>
      <c r="B29" s="254" t="s">
        <v>40</v>
      </c>
      <c r="C29" s="254" t="s">
        <v>41</v>
      </c>
      <c r="D29" s="254">
        <v>25708541</v>
      </c>
      <c r="E29" s="254">
        <v>25106908</v>
      </c>
      <c r="F29" s="254" t="s">
        <v>1336</v>
      </c>
      <c r="G29" s="255">
        <v>45919</v>
      </c>
      <c r="H29" s="254" t="s">
        <v>258</v>
      </c>
      <c r="I29" s="254" t="s">
        <v>55</v>
      </c>
      <c r="J29" s="254" t="s">
        <v>259</v>
      </c>
      <c r="K29" s="256">
        <v>230</v>
      </c>
      <c r="L29" s="256" t="s">
        <v>42</v>
      </c>
      <c r="M29" s="256">
        <v>230</v>
      </c>
      <c r="N29" s="256">
        <v>1208175</v>
      </c>
      <c r="O29" s="256">
        <v>277880250</v>
      </c>
      <c r="P29" s="256">
        <v>277880250</v>
      </c>
      <c r="Q29" s="256">
        <v>0</v>
      </c>
      <c r="R29" s="256">
        <v>0</v>
      </c>
      <c r="S29" s="256" t="s">
        <v>43</v>
      </c>
      <c r="T29" s="256">
        <v>117094917.17</v>
      </c>
      <c r="U29" s="256">
        <v>117094917.17</v>
      </c>
      <c r="V29" s="256">
        <v>160785332.83000001</v>
      </c>
      <c r="W29" s="256">
        <v>0.57861374757600004</v>
      </c>
      <c r="X29" s="256">
        <v>160785332.83000001</v>
      </c>
      <c r="Y29" s="254" t="s">
        <v>235</v>
      </c>
      <c r="Z29" s="254" t="s">
        <v>44</v>
      </c>
      <c r="AA29" s="256">
        <v>15413</v>
      </c>
      <c r="AB29" s="254" t="s">
        <v>258</v>
      </c>
      <c r="AC29" s="254" t="s">
        <v>56</v>
      </c>
      <c r="AD29" s="254" t="s">
        <v>103</v>
      </c>
      <c r="AE29" s="254">
        <v>0</v>
      </c>
      <c r="AF29" s="254" t="s">
        <v>191</v>
      </c>
      <c r="AG29" s="254" t="s">
        <v>242</v>
      </c>
      <c r="AH29" s="254" t="s">
        <v>53</v>
      </c>
      <c r="AI29" s="254" t="s">
        <v>101</v>
      </c>
      <c r="AJ29" s="254" t="s">
        <v>46</v>
      </c>
      <c r="AK29" s="254" t="s">
        <v>54</v>
      </c>
      <c r="AL29" s="254" t="s">
        <v>48</v>
      </c>
      <c r="AM29" s="254" t="s">
        <v>64</v>
      </c>
      <c r="AN29" s="282" t="str">
        <f>VLOOKUP(I29,Sheet1!A:D,4,FALSE)</f>
        <v>A320400</v>
      </c>
      <c r="AO29" s="281" t="s">
        <v>1351</v>
      </c>
      <c r="AP29" s="283"/>
    </row>
    <row r="30" spans="1:42" s="36" customFormat="1" ht="14.25" x14ac:dyDescent="0.2">
      <c r="A30" s="57"/>
      <c r="G30" s="58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AA30" s="42"/>
      <c r="AN30" s="49" t="e">
        <f>VLOOKUP(I30,Sheet1!A:D,4,FALSE)</f>
        <v>#N/A</v>
      </c>
      <c r="AO30" s="59"/>
      <c r="AP30" s="60"/>
    </row>
    <row r="31" spans="1:42" s="36" customFormat="1" ht="14.25" x14ac:dyDescent="0.2">
      <c r="A31" s="57"/>
      <c r="G31" s="58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AA31" s="42"/>
      <c r="AN31" s="49" t="e">
        <f>VLOOKUP(I31,Sheet1!A:D,4,FALSE)</f>
        <v>#N/A</v>
      </c>
      <c r="AO31" s="59"/>
      <c r="AP31" s="60"/>
    </row>
    <row r="32" spans="1:42" s="36" customFormat="1" ht="14.25" x14ac:dyDescent="0.2">
      <c r="A32" s="57"/>
      <c r="G32" s="58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AA32" s="42"/>
      <c r="AN32" s="49" t="e">
        <f>VLOOKUP(I32,Sheet1!A:D,4,FALSE)</f>
        <v>#N/A</v>
      </c>
      <c r="AO32" s="59"/>
      <c r="AP32" s="60"/>
    </row>
    <row r="33" spans="1:42" s="36" customFormat="1" ht="14.25" x14ac:dyDescent="0.2">
      <c r="A33" s="57"/>
      <c r="G33" s="58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AA33" s="42"/>
      <c r="AN33" s="49" t="e">
        <f>VLOOKUP(I33,Sheet1!A:D,4,FALSE)</f>
        <v>#N/A</v>
      </c>
      <c r="AO33" s="59"/>
      <c r="AP33" s="60"/>
    </row>
    <row r="34" spans="1:42" s="36" customFormat="1" ht="14.25" x14ac:dyDescent="0.2">
      <c r="A34" s="57"/>
      <c r="G34" s="58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AA34" s="42"/>
      <c r="AN34" s="49" t="e">
        <f>VLOOKUP(I34,Sheet1!A:D,4,FALSE)</f>
        <v>#N/A</v>
      </c>
      <c r="AO34" s="59"/>
      <c r="AP34" s="60"/>
    </row>
    <row r="35" spans="1:42" s="36" customFormat="1" ht="14.25" x14ac:dyDescent="0.2">
      <c r="A35" s="57"/>
      <c r="G35" s="58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AA35" s="42"/>
      <c r="AN35" s="49" t="e">
        <f>VLOOKUP(I35,Sheet1!A:D,4,FALSE)</f>
        <v>#N/A</v>
      </c>
      <c r="AO35" s="59"/>
      <c r="AP35" s="60"/>
    </row>
    <row r="36" spans="1:42" s="36" customFormat="1" ht="14.25" x14ac:dyDescent="0.2">
      <c r="A36" s="57"/>
      <c r="G36" s="58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AA36" s="42"/>
      <c r="AN36" s="49" t="e">
        <f>VLOOKUP(I36,Sheet1!A:D,4,FALSE)</f>
        <v>#N/A</v>
      </c>
      <c r="AO36" s="59"/>
      <c r="AP36" s="60"/>
    </row>
    <row r="37" spans="1:42" s="36" customFormat="1" ht="14.25" x14ac:dyDescent="0.2">
      <c r="A37" s="57"/>
      <c r="G37" s="58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AA37" s="42"/>
      <c r="AN37" s="49" t="e">
        <f>VLOOKUP(I37,Sheet1!A:D,4,FALSE)</f>
        <v>#N/A</v>
      </c>
      <c r="AO37" s="59"/>
      <c r="AP37" s="60"/>
    </row>
    <row r="38" spans="1:42" s="36" customFormat="1" ht="14.25" x14ac:dyDescent="0.2">
      <c r="A38" s="57"/>
      <c r="G38" s="58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AA38" s="42"/>
      <c r="AN38" s="49" t="e">
        <f>VLOOKUP(I38,Sheet1!A:D,4,FALSE)</f>
        <v>#N/A</v>
      </c>
      <c r="AO38" s="59"/>
      <c r="AP38" s="60"/>
    </row>
    <row r="39" spans="1:42" s="36" customFormat="1" ht="14.25" x14ac:dyDescent="0.2">
      <c r="A39" s="57"/>
      <c r="G39" s="58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AA39" s="42"/>
      <c r="AN39" s="49" t="e">
        <f>VLOOKUP(I39,Sheet1!A:D,4,FALSE)</f>
        <v>#N/A</v>
      </c>
      <c r="AO39" s="59"/>
      <c r="AP39" s="60"/>
    </row>
    <row r="40" spans="1:42" s="36" customFormat="1" ht="14.25" x14ac:dyDescent="0.2">
      <c r="A40" s="57"/>
      <c r="G40" s="5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AA40" s="42"/>
      <c r="AN40" s="49" t="e">
        <f>VLOOKUP(I40,Sheet1!A:D,4,FALSE)</f>
        <v>#N/A</v>
      </c>
      <c r="AO40" s="59"/>
      <c r="AP40" s="60"/>
    </row>
    <row r="41" spans="1:42" s="36" customFormat="1" ht="14.25" x14ac:dyDescent="0.2">
      <c r="A41" s="57"/>
      <c r="G41" s="5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AA41" s="42"/>
      <c r="AN41" s="49" t="e">
        <f>VLOOKUP(I41,Sheet1!A:D,4,FALSE)</f>
        <v>#N/A</v>
      </c>
      <c r="AO41" s="59"/>
      <c r="AP41" s="60"/>
    </row>
    <row r="42" spans="1:42" s="36" customFormat="1" ht="14.25" x14ac:dyDescent="0.2">
      <c r="A42" s="57"/>
      <c r="G42" s="5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AA42" s="42"/>
      <c r="AN42" s="49" t="e">
        <f>VLOOKUP(I42,Sheet1!A:D,4,FALSE)</f>
        <v>#N/A</v>
      </c>
      <c r="AO42" s="59"/>
      <c r="AP42" s="60"/>
    </row>
    <row r="43" spans="1:42" s="36" customFormat="1" ht="14.25" x14ac:dyDescent="0.2">
      <c r="A43" s="57"/>
      <c r="G43" s="5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AA43" s="42"/>
      <c r="AN43" s="49" t="e">
        <f>VLOOKUP(I43,Sheet1!A:D,4,FALSE)</f>
        <v>#N/A</v>
      </c>
      <c r="AO43" s="59"/>
      <c r="AP43" s="60"/>
    </row>
    <row r="44" spans="1:42" s="36" customFormat="1" ht="14.25" x14ac:dyDescent="0.2">
      <c r="A44" s="57"/>
      <c r="G44" s="5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AA44" s="42"/>
      <c r="AN44" s="49" t="e">
        <f>VLOOKUP(I44,Sheet1!A:D,4,FALSE)</f>
        <v>#N/A</v>
      </c>
      <c r="AO44" s="59"/>
      <c r="AP44" s="60"/>
    </row>
    <row r="45" spans="1:42" s="36" customFormat="1" ht="14.25" x14ac:dyDescent="0.2">
      <c r="A45" s="57"/>
      <c r="G45" s="5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AA45" s="42"/>
      <c r="AN45" s="49" t="e">
        <f>VLOOKUP(I45,Sheet1!A:D,4,FALSE)</f>
        <v>#N/A</v>
      </c>
      <c r="AO45" s="59"/>
      <c r="AP45" s="60"/>
    </row>
    <row r="46" spans="1:42" s="36" customFormat="1" ht="14.25" x14ac:dyDescent="0.2">
      <c r="A46" s="57"/>
      <c r="G46" s="5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AA46" s="42"/>
      <c r="AN46" s="49" t="e">
        <f>VLOOKUP(I46,Sheet1!A:D,4,FALSE)</f>
        <v>#N/A</v>
      </c>
      <c r="AO46" s="59"/>
      <c r="AP46" s="60"/>
    </row>
    <row r="47" spans="1:42" s="36" customFormat="1" ht="14.25" x14ac:dyDescent="0.2">
      <c r="A47" s="57"/>
      <c r="G47" s="5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AA47" s="42"/>
      <c r="AN47" s="49" t="e">
        <f>VLOOKUP(I47,Sheet1!A:D,4,FALSE)</f>
        <v>#N/A</v>
      </c>
      <c r="AO47" s="59"/>
      <c r="AP47" s="60"/>
    </row>
    <row r="48" spans="1:42" s="36" customFormat="1" ht="14.25" x14ac:dyDescent="0.2">
      <c r="A48" s="57"/>
      <c r="G48" s="5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AA48" s="42"/>
      <c r="AN48" s="49" t="e">
        <f>VLOOKUP(I48,Sheet1!A:D,4,FALSE)</f>
        <v>#N/A</v>
      </c>
      <c r="AO48" s="59"/>
      <c r="AP48" s="60"/>
    </row>
    <row r="49" spans="1:42" s="36" customFormat="1" ht="14.25" x14ac:dyDescent="0.2">
      <c r="A49" s="57"/>
      <c r="G49" s="5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AA49" s="42"/>
      <c r="AN49" s="49" t="e">
        <f>VLOOKUP(I49,Sheet1!A:D,4,FALSE)</f>
        <v>#N/A</v>
      </c>
      <c r="AO49" s="59"/>
      <c r="AP49" s="60"/>
    </row>
    <row r="50" spans="1:42" s="36" customFormat="1" ht="14.25" x14ac:dyDescent="0.2">
      <c r="A50" s="57"/>
      <c r="G50" s="5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AA50" s="42"/>
      <c r="AN50" s="49" t="e">
        <f>VLOOKUP(I50,Sheet1!A:D,4,FALSE)</f>
        <v>#N/A</v>
      </c>
      <c r="AO50" s="59"/>
      <c r="AP50" s="60"/>
    </row>
    <row r="51" spans="1:42" s="36" customFormat="1" ht="14.25" x14ac:dyDescent="0.2">
      <c r="A51" s="57"/>
      <c r="G51" s="5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AA51" s="42"/>
      <c r="AN51" s="49" t="e">
        <f>VLOOKUP(I51,Sheet1!A:D,4,FALSE)</f>
        <v>#N/A</v>
      </c>
      <c r="AO51" s="59"/>
      <c r="AP51" s="60"/>
    </row>
    <row r="52" spans="1:42" s="36" customFormat="1" ht="14.25" x14ac:dyDescent="0.2">
      <c r="A52" s="57"/>
      <c r="G52" s="5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AA52" s="42"/>
      <c r="AN52" s="49" t="e">
        <f>VLOOKUP(I52,Sheet1!A:D,4,FALSE)</f>
        <v>#N/A</v>
      </c>
      <c r="AO52" s="59"/>
      <c r="AP52" s="60"/>
    </row>
    <row r="53" spans="1:42" s="36" customFormat="1" ht="14.25" x14ac:dyDescent="0.2">
      <c r="A53" s="57"/>
      <c r="G53" s="5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AA53" s="42"/>
      <c r="AN53" s="49" t="e">
        <f>VLOOKUP(I53,Sheet1!A:D,4,FALSE)</f>
        <v>#N/A</v>
      </c>
      <c r="AO53" s="59"/>
      <c r="AP53" s="60"/>
    </row>
    <row r="54" spans="1:42" s="36" customFormat="1" ht="14.25" x14ac:dyDescent="0.2">
      <c r="A54" s="57"/>
      <c r="G54" s="5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AA54" s="42"/>
      <c r="AN54" s="49" t="e">
        <f>VLOOKUP(I54,Sheet1!A:D,4,FALSE)</f>
        <v>#N/A</v>
      </c>
      <c r="AO54" s="59"/>
      <c r="AP54" s="60"/>
    </row>
    <row r="55" spans="1:42" s="36" customFormat="1" ht="14.25" x14ac:dyDescent="0.2">
      <c r="A55" s="57"/>
      <c r="G55" s="5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AA55" s="42"/>
      <c r="AN55" s="49" t="e">
        <f>VLOOKUP(I55,Sheet1!A:D,4,FALSE)</f>
        <v>#N/A</v>
      </c>
      <c r="AO55" s="59"/>
      <c r="AP55" s="60"/>
    </row>
    <row r="56" spans="1:42" s="36" customFormat="1" ht="14.25" x14ac:dyDescent="0.2">
      <c r="A56" s="57"/>
      <c r="G56" s="5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AA56" s="42"/>
      <c r="AN56" s="49" t="e">
        <f>VLOOKUP(I56,Sheet1!A:D,4,FALSE)</f>
        <v>#N/A</v>
      </c>
      <c r="AO56" s="59"/>
      <c r="AP56" s="60"/>
    </row>
    <row r="57" spans="1:42" s="36" customFormat="1" ht="14.25" x14ac:dyDescent="0.2">
      <c r="A57" s="57"/>
      <c r="G57" s="5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AA57" s="42"/>
      <c r="AN57" s="49" t="e">
        <f>VLOOKUP(I57,Sheet1!A:D,4,FALSE)</f>
        <v>#N/A</v>
      </c>
      <c r="AO57" s="59"/>
      <c r="AP57" s="60"/>
    </row>
    <row r="58" spans="1:42" s="36" customFormat="1" ht="14.25" x14ac:dyDescent="0.2">
      <c r="A58" s="57"/>
      <c r="G58" s="5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AA58" s="42"/>
      <c r="AN58" s="49" t="e">
        <f>VLOOKUP(I58,Sheet1!A:D,4,FALSE)</f>
        <v>#N/A</v>
      </c>
      <c r="AO58" s="59"/>
      <c r="AP58" s="60"/>
    </row>
    <row r="59" spans="1:42" s="36" customFormat="1" ht="14.25" x14ac:dyDescent="0.2">
      <c r="A59" s="57"/>
      <c r="G59" s="58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AA59" s="42"/>
      <c r="AN59" s="49" t="e">
        <f>VLOOKUP(I59,Sheet1!A:D,4,FALSE)</f>
        <v>#N/A</v>
      </c>
      <c r="AO59" s="59"/>
      <c r="AP59" s="60"/>
    </row>
    <row r="60" spans="1:42" s="36" customFormat="1" ht="14.25" x14ac:dyDescent="0.2">
      <c r="A60" s="57"/>
      <c r="G60" s="58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AA60" s="42"/>
      <c r="AN60" s="49" t="e">
        <f>VLOOKUP(I60,Sheet1!A:D,4,FALSE)</f>
        <v>#N/A</v>
      </c>
      <c r="AO60" s="59"/>
      <c r="AP60" s="60"/>
    </row>
    <row r="61" spans="1:42" s="36" customFormat="1" ht="14.25" x14ac:dyDescent="0.2">
      <c r="A61" s="57"/>
      <c r="G61" s="58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AA61" s="42"/>
      <c r="AN61" s="49" t="e">
        <f>VLOOKUP(I61,Sheet1!A:D,4,FALSE)</f>
        <v>#N/A</v>
      </c>
      <c r="AO61" s="59"/>
      <c r="AP61" s="60"/>
    </row>
    <row r="62" spans="1:42" s="36" customFormat="1" ht="14.25" x14ac:dyDescent="0.2">
      <c r="A62" s="57"/>
      <c r="G62" s="58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AA62" s="42"/>
      <c r="AN62" s="49" t="e">
        <f>VLOOKUP(I62,Sheet1!A:D,4,FALSE)</f>
        <v>#N/A</v>
      </c>
      <c r="AO62" s="59"/>
      <c r="AP62" s="60"/>
    </row>
    <row r="63" spans="1:42" s="36" customFormat="1" ht="14.25" x14ac:dyDescent="0.2">
      <c r="A63" s="57"/>
      <c r="G63" s="58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AA63" s="42"/>
      <c r="AN63" s="49" t="e">
        <f>VLOOKUP(I63,Sheet1!A:D,4,FALSE)</f>
        <v>#N/A</v>
      </c>
      <c r="AO63" s="59"/>
      <c r="AP63" s="60"/>
    </row>
    <row r="64" spans="1:42" s="36" customFormat="1" ht="14.25" x14ac:dyDescent="0.2">
      <c r="A64" s="57"/>
      <c r="G64" s="58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AA64" s="42"/>
      <c r="AN64" s="49" t="e">
        <f>VLOOKUP(I64,Sheet1!A:D,4,FALSE)</f>
        <v>#N/A</v>
      </c>
      <c r="AO64" s="59"/>
      <c r="AP64" s="60"/>
    </row>
    <row r="65" spans="1:42" s="36" customFormat="1" ht="14.25" x14ac:dyDescent="0.2">
      <c r="A65" s="57"/>
      <c r="G65" s="58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AA65" s="42"/>
      <c r="AN65" s="49" t="e">
        <f>VLOOKUP(I65,Sheet1!A:D,4,FALSE)</f>
        <v>#N/A</v>
      </c>
      <c r="AO65" s="59"/>
      <c r="AP65" s="60"/>
    </row>
    <row r="66" spans="1:42" s="36" customFormat="1" ht="14.25" x14ac:dyDescent="0.2">
      <c r="A66" s="57"/>
      <c r="G66" s="58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AA66" s="42"/>
      <c r="AN66" s="49" t="e">
        <f>VLOOKUP(I66,Sheet1!A:D,4,FALSE)</f>
        <v>#N/A</v>
      </c>
      <c r="AO66" s="59"/>
      <c r="AP66" s="60"/>
    </row>
    <row r="67" spans="1:42" s="36" customFormat="1" ht="14.25" x14ac:dyDescent="0.2">
      <c r="A67" s="57"/>
      <c r="G67" s="58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AA67" s="42"/>
      <c r="AN67" s="49" t="e">
        <f>VLOOKUP(I67,Sheet1!A:D,4,FALSE)</f>
        <v>#N/A</v>
      </c>
      <c r="AO67" s="59"/>
      <c r="AP67" s="60"/>
    </row>
    <row r="68" spans="1:42" s="36" customFormat="1" ht="14.25" x14ac:dyDescent="0.2">
      <c r="A68" s="57"/>
      <c r="G68" s="58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AA68" s="42"/>
      <c r="AN68" s="49" t="e">
        <f>VLOOKUP(I68,Sheet1!A:D,4,FALSE)</f>
        <v>#N/A</v>
      </c>
      <c r="AO68" s="59"/>
      <c r="AP68" s="60"/>
    </row>
    <row r="69" spans="1:42" s="36" customFormat="1" ht="14.25" x14ac:dyDescent="0.2">
      <c r="A69" s="57"/>
      <c r="G69" s="58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AA69" s="42"/>
      <c r="AN69" s="49" t="e">
        <f>VLOOKUP(I69,Sheet1!A:D,4,FALSE)</f>
        <v>#N/A</v>
      </c>
      <c r="AO69" s="59"/>
      <c r="AP69" s="60"/>
    </row>
    <row r="70" spans="1:42" s="36" customFormat="1" ht="14.25" x14ac:dyDescent="0.2">
      <c r="A70" s="57"/>
      <c r="G70" s="58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AA70" s="42"/>
      <c r="AN70" s="49" t="e">
        <f>VLOOKUP(I70,Sheet1!A:D,4,FALSE)</f>
        <v>#N/A</v>
      </c>
      <c r="AO70" s="59"/>
      <c r="AP70" s="60"/>
    </row>
    <row r="71" spans="1:42" s="36" customFormat="1" ht="14.25" x14ac:dyDescent="0.2">
      <c r="A71" s="57"/>
      <c r="G71" s="58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AA71" s="42"/>
      <c r="AN71" s="49" t="e">
        <f>VLOOKUP(I71,Sheet1!A:D,4,FALSE)</f>
        <v>#N/A</v>
      </c>
      <c r="AO71" s="59"/>
      <c r="AP71" s="60"/>
    </row>
    <row r="72" spans="1:42" s="36" customFormat="1" ht="14.25" x14ac:dyDescent="0.2">
      <c r="A72" s="57"/>
      <c r="G72" s="58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AA72" s="42"/>
      <c r="AN72" s="49" t="e">
        <f>VLOOKUP(I72,Sheet1!A:D,4,FALSE)</f>
        <v>#N/A</v>
      </c>
      <c r="AO72" s="59"/>
      <c r="AP72" s="60"/>
    </row>
    <row r="73" spans="1:42" s="36" customFormat="1" ht="14.25" x14ac:dyDescent="0.2">
      <c r="A73" s="57"/>
      <c r="G73" s="58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AA73" s="42"/>
      <c r="AN73" s="49" t="e">
        <f>VLOOKUP(I73,Sheet1!A:D,4,FALSE)</f>
        <v>#N/A</v>
      </c>
      <c r="AO73" s="59"/>
      <c r="AP73" s="60"/>
    </row>
    <row r="74" spans="1:42" s="36" customFormat="1" ht="14.25" x14ac:dyDescent="0.2">
      <c r="A74" s="57"/>
      <c r="G74" s="58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AA74" s="42"/>
      <c r="AN74" s="49" t="e">
        <f>VLOOKUP(I74,Sheet1!A:D,4,FALSE)</f>
        <v>#N/A</v>
      </c>
      <c r="AO74" s="59"/>
      <c r="AP74" s="60"/>
    </row>
    <row r="75" spans="1:42" s="36" customFormat="1" ht="14.25" x14ac:dyDescent="0.2">
      <c r="A75" s="57"/>
      <c r="G75" s="58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AA75" s="42"/>
      <c r="AN75" s="49" t="e">
        <f>VLOOKUP(I75,Sheet1!A:D,4,FALSE)</f>
        <v>#N/A</v>
      </c>
      <c r="AO75" s="59"/>
      <c r="AP75" s="60"/>
    </row>
    <row r="76" spans="1:42" s="36" customFormat="1" ht="14.25" x14ac:dyDescent="0.2">
      <c r="A76" s="57"/>
      <c r="G76" s="58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AA76" s="42"/>
      <c r="AN76" s="49" t="e">
        <f>VLOOKUP(I76,Sheet1!A:D,4,FALSE)</f>
        <v>#N/A</v>
      </c>
      <c r="AO76" s="59"/>
      <c r="AP76" s="60"/>
    </row>
    <row r="77" spans="1:42" s="36" customFormat="1" ht="14.25" x14ac:dyDescent="0.2">
      <c r="A77" s="57"/>
      <c r="G77" s="58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AA77" s="42"/>
      <c r="AN77" s="49" t="e">
        <f>VLOOKUP(I77,Sheet1!A:D,4,FALSE)</f>
        <v>#N/A</v>
      </c>
      <c r="AO77" s="59"/>
      <c r="AP77" s="60"/>
    </row>
    <row r="78" spans="1:42" s="36" customFormat="1" ht="14.25" x14ac:dyDescent="0.2">
      <c r="A78" s="57"/>
      <c r="G78" s="58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AA78" s="42"/>
      <c r="AN78" s="49" t="e">
        <f>VLOOKUP(I78,Sheet1!A:D,4,FALSE)</f>
        <v>#N/A</v>
      </c>
      <c r="AO78" s="59"/>
      <c r="AP78" s="60"/>
    </row>
    <row r="79" spans="1:42" s="36" customFormat="1" ht="14.25" x14ac:dyDescent="0.2">
      <c r="A79" s="57"/>
      <c r="G79" s="58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AA79" s="42"/>
      <c r="AN79" s="49" t="e">
        <f>VLOOKUP(I79,Sheet1!A:D,4,FALSE)</f>
        <v>#N/A</v>
      </c>
      <c r="AO79" s="59"/>
      <c r="AP79" s="60"/>
    </row>
    <row r="80" spans="1:42" s="36" customFormat="1" ht="14.25" x14ac:dyDescent="0.2">
      <c r="A80" s="57"/>
      <c r="G80" s="58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AA80" s="42"/>
      <c r="AN80" s="49" t="e">
        <f>VLOOKUP(I80,Sheet1!A:D,4,FALSE)</f>
        <v>#N/A</v>
      </c>
      <c r="AO80" s="59"/>
      <c r="AP80" s="60"/>
    </row>
    <row r="81" spans="1:42" s="36" customFormat="1" ht="14.25" x14ac:dyDescent="0.2">
      <c r="A81" s="57"/>
      <c r="G81" s="58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AA81" s="42"/>
      <c r="AN81" s="49" t="e">
        <f>VLOOKUP(I81,Sheet1!A:D,4,FALSE)</f>
        <v>#N/A</v>
      </c>
      <c r="AO81" s="59"/>
      <c r="AP81" s="60"/>
    </row>
    <row r="82" spans="1:42" s="36" customFormat="1" ht="14.25" x14ac:dyDescent="0.2">
      <c r="A82" s="57"/>
      <c r="G82" s="58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AA82" s="42"/>
      <c r="AN82" s="49" t="e">
        <f>VLOOKUP(I82,Sheet1!A:D,4,FALSE)</f>
        <v>#N/A</v>
      </c>
      <c r="AO82" s="59"/>
      <c r="AP82" s="60"/>
    </row>
    <row r="83" spans="1:42" s="36" customFormat="1" ht="14.25" x14ac:dyDescent="0.2">
      <c r="A83" s="57"/>
      <c r="G83" s="58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AA83" s="42"/>
      <c r="AN83" s="49" t="e">
        <f>VLOOKUP(I83,Sheet1!A:D,4,FALSE)</f>
        <v>#N/A</v>
      </c>
      <c r="AO83" s="59"/>
      <c r="AP83" s="60"/>
    </row>
    <row r="84" spans="1:42" s="36" customFormat="1" ht="14.25" x14ac:dyDescent="0.2">
      <c r="A84" s="57"/>
      <c r="G84" s="58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AA84" s="42"/>
      <c r="AN84" s="49" t="e">
        <f>VLOOKUP(I84,Sheet1!A:D,4,FALSE)</f>
        <v>#N/A</v>
      </c>
      <c r="AO84" s="59"/>
      <c r="AP84" s="60"/>
    </row>
    <row r="85" spans="1:42" s="36" customFormat="1" ht="14.25" x14ac:dyDescent="0.2">
      <c r="A85" s="57"/>
      <c r="G85" s="58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AA85" s="42"/>
      <c r="AN85" s="49" t="e">
        <f>VLOOKUP(I85,Sheet1!A:D,4,FALSE)</f>
        <v>#N/A</v>
      </c>
      <c r="AO85" s="59"/>
      <c r="AP85" s="60"/>
    </row>
    <row r="86" spans="1:42" s="36" customFormat="1" ht="14.25" x14ac:dyDescent="0.2">
      <c r="A86" s="57"/>
      <c r="G86" s="58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AA86" s="42"/>
      <c r="AN86" s="49" t="e">
        <f>VLOOKUP(I86,Sheet1!A:D,4,FALSE)</f>
        <v>#N/A</v>
      </c>
      <c r="AO86" s="59"/>
      <c r="AP86" s="60"/>
    </row>
    <row r="87" spans="1:42" s="36" customFormat="1" ht="14.25" x14ac:dyDescent="0.2">
      <c r="A87" s="57"/>
      <c r="G87" s="58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AA87" s="42"/>
      <c r="AN87" s="49" t="e">
        <f>VLOOKUP(I87,Sheet1!A:D,4,FALSE)</f>
        <v>#N/A</v>
      </c>
      <c r="AO87" s="59"/>
      <c r="AP87" s="60"/>
    </row>
    <row r="88" spans="1:42" s="36" customFormat="1" ht="14.25" x14ac:dyDescent="0.2">
      <c r="A88" s="57"/>
      <c r="G88" s="58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AA88" s="42"/>
      <c r="AN88" s="49" t="e">
        <f>VLOOKUP(I88,Sheet1!A:D,4,FALSE)</f>
        <v>#N/A</v>
      </c>
      <c r="AO88" s="59"/>
      <c r="AP88" s="60"/>
    </row>
    <row r="89" spans="1:42" s="36" customFormat="1" ht="14.25" x14ac:dyDescent="0.2">
      <c r="A89" s="57"/>
      <c r="G89" s="58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AA89" s="42"/>
      <c r="AN89" s="49" t="e">
        <f>VLOOKUP(I89,Sheet1!A:D,4,FALSE)</f>
        <v>#N/A</v>
      </c>
      <c r="AO89" s="59"/>
      <c r="AP89" s="60"/>
    </row>
    <row r="90" spans="1:42" s="36" customFormat="1" ht="14.25" x14ac:dyDescent="0.2">
      <c r="A90" s="57"/>
      <c r="G90" s="58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AA90" s="42"/>
      <c r="AN90" s="49" t="e">
        <f>VLOOKUP(I90,Sheet1!A:D,4,FALSE)</f>
        <v>#N/A</v>
      </c>
      <c r="AO90" s="59"/>
      <c r="AP90" s="60"/>
    </row>
    <row r="91" spans="1:42" s="36" customFormat="1" ht="14.25" x14ac:dyDescent="0.2">
      <c r="A91" s="57"/>
      <c r="G91" s="58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AA91" s="42"/>
      <c r="AN91" s="49" t="e">
        <f>VLOOKUP(I91,Sheet1!A:D,4,FALSE)</f>
        <v>#N/A</v>
      </c>
      <c r="AO91" s="59"/>
      <c r="AP91" s="60"/>
    </row>
    <row r="92" spans="1:42" s="36" customFormat="1" ht="14.25" x14ac:dyDescent="0.2">
      <c r="A92" s="57"/>
      <c r="G92" s="58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AA92" s="42"/>
      <c r="AN92" s="49" t="e">
        <f>VLOOKUP(I92,Sheet1!A:D,4,FALSE)</f>
        <v>#N/A</v>
      </c>
      <c r="AO92" s="59"/>
      <c r="AP92" s="60"/>
    </row>
    <row r="93" spans="1:42" s="36" customFormat="1" ht="14.25" x14ac:dyDescent="0.2">
      <c r="A93" s="57"/>
      <c r="G93" s="58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AA93" s="42"/>
      <c r="AN93" s="49" t="e">
        <f>VLOOKUP(I93,Sheet1!A:D,4,FALSE)</f>
        <v>#N/A</v>
      </c>
      <c r="AO93" s="59"/>
      <c r="AP93" s="60"/>
    </row>
    <row r="94" spans="1:42" s="36" customFormat="1" ht="14.25" x14ac:dyDescent="0.2">
      <c r="A94" s="57"/>
      <c r="G94" s="58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AA94" s="42"/>
      <c r="AN94" s="49" t="e">
        <f>VLOOKUP(I94,Sheet1!A:D,4,FALSE)</f>
        <v>#N/A</v>
      </c>
      <c r="AO94" s="59"/>
      <c r="AP94" s="60"/>
    </row>
    <row r="95" spans="1:42" s="36" customFormat="1" ht="14.25" x14ac:dyDescent="0.2">
      <c r="A95" s="57"/>
      <c r="G95" s="58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AA95" s="42"/>
      <c r="AN95" s="49" t="e">
        <f>VLOOKUP(I95,Sheet1!A:D,4,FALSE)</f>
        <v>#N/A</v>
      </c>
      <c r="AO95" s="59"/>
      <c r="AP95" s="60"/>
    </row>
    <row r="96" spans="1:42" s="36" customFormat="1" ht="14.25" x14ac:dyDescent="0.2">
      <c r="A96" s="57"/>
      <c r="G96" s="58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AA96" s="42"/>
      <c r="AN96" s="49" t="e">
        <f>VLOOKUP(I96,Sheet1!A:D,4,FALSE)</f>
        <v>#N/A</v>
      </c>
      <c r="AO96" s="59"/>
      <c r="AP96" s="60"/>
    </row>
    <row r="97" spans="1:42" s="36" customFormat="1" ht="14.25" x14ac:dyDescent="0.2">
      <c r="A97" s="57"/>
      <c r="G97" s="58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AA97" s="42"/>
      <c r="AN97" s="49" t="e">
        <f>VLOOKUP(I97,Sheet1!A:D,4,FALSE)</f>
        <v>#N/A</v>
      </c>
      <c r="AO97" s="59"/>
      <c r="AP97" s="60"/>
    </row>
    <row r="98" spans="1:42" s="36" customFormat="1" ht="14.25" x14ac:dyDescent="0.2">
      <c r="A98" s="57"/>
      <c r="G98" s="58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AA98" s="42"/>
      <c r="AN98" s="49" t="e">
        <f>VLOOKUP(I98,Sheet1!A:D,4,FALSE)</f>
        <v>#N/A</v>
      </c>
      <c r="AO98" s="59"/>
      <c r="AP98" s="60"/>
    </row>
    <row r="99" spans="1:42" s="36" customFormat="1" ht="14.25" x14ac:dyDescent="0.2">
      <c r="A99" s="57"/>
      <c r="G99" s="58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AA99" s="42"/>
      <c r="AN99" s="49" t="e">
        <f>VLOOKUP(I99,Sheet1!A:D,4,FALSE)</f>
        <v>#N/A</v>
      </c>
      <c r="AO99" s="59"/>
      <c r="AP99" s="60"/>
    </row>
    <row r="100" spans="1:42" s="36" customFormat="1" ht="14.25" x14ac:dyDescent="0.2">
      <c r="A100" s="57"/>
      <c r="G100" s="58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AA100" s="42"/>
      <c r="AN100" s="49" t="e">
        <f>VLOOKUP(I100,Sheet1!A:D,4,FALSE)</f>
        <v>#N/A</v>
      </c>
      <c r="AO100" s="59"/>
      <c r="AP100" s="60"/>
    </row>
    <row r="101" spans="1:42" s="36" customFormat="1" ht="14.25" x14ac:dyDescent="0.2">
      <c r="A101" s="57"/>
      <c r="G101" s="58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AA101" s="42"/>
      <c r="AN101" s="49" t="e">
        <f>VLOOKUP(I101,Sheet1!A:D,4,FALSE)</f>
        <v>#N/A</v>
      </c>
      <c r="AO101" s="59"/>
      <c r="AP101" s="60"/>
    </row>
    <row r="102" spans="1:42" s="36" customFormat="1" ht="14.25" x14ac:dyDescent="0.2">
      <c r="A102" s="57"/>
      <c r="G102" s="58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AA102" s="42"/>
      <c r="AN102" s="49" t="e">
        <f>VLOOKUP(I102,Sheet1!A:D,4,FALSE)</f>
        <v>#N/A</v>
      </c>
      <c r="AO102" s="59"/>
      <c r="AP102" s="60"/>
    </row>
    <row r="103" spans="1:42" s="36" customFormat="1" ht="14.25" x14ac:dyDescent="0.2">
      <c r="A103" s="57"/>
      <c r="G103" s="58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AA103" s="42"/>
      <c r="AN103" s="49" t="e">
        <f>VLOOKUP(I103,Sheet1!A:D,4,FALSE)</f>
        <v>#N/A</v>
      </c>
      <c r="AO103" s="59"/>
      <c r="AP103" s="60"/>
    </row>
    <row r="104" spans="1:42" s="36" customFormat="1" ht="14.25" x14ac:dyDescent="0.2">
      <c r="A104" s="57"/>
      <c r="G104" s="58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AA104" s="42"/>
      <c r="AN104" s="49" t="e">
        <f>VLOOKUP(I104,Sheet1!A:D,4,FALSE)</f>
        <v>#N/A</v>
      </c>
      <c r="AO104" s="59"/>
      <c r="AP104" s="60"/>
    </row>
    <row r="105" spans="1:42" s="36" customFormat="1" ht="14.25" x14ac:dyDescent="0.2">
      <c r="A105" s="57"/>
      <c r="G105" s="58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AA105" s="42"/>
      <c r="AN105" s="49" t="e">
        <f>VLOOKUP(I105,Sheet1!A:D,4,FALSE)</f>
        <v>#N/A</v>
      </c>
      <c r="AO105" s="59"/>
      <c r="AP105" s="60"/>
    </row>
    <row r="106" spans="1:42" s="36" customFormat="1" ht="14.25" x14ac:dyDescent="0.2">
      <c r="A106" s="57"/>
      <c r="G106" s="58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AA106" s="42"/>
      <c r="AN106" s="49" t="e">
        <f>VLOOKUP(I106,Sheet1!A:D,4,FALSE)</f>
        <v>#N/A</v>
      </c>
      <c r="AO106" s="59"/>
      <c r="AP106" s="60"/>
    </row>
    <row r="107" spans="1:42" s="36" customFormat="1" ht="14.25" x14ac:dyDescent="0.2">
      <c r="A107" s="57"/>
      <c r="G107" s="58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AA107" s="42"/>
      <c r="AN107" s="49" t="e">
        <f>VLOOKUP(I107,Sheet1!A:D,4,FALSE)</f>
        <v>#N/A</v>
      </c>
      <c r="AO107" s="59"/>
      <c r="AP107" s="60"/>
    </row>
    <row r="108" spans="1:42" s="36" customFormat="1" ht="14.25" x14ac:dyDescent="0.2">
      <c r="A108" s="57"/>
      <c r="G108" s="58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AA108" s="42"/>
      <c r="AN108" s="49" t="e">
        <f>VLOOKUP(I108,Sheet1!A:D,4,FALSE)</f>
        <v>#N/A</v>
      </c>
      <c r="AO108" s="59"/>
      <c r="AP108" s="60"/>
    </row>
    <row r="109" spans="1:42" s="36" customFormat="1" ht="14.25" x14ac:dyDescent="0.2">
      <c r="A109" s="57"/>
      <c r="G109" s="58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AA109" s="42"/>
      <c r="AN109" s="49" t="e">
        <f>VLOOKUP(I109,Sheet1!A:D,4,FALSE)</f>
        <v>#N/A</v>
      </c>
      <c r="AO109" s="59"/>
      <c r="AP109" s="60"/>
    </row>
    <row r="110" spans="1:42" s="36" customFormat="1" ht="14.25" x14ac:dyDescent="0.2">
      <c r="A110" s="57"/>
      <c r="G110" s="58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AA110" s="42"/>
      <c r="AN110" s="49" t="e">
        <f>VLOOKUP(I110,Sheet1!A:D,4,FALSE)</f>
        <v>#N/A</v>
      </c>
      <c r="AO110" s="59"/>
      <c r="AP110" s="60"/>
    </row>
    <row r="111" spans="1:42" s="36" customFormat="1" ht="14.25" x14ac:dyDescent="0.2">
      <c r="A111" s="57"/>
      <c r="G111" s="58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AA111" s="42"/>
      <c r="AN111" s="49" t="e">
        <f>VLOOKUP(I111,Sheet1!A:D,4,FALSE)</f>
        <v>#N/A</v>
      </c>
      <c r="AO111" s="59"/>
      <c r="AP111" s="60"/>
    </row>
    <row r="112" spans="1:42" s="36" customFormat="1" ht="14.25" x14ac:dyDescent="0.2">
      <c r="A112" s="57"/>
      <c r="G112" s="58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AA112" s="42"/>
      <c r="AN112" s="49" t="e">
        <f>VLOOKUP(I112,Sheet1!A:D,4,FALSE)</f>
        <v>#N/A</v>
      </c>
      <c r="AO112" s="59"/>
      <c r="AP112" s="60"/>
    </row>
    <row r="113" spans="1:42" s="36" customFormat="1" ht="14.25" x14ac:dyDescent="0.2">
      <c r="A113" s="57"/>
      <c r="G113" s="58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AA113" s="42"/>
      <c r="AN113" s="49" t="e">
        <f>VLOOKUP(I113,Sheet1!A:D,4,FALSE)</f>
        <v>#N/A</v>
      </c>
      <c r="AO113" s="59"/>
      <c r="AP113" s="60"/>
    </row>
    <row r="114" spans="1:42" s="36" customFormat="1" ht="14.25" x14ac:dyDescent="0.2">
      <c r="A114" s="57"/>
      <c r="G114" s="58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AA114" s="42"/>
      <c r="AN114" s="49" t="e">
        <f>VLOOKUP(I114,Sheet1!A:D,4,FALSE)</f>
        <v>#N/A</v>
      </c>
      <c r="AO114" s="59"/>
      <c r="AP114" s="60"/>
    </row>
    <row r="115" spans="1:42" s="36" customFormat="1" ht="14.25" x14ac:dyDescent="0.2">
      <c r="A115" s="57"/>
      <c r="G115" s="58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AA115" s="42"/>
      <c r="AN115" s="49" t="e">
        <f>VLOOKUP(I115,Sheet1!A:D,4,FALSE)</f>
        <v>#N/A</v>
      </c>
      <c r="AO115" s="59"/>
      <c r="AP115" s="60"/>
    </row>
    <row r="116" spans="1:42" s="36" customFormat="1" ht="14.25" x14ac:dyDescent="0.2">
      <c r="A116" s="57"/>
      <c r="G116" s="58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AA116" s="42"/>
      <c r="AN116" s="49" t="e">
        <f>VLOOKUP(I116,Sheet1!A:D,4,FALSE)</f>
        <v>#N/A</v>
      </c>
      <c r="AO116" s="59"/>
      <c r="AP116" s="60"/>
    </row>
    <row r="117" spans="1:42" s="36" customFormat="1" ht="14.25" x14ac:dyDescent="0.2">
      <c r="A117" s="57"/>
      <c r="G117" s="58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AA117" s="42"/>
      <c r="AN117" s="49" t="e">
        <f>VLOOKUP(I117,Sheet1!A:D,4,FALSE)</f>
        <v>#N/A</v>
      </c>
      <c r="AO117" s="59"/>
      <c r="AP117" s="60"/>
    </row>
    <row r="118" spans="1:42" s="36" customFormat="1" ht="14.25" x14ac:dyDescent="0.2">
      <c r="A118" s="57"/>
      <c r="G118" s="58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AA118" s="42"/>
      <c r="AN118" s="49" t="e">
        <f>VLOOKUP(I118,Sheet1!A:D,4,FALSE)</f>
        <v>#N/A</v>
      </c>
      <c r="AO118" s="59"/>
      <c r="AP118" s="60"/>
    </row>
    <row r="119" spans="1:42" s="36" customFormat="1" ht="14.25" x14ac:dyDescent="0.2">
      <c r="A119" s="57"/>
      <c r="G119" s="58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AA119" s="42"/>
      <c r="AN119" s="49" t="e">
        <f>VLOOKUP(I119,Sheet1!A:D,4,FALSE)</f>
        <v>#N/A</v>
      </c>
      <c r="AO119" s="59"/>
      <c r="AP119" s="60"/>
    </row>
    <row r="120" spans="1:42" s="36" customFormat="1" ht="14.25" x14ac:dyDescent="0.2">
      <c r="A120" s="57"/>
      <c r="G120" s="58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AA120" s="42"/>
      <c r="AN120" s="49" t="e">
        <f>VLOOKUP(I120,Sheet1!A:D,4,FALSE)</f>
        <v>#N/A</v>
      </c>
      <c r="AO120" s="59"/>
      <c r="AP120" s="60"/>
    </row>
    <row r="121" spans="1:42" s="36" customFormat="1" ht="14.25" x14ac:dyDescent="0.2">
      <c r="A121" s="57"/>
      <c r="G121" s="58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AA121" s="42"/>
      <c r="AN121" s="49" t="e">
        <f>VLOOKUP(I121,Sheet1!A:D,4,FALSE)</f>
        <v>#N/A</v>
      </c>
      <c r="AO121" s="59"/>
      <c r="AP121" s="60"/>
    </row>
    <row r="122" spans="1:42" s="36" customFormat="1" ht="14.25" x14ac:dyDescent="0.2">
      <c r="A122" s="57"/>
      <c r="G122" s="58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AA122" s="42"/>
      <c r="AN122" s="49" t="e">
        <f>VLOOKUP(I122,Sheet1!A:D,4,FALSE)</f>
        <v>#N/A</v>
      </c>
      <c r="AO122" s="59"/>
      <c r="AP122" s="60"/>
    </row>
    <row r="123" spans="1:42" s="36" customFormat="1" ht="14.25" x14ac:dyDescent="0.2">
      <c r="A123" s="57"/>
      <c r="G123" s="58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AA123" s="42"/>
      <c r="AN123" s="49" t="e">
        <f>VLOOKUP(I123,Sheet1!A:D,4,FALSE)</f>
        <v>#N/A</v>
      </c>
      <c r="AO123" s="59"/>
      <c r="AP123" s="60"/>
    </row>
    <row r="124" spans="1:42" s="36" customFormat="1" ht="14.25" x14ac:dyDescent="0.2">
      <c r="A124" s="57"/>
      <c r="G124" s="58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AA124" s="42"/>
      <c r="AN124" s="49" t="e">
        <f>VLOOKUP(I124,Sheet1!A:D,4,FALSE)</f>
        <v>#N/A</v>
      </c>
      <c r="AO124" s="59"/>
      <c r="AP124" s="60"/>
    </row>
    <row r="125" spans="1:42" s="36" customFormat="1" ht="14.25" x14ac:dyDescent="0.2">
      <c r="A125" s="57"/>
      <c r="G125" s="58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AA125" s="42"/>
      <c r="AN125" s="49" t="e">
        <f>VLOOKUP(I125,Sheet1!A:D,4,FALSE)</f>
        <v>#N/A</v>
      </c>
      <c r="AO125" s="59"/>
      <c r="AP125" s="60"/>
    </row>
    <row r="126" spans="1:42" s="36" customFormat="1" ht="14.25" x14ac:dyDescent="0.2">
      <c r="A126" s="57"/>
      <c r="G126" s="58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AA126" s="42"/>
      <c r="AN126" s="49" t="e">
        <f>VLOOKUP(I126,Sheet1!A:D,4,FALSE)</f>
        <v>#N/A</v>
      </c>
      <c r="AO126" s="59"/>
      <c r="AP126" s="60"/>
    </row>
    <row r="127" spans="1:42" s="36" customFormat="1" ht="14.25" x14ac:dyDescent="0.2">
      <c r="A127" s="57"/>
      <c r="G127" s="58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AA127" s="42"/>
      <c r="AN127" s="49" t="e">
        <f>VLOOKUP(I127,Sheet1!A:D,4,FALSE)</f>
        <v>#N/A</v>
      </c>
      <c r="AO127" s="59"/>
      <c r="AP127" s="60"/>
    </row>
    <row r="128" spans="1:42" s="36" customFormat="1" ht="14.25" x14ac:dyDescent="0.2">
      <c r="A128" s="57"/>
      <c r="G128" s="58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AA128" s="42"/>
      <c r="AN128" s="49" t="e">
        <f>VLOOKUP(I128,Sheet1!A:D,4,FALSE)</f>
        <v>#N/A</v>
      </c>
      <c r="AO128" s="59"/>
      <c r="AP128" s="60"/>
    </row>
    <row r="129" spans="1:42" s="36" customFormat="1" ht="14.25" x14ac:dyDescent="0.2">
      <c r="A129" s="57"/>
      <c r="G129" s="58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AA129" s="42"/>
      <c r="AN129" s="49" t="e">
        <f>VLOOKUP(I129,Sheet1!A:D,4,FALSE)</f>
        <v>#N/A</v>
      </c>
      <c r="AO129" s="59"/>
      <c r="AP129" s="60"/>
    </row>
    <row r="130" spans="1:42" s="36" customFormat="1" ht="14.25" x14ac:dyDescent="0.2">
      <c r="A130" s="57"/>
      <c r="G130" s="58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AA130" s="42"/>
      <c r="AN130" s="49" t="e">
        <f>VLOOKUP(I130,Sheet1!A:D,4,FALSE)</f>
        <v>#N/A</v>
      </c>
      <c r="AO130" s="59"/>
      <c r="AP130" s="60"/>
    </row>
    <row r="131" spans="1:42" s="36" customFormat="1" ht="14.25" x14ac:dyDescent="0.2">
      <c r="A131" s="57"/>
      <c r="G131" s="58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AA131" s="42"/>
      <c r="AN131" s="49" t="e">
        <f>VLOOKUP(I131,Sheet1!A:D,4,FALSE)</f>
        <v>#N/A</v>
      </c>
      <c r="AO131" s="59"/>
      <c r="AP131" s="60"/>
    </row>
    <row r="132" spans="1:42" s="36" customFormat="1" ht="14.25" x14ac:dyDescent="0.2">
      <c r="A132" s="57"/>
      <c r="G132" s="58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AA132" s="42"/>
      <c r="AN132" s="49" t="e">
        <f>VLOOKUP(I132,Sheet1!A:D,4,FALSE)</f>
        <v>#N/A</v>
      </c>
      <c r="AO132" s="59"/>
      <c r="AP132" s="60"/>
    </row>
    <row r="133" spans="1:42" s="36" customFormat="1" ht="14.25" x14ac:dyDescent="0.2">
      <c r="A133" s="57"/>
      <c r="G133" s="58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AA133" s="42"/>
      <c r="AN133" s="49" t="e">
        <f>VLOOKUP(I133,Sheet1!A:D,4,FALSE)</f>
        <v>#N/A</v>
      </c>
      <c r="AO133" s="59"/>
      <c r="AP133" s="60"/>
    </row>
    <row r="134" spans="1:42" s="36" customFormat="1" ht="14.25" x14ac:dyDescent="0.2">
      <c r="A134" s="57"/>
      <c r="G134" s="58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AA134" s="42"/>
      <c r="AN134" s="49" t="e">
        <f>VLOOKUP(I134,Sheet1!A:D,4,FALSE)</f>
        <v>#N/A</v>
      </c>
      <c r="AO134" s="59"/>
      <c r="AP134" s="60"/>
    </row>
    <row r="135" spans="1:42" s="36" customFormat="1" ht="14.25" x14ac:dyDescent="0.2">
      <c r="A135" s="57"/>
      <c r="G135" s="58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AA135" s="42"/>
      <c r="AN135" s="49" t="e">
        <f>VLOOKUP(I135,Sheet1!A:D,4,FALSE)</f>
        <v>#N/A</v>
      </c>
      <c r="AO135" s="59"/>
      <c r="AP135" s="60"/>
    </row>
    <row r="136" spans="1:42" s="36" customFormat="1" ht="14.25" x14ac:dyDescent="0.2">
      <c r="A136" s="57"/>
      <c r="G136" s="58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AA136" s="42"/>
      <c r="AN136" s="49" t="e">
        <f>VLOOKUP(I136,Sheet1!A:D,4,FALSE)</f>
        <v>#N/A</v>
      </c>
      <c r="AO136" s="59"/>
      <c r="AP136" s="60"/>
    </row>
    <row r="137" spans="1:42" s="36" customFormat="1" ht="14.25" x14ac:dyDescent="0.2">
      <c r="A137" s="57"/>
      <c r="G137" s="58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AA137" s="42"/>
      <c r="AN137" s="49" t="e">
        <f>VLOOKUP(I137,Sheet1!A:D,4,FALSE)</f>
        <v>#N/A</v>
      </c>
      <c r="AO137" s="59"/>
      <c r="AP137" s="60"/>
    </row>
    <row r="138" spans="1:42" s="36" customFormat="1" ht="14.25" x14ac:dyDescent="0.2">
      <c r="A138" s="57"/>
      <c r="G138" s="58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AA138" s="42"/>
      <c r="AN138" s="49" t="e">
        <f>VLOOKUP(I138,Sheet1!A:D,4,FALSE)</f>
        <v>#N/A</v>
      </c>
      <c r="AO138" s="59"/>
      <c r="AP138" s="60"/>
    </row>
    <row r="139" spans="1:42" s="36" customFormat="1" ht="14.25" x14ac:dyDescent="0.2">
      <c r="A139" s="57"/>
      <c r="G139" s="58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AA139" s="42"/>
      <c r="AN139" s="49" t="e">
        <f>VLOOKUP(I139,Sheet1!A:D,4,FALSE)</f>
        <v>#N/A</v>
      </c>
      <c r="AO139" s="59"/>
      <c r="AP139" s="60"/>
    </row>
    <row r="140" spans="1:42" s="36" customFormat="1" ht="14.25" x14ac:dyDescent="0.2">
      <c r="A140" s="57"/>
      <c r="G140" s="58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AA140" s="42"/>
      <c r="AN140" s="49" t="e">
        <f>VLOOKUP(I140,Sheet1!A:D,4,FALSE)</f>
        <v>#N/A</v>
      </c>
      <c r="AO140" s="59"/>
      <c r="AP140" s="60"/>
    </row>
    <row r="141" spans="1:42" s="36" customFormat="1" ht="14.25" x14ac:dyDescent="0.2">
      <c r="A141" s="57"/>
      <c r="G141" s="58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AA141" s="42"/>
      <c r="AN141" s="49" t="e">
        <f>VLOOKUP(I141,Sheet1!A:D,4,FALSE)</f>
        <v>#N/A</v>
      </c>
      <c r="AO141" s="59"/>
      <c r="AP141" s="60"/>
    </row>
    <row r="142" spans="1:42" s="36" customFormat="1" ht="14.25" x14ac:dyDescent="0.2">
      <c r="A142" s="57"/>
      <c r="G142" s="58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AA142" s="42"/>
      <c r="AN142" s="49" t="e">
        <f>VLOOKUP(I142,Sheet1!A:D,4,FALSE)</f>
        <v>#N/A</v>
      </c>
      <c r="AO142" s="59"/>
      <c r="AP142" s="60"/>
    </row>
    <row r="143" spans="1:42" s="36" customFormat="1" ht="14.25" x14ac:dyDescent="0.2">
      <c r="A143" s="57"/>
      <c r="G143" s="58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AA143" s="42"/>
      <c r="AN143" s="49" t="e">
        <f>VLOOKUP(I143,Sheet1!A:D,4,FALSE)</f>
        <v>#N/A</v>
      </c>
      <c r="AO143" s="59"/>
      <c r="AP143" s="60"/>
    </row>
    <row r="144" spans="1:42" s="36" customFormat="1" ht="14.25" x14ac:dyDescent="0.2">
      <c r="A144" s="57"/>
      <c r="G144" s="58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AA144" s="42"/>
      <c r="AN144" s="49" t="e">
        <f>VLOOKUP(I144,Sheet1!A:D,4,FALSE)</f>
        <v>#N/A</v>
      </c>
      <c r="AO144" s="59"/>
      <c r="AP144" s="60"/>
    </row>
    <row r="145" spans="1:42" s="36" customFormat="1" ht="14.25" x14ac:dyDescent="0.2">
      <c r="A145" s="57"/>
      <c r="G145" s="58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AA145" s="42"/>
      <c r="AN145" s="49" t="e">
        <f>VLOOKUP(I145,Sheet1!A:D,4,FALSE)</f>
        <v>#N/A</v>
      </c>
      <c r="AO145" s="59"/>
      <c r="AP145" s="60"/>
    </row>
    <row r="146" spans="1:42" s="36" customFormat="1" ht="14.25" x14ac:dyDescent="0.2">
      <c r="A146" s="57"/>
      <c r="G146" s="58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AA146" s="42"/>
      <c r="AN146" s="49" t="e">
        <f>VLOOKUP(I146,Sheet1!A:D,4,FALSE)</f>
        <v>#N/A</v>
      </c>
      <c r="AO146" s="59"/>
      <c r="AP146" s="60"/>
    </row>
    <row r="147" spans="1:42" s="36" customFormat="1" ht="14.25" x14ac:dyDescent="0.2">
      <c r="A147" s="57"/>
      <c r="G147" s="58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AA147" s="42"/>
      <c r="AN147" s="49" t="e">
        <f>VLOOKUP(I147,Sheet1!A:D,4,FALSE)</f>
        <v>#N/A</v>
      </c>
      <c r="AO147" s="59"/>
      <c r="AP147" s="60"/>
    </row>
    <row r="148" spans="1:42" s="36" customFormat="1" ht="14.25" x14ac:dyDescent="0.2">
      <c r="A148" s="57"/>
      <c r="G148" s="58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AA148" s="42"/>
      <c r="AN148" s="49" t="e">
        <f>VLOOKUP(I148,Sheet1!A:D,4,FALSE)</f>
        <v>#N/A</v>
      </c>
      <c r="AO148" s="59"/>
      <c r="AP148" s="60"/>
    </row>
    <row r="149" spans="1:42" s="36" customFormat="1" ht="14.25" x14ac:dyDescent="0.2">
      <c r="A149" s="57"/>
      <c r="G149" s="58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AA149" s="42"/>
      <c r="AN149" s="49" t="e">
        <f>VLOOKUP(I149,Sheet1!A:D,4,FALSE)</f>
        <v>#N/A</v>
      </c>
      <c r="AO149" s="59"/>
      <c r="AP149" s="60"/>
    </row>
    <row r="150" spans="1:42" s="36" customFormat="1" ht="14.25" x14ac:dyDescent="0.2">
      <c r="A150" s="57"/>
      <c r="G150" s="58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AA150" s="42"/>
      <c r="AN150" s="49" t="e">
        <f>VLOOKUP(I150,Sheet1!A:D,4,FALSE)</f>
        <v>#N/A</v>
      </c>
      <c r="AO150" s="59"/>
      <c r="AP150" s="60"/>
    </row>
    <row r="151" spans="1:42" s="36" customFormat="1" ht="14.25" x14ac:dyDescent="0.2">
      <c r="A151" s="57"/>
      <c r="G151" s="58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AA151" s="42"/>
      <c r="AN151" s="49" t="e">
        <f>VLOOKUP(I151,Sheet1!A:D,4,FALSE)</f>
        <v>#N/A</v>
      </c>
      <c r="AO151" s="59"/>
      <c r="AP151" s="60"/>
    </row>
    <row r="152" spans="1:42" s="36" customFormat="1" ht="14.25" x14ac:dyDescent="0.2">
      <c r="A152" s="57"/>
      <c r="G152" s="58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AA152" s="42"/>
      <c r="AN152" s="49" t="e">
        <f>VLOOKUP(I152,Sheet1!A:D,4,FALSE)</f>
        <v>#N/A</v>
      </c>
      <c r="AO152" s="59"/>
      <c r="AP152" s="60"/>
    </row>
    <row r="153" spans="1:42" s="36" customFormat="1" ht="14.25" x14ac:dyDescent="0.2">
      <c r="A153" s="57"/>
      <c r="G153" s="58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AA153" s="42"/>
      <c r="AN153" s="49" t="e">
        <f>VLOOKUP(I153,Sheet1!A:D,4,FALSE)</f>
        <v>#N/A</v>
      </c>
      <c r="AO153" s="59"/>
      <c r="AP153" s="60"/>
    </row>
    <row r="154" spans="1:42" s="36" customFormat="1" ht="14.25" x14ac:dyDescent="0.2">
      <c r="A154" s="57"/>
      <c r="G154" s="58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AA154" s="42"/>
      <c r="AN154" s="49" t="e">
        <f>VLOOKUP(I154,Sheet1!A:D,4,FALSE)</f>
        <v>#N/A</v>
      </c>
      <c r="AO154" s="59"/>
      <c r="AP154" s="60"/>
    </row>
    <row r="155" spans="1:42" s="36" customFormat="1" ht="14.25" x14ac:dyDescent="0.2">
      <c r="A155" s="57"/>
      <c r="G155" s="58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AA155" s="42"/>
      <c r="AN155" s="49" t="e">
        <f>VLOOKUP(I155,Sheet1!A:D,4,FALSE)</f>
        <v>#N/A</v>
      </c>
      <c r="AO155" s="59"/>
      <c r="AP155" s="60"/>
    </row>
    <row r="156" spans="1:42" s="36" customFormat="1" ht="14.25" x14ac:dyDescent="0.2">
      <c r="A156" s="57"/>
      <c r="G156" s="58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AA156" s="42"/>
      <c r="AN156" s="49" t="e">
        <f>VLOOKUP(I156,Sheet1!A:D,4,FALSE)</f>
        <v>#N/A</v>
      </c>
      <c r="AO156" s="59"/>
      <c r="AP156" s="60"/>
    </row>
    <row r="157" spans="1:42" s="36" customFormat="1" ht="14.25" x14ac:dyDescent="0.2">
      <c r="A157" s="57"/>
      <c r="G157" s="58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AA157" s="42"/>
      <c r="AN157" s="49" t="e">
        <f>VLOOKUP(I157,Sheet1!A:D,4,FALSE)</f>
        <v>#N/A</v>
      </c>
      <c r="AO157" s="59"/>
      <c r="AP157" s="60"/>
    </row>
    <row r="158" spans="1:42" s="36" customFormat="1" ht="14.25" x14ac:dyDescent="0.2">
      <c r="A158" s="57"/>
      <c r="G158" s="58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AA158" s="42"/>
      <c r="AN158" s="49" t="e">
        <f>VLOOKUP(I158,Sheet1!A:D,4,FALSE)</f>
        <v>#N/A</v>
      </c>
      <c r="AO158" s="59"/>
      <c r="AP158" s="60"/>
    </row>
    <row r="159" spans="1:42" s="36" customFormat="1" ht="14.25" x14ac:dyDescent="0.2">
      <c r="A159" s="57"/>
      <c r="G159" s="58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AA159" s="42"/>
      <c r="AN159" s="49" t="e">
        <f>VLOOKUP(I159,Sheet1!A:D,4,FALSE)</f>
        <v>#N/A</v>
      </c>
      <c r="AO159" s="59"/>
      <c r="AP159" s="60"/>
    </row>
    <row r="160" spans="1:42" s="62" customFormat="1" ht="14.25" x14ac:dyDescent="0.2">
      <c r="A160" s="61"/>
      <c r="G160" s="63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AA160" s="64"/>
      <c r="AN160" s="62" t="e">
        <f>VLOOKUP(I160,Sheet1!A:D,4,FALSE)</f>
        <v>#N/A</v>
      </c>
      <c r="AO160" s="59"/>
    </row>
    <row r="161" spans="1:41" s="62" customFormat="1" ht="14.25" x14ac:dyDescent="0.2">
      <c r="A161" s="61"/>
      <c r="G161" s="63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AA161" s="64"/>
      <c r="AN161" s="62" t="e">
        <f>VLOOKUP(I161,Sheet1!A:D,4,FALSE)</f>
        <v>#N/A</v>
      </c>
      <c r="AO161" s="59"/>
    </row>
    <row r="162" spans="1:41" s="62" customFormat="1" ht="14.25" x14ac:dyDescent="0.2">
      <c r="A162" s="61"/>
      <c r="G162" s="63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AA162" s="64"/>
      <c r="AN162" s="62" t="e">
        <f>VLOOKUP(I162,Sheet1!A:D,4,FALSE)</f>
        <v>#N/A</v>
      </c>
      <c r="AO162" s="59"/>
    </row>
    <row r="163" spans="1:41" s="62" customFormat="1" ht="14.25" x14ac:dyDescent="0.2">
      <c r="A163" s="61"/>
      <c r="G163" s="63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AA163" s="64"/>
      <c r="AN163" s="62" t="e">
        <f>VLOOKUP(I163,Sheet1!A:D,4,FALSE)</f>
        <v>#N/A</v>
      </c>
      <c r="AO163" s="59"/>
    </row>
    <row r="164" spans="1:41" s="62" customFormat="1" ht="14.25" x14ac:dyDescent="0.2">
      <c r="A164" s="61"/>
      <c r="G164" s="63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AA164" s="64"/>
      <c r="AN164" s="62" t="e">
        <f>VLOOKUP(I164,Sheet1!A:D,4,FALSE)</f>
        <v>#N/A</v>
      </c>
      <c r="AO164" s="59"/>
    </row>
    <row r="165" spans="1:41" s="62" customFormat="1" ht="14.25" x14ac:dyDescent="0.2">
      <c r="A165" s="61"/>
      <c r="G165" s="63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AA165" s="64"/>
      <c r="AN165" s="62" t="e">
        <f>VLOOKUP(I165,Sheet1!A:D,4,FALSE)</f>
        <v>#N/A</v>
      </c>
      <c r="AO165" s="59"/>
    </row>
    <row r="166" spans="1:41" s="62" customFormat="1" ht="14.25" x14ac:dyDescent="0.2">
      <c r="A166" s="61"/>
      <c r="G166" s="63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AA166" s="64"/>
      <c r="AN166" s="62" t="e">
        <f>VLOOKUP(I166,Sheet1!A:D,4,FALSE)</f>
        <v>#N/A</v>
      </c>
      <c r="AO166" s="59"/>
    </row>
    <row r="167" spans="1:41" s="62" customFormat="1" ht="14.25" x14ac:dyDescent="0.2">
      <c r="A167" s="61"/>
      <c r="G167" s="63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AA167" s="64"/>
      <c r="AN167" s="62" t="e">
        <f>VLOOKUP(I167,Sheet1!A:D,4,FALSE)</f>
        <v>#N/A</v>
      </c>
      <c r="AO167" s="59"/>
    </row>
    <row r="168" spans="1:41" s="62" customFormat="1" ht="14.25" x14ac:dyDescent="0.2">
      <c r="A168" s="61"/>
      <c r="G168" s="63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AA168" s="64"/>
      <c r="AN168" s="62" t="e">
        <f>VLOOKUP(I168,Sheet1!A:D,4,FALSE)</f>
        <v>#N/A</v>
      </c>
      <c r="AO168" s="59"/>
    </row>
    <row r="169" spans="1:41" s="62" customFormat="1" ht="14.25" x14ac:dyDescent="0.2">
      <c r="A169" s="61"/>
      <c r="G169" s="63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AA169" s="64"/>
      <c r="AN169" s="62" t="e">
        <f>VLOOKUP(I169,Sheet1!A:D,4,FALSE)</f>
        <v>#N/A</v>
      </c>
      <c r="AO169" s="59"/>
    </row>
    <row r="170" spans="1:41" s="62" customFormat="1" ht="14.25" x14ac:dyDescent="0.2">
      <c r="A170" s="61"/>
      <c r="G170" s="63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AA170" s="64"/>
      <c r="AN170" s="62" t="e">
        <f>VLOOKUP(I170,Sheet1!A:D,4,FALSE)</f>
        <v>#N/A</v>
      </c>
      <c r="AO170" s="59"/>
    </row>
    <row r="171" spans="1:41" s="62" customFormat="1" ht="14.25" x14ac:dyDescent="0.2">
      <c r="A171" s="61"/>
      <c r="G171" s="63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AA171" s="64"/>
      <c r="AN171" s="62" t="e">
        <f>VLOOKUP(I171,Sheet1!A:D,4,FALSE)</f>
        <v>#N/A</v>
      </c>
      <c r="AO171" s="59"/>
    </row>
    <row r="172" spans="1:41" s="62" customFormat="1" ht="14.25" x14ac:dyDescent="0.2">
      <c r="A172" s="61"/>
      <c r="G172" s="63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AA172" s="64"/>
      <c r="AN172" s="62" t="e">
        <f>VLOOKUP(I172,Sheet1!A:D,4,FALSE)</f>
        <v>#N/A</v>
      </c>
      <c r="AO172" s="59"/>
    </row>
    <row r="173" spans="1:41" s="62" customFormat="1" ht="14.25" x14ac:dyDescent="0.2">
      <c r="A173" s="61"/>
      <c r="G173" s="63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AA173" s="64"/>
      <c r="AN173" s="62" t="e">
        <f>VLOOKUP(I173,Sheet1!A:D,4,FALSE)</f>
        <v>#N/A</v>
      </c>
      <c r="AO173" s="59"/>
    </row>
    <row r="174" spans="1:41" s="62" customFormat="1" ht="14.25" x14ac:dyDescent="0.2">
      <c r="A174" s="61"/>
      <c r="G174" s="63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AA174" s="64"/>
      <c r="AN174" s="62" t="e">
        <f>VLOOKUP(I174,Sheet1!A:D,4,FALSE)</f>
        <v>#N/A</v>
      </c>
      <c r="AO174" s="59"/>
    </row>
    <row r="175" spans="1:41" s="62" customFormat="1" ht="14.25" x14ac:dyDescent="0.2">
      <c r="A175" s="61"/>
      <c r="G175" s="63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AA175" s="64"/>
      <c r="AN175" s="62" t="e">
        <f>VLOOKUP(I175,Sheet1!A:D,4,FALSE)</f>
        <v>#N/A</v>
      </c>
      <c r="AO175" s="59"/>
    </row>
    <row r="176" spans="1:41" s="62" customFormat="1" ht="14.25" x14ac:dyDescent="0.2">
      <c r="A176" s="61"/>
      <c r="G176" s="63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AA176" s="64"/>
      <c r="AN176" s="62" t="e">
        <f>VLOOKUP(I176,Sheet1!A:D,4,FALSE)</f>
        <v>#N/A</v>
      </c>
      <c r="AO176" s="59"/>
    </row>
    <row r="177" spans="1:41" s="62" customFormat="1" ht="14.25" x14ac:dyDescent="0.2">
      <c r="A177" s="61"/>
      <c r="G177" s="63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AA177" s="64"/>
      <c r="AN177" s="62" t="e">
        <f>VLOOKUP(I177,Sheet1!A:D,4,FALSE)</f>
        <v>#N/A</v>
      </c>
      <c r="AO177" s="59"/>
    </row>
    <row r="178" spans="1:41" s="62" customFormat="1" ht="14.25" x14ac:dyDescent="0.2">
      <c r="A178" s="61"/>
      <c r="G178" s="63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AA178" s="64"/>
      <c r="AN178" s="62" t="e">
        <f>VLOOKUP(I178,Sheet1!A:D,4,FALSE)</f>
        <v>#N/A</v>
      </c>
      <c r="AO178" s="59"/>
    </row>
    <row r="179" spans="1:41" s="62" customFormat="1" ht="14.25" x14ac:dyDescent="0.2">
      <c r="A179" s="61"/>
      <c r="G179" s="63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AA179" s="64"/>
      <c r="AN179" s="62" t="e">
        <f>VLOOKUP(I179,Sheet1!A:D,4,FALSE)</f>
        <v>#N/A</v>
      </c>
      <c r="AO179" s="59"/>
    </row>
    <row r="180" spans="1:41" s="62" customFormat="1" ht="14.25" x14ac:dyDescent="0.2">
      <c r="A180" s="61"/>
      <c r="G180" s="63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AA180" s="64"/>
      <c r="AO180" s="59"/>
    </row>
    <row r="181" spans="1:41" s="62" customFormat="1" ht="14.25" x14ac:dyDescent="0.2">
      <c r="A181" s="61"/>
      <c r="G181" s="63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AA181" s="64"/>
      <c r="AO181" s="59"/>
    </row>
    <row r="182" spans="1:41" s="62" customFormat="1" ht="14.25" x14ac:dyDescent="0.2">
      <c r="A182" s="61"/>
      <c r="G182" s="63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AA182" s="64"/>
      <c r="AO182" s="59"/>
    </row>
    <row r="183" spans="1:41" s="62" customFormat="1" ht="14.25" x14ac:dyDescent="0.2">
      <c r="A183" s="61"/>
      <c r="G183" s="63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AA183" s="64"/>
      <c r="AO183" s="59"/>
    </row>
    <row r="184" spans="1:41" s="62" customFormat="1" ht="14.25" x14ac:dyDescent="0.2">
      <c r="A184" s="61"/>
      <c r="G184" s="63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AA184" s="64"/>
      <c r="AO184" s="59"/>
    </row>
    <row r="185" spans="1:41" s="62" customFormat="1" ht="14.25" x14ac:dyDescent="0.2">
      <c r="A185" s="61"/>
      <c r="G185" s="63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AA185" s="64"/>
      <c r="AO185" s="59"/>
    </row>
    <row r="186" spans="1:41" s="62" customFormat="1" ht="14.25" x14ac:dyDescent="0.2">
      <c r="A186" s="61"/>
      <c r="G186" s="63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AA186" s="64"/>
      <c r="AO186" s="59"/>
    </row>
    <row r="187" spans="1:41" s="62" customFormat="1" ht="14.25" x14ac:dyDescent="0.2">
      <c r="A187" s="61"/>
      <c r="G187" s="63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AA187" s="64"/>
      <c r="AO187" s="59"/>
    </row>
    <row r="188" spans="1:41" s="62" customFormat="1" ht="14.25" x14ac:dyDescent="0.2">
      <c r="A188" s="61"/>
      <c r="G188" s="63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AA188" s="64"/>
      <c r="AO188" s="59"/>
    </row>
    <row r="189" spans="1:41" s="62" customFormat="1" ht="14.25" x14ac:dyDescent="0.2">
      <c r="A189" s="61"/>
      <c r="G189" s="63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AA189" s="64"/>
      <c r="AO189" s="59"/>
    </row>
    <row r="190" spans="1:41" s="62" customFormat="1" ht="14.25" x14ac:dyDescent="0.2">
      <c r="A190" s="61"/>
      <c r="G190" s="63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AA190" s="64"/>
      <c r="AO190" s="59"/>
    </row>
    <row r="191" spans="1:41" s="62" customFormat="1" ht="14.25" x14ac:dyDescent="0.2">
      <c r="A191" s="61"/>
      <c r="G191" s="63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AA191" s="64"/>
      <c r="AO191" s="59"/>
    </row>
    <row r="192" spans="1:41" s="62" customFormat="1" ht="14.25" x14ac:dyDescent="0.2">
      <c r="A192" s="61"/>
      <c r="G192" s="63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AA192" s="64"/>
      <c r="AO192" s="59"/>
    </row>
    <row r="193" spans="1:41" s="62" customFormat="1" ht="14.25" x14ac:dyDescent="0.2">
      <c r="A193" s="61"/>
      <c r="G193" s="63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AA193" s="64"/>
      <c r="AO193" s="59"/>
    </row>
    <row r="194" spans="1:41" s="62" customFormat="1" ht="14.25" x14ac:dyDescent="0.2">
      <c r="A194" s="61"/>
      <c r="G194" s="63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AA194" s="64"/>
      <c r="AO194" s="59"/>
    </row>
    <row r="195" spans="1:41" s="62" customFormat="1" ht="14.25" x14ac:dyDescent="0.2">
      <c r="A195" s="61"/>
      <c r="G195" s="63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AA195" s="64"/>
      <c r="AO195" s="59"/>
    </row>
    <row r="196" spans="1:41" s="62" customFormat="1" ht="14.25" x14ac:dyDescent="0.2">
      <c r="A196" s="61"/>
      <c r="G196" s="63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AA196" s="64"/>
      <c r="AO196" s="59"/>
    </row>
    <row r="197" spans="1:41" s="62" customFormat="1" ht="14.25" x14ac:dyDescent="0.2">
      <c r="A197" s="61"/>
      <c r="G197" s="63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AA197" s="64"/>
      <c r="AO197" s="59"/>
    </row>
    <row r="198" spans="1:41" s="62" customFormat="1" ht="14.25" x14ac:dyDescent="0.2">
      <c r="A198" s="61"/>
      <c r="G198" s="63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AA198" s="64"/>
      <c r="AO198" s="59"/>
    </row>
    <row r="199" spans="1:41" s="62" customFormat="1" ht="14.25" x14ac:dyDescent="0.2">
      <c r="A199" s="61"/>
      <c r="G199" s="63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AA199" s="64"/>
      <c r="AO199" s="59"/>
    </row>
    <row r="200" spans="1:41" s="62" customFormat="1" ht="14.25" x14ac:dyDescent="0.2">
      <c r="A200" s="61"/>
      <c r="G200" s="63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AA200" s="64"/>
      <c r="AO200" s="59"/>
    </row>
    <row r="201" spans="1:41" s="62" customFormat="1" ht="14.25" x14ac:dyDescent="0.2">
      <c r="A201" s="61"/>
      <c r="G201" s="63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AA201" s="64"/>
      <c r="AO201" s="59"/>
    </row>
    <row r="202" spans="1:41" s="62" customFormat="1" ht="14.25" x14ac:dyDescent="0.2">
      <c r="A202" s="61"/>
      <c r="G202" s="63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AA202" s="64"/>
      <c r="AO202" s="59"/>
    </row>
    <row r="203" spans="1:41" s="62" customFormat="1" ht="14.25" x14ac:dyDescent="0.2">
      <c r="A203" s="61"/>
      <c r="G203" s="63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AA203" s="64"/>
      <c r="AO203" s="59"/>
    </row>
    <row r="204" spans="1:41" s="62" customFormat="1" ht="14.25" x14ac:dyDescent="0.2">
      <c r="A204" s="61"/>
      <c r="G204" s="63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AA204" s="64"/>
      <c r="AO204" s="59"/>
    </row>
    <row r="205" spans="1:41" s="62" customFormat="1" ht="14.25" x14ac:dyDescent="0.2">
      <c r="A205" s="61"/>
      <c r="G205" s="63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AA205" s="64"/>
      <c r="AO205" s="59"/>
    </row>
    <row r="206" spans="1:41" s="62" customFormat="1" ht="14.25" x14ac:dyDescent="0.2">
      <c r="A206" s="61"/>
      <c r="G206" s="63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AA206" s="64"/>
      <c r="AO206" s="59"/>
    </row>
    <row r="207" spans="1:41" s="62" customFormat="1" ht="14.25" x14ac:dyDescent="0.2">
      <c r="A207" s="61"/>
      <c r="G207" s="63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AA207" s="64"/>
      <c r="AO207" s="59"/>
    </row>
    <row r="208" spans="1:41" s="62" customFormat="1" ht="14.25" x14ac:dyDescent="0.2">
      <c r="A208" s="61"/>
      <c r="G208" s="63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AA208" s="64"/>
      <c r="AO208" s="59"/>
    </row>
    <row r="209" spans="1:41" s="62" customFormat="1" ht="14.25" x14ac:dyDescent="0.2">
      <c r="A209" s="61"/>
      <c r="G209" s="63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AA209" s="64"/>
      <c r="AO209" s="59"/>
    </row>
    <row r="210" spans="1:41" s="62" customFormat="1" ht="14.25" x14ac:dyDescent="0.2">
      <c r="A210" s="61"/>
      <c r="G210" s="63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AA210" s="64"/>
      <c r="AO210" s="59"/>
    </row>
    <row r="211" spans="1:41" s="62" customFormat="1" ht="14.25" x14ac:dyDescent="0.2">
      <c r="A211" s="61"/>
      <c r="G211" s="63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AA211" s="64"/>
      <c r="AO211" s="59"/>
    </row>
    <row r="212" spans="1:41" s="62" customFormat="1" ht="14.25" x14ac:dyDescent="0.2">
      <c r="A212" s="61"/>
      <c r="G212" s="63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AA212" s="64"/>
      <c r="AO212" s="59"/>
    </row>
    <row r="213" spans="1:41" s="62" customFormat="1" ht="14.25" x14ac:dyDescent="0.2">
      <c r="A213" s="61"/>
      <c r="G213" s="63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AA213" s="64"/>
      <c r="AO213" s="59"/>
    </row>
    <row r="214" spans="1:41" s="62" customFormat="1" ht="14.25" x14ac:dyDescent="0.2">
      <c r="A214" s="61"/>
      <c r="G214" s="63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AA214" s="64"/>
      <c r="AO214" s="59"/>
    </row>
    <row r="215" spans="1:41" s="62" customFormat="1" ht="14.25" x14ac:dyDescent="0.2">
      <c r="A215" s="61"/>
      <c r="G215" s="63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AA215" s="64"/>
      <c r="AO215" s="59"/>
    </row>
    <row r="216" spans="1:41" s="62" customFormat="1" ht="14.25" x14ac:dyDescent="0.2">
      <c r="A216" s="61"/>
      <c r="G216" s="63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AA216" s="64"/>
      <c r="AO216" s="59"/>
    </row>
    <row r="217" spans="1:41" s="62" customFormat="1" ht="14.25" x14ac:dyDescent="0.2">
      <c r="A217" s="61"/>
      <c r="G217" s="63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AA217" s="64"/>
      <c r="AO217" s="59"/>
    </row>
    <row r="218" spans="1:41" s="62" customFormat="1" ht="14.25" x14ac:dyDescent="0.2">
      <c r="A218" s="61"/>
      <c r="G218" s="63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AA218" s="64"/>
      <c r="AO218" s="59"/>
    </row>
    <row r="219" spans="1:41" s="62" customFormat="1" ht="14.25" x14ac:dyDescent="0.2">
      <c r="A219" s="61"/>
      <c r="G219" s="63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AA219" s="64"/>
      <c r="AO219" s="59"/>
    </row>
    <row r="220" spans="1:41" s="62" customFormat="1" ht="14.25" x14ac:dyDescent="0.2">
      <c r="A220" s="61"/>
      <c r="G220" s="63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AA220" s="64"/>
      <c r="AO220" s="59"/>
    </row>
    <row r="221" spans="1:41" s="62" customFormat="1" ht="14.25" x14ac:dyDescent="0.2">
      <c r="A221" s="61"/>
      <c r="G221" s="63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AA221" s="64"/>
      <c r="AO221" s="59"/>
    </row>
    <row r="222" spans="1:41" s="62" customFormat="1" ht="14.25" x14ac:dyDescent="0.2">
      <c r="A222" s="61"/>
      <c r="G222" s="63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AA222" s="64"/>
      <c r="AO222" s="59"/>
    </row>
    <row r="223" spans="1:41" s="62" customFormat="1" ht="14.25" x14ac:dyDescent="0.2">
      <c r="A223" s="61"/>
      <c r="G223" s="63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AA223" s="64"/>
      <c r="AO223" s="59"/>
    </row>
    <row r="224" spans="1:41" s="62" customFormat="1" ht="14.25" x14ac:dyDescent="0.2">
      <c r="A224" s="61"/>
      <c r="G224" s="63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AA224" s="64"/>
      <c r="AO224" s="59"/>
    </row>
    <row r="225" spans="1:41" s="62" customFormat="1" ht="14.25" x14ac:dyDescent="0.2">
      <c r="A225" s="61"/>
      <c r="G225" s="63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AA225" s="64"/>
      <c r="AO225" s="59"/>
    </row>
    <row r="226" spans="1:41" s="62" customFormat="1" ht="14.25" x14ac:dyDescent="0.2">
      <c r="A226" s="61"/>
      <c r="G226" s="63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AA226" s="64"/>
      <c r="AO226" s="59"/>
    </row>
    <row r="227" spans="1:41" s="62" customFormat="1" ht="14.25" x14ac:dyDescent="0.2">
      <c r="A227" s="61"/>
      <c r="G227" s="63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AA227" s="64"/>
      <c r="AO227" s="59"/>
    </row>
    <row r="228" spans="1:41" s="62" customFormat="1" ht="14.25" x14ac:dyDescent="0.2">
      <c r="A228" s="61"/>
      <c r="G228" s="63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AA228" s="64"/>
      <c r="AO228" s="59"/>
    </row>
    <row r="229" spans="1:41" s="62" customFormat="1" ht="14.25" x14ac:dyDescent="0.2">
      <c r="A229" s="61"/>
      <c r="G229" s="63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AA229" s="64"/>
      <c r="AO229" s="59"/>
    </row>
    <row r="230" spans="1:41" s="62" customFormat="1" ht="14.25" x14ac:dyDescent="0.2">
      <c r="A230" s="61"/>
      <c r="G230" s="63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AA230" s="64"/>
      <c r="AO230" s="59"/>
    </row>
    <row r="231" spans="1:41" s="62" customFormat="1" ht="14.25" x14ac:dyDescent="0.2">
      <c r="A231" s="61"/>
      <c r="G231" s="63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AA231" s="64"/>
      <c r="AO231" s="59"/>
    </row>
    <row r="232" spans="1:41" s="62" customFormat="1" ht="14.25" x14ac:dyDescent="0.2">
      <c r="A232" s="61"/>
      <c r="G232" s="63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AA232" s="64"/>
      <c r="AO232" s="59"/>
    </row>
    <row r="233" spans="1:41" s="62" customFormat="1" ht="14.25" x14ac:dyDescent="0.2">
      <c r="A233" s="61"/>
      <c r="G233" s="63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AA233" s="64"/>
      <c r="AO233" s="59"/>
    </row>
    <row r="234" spans="1:41" s="62" customFormat="1" ht="14.25" x14ac:dyDescent="0.2">
      <c r="A234" s="61"/>
      <c r="G234" s="63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AA234" s="64"/>
      <c r="AO234" s="59"/>
    </row>
    <row r="235" spans="1:41" s="62" customFormat="1" ht="14.25" x14ac:dyDescent="0.2">
      <c r="A235" s="61"/>
      <c r="G235" s="63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AA235" s="64"/>
      <c r="AO235" s="59"/>
    </row>
  </sheetData>
  <autoFilter ref="A6:AT179" xr:uid="{E0C31559-6321-4B4A-ADC2-FDD0AAB3F481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02CB-01C6-4170-A01F-712369831D8C}">
  <dimension ref="A1:AQ281"/>
  <sheetViews>
    <sheetView workbookViewId="0">
      <selection activeCell="A9" sqref="A9:XFD10"/>
    </sheetView>
  </sheetViews>
  <sheetFormatPr defaultRowHeight="15" x14ac:dyDescent="0.25"/>
  <cols>
    <col min="1" max="1" width="34.42578125" style="23" bestFit="1" customWidth="1"/>
    <col min="4" max="5" width="10.140625" style="185" bestFit="1" customWidth="1"/>
    <col min="6" max="6" width="9.140625" style="185"/>
    <col min="7" max="7" width="11.85546875" style="30" bestFit="1" customWidth="1"/>
    <col min="14" max="14" width="11.85546875" style="25" bestFit="1" customWidth="1"/>
    <col min="15" max="16" width="13.140625" style="25" bestFit="1" customWidth="1"/>
    <col min="17" max="18" width="9.28515625" style="25" bestFit="1" customWidth="1"/>
    <col min="19" max="19" width="9.140625" style="25"/>
    <col min="20" max="22" width="11.85546875" style="25" bestFit="1" customWidth="1"/>
    <col min="23" max="23" width="9.28515625" style="25" bestFit="1" customWidth="1"/>
    <col min="24" max="24" width="10.5703125" style="236" bestFit="1" customWidth="1"/>
    <col min="42" max="42" width="96.85546875" hidden="1" customWidth="1"/>
  </cols>
  <sheetData>
    <row r="1" spans="1:43" s="74" customFormat="1" x14ac:dyDescent="0.25">
      <c r="A1" s="89"/>
      <c r="D1" s="181"/>
      <c r="E1" s="181"/>
      <c r="F1" s="181"/>
      <c r="G1" s="90"/>
      <c r="N1" s="79"/>
      <c r="O1" s="79"/>
      <c r="P1" s="79"/>
      <c r="Q1" s="79"/>
      <c r="R1" s="79"/>
      <c r="S1" s="79"/>
      <c r="T1" s="79"/>
      <c r="U1" s="79"/>
      <c r="V1" s="79"/>
      <c r="W1" s="79"/>
      <c r="X1" s="232"/>
    </row>
    <row r="2" spans="1:43" s="74" customFormat="1" x14ac:dyDescent="0.25">
      <c r="A2" s="89"/>
      <c r="D2" s="181"/>
      <c r="E2" s="181"/>
      <c r="F2" s="181"/>
      <c r="G2" s="90"/>
      <c r="N2" s="79"/>
      <c r="O2" s="79"/>
      <c r="P2" s="79"/>
      <c r="Q2" s="79"/>
      <c r="R2" s="79"/>
      <c r="S2" s="79"/>
      <c r="T2" s="79"/>
      <c r="U2" s="79"/>
      <c r="V2" s="79"/>
      <c r="W2" s="79"/>
      <c r="X2" s="232"/>
    </row>
    <row r="3" spans="1:43" s="74" customFormat="1" x14ac:dyDescent="0.25">
      <c r="A3" s="89"/>
      <c r="D3" s="181"/>
      <c r="E3" s="181"/>
      <c r="F3" s="181"/>
      <c r="G3" s="90"/>
      <c r="N3" s="79"/>
      <c r="O3" s="79"/>
      <c r="P3" s="79"/>
      <c r="Q3" s="79"/>
      <c r="R3" s="79"/>
      <c r="S3" s="79"/>
      <c r="T3" s="79"/>
      <c r="U3" s="79"/>
      <c r="V3" s="79"/>
      <c r="W3" s="79"/>
      <c r="X3" s="232"/>
    </row>
    <row r="4" spans="1:43" s="74" customFormat="1" x14ac:dyDescent="0.25">
      <c r="A4" s="89"/>
      <c r="D4" s="181"/>
      <c r="E4" s="181"/>
      <c r="F4" s="181"/>
      <c r="G4" s="90"/>
      <c r="N4" s="79"/>
      <c r="O4" s="79"/>
      <c r="P4" s="79"/>
      <c r="Q4" s="79"/>
      <c r="R4" s="79"/>
      <c r="S4" s="79"/>
      <c r="T4" s="79"/>
      <c r="U4" s="79"/>
      <c r="V4" s="79"/>
      <c r="W4" s="79"/>
      <c r="X4" s="232"/>
    </row>
    <row r="5" spans="1:43" s="74" customFormat="1" x14ac:dyDescent="0.25">
      <c r="A5" s="89" t="s">
        <v>230</v>
      </c>
      <c r="D5" s="181"/>
      <c r="E5" s="181"/>
      <c r="F5" s="181"/>
      <c r="G5" s="90"/>
      <c r="N5" s="79"/>
      <c r="O5" s="79"/>
      <c r="P5" s="79"/>
      <c r="Q5" s="79"/>
      <c r="R5" s="79"/>
      <c r="S5" s="79"/>
      <c r="T5" s="79"/>
      <c r="U5" s="79"/>
      <c r="V5" s="79"/>
      <c r="W5" s="79"/>
      <c r="X5" s="232"/>
    </row>
    <row r="6" spans="1:43" s="48" customFormat="1" x14ac:dyDescent="0.25">
      <c r="A6" s="107" t="s">
        <v>0</v>
      </c>
      <c r="B6" s="84" t="s">
        <v>1</v>
      </c>
      <c r="C6" s="84" t="s">
        <v>2</v>
      </c>
      <c r="D6" s="231" t="s">
        <v>4</v>
      </c>
      <c r="E6" s="182" t="s">
        <v>3</v>
      </c>
      <c r="F6" s="231" t="s">
        <v>5</v>
      </c>
      <c r="G6" s="108" t="s">
        <v>6</v>
      </c>
      <c r="H6" s="84" t="s">
        <v>7</v>
      </c>
      <c r="I6" s="84" t="s">
        <v>8</v>
      </c>
      <c r="J6" s="84" t="s">
        <v>9</v>
      </c>
      <c r="K6" s="109" t="s">
        <v>10</v>
      </c>
      <c r="L6" s="110" t="s">
        <v>11</v>
      </c>
      <c r="M6" s="86" t="s">
        <v>12</v>
      </c>
      <c r="N6" s="86" t="s">
        <v>13</v>
      </c>
      <c r="O6" s="86" t="s">
        <v>14</v>
      </c>
      <c r="P6" s="86" t="s">
        <v>15</v>
      </c>
      <c r="Q6" s="86" t="s">
        <v>16</v>
      </c>
      <c r="R6" s="86" t="s">
        <v>17</v>
      </c>
      <c r="S6" s="111" t="s">
        <v>18</v>
      </c>
      <c r="T6" s="86" t="s">
        <v>19</v>
      </c>
      <c r="U6" s="86" t="s">
        <v>20</v>
      </c>
      <c r="V6" s="86" t="s">
        <v>21</v>
      </c>
      <c r="W6" s="86" t="s">
        <v>22</v>
      </c>
      <c r="X6" s="233" t="s">
        <v>23</v>
      </c>
      <c r="Y6" s="84" t="s">
        <v>24</v>
      </c>
      <c r="Z6" s="84" t="s">
        <v>25</v>
      </c>
      <c r="AA6" s="84" t="s">
        <v>26</v>
      </c>
      <c r="AB6" s="84" t="s">
        <v>27</v>
      </c>
      <c r="AC6" s="84" t="s">
        <v>28</v>
      </c>
      <c r="AD6" s="84" t="s">
        <v>29</v>
      </c>
      <c r="AE6" s="84" t="s">
        <v>30</v>
      </c>
      <c r="AF6" s="84" t="s">
        <v>31</v>
      </c>
      <c r="AG6" s="84" t="s">
        <v>32</v>
      </c>
      <c r="AH6" s="84" t="s">
        <v>33</v>
      </c>
      <c r="AI6" s="84" t="s">
        <v>34</v>
      </c>
      <c r="AJ6" s="84" t="s">
        <v>35</v>
      </c>
      <c r="AK6" s="84" t="s">
        <v>36</v>
      </c>
      <c r="AL6" s="84" t="s">
        <v>37</v>
      </c>
      <c r="AM6" s="84" t="s">
        <v>38</v>
      </c>
      <c r="AN6" s="84" t="s">
        <v>696</v>
      </c>
      <c r="AO6" s="99"/>
      <c r="AP6" s="100" t="s">
        <v>39</v>
      </c>
      <c r="AQ6" s="99"/>
    </row>
    <row r="7" spans="1:43" s="133" customFormat="1" ht="14.25" x14ac:dyDescent="0.2">
      <c r="A7" s="132">
        <v>45717</v>
      </c>
      <c r="B7" s="133" t="s">
        <v>40</v>
      </c>
      <c r="C7" s="133" t="s">
        <v>41</v>
      </c>
      <c r="D7" s="134">
        <v>25708082</v>
      </c>
      <c r="E7" s="134">
        <v>25106556</v>
      </c>
      <c r="F7" s="134" t="s">
        <v>888</v>
      </c>
      <c r="G7" s="135">
        <v>45731</v>
      </c>
      <c r="H7" s="133" t="s">
        <v>889</v>
      </c>
      <c r="I7" s="133" t="s">
        <v>448</v>
      </c>
      <c r="J7" s="133" t="s">
        <v>890</v>
      </c>
      <c r="K7" s="133">
        <v>10</v>
      </c>
      <c r="L7" s="133" t="s">
        <v>42</v>
      </c>
      <c r="M7" s="133">
        <v>10</v>
      </c>
      <c r="N7" s="136">
        <v>1398391.91</v>
      </c>
      <c r="O7" s="136">
        <v>13983919.1</v>
      </c>
      <c r="P7" s="136">
        <v>13983919.1</v>
      </c>
      <c r="Q7" s="136">
        <v>0</v>
      </c>
      <c r="R7" s="136">
        <v>0</v>
      </c>
      <c r="S7" s="136" t="s">
        <v>43</v>
      </c>
      <c r="T7" s="136">
        <v>9719060.8000000007</v>
      </c>
      <c r="U7" s="136">
        <v>9719060.8000000007</v>
      </c>
      <c r="V7" s="136">
        <v>4264858.3</v>
      </c>
      <c r="W7" s="136">
        <v>0.304983050137</v>
      </c>
      <c r="X7" s="171">
        <v>4264858.3</v>
      </c>
      <c r="Y7" s="133" t="s">
        <v>69</v>
      </c>
      <c r="Z7" s="133" t="s">
        <v>46</v>
      </c>
      <c r="AA7" s="133">
        <v>2308901</v>
      </c>
      <c r="AB7" s="133" t="s">
        <v>889</v>
      </c>
      <c r="AC7" s="133" t="s">
        <v>56</v>
      </c>
      <c r="AD7" s="133" t="s">
        <v>77</v>
      </c>
      <c r="AE7" s="133">
        <v>0</v>
      </c>
      <c r="AF7" s="133" t="s">
        <v>68</v>
      </c>
      <c r="AG7" s="133" t="s">
        <v>69</v>
      </c>
      <c r="AH7" s="133" t="s">
        <v>46</v>
      </c>
      <c r="AI7" s="133" t="s">
        <v>69</v>
      </c>
      <c r="AJ7" s="133" t="s">
        <v>46</v>
      </c>
      <c r="AK7" s="133" t="s">
        <v>54</v>
      </c>
      <c r="AL7" s="133" t="s">
        <v>48</v>
      </c>
      <c r="AM7" s="133" t="s">
        <v>64</v>
      </c>
      <c r="AN7" s="133" t="str">
        <f>VLOOKUP(I7,Sheet1!A:D,4,FALSE)</f>
        <v>A320400</v>
      </c>
      <c r="AP7" s="133" t="s">
        <v>891</v>
      </c>
    </row>
    <row r="8" spans="1:43" s="133" customFormat="1" ht="14.25" x14ac:dyDescent="0.2">
      <c r="A8" s="132">
        <v>45870</v>
      </c>
      <c r="B8" s="133" t="s">
        <v>40</v>
      </c>
      <c r="C8" s="133" t="s">
        <v>41</v>
      </c>
      <c r="D8" s="134">
        <v>25708484</v>
      </c>
      <c r="E8" s="165">
        <v>25106747</v>
      </c>
      <c r="F8" s="134" t="s">
        <v>1264</v>
      </c>
      <c r="G8" s="135">
        <v>45896</v>
      </c>
      <c r="H8" s="133" t="s">
        <v>889</v>
      </c>
      <c r="I8" s="133" t="s">
        <v>448</v>
      </c>
      <c r="J8" s="133" t="s">
        <v>890</v>
      </c>
      <c r="K8" s="133">
        <v>5</v>
      </c>
      <c r="L8" s="133" t="s">
        <v>42</v>
      </c>
      <c r="M8" s="133">
        <v>5</v>
      </c>
      <c r="N8" s="136">
        <v>1416241.52</v>
      </c>
      <c r="O8" s="136">
        <v>7081207.5999999996</v>
      </c>
      <c r="P8" s="136">
        <v>7081207.5999999996</v>
      </c>
      <c r="Q8" s="136">
        <v>0</v>
      </c>
      <c r="R8" s="136">
        <v>0</v>
      </c>
      <c r="S8" s="136" t="s">
        <v>43</v>
      </c>
      <c r="T8" s="136">
        <v>5289422</v>
      </c>
      <c r="U8" s="136">
        <v>5289422</v>
      </c>
      <c r="V8" s="136">
        <v>1791785.6</v>
      </c>
      <c r="W8" s="136">
        <v>0.25303390342600002</v>
      </c>
      <c r="X8" s="171">
        <v>1791785.6</v>
      </c>
      <c r="Y8" s="133" t="s">
        <v>69</v>
      </c>
      <c r="Z8" s="133" t="s">
        <v>46</v>
      </c>
      <c r="AA8" s="133">
        <v>2308901</v>
      </c>
      <c r="AB8" s="133" t="s">
        <v>889</v>
      </c>
      <c r="AC8" s="133" t="s">
        <v>56</v>
      </c>
      <c r="AD8" s="133" t="s">
        <v>77</v>
      </c>
      <c r="AE8" s="133">
        <v>0</v>
      </c>
      <c r="AF8" s="133" t="s">
        <v>68</v>
      </c>
      <c r="AG8" s="133" t="s">
        <v>69</v>
      </c>
      <c r="AH8" s="133" t="s">
        <v>46</v>
      </c>
      <c r="AI8" s="133" t="s">
        <v>69</v>
      </c>
      <c r="AJ8" s="133" t="s">
        <v>46</v>
      </c>
      <c r="AK8" s="133" t="s">
        <v>54</v>
      </c>
      <c r="AL8" s="133" t="s">
        <v>48</v>
      </c>
      <c r="AM8" s="133" t="s">
        <v>64</v>
      </c>
      <c r="AN8" s="133" t="str">
        <f>VLOOKUP(I8,Sheet1!A:D,4,FALSE)</f>
        <v>A320400</v>
      </c>
      <c r="AP8" s="133" t="s">
        <v>1266</v>
      </c>
    </row>
    <row r="9" spans="1:43" s="133" customFormat="1" x14ac:dyDescent="0.25">
      <c r="A9" s="132">
        <v>45901</v>
      </c>
      <c r="B9" s="133" t="s">
        <v>40</v>
      </c>
      <c r="C9" s="133" t="s">
        <v>41</v>
      </c>
      <c r="D9" s="134">
        <v>25708497</v>
      </c>
      <c r="E9" s="134">
        <v>25106857</v>
      </c>
      <c r="F9" s="134" t="s">
        <v>1284</v>
      </c>
      <c r="G9" s="135">
        <v>45911</v>
      </c>
      <c r="H9" s="133" t="s">
        <v>1285</v>
      </c>
      <c r="I9" s="133" t="s">
        <v>448</v>
      </c>
      <c r="J9" s="133" t="s">
        <v>659</v>
      </c>
      <c r="K9" s="133">
        <v>10</v>
      </c>
      <c r="L9" s="133" t="s">
        <v>42</v>
      </c>
      <c r="M9" s="133">
        <v>10</v>
      </c>
      <c r="N9" s="136">
        <v>1406152.61</v>
      </c>
      <c r="O9" s="136">
        <v>14061526.1</v>
      </c>
      <c r="P9" s="136">
        <v>14061526.1</v>
      </c>
      <c r="Q9" s="136">
        <v>0</v>
      </c>
      <c r="R9" s="136">
        <v>0</v>
      </c>
      <c r="S9" s="136" t="s">
        <v>43</v>
      </c>
      <c r="T9" s="136">
        <v>8907452.6600000001</v>
      </c>
      <c r="U9" s="136">
        <v>8907452.6600000001</v>
      </c>
      <c r="V9" s="136">
        <v>5154073.4400000004</v>
      </c>
      <c r="W9" s="136">
        <v>0.36653727364599997</v>
      </c>
      <c r="X9" s="171">
        <v>5154073.4400000004</v>
      </c>
      <c r="Y9" s="133" t="s">
        <v>101</v>
      </c>
      <c r="Z9" s="133" t="s">
        <v>46</v>
      </c>
      <c r="AA9" s="133">
        <v>2308901</v>
      </c>
      <c r="AB9" s="133" t="s">
        <v>1285</v>
      </c>
      <c r="AC9" s="133" t="s">
        <v>56</v>
      </c>
      <c r="AD9" s="133" t="s">
        <v>103</v>
      </c>
      <c r="AE9" s="133">
        <v>0</v>
      </c>
      <c r="AF9" s="133" t="s">
        <v>191</v>
      </c>
      <c r="AG9" s="133" t="s">
        <v>101</v>
      </c>
      <c r="AH9" s="133" t="s">
        <v>46</v>
      </c>
      <c r="AI9" s="133" t="s">
        <v>101</v>
      </c>
      <c r="AJ9" s="133" t="s">
        <v>46</v>
      </c>
      <c r="AK9" s="133" t="s">
        <v>54</v>
      </c>
      <c r="AL9" s="133" t="s">
        <v>48</v>
      </c>
      <c r="AM9" s="133" t="s">
        <v>64</v>
      </c>
      <c r="AN9" s="133" t="str">
        <f>VLOOKUP(I9,Sheet1!A:D,4,FALSE)</f>
        <v>A320400</v>
      </c>
      <c r="AP9" s="206" t="s">
        <v>1297</v>
      </c>
    </row>
    <row r="10" spans="1:43" s="133" customFormat="1" x14ac:dyDescent="0.25">
      <c r="A10" s="132">
        <v>45901</v>
      </c>
      <c r="B10" s="133" t="s">
        <v>40</v>
      </c>
      <c r="C10" s="133" t="s">
        <v>41</v>
      </c>
      <c r="D10" s="134">
        <v>25708498</v>
      </c>
      <c r="E10" s="134">
        <v>25106938</v>
      </c>
      <c r="F10" s="134" t="s">
        <v>1286</v>
      </c>
      <c r="G10" s="135">
        <v>45911</v>
      </c>
      <c r="H10" s="133" t="s">
        <v>1285</v>
      </c>
      <c r="I10" s="133" t="s">
        <v>1269</v>
      </c>
      <c r="J10" s="133" t="s">
        <v>1270</v>
      </c>
      <c r="K10" s="133">
        <v>4</v>
      </c>
      <c r="L10" s="133" t="s">
        <v>42</v>
      </c>
      <c r="M10" s="133">
        <v>4</v>
      </c>
      <c r="N10" s="136">
        <v>2126131</v>
      </c>
      <c r="O10" s="136">
        <v>8504524</v>
      </c>
      <c r="P10" s="136">
        <v>8504524</v>
      </c>
      <c r="Q10" s="136">
        <v>0</v>
      </c>
      <c r="R10" s="136">
        <v>0</v>
      </c>
      <c r="S10" s="136" t="s">
        <v>43</v>
      </c>
      <c r="T10" s="136">
        <v>7803765.9400000004</v>
      </c>
      <c r="U10" s="136">
        <v>7803765.9400000004</v>
      </c>
      <c r="V10" s="136">
        <v>700758.06</v>
      </c>
      <c r="W10" s="136">
        <v>8.2398269437999994E-2</v>
      </c>
      <c r="X10" s="171">
        <v>700758.06</v>
      </c>
      <c r="Y10" s="133" t="s">
        <v>101</v>
      </c>
      <c r="Z10" s="133" t="s">
        <v>46</v>
      </c>
      <c r="AA10" s="133">
        <v>2308901</v>
      </c>
      <c r="AB10" s="133" t="s">
        <v>1285</v>
      </c>
      <c r="AC10" s="133" t="s">
        <v>56</v>
      </c>
      <c r="AD10" s="133" t="s">
        <v>103</v>
      </c>
      <c r="AE10" s="133">
        <v>0</v>
      </c>
      <c r="AF10" s="133" t="s">
        <v>207</v>
      </c>
      <c r="AG10" s="133" t="s">
        <v>101</v>
      </c>
      <c r="AH10" s="133" t="s">
        <v>46</v>
      </c>
      <c r="AI10" s="133" t="s">
        <v>101</v>
      </c>
      <c r="AJ10" s="133" t="s">
        <v>46</v>
      </c>
      <c r="AK10" s="133" t="s">
        <v>54</v>
      </c>
      <c r="AL10" s="133" t="s">
        <v>48</v>
      </c>
      <c r="AM10" s="133" t="s">
        <v>64</v>
      </c>
      <c r="AN10" s="133" t="str">
        <f>VLOOKUP(I10,Sheet1!A:D,4,FALSE)</f>
        <v>A320400</v>
      </c>
      <c r="AP10" s="206" t="s">
        <v>1297</v>
      </c>
    </row>
    <row r="11" spans="1:43" s="36" customFormat="1" ht="14.25" x14ac:dyDescent="0.2">
      <c r="A11" s="57"/>
      <c r="D11" s="183"/>
      <c r="E11" s="183"/>
      <c r="F11" s="183"/>
      <c r="G11" s="58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234"/>
      <c r="AN11" s="36" t="e">
        <f>VLOOKUP(I11,Sheet1!A:D,4,FALSE)</f>
        <v>#N/A</v>
      </c>
    </row>
    <row r="12" spans="1:43" s="36" customFormat="1" ht="14.25" x14ac:dyDescent="0.2">
      <c r="A12" s="57"/>
      <c r="D12" s="183"/>
      <c r="E12" s="183"/>
      <c r="F12" s="183"/>
      <c r="G12" s="58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234"/>
      <c r="AN12" s="36" t="e">
        <f>VLOOKUP(I12,Sheet1!A:D,4,FALSE)</f>
        <v>#N/A</v>
      </c>
    </row>
    <row r="13" spans="1:43" s="36" customFormat="1" ht="14.25" x14ac:dyDescent="0.2">
      <c r="A13" s="57"/>
      <c r="D13" s="183"/>
      <c r="E13" s="183"/>
      <c r="F13" s="183"/>
      <c r="G13" s="58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234"/>
      <c r="AN13" s="36" t="e">
        <f>VLOOKUP(I13,Sheet1!A:D,4,FALSE)</f>
        <v>#N/A</v>
      </c>
    </row>
    <row r="14" spans="1:43" s="36" customFormat="1" ht="14.25" x14ac:dyDescent="0.2">
      <c r="A14" s="57"/>
      <c r="D14" s="183"/>
      <c r="E14" s="183"/>
      <c r="F14" s="183"/>
      <c r="G14" s="58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234"/>
      <c r="AN14" s="36" t="e">
        <f>VLOOKUP(I14,Sheet1!A:D,4,FALSE)</f>
        <v>#N/A</v>
      </c>
    </row>
    <row r="15" spans="1:43" s="36" customFormat="1" ht="14.25" x14ac:dyDescent="0.2">
      <c r="A15" s="57"/>
      <c r="D15" s="183"/>
      <c r="E15" s="183"/>
      <c r="F15" s="183"/>
      <c r="G15" s="58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234"/>
      <c r="AN15" s="36" t="e">
        <f>VLOOKUP(I15,Sheet1!A:D,4,FALSE)</f>
        <v>#N/A</v>
      </c>
    </row>
    <row r="16" spans="1:43" s="36" customFormat="1" ht="14.25" x14ac:dyDescent="0.2">
      <c r="A16" s="57"/>
      <c r="D16" s="183"/>
      <c r="E16" s="183"/>
      <c r="F16" s="183"/>
      <c r="G16" s="58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234"/>
      <c r="AN16" s="36" t="e">
        <f>VLOOKUP(I16,Sheet1!A:D,4,FALSE)</f>
        <v>#N/A</v>
      </c>
    </row>
    <row r="17" spans="1:40" s="36" customFormat="1" ht="14.25" x14ac:dyDescent="0.2">
      <c r="A17" s="57"/>
      <c r="D17" s="183"/>
      <c r="E17" s="183"/>
      <c r="F17" s="183"/>
      <c r="G17" s="58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234"/>
      <c r="AN17" s="36" t="e">
        <f>VLOOKUP(I17,Sheet1!A:D,4,FALSE)</f>
        <v>#N/A</v>
      </c>
    </row>
    <row r="18" spans="1:40" s="36" customFormat="1" ht="14.25" x14ac:dyDescent="0.2">
      <c r="A18" s="57"/>
      <c r="D18" s="183"/>
      <c r="E18" s="183"/>
      <c r="F18" s="183"/>
      <c r="G18" s="58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234"/>
      <c r="AN18" s="36" t="e">
        <f>VLOOKUP(I18,Sheet1!A:D,4,FALSE)</f>
        <v>#N/A</v>
      </c>
    </row>
    <row r="19" spans="1:40" s="36" customFormat="1" ht="14.25" x14ac:dyDescent="0.2">
      <c r="A19" s="57"/>
      <c r="D19" s="183"/>
      <c r="E19" s="183"/>
      <c r="F19" s="183"/>
      <c r="G19" s="58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234"/>
      <c r="AN19" s="36" t="e">
        <f>VLOOKUP(I19,Sheet1!A:D,4,FALSE)</f>
        <v>#N/A</v>
      </c>
    </row>
    <row r="20" spans="1:40" s="36" customFormat="1" ht="14.25" x14ac:dyDescent="0.2">
      <c r="A20" s="57"/>
      <c r="D20" s="183"/>
      <c r="E20" s="183"/>
      <c r="F20" s="183"/>
      <c r="G20" s="58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234"/>
      <c r="AN20" s="36" t="e">
        <f>VLOOKUP(I20,Sheet1!A:D,4,FALSE)</f>
        <v>#N/A</v>
      </c>
    </row>
    <row r="21" spans="1:40" s="36" customFormat="1" ht="14.25" x14ac:dyDescent="0.2">
      <c r="A21" s="57"/>
      <c r="D21" s="183"/>
      <c r="E21" s="183"/>
      <c r="F21" s="183"/>
      <c r="G21" s="58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234"/>
      <c r="AN21" s="36" t="e">
        <f>VLOOKUP(I21,Sheet1!A:D,4,FALSE)</f>
        <v>#N/A</v>
      </c>
    </row>
    <row r="22" spans="1:40" s="36" customFormat="1" ht="14.25" x14ac:dyDescent="0.2">
      <c r="A22" s="57"/>
      <c r="D22" s="183"/>
      <c r="E22" s="183"/>
      <c r="F22" s="183"/>
      <c r="G22" s="58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234"/>
      <c r="AN22" s="36" t="e">
        <f>VLOOKUP(I22,Sheet1!A:D,4,FALSE)</f>
        <v>#N/A</v>
      </c>
    </row>
    <row r="23" spans="1:40" s="36" customFormat="1" ht="14.25" x14ac:dyDescent="0.2">
      <c r="A23" s="57"/>
      <c r="D23" s="183"/>
      <c r="E23" s="183"/>
      <c r="F23" s="183"/>
      <c r="G23" s="58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234"/>
      <c r="AN23" s="36" t="e">
        <f>VLOOKUP(I23,Sheet1!A:D,4,FALSE)</f>
        <v>#N/A</v>
      </c>
    </row>
    <row r="24" spans="1:40" s="36" customFormat="1" ht="14.25" x14ac:dyDescent="0.2">
      <c r="A24" s="57"/>
      <c r="D24" s="183"/>
      <c r="E24" s="183"/>
      <c r="F24" s="183"/>
      <c r="G24" s="58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234"/>
      <c r="AN24" s="36" t="e">
        <f>VLOOKUP(I24,Sheet1!A:D,4,FALSE)</f>
        <v>#N/A</v>
      </c>
    </row>
    <row r="25" spans="1:40" s="36" customFormat="1" ht="14.25" x14ac:dyDescent="0.2">
      <c r="A25" s="57"/>
      <c r="D25" s="183"/>
      <c r="E25" s="183"/>
      <c r="F25" s="183"/>
      <c r="G25" s="58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234"/>
      <c r="AN25" s="36" t="e">
        <f>VLOOKUP(I25,Sheet1!A:D,4,FALSE)</f>
        <v>#N/A</v>
      </c>
    </row>
    <row r="26" spans="1:40" s="36" customFormat="1" ht="14.25" x14ac:dyDescent="0.2">
      <c r="A26" s="57"/>
      <c r="D26" s="183"/>
      <c r="E26" s="183"/>
      <c r="F26" s="183"/>
      <c r="G26" s="58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234"/>
      <c r="AN26" s="36" t="e">
        <f>VLOOKUP(I26,Sheet1!A:D,4,FALSE)</f>
        <v>#N/A</v>
      </c>
    </row>
    <row r="27" spans="1:40" s="36" customFormat="1" ht="14.25" x14ac:dyDescent="0.2">
      <c r="A27" s="57"/>
      <c r="D27" s="183"/>
      <c r="E27" s="183"/>
      <c r="F27" s="183"/>
      <c r="G27" s="58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234"/>
      <c r="AN27" s="36" t="e">
        <f>VLOOKUP(I27,Sheet1!A:D,4,FALSE)</f>
        <v>#N/A</v>
      </c>
    </row>
    <row r="28" spans="1:40" s="36" customFormat="1" ht="14.25" x14ac:dyDescent="0.2">
      <c r="A28" s="57"/>
      <c r="D28" s="183"/>
      <c r="E28" s="183"/>
      <c r="F28" s="183"/>
      <c r="G28" s="58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34"/>
      <c r="AN28" s="36" t="e">
        <f>VLOOKUP(I28,Sheet1!A:D,4,FALSE)</f>
        <v>#N/A</v>
      </c>
    </row>
    <row r="29" spans="1:40" s="36" customFormat="1" ht="14.25" x14ac:dyDescent="0.2">
      <c r="A29" s="57"/>
      <c r="D29" s="183"/>
      <c r="E29" s="183"/>
      <c r="F29" s="183"/>
      <c r="G29" s="58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234"/>
      <c r="AN29" s="36" t="e">
        <f>VLOOKUP(I29,Sheet1!A:D,4,FALSE)</f>
        <v>#N/A</v>
      </c>
    </row>
    <row r="30" spans="1:40" s="36" customFormat="1" ht="14.25" x14ac:dyDescent="0.2">
      <c r="A30" s="57"/>
      <c r="D30" s="183"/>
      <c r="E30" s="183"/>
      <c r="F30" s="183"/>
      <c r="G30" s="58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234"/>
      <c r="AN30" s="36" t="e">
        <f>VLOOKUP(I30,Sheet1!A:D,4,FALSE)</f>
        <v>#N/A</v>
      </c>
    </row>
    <row r="31" spans="1:40" s="36" customFormat="1" ht="14.25" x14ac:dyDescent="0.2">
      <c r="A31" s="57"/>
      <c r="D31" s="183"/>
      <c r="E31" s="183"/>
      <c r="F31" s="183"/>
      <c r="G31" s="58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234"/>
      <c r="AN31" s="36" t="e">
        <f>VLOOKUP(I31,Sheet1!A:D,4,FALSE)</f>
        <v>#N/A</v>
      </c>
    </row>
    <row r="32" spans="1:40" s="36" customFormat="1" ht="14.25" x14ac:dyDescent="0.2">
      <c r="A32" s="57"/>
      <c r="D32" s="183"/>
      <c r="E32" s="183"/>
      <c r="F32" s="183"/>
      <c r="G32" s="58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234"/>
      <c r="AN32" s="36" t="e">
        <f>VLOOKUP(I32,Sheet1!A:D,4,FALSE)</f>
        <v>#N/A</v>
      </c>
    </row>
    <row r="33" spans="1:40" s="36" customFormat="1" ht="14.25" x14ac:dyDescent="0.2">
      <c r="A33" s="57"/>
      <c r="D33" s="183"/>
      <c r="E33" s="183"/>
      <c r="F33" s="183"/>
      <c r="G33" s="58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234"/>
      <c r="AN33" s="36" t="e">
        <f>VLOOKUP(I33,Sheet1!A:D,4,FALSE)</f>
        <v>#N/A</v>
      </c>
    </row>
    <row r="34" spans="1:40" s="36" customFormat="1" ht="14.25" x14ac:dyDescent="0.2">
      <c r="A34" s="57"/>
      <c r="D34" s="183"/>
      <c r="E34" s="183"/>
      <c r="F34" s="183"/>
      <c r="G34" s="58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234"/>
      <c r="AN34" s="36" t="e">
        <f>VLOOKUP(I34,Sheet1!A:D,4,FALSE)</f>
        <v>#N/A</v>
      </c>
    </row>
    <row r="35" spans="1:40" s="36" customFormat="1" ht="14.25" x14ac:dyDescent="0.2">
      <c r="A35" s="57"/>
      <c r="D35" s="183"/>
      <c r="E35" s="183"/>
      <c r="F35" s="183"/>
      <c r="G35" s="58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234"/>
      <c r="AN35" s="36" t="e">
        <f>VLOOKUP(I35,Sheet1!A:D,4,FALSE)</f>
        <v>#N/A</v>
      </c>
    </row>
    <row r="36" spans="1:40" s="36" customFormat="1" ht="14.25" x14ac:dyDescent="0.2">
      <c r="A36" s="57"/>
      <c r="D36" s="183"/>
      <c r="E36" s="183"/>
      <c r="F36" s="183"/>
      <c r="G36" s="58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234"/>
      <c r="AN36" s="36" t="e">
        <f>VLOOKUP(I36,Sheet1!A:D,4,FALSE)</f>
        <v>#N/A</v>
      </c>
    </row>
    <row r="37" spans="1:40" s="36" customFormat="1" ht="14.25" x14ac:dyDescent="0.2">
      <c r="A37" s="57"/>
      <c r="D37" s="183"/>
      <c r="E37" s="183"/>
      <c r="F37" s="183"/>
      <c r="G37" s="58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234"/>
      <c r="AN37" s="36" t="e">
        <f>VLOOKUP(I37,Sheet1!A:D,4,FALSE)</f>
        <v>#N/A</v>
      </c>
    </row>
    <row r="38" spans="1:40" s="36" customFormat="1" ht="14.25" x14ac:dyDescent="0.2">
      <c r="A38" s="57"/>
      <c r="D38" s="183"/>
      <c r="E38" s="183"/>
      <c r="F38" s="183"/>
      <c r="G38" s="58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234"/>
      <c r="AN38" s="36" t="e">
        <f>VLOOKUP(I38,Sheet1!A:D,4,FALSE)</f>
        <v>#N/A</v>
      </c>
    </row>
    <row r="39" spans="1:40" s="36" customFormat="1" ht="14.25" x14ac:dyDescent="0.2">
      <c r="A39" s="57"/>
      <c r="D39" s="183"/>
      <c r="E39" s="183"/>
      <c r="F39" s="183"/>
      <c r="G39" s="58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234"/>
      <c r="AN39" s="36" t="e">
        <f>VLOOKUP(I39,Sheet1!A:D,4,FALSE)</f>
        <v>#N/A</v>
      </c>
    </row>
    <row r="40" spans="1:40" s="36" customFormat="1" ht="14.25" x14ac:dyDescent="0.2">
      <c r="A40" s="57"/>
      <c r="D40" s="183"/>
      <c r="E40" s="183"/>
      <c r="F40" s="183"/>
      <c r="G40" s="58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234"/>
      <c r="AN40" s="36" t="e">
        <f>VLOOKUP(I40,Sheet1!A:D,4,FALSE)</f>
        <v>#N/A</v>
      </c>
    </row>
    <row r="41" spans="1:40" s="36" customFormat="1" ht="14.25" x14ac:dyDescent="0.2">
      <c r="A41" s="57"/>
      <c r="D41" s="183"/>
      <c r="E41" s="183"/>
      <c r="F41" s="183"/>
      <c r="G41" s="58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234"/>
      <c r="AN41" s="36" t="e">
        <f>VLOOKUP(I41,Sheet1!A:D,4,FALSE)</f>
        <v>#N/A</v>
      </c>
    </row>
    <row r="42" spans="1:40" s="36" customFormat="1" ht="14.25" x14ac:dyDescent="0.2">
      <c r="A42" s="57"/>
      <c r="D42" s="183"/>
      <c r="E42" s="183"/>
      <c r="F42" s="183"/>
      <c r="G42" s="58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234"/>
      <c r="AN42" s="36" t="e">
        <f>VLOOKUP(I42,Sheet1!A:D,4,FALSE)</f>
        <v>#N/A</v>
      </c>
    </row>
    <row r="43" spans="1:40" s="36" customFormat="1" ht="14.25" x14ac:dyDescent="0.2">
      <c r="A43" s="57"/>
      <c r="D43" s="183"/>
      <c r="E43" s="183"/>
      <c r="F43" s="183"/>
      <c r="G43" s="58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234"/>
      <c r="AN43" s="36" t="e">
        <f>VLOOKUP(I43,Sheet1!A:D,4,FALSE)</f>
        <v>#N/A</v>
      </c>
    </row>
    <row r="44" spans="1:40" s="36" customFormat="1" ht="14.25" x14ac:dyDescent="0.2">
      <c r="A44" s="57"/>
      <c r="D44" s="183"/>
      <c r="E44" s="183"/>
      <c r="F44" s="183"/>
      <c r="G44" s="58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234"/>
      <c r="AN44" s="36" t="e">
        <f>VLOOKUP(I44,Sheet1!A:D,4,FALSE)</f>
        <v>#N/A</v>
      </c>
    </row>
    <row r="45" spans="1:40" s="36" customFormat="1" ht="14.25" x14ac:dyDescent="0.2">
      <c r="A45" s="57"/>
      <c r="D45" s="183"/>
      <c r="E45" s="183"/>
      <c r="F45" s="183"/>
      <c r="G45" s="58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234"/>
      <c r="AN45" s="36" t="e">
        <f>VLOOKUP(I45,Sheet1!A:D,4,FALSE)</f>
        <v>#N/A</v>
      </c>
    </row>
    <row r="46" spans="1:40" s="36" customFormat="1" ht="14.25" x14ac:dyDescent="0.2">
      <c r="A46" s="57"/>
      <c r="D46" s="183"/>
      <c r="E46" s="183"/>
      <c r="F46" s="183"/>
      <c r="G46" s="58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234"/>
      <c r="AN46" s="36" t="e">
        <f>VLOOKUP(I46,Sheet1!A:D,4,FALSE)</f>
        <v>#N/A</v>
      </c>
    </row>
    <row r="47" spans="1:40" s="36" customFormat="1" ht="14.25" x14ac:dyDescent="0.2">
      <c r="A47" s="57"/>
      <c r="D47" s="183"/>
      <c r="E47" s="183"/>
      <c r="F47" s="183"/>
      <c r="G47" s="58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234"/>
      <c r="AN47" s="36" t="e">
        <f>VLOOKUP(I47,Sheet1!A:D,4,FALSE)</f>
        <v>#N/A</v>
      </c>
    </row>
    <row r="48" spans="1:40" s="36" customFormat="1" ht="14.25" x14ac:dyDescent="0.2">
      <c r="A48" s="57"/>
      <c r="D48" s="183"/>
      <c r="E48" s="183"/>
      <c r="F48" s="183"/>
      <c r="G48" s="58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234"/>
      <c r="AN48" s="36" t="e">
        <f>VLOOKUP(I48,Sheet1!A:D,4,FALSE)</f>
        <v>#N/A</v>
      </c>
    </row>
    <row r="49" spans="1:40" s="36" customFormat="1" ht="14.25" x14ac:dyDescent="0.2">
      <c r="A49" s="57"/>
      <c r="D49" s="183"/>
      <c r="E49" s="183"/>
      <c r="F49" s="183"/>
      <c r="G49" s="58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234"/>
      <c r="AN49" s="36" t="e">
        <f>VLOOKUP(I49,Sheet1!A:D,4,FALSE)</f>
        <v>#N/A</v>
      </c>
    </row>
    <row r="50" spans="1:40" s="36" customFormat="1" ht="14.25" x14ac:dyDescent="0.2">
      <c r="A50" s="57"/>
      <c r="D50" s="183"/>
      <c r="E50" s="183"/>
      <c r="F50" s="183"/>
      <c r="G50" s="58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234"/>
      <c r="AN50" s="36" t="e">
        <f>VLOOKUP(I50,Sheet1!A:D,4,FALSE)</f>
        <v>#N/A</v>
      </c>
    </row>
    <row r="51" spans="1:40" s="36" customFormat="1" ht="14.25" x14ac:dyDescent="0.2">
      <c r="A51" s="57"/>
      <c r="D51" s="183"/>
      <c r="E51" s="183"/>
      <c r="F51" s="183"/>
      <c r="G51" s="58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234"/>
      <c r="AN51" s="36" t="e">
        <f>VLOOKUP(I51,Sheet1!A:D,4,FALSE)</f>
        <v>#N/A</v>
      </c>
    </row>
    <row r="52" spans="1:40" s="36" customFormat="1" ht="14.25" x14ac:dyDescent="0.2">
      <c r="A52" s="57"/>
      <c r="D52" s="183"/>
      <c r="E52" s="183"/>
      <c r="F52" s="183"/>
      <c r="G52" s="58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234"/>
      <c r="AN52" s="36" t="e">
        <f>VLOOKUP(I52,Sheet1!A:D,4,FALSE)</f>
        <v>#N/A</v>
      </c>
    </row>
    <row r="53" spans="1:40" s="36" customFormat="1" ht="14.25" x14ac:dyDescent="0.2">
      <c r="A53" s="57"/>
      <c r="D53" s="183"/>
      <c r="E53" s="183"/>
      <c r="F53" s="183"/>
      <c r="G53" s="58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234"/>
      <c r="AN53" s="36" t="e">
        <f>VLOOKUP(I53,Sheet1!A:D,4,FALSE)</f>
        <v>#N/A</v>
      </c>
    </row>
    <row r="54" spans="1:40" s="36" customFormat="1" ht="14.25" x14ac:dyDescent="0.2">
      <c r="A54" s="57"/>
      <c r="D54" s="183"/>
      <c r="E54" s="183"/>
      <c r="F54" s="183"/>
      <c r="G54" s="58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234"/>
      <c r="AN54" s="36" t="e">
        <f>VLOOKUP(I54,Sheet1!A:D,4,FALSE)</f>
        <v>#N/A</v>
      </c>
    </row>
    <row r="55" spans="1:40" s="36" customFormat="1" ht="14.25" x14ac:dyDescent="0.2">
      <c r="A55" s="57"/>
      <c r="D55" s="183"/>
      <c r="E55" s="183"/>
      <c r="F55" s="183"/>
      <c r="G55" s="58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234"/>
      <c r="AN55" s="36" t="e">
        <f>VLOOKUP(I55,Sheet1!A:D,4,FALSE)</f>
        <v>#N/A</v>
      </c>
    </row>
    <row r="56" spans="1:40" s="36" customFormat="1" ht="14.25" x14ac:dyDescent="0.2">
      <c r="A56" s="57"/>
      <c r="D56" s="183"/>
      <c r="E56" s="183"/>
      <c r="F56" s="183"/>
      <c r="G56" s="58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234"/>
      <c r="AN56" s="36" t="e">
        <f>VLOOKUP(I56,Sheet1!A:D,4,FALSE)</f>
        <v>#N/A</v>
      </c>
    </row>
    <row r="57" spans="1:40" s="36" customFormat="1" ht="14.25" x14ac:dyDescent="0.2">
      <c r="A57" s="57"/>
      <c r="D57" s="183"/>
      <c r="E57" s="183"/>
      <c r="F57" s="183"/>
      <c r="G57" s="58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234"/>
      <c r="AN57" s="36" t="e">
        <f>VLOOKUP(I57,Sheet1!A:D,4,FALSE)</f>
        <v>#N/A</v>
      </c>
    </row>
    <row r="58" spans="1:40" s="36" customFormat="1" ht="14.25" x14ac:dyDescent="0.2">
      <c r="A58" s="57"/>
      <c r="D58" s="183"/>
      <c r="E58" s="183"/>
      <c r="F58" s="183"/>
      <c r="G58" s="58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234"/>
      <c r="AN58" s="36" t="e">
        <f>VLOOKUP(I58,Sheet1!A:D,4,FALSE)</f>
        <v>#N/A</v>
      </c>
    </row>
    <row r="59" spans="1:40" s="36" customFormat="1" ht="14.25" x14ac:dyDescent="0.2">
      <c r="A59" s="57"/>
      <c r="D59" s="183"/>
      <c r="E59" s="183"/>
      <c r="F59" s="183"/>
      <c r="G59" s="58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234"/>
      <c r="AN59" s="36" t="e">
        <f>VLOOKUP(I59,Sheet1!A:D,4,FALSE)</f>
        <v>#N/A</v>
      </c>
    </row>
    <row r="60" spans="1:40" s="36" customFormat="1" ht="14.25" x14ac:dyDescent="0.2">
      <c r="A60" s="57"/>
      <c r="D60" s="183"/>
      <c r="E60" s="183"/>
      <c r="F60" s="183"/>
      <c r="G60" s="58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234"/>
      <c r="AN60" s="36" t="e">
        <f>VLOOKUP(I60,Sheet1!A:D,4,FALSE)</f>
        <v>#N/A</v>
      </c>
    </row>
    <row r="61" spans="1:40" s="36" customFormat="1" ht="14.25" x14ac:dyDescent="0.2">
      <c r="A61" s="57"/>
      <c r="D61" s="183"/>
      <c r="E61" s="183"/>
      <c r="F61" s="183"/>
      <c r="G61" s="58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234"/>
      <c r="AN61" s="36" t="e">
        <f>VLOOKUP(I61,Sheet1!A:D,4,FALSE)</f>
        <v>#N/A</v>
      </c>
    </row>
    <row r="62" spans="1:40" s="36" customFormat="1" ht="14.25" x14ac:dyDescent="0.2">
      <c r="A62" s="57"/>
      <c r="D62" s="183"/>
      <c r="E62" s="183"/>
      <c r="F62" s="183"/>
      <c r="G62" s="58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234"/>
      <c r="AN62" s="36" t="e">
        <f>VLOOKUP(I62,Sheet1!A:D,4,FALSE)</f>
        <v>#N/A</v>
      </c>
    </row>
    <row r="63" spans="1:40" s="36" customFormat="1" ht="14.25" x14ac:dyDescent="0.2">
      <c r="A63" s="57"/>
      <c r="D63" s="183"/>
      <c r="E63" s="183"/>
      <c r="F63" s="183"/>
      <c r="G63" s="58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234"/>
      <c r="AN63" s="36" t="e">
        <f>VLOOKUP(I63,Sheet1!A:D,4,FALSE)</f>
        <v>#N/A</v>
      </c>
    </row>
    <row r="64" spans="1:40" s="36" customFormat="1" ht="14.25" x14ac:dyDescent="0.2">
      <c r="A64" s="57"/>
      <c r="D64" s="183"/>
      <c r="E64" s="183"/>
      <c r="F64" s="183"/>
      <c r="G64" s="58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234"/>
      <c r="AN64" s="36" t="e">
        <f>VLOOKUP(I64,Sheet1!A:D,4,FALSE)</f>
        <v>#N/A</v>
      </c>
    </row>
    <row r="65" spans="1:40" s="36" customFormat="1" ht="14.25" x14ac:dyDescent="0.2">
      <c r="A65" s="57"/>
      <c r="D65" s="183"/>
      <c r="E65" s="183"/>
      <c r="F65" s="183"/>
      <c r="G65" s="58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234"/>
      <c r="AN65" s="36" t="e">
        <f>VLOOKUP(I65,Sheet1!A:D,4,FALSE)</f>
        <v>#N/A</v>
      </c>
    </row>
    <row r="66" spans="1:40" s="36" customFormat="1" ht="14.25" x14ac:dyDescent="0.2">
      <c r="A66" s="57"/>
      <c r="D66" s="183"/>
      <c r="E66" s="183"/>
      <c r="F66" s="183"/>
      <c r="G66" s="58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234"/>
      <c r="AN66" s="36" t="e">
        <f>VLOOKUP(I66,Sheet1!A:D,4,FALSE)</f>
        <v>#N/A</v>
      </c>
    </row>
    <row r="67" spans="1:40" s="36" customFormat="1" ht="14.25" x14ac:dyDescent="0.2">
      <c r="A67" s="57"/>
      <c r="D67" s="183"/>
      <c r="E67" s="183"/>
      <c r="F67" s="183"/>
      <c r="G67" s="58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234"/>
      <c r="AN67" s="36" t="e">
        <f>VLOOKUP(I67,Sheet1!A:D,4,FALSE)</f>
        <v>#N/A</v>
      </c>
    </row>
    <row r="68" spans="1:40" s="36" customFormat="1" ht="14.25" x14ac:dyDescent="0.2">
      <c r="A68" s="57"/>
      <c r="D68" s="183"/>
      <c r="E68" s="183"/>
      <c r="F68" s="183"/>
      <c r="G68" s="58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234"/>
      <c r="AN68" s="36" t="e">
        <f>VLOOKUP(I68,Sheet1!A:D,4,FALSE)</f>
        <v>#N/A</v>
      </c>
    </row>
    <row r="69" spans="1:40" s="36" customFormat="1" ht="14.25" x14ac:dyDescent="0.2">
      <c r="A69" s="57"/>
      <c r="D69" s="183"/>
      <c r="E69" s="183"/>
      <c r="F69" s="183"/>
      <c r="G69" s="58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234"/>
      <c r="AN69" s="36" t="e">
        <f>VLOOKUP(I69,Sheet1!A:D,4,FALSE)</f>
        <v>#N/A</v>
      </c>
    </row>
    <row r="70" spans="1:40" s="36" customFormat="1" ht="14.25" x14ac:dyDescent="0.2">
      <c r="A70" s="57"/>
      <c r="D70" s="183"/>
      <c r="E70" s="183"/>
      <c r="F70" s="183"/>
      <c r="G70" s="58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234"/>
      <c r="AN70" s="36" t="e">
        <f>VLOOKUP(I70,Sheet1!A:D,4,FALSE)</f>
        <v>#N/A</v>
      </c>
    </row>
    <row r="71" spans="1:40" s="36" customFormat="1" ht="14.25" x14ac:dyDescent="0.2">
      <c r="A71" s="57"/>
      <c r="D71" s="183"/>
      <c r="E71" s="183"/>
      <c r="F71" s="183"/>
      <c r="G71" s="58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234"/>
      <c r="AN71" s="36" t="e">
        <f>VLOOKUP(I71,Sheet1!A:D,4,FALSE)</f>
        <v>#N/A</v>
      </c>
    </row>
    <row r="72" spans="1:40" s="36" customFormat="1" ht="14.25" x14ac:dyDescent="0.2">
      <c r="A72" s="57"/>
      <c r="D72" s="183"/>
      <c r="E72" s="183"/>
      <c r="F72" s="183"/>
      <c r="G72" s="58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234"/>
      <c r="AN72" s="36" t="e">
        <f>VLOOKUP(I72,Sheet1!A:D,4,FALSE)</f>
        <v>#N/A</v>
      </c>
    </row>
    <row r="73" spans="1:40" s="36" customFormat="1" ht="14.25" x14ac:dyDescent="0.2">
      <c r="A73" s="57"/>
      <c r="D73" s="183"/>
      <c r="E73" s="183"/>
      <c r="F73" s="183"/>
      <c r="G73" s="58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234"/>
      <c r="AN73" s="36" t="e">
        <f>VLOOKUP(I73,Sheet1!A:D,4,FALSE)</f>
        <v>#N/A</v>
      </c>
    </row>
    <row r="74" spans="1:40" s="36" customFormat="1" ht="14.25" x14ac:dyDescent="0.2">
      <c r="A74" s="57"/>
      <c r="D74" s="183"/>
      <c r="E74" s="183"/>
      <c r="F74" s="183"/>
      <c r="G74" s="58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234"/>
      <c r="AN74" s="36" t="e">
        <f>VLOOKUP(I74,Sheet1!A:D,4,FALSE)</f>
        <v>#N/A</v>
      </c>
    </row>
    <row r="75" spans="1:40" s="36" customFormat="1" ht="14.25" x14ac:dyDescent="0.2">
      <c r="A75" s="57"/>
      <c r="D75" s="183"/>
      <c r="E75" s="183"/>
      <c r="F75" s="183"/>
      <c r="G75" s="58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234"/>
      <c r="AN75" s="36" t="e">
        <f>VLOOKUP(I75,Sheet1!A:D,4,FALSE)</f>
        <v>#N/A</v>
      </c>
    </row>
    <row r="76" spans="1:40" s="36" customFormat="1" ht="14.25" x14ac:dyDescent="0.2">
      <c r="A76" s="57"/>
      <c r="D76" s="183"/>
      <c r="E76" s="183"/>
      <c r="F76" s="183"/>
      <c r="G76" s="58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234"/>
      <c r="AN76" s="36" t="e">
        <f>VLOOKUP(I76,Sheet1!A:D,4,FALSE)</f>
        <v>#N/A</v>
      </c>
    </row>
    <row r="77" spans="1:40" s="36" customFormat="1" ht="14.25" x14ac:dyDescent="0.2">
      <c r="A77" s="57"/>
      <c r="D77" s="183"/>
      <c r="E77" s="183"/>
      <c r="F77" s="183"/>
      <c r="G77" s="58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234"/>
      <c r="AN77" s="36" t="e">
        <f>VLOOKUP(I77,Sheet1!A:D,4,FALSE)</f>
        <v>#N/A</v>
      </c>
    </row>
    <row r="78" spans="1:40" s="36" customFormat="1" ht="14.25" x14ac:dyDescent="0.2">
      <c r="A78" s="57"/>
      <c r="D78" s="183"/>
      <c r="E78" s="183"/>
      <c r="F78" s="183"/>
      <c r="G78" s="58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234"/>
      <c r="AN78" s="36" t="e">
        <f>VLOOKUP(I78,Sheet1!A:D,4,FALSE)</f>
        <v>#N/A</v>
      </c>
    </row>
    <row r="79" spans="1:40" s="36" customFormat="1" ht="14.25" x14ac:dyDescent="0.2">
      <c r="A79" s="57"/>
      <c r="D79" s="183"/>
      <c r="E79" s="183"/>
      <c r="F79" s="183"/>
      <c r="G79" s="58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234"/>
      <c r="AN79" s="36" t="e">
        <f>VLOOKUP(I79,Sheet1!A:D,4,FALSE)</f>
        <v>#N/A</v>
      </c>
    </row>
    <row r="80" spans="1:40" s="36" customFormat="1" ht="14.25" x14ac:dyDescent="0.2">
      <c r="A80" s="57"/>
      <c r="D80" s="183"/>
      <c r="E80" s="183"/>
      <c r="F80" s="183"/>
      <c r="G80" s="58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234"/>
      <c r="AN80" s="36" t="e">
        <f>VLOOKUP(I80,Sheet1!A:D,4,FALSE)</f>
        <v>#N/A</v>
      </c>
    </row>
    <row r="81" spans="1:40" s="36" customFormat="1" ht="14.25" x14ac:dyDescent="0.2">
      <c r="A81" s="57"/>
      <c r="D81" s="183"/>
      <c r="E81" s="183"/>
      <c r="F81" s="183"/>
      <c r="G81" s="58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234"/>
      <c r="AN81" s="36" t="e">
        <f>VLOOKUP(I81,Sheet1!A:D,4,FALSE)</f>
        <v>#N/A</v>
      </c>
    </row>
    <row r="82" spans="1:40" s="36" customFormat="1" ht="14.25" x14ac:dyDescent="0.2">
      <c r="A82" s="57"/>
      <c r="D82" s="183"/>
      <c r="E82" s="183"/>
      <c r="F82" s="183"/>
      <c r="G82" s="58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234"/>
      <c r="AN82" s="36" t="e">
        <f>VLOOKUP(I82,Sheet1!A:D,4,FALSE)</f>
        <v>#N/A</v>
      </c>
    </row>
    <row r="83" spans="1:40" s="36" customFormat="1" ht="14.25" x14ac:dyDescent="0.2">
      <c r="A83" s="57"/>
      <c r="D83" s="183"/>
      <c r="E83" s="183"/>
      <c r="F83" s="183"/>
      <c r="G83" s="58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234"/>
      <c r="AN83" s="36" t="e">
        <f>VLOOKUP(I83,Sheet1!A:D,4,FALSE)</f>
        <v>#N/A</v>
      </c>
    </row>
    <row r="84" spans="1:40" s="36" customFormat="1" ht="14.25" x14ac:dyDescent="0.2">
      <c r="A84" s="57"/>
      <c r="D84" s="183"/>
      <c r="E84" s="183"/>
      <c r="F84" s="183"/>
      <c r="G84" s="58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234"/>
      <c r="AN84" s="36" t="e">
        <f>VLOOKUP(I84,Sheet1!A:D,4,FALSE)</f>
        <v>#N/A</v>
      </c>
    </row>
    <row r="85" spans="1:40" s="36" customFormat="1" ht="14.25" x14ac:dyDescent="0.2">
      <c r="A85" s="57"/>
      <c r="D85" s="183"/>
      <c r="E85" s="183"/>
      <c r="F85" s="183"/>
      <c r="G85" s="58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234"/>
      <c r="AN85" s="36" t="e">
        <f>VLOOKUP(I85,Sheet1!A:D,4,FALSE)</f>
        <v>#N/A</v>
      </c>
    </row>
    <row r="86" spans="1:40" s="36" customFormat="1" ht="14.25" x14ac:dyDescent="0.2">
      <c r="A86" s="57"/>
      <c r="D86" s="183"/>
      <c r="E86" s="183"/>
      <c r="F86" s="183"/>
      <c r="G86" s="58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234"/>
      <c r="AN86" s="36" t="e">
        <f>VLOOKUP(I86,Sheet1!A:D,4,FALSE)</f>
        <v>#N/A</v>
      </c>
    </row>
    <row r="87" spans="1:40" s="36" customFormat="1" ht="14.25" x14ac:dyDescent="0.2">
      <c r="A87" s="57"/>
      <c r="D87" s="183"/>
      <c r="E87" s="183"/>
      <c r="F87" s="183"/>
      <c r="G87" s="58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234"/>
      <c r="AN87" s="36" t="e">
        <f>VLOOKUP(I87,Sheet1!A:D,4,FALSE)</f>
        <v>#N/A</v>
      </c>
    </row>
    <row r="88" spans="1:40" s="36" customFormat="1" ht="14.25" x14ac:dyDescent="0.2">
      <c r="A88" s="57"/>
      <c r="D88" s="183"/>
      <c r="E88" s="183"/>
      <c r="F88" s="183"/>
      <c r="G88" s="58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234"/>
      <c r="AN88" s="36" t="e">
        <f>VLOOKUP(I88,Sheet1!A:D,4,FALSE)</f>
        <v>#N/A</v>
      </c>
    </row>
    <row r="89" spans="1:40" s="36" customFormat="1" ht="14.25" x14ac:dyDescent="0.2">
      <c r="A89" s="57"/>
      <c r="D89" s="183"/>
      <c r="E89" s="183"/>
      <c r="F89" s="183"/>
      <c r="G89" s="58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234"/>
      <c r="AN89" s="36" t="e">
        <f>VLOOKUP(I89,Sheet1!A:D,4,FALSE)</f>
        <v>#N/A</v>
      </c>
    </row>
    <row r="90" spans="1:40" s="36" customFormat="1" ht="14.25" x14ac:dyDescent="0.2">
      <c r="A90" s="57"/>
      <c r="D90" s="183"/>
      <c r="E90" s="183"/>
      <c r="F90" s="183"/>
      <c r="G90" s="58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234"/>
      <c r="AN90" s="36" t="e">
        <f>VLOOKUP(I90,Sheet1!A:D,4,FALSE)</f>
        <v>#N/A</v>
      </c>
    </row>
    <row r="91" spans="1:40" s="36" customFormat="1" ht="14.25" x14ac:dyDescent="0.2">
      <c r="A91" s="57"/>
      <c r="D91" s="183"/>
      <c r="E91" s="183"/>
      <c r="F91" s="183"/>
      <c r="G91" s="58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234"/>
      <c r="AN91" s="36" t="e">
        <f>VLOOKUP(I91,Sheet1!A:D,4,FALSE)</f>
        <v>#N/A</v>
      </c>
    </row>
    <row r="92" spans="1:40" s="36" customFormat="1" ht="14.25" x14ac:dyDescent="0.2">
      <c r="A92" s="57"/>
      <c r="D92" s="183"/>
      <c r="E92" s="183"/>
      <c r="F92" s="183"/>
      <c r="G92" s="58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234"/>
      <c r="AN92" s="36" t="e">
        <f>VLOOKUP(I92,Sheet1!A:D,4,FALSE)</f>
        <v>#N/A</v>
      </c>
    </row>
    <row r="93" spans="1:40" s="36" customFormat="1" ht="14.25" x14ac:dyDescent="0.2">
      <c r="A93" s="57"/>
      <c r="D93" s="183"/>
      <c r="E93" s="183"/>
      <c r="F93" s="183"/>
      <c r="G93" s="58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234"/>
      <c r="AN93" s="36" t="e">
        <f>VLOOKUP(I93,Sheet1!A:D,4,FALSE)</f>
        <v>#N/A</v>
      </c>
    </row>
    <row r="94" spans="1:40" s="36" customFormat="1" ht="14.25" x14ac:dyDescent="0.2">
      <c r="A94" s="57"/>
      <c r="D94" s="183"/>
      <c r="E94" s="183"/>
      <c r="F94" s="183"/>
      <c r="G94" s="58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234"/>
      <c r="AN94" s="36" t="e">
        <f>VLOOKUP(I94,Sheet1!A:D,4,FALSE)</f>
        <v>#N/A</v>
      </c>
    </row>
    <row r="95" spans="1:40" s="36" customFormat="1" ht="14.25" x14ac:dyDescent="0.2">
      <c r="A95" s="57"/>
      <c r="D95" s="183"/>
      <c r="E95" s="183"/>
      <c r="F95" s="183"/>
      <c r="G95" s="58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234"/>
      <c r="AN95" s="36" t="e">
        <f>VLOOKUP(I95,Sheet1!A:D,4,FALSE)</f>
        <v>#N/A</v>
      </c>
    </row>
    <row r="96" spans="1:40" s="36" customFormat="1" ht="14.25" x14ac:dyDescent="0.2">
      <c r="A96" s="57"/>
      <c r="D96" s="183"/>
      <c r="E96" s="183"/>
      <c r="F96" s="183"/>
      <c r="G96" s="58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234"/>
      <c r="AN96" s="36" t="e">
        <f>VLOOKUP(I96,Sheet1!A:D,4,FALSE)</f>
        <v>#N/A</v>
      </c>
    </row>
    <row r="97" spans="1:40" s="36" customFormat="1" ht="14.25" x14ac:dyDescent="0.2">
      <c r="A97" s="57"/>
      <c r="D97" s="183"/>
      <c r="E97" s="183"/>
      <c r="F97" s="183"/>
      <c r="G97" s="58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234"/>
      <c r="AN97" s="36" t="e">
        <f>VLOOKUP(I97,Sheet1!A:D,4,FALSE)</f>
        <v>#N/A</v>
      </c>
    </row>
    <row r="98" spans="1:40" s="36" customFormat="1" ht="14.25" x14ac:dyDescent="0.2">
      <c r="A98" s="57"/>
      <c r="D98" s="183"/>
      <c r="E98" s="183"/>
      <c r="F98" s="183"/>
      <c r="G98" s="58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234"/>
      <c r="AN98" s="36" t="e">
        <f>VLOOKUP(I98,Sheet1!A:D,4,FALSE)</f>
        <v>#N/A</v>
      </c>
    </row>
    <row r="99" spans="1:40" s="36" customFormat="1" ht="14.25" x14ac:dyDescent="0.2">
      <c r="A99" s="57"/>
      <c r="D99" s="183"/>
      <c r="E99" s="183"/>
      <c r="F99" s="183"/>
      <c r="G99" s="58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234"/>
      <c r="AN99" s="36" t="e">
        <f>VLOOKUP(I99,Sheet1!A:D,4,FALSE)</f>
        <v>#N/A</v>
      </c>
    </row>
    <row r="100" spans="1:40" s="36" customFormat="1" ht="14.25" x14ac:dyDescent="0.2">
      <c r="A100" s="57"/>
      <c r="D100" s="183"/>
      <c r="E100" s="183"/>
      <c r="F100" s="183"/>
      <c r="G100" s="58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234"/>
      <c r="AN100" s="36" t="e">
        <f>VLOOKUP(I100,Sheet1!A:D,4,FALSE)</f>
        <v>#N/A</v>
      </c>
    </row>
    <row r="101" spans="1:40" s="36" customFormat="1" ht="14.25" x14ac:dyDescent="0.2">
      <c r="A101" s="57"/>
      <c r="D101" s="183"/>
      <c r="E101" s="183"/>
      <c r="F101" s="183"/>
      <c r="G101" s="58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234"/>
      <c r="AN101" s="36" t="e">
        <f>VLOOKUP(I101,Sheet1!A:D,4,FALSE)</f>
        <v>#N/A</v>
      </c>
    </row>
    <row r="102" spans="1:40" s="36" customFormat="1" ht="14.25" x14ac:dyDescent="0.2">
      <c r="A102" s="57"/>
      <c r="D102" s="183"/>
      <c r="E102" s="183"/>
      <c r="F102" s="183"/>
      <c r="G102" s="58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234"/>
      <c r="AN102" s="36" t="e">
        <f>VLOOKUP(I102,Sheet1!A:D,4,FALSE)</f>
        <v>#N/A</v>
      </c>
    </row>
    <row r="103" spans="1:40" s="36" customFormat="1" ht="14.25" x14ac:dyDescent="0.2">
      <c r="A103" s="57"/>
      <c r="D103" s="183"/>
      <c r="E103" s="183"/>
      <c r="F103" s="183"/>
      <c r="G103" s="58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234"/>
      <c r="AN103" s="36" t="e">
        <f>VLOOKUP(I103,Sheet1!A:D,4,FALSE)</f>
        <v>#N/A</v>
      </c>
    </row>
    <row r="104" spans="1:40" s="36" customFormat="1" ht="14.25" x14ac:dyDescent="0.2">
      <c r="A104" s="57"/>
      <c r="D104" s="183"/>
      <c r="E104" s="183"/>
      <c r="F104" s="183"/>
      <c r="G104" s="58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234"/>
      <c r="AN104" s="36" t="e">
        <f>VLOOKUP(I104,Sheet1!A:D,4,FALSE)</f>
        <v>#N/A</v>
      </c>
    </row>
    <row r="105" spans="1:40" s="36" customFormat="1" ht="14.25" x14ac:dyDescent="0.2">
      <c r="A105" s="57"/>
      <c r="D105" s="183"/>
      <c r="E105" s="183"/>
      <c r="F105" s="183"/>
      <c r="G105" s="58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234"/>
      <c r="AN105" s="36" t="e">
        <f>VLOOKUP(I105,Sheet1!A:D,4,FALSE)</f>
        <v>#N/A</v>
      </c>
    </row>
    <row r="106" spans="1:40" s="36" customFormat="1" ht="14.25" x14ac:dyDescent="0.2">
      <c r="A106" s="57"/>
      <c r="D106" s="183"/>
      <c r="E106" s="183"/>
      <c r="F106" s="183"/>
      <c r="G106" s="58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234"/>
      <c r="AN106" s="36" t="e">
        <f>VLOOKUP(I106,Sheet1!A:D,4,FALSE)</f>
        <v>#N/A</v>
      </c>
    </row>
    <row r="107" spans="1:40" s="36" customFormat="1" ht="14.25" x14ac:dyDescent="0.2">
      <c r="A107" s="57"/>
      <c r="D107" s="183"/>
      <c r="E107" s="183"/>
      <c r="F107" s="183"/>
      <c r="G107" s="58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234"/>
      <c r="AN107" s="36" t="e">
        <f>VLOOKUP(I107,Sheet1!A:D,4,FALSE)</f>
        <v>#N/A</v>
      </c>
    </row>
    <row r="108" spans="1:40" s="36" customFormat="1" ht="14.25" x14ac:dyDescent="0.2">
      <c r="A108" s="57"/>
      <c r="D108" s="183"/>
      <c r="E108" s="183"/>
      <c r="F108" s="183"/>
      <c r="G108" s="58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234"/>
      <c r="AN108" s="36" t="e">
        <f>VLOOKUP(I108,Sheet1!A:D,4,FALSE)</f>
        <v>#N/A</v>
      </c>
    </row>
    <row r="109" spans="1:40" s="36" customFormat="1" ht="14.25" x14ac:dyDescent="0.2">
      <c r="A109" s="57"/>
      <c r="D109" s="183"/>
      <c r="E109" s="183"/>
      <c r="F109" s="183"/>
      <c r="G109" s="58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234"/>
      <c r="AN109" s="36" t="e">
        <f>VLOOKUP(I109,Sheet1!A:D,4,FALSE)</f>
        <v>#N/A</v>
      </c>
    </row>
    <row r="110" spans="1:40" s="36" customFormat="1" ht="14.25" x14ac:dyDescent="0.2">
      <c r="A110" s="57"/>
      <c r="D110" s="183"/>
      <c r="E110" s="183"/>
      <c r="F110" s="183"/>
      <c r="G110" s="58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234"/>
      <c r="AN110" s="36" t="e">
        <f>VLOOKUP(I110,Sheet1!A:D,4,FALSE)</f>
        <v>#N/A</v>
      </c>
    </row>
    <row r="111" spans="1:40" s="36" customFormat="1" ht="14.25" x14ac:dyDescent="0.2">
      <c r="A111" s="57"/>
      <c r="D111" s="183"/>
      <c r="E111" s="183"/>
      <c r="F111" s="183"/>
      <c r="G111" s="58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234"/>
      <c r="AN111" s="36" t="e">
        <f>VLOOKUP(I111,Sheet1!A:D,4,FALSE)</f>
        <v>#N/A</v>
      </c>
    </row>
    <row r="112" spans="1:40" s="36" customFormat="1" ht="14.25" x14ac:dyDescent="0.2">
      <c r="A112" s="57"/>
      <c r="D112" s="183"/>
      <c r="E112" s="183"/>
      <c r="F112" s="183"/>
      <c r="G112" s="58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234"/>
      <c r="AN112" s="36" t="e">
        <f>VLOOKUP(I112,Sheet1!A:D,4,FALSE)</f>
        <v>#N/A</v>
      </c>
    </row>
    <row r="113" spans="1:40" s="36" customFormat="1" ht="14.25" x14ac:dyDescent="0.2">
      <c r="A113" s="57"/>
      <c r="D113" s="183"/>
      <c r="E113" s="183"/>
      <c r="F113" s="183"/>
      <c r="G113" s="58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234"/>
      <c r="AN113" s="36" t="e">
        <f>VLOOKUP(I113,Sheet1!A:D,4,FALSE)</f>
        <v>#N/A</v>
      </c>
    </row>
    <row r="114" spans="1:40" s="36" customFormat="1" ht="14.25" x14ac:dyDescent="0.2">
      <c r="A114" s="57"/>
      <c r="D114" s="183"/>
      <c r="E114" s="183"/>
      <c r="F114" s="183"/>
      <c r="G114" s="58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234"/>
      <c r="AN114" s="36" t="e">
        <f>VLOOKUP(I114,Sheet1!A:D,4,FALSE)</f>
        <v>#N/A</v>
      </c>
    </row>
    <row r="115" spans="1:40" s="36" customFormat="1" ht="14.25" x14ac:dyDescent="0.2">
      <c r="A115" s="57"/>
      <c r="D115" s="183"/>
      <c r="E115" s="183"/>
      <c r="F115" s="183"/>
      <c r="G115" s="58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234"/>
      <c r="AN115" s="36" t="e">
        <f>VLOOKUP(I115,Sheet1!A:D,4,FALSE)</f>
        <v>#N/A</v>
      </c>
    </row>
    <row r="116" spans="1:40" s="36" customFormat="1" ht="14.25" x14ac:dyDescent="0.2">
      <c r="A116" s="57"/>
      <c r="D116" s="183"/>
      <c r="E116" s="183"/>
      <c r="F116" s="183"/>
      <c r="G116" s="58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234"/>
      <c r="AN116" s="36" t="e">
        <f>VLOOKUP(I116,Sheet1!A:D,4,FALSE)</f>
        <v>#N/A</v>
      </c>
    </row>
    <row r="117" spans="1:40" s="36" customFormat="1" ht="14.25" x14ac:dyDescent="0.2">
      <c r="A117" s="57"/>
      <c r="D117" s="183"/>
      <c r="E117" s="183"/>
      <c r="F117" s="183"/>
      <c r="G117" s="58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234"/>
      <c r="AN117" s="36" t="e">
        <f>VLOOKUP(I117,Sheet1!A:D,4,FALSE)</f>
        <v>#N/A</v>
      </c>
    </row>
    <row r="118" spans="1:40" s="36" customFormat="1" ht="14.25" x14ac:dyDescent="0.2">
      <c r="A118" s="57"/>
      <c r="D118" s="183"/>
      <c r="E118" s="183"/>
      <c r="F118" s="183"/>
      <c r="G118" s="58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234"/>
      <c r="AN118" s="36" t="e">
        <f>VLOOKUP(I118,Sheet1!A:D,4,FALSE)</f>
        <v>#N/A</v>
      </c>
    </row>
    <row r="119" spans="1:40" s="36" customFormat="1" ht="14.25" x14ac:dyDescent="0.2">
      <c r="A119" s="57"/>
      <c r="D119" s="183"/>
      <c r="E119" s="183"/>
      <c r="F119" s="183"/>
      <c r="G119" s="58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234"/>
      <c r="AN119" s="36" t="e">
        <f>VLOOKUP(I119,Sheet1!A:D,4,FALSE)</f>
        <v>#N/A</v>
      </c>
    </row>
    <row r="120" spans="1:40" s="36" customFormat="1" ht="14.25" x14ac:dyDescent="0.2">
      <c r="A120" s="57"/>
      <c r="D120" s="183"/>
      <c r="E120" s="183"/>
      <c r="F120" s="183"/>
      <c r="G120" s="58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234"/>
      <c r="AN120" s="36" t="e">
        <f>VLOOKUP(I120,Sheet1!A:D,4,FALSE)</f>
        <v>#N/A</v>
      </c>
    </row>
    <row r="121" spans="1:40" s="36" customFormat="1" ht="14.25" x14ac:dyDescent="0.2">
      <c r="A121" s="57"/>
      <c r="D121" s="183"/>
      <c r="E121" s="183"/>
      <c r="F121" s="183"/>
      <c r="G121" s="58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234"/>
      <c r="AN121" s="36" t="e">
        <f>VLOOKUP(I121,Sheet1!A:D,4,FALSE)</f>
        <v>#N/A</v>
      </c>
    </row>
    <row r="122" spans="1:40" s="36" customFormat="1" ht="14.25" x14ac:dyDescent="0.2">
      <c r="A122" s="57"/>
      <c r="D122" s="183"/>
      <c r="E122" s="183"/>
      <c r="F122" s="183"/>
      <c r="G122" s="58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234"/>
      <c r="AN122" s="36" t="e">
        <f>VLOOKUP(I122,Sheet1!A:D,4,FALSE)</f>
        <v>#N/A</v>
      </c>
    </row>
    <row r="123" spans="1:40" s="36" customFormat="1" ht="14.25" x14ac:dyDescent="0.2">
      <c r="A123" s="57"/>
      <c r="D123" s="183"/>
      <c r="E123" s="183"/>
      <c r="F123" s="183"/>
      <c r="G123" s="58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234"/>
      <c r="AN123" s="36" t="e">
        <f>VLOOKUP(I123,Sheet1!A:D,4,FALSE)</f>
        <v>#N/A</v>
      </c>
    </row>
    <row r="124" spans="1:40" s="36" customFormat="1" ht="14.25" x14ac:dyDescent="0.2">
      <c r="A124" s="57"/>
      <c r="D124" s="183"/>
      <c r="E124" s="183"/>
      <c r="F124" s="183"/>
      <c r="G124" s="58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234"/>
      <c r="AN124" s="36" t="e">
        <f>VLOOKUP(I124,Sheet1!A:D,4,FALSE)</f>
        <v>#N/A</v>
      </c>
    </row>
    <row r="125" spans="1:40" s="36" customFormat="1" ht="14.25" x14ac:dyDescent="0.2">
      <c r="A125" s="57"/>
      <c r="D125" s="183"/>
      <c r="E125" s="183"/>
      <c r="F125" s="183"/>
      <c r="G125" s="58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234"/>
      <c r="AN125" s="36" t="e">
        <f>VLOOKUP(I125,Sheet1!A:D,4,FALSE)</f>
        <v>#N/A</v>
      </c>
    </row>
    <row r="126" spans="1:40" s="36" customFormat="1" ht="14.25" x14ac:dyDescent="0.2">
      <c r="A126" s="57"/>
      <c r="D126" s="183"/>
      <c r="E126" s="183"/>
      <c r="F126" s="183"/>
      <c r="G126" s="58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234"/>
      <c r="AN126" s="36" t="e">
        <f>VLOOKUP(I126,Sheet1!A:D,4,FALSE)</f>
        <v>#N/A</v>
      </c>
    </row>
    <row r="127" spans="1:40" s="36" customFormat="1" ht="14.25" x14ac:dyDescent="0.2">
      <c r="A127" s="57"/>
      <c r="D127" s="183"/>
      <c r="E127" s="183"/>
      <c r="F127" s="183"/>
      <c r="G127" s="58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234"/>
      <c r="AN127" s="36" t="e">
        <f>VLOOKUP(I127,Sheet1!A:D,4,FALSE)</f>
        <v>#N/A</v>
      </c>
    </row>
    <row r="128" spans="1:40" s="36" customFormat="1" ht="14.25" x14ac:dyDescent="0.2">
      <c r="A128" s="57"/>
      <c r="D128" s="183"/>
      <c r="E128" s="183"/>
      <c r="F128" s="183"/>
      <c r="G128" s="58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234"/>
      <c r="AN128" s="36" t="e">
        <f>VLOOKUP(I128,Sheet1!A:D,4,FALSE)</f>
        <v>#N/A</v>
      </c>
    </row>
    <row r="129" spans="1:40" s="36" customFormat="1" ht="14.25" x14ac:dyDescent="0.2">
      <c r="A129" s="57"/>
      <c r="D129" s="183"/>
      <c r="E129" s="183"/>
      <c r="F129" s="183"/>
      <c r="G129" s="58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234"/>
      <c r="AN129" s="36" t="e">
        <f>VLOOKUP(I129,Sheet1!A:D,4,FALSE)</f>
        <v>#N/A</v>
      </c>
    </row>
    <row r="130" spans="1:40" s="36" customFormat="1" ht="14.25" x14ac:dyDescent="0.2">
      <c r="A130" s="57"/>
      <c r="D130" s="183"/>
      <c r="E130" s="183"/>
      <c r="F130" s="183"/>
      <c r="G130" s="58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234"/>
      <c r="AN130" s="36" t="e">
        <f>VLOOKUP(I130,Sheet1!A:D,4,FALSE)</f>
        <v>#N/A</v>
      </c>
    </row>
    <row r="131" spans="1:40" s="36" customFormat="1" ht="14.25" x14ac:dyDescent="0.2">
      <c r="A131" s="57"/>
      <c r="D131" s="183"/>
      <c r="E131" s="183"/>
      <c r="F131" s="183"/>
      <c r="G131" s="58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234"/>
      <c r="AN131" s="36" t="e">
        <f>VLOOKUP(I131,Sheet1!A:D,4,FALSE)</f>
        <v>#N/A</v>
      </c>
    </row>
    <row r="132" spans="1:40" s="36" customFormat="1" ht="14.25" x14ac:dyDescent="0.2">
      <c r="A132" s="57"/>
      <c r="D132" s="183"/>
      <c r="E132" s="183"/>
      <c r="F132" s="183"/>
      <c r="G132" s="58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234"/>
      <c r="AN132" s="36" t="e">
        <f>VLOOKUP(I132,Sheet1!A:D,4,FALSE)</f>
        <v>#N/A</v>
      </c>
    </row>
    <row r="133" spans="1:40" s="36" customFormat="1" ht="14.25" x14ac:dyDescent="0.2">
      <c r="A133" s="57"/>
      <c r="D133" s="183"/>
      <c r="E133" s="183"/>
      <c r="F133" s="183"/>
      <c r="G133" s="58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234"/>
      <c r="AN133" s="36" t="e">
        <f>VLOOKUP(I133,Sheet1!A:D,4,FALSE)</f>
        <v>#N/A</v>
      </c>
    </row>
    <row r="134" spans="1:40" s="36" customFormat="1" ht="14.25" x14ac:dyDescent="0.2">
      <c r="A134" s="57"/>
      <c r="D134" s="183"/>
      <c r="E134" s="183"/>
      <c r="F134" s="183"/>
      <c r="G134" s="58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234"/>
      <c r="AN134" s="36" t="e">
        <f>VLOOKUP(I134,Sheet1!A:D,4,FALSE)</f>
        <v>#N/A</v>
      </c>
    </row>
    <row r="135" spans="1:40" s="36" customFormat="1" ht="14.25" x14ac:dyDescent="0.2">
      <c r="A135" s="57"/>
      <c r="D135" s="183"/>
      <c r="E135" s="183"/>
      <c r="F135" s="183"/>
      <c r="G135" s="58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234"/>
      <c r="AN135" s="36" t="e">
        <f>VLOOKUP(I135,Sheet1!A:D,4,FALSE)</f>
        <v>#N/A</v>
      </c>
    </row>
    <row r="136" spans="1:40" s="36" customFormat="1" ht="14.25" x14ac:dyDescent="0.2">
      <c r="A136" s="57"/>
      <c r="D136" s="183"/>
      <c r="E136" s="183"/>
      <c r="F136" s="183"/>
      <c r="G136" s="58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234"/>
      <c r="AN136" s="36" t="e">
        <f>VLOOKUP(I136,Sheet1!A:D,4,FALSE)</f>
        <v>#N/A</v>
      </c>
    </row>
    <row r="137" spans="1:40" s="36" customFormat="1" ht="14.25" x14ac:dyDescent="0.2">
      <c r="A137" s="57"/>
      <c r="D137" s="183"/>
      <c r="E137" s="183"/>
      <c r="F137" s="183"/>
      <c r="G137" s="58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234"/>
      <c r="AN137" s="36" t="e">
        <f>VLOOKUP(I137,Sheet1!A:D,4,FALSE)</f>
        <v>#N/A</v>
      </c>
    </row>
    <row r="138" spans="1:40" s="36" customFormat="1" ht="14.25" x14ac:dyDescent="0.2">
      <c r="A138" s="57"/>
      <c r="D138" s="183"/>
      <c r="E138" s="183"/>
      <c r="F138" s="183"/>
      <c r="G138" s="58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234"/>
      <c r="AN138" s="36" t="e">
        <f>VLOOKUP(I138,Sheet1!A:D,4,FALSE)</f>
        <v>#N/A</v>
      </c>
    </row>
    <row r="139" spans="1:40" s="36" customFormat="1" ht="14.25" x14ac:dyDescent="0.2">
      <c r="A139" s="57"/>
      <c r="D139" s="183"/>
      <c r="E139" s="183"/>
      <c r="F139" s="183"/>
      <c r="G139" s="58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234"/>
      <c r="AN139" s="36" t="e">
        <f>VLOOKUP(I139,Sheet1!A:D,4,FALSE)</f>
        <v>#N/A</v>
      </c>
    </row>
    <row r="140" spans="1:40" s="36" customFormat="1" ht="14.25" x14ac:dyDescent="0.2">
      <c r="A140" s="57"/>
      <c r="D140" s="183"/>
      <c r="E140" s="183"/>
      <c r="F140" s="183"/>
      <c r="G140" s="58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234"/>
      <c r="AN140" s="36" t="e">
        <f>VLOOKUP(I140,Sheet1!A:D,4,FALSE)</f>
        <v>#N/A</v>
      </c>
    </row>
    <row r="141" spans="1:40" s="36" customFormat="1" ht="14.25" x14ac:dyDescent="0.2">
      <c r="A141" s="57"/>
      <c r="D141" s="183"/>
      <c r="E141" s="183"/>
      <c r="F141" s="183"/>
      <c r="G141" s="58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234"/>
      <c r="AN141" s="36" t="e">
        <f>VLOOKUP(I141,Sheet1!A:D,4,FALSE)</f>
        <v>#N/A</v>
      </c>
    </row>
    <row r="142" spans="1:40" s="36" customFormat="1" ht="14.25" x14ac:dyDescent="0.2">
      <c r="A142" s="57"/>
      <c r="D142" s="183"/>
      <c r="E142" s="183"/>
      <c r="F142" s="183"/>
      <c r="G142" s="58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234"/>
      <c r="AN142" s="36" t="e">
        <f>VLOOKUP(I142,Sheet1!A:D,4,FALSE)</f>
        <v>#N/A</v>
      </c>
    </row>
    <row r="143" spans="1:40" s="36" customFormat="1" ht="14.25" x14ac:dyDescent="0.2">
      <c r="A143" s="57"/>
      <c r="D143" s="183"/>
      <c r="E143" s="183"/>
      <c r="F143" s="183"/>
      <c r="G143" s="58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234"/>
      <c r="AN143" s="36" t="e">
        <f>VLOOKUP(I143,Sheet1!A:D,4,FALSE)</f>
        <v>#N/A</v>
      </c>
    </row>
    <row r="144" spans="1:40" s="36" customFormat="1" ht="14.25" x14ac:dyDescent="0.2">
      <c r="A144" s="57"/>
      <c r="D144" s="183"/>
      <c r="E144" s="183"/>
      <c r="F144" s="183"/>
      <c r="G144" s="58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234"/>
      <c r="AN144" s="36" t="e">
        <f>VLOOKUP(I144,Sheet1!A:D,4,FALSE)</f>
        <v>#N/A</v>
      </c>
    </row>
    <row r="145" spans="1:40" s="36" customFormat="1" ht="14.25" x14ac:dyDescent="0.2">
      <c r="A145" s="57"/>
      <c r="D145" s="183"/>
      <c r="E145" s="183"/>
      <c r="F145" s="183"/>
      <c r="G145" s="58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234"/>
      <c r="AN145" s="36" t="e">
        <f>VLOOKUP(I145,Sheet1!A:D,4,FALSE)</f>
        <v>#N/A</v>
      </c>
    </row>
    <row r="146" spans="1:40" s="36" customFormat="1" ht="14.25" x14ac:dyDescent="0.2">
      <c r="A146" s="57"/>
      <c r="D146" s="183"/>
      <c r="E146" s="183"/>
      <c r="F146" s="183"/>
      <c r="G146" s="58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234"/>
      <c r="AN146" s="36" t="e">
        <f>VLOOKUP(I146,Sheet1!A:D,4,FALSE)</f>
        <v>#N/A</v>
      </c>
    </row>
    <row r="147" spans="1:40" s="36" customFormat="1" ht="14.25" x14ac:dyDescent="0.2">
      <c r="A147" s="57"/>
      <c r="D147" s="183"/>
      <c r="E147" s="183"/>
      <c r="F147" s="183"/>
      <c r="G147" s="58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234"/>
      <c r="AN147" s="36" t="e">
        <f>VLOOKUP(I147,Sheet1!A:D,4,FALSE)</f>
        <v>#N/A</v>
      </c>
    </row>
    <row r="148" spans="1:40" s="36" customFormat="1" ht="14.25" x14ac:dyDescent="0.2">
      <c r="A148" s="57"/>
      <c r="D148" s="183"/>
      <c r="E148" s="183"/>
      <c r="F148" s="183"/>
      <c r="G148" s="58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234"/>
      <c r="AN148" s="36" t="e">
        <f>VLOOKUP(I148,Sheet1!A:D,4,FALSE)</f>
        <v>#N/A</v>
      </c>
    </row>
    <row r="149" spans="1:40" s="36" customFormat="1" ht="14.25" x14ac:dyDescent="0.2">
      <c r="A149" s="57"/>
      <c r="D149" s="183"/>
      <c r="E149" s="183"/>
      <c r="F149" s="183"/>
      <c r="G149" s="58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234"/>
      <c r="AN149" s="36" t="e">
        <f>VLOOKUP(I149,Sheet1!A:D,4,FALSE)</f>
        <v>#N/A</v>
      </c>
    </row>
    <row r="150" spans="1:40" s="36" customFormat="1" ht="14.25" x14ac:dyDescent="0.2">
      <c r="A150" s="57"/>
      <c r="D150" s="183"/>
      <c r="E150" s="183"/>
      <c r="F150" s="183"/>
      <c r="G150" s="58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234"/>
      <c r="AN150" s="36" t="e">
        <f>VLOOKUP(I150,Sheet1!A:D,4,FALSE)</f>
        <v>#N/A</v>
      </c>
    </row>
    <row r="151" spans="1:40" s="36" customFormat="1" ht="14.25" x14ac:dyDescent="0.2">
      <c r="A151" s="57"/>
      <c r="D151" s="183"/>
      <c r="E151" s="183"/>
      <c r="F151" s="183"/>
      <c r="G151" s="58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234"/>
      <c r="AN151" s="36" t="e">
        <f>VLOOKUP(I151,Sheet1!A:D,4,FALSE)</f>
        <v>#N/A</v>
      </c>
    </row>
    <row r="152" spans="1:40" s="36" customFormat="1" ht="14.25" x14ac:dyDescent="0.2">
      <c r="A152" s="57"/>
      <c r="D152" s="183"/>
      <c r="E152" s="183"/>
      <c r="F152" s="183"/>
      <c r="G152" s="58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234"/>
      <c r="AN152" s="36" t="e">
        <f>VLOOKUP(I152,Sheet1!A:D,4,FALSE)</f>
        <v>#N/A</v>
      </c>
    </row>
    <row r="153" spans="1:40" s="36" customFormat="1" ht="14.25" x14ac:dyDescent="0.2">
      <c r="A153" s="57"/>
      <c r="D153" s="183"/>
      <c r="E153" s="183"/>
      <c r="F153" s="183"/>
      <c r="G153" s="58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234"/>
      <c r="AN153" s="36" t="e">
        <f>VLOOKUP(I153,Sheet1!A:D,4,FALSE)</f>
        <v>#N/A</v>
      </c>
    </row>
    <row r="154" spans="1:40" s="36" customFormat="1" ht="14.25" x14ac:dyDescent="0.2">
      <c r="A154" s="57"/>
      <c r="D154" s="183"/>
      <c r="E154" s="183"/>
      <c r="F154" s="183"/>
      <c r="G154" s="58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234"/>
      <c r="AN154" s="36" t="e">
        <f>VLOOKUP(I154,Sheet1!A:D,4,FALSE)</f>
        <v>#N/A</v>
      </c>
    </row>
    <row r="155" spans="1:40" s="36" customFormat="1" ht="14.25" x14ac:dyDescent="0.2">
      <c r="A155" s="57"/>
      <c r="D155" s="183"/>
      <c r="E155" s="183"/>
      <c r="F155" s="183"/>
      <c r="G155" s="58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234"/>
      <c r="AN155" s="36" t="e">
        <f>VLOOKUP(I155,Sheet1!A:D,4,FALSE)</f>
        <v>#N/A</v>
      </c>
    </row>
    <row r="156" spans="1:40" s="36" customFormat="1" ht="14.25" x14ac:dyDescent="0.2">
      <c r="A156" s="57"/>
      <c r="D156" s="183"/>
      <c r="E156" s="183"/>
      <c r="F156" s="183"/>
      <c r="G156" s="58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234"/>
      <c r="AN156" s="36" t="e">
        <f>VLOOKUP(I156,Sheet1!A:D,4,FALSE)</f>
        <v>#N/A</v>
      </c>
    </row>
    <row r="157" spans="1:40" s="36" customFormat="1" ht="14.25" x14ac:dyDescent="0.2">
      <c r="A157" s="57"/>
      <c r="D157" s="183"/>
      <c r="E157" s="183"/>
      <c r="F157" s="183"/>
      <c r="G157" s="58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234"/>
      <c r="AN157" s="36" t="e">
        <f>VLOOKUP(I157,Sheet1!A:D,4,FALSE)</f>
        <v>#N/A</v>
      </c>
    </row>
    <row r="158" spans="1:40" s="36" customFormat="1" ht="14.25" x14ac:dyDescent="0.2">
      <c r="A158" s="57"/>
      <c r="D158" s="183"/>
      <c r="E158" s="183"/>
      <c r="F158" s="183"/>
      <c r="G158" s="58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234"/>
      <c r="AN158" s="36" t="e">
        <f>VLOOKUP(I158,Sheet1!A:D,4,FALSE)</f>
        <v>#N/A</v>
      </c>
    </row>
    <row r="159" spans="1:40" s="36" customFormat="1" ht="14.25" x14ac:dyDescent="0.2">
      <c r="A159" s="57"/>
      <c r="D159" s="183"/>
      <c r="E159" s="183"/>
      <c r="F159" s="183"/>
      <c r="G159" s="58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234"/>
      <c r="AN159" s="36" t="e">
        <f>VLOOKUP(I159,Sheet1!A:D,4,FALSE)</f>
        <v>#N/A</v>
      </c>
    </row>
    <row r="160" spans="1:40" s="36" customFormat="1" ht="14.25" x14ac:dyDescent="0.2">
      <c r="A160" s="57"/>
      <c r="D160" s="183"/>
      <c r="E160" s="183"/>
      <c r="F160" s="183"/>
      <c r="G160" s="58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234"/>
      <c r="AN160" s="36" t="e">
        <f>VLOOKUP(I160,Sheet1!A:D,4,FALSE)</f>
        <v>#N/A</v>
      </c>
    </row>
    <row r="161" spans="1:40" s="36" customFormat="1" ht="14.25" x14ac:dyDescent="0.2">
      <c r="A161" s="57"/>
      <c r="D161" s="183"/>
      <c r="E161" s="183"/>
      <c r="F161" s="183"/>
      <c r="G161" s="58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234"/>
      <c r="AN161" s="36" t="e">
        <f>VLOOKUP(I161,Sheet1!A:D,4,FALSE)</f>
        <v>#N/A</v>
      </c>
    </row>
    <row r="162" spans="1:40" s="36" customFormat="1" ht="14.25" x14ac:dyDescent="0.2">
      <c r="A162" s="57"/>
      <c r="D162" s="183"/>
      <c r="E162" s="183"/>
      <c r="F162" s="183"/>
      <c r="G162" s="58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234"/>
      <c r="AN162" s="36" t="e">
        <f>VLOOKUP(I162,Sheet1!A:D,4,FALSE)</f>
        <v>#N/A</v>
      </c>
    </row>
    <row r="163" spans="1:40" s="36" customFormat="1" ht="14.25" x14ac:dyDescent="0.2">
      <c r="A163" s="57"/>
      <c r="D163" s="183"/>
      <c r="E163" s="183"/>
      <c r="F163" s="183"/>
      <c r="G163" s="58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234"/>
      <c r="AN163" s="36" t="e">
        <f>VLOOKUP(I163,Sheet1!A:D,4,FALSE)</f>
        <v>#N/A</v>
      </c>
    </row>
    <row r="164" spans="1:40" s="36" customFormat="1" ht="14.25" x14ac:dyDescent="0.2">
      <c r="A164" s="57"/>
      <c r="D164" s="183"/>
      <c r="E164" s="183"/>
      <c r="F164" s="183"/>
      <c r="G164" s="58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234"/>
      <c r="AN164" s="36" t="e">
        <f>VLOOKUP(I164,Sheet1!A:D,4,FALSE)</f>
        <v>#N/A</v>
      </c>
    </row>
    <row r="165" spans="1:40" s="36" customFormat="1" ht="14.25" x14ac:dyDescent="0.2">
      <c r="A165" s="57"/>
      <c r="D165" s="183"/>
      <c r="E165" s="183"/>
      <c r="F165" s="183"/>
      <c r="G165" s="58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234"/>
      <c r="AN165" s="36" t="e">
        <f>VLOOKUP(I165,Sheet1!A:D,4,FALSE)</f>
        <v>#N/A</v>
      </c>
    </row>
    <row r="166" spans="1:40" s="36" customFormat="1" ht="14.25" x14ac:dyDescent="0.2">
      <c r="A166" s="57"/>
      <c r="D166" s="183"/>
      <c r="E166" s="183"/>
      <c r="F166" s="183"/>
      <c r="G166" s="58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234"/>
      <c r="AN166" s="36" t="e">
        <f>VLOOKUP(I166,Sheet1!A:D,4,FALSE)</f>
        <v>#N/A</v>
      </c>
    </row>
    <row r="167" spans="1:40" s="36" customFormat="1" ht="14.25" x14ac:dyDescent="0.2">
      <c r="A167" s="57"/>
      <c r="D167" s="183"/>
      <c r="E167" s="183"/>
      <c r="F167" s="183"/>
      <c r="G167" s="58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234"/>
      <c r="AN167" s="36" t="e">
        <f>VLOOKUP(I167,Sheet1!A:D,4,FALSE)</f>
        <v>#N/A</v>
      </c>
    </row>
    <row r="168" spans="1:40" s="36" customFormat="1" ht="14.25" x14ac:dyDescent="0.2">
      <c r="A168" s="57"/>
      <c r="D168" s="183"/>
      <c r="E168" s="183"/>
      <c r="F168" s="183"/>
      <c r="G168" s="58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234"/>
      <c r="AN168" s="36" t="e">
        <f>VLOOKUP(I168,Sheet1!A:D,4,FALSE)</f>
        <v>#N/A</v>
      </c>
    </row>
    <row r="169" spans="1:40" s="36" customFormat="1" ht="14.25" x14ac:dyDescent="0.2">
      <c r="A169" s="57"/>
      <c r="D169" s="183"/>
      <c r="E169" s="183"/>
      <c r="F169" s="183"/>
      <c r="G169" s="58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234"/>
      <c r="AN169" s="36" t="e">
        <f>VLOOKUP(I169,Sheet1!A:D,4,FALSE)</f>
        <v>#N/A</v>
      </c>
    </row>
    <row r="170" spans="1:40" s="36" customFormat="1" ht="14.25" x14ac:dyDescent="0.2">
      <c r="A170" s="57"/>
      <c r="D170" s="183"/>
      <c r="E170" s="183"/>
      <c r="F170" s="183"/>
      <c r="G170" s="58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234"/>
      <c r="AN170" s="36" t="e">
        <f>VLOOKUP(I170,Sheet1!A:D,4,FALSE)</f>
        <v>#N/A</v>
      </c>
    </row>
    <row r="171" spans="1:40" s="36" customFormat="1" ht="14.25" x14ac:dyDescent="0.2">
      <c r="A171" s="57"/>
      <c r="D171" s="183"/>
      <c r="E171" s="183"/>
      <c r="F171" s="183"/>
      <c r="G171" s="58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234"/>
      <c r="AN171" s="36" t="e">
        <f>VLOOKUP(I171,Sheet1!A:D,4,FALSE)</f>
        <v>#N/A</v>
      </c>
    </row>
    <row r="172" spans="1:40" s="36" customFormat="1" ht="14.25" x14ac:dyDescent="0.2">
      <c r="A172" s="57"/>
      <c r="D172" s="183"/>
      <c r="E172" s="183"/>
      <c r="F172" s="183"/>
      <c r="G172" s="58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234"/>
      <c r="AN172" s="36" t="e">
        <f>VLOOKUP(I172,Sheet1!A:D,4,FALSE)</f>
        <v>#N/A</v>
      </c>
    </row>
    <row r="173" spans="1:40" s="36" customFormat="1" ht="14.25" x14ac:dyDescent="0.2">
      <c r="A173" s="57"/>
      <c r="D173" s="183"/>
      <c r="E173" s="183"/>
      <c r="F173" s="183"/>
      <c r="G173" s="58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234"/>
      <c r="AN173" s="36" t="e">
        <f>VLOOKUP(I173,Sheet1!A:D,4,FALSE)</f>
        <v>#N/A</v>
      </c>
    </row>
    <row r="174" spans="1:40" s="36" customFormat="1" ht="14.25" x14ac:dyDescent="0.2">
      <c r="A174" s="57"/>
      <c r="D174" s="183"/>
      <c r="E174" s="183"/>
      <c r="F174" s="183"/>
      <c r="G174" s="58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234"/>
      <c r="AN174" s="36" t="e">
        <f>VLOOKUP(I174,Sheet1!A:D,4,FALSE)</f>
        <v>#N/A</v>
      </c>
    </row>
    <row r="175" spans="1:40" s="36" customFormat="1" ht="14.25" x14ac:dyDescent="0.2">
      <c r="A175" s="57"/>
      <c r="D175" s="183"/>
      <c r="E175" s="183"/>
      <c r="F175" s="183"/>
      <c r="G175" s="58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234"/>
      <c r="AN175" s="36" t="e">
        <f>VLOOKUP(I175,Sheet1!A:D,4,FALSE)</f>
        <v>#N/A</v>
      </c>
    </row>
    <row r="176" spans="1:40" s="36" customFormat="1" ht="14.25" x14ac:dyDescent="0.2">
      <c r="A176" s="57"/>
      <c r="D176" s="183"/>
      <c r="E176" s="183"/>
      <c r="F176" s="183"/>
      <c r="G176" s="58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234"/>
      <c r="AN176" s="36" t="e">
        <f>VLOOKUP(I176,Sheet1!A:D,4,FALSE)</f>
        <v>#N/A</v>
      </c>
    </row>
    <row r="177" spans="1:40" s="36" customFormat="1" ht="14.25" x14ac:dyDescent="0.2">
      <c r="A177" s="57"/>
      <c r="D177" s="183"/>
      <c r="E177" s="183"/>
      <c r="F177" s="183"/>
      <c r="G177" s="58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234"/>
      <c r="AN177" s="36" t="e">
        <f>VLOOKUP(I177,Sheet1!A:D,4,FALSE)</f>
        <v>#N/A</v>
      </c>
    </row>
    <row r="178" spans="1:40" s="36" customFormat="1" ht="14.25" x14ac:dyDescent="0.2">
      <c r="A178" s="57"/>
      <c r="D178" s="183"/>
      <c r="E178" s="183"/>
      <c r="F178" s="183"/>
      <c r="G178" s="58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234"/>
      <c r="AN178" s="36" t="e">
        <f>VLOOKUP(I178,Sheet1!A:D,4,FALSE)</f>
        <v>#N/A</v>
      </c>
    </row>
    <row r="179" spans="1:40" s="36" customFormat="1" ht="14.25" x14ac:dyDescent="0.2">
      <c r="A179" s="57"/>
      <c r="D179" s="183"/>
      <c r="E179" s="183"/>
      <c r="F179" s="183"/>
      <c r="G179" s="58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234"/>
      <c r="AN179" s="36" t="e">
        <f>VLOOKUP(I179,Sheet1!A:D,4,FALSE)</f>
        <v>#N/A</v>
      </c>
    </row>
    <row r="180" spans="1:40" s="36" customFormat="1" ht="14.25" x14ac:dyDescent="0.2">
      <c r="A180" s="57"/>
      <c r="D180" s="183"/>
      <c r="E180" s="183"/>
      <c r="F180" s="183"/>
      <c r="G180" s="58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234"/>
      <c r="AN180" s="36" t="e">
        <f>VLOOKUP(I180,Sheet1!A:D,4,FALSE)</f>
        <v>#N/A</v>
      </c>
    </row>
    <row r="181" spans="1:40" s="36" customFormat="1" ht="14.25" x14ac:dyDescent="0.2">
      <c r="A181" s="57"/>
      <c r="D181" s="183"/>
      <c r="E181" s="183"/>
      <c r="F181" s="183"/>
      <c r="G181" s="58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234"/>
      <c r="AN181" s="36" t="e">
        <f>VLOOKUP(I181,Sheet1!A:D,4,FALSE)</f>
        <v>#N/A</v>
      </c>
    </row>
    <row r="182" spans="1:40" s="36" customFormat="1" ht="14.25" x14ac:dyDescent="0.2">
      <c r="A182" s="57"/>
      <c r="D182" s="183"/>
      <c r="E182" s="183"/>
      <c r="F182" s="183"/>
      <c r="G182" s="58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234"/>
      <c r="AN182" s="36" t="e">
        <f>VLOOKUP(I182,Sheet1!A:D,4,FALSE)</f>
        <v>#N/A</v>
      </c>
    </row>
    <row r="183" spans="1:40" s="36" customFormat="1" ht="14.25" x14ac:dyDescent="0.2">
      <c r="A183" s="57"/>
      <c r="D183" s="183"/>
      <c r="E183" s="183"/>
      <c r="F183" s="183"/>
      <c r="G183" s="58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234"/>
      <c r="AN183" s="36" t="e">
        <f>VLOOKUP(I183,Sheet1!A:D,4,FALSE)</f>
        <v>#N/A</v>
      </c>
    </row>
    <row r="184" spans="1:40" s="36" customFormat="1" ht="14.25" x14ac:dyDescent="0.2">
      <c r="A184" s="57"/>
      <c r="D184" s="183"/>
      <c r="E184" s="183"/>
      <c r="F184" s="183"/>
      <c r="G184" s="58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234"/>
      <c r="AN184" s="36" t="e">
        <f>VLOOKUP(I184,Sheet1!A:D,4,FALSE)</f>
        <v>#N/A</v>
      </c>
    </row>
    <row r="185" spans="1:40" s="36" customFormat="1" ht="14.25" x14ac:dyDescent="0.2">
      <c r="A185" s="57"/>
      <c r="D185" s="183"/>
      <c r="E185" s="183"/>
      <c r="F185" s="183"/>
      <c r="G185" s="58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234"/>
      <c r="AN185" s="36" t="e">
        <f>VLOOKUP(I185,Sheet1!A:D,4,FALSE)</f>
        <v>#N/A</v>
      </c>
    </row>
    <row r="186" spans="1:40" s="36" customFormat="1" ht="14.25" x14ac:dyDescent="0.2">
      <c r="A186" s="57"/>
      <c r="D186" s="183"/>
      <c r="E186" s="183"/>
      <c r="F186" s="183"/>
      <c r="G186" s="58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234"/>
      <c r="AN186" s="36" t="e">
        <f>VLOOKUP(I186,Sheet1!A:D,4,FALSE)</f>
        <v>#N/A</v>
      </c>
    </row>
    <row r="187" spans="1:40" s="36" customFormat="1" ht="14.25" x14ac:dyDescent="0.2">
      <c r="A187" s="57"/>
      <c r="D187" s="183"/>
      <c r="E187" s="183"/>
      <c r="F187" s="183"/>
      <c r="G187" s="58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234"/>
      <c r="AN187" s="36" t="e">
        <f>VLOOKUP(I187,Sheet1!A:D,4,FALSE)</f>
        <v>#N/A</v>
      </c>
    </row>
    <row r="188" spans="1:40" s="36" customFormat="1" ht="14.25" x14ac:dyDescent="0.2">
      <c r="A188" s="57"/>
      <c r="D188" s="183"/>
      <c r="E188" s="183"/>
      <c r="F188" s="183"/>
      <c r="G188" s="58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234"/>
      <c r="AN188" s="36" t="e">
        <f>VLOOKUP(I188,Sheet1!A:D,4,FALSE)</f>
        <v>#N/A</v>
      </c>
    </row>
    <row r="189" spans="1:40" s="36" customFormat="1" ht="14.25" x14ac:dyDescent="0.2">
      <c r="A189" s="57"/>
      <c r="D189" s="183"/>
      <c r="E189" s="183"/>
      <c r="F189" s="183"/>
      <c r="G189" s="58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234"/>
      <c r="AN189" s="36" t="e">
        <f>VLOOKUP(I189,Sheet1!A:D,4,FALSE)</f>
        <v>#N/A</v>
      </c>
    </row>
    <row r="190" spans="1:40" s="36" customFormat="1" ht="14.25" x14ac:dyDescent="0.2">
      <c r="A190" s="57"/>
      <c r="D190" s="183"/>
      <c r="E190" s="183"/>
      <c r="F190" s="183"/>
      <c r="G190" s="58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234"/>
      <c r="AN190" s="36" t="e">
        <f>VLOOKUP(I190,Sheet1!A:D,4,FALSE)</f>
        <v>#N/A</v>
      </c>
    </row>
    <row r="191" spans="1:40" s="36" customFormat="1" ht="14.25" x14ac:dyDescent="0.2">
      <c r="A191" s="57"/>
      <c r="D191" s="183"/>
      <c r="E191" s="183"/>
      <c r="F191" s="183"/>
      <c r="G191" s="58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234"/>
      <c r="AN191" s="36" t="e">
        <f>VLOOKUP(I191,Sheet1!A:D,4,FALSE)</f>
        <v>#N/A</v>
      </c>
    </row>
    <row r="192" spans="1:40" s="36" customFormat="1" ht="14.25" x14ac:dyDescent="0.2">
      <c r="A192" s="57"/>
      <c r="D192" s="183"/>
      <c r="E192" s="183"/>
      <c r="F192" s="183"/>
      <c r="G192" s="58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234"/>
      <c r="AN192" s="36" t="e">
        <f>VLOOKUP(I192,Sheet1!A:D,4,FALSE)</f>
        <v>#N/A</v>
      </c>
    </row>
    <row r="193" spans="1:40" s="36" customFormat="1" ht="14.25" x14ac:dyDescent="0.2">
      <c r="A193" s="57"/>
      <c r="D193" s="183"/>
      <c r="E193" s="183"/>
      <c r="F193" s="183"/>
      <c r="G193" s="58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234"/>
      <c r="AN193" s="36" t="e">
        <f>VLOOKUP(I193,Sheet1!A:D,4,FALSE)</f>
        <v>#N/A</v>
      </c>
    </row>
    <row r="194" spans="1:40" s="36" customFormat="1" ht="14.25" x14ac:dyDescent="0.2">
      <c r="A194" s="57"/>
      <c r="D194" s="183"/>
      <c r="E194" s="183"/>
      <c r="F194" s="183"/>
      <c r="G194" s="58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234"/>
      <c r="AN194" s="36" t="e">
        <f>VLOOKUP(I194,Sheet1!A:D,4,FALSE)</f>
        <v>#N/A</v>
      </c>
    </row>
    <row r="195" spans="1:40" s="36" customFormat="1" ht="14.25" x14ac:dyDescent="0.2">
      <c r="A195" s="57"/>
      <c r="D195" s="183"/>
      <c r="E195" s="183"/>
      <c r="F195" s="183"/>
      <c r="G195" s="58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234"/>
      <c r="AN195" s="36" t="e">
        <f>VLOOKUP(I195,Sheet1!A:D,4,FALSE)</f>
        <v>#N/A</v>
      </c>
    </row>
    <row r="196" spans="1:40" s="36" customFormat="1" ht="14.25" x14ac:dyDescent="0.2">
      <c r="A196" s="57"/>
      <c r="D196" s="183"/>
      <c r="E196" s="183"/>
      <c r="F196" s="183"/>
      <c r="G196" s="58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234"/>
      <c r="AN196" s="36" t="e">
        <f>VLOOKUP(I196,Sheet1!A:D,4,FALSE)</f>
        <v>#N/A</v>
      </c>
    </row>
    <row r="197" spans="1:40" s="36" customFormat="1" ht="14.25" x14ac:dyDescent="0.2">
      <c r="A197" s="57"/>
      <c r="D197" s="183"/>
      <c r="E197" s="183"/>
      <c r="F197" s="183"/>
      <c r="G197" s="58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234"/>
      <c r="AN197" s="36" t="e">
        <f>VLOOKUP(I197,Sheet1!A:D,4,FALSE)</f>
        <v>#N/A</v>
      </c>
    </row>
    <row r="198" spans="1:40" s="36" customFormat="1" ht="14.25" x14ac:dyDescent="0.2">
      <c r="A198" s="57"/>
      <c r="D198" s="183"/>
      <c r="E198" s="183"/>
      <c r="F198" s="183"/>
      <c r="G198" s="58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234"/>
      <c r="AN198" s="36" t="e">
        <f>VLOOKUP(I198,Sheet1!A:D,4,FALSE)</f>
        <v>#N/A</v>
      </c>
    </row>
    <row r="199" spans="1:40" s="36" customFormat="1" ht="14.25" x14ac:dyDescent="0.2">
      <c r="A199" s="57"/>
      <c r="D199" s="183"/>
      <c r="E199" s="183"/>
      <c r="F199" s="183"/>
      <c r="G199" s="58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234"/>
      <c r="AN199" s="36" t="e">
        <f>VLOOKUP(I199,Sheet1!A:D,4,FALSE)</f>
        <v>#N/A</v>
      </c>
    </row>
    <row r="200" spans="1:40" s="36" customFormat="1" ht="14.25" x14ac:dyDescent="0.2">
      <c r="A200" s="57"/>
      <c r="D200" s="183"/>
      <c r="E200" s="183"/>
      <c r="F200" s="183"/>
      <c r="G200" s="58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234"/>
      <c r="AN200" s="36" t="e">
        <f>VLOOKUP(I200,Sheet1!A:D,4,FALSE)</f>
        <v>#N/A</v>
      </c>
    </row>
    <row r="201" spans="1:40" s="36" customFormat="1" ht="14.25" x14ac:dyDescent="0.2">
      <c r="A201" s="57"/>
      <c r="D201" s="183"/>
      <c r="E201" s="183"/>
      <c r="F201" s="183"/>
      <c r="G201" s="58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234"/>
      <c r="AN201" s="36" t="e">
        <f>VLOOKUP(I201,Sheet1!A:D,4,FALSE)</f>
        <v>#N/A</v>
      </c>
    </row>
    <row r="202" spans="1:40" s="36" customFormat="1" ht="14.25" x14ac:dyDescent="0.2">
      <c r="A202" s="57"/>
      <c r="D202" s="183"/>
      <c r="E202" s="183"/>
      <c r="F202" s="183"/>
      <c r="G202" s="58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234"/>
      <c r="AN202" s="36" t="e">
        <f>VLOOKUP(I202,Sheet1!A:D,4,FALSE)</f>
        <v>#N/A</v>
      </c>
    </row>
    <row r="203" spans="1:40" s="36" customFormat="1" ht="14.25" x14ac:dyDescent="0.2">
      <c r="A203" s="57"/>
      <c r="D203" s="183"/>
      <c r="E203" s="183"/>
      <c r="F203" s="183"/>
      <c r="G203" s="58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234"/>
      <c r="AN203" s="36" t="e">
        <f>VLOOKUP(I203,Sheet1!A:D,4,FALSE)</f>
        <v>#N/A</v>
      </c>
    </row>
    <row r="204" spans="1:40" s="36" customFormat="1" ht="14.25" x14ac:dyDescent="0.2">
      <c r="A204" s="57"/>
      <c r="D204" s="183"/>
      <c r="E204" s="183"/>
      <c r="F204" s="183"/>
      <c r="G204" s="58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234"/>
      <c r="AN204" s="36" t="e">
        <f>VLOOKUP(I204,Sheet1!A:D,4,FALSE)</f>
        <v>#N/A</v>
      </c>
    </row>
    <row r="205" spans="1:40" s="36" customFormat="1" ht="14.25" x14ac:dyDescent="0.2">
      <c r="A205" s="57"/>
      <c r="D205" s="183"/>
      <c r="E205" s="183"/>
      <c r="F205" s="183"/>
      <c r="G205" s="58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234"/>
      <c r="AN205" s="36" t="e">
        <f>VLOOKUP(I205,Sheet1!A:D,4,FALSE)</f>
        <v>#N/A</v>
      </c>
    </row>
    <row r="206" spans="1:40" s="36" customFormat="1" ht="14.25" x14ac:dyDescent="0.2">
      <c r="A206" s="57"/>
      <c r="D206" s="183"/>
      <c r="E206" s="183"/>
      <c r="F206" s="183"/>
      <c r="G206" s="58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234"/>
      <c r="AN206" s="36" t="e">
        <f>VLOOKUP(I206,Sheet1!A:D,4,FALSE)</f>
        <v>#N/A</v>
      </c>
    </row>
    <row r="207" spans="1:40" s="36" customFormat="1" ht="14.25" x14ac:dyDescent="0.2">
      <c r="A207" s="57"/>
      <c r="D207" s="183"/>
      <c r="E207" s="183"/>
      <c r="F207" s="183"/>
      <c r="G207" s="58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234"/>
      <c r="AN207" s="36" t="e">
        <f>VLOOKUP(I207,Sheet1!A:D,4,FALSE)</f>
        <v>#N/A</v>
      </c>
    </row>
    <row r="208" spans="1:40" s="36" customFormat="1" ht="14.25" x14ac:dyDescent="0.2">
      <c r="A208" s="57"/>
      <c r="D208" s="183"/>
      <c r="E208" s="183"/>
      <c r="F208" s="183"/>
      <c r="G208" s="58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234"/>
      <c r="AN208" s="36" t="e">
        <f>VLOOKUP(I208,Sheet1!A:D,4,FALSE)</f>
        <v>#N/A</v>
      </c>
    </row>
    <row r="209" spans="1:40" s="36" customFormat="1" ht="14.25" x14ac:dyDescent="0.2">
      <c r="A209" s="57"/>
      <c r="D209" s="183"/>
      <c r="E209" s="183"/>
      <c r="F209" s="183"/>
      <c r="G209" s="58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234"/>
      <c r="AN209" s="36" t="e">
        <f>VLOOKUP(I209,Sheet1!A:D,4,FALSE)</f>
        <v>#N/A</v>
      </c>
    </row>
    <row r="210" spans="1:40" s="36" customFormat="1" ht="14.25" x14ac:dyDescent="0.2">
      <c r="A210" s="57"/>
      <c r="D210" s="183"/>
      <c r="E210" s="183"/>
      <c r="F210" s="183"/>
      <c r="G210" s="58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234"/>
      <c r="AN210" s="36" t="e">
        <f>VLOOKUP(I210,Sheet1!A:D,4,FALSE)</f>
        <v>#N/A</v>
      </c>
    </row>
    <row r="211" spans="1:40" s="36" customFormat="1" ht="14.25" x14ac:dyDescent="0.2">
      <c r="A211" s="57"/>
      <c r="D211" s="183"/>
      <c r="E211" s="183"/>
      <c r="F211" s="183"/>
      <c r="G211" s="58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234"/>
      <c r="AN211" s="36" t="e">
        <f>VLOOKUP(I211,Sheet1!A:D,4,FALSE)</f>
        <v>#N/A</v>
      </c>
    </row>
    <row r="212" spans="1:40" s="36" customFormat="1" ht="14.25" x14ac:dyDescent="0.2">
      <c r="A212" s="57"/>
      <c r="D212" s="183"/>
      <c r="E212" s="183"/>
      <c r="F212" s="183"/>
      <c r="G212" s="58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234"/>
      <c r="AN212" s="36" t="e">
        <f>VLOOKUP(I212,Sheet1!A:D,4,FALSE)</f>
        <v>#N/A</v>
      </c>
    </row>
    <row r="213" spans="1:40" s="36" customFormat="1" ht="14.25" x14ac:dyDescent="0.2">
      <c r="A213" s="57"/>
      <c r="D213" s="183"/>
      <c r="E213" s="183"/>
      <c r="F213" s="183"/>
      <c r="G213" s="58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234"/>
      <c r="AN213" s="36" t="e">
        <f>VLOOKUP(I213,Sheet1!A:D,4,FALSE)</f>
        <v>#N/A</v>
      </c>
    </row>
    <row r="214" spans="1:40" s="36" customFormat="1" ht="14.25" x14ac:dyDescent="0.2">
      <c r="A214" s="57"/>
      <c r="D214" s="183"/>
      <c r="E214" s="183"/>
      <c r="F214" s="183"/>
      <c r="G214" s="58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234"/>
      <c r="AN214" s="36" t="e">
        <f>VLOOKUP(I214,Sheet1!A:D,4,FALSE)</f>
        <v>#N/A</v>
      </c>
    </row>
    <row r="215" spans="1:40" s="36" customFormat="1" ht="14.25" x14ac:dyDescent="0.2">
      <c r="A215" s="57"/>
      <c r="D215" s="183"/>
      <c r="E215" s="183"/>
      <c r="F215" s="183"/>
      <c r="G215" s="58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234"/>
      <c r="AN215" s="36" t="e">
        <f>VLOOKUP(I215,Sheet1!A:D,4,FALSE)</f>
        <v>#N/A</v>
      </c>
    </row>
    <row r="216" spans="1:40" s="36" customFormat="1" ht="14.25" x14ac:dyDescent="0.2">
      <c r="A216" s="57"/>
      <c r="D216" s="183"/>
      <c r="E216" s="183"/>
      <c r="F216" s="183"/>
      <c r="G216" s="58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234"/>
      <c r="AN216" s="36" t="e">
        <f>VLOOKUP(I216,Sheet1!A:D,4,FALSE)</f>
        <v>#N/A</v>
      </c>
    </row>
    <row r="217" spans="1:40" s="36" customFormat="1" ht="14.25" x14ac:dyDescent="0.2">
      <c r="A217" s="57"/>
      <c r="D217" s="183"/>
      <c r="E217" s="183"/>
      <c r="F217" s="183"/>
      <c r="G217" s="58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234"/>
      <c r="AN217" s="36" t="e">
        <f>VLOOKUP(I217,Sheet1!A:D,4,FALSE)</f>
        <v>#N/A</v>
      </c>
    </row>
    <row r="218" spans="1:40" s="36" customFormat="1" ht="14.25" x14ac:dyDescent="0.2">
      <c r="A218" s="57"/>
      <c r="D218" s="183"/>
      <c r="E218" s="183"/>
      <c r="F218" s="183"/>
      <c r="G218" s="58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234"/>
      <c r="AN218" s="36" t="e">
        <f>VLOOKUP(I218,Sheet1!A:D,4,FALSE)</f>
        <v>#N/A</v>
      </c>
    </row>
    <row r="219" spans="1:40" s="36" customFormat="1" ht="14.25" x14ac:dyDescent="0.2">
      <c r="A219" s="57"/>
      <c r="D219" s="183"/>
      <c r="E219" s="183"/>
      <c r="F219" s="183"/>
      <c r="G219" s="58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234"/>
      <c r="AN219" s="36" t="e">
        <f>VLOOKUP(I219,Sheet1!A:D,4,FALSE)</f>
        <v>#N/A</v>
      </c>
    </row>
    <row r="220" spans="1:40" s="36" customFormat="1" ht="14.25" x14ac:dyDescent="0.2">
      <c r="A220" s="57"/>
      <c r="D220" s="183"/>
      <c r="E220" s="183"/>
      <c r="F220" s="183"/>
      <c r="G220" s="58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234"/>
      <c r="AN220" s="36" t="e">
        <f>VLOOKUP(I220,Sheet1!A:D,4,FALSE)</f>
        <v>#N/A</v>
      </c>
    </row>
    <row r="221" spans="1:40" s="36" customFormat="1" ht="14.25" x14ac:dyDescent="0.2">
      <c r="A221" s="57"/>
      <c r="D221" s="183"/>
      <c r="E221" s="183"/>
      <c r="F221" s="183"/>
      <c r="G221" s="58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234"/>
      <c r="AN221" s="36" t="e">
        <f>VLOOKUP(I221,Sheet1!A:D,4,FALSE)</f>
        <v>#N/A</v>
      </c>
    </row>
    <row r="222" spans="1:40" s="36" customFormat="1" ht="14.25" x14ac:dyDescent="0.2">
      <c r="A222" s="57"/>
      <c r="D222" s="183"/>
      <c r="E222" s="183"/>
      <c r="F222" s="183"/>
      <c r="G222" s="58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234"/>
      <c r="AN222" s="36" t="e">
        <f>VLOOKUP(I222,Sheet1!A:D,4,FALSE)</f>
        <v>#N/A</v>
      </c>
    </row>
    <row r="223" spans="1:40" s="36" customFormat="1" ht="14.25" x14ac:dyDescent="0.2">
      <c r="A223" s="57"/>
      <c r="D223" s="183"/>
      <c r="E223" s="183"/>
      <c r="F223" s="183"/>
      <c r="G223" s="58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234"/>
      <c r="AN223" s="36" t="e">
        <f>VLOOKUP(I223,Sheet1!A:D,4,FALSE)</f>
        <v>#N/A</v>
      </c>
    </row>
    <row r="224" spans="1:40" s="36" customFormat="1" ht="14.25" x14ac:dyDescent="0.2">
      <c r="A224" s="57"/>
      <c r="D224" s="183"/>
      <c r="E224" s="183"/>
      <c r="F224" s="183"/>
      <c r="G224" s="58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234"/>
      <c r="AN224" s="36" t="e">
        <f>VLOOKUP(I224,Sheet1!A:D,4,FALSE)</f>
        <v>#N/A</v>
      </c>
    </row>
    <row r="225" spans="1:40" s="36" customFormat="1" ht="14.25" x14ac:dyDescent="0.2">
      <c r="A225" s="57"/>
      <c r="D225" s="183"/>
      <c r="E225" s="183"/>
      <c r="F225" s="183"/>
      <c r="G225" s="58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234"/>
      <c r="AN225" s="36" t="e">
        <f>VLOOKUP(I225,Sheet1!A:D,4,FALSE)</f>
        <v>#N/A</v>
      </c>
    </row>
    <row r="226" spans="1:40" s="36" customFormat="1" ht="14.25" x14ac:dyDescent="0.2">
      <c r="A226" s="57"/>
      <c r="D226" s="183"/>
      <c r="E226" s="183"/>
      <c r="F226" s="183"/>
      <c r="G226" s="58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234"/>
      <c r="AN226" s="36" t="e">
        <f>VLOOKUP(I226,Sheet1!A:D,4,FALSE)</f>
        <v>#N/A</v>
      </c>
    </row>
    <row r="227" spans="1:40" s="36" customFormat="1" ht="14.25" x14ac:dyDescent="0.2">
      <c r="A227" s="57"/>
      <c r="D227" s="183"/>
      <c r="E227" s="183"/>
      <c r="F227" s="183"/>
      <c r="G227" s="58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234"/>
      <c r="AN227" s="36" t="e">
        <f>VLOOKUP(I227,Sheet1!A:D,4,FALSE)</f>
        <v>#N/A</v>
      </c>
    </row>
    <row r="228" spans="1:40" s="36" customFormat="1" ht="14.25" x14ac:dyDescent="0.2">
      <c r="A228" s="57"/>
      <c r="D228" s="183"/>
      <c r="E228" s="183"/>
      <c r="F228" s="183"/>
      <c r="G228" s="58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234"/>
      <c r="AN228" s="36" t="e">
        <f>VLOOKUP(I228,Sheet1!A:D,4,FALSE)</f>
        <v>#N/A</v>
      </c>
    </row>
    <row r="229" spans="1:40" s="36" customFormat="1" ht="14.25" x14ac:dyDescent="0.2">
      <c r="A229" s="57"/>
      <c r="D229" s="183"/>
      <c r="E229" s="183"/>
      <c r="F229" s="183"/>
      <c r="G229" s="58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234"/>
      <c r="AN229" s="36" t="e">
        <f>VLOOKUP(I229,Sheet1!A:D,4,FALSE)</f>
        <v>#N/A</v>
      </c>
    </row>
    <row r="230" spans="1:40" s="36" customFormat="1" ht="14.25" x14ac:dyDescent="0.2">
      <c r="A230" s="57"/>
      <c r="D230" s="183"/>
      <c r="E230" s="183"/>
      <c r="F230" s="183"/>
      <c r="G230" s="58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234"/>
      <c r="AN230" s="36" t="e">
        <f>VLOOKUP(I230,Sheet1!A:D,4,FALSE)</f>
        <v>#N/A</v>
      </c>
    </row>
    <row r="231" spans="1:40" s="36" customFormat="1" ht="14.25" x14ac:dyDescent="0.2">
      <c r="A231" s="57"/>
      <c r="D231" s="183"/>
      <c r="E231" s="183"/>
      <c r="F231" s="183"/>
      <c r="G231" s="58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234"/>
      <c r="AN231" s="36" t="e">
        <f>VLOOKUP(I231,Sheet1!A:D,4,FALSE)</f>
        <v>#N/A</v>
      </c>
    </row>
    <row r="232" spans="1:40" s="36" customFormat="1" ht="14.25" x14ac:dyDescent="0.2">
      <c r="A232" s="57"/>
      <c r="D232" s="183"/>
      <c r="E232" s="183"/>
      <c r="F232" s="183"/>
      <c r="G232" s="58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234"/>
      <c r="AN232" s="36" t="e">
        <f>VLOOKUP(I232,Sheet1!A:D,4,FALSE)</f>
        <v>#N/A</v>
      </c>
    </row>
    <row r="233" spans="1:40" s="36" customFormat="1" ht="14.25" x14ac:dyDescent="0.2">
      <c r="A233" s="57"/>
      <c r="D233" s="183"/>
      <c r="E233" s="183"/>
      <c r="F233" s="183"/>
      <c r="G233" s="58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234"/>
      <c r="AN233" s="36" t="e">
        <f>VLOOKUP(I233,Sheet1!A:D,4,FALSE)</f>
        <v>#N/A</v>
      </c>
    </row>
    <row r="234" spans="1:40" s="36" customFormat="1" ht="14.25" x14ac:dyDescent="0.2">
      <c r="A234" s="57"/>
      <c r="D234" s="183"/>
      <c r="E234" s="183"/>
      <c r="F234" s="183"/>
      <c r="G234" s="58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234"/>
      <c r="AN234" s="36" t="e">
        <f>VLOOKUP(I234,Sheet1!A:D,4,FALSE)</f>
        <v>#N/A</v>
      </c>
    </row>
    <row r="235" spans="1:40" s="36" customFormat="1" ht="14.25" x14ac:dyDescent="0.2">
      <c r="A235" s="57"/>
      <c r="D235" s="183"/>
      <c r="E235" s="183"/>
      <c r="F235" s="183"/>
      <c r="G235" s="58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234"/>
      <c r="AN235" s="36" t="e">
        <f>VLOOKUP(I235,Sheet1!A:D,4,FALSE)</f>
        <v>#N/A</v>
      </c>
    </row>
    <row r="236" spans="1:40" s="4" customFormat="1" x14ac:dyDescent="0.25">
      <c r="A236" s="6"/>
      <c r="D236" s="219"/>
      <c r="E236" s="219"/>
      <c r="F236" s="219"/>
      <c r="G236" s="31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235"/>
      <c r="AN236" s="36" t="e">
        <f>VLOOKUP(I236,Sheet1!A:D,4,FALSE)</f>
        <v>#N/A</v>
      </c>
    </row>
    <row r="237" spans="1:40" s="4" customFormat="1" x14ac:dyDescent="0.25">
      <c r="A237" s="6"/>
      <c r="D237" s="219"/>
      <c r="E237" s="219"/>
      <c r="F237" s="219"/>
      <c r="G237" s="31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235"/>
      <c r="AN237" s="36" t="e">
        <f>VLOOKUP(I237,Sheet1!A:D,4,FALSE)</f>
        <v>#N/A</v>
      </c>
    </row>
    <row r="238" spans="1:40" s="4" customFormat="1" x14ac:dyDescent="0.25">
      <c r="A238" s="6"/>
      <c r="D238" s="219"/>
      <c r="E238" s="219"/>
      <c r="F238" s="219"/>
      <c r="G238" s="31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235"/>
      <c r="AN238" s="36" t="e">
        <f>VLOOKUP(I238,Sheet1!A:D,4,FALSE)</f>
        <v>#N/A</v>
      </c>
    </row>
    <row r="239" spans="1:40" s="4" customFormat="1" x14ac:dyDescent="0.25">
      <c r="A239" s="6"/>
      <c r="D239" s="219"/>
      <c r="E239" s="219"/>
      <c r="F239" s="219"/>
      <c r="G239" s="31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235"/>
      <c r="AN239" s="36" t="e">
        <f>VLOOKUP(I239,Sheet1!A:D,4,FALSE)</f>
        <v>#N/A</v>
      </c>
    </row>
    <row r="240" spans="1:40" s="4" customFormat="1" x14ac:dyDescent="0.25">
      <c r="A240" s="6"/>
      <c r="D240" s="219"/>
      <c r="E240" s="219"/>
      <c r="F240" s="219"/>
      <c r="G240" s="31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235"/>
      <c r="AN240" s="36" t="e">
        <f>VLOOKUP(I240,Sheet1!A:D,4,FALSE)</f>
        <v>#N/A</v>
      </c>
    </row>
    <row r="241" spans="1:40" s="4" customFormat="1" x14ac:dyDescent="0.25">
      <c r="A241" s="6"/>
      <c r="D241" s="219"/>
      <c r="E241" s="219"/>
      <c r="F241" s="219"/>
      <c r="G241" s="31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235"/>
      <c r="AN241" s="36" t="e">
        <f>VLOOKUP(I241,Sheet1!A:D,4,FALSE)</f>
        <v>#N/A</v>
      </c>
    </row>
    <row r="242" spans="1:40" s="4" customFormat="1" x14ac:dyDescent="0.25">
      <c r="A242" s="6"/>
      <c r="D242" s="219"/>
      <c r="E242" s="219"/>
      <c r="F242" s="219"/>
      <c r="G242" s="31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235"/>
      <c r="AN242" s="36" t="e">
        <f>VLOOKUP(I242,Sheet1!A:D,4,FALSE)</f>
        <v>#N/A</v>
      </c>
    </row>
    <row r="243" spans="1:40" s="4" customFormat="1" x14ac:dyDescent="0.25">
      <c r="A243" s="6"/>
      <c r="D243" s="219"/>
      <c r="E243" s="219"/>
      <c r="F243" s="219"/>
      <c r="G243" s="31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235"/>
      <c r="AN243" s="36" t="e">
        <f>VLOOKUP(I243,Sheet1!A:D,4,FALSE)</f>
        <v>#N/A</v>
      </c>
    </row>
    <row r="244" spans="1:40" s="4" customFormat="1" x14ac:dyDescent="0.25">
      <c r="A244" s="6"/>
      <c r="D244" s="219"/>
      <c r="E244" s="219"/>
      <c r="F244" s="219"/>
      <c r="G244" s="31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235"/>
      <c r="AN244" s="36" t="e">
        <f>VLOOKUP(I244,Sheet1!A:D,4,FALSE)</f>
        <v>#N/A</v>
      </c>
    </row>
    <row r="245" spans="1:40" s="4" customFormat="1" x14ac:dyDescent="0.25">
      <c r="A245" s="6"/>
      <c r="D245" s="219"/>
      <c r="E245" s="219"/>
      <c r="F245" s="219"/>
      <c r="G245" s="31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235"/>
      <c r="AN245" s="36" t="e">
        <f>VLOOKUP(I245,Sheet1!A:D,4,FALSE)</f>
        <v>#N/A</v>
      </c>
    </row>
    <row r="246" spans="1:40" s="4" customFormat="1" x14ac:dyDescent="0.25">
      <c r="A246" s="6"/>
      <c r="D246" s="219"/>
      <c r="E246" s="219"/>
      <c r="F246" s="219"/>
      <c r="G246" s="31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235"/>
      <c r="AN246" s="36" t="e">
        <f>VLOOKUP(I246,Sheet1!A:D,4,FALSE)</f>
        <v>#N/A</v>
      </c>
    </row>
    <row r="247" spans="1:40" s="4" customFormat="1" x14ac:dyDescent="0.25">
      <c r="A247" s="6"/>
      <c r="D247" s="219"/>
      <c r="E247" s="219"/>
      <c r="F247" s="219"/>
      <c r="G247" s="31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235"/>
      <c r="AN247" s="36" t="e">
        <f>VLOOKUP(I247,Sheet1!A:D,4,FALSE)</f>
        <v>#N/A</v>
      </c>
    </row>
    <row r="248" spans="1:40" s="4" customFormat="1" x14ac:dyDescent="0.25">
      <c r="A248" s="6"/>
      <c r="D248" s="219"/>
      <c r="E248" s="219"/>
      <c r="F248" s="219"/>
      <c r="G248" s="31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235"/>
      <c r="AN248" s="36" t="e">
        <f>VLOOKUP(I248,Sheet1!A:D,4,FALSE)</f>
        <v>#N/A</v>
      </c>
    </row>
    <row r="249" spans="1:40" s="4" customFormat="1" x14ac:dyDescent="0.25">
      <c r="A249" s="6"/>
      <c r="D249" s="219"/>
      <c r="E249" s="219"/>
      <c r="F249" s="219"/>
      <c r="G249" s="31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235"/>
      <c r="AN249" s="36" t="e">
        <f>VLOOKUP(I249,Sheet1!A:D,4,FALSE)</f>
        <v>#N/A</v>
      </c>
    </row>
    <row r="250" spans="1:40" s="4" customFormat="1" x14ac:dyDescent="0.25">
      <c r="A250" s="6"/>
      <c r="D250" s="219"/>
      <c r="E250" s="219"/>
      <c r="F250" s="219"/>
      <c r="G250" s="31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235"/>
      <c r="AN250" s="36" t="e">
        <f>VLOOKUP(I250,Sheet1!A:D,4,FALSE)</f>
        <v>#N/A</v>
      </c>
    </row>
    <row r="251" spans="1:40" s="4" customFormat="1" x14ac:dyDescent="0.25">
      <c r="A251" s="6"/>
      <c r="D251" s="219"/>
      <c r="E251" s="219"/>
      <c r="F251" s="219"/>
      <c r="G251" s="31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235"/>
      <c r="AN251" s="36" t="e">
        <f>VLOOKUP(I251,Sheet1!A:D,4,FALSE)</f>
        <v>#N/A</v>
      </c>
    </row>
    <row r="252" spans="1:40" s="4" customFormat="1" x14ac:dyDescent="0.25">
      <c r="A252" s="6"/>
      <c r="D252" s="219"/>
      <c r="E252" s="219"/>
      <c r="F252" s="219"/>
      <c r="G252" s="31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235"/>
      <c r="AN252" s="36" t="e">
        <f>VLOOKUP(I252,Sheet1!A:D,4,FALSE)</f>
        <v>#N/A</v>
      </c>
    </row>
    <row r="253" spans="1:40" s="4" customFormat="1" x14ac:dyDescent="0.25">
      <c r="A253" s="6"/>
      <c r="D253" s="219"/>
      <c r="E253" s="219"/>
      <c r="F253" s="219"/>
      <c r="G253" s="31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235"/>
      <c r="AN253" s="36" t="e">
        <f>VLOOKUP(I253,Sheet1!A:D,4,FALSE)</f>
        <v>#N/A</v>
      </c>
    </row>
    <row r="254" spans="1:40" s="4" customFormat="1" x14ac:dyDescent="0.25">
      <c r="A254" s="6"/>
      <c r="D254" s="219"/>
      <c r="E254" s="219"/>
      <c r="F254" s="219"/>
      <c r="G254" s="31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235"/>
      <c r="AN254" s="36" t="e">
        <f>VLOOKUP(I254,Sheet1!A:D,4,FALSE)</f>
        <v>#N/A</v>
      </c>
    </row>
    <row r="255" spans="1:40" s="4" customFormat="1" x14ac:dyDescent="0.25">
      <c r="A255" s="6"/>
      <c r="D255" s="219"/>
      <c r="E255" s="219"/>
      <c r="F255" s="219"/>
      <c r="G255" s="31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235"/>
      <c r="AN255" s="36" t="e">
        <f>VLOOKUP(I255,Sheet1!A:D,4,FALSE)</f>
        <v>#N/A</v>
      </c>
    </row>
    <row r="256" spans="1:40" s="4" customFormat="1" x14ac:dyDescent="0.25">
      <c r="A256" s="6"/>
      <c r="D256" s="219"/>
      <c r="E256" s="219"/>
      <c r="F256" s="219"/>
      <c r="G256" s="31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235"/>
      <c r="AN256" s="36" t="e">
        <f>VLOOKUP(I256,Sheet1!A:D,4,FALSE)</f>
        <v>#N/A</v>
      </c>
    </row>
    <row r="257" spans="1:40" s="4" customFormat="1" x14ac:dyDescent="0.25">
      <c r="A257" s="6"/>
      <c r="D257" s="219"/>
      <c r="E257" s="219"/>
      <c r="F257" s="219"/>
      <c r="G257" s="31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235"/>
      <c r="AN257" s="36" t="e">
        <f>VLOOKUP(I257,Sheet1!A:D,4,FALSE)</f>
        <v>#N/A</v>
      </c>
    </row>
    <row r="258" spans="1:40" s="4" customFormat="1" x14ac:dyDescent="0.25">
      <c r="A258" s="6"/>
      <c r="D258" s="219"/>
      <c r="E258" s="219"/>
      <c r="F258" s="219"/>
      <c r="G258" s="31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235"/>
      <c r="AN258" s="36" t="e">
        <f>VLOOKUP(I258,Sheet1!A:D,4,FALSE)</f>
        <v>#N/A</v>
      </c>
    </row>
    <row r="259" spans="1:40" s="4" customFormat="1" x14ac:dyDescent="0.25">
      <c r="A259" s="6"/>
      <c r="D259" s="219"/>
      <c r="E259" s="219"/>
      <c r="F259" s="219"/>
      <c r="G259" s="31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235"/>
    </row>
    <row r="260" spans="1:40" s="4" customFormat="1" x14ac:dyDescent="0.25">
      <c r="A260" s="6"/>
      <c r="D260" s="219"/>
      <c r="E260" s="219"/>
      <c r="F260" s="219"/>
      <c r="G260" s="31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235"/>
    </row>
    <row r="261" spans="1:40" s="4" customFormat="1" x14ac:dyDescent="0.25">
      <c r="A261" s="6"/>
      <c r="D261" s="219"/>
      <c r="E261" s="219"/>
      <c r="F261" s="219"/>
      <c r="G261" s="31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235"/>
    </row>
    <row r="262" spans="1:40" s="4" customFormat="1" x14ac:dyDescent="0.25">
      <c r="A262" s="6"/>
      <c r="D262" s="219"/>
      <c r="E262" s="219"/>
      <c r="F262" s="219"/>
      <c r="G262" s="31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235"/>
    </row>
    <row r="263" spans="1:40" s="4" customFormat="1" x14ac:dyDescent="0.25">
      <c r="A263" s="6"/>
      <c r="D263" s="219"/>
      <c r="E263" s="219"/>
      <c r="F263" s="219"/>
      <c r="G263" s="31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235"/>
    </row>
    <row r="264" spans="1:40" s="4" customFormat="1" x14ac:dyDescent="0.25">
      <c r="A264" s="6"/>
      <c r="D264" s="219"/>
      <c r="E264" s="219"/>
      <c r="F264" s="219"/>
      <c r="G264" s="31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235"/>
    </row>
    <row r="265" spans="1:40" s="4" customFormat="1" x14ac:dyDescent="0.25">
      <c r="A265" s="6"/>
      <c r="D265" s="219"/>
      <c r="E265" s="219"/>
      <c r="F265" s="219"/>
      <c r="G265" s="31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235"/>
    </row>
    <row r="266" spans="1:40" s="4" customFormat="1" x14ac:dyDescent="0.25">
      <c r="A266" s="6"/>
      <c r="D266" s="219"/>
      <c r="E266" s="219"/>
      <c r="F266" s="219"/>
      <c r="G266" s="31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235"/>
    </row>
    <row r="267" spans="1:40" s="4" customFormat="1" x14ac:dyDescent="0.25">
      <c r="A267" s="6"/>
      <c r="D267" s="219"/>
      <c r="E267" s="219"/>
      <c r="F267" s="219"/>
      <c r="G267" s="31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235"/>
    </row>
    <row r="268" spans="1:40" s="4" customFormat="1" x14ac:dyDescent="0.25">
      <c r="A268" s="6"/>
      <c r="D268" s="219"/>
      <c r="E268" s="219"/>
      <c r="F268" s="219"/>
      <c r="G268" s="31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235"/>
    </row>
    <row r="269" spans="1:40" s="4" customFormat="1" x14ac:dyDescent="0.25">
      <c r="A269" s="6"/>
      <c r="D269" s="219"/>
      <c r="E269" s="219"/>
      <c r="F269" s="219"/>
      <c r="G269" s="31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235"/>
    </row>
    <row r="270" spans="1:40" s="4" customFormat="1" x14ac:dyDescent="0.25">
      <c r="A270" s="6"/>
      <c r="D270" s="219"/>
      <c r="E270" s="219"/>
      <c r="F270" s="219"/>
      <c r="G270" s="31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235"/>
    </row>
    <row r="271" spans="1:40" s="4" customFormat="1" x14ac:dyDescent="0.25">
      <c r="A271" s="6"/>
      <c r="D271" s="219"/>
      <c r="E271" s="219"/>
      <c r="F271" s="219"/>
      <c r="G271" s="31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235"/>
    </row>
    <row r="272" spans="1:40" s="4" customFormat="1" x14ac:dyDescent="0.25">
      <c r="A272" s="6"/>
      <c r="D272" s="219"/>
      <c r="E272" s="219"/>
      <c r="F272" s="219"/>
      <c r="G272" s="31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235"/>
    </row>
    <row r="273" spans="1:24" s="4" customFormat="1" x14ac:dyDescent="0.25">
      <c r="A273" s="6"/>
      <c r="D273" s="219"/>
      <c r="E273" s="219"/>
      <c r="F273" s="219"/>
      <c r="G273" s="31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235"/>
    </row>
    <row r="274" spans="1:24" s="4" customFormat="1" x14ac:dyDescent="0.25">
      <c r="A274" s="6"/>
      <c r="D274" s="219"/>
      <c r="E274" s="219"/>
      <c r="F274" s="219"/>
      <c r="G274" s="31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235"/>
    </row>
    <row r="275" spans="1:24" s="4" customFormat="1" x14ac:dyDescent="0.25">
      <c r="A275" s="6"/>
      <c r="D275" s="219"/>
      <c r="E275" s="219"/>
      <c r="F275" s="219"/>
      <c r="G275" s="31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235"/>
    </row>
    <row r="276" spans="1:24" s="4" customFormat="1" x14ac:dyDescent="0.25">
      <c r="A276" s="6"/>
      <c r="D276" s="219"/>
      <c r="E276" s="219"/>
      <c r="F276" s="219"/>
      <c r="G276" s="31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235"/>
    </row>
    <row r="277" spans="1:24" s="4" customFormat="1" x14ac:dyDescent="0.25">
      <c r="A277" s="6"/>
      <c r="D277" s="219"/>
      <c r="E277" s="219"/>
      <c r="F277" s="219"/>
      <c r="G277" s="31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235"/>
    </row>
    <row r="278" spans="1:24" s="4" customFormat="1" x14ac:dyDescent="0.25">
      <c r="A278" s="6"/>
      <c r="D278" s="219"/>
      <c r="E278" s="219"/>
      <c r="F278" s="219"/>
      <c r="G278" s="31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235"/>
    </row>
    <row r="279" spans="1:24" s="4" customFormat="1" x14ac:dyDescent="0.25">
      <c r="A279" s="6"/>
      <c r="D279" s="219"/>
      <c r="E279" s="219"/>
      <c r="F279" s="219"/>
      <c r="G279" s="31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235"/>
    </row>
    <row r="280" spans="1:24" s="4" customFormat="1" x14ac:dyDescent="0.25">
      <c r="A280" s="6"/>
      <c r="D280" s="219"/>
      <c r="E280" s="219"/>
      <c r="F280" s="219"/>
      <c r="G280" s="31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235"/>
    </row>
    <row r="281" spans="1:24" s="4" customFormat="1" x14ac:dyDescent="0.25">
      <c r="A281" s="6"/>
      <c r="D281" s="219"/>
      <c r="E281" s="219"/>
      <c r="F281" s="219"/>
      <c r="G281" s="31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235"/>
    </row>
  </sheetData>
  <autoFilter ref="A6:XEZ6" xr:uid="{0A9A02CB-01C6-4170-A01F-712369831D8C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E90E-A5FD-43BE-8363-F559CF1E61FC}">
  <dimension ref="A1:XFC501"/>
  <sheetViews>
    <sheetView workbookViewId="0">
      <selection activeCell="A25" sqref="A25:XFD30"/>
    </sheetView>
  </sheetViews>
  <sheetFormatPr defaultRowHeight="15" x14ac:dyDescent="0.25"/>
  <cols>
    <col min="1" max="1" width="15.85546875" style="6" bestFit="1" customWidth="1"/>
    <col min="2" max="6" width="9.140625" style="4"/>
    <col min="7" max="7" width="10.7109375" style="31" bestFit="1" customWidth="1"/>
    <col min="8" max="8" width="32" style="4" bestFit="1" customWidth="1"/>
    <col min="9" max="13" width="9.140625" style="4"/>
    <col min="14" max="14" width="11.5703125" style="8" bestFit="1" customWidth="1"/>
    <col min="15" max="15" width="12.5703125" style="8" bestFit="1" customWidth="1"/>
    <col min="16" max="16" width="33.140625" style="8" bestFit="1" customWidth="1"/>
    <col min="17" max="19" width="9.140625" style="4"/>
    <col min="20" max="22" width="11.5703125" style="8" bestFit="1" customWidth="1"/>
    <col min="23" max="23" width="9.28515625" style="8" bestFit="1" customWidth="1"/>
    <col min="24" max="24" width="11.5703125" style="8" bestFit="1" customWidth="1"/>
    <col min="25" max="26" width="9.140625" style="4"/>
    <col min="27" max="27" width="9.140625" style="219"/>
    <col min="28" max="39" width="9.140625" style="4"/>
    <col min="40" max="40" width="11.42578125" style="4" bestFit="1" customWidth="1"/>
    <col min="41" max="43" width="9.140625" style="4"/>
    <col min="44" max="44" width="89.5703125" style="4" hidden="1" customWidth="1"/>
    <col min="45" max="16384" width="9.140625" style="4"/>
  </cols>
  <sheetData>
    <row r="1" spans="1:16383" customFormat="1" x14ac:dyDescent="0.25">
      <c r="A1" s="73"/>
      <c r="B1" s="74"/>
      <c r="C1" s="74"/>
      <c r="D1" s="75"/>
      <c r="E1" s="75"/>
      <c r="F1" s="75"/>
      <c r="G1" s="76"/>
      <c r="H1" s="74"/>
      <c r="I1" s="74"/>
      <c r="J1" s="74"/>
      <c r="K1" s="77"/>
      <c r="L1" s="78"/>
      <c r="M1" s="82"/>
      <c r="N1" s="79"/>
      <c r="O1" s="79"/>
      <c r="P1" s="79"/>
      <c r="Q1" s="79"/>
      <c r="R1" s="79"/>
      <c r="S1" s="78"/>
      <c r="T1" s="79"/>
      <c r="U1" s="79"/>
      <c r="V1" s="79"/>
      <c r="W1" s="79"/>
      <c r="X1" s="79"/>
      <c r="Y1" s="74"/>
      <c r="Z1" s="74"/>
      <c r="AA1" s="181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  <c r="ET1" s="74"/>
      <c r="EU1" s="74"/>
      <c r="EV1" s="74"/>
      <c r="EW1" s="74"/>
      <c r="EX1" s="74"/>
      <c r="EY1" s="74"/>
      <c r="EZ1" s="74"/>
      <c r="FA1" s="74"/>
      <c r="FB1" s="74"/>
      <c r="FC1" s="74"/>
      <c r="FD1" s="74"/>
      <c r="FE1" s="74"/>
      <c r="FF1" s="74"/>
      <c r="FG1" s="74"/>
      <c r="FH1" s="74"/>
      <c r="FI1" s="74"/>
      <c r="FJ1" s="74"/>
      <c r="FK1" s="74"/>
      <c r="FL1" s="74"/>
      <c r="FM1" s="74"/>
      <c r="FN1" s="74"/>
      <c r="FO1" s="74"/>
      <c r="FP1" s="74"/>
      <c r="FQ1" s="74"/>
      <c r="FR1" s="74"/>
      <c r="FS1" s="74"/>
      <c r="FT1" s="74"/>
      <c r="FU1" s="74"/>
      <c r="FV1" s="74"/>
      <c r="FW1" s="74"/>
      <c r="FX1" s="74"/>
      <c r="FY1" s="74"/>
      <c r="FZ1" s="74"/>
      <c r="GA1" s="74"/>
      <c r="GB1" s="74"/>
      <c r="GC1" s="74"/>
      <c r="GD1" s="74"/>
      <c r="GE1" s="74"/>
      <c r="GF1" s="74"/>
      <c r="GG1" s="74"/>
      <c r="GH1" s="74"/>
      <c r="GI1" s="74"/>
      <c r="GJ1" s="74"/>
      <c r="GK1" s="74"/>
      <c r="GL1" s="74"/>
      <c r="GM1" s="74"/>
      <c r="GN1" s="74"/>
      <c r="GO1" s="74"/>
      <c r="GP1" s="74"/>
      <c r="GQ1" s="74"/>
      <c r="GR1" s="74"/>
      <c r="GS1" s="74"/>
      <c r="GT1" s="74"/>
      <c r="GU1" s="74"/>
      <c r="GV1" s="74"/>
      <c r="GW1" s="74"/>
      <c r="GX1" s="74"/>
      <c r="GY1" s="74"/>
      <c r="GZ1" s="74"/>
      <c r="HA1" s="74"/>
      <c r="HB1" s="74"/>
      <c r="HC1" s="74"/>
      <c r="HD1" s="74"/>
      <c r="HE1" s="74"/>
      <c r="HF1" s="74"/>
      <c r="HG1" s="74"/>
      <c r="HH1" s="74"/>
      <c r="HI1" s="74"/>
      <c r="HJ1" s="74"/>
      <c r="HK1" s="74"/>
      <c r="HL1" s="74"/>
      <c r="HM1" s="74"/>
      <c r="HN1" s="74"/>
      <c r="HO1" s="74"/>
      <c r="HP1" s="74"/>
      <c r="HQ1" s="74"/>
      <c r="HR1" s="74"/>
      <c r="HS1" s="74"/>
      <c r="HT1" s="74"/>
      <c r="HU1" s="74"/>
      <c r="HV1" s="74"/>
      <c r="HW1" s="74"/>
      <c r="HX1" s="74"/>
      <c r="HY1" s="74"/>
      <c r="HZ1" s="74"/>
      <c r="IA1" s="74"/>
      <c r="IB1" s="74"/>
      <c r="IC1" s="74"/>
      <c r="ID1" s="74"/>
      <c r="IE1" s="74"/>
      <c r="IF1" s="74"/>
      <c r="IG1" s="74"/>
      <c r="IH1" s="74"/>
      <c r="II1" s="74"/>
      <c r="IJ1" s="74"/>
      <c r="IK1" s="74"/>
      <c r="IL1" s="74"/>
      <c r="IM1" s="74"/>
      <c r="IN1" s="74"/>
      <c r="IO1" s="74"/>
      <c r="IP1" s="74"/>
      <c r="IQ1" s="74"/>
      <c r="IR1" s="74"/>
      <c r="IS1" s="74"/>
      <c r="IT1" s="74"/>
      <c r="IU1" s="74"/>
      <c r="IV1" s="74"/>
      <c r="IW1" s="74"/>
      <c r="IX1" s="74"/>
      <c r="IY1" s="74"/>
      <c r="IZ1" s="74"/>
      <c r="JA1" s="74"/>
      <c r="JB1" s="74"/>
      <c r="JC1" s="74"/>
      <c r="JD1" s="74"/>
      <c r="JE1" s="74"/>
      <c r="JF1" s="74"/>
      <c r="JG1" s="74"/>
      <c r="JH1" s="74"/>
      <c r="JI1" s="74"/>
      <c r="JJ1" s="74"/>
      <c r="JK1" s="74"/>
      <c r="JL1" s="74"/>
      <c r="JM1" s="74"/>
      <c r="JN1" s="74"/>
      <c r="JO1" s="74"/>
      <c r="JP1" s="74"/>
      <c r="JQ1" s="74"/>
      <c r="JR1" s="74"/>
      <c r="JS1" s="74"/>
      <c r="JT1" s="74"/>
      <c r="JU1" s="74"/>
      <c r="JV1" s="74"/>
      <c r="JW1" s="74"/>
      <c r="JX1" s="74"/>
      <c r="JY1" s="74"/>
      <c r="JZ1" s="74"/>
      <c r="KA1" s="74"/>
      <c r="KB1" s="74"/>
      <c r="KC1" s="74"/>
      <c r="KD1" s="74"/>
      <c r="KE1" s="74"/>
      <c r="KF1" s="74"/>
      <c r="KG1" s="74"/>
      <c r="KH1" s="74"/>
      <c r="KI1" s="74"/>
      <c r="KJ1" s="74"/>
      <c r="KK1" s="74"/>
      <c r="KL1" s="74"/>
      <c r="KM1" s="74"/>
      <c r="KN1" s="74"/>
      <c r="KO1" s="74"/>
      <c r="KP1" s="74"/>
      <c r="KQ1" s="74"/>
      <c r="KR1" s="74"/>
      <c r="KS1" s="74"/>
      <c r="KT1" s="74"/>
      <c r="KU1" s="74"/>
      <c r="KV1" s="74"/>
      <c r="KW1" s="74"/>
      <c r="KX1" s="74"/>
      <c r="KY1" s="74"/>
      <c r="KZ1" s="74"/>
      <c r="LA1" s="74"/>
      <c r="LB1" s="74"/>
      <c r="LC1" s="74"/>
      <c r="LD1" s="74"/>
      <c r="LE1" s="74"/>
      <c r="LF1" s="74"/>
      <c r="LG1" s="74"/>
      <c r="LH1" s="74"/>
      <c r="LI1" s="74"/>
      <c r="LJ1" s="74"/>
      <c r="LK1" s="74"/>
      <c r="LL1" s="74"/>
      <c r="LM1" s="74"/>
      <c r="LN1" s="74"/>
      <c r="LO1" s="74"/>
      <c r="LP1" s="74"/>
      <c r="LQ1" s="74"/>
      <c r="LR1" s="74"/>
      <c r="LS1" s="74"/>
      <c r="LT1" s="74"/>
      <c r="LU1" s="74"/>
      <c r="LV1" s="74"/>
      <c r="LW1" s="74"/>
      <c r="LX1" s="74"/>
      <c r="LY1" s="74"/>
      <c r="LZ1" s="74"/>
      <c r="MA1" s="74"/>
      <c r="MB1" s="74"/>
      <c r="MC1" s="74"/>
      <c r="MD1" s="74"/>
      <c r="ME1" s="74"/>
      <c r="MF1" s="74"/>
      <c r="MG1" s="74"/>
      <c r="MH1" s="74"/>
      <c r="MI1" s="74"/>
      <c r="MJ1" s="74"/>
      <c r="MK1" s="74"/>
      <c r="ML1" s="74"/>
      <c r="MM1" s="74"/>
      <c r="MN1" s="74"/>
      <c r="MO1" s="74"/>
      <c r="MP1" s="74"/>
      <c r="MQ1" s="74"/>
      <c r="MR1" s="74"/>
      <c r="MS1" s="74"/>
      <c r="MT1" s="74"/>
      <c r="MU1" s="74"/>
      <c r="MV1" s="74"/>
      <c r="MW1" s="74"/>
      <c r="MX1" s="74"/>
      <c r="MY1" s="74"/>
      <c r="MZ1" s="74"/>
      <c r="NA1" s="74"/>
      <c r="NB1" s="74"/>
      <c r="NC1" s="74"/>
      <c r="ND1" s="74"/>
      <c r="NE1" s="74"/>
      <c r="NF1" s="74"/>
      <c r="NG1" s="74"/>
      <c r="NH1" s="74"/>
      <c r="NI1" s="74"/>
      <c r="NJ1" s="74"/>
      <c r="NK1" s="74"/>
      <c r="NL1" s="74"/>
      <c r="NM1" s="74"/>
      <c r="NN1" s="74"/>
      <c r="NO1" s="74"/>
      <c r="NP1" s="74"/>
      <c r="NQ1" s="74"/>
      <c r="NR1" s="74"/>
      <c r="NS1" s="74"/>
      <c r="NT1" s="74"/>
      <c r="NU1" s="74"/>
      <c r="NV1" s="74"/>
      <c r="NW1" s="74"/>
      <c r="NX1" s="74"/>
      <c r="NY1" s="74"/>
      <c r="NZ1" s="74"/>
      <c r="OA1" s="74"/>
      <c r="OB1" s="74"/>
      <c r="OC1" s="74"/>
      <c r="OD1" s="74"/>
      <c r="OE1" s="74"/>
      <c r="OF1" s="74"/>
      <c r="OG1" s="74"/>
      <c r="OH1" s="74"/>
      <c r="OI1" s="74"/>
      <c r="OJ1" s="74"/>
      <c r="OK1" s="74"/>
      <c r="OL1" s="74"/>
      <c r="OM1" s="74"/>
      <c r="ON1" s="74"/>
      <c r="OO1" s="74"/>
      <c r="OP1" s="74"/>
      <c r="OQ1" s="74"/>
      <c r="OR1" s="74"/>
      <c r="OS1" s="74"/>
      <c r="OT1" s="74"/>
      <c r="OU1" s="74"/>
      <c r="OV1" s="74"/>
      <c r="OW1" s="74"/>
      <c r="OX1" s="74"/>
      <c r="OY1" s="74"/>
      <c r="OZ1" s="74"/>
      <c r="PA1" s="74"/>
      <c r="PB1" s="74"/>
      <c r="PC1" s="74"/>
      <c r="PD1" s="74"/>
      <c r="PE1" s="74"/>
      <c r="PF1" s="74"/>
      <c r="PG1" s="74"/>
      <c r="PH1" s="74"/>
      <c r="PI1" s="74"/>
      <c r="PJ1" s="74"/>
      <c r="PK1" s="74"/>
      <c r="PL1" s="74"/>
      <c r="PM1" s="74"/>
      <c r="PN1" s="74"/>
      <c r="PO1" s="74"/>
      <c r="PP1" s="74"/>
      <c r="PQ1" s="74"/>
      <c r="PR1" s="74"/>
      <c r="PS1" s="74"/>
      <c r="PT1" s="74"/>
      <c r="PU1" s="74"/>
      <c r="PV1" s="74"/>
      <c r="PW1" s="74"/>
      <c r="PX1" s="74"/>
      <c r="PY1" s="74"/>
      <c r="PZ1" s="74"/>
      <c r="QA1" s="74"/>
      <c r="QB1" s="74"/>
      <c r="QC1" s="74"/>
      <c r="QD1" s="74"/>
      <c r="QE1" s="74"/>
      <c r="QF1" s="74"/>
      <c r="QG1" s="74"/>
      <c r="QH1" s="74"/>
      <c r="QI1" s="74"/>
      <c r="QJ1" s="74"/>
      <c r="QK1" s="74"/>
      <c r="QL1" s="74"/>
      <c r="QM1" s="74"/>
      <c r="QN1" s="74"/>
      <c r="QO1" s="74"/>
      <c r="QP1" s="74"/>
      <c r="QQ1" s="74"/>
      <c r="QR1" s="74"/>
      <c r="QS1" s="74"/>
      <c r="QT1" s="74"/>
      <c r="QU1" s="74"/>
      <c r="QV1" s="74"/>
      <c r="QW1" s="74"/>
      <c r="QX1" s="74"/>
      <c r="QY1" s="74"/>
      <c r="QZ1" s="74"/>
      <c r="RA1" s="74"/>
      <c r="RB1" s="74"/>
      <c r="RC1" s="74"/>
      <c r="RD1" s="74"/>
      <c r="RE1" s="74"/>
      <c r="RF1" s="74"/>
      <c r="RG1" s="74"/>
      <c r="RH1" s="74"/>
      <c r="RI1" s="74"/>
      <c r="RJ1" s="74"/>
      <c r="RK1" s="74"/>
      <c r="RL1" s="74"/>
      <c r="RM1" s="74"/>
      <c r="RN1" s="74"/>
      <c r="RO1" s="74"/>
      <c r="RP1" s="74"/>
      <c r="RQ1" s="74"/>
      <c r="RR1" s="74"/>
      <c r="RS1" s="74"/>
      <c r="RT1" s="74"/>
      <c r="RU1" s="74"/>
      <c r="RV1" s="74"/>
      <c r="RW1" s="74"/>
      <c r="RX1" s="74"/>
      <c r="RY1" s="74"/>
      <c r="RZ1" s="74"/>
      <c r="SA1" s="74"/>
      <c r="SB1" s="74"/>
      <c r="SC1" s="74"/>
      <c r="SD1" s="74"/>
      <c r="SE1" s="74"/>
      <c r="SF1" s="74"/>
      <c r="SG1" s="74"/>
      <c r="SH1" s="74"/>
      <c r="SI1" s="74"/>
      <c r="SJ1" s="74"/>
      <c r="SK1" s="74"/>
      <c r="SL1" s="74"/>
      <c r="SM1" s="74"/>
      <c r="SN1" s="74"/>
      <c r="SO1" s="74"/>
      <c r="SP1" s="74"/>
      <c r="SQ1" s="74"/>
      <c r="SR1" s="74"/>
      <c r="SS1" s="74"/>
      <c r="ST1" s="74"/>
      <c r="SU1" s="74"/>
      <c r="SV1" s="74"/>
      <c r="SW1" s="74"/>
      <c r="SX1" s="74"/>
      <c r="SY1" s="74"/>
      <c r="SZ1" s="74"/>
      <c r="TA1" s="74"/>
      <c r="TB1" s="74"/>
      <c r="TC1" s="74"/>
      <c r="TD1" s="74"/>
      <c r="TE1" s="74"/>
      <c r="TF1" s="74"/>
      <c r="TG1" s="74"/>
      <c r="TH1" s="74"/>
      <c r="TI1" s="74"/>
      <c r="TJ1" s="74"/>
      <c r="TK1" s="74"/>
      <c r="TL1" s="74"/>
      <c r="TM1" s="74"/>
      <c r="TN1" s="74"/>
      <c r="TO1" s="74"/>
      <c r="TP1" s="74"/>
      <c r="TQ1" s="74"/>
      <c r="TR1" s="74"/>
      <c r="TS1" s="74"/>
      <c r="TT1" s="74"/>
      <c r="TU1" s="74"/>
      <c r="TV1" s="74"/>
      <c r="TW1" s="74"/>
      <c r="TX1" s="74"/>
      <c r="TY1" s="74"/>
      <c r="TZ1" s="74"/>
      <c r="UA1" s="74"/>
      <c r="UB1" s="74"/>
      <c r="UC1" s="74"/>
      <c r="UD1" s="74"/>
      <c r="UE1" s="74"/>
      <c r="UF1" s="74"/>
      <c r="UG1" s="74"/>
      <c r="UH1" s="74"/>
      <c r="UI1" s="74"/>
      <c r="UJ1" s="74"/>
      <c r="UK1" s="74"/>
      <c r="UL1" s="74"/>
      <c r="UM1" s="74"/>
      <c r="UN1" s="74"/>
      <c r="UO1" s="74"/>
      <c r="UP1" s="74"/>
      <c r="UQ1" s="74"/>
      <c r="UR1" s="74"/>
      <c r="US1" s="74"/>
      <c r="UT1" s="74"/>
      <c r="UU1" s="74"/>
      <c r="UV1" s="74"/>
      <c r="UW1" s="74"/>
      <c r="UX1" s="74"/>
      <c r="UY1" s="74"/>
      <c r="UZ1" s="74"/>
      <c r="VA1" s="74"/>
      <c r="VB1" s="74"/>
      <c r="VC1" s="74"/>
      <c r="VD1" s="74"/>
      <c r="VE1" s="74"/>
      <c r="VF1" s="74"/>
      <c r="VG1" s="74"/>
      <c r="VH1" s="74"/>
      <c r="VI1" s="74"/>
      <c r="VJ1" s="74"/>
      <c r="VK1" s="74"/>
      <c r="VL1" s="74"/>
      <c r="VM1" s="74"/>
      <c r="VN1" s="74"/>
      <c r="VO1" s="74"/>
      <c r="VP1" s="74"/>
      <c r="VQ1" s="74"/>
      <c r="VR1" s="74"/>
      <c r="VS1" s="74"/>
      <c r="VT1" s="74"/>
      <c r="VU1" s="74"/>
      <c r="VV1" s="74"/>
      <c r="VW1" s="74"/>
      <c r="VX1" s="74"/>
      <c r="VY1" s="74"/>
      <c r="VZ1" s="74"/>
      <c r="WA1" s="74"/>
      <c r="WB1" s="74"/>
      <c r="WC1" s="74"/>
      <c r="WD1" s="74"/>
      <c r="WE1" s="74"/>
      <c r="WF1" s="74"/>
      <c r="WG1" s="74"/>
      <c r="WH1" s="74"/>
      <c r="WI1" s="74"/>
      <c r="WJ1" s="74"/>
      <c r="WK1" s="74"/>
      <c r="WL1" s="74"/>
      <c r="WM1" s="74"/>
      <c r="WN1" s="74"/>
      <c r="WO1" s="74"/>
      <c r="WP1" s="74"/>
      <c r="WQ1" s="74"/>
      <c r="WR1" s="74"/>
      <c r="WS1" s="74"/>
      <c r="WT1" s="74"/>
      <c r="WU1" s="74"/>
      <c r="WV1" s="74"/>
      <c r="WW1" s="74"/>
      <c r="WX1" s="74"/>
      <c r="WY1" s="74"/>
      <c r="WZ1" s="74"/>
      <c r="XA1" s="74"/>
      <c r="XB1" s="74"/>
      <c r="XC1" s="74"/>
      <c r="XD1" s="74"/>
      <c r="XE1" s="74"/>
      <c r="XF1" s="74"/>
      <c r="XG1" s="74"/>
      <c r="XH1" s="74"/>
      <c r="XI1" s="74"/>
      <c r="XJ1" s="74"/>
      <c r="XK1" s="74"/>
      <c r="XL1" s="74"/>
      <c r="XM1" s="74"/>
      <c r="XN1" s="74"/>
      <c r="XO1" s="74"/>
      <c r="XP1" s="74"/>
      <c r="XQ1" s="74"/>
      <c r="XR1" s="74"/>
      <c r="XS1" s="74"/>
      <c r="XT1" s="74"/>
      <c r="XU1" s="74"/>
      <c r="XV1" s="74"/>
      <c r="XW1" s="74"/>
      <c r="XX1" s="74"/>
      <c r="XY1" s="74"/>
      <c r="XZ1" s="74"/>
      <c r="YA1" s="74"/>
      <c r="YB1" s="74"/>
      <c r="YC1" s="74"/>
      <c r="YD1" s="74"/>
      <c r="YE1" s="74"/>
      <c r="YF1" s="74"/>
      <c r="YG1" s="74"/>
      <c r="YH1" s="74"/>
      <c r="YI1" s="74"/>
      <c r="YJ1" s="74"/>
      <c r="YK1" s="74"/>
      <c r="YL1" s="74"/>
      <c r="YM1" s="74"/>
      <c r="YN1" s="74"/>
      <c r="YO1" s="74"/>
      <c r="YP1" s="74"/>
      <c r="YQ1" s="74"/>
      <c r="YR1" s="74"/>
      <c r="YS1" s="74"/>
      <c r="YT1" s="74"/>
      <c r="YU1" s="74"/>
      <c r="YV1" s="74"/>
      <c r="YW1" s="74"/>
      <c r="YX1" s="74"/>
      <c r="YY1" s="74"/>
      <c r="YZ1" s="74"/>
      <c r="ZA1" s="74"/>
      <c r="ZB1" s="74"/>
      <c r="ZC1" s="74"/>
      <c r="ZD1" s="74"/>
      <c r="ZE1" s="74"/>
      <c r="ZF1" s="74"/>
      <c r="ZG1" s="74"/>
      <c r="ZH1" s="74"/>
      <c r="ZI1" s="74"/>
      <c r="ZJ1" s="74"/>
      <c r="ZK1" s="74"/>
      <c r="ZL1" s="74"/>
      <c r="ZM1" s="74"/>
      <c r="ZN1" s="74"/>
      <c r="ZO1" s="74"/>
      <c r="ZP1" s="74"/>
      <c r="ZQ1" s="74"/>
      <c r="ZR1" s="74"/>
      <c r="ZS1" s="74"/>
      <c r="ZT1" s="74"/>
      <c r="ZU1" s="74"/>
      <c r="ZV1" s="74"/>
      <c r="ZW1" s="74"/>
      <c r="ZX1" s="74"/>
      <c r="ZY1" s="74"/>
      <c r="ZZ1" s="74"/>
      <c r="AAA1" s="74"/>
      <c r="AAB1" s="74"/>
      <c r="AAC1" s="74"/>
      <c r="AAD1" s="74"/>
      <c r="AAE1" s="74"/>
      <c r="AAF1" s="74"/>
      <c r="AAG1" s="74"/>
      <c r="AAH1" s="74"/>
      <c r="AAI1" s="74"/>
      <c r="AAJ1" s="74"/>
      <c r="AAK1" s="74"/>
      <c r="AAL1" s="74"/>
      <c r="AAM1" s="74"/>
      <c r="AAN1" s="74"/>
      <c r="AAO1" s="74"/>
      <c r="AAP1" s="74"/>
      <c r="AAQ1" s="74"/>
      <c r="AAR1" s="74"/>
      <c r="AAS1" s="74"/>
      <c r="AAT1" s="74"/>
      <c r="AAU1" s="74"/>
      <c r="AAV1" s="74"/>
      <c r="AAW1" s="74"/>
      <c r="AAX1" s="74"/>
      <c r="AAY1" s="74"/>
      <c r="AAZ1" s="74"/>
      <c r="ABA1" s="74"/>
      <c r="ABB1" s="74"/>
      <c r="ABC1" s="74"/>
      <c r="ABD1" s="74"/>
      <c r="ABE1" s="74"/>
      <c r="ABF1" s="74"/>
      <c r="ABG1" s="74"/>
      <c r="ABH1" s="74"/>
      <c r="ABI1" s="74"/>
      <c r="ABJ1" s="74"/>
      <c r="ABK1" s="74"/>
      <c r="ABL1" s="74"/>
      <c r="ABM1" s="74"/>
      <c r="ABN1" s="74"/>
      <c r="ABO1" s="74"/>
      <c r="ABP1" s="74"/>
      <c r="ABQ1" s="74"/>
      <c r="ABR1" s="74"/>
      <c r="ABS1" s="74"/>
      <c r="ABT1" s="74"/>
      <c r="ABU1" s="74"/>
      <c r="ABV1" s="74"/>
      <c r="ABW1" s="74"/>
      <c r="ABX1" s="74"/>
      <c r="ABY1" s="74"/>
      <c r="ABZ1" s="74"/>
      <c r="ACA1" s="74"/>
      <c r="ACB1" s="74"/>
      <c r="ACC1" s="74"/>
      <c r="ACD1" s="74"/>
      <c r="ACE1" s="74"/>
      <c r="ACF1" s="74"/>
      <c r="ACG1" s="74"/>
      <c r="ACH1" s="74"/>
      <c r="ACI1" s="74"/>
      <c r="ACJ1" s="74"/>
      <c r="ACK1" s="74"/>
      <c r="ACL1" s="74"/>
      <c r="ACM1" s="74"/>
      <c r="ACN1" s="74"/>
      <c r="ACO1" s="74"/>
      <c r="ACP1" s="74"/>
      <c r="ACQ1" s="74"/>
      <c r="ACR1" s="74"/>
      <c r="ACS1" s="74"/>
      <c r="ACT1" s="74"/>
      <c r="ACU1" s="74"/>
      <c r="ACV1" s="74"/>
      <c r="ACW1" s="74"/>
      <c r="ACX1" s="74"/>
      <c r="ACY1" s="74"/>
      <c r="ACZ1" s="74"/>
      <c r="ADA1" s="74"/>
      <c r="ADB1" s="74"/>
      <c r="ADC1" s="74"/>
      <c r="ADD1" s="74"/>
      <c r="ADE1" s="74"/>
      <c r="ADF1" s="74"/>
      <c r="ADG1" s="74"/>
      <c r="ADH1" s="74"/>
      <c r="ADI1" s="74"/>
      <c r="ADJ1" s="74"/>
      <c r="ADK1" s="74"/>
      <c r="ADL1" s="74"/>
      <c r="ADM1" s="74"/>
      <c r="ADN1" s="74"/>
      <c r="ADO1" s="74"/>
      <c r="ADP1" s="74"/>
      <c r="ADQ1" s="74"/>
      <c r="ADR1" s="74"/>
      <c r="ADS1" s="74"/>
      <c r="ADT1" s="74"/>
      <c r="ADU1" s="74"/>
      <c r="ADV1" s="74"/>
      <c r="ADW1" s="74"/>
      <c r="ADX1" s="74"/>
      <c r="ADY1" s="74"/>
      <c r="ADZ1" s="74"/>
      <c r="AEA1" s="74"/>
      <c r="AEB1" s="74"/>
      <c r="AEC1" s="74"/>
      <c r="AED1" s="74"/>
      <c r="AEE1" s="74"/>
      <c r="AEF1" s="74"/>
      <c r="AEG1" s="74"/>
      <c r="AEH1" s="74"/>
      <c r="AEI1" s="74"/>
      <c r="AEJ1" s="74"/>
      <c r="AEK1" s="74"/>
      <c r="AEL1" s="74"/>
      <c r="AEM1" s="74"/>
      <c r="AEN1" s="74"/>
      <c r="AEO1" s="74"/>
      <c r="AEP1" s="74"/>
      <c r="AEQ1" s="74"/>
      <c r="AER1" s="74"/>
      <c r="AES1" s="74"/>
      <c r="AET1" s="74"/>
      <c r="AEU1" s="74"/>
      <c r="AEV1" s="74"/>
      <c r="AEW1" s="74"/>
      <c r="AEX1" s="74"/>
      <c r="AEY1" s="74"/>
      <c r="AEZ1" s="74"/>
      <c r="AFA1" s="74"/>
      <c r="AFB1" s="74"/>
      <c r="AFC1" s="74"/>
      <c r="AFD1" s="74"/>
      <c r="AFE1" s="74"/>
      <c r="AFF1" s="74"/>
      <c r="AFG1" s="74"/>
      <c r="AFH1" s="74"/>
      <c r="AFI1" s="74"/>
      <c r="AFJ1" s="74"/>
      <c r="AFK1" s="74"/>
      <c r="AFL1" s="74"/>
      <c r="AFM1" s="74"/>
      <c r="AFN1" s="74"/>
      <c r="AFO1" s="74"/>
      <c r="AFP1" s="74"/>
      <c r="AFQ1" s="74"/>
      <c r="AFR1" s="74"/>
      <c r="AFS1" s="74"/>
      <c r="AFT1" s="74"/>
      <c r="AFU1" s="74"/>
      <c r="AFV1" s="74"/>
      <c r="AFW1" s="74"/>
      <c r="AFX1" s="74"/>
      <c r="AFY1" s="74"/>
      <c r="AFZ1" s="74"/>
      <c r="AGA1" s="74"/>
      <c r="AGB1" s="74"/>
      <c r="AGC1" s="74"/>
      <c r="AGD1" s="74"/>
      <c r="AGE1" s="74"/>
      <c r="AGF1" s="74"/>
      <c r="AGG1" s="74"/>
      <c r="AGH1" s="74"/>
      <c r="AGI1" s="74"/>
      <c r="AGJ1" s="74"/>
      <c r="AGK1" s="74"/>
      <c r="AGL1" s="74"/>
      <c r="AGM1" s="74"/>
      <c r="AGN1" s="74"/>
      <c r="AGO1" s="74"/>
      <c r="AGP1" s="74"/>
      <c r="AGQ1" s="74"/>
      <c r="AGR1" s="74"/>
      <c r="AGS1" s="74"/>
      <c r="AGT1" s="74"/>
      <c r="AGU1" s="74"/>
      <c r="AGV1" s="74"/>
      <c r="AGW1" s="74"/>
      <c r="AGX1" s="74"/>
      <c r="AGY1" s="74"/>
      <c r="AGZ1" s="74"/>
      <c r="AHA1" s="74"/>
      <c r="AHB1" s="74"/>
      <c r="AHC1" s="74"/>
      <c r="AHD1" s="74"/>
      <c r="AHE1" s="74"/>
      <c r="AHF1" s="74"/>
      <c r="AHG1" s="74"/>
      <c r="AHH1" s="74"/>
      <c r="AHI1" s="74"/>
      <c r="AHJ1" s="74"/>
      <c r="AHK1" s="74"/>
      <c r="AHL1" s="74"/>
      <c r="AHM1" s="74"/>
      <c r="AHN1" s="74"/>
      <c r="AHO1" s="74"/>
      <c r="AHP1" s="74"/>
      <c r="AHQ1" s="74"/>
      <c r="AHR1" s="74"/>
      <c r="AHS1" s="74"/>
      <c r="AHT1" s="74"/>
      <c r="AHU1" s="74"/>
      <c r="AHV1" s="74"/>
      <c r="AHW1" s="74"/>
      <c r="AHX1" s="74"/>
      <c r="AHY1" s="74"/>
      <c r="AHZ1" s="74"/>
      <c r="AIA1" s="74"/>
      <c r="AIB1" s="74"/>
      <c r="AIC1" s="74"/>
      <c r="AID1" s="74"/>
      <c r="AIE1" s="74"/>
      <c r="AIF1" s="74"/>
      <c r="AIG1" s="74"/>
      <c r="AIH1" s="74"/>
      <c r="AII1" s="74"/>
      <c r="AIJ1" s="74"/>
      <c r="AIK1" s="74"/>
      <c r="AIL1" s="74"/>
      <c r="AIM1" s="74"/>
      <c r="AIN1" s="74"/>
      <c r="AIO1" s="74"/>
      <c r="AIP1" s="74"/>
      <c r="AIQ1" s="74"/>
      <c r="AIR1" s="74"/>
      <c r="AIS1" s="74"/>
      <c r="AIT1" s="74"/>
      <c r="AIU1" s="74"/>
      <c r="AIV1" s="74"/>
      <c r="AIW1" s="74"/>
      <c r="AIX1" s="74"/>
      <c r="AIY1" s="74"/>
      <c r="AIZ1" s="74"/>
      <c r="AJA1" s="74"/>
      <c r="AJB1" s="74"/>
      <c r="AJC1" s="74"/>
      <c r="AJD1" s="74"/>
      <c r="AJE1" s="74"/>
      <c r="AJF1" s="74"/>
      <c r="AJG1" s="74"/>
      <c r="AJH1" s="74"/>
      <c r="AJI1" s="74"/>
      <c r="AJJ1" s="74"/>
      <c r="AJK1" s="74"/>
      <c r="AJL1" s="74"/>
      <c r="AJM1" s="74"/>
      <c r="AJN1" s="74"/>
      <c r="AJO1" s="74"/>
      <c r="AJP1" s="74"/>
      <c r="AJQ1" s="74"/>
      <c r="AJR1" s="74"/>
      <c r="AJS1" s="74"/>
      <c r="AJT1" s="74"/>
      <c r="AJU1" s="74"/>
      <c r="AJV1" s="74"/>
      <c r="AJW1" s="74"/>
      <c r="AJX1" s="74"/>
      <c r="AJY1" s="74"/>
      <c r="AJZ1" s="74"/>
      <c r="AKA1" s="74"/>
      <c r="AKB1" s="74"/>
      <c r="AKC1" s="74"/>
      <c r="AKD1" s="74"/>
      <c r="AKE1" s="74"/>
      <c r="AKF1" s="74"/>
      <c r="AKG1" s="74"/>
      <c r="AKH1" s="74"/>
      <c r="AKI1" s="74"/>
      <c r="AKJ1" s="74"/>
      <c r="AKK1" s="74"/>
      <c r="AKL1" s="74"/>
      <c r="AKM1" s="74"/>
      <c r="AKN1" s="74"/>
      <c r="AKO1" s="74"/>
      <c r="AKP1" s="74"/>
      <c r="AKQ1" s="74"/>
      <c r="AKR1" s="74"/>
      <c r="AKS1" s="74"/>
      <c r="AKT1" s="74"/>
      <c r="AKU1" s="74"/>
      <c r="AKV1" s="74"/>
      <c r="AKW1" s="74"/>
      <c r="AKX1" s="74"/>
      <c r="AKY1" s="74"/>
      <c r="AKZ1" s="74"/>
      <c r="ALA1" s="74"/>
      <c r="ALB1" s="74"/>
      <c r="ALC1" s="74"/>
      <c r="ALD1" s="74"/>
      <c r="ALE1" s="74"/>
      <c r="ALF1" s="74"/>
      <c r="ALG1" s="74"/>
      <c r="ALH1" s="74"/>
      <c r="ALI1" s="74"/>
      <c r="ALJ1" s="74"/>
      <c r="ALK1" s="74"/>
      <c r="ALL1" s="74"/>
      <c r="ALM1" s="74"/>
      <c r="ALN1" s="74"/>
      <c r="ALO1" s="74"/>
      <c r="ALP1" s="74"/>
      <c r="ALQ1" s="74"/>
      <c r="ALR1" s="74"/>
      <c r="ALS1" s="74"/>
      <c r="ALT1" s="74"/>
      <c r="ALU1" s="74"/>
      <c r="ALV1" s="74"/>
      <c r="ALW1" s="74"/>
      <c r="ALX1" s="74"/>
      <c r="ALY1" s="74"/>
      <c r="ALZ1" s="74"/>
      <c r="AMA1" s="74"/>
      <c r="AMB1" s="74"/>
      <c r="AMC1" s="74"/>
      <c r="AMD1" s="74"/>
      <c r="AME1" s="74"/>
      <c r="AMF1" s="74"/>
      <c r="AMG1" s="74"/>
      <c r="AMH1" s="74"/>
      <c r="AMI1" s="74"/>
      <c r="AMJ1" s="74"/>
      <c r="AMK1" s="74"/>
      <c r="AML1" s="74"/>
      <c r="AMM1" s="74"/>
      <c r="AMN1" s="74"/>
      <c r="AMO1" s="74"/>
      <c r="AMP1" s="74"/>
      <c r="AMQ1" s="74"/>
      <c r="AMR1" s="74"/>
      <c r="AMS1" s="74"/>
      <c r="AMT1" s="74"/>
      <c r="AMU1" s="74"/>
      <c r="AMV1" s="74"/>
      <c r="AMW1" s="74"/>
      <c r="AMX1" s="74"/>
      <c r="AMY1" s="74"/>
      <c r="AMZ1" s="74"/>
      <c r="ANA1" s="74"/>
      <c r="ANB1" s="74"/>
      <c r="ANC1" s="74"/>
      <c r="AND1" s="74"/>
      <c r="ANE1" s="74"/>
      <c r="ANF1" s="74"/>
      <c r="ANG1" s="74"/>
      <c r="ANH1" s="74"/>
      <c r="ANI1" s="74"/>
      <c r="ANJ1" s="74"/>
      <c r="ANK1" s="74"/>
      <c r="ANL1" s="74"/>
      <c r="ANM1" s="74"/>
      <c r="ANN1" s="74"/>
      <c r="ANO1" s="74"/>
      <c r="ANP1" s="74"/>
      <c r="ANQ1" s="74"/>
      <c r="ANR1" s="74"/>
      <c r="ANS1" s="74"/>
      <c r="ANT1" s="74"/>
      <c r="ANU1" s="74"/>
      <c r="ANV1" s="74"/>
      <c r="ANW1" s="74"/>
      <c r="ANX1" s="74"/>
      <c r="ANY1" s="74"/>
      <c r="ANZ1" s="74"/>
      <c r="AOA1" s="74"/>
      <c r="AOB1" s="74"/>
      <c r="AOC1" s="74"/>
      <c r="AOD1" s="74"/>
      <c r="AOE1" s="74"/>
      <c r="AOF1" s="74"/>
      <c r="AOG1" s="74"/>
      <c r="AOH1" s="74"/>
      <c r="AOI1" s="74"/>
      <c r="AOJ1" s="74"/>
      <c r="AOK1" s="74"/>
      <c r="AOL1" s="74"/>
      <c r="AOM1" s="74"/>
      <c r="AON1" s="74"/>
      <c r="AOO1" s="74"/>
      <c r="AOP1" s="74"/>
      <c r="AOQ1" s="74"/>
      <c r="AOR1" s="74"/>
      <c r="AOS1" s="74"/>
      <c r="AOT1" s="74"/>
      <c r="AOU1" s="74"/>
      <c r="AOV1" s="74"/>
      <c r="AOW1" s="74"/>
      <c r="AOX1" s="74"/>
      <c r="AOY1" s="74"/>
      <c r="AOZ1" s="74"/>
      <c r="APA1" s="74"/>
      <c r="APB1" s="74"/>
      <c r="APC1" s="74"/>
      <c r="APD1" s="74"/>
      <c r="APE1" s="74"/>
      <c r="APF1" s="74"/>
      <c r="APG1" s="74"/>
      <c r="APH1" s="74"/>
      <c r="API1" s="74"/>
      <c r="APJ1" s="74"/>
      <c r="APK1" s="74"/>
      <c r="APL1" s="74"/>
      <c r="APM1" s="74"/>
      <c r="APN1" s="74"/>
      <c r="APO1" s="74"/>
      <c r="APP1" s="74"/>
      <c r="APQ1" s="74"/>
      <c r="APR1" s="74"/>
      <c r="APS1" s="74"/>
      <c r="APT1" s="74"/>
      <c r="APU1" s="74"/>
      <c r="APV1" s="74"/>
      <c r="APW1" s="74"/>
      <c r="APX1" s="74"/>
      <c r="APY1" s="74"/>
      <c r="APZ1" s="74"/>
      <c r="AQA1" s="74"/>
      <c r="AQB1" s="74"/>
      <c r="AQC1" s="74"/>
      <c r="AQD1" s="74"/>
      <c r="AQE1" s="74"/>
      <c r="AQF1" s="74"/>
      <c r="AQG1" s="74"/>
      <c r="AQH1" s="74"/>
      <c r="AQI1" s="74"/>
      <c r="AQJ1" s="74"/>
      <c r="AQK1" s="74"/>
      <c r="AQL1" s="74"/>
      <c r="AQM1" s="74"/>
      <c r="AQN1" s="74"/>
      <c r="AQO1" s="74"/>
      <c r="AQP1" s="74"/>
      <c r="AQQ1" s="74"/>
      <c r="AQR1" s="74"/>
      <c r="AQS1" s="74"/>
      <c r="AQT1" s="74"/>
      <c r="AQU1" s="74"/>
      <c r="AQV1" s="74"/>
      <c r="AQW1" s="74"/>
      <c r="AQX1" s="74"/>
      <c r="AQY1" s="74"/>
      <c r="AQZ1" s="74"/>
      <c r="ARA1" s="74"/>
      <c r="ARB1" s="74"/>
      <c r="ARC1" s="74"/>
      <c r="ARD1" s="74"/>
      <c r="ARE1" s="74"/>
      <c r="ARF1" s="74"/>
      <c r="ARG1" s="74"/>
      <c r="ARH1" s="74"/>
      <c r="ARI1" s="74"/>
      <c r="ARJ1" s="74"/>
      <c r="ARK1" s="74"/>
      <c r="ARL1" s="74"/>
      <c r="ARM1" s="74"/>
      <c r="ARN1" s="74"/>
      <c r="ARO1" s="74"/>
      <c r="ARP1" s="74"/>
      <c r="ARQ1" s="74"/>
      <c r="ARR1" s="74"/>
      <c r="ARS1" s="74"/>
      <c r="ART1" s="74"/>
      <c r="ARU1" s="74"/>
      <c r="ARV1" s="74"/>
      <c r="ARW1" s="74"/>
      <c r="ARX1" s="74"/>
      <c r="ARY1" s="74"/>
      <c r="ARZ1" s="74"/>
      <c r="ASA1" s="74"/>
      <c r="ASB1" s="74"/>
      <c r="ASC1" s="74"/>
      <c r="ASD1" s="74"/>
      <c r="ASE1" s="74"/>
      <c r="ASF1" s="74"/>
      <c r="ASG1" s="74"/>
      <c r="ASH1" s="74"/>
      <c r="ASI1" s="74"/>
      <c r="ASJ1" s="74"/>
      <c r="ASK1" s="74"/>
      <c r="ASL1" s="74"/>
      <c r="ASM1" s="74"/>
      <c r="ASN1" s="74"/>
      <c r="ASO1" s="74"/>
      <c r="ASP1" s="74"/>
      <c r="ASQ1" s="74"/>
      <c r="ASR1" s="74"/>
      <c r="ASS1" s="74"/>
      <c r="AST1" s="74"/>
      <c r="ASU1" s="74"/>
      <c r="ASV1" s="74"/>
      <c r="ASW1" s="74"/>
      <c r="ASX1" s="74"/>
      <c r="ASY1" s="74"/>
      <c r="ASZ1" s="74"/>
      <c r="ATA1" s="74"/>
      <c r="ATB1" s="74"/>
      <c r="ATC1" s="74"/>
      <c r="ATD1" s="74"/>
      <c r="ATE1" s="74"/>
      <c r="ATF1" s="74"/>
      <c r="ATG1" s="74"/>
      <c r="ATH1" s="74"/>
      <c r="ATI1" s="74"/>
      <c r="ATJ1" s="74"/>
      <c r="ATK1" s="74"/>
      <c r="ATL1" s="74"/>
      <c r="ATM1" s="74"/>
      <c r="ATN1" s="74"/>
      <c r="ATO1" s="74"/>
      <c r="ATP1" s="74"/>
      <c r="ATQ1" s="74"/>
      <c r="ATR1" s="74"/>
      <c r="ATS1" s="74"/>
      <c r="ATT1" s="74"/>
      <c r="ATU1" s="74"/>
      <c r="ATV1" s="74"/>
      <c r="ATW1" s="74"/>
      <c r="ATX1" s="74"/>
      <c r="ATY1" s="74"/>
      <c r="ATZ1" s="74"/>
      <c r="AUA1" s="74"/>
      <c r="AUB1" s="74"/>
      <c r="AUC1" s="74"/>
      <c r="AUD1" s="74"/>
      <c r="AUE1" s="74"/>
      <c r="AUF1" s="74"/>
      <c r="AUG1" s="74"/>
      <c r="AUH1" s="74"/>
      <c r="AUI1" s="74"/>
      <c r="AUJ1" s="74"/>
      <c r="AUK1" s="74"/>
      <c r="AUL1" s="74"/>
      <c r="AUM1" s="74"/>
      <c r="AUN1" s="74"/>
      <c r="AUO1" s="74"/>
      <c r="AUP1" s="74"/>
      <c r="AUQ1" s="74"/>
      <c r="AUR1" s="74"/>
      <c r="AUS1" s="74"/>
      <c r="AUT1" s="74"/>
      <c r="AUU1" s="74"/>
      <c r="AUV1" s="74"/>
      <c r="AUW1" s="74"/>
      <c r="AUX1" s="74"/>
      <c r="AUY1" s="74"/>
      <c r="AUZ1" s="74"/>
      <c r="AVA1" s="74"/>
      <c r="AVB1" s="74"/>
      <c r="AVC1" s="74"/>
      <c r="AVD1" s="74"/>
      <c r="AVE1" s="74"/>
      <c r="AVF1" s="74"/>
      <c r="AVG1" s="74"/>
      <c r="AVH1" s="74"/>
      <c r="AVI1" s="74"/>
      <c r="AVJ1" s="74"/>
      <c r="AVK1" s="74"/>
      <c r="AVL1" s="74"/>
      <c r="AVM1" s="74"/>
      <c r="AVN1" s="74"/>
      <c r="AVO1" s="74"/>
      <c r="AVP1" s="74"/>
      <c r="AVQ1" s="74"/>
      <c r="AVR1" s="74"/>
      <c r="AVS1" s="74"/>
      <c r="AVT1" s="74"/>
      <c r="AVU1" s="74"/>
      <c r="AVV1" s="74"/>
      <c r="AVW1" s="74"/>
      <c r="AVX1" s="74"/>
      <c r="AVY1" s="74"/>
      <c r="AVZ1" s="74"/>
      <c r="AWA1" s="74"/>
      <c r="AWB1" s="74"/>
      <c r="AWC1" s="74"/>
      <c r="AWD1" s="74"/>
      <c r="AWE1" s="74"/>
      <c r="AWF1" s="74"/>
      <c r="AWG1" s="74"/>
      <c r="AWH1" s="74"/>
      <c r="AWI1" s="74"/>
      <c r="AWJ1" s="74"/>
      <c r="AWK1" s="74"/>
      <c r="AWL1" s="74"/>
      <c r="AWM1" s="74"/>
      <c r="AWN1" s="74"/>
      <c r="AWO1" s="74"/>
      <c r="AWP1" s="74"/>
      <c r="AWQ1" s="74"/>
      <c r="AWR1" s="74"/>
      <c r="AWS1" s="74"/>
      <c r="AWT1" s="74"/>
      <c r="AWU1" s="74"/>
      <c r="AWV1" s="74"/>
      <c r="AWW1" s="74"/>
      <c r="AWX1" s="74"/>
      <c r="AWY1" s="74"/>
      <c r="AWZ1" s="74"/>
      <c r="AXA1" s="74"/>
      <c r="AXB1" s="74"/>
      <c r="AXC1" s="74"/>
      <c r="AXD1" s="74"/>
      <c r="AXE1" s="74"/>
      <c r="AXF1" s="74"/>
      <c r="AXG1" s="74"/>
      <c r="AXH1" s="74"/>
      <c r="AXI1" s="74"/>
      <c r="AXJ1" s="74"/>
      <c r="AXK1" s="74"/>
      <c r="AXL1" s="74"/>
      <c r="AXM1" s="74"/>
      <c r="AXN1" s="74"/>
      <c r="AXO1" s="74"/>
      <c r="AXP1" s="74"/>
      <c r="AXQ1" s="74"/>
      <c r="AXR1" s="74"/>
      <c r="AXS1" s="74"/>
      <c r="AXT1" s="74"/>
      <c r="AXU1" s="74"/>
      <c r="AXV1" s="74"/>
      <c r="AXW1" s="74"/>
      <c r="AXX1" s="74"/>
      <c r="AXY1" s="74"/>
      <c r="AXZ1" s="74"/>
      <c r="AYA1" s="74"/>
      <c r="AYB1" s="74"/>
      <c r="AYC1" s="74"/>
      <c r="AYD1" s="74"/>
      <c r="AYE1" s="74"/>
      <c r="AYF1" s="74"/>
      <c r="AYG1" s="74"/>
      <c r="AYH1" s="74"/>
      <c r="AYI1" s="74"/>
      <c r="AYJ1" s="74"/>
      <c r="AYK1" s="74"/>
      <c r="AYL1" s="74"/>
      <c r="AYM1" s="74"/>
      <c r="AYN1" s="74"/>
      <c r="AYO1" s="74"/>
      <c r="AYP1" s="74"/>
      <c r="AYQ1" s="74"/>
      <c r="AYR1" s="74"/>
      <c r="AYS1" s="74"/>
      <c r="AYT1" s="74"/>
      <c r="AYU1" s="74"/>
      <c r="AYV1" s="74"/>
      <c r="AYW1" s="74"/>
      <c r="AYX1" s="74"/>
      <c r="AYY1" s="74"/>
      <c r="AYZ1" s="74"/>
      <c r="AZA1" s="74"/>
      <c r="AZB1" s="74"/>
      <c r="AZC1" s="74"/>
      <c r="AZD1" s="74"/>
      <c r="AZE1" s="74"/>
      <c r="AZF1" s="74"/>
      <c r="AZG1" s="74"/>
      <c r="AZH1" s="74"/>
      <c r="AZI1" s="74"/>
      <c r="AZJ1" s="74"/>
      <c r="AZK1" s="74"/>
      <c r="AZL1" s="74"/>
      <c r="AZM1" s="74"/>
      <c r="AZN1" s="74"/>
      <c r="AZO1" s="74"/>
      <c r="AZP1" s="74"/>
      <c r="AZQ1" s="74"/>
      <c r="AZR1" s="74"/>
      <c r="AZS1" s="74"/>
      <c r="AZT1" s="74"/>
      <c r="AZU1" s="74"/>
      <c r="AZV1" s="74"/>
      <c r="AZW1" s="74"/>
      <c r="AZX1" s="74"/>
      <c r="AZY1" s="74"/>
      <c r="AZZ1" s="74"/>
      <c r="BAA1" s="74"/>
      <c r="BAB1" s="74"/>
      <c r="BAC1" s="74"/>
      <c r="BAD1" s="74"/>
      <c r="BAE1" s="74"/>
      <c r="BAF1" s="74"/>
      <c r="BAG1" s="74"/>
      <c r="BAH1" s="74"/>
      <c r="BAI1" s="74"/>
      <c r="BAJ1" s="74"/>
      <c r="BAK1" s="74"/>
      <c r="BAL1" s="74"/>
      <c r="BAM1" s="74"/>
      <c r="BAN1" s="74"/>
      <c r="BAO1" s="74"/>
      <c r="BAP1" s="74"/>
      <c r="BAQ1" s="74"/>
      <c r="BAR1" s="74"/>
      <c r="BAS1" s="74"/>
      <c r="BAT1" s="74"/>
      <c r="BAU1" s="74"/>
      <c r="BAV1" s="74"/>
      <c r="BAW1" s="74"/>
      <c r="BAX1" s="74"/>
      <c r="BAY1" s="74"/>
      <c r="BAZ1" s="74"/>
      <c r="BBA1" s="74"/>
      <c r="BBB1" s="74"/>
      <c r="BBC1" s="74"/>
      <c r="BBD1" s="74"/>
      <c r="BBE1" s="74"/>
      <c r="BBF1" s="74"/>
      <c r="BBG1" s="74"/>
      <c r="BBH1" s="74"/>
      <c r="BBI1" s="74"/>
      <c r="BBJ1" s="74"/>
      <c r="BBK1" s="74"/>
      <c r="BBL1" s="74"/>
      <c r="BBM1" s="74"/>
      <c r="BBN1" s="74"/>
      <c r="BBO1" s="74"/>
      <c r="BBP1" s="74"/>
      <c r="BBQ1" s="74"/>
      <c r="BBR1" s="74"/>
      <c r="BBS1" s="74"/>
      <c r="BBT1" s="74"/>
      <c r="BBU1" s="74"/>
      <c r="BBV1" s="74"/>
      <c r="BBW1" s="74"/>
      <c r="BBX1" s="74"/>
      <c r="BBY1" s="74"/>
      <c r="BBZ1" s="74"/>
      <c r="BCA1" s="74"/>
      <c r="BCB1" s="74"/>
      <c r="BCC1" s="74"/>
      <c r="BCD1" s="74"/>
      <c r="BCE1" s="74"/>
      <c r="BCF1" s="74"/>
      <c r="BCG1" s="74"/>
      <c r="BCH1" s="74"/>
      <c r="BCI1" s="74"/>
      <c r="BCJ1" s="74"/>
      <c r="BCK1" s="74"/>
      <c r="BCL1" s="74"/>
      <c r="BCM1" s="74"/>
      <c r="BCN1" s="74"/>
      <c r="BCO1" s="74"/>
      <c r="BCP1" s="74"/>
      <c r="BCQ1" s="74"/>
      <c r="BCR1" s="74"/>
      <c r="BCS1" s="74"/>
      <c r="BCT1" s="74"/>
      <c r="BCU1" s="74"/>
      <c r="BCV1" s="74"/>
      <c r="BCW1" s="74"/>
      <c r="BCX1" s="74"/>
      <c r="BCY1" s="74"/>
      <c r="BCZ1" s="74"/>
      <c r="BDA1" s="74"/>
      <c r="BDB1" s="74"/>
      <c r="BDC1" s="74"/>
      <c r="BDD1" s="74"/>
      <c r="BDE1" s="74"/>
      <c r="BDF1" s="74"/>
      <c r="BDG1" s="74"/>
      <c r="BDH1" s="74"/>
      <c r="BDI1" s="74"/>
      <c r="BDJ1" s="74"/>
      <c r="BDK1" s="74"/>
      <c r="BDL1" s="74"/>
      <c r="BDM1" s="74"/>
      <c r="BDN1" s="74"/>
      <c r="BDO1" s="74"/>
      <c r="BDP1" s="74"/>
      <c r="BDQ1" s="74"/>
      <c r="BDR1" s="74"/>
      <c r="BDS1" s="74"/>
      <c r="BDT1" s="74"/>
      <c r="BDU1" s="74"/>
      <c r="BDV1" s="74"/>
      <c r="BDW1" s="74"/>
      <c r="BDX1" s="74"/>
      <c r="BDY1" s="74"/>
      <c r="BDZ1" s="74"/>
      <c r="BEA1" s="74"/>
      <c r="BEB1" s="74"/>
      <c r="BEC1" s="74"/>
      <c r="BED1" s="74"/>
      <c r="BEE1" s="74"/>
      <c r="BEF1" s="74"/>
      <c r="BEG1" s="74"/>
      <c r="BEH1" s="74"/>
      <c r="BEI1" s="74"/>
      <c r="BEJ1" s="74"/>
      <c r="BEK1" s="74"/>
      <c r="BEL1" s="74"/>
      <c r="BEM1" s="74"/>
      <c r="BEN1" s="74"/>
      <c r="BEO1" s="74"/>
      <c r="BEP1" s="74"/>
      <c r="BEQ1" s="74"/>
      <c r="BER1" s="74"/>
      <c r="BES1" s="74"/>
      <c r="BET1" s="74"/>
      <c r="BEU1" s="74"/>
      <c r="BEV1" s="74"/>
      <c r="BEW1" s="74"/>
      <c r="BEX1" s="74"/>
      <c r="BEY1" s="74"/>
      <c r="BEZ1" s="74"/>
      <c r="BFA1" s="74"/>
      <c r="BFB1" s="74"/>
      <c r="BFC1" s="74"/>
      <c r="BFD1" s="74"/>
      <c r="BFE1" s="74"/>
      <c r="BFF1" s="74"/>
      <c r="BFG1" s="74"/>
      <c r="BFH1" s="74"/>
      <c r="BFI1" s="74"/>
      <c r="BFJ1" s="74"/>
      <c r="BFK1" s="74"/>
      <c r="BFL1" s="74"/>
      <c r="BFM1" s="74"/>
      <c r="BFN1" s="74"/>
      <c r="BFO1" s="74"/>
      <c r="BFP1" s="74"/>
      <c r="BFQ1" s="74"/>
      <c r="BFR1" s="74"/>
      <c r="BFS1" s="74"/>
      <c r="BFT1" s="74"/>
      <c r="BFU1" s="74"/>
      <c r="BFV1" s="74"/>
      <c r="BFW1" s="74"/>
      <c r="BFX1" s="74"/>
      <c r="BFY1" s="74"/>
      <c r="BFZ1" s="74"/>
      <c r="BGA1" s="74"/>
      <c r="BGB1" s="74"/>
      <c r="BGC1" s="74"/>
      <c r="BGD1" s="74"/>
      <c r="BGE1" s="74"/>
      <c r="BGF1" s="74"/>
      <c r="BGG1" s="74"/>
      <c r="BGH1" s="74"/>
      <c r="BGI1" s="74"/>
      <c r="BGJ1" s="74"/>
      <c r="BGK1" s="74"/>
      <c r="BGL1" s="74"/>
      <c r="BGM1" s="74"/>
      <c r="BGN1" s="74"/>
      <c r="BGO1" s="74"/>
      <c r="BGP1" s="74"/>
      <c r="BGQ1" s="74"/>
      <c r="BGR1" s="74"/>
      <c r="BGS1" s="74"/>
      <c r="BGT1" s="74"/>
      <c r="BGU1" s="74"/>
      <c r="BGV1" s="74"/>
      <c r="BGW1" s="74"/>
      <c r="BGX1" s="74"/>
      <c r="BGY1" s="74"/>
      <c r="BGZ1" s="74"/>
      <c r="BHA1" s="74"/>
      <c r="BHB1" s="74"/>
      <c r="BHC1" s="74"/>
      <c r="BHD1" s="74"/>
      <c r="BHE1" s="74"/>
      <c r="BHF1" s="74"/>
      <c r="BHG1" s="74"/>
      <c r="BHH1" s="74"/>
      <c r="BHI1" s="74"/>
      <c r="BHJ1" s="74"/>
      <c r="BHK1" s="74"/>
      <c r="BHL1" s="74"/>
      <c r="BHM1" s="74"/>
      <c r="BHN1" s="74"/>
      <c r="BHO1" s="74"/>
      <c r="BHP1" s="74"/>
      <c r="BHQ1" s="74"/>
      <c r="BHR1" s="74"/>
      <c r="BHS1" s="74"/>
      <c r="BHT1" s="74"/>
      <c r="BHU1" s="74"/>
      <c r="BHV1" s="74"/>
      <c r="BHW1" s="74"/>
      <c r="BHX1" s="74"/>
      <c r="BHY1" s="74"/>
      <c r="BHZ1" s="74"/>
      <c r="BIA1" s="74"/>
      <c r="BIB1" s="74"/>
      <c r="BIC1" s="74"/>
      <c r="BID1" s="74"/>
      <c r="BIE1" s="74"/>
      <c r="BIF1" s="74"/>
      <c r="BIG1" s="74"/>
      <c r="BIH1" s="74"/>
      <c r="BII1" s="74"/>
      <c r="BIJ1" s="74"/>
      <c r="BIK1" s="74"/>
      <c r="BIL1" s="74"/>
      <c r="BIM1" s="74"/>
      <c r="BIN1" s="74"/>
      <c r="BIO1" s="74"/>
      <c r="BIP1" s="74"/>
      <c r="BIQ1" s="74"/>
      <c r="BIR1" s="74"/>
      <c r="BIS1" s="74"/>
      <c r="BIT1" s="74"/>
      <c r="BIU1" s="74"/>
      <c r="BIV1" s="74"/>
      <c r="BIW1" s="74"/>
      <c r="BIX1" s="74"/>
      <c r="BIY1" s="74"/>
      <c r="BIZ1" s="74"/>
      <c r="BJA1" s="74"/>
      <c r="BJB1" s="74"/>
      <c r="BJC1" s="74"/>
      <c r="BJD1" s="74"/>
      <c r="BJE1" s="74"/>
      <c r="BJF1" s="74"/>
      <c r="BJG1" s="74"/>
      <c r="BJH1" s="74"/>
      <c r="BJI1" s="74"/>
      <c r="BJJ1" s="74"/>
      <c r="BJK1" s="74"/>
      <c r="BJL1" s="74"/>
      <c r="BJM1" s="74"/>
      <c r="BJN1" s="74"/>
      <c r="BJO1" s="74"/>
      <c r="BJP1" s="74"/>
      <c r="BJQ1" s="74"/>
      <c r="BJR1" s="74"/>
      <c r="BJS1" s="74"/>
      <c r="BJT1" s="74"/>
      <c r="BJU1" s="74"/>
      <c r="BJV1" s="74"/>
      <c r="BJW1" s="74"/>
      <c r="BJX1" s="74"/>
      <c r="BJY1" s="74"/>
      <c r="BJZ1" s="74"/>
      <c r="BKA1" s="74"/>
      <c r="BKB1" s="74"/>
      <c r="BKC1" s="74"/>
      <c r="BKD1" s="74"/>
      <c r="BKE1" s="74"/>
      <c r="BKF1" s="74"/>
      <c r="BKG1" s="74"/>
      <c r="BKH1" s="74"/>
      <c r="BKI1" s="74"/>
      <c r="BKJ1" s="74"/>
      <c r="BKK1" s="74"/>
      <c r="BKL1" s="74"/>
      <c r="BKM1" s="74"/>
      <c r="BKN1" s="74"/>
      <c r="BKO1" s="74"/>
      <c r="BKP1" s="74"/>
      <c r="BKQ1" s="74"/>
      <c r="BKR1" s="74"/>
      <c r="BKS1" s="74"/>
      <c r="BKT1" s="74"/>
      <c r="BKU1" s="74"/>
      <c r="BKV1" s="74"/>
      <c r="BKW1" s="74"/>
      <c r="BKX1" s="74"/>
      <c r="BKY1" s="74"/>
      <c r="BKZ1" s="74"/>
      <c r="BLA1" s="74"/>
      <c r="BLB1" s="74"/>
      <c r="BLC1" s="74"/>
      <c r="BLD1" s="74"/>
      <c r="BLE1" s="74"/>
      <c r="BLF1" s="74"/>
      <c r="BLG1" s="74"/>
      <c r="BLH1" s="74"/>
      <c r="BLI1" s="74"/>
      <c r="BLJ1" s="74"/>
      <c r="BLK1" s="74"/>
      <c r="BLL1" s="74"/>
      <c r="BLM1" s="74"/>
      <c r="BLN1" s="74"/>
      <c r="BLO1" s="74"/>
      <c r="BLP1" s="74"/>
      <c r="BLQ1" s="74"/>
      <c r="BLR1" s="74"/>
      <c r="BLS1" s="74"/>
      <c r="BLT1" s="74"/>
      <c r="BLU1" s="74"/>
      <c r="BLV1" s="74"/>
      <c r="BLW1" s="74"/>
      <c r="BLX1" s="74"/>
      <c r="BLY1" s="74"/>
      <c r="BLZ1" s="74"/>
      <c r="BMA1" s="74"/>
      <c r="BMB1" s="74"/>
      <c r="BMC1" s="74"/>
      <c r="BMD1" s="74"/>
      <c r="BME1" s="74"/>
      <c r="BMF1" s="74"/>
      <c r="BMG1" s="74"/>
      <c r="BMH1" s="74"/>
      <c r="BMI1" s="74"/>
      <c r="BMJ1" s="74"/>
      <c r="BMK1" s="74"/>
      <c r="BML1" s="74"/>
      <c r="BMM1" s="74"/>
      <c r="BMN1" s="74"/>
      <c r="BMO1" s="74"/>
      <c r="BMP1" s="74"/>
      <c r="BMQ1" s="74"/>
      <c r="BMR1" s="74"/>
      <c r="BMS1" s="74"/>
      <c r="BMT1" s="74"/>
      <c r="BMU1" s="74"/>
      <c r="BMV1" s="74"/>
      <c r="BMW1" s="74"/>
      <c r="BMX1" s="74"/>
      <c r="BMY1" s="74"/>
      <c r="BMZ1" s="74"/>
      <c r="BNA1" s="74"/>
      <c r="BNB1" s="74"/>
      <c r="BNC1" s="74"/>
      <c r="BND1" s="74"/>
      <c r="BNE1" s="74"/>
      <c r="BNF1" s="74"/>
      <c r="BNG1" s="74"/>
      <c r="BNH1" s="74"/>
      <c r="BNI1" s="74"/>
      <c r="BNJ1" s="74"/>
      <c r="BNK1" s="74"/>
      <c r="BNL1" s="74"/>
      <c r="BNM1" s="74"/>
      <c r="BNN1" s="74"/>
      <c r="BNO1" s="74"/>
      <c r="BNP1" s="74"/>
      <c r="BNQ1" s="74"/>
      <c r="BNR1" s="74"/>
      <c r="BNS1" s="74"/>
      <c r="BNT1" s="74"/>
      <c r="BNU1" s="74"/>
      <c r="BNV1" s="74"/>
      <c r="BNW1" s="74"/>
      <c r="BNX1" s="74"/>
      <c r="BNY1" s="74"/>
      <c r="BNZ1" s="74"/>
      <c r="BOA1" s="74"/>
      <c r="BOB1" s="74"/>
      <c r="BOC1" s="74"/>
      <c r="BOD1" s="74"/>
      <c r="BOE1" s="74"/>
      <c r="BOF1" s="74"/>
      <c r="BOG1" s="74"/>
      <c r="BOH1" s="74"/>
      <c r="BOI1" s="74"/>
      <c r="BOJ1" s="74"/>
      <c r="BOK1" s="74"/>
      <c r="BOL1" s="74"/>
      <c r="BOM1" s="74"/>
      <c r="BON1" s="74"/>
      <c r="BOO1" s="74"/>
      <c r="BOP1" s="74"/>
      <c r="BOQ1" s="74"/>
      <c r="BOR1" s="74"/>
      <c r="BOS1" s="74"/>
      <c r="BOT1" s="74"/>
      <c r="BOU1" s="74"/>
      <c r="BOV1" s="74"/>
      <c r="BOW1" s="74"/>
      <c r="BOX1" s="74"/>
      <c r="BOY1" s="74"/>
      <c r="BOZ1" s="74"/>
      <c r="BPA1" s="74"/>
      <c r="BPB1" s="74"/>
      <c r="BPC1" s="74"/>
      <c r="BPD1" s="74"/>
      <c r="BPE1" s="74"/>
      <c r="BPF1" s="74"/>
      <c r="BPG1" s="74"/>
      <c r="BPH1" s="74"/>
      <c r="BPI1" s="74"/>
      <c r="BPJ1" s="74"/>
      <c r="BPK1" s="74"/>
      <c r="BPL1" s="74"/>
      <c r="BPM1" s="74"/>
      <c r="BPN1" s="74"/>
      <c r="BPO1" s="74"/>
      <c r="BPP1" s="74"/>
      <c r="BPQ1" s="74"/>
      <c r="BPR1" s="74"/>
      <c r="BPS1" s="74"/>
      <c r="BPT1" s="74"/>
      <c r="BPU1" s="74"/>
      <c r="BPV1" s="74"/>
      <c r="BPW1" s="74"/>
      <c r="BPX1" s="74"/>
      <c r="BPY1" s="74"/>
      <c r="BPZ1" s="74"/>
      <c r="BQA1" s="74"/>
      <c r="BQB1" s="74"/>
      <c r="BQC1" s="74"/>
      <c r="BQD1" s="74"/>
      <c r="BQE1" s="74"/>
      <c r="BQF1" s="74"/>
      <c r="BQG1" s="74"/>
      <c r="BQH1" s="74"/>
      <c r="BQI1" s="74"/>
      <c r="BQJ1" s="74"/>
      <c r="BQK1" s="74"/>
      <c r="BQL1" s="74"/>
      <c r="BQM1" s="74"/>
      <c r="BQN1" s="74"/>
      <c r="BQO1" s="74"/>
      <c r="BQP1" s="74"/>
      <c r="BQQ1" s="74"/>
      <c r="BQR1" s="74"/>
      <c r="BQS1" s="74"/>
      <c r="BQT1" s="74"/>
      <c r="BQU1" s="74"/>
      <c r="BQV1" s="74"/>
      <c r="BQW1" s="74"/>
      <c r="BQX1" s="74"/>
      <c r="BQY1" s="74"/>
      <c r="BQZ1" s="74"/>
      <c r="BRA1" s="74"/>
      <c r="BRB1" s="74"/>
      <c r="BRC1" s="74"/>
      <c r="BRD1" s="74"/>
      <c r="BRE1" s="74"/>
      <c r="BRF1" s="74"/>
      <c r="BRG1" s="74"/>
      <c r="BRH1" s="74"/>
      <c r="BRI1" s="74"/>
      <c r="BRJ1" s="74"/>
      <c r="BRK1" s="74"/>
      <c r="BRL1" s="74"/>
      <c r="BRM1" s="74"/>
      <c r="BRN1" s="74"/>
      <c r="BRO1" s="74"/>
      <c r="BRP1" s="74"/>
      <c r="BRQ1" s="74"/>
      <c r="BRR1" s="74"/>
      <c r="BRS1" s="74"/>
      <c r="BRT1" s="74"/>
      <c r="BRU1" s="74"/>
      <c r="BRV1" s="74"/>
      <c r="BRW1" s="74"/>
      <c r="BRX1" s="74"/>
      <c r="BRY1" s="74"/>
      <c r="BRZ1" s="74"/>
      <c r="BSA1" s="74"/>
      <c r="BSB1" s="74"/>
      <c r="BSC1" s="74"/>
      <c r="BSD1" s="74"/>
      <c r="BSE1" s="74"/>
      <c r="BSF1" s="74"/>
      <c r="BSG1" s="74"/>
      <c r="BSH1" s="74"/>
      <c r="BSI1" s="74"/>
      <c r="BSJ1" s="74"/>
      <c r="BSK1" s="74"/>
      <c r="BSL1" s="74"/>
      <c r="BSM1" s="74"/>
      <c r="BSN1" s="74"/>
      <c r="BSO1" s="74"/>
      <c r="BSP1" s="74"/>
      <c r="BSQ1" s="74"/>
      <c r="BSR1" s="74"/>
      <c r="BSS1" s="74"/>
      <c r="BST1" s="74"/>
      <c r="BSU1" s="74"/>
      <c r="BSV1" s="74"/>
      <c r="BSW1" s="74"/>
      <c r="BSX1" s="74"/>
      <c r="BSY1" s="74"/>
      <c r="BSZ1" s="74"/>
      <c r="BTA1" s="74"/>
      <c r="BTB1" s="74"/>
      <c r="BTC1" s="74"/>
      <c r="BTD1" s="74"/>
      <c r="BTE1" s="74"/>
      <c r="BTF1" s="74"/>
      <c r="BTG1" s="74"/>
      <c r="BTH1" s="74"/>
      <c r="BTI1" s="74"/>
      <c r="BTJ1" s="74"/>
      <c r="BTK1" s="74"/>
      <c r="BTL1" s="74"/>
      <c r="BTM1" s="74"/>
      <c r="BTN1" s="74"/>
      <c r="BTO1" s="74"/>
      <c r="BTP1" s="74"/>
      <c r="BTQ1" s="74"/>
      <c r="BTR1" s="74"/>
      <c r="BTS1" s="74"/>
      <c r="BTT1" s="74"/>
      <c r="BTU1" s="74"/>
      <c r="BTV1" s="74"/>
      <c r="BTW1" s="74"/>
      <c r="BTX1" s="74"/>
      <c r="BTY1" s="74"/>
      <c r="BTZ1" s="74"/>
      <c r="BUA1" s="74"/>
      <c r="BUB1" s="74"/>
      <c r="BUC1" s="74"/>
      <c r="BUD1" s="74"/>
      <c r="BUE1" s="74"/>
      <c r="BUF1" s="74"/>
      <c r="BUG1" s="74"/>
      <c r="BUH1" s="74"/>
      <c r="BUI1" s="74"/>
      <c r="BUJ1" s="74"/>
      <c r="BUK1" s="74"/>
      <c r="BUL1" s="74"/>
      <c r="BUM1" s="74"/>
      <c r="BUN1" s="74"/>
      <c r="BUO1" s="74"/>
      <c r="BUP1" s="74"/>
      <c r="BUQ1" s="74"/>
      <c r="BUR1" s="74"/>
      <c r="BUS1" s="74"/>
      <c r="BUT1" s="74"/>
      <c r="BUU1" s="74"/>
      <c r="BUV1" s="74"/>
      <c r="BUW1" s="74"/>
      <c r="BUX1" s="74"/>
      <c r="BUY1" s="74"/>
      <c r="BUZ1" s="74"/>
      <c r="BVA1" s="74"/>
      <c r="BVB1" s="74"/>
      <c r="BVC1" s="74"/>
      <c r="BVD1" s="74"/>
      <c r="BVE1" s="74"/>
      <c r="BVF1" s="74"/>
      <c r="BVG1" s="74"/>
      <c r="BVH1" s="74"/>
      <c r="BVI1" s="74"/>
      <c r="BVJ1" s="74"/>
      <c r="BVK1" s="74"/>
      <c r="BVL1" s="74"/>
      <c r="BVM1" s="74"/>
      <c r="BVN1" s="74"/>
      <c r="BVO1" s="74"/>
      <c r="BVP1" s="74"/>
      <c r="BVQ1" s="74"/>
      <c r="BVR1" s="74"/>
      <c r="BVS1" s="74"/>
      <c r="BVT1" s="74"/>
      <c r="BVU1" s="74"/>
      <c r="BVV1" s="74"/>
      <c r="BVW1" s="74"/>
      <c r="BVX1" s="74"/>
      <c r="BVY1" s="74"/>
      <c r="BVZ1" s="74"/>
      <c r="BWA1" s="74"/>
      <c r="BWB1" s="74"/>
      <c r="BWC1" s="74"/>
      <c r="BWD1" s="74"/>
      <c r="BWE1" s="74"/>
      <c r="BWF1" s="74"/>
      <c r="BWG1" s="74"/>
      <c r="BWH1" s="74"/>
      <c r="BWI1" s="74"/>
      <c r="BWJ1" s="74"/>
      <c r="BWK1" s="74"/>
      <c r="BWL1" s="74"/>
      <c r="BWM1" s="74"/>
      <c r="BWN1" s="74"/>
      <c r="BWO1" s="74"/>
      <c r="BWP1" s="74"/>
      <c r="BWQ1" s="74"/>
      <c r="BWR1" s="74"/>
      <c r="BWS1" s="74"/>
      <c r="BWT1" s="74"/>
      <c r="BWU1" s="74"/>
      <c r="BWV1" s="74"/>
      <c r="BWW1" s="74"/>
      <c r="BWX1" s="74"/>
      <c r="BWY1" s="74"/>
      <c r="BWZ1" s="74"/>
      <c r="BXA1" s="74"/>
      <c r="BXB1" s="74"/>
      <c r="BXC1" s="74"/>
      <c r="BXD1" s="74"/>
      <c r="BXE1" s="74"/>
      <c r="BXF1" s="74"/>
      <c r="BXG1" s="74"/>
      <c r="BXH1" s="74"/>
      <c r="BXI1" s="74"/>
      <c r="BXJ1" s="74"/>
      <c r="BXK1" s="74"/>
      <c r="BXL1" s="74"/>
      <c r="BXM1" s="74"/>
      <c r="BXN1" s="74"/>
      <c r="BXO1" s="74"/>
      <c r="BXP1" s="74"/>
      <c r="BXQ1" s="74"/>
      <c r="BXR1" s="74"/>
      <c r="BXS1" s="74"/>
      <c r="BXT1" s="74"/>
      <c r="BXU1" s="74"/>
      <c r="BXV1" s="74"/>
      <c r="BXW1" s="74"/>
      <c r="BXX1" s="74"/>
      <c r="BXY1" s="74"/>
      <c r="BXZ1" s="74"/>
      <c r="BYA1" s="74"/>
      <c r="BYB1" s="74"/>
      <c r="BYC1" s="74"/>
      <c r="BYD1" s="74"/>
      <c r="BYE1" s="74"/>
      <c r="BYF1" s="74"/>
      <c r="BYG1" s="74"/>
      <c r="BYH1" s="74"/>
      <c r="BYI1" s="74"/>
      <c r="BYJ1" s="74"/>
      <c r="BYK1" s="74"/>
      <c r="BYL1" s="74"/>
      <c r="BYM1" s="74"/>
      <c r="BYN1" s="74"/>
      <c r="BYO1" s="74"/>
      <c r="BYP1" s="74"/>
      <c r="BYQ1" s="74"/>
      <c r="BYR1" s="74"/>
      <c r="BYS1" s="74"/>
      <c r="BYT1" s="74"/>
      <c r="BYU1" s="74"/>
      <c r="BYV1" s="74"/>
      <c r="BYW1" s="74"/>
      <c r="BYX1" s="74"/>
      <c r="BYY1" s="74"/>
      <c r="BYZ1" s="74"/>
      <c r="BZA1" s="74"/>
      <c r="BZB1" s="74"/>
      <c r="BZC1" s="74"/>
      <c r="BZD1" s="74"/>
      <c r="BZE1" s="74"/>
      <c r="BZF1" s="74"/>
      <c r="BZG1" s="74"/>
      <c r="BZH1" s="74"/>
      <c r="BZI1" s="74"/>
      <c r="BZJ1" s="74"/>
      <c r="BZK1" s="74"/>
      <c r="BZL1" s="74"/>
      <c r="BZM1" s="74"/>
      <c r="BZN1" s="74"/>
      <c r="BZO1" s="74"/>
      <c r="BZP1" s="74"/>
      <c r="BZQ1" s="74"/>
      <c r="BZR1" s="74"/>
      <c r="BZS1" s="74"/>
      <c r="BZT1" s="74"/>
      <c r="BZU1" s="74"/>
      <c r="BZV1" s="74"/>
      <c r="BZW1" s="74"/>
      <c r="BZX1" s="74"/>
      <c r="BZY1" s="74"/>
      <c r="BZZ1" s="74"/>
      <c r="CAA1" s="74"/>
      <c r="CAB1" s="74"/>
      <c r="CAC1" s="74"/>
      <c r="CAD1" s="74"/>
      <c r="CAE1" s="74"/>
      <c r="CAF1" s="74"/>
      <c r="CAG1" s="74"/>
      <c r="CAH1" s="74"/>
      <c r="CAI1" s="74"/>
      <c r="CAJ1" s="74"/>
      <c r="CAK1" s="74"/>
      <c r="CAL1" s="74"/>
      <c r="CAM1" s="74"/>
      <c r="CAN1" s="74"/>
      <c r="CAO1" s="74"/>
      <c r="CAP1" s="74"/>
      <c r="CAQ1" s="74"/>
      <c r="CAR1" s="74"/>
      <c r="CAS1" s="74"/>
      <c r="CAT1" s="74"/>
      <c r="CAU1" s="74"/>
      <c r="CAV1" s="74"/>
      <c r="CAW1" s="74"/>
      <c r="CAX1" s="74"/>
      <c r="CAY1" s="74"/>
      <c r="CAZ1" s="74"/>
      <c r="CBA1" s="74"/>
      <c r="CBB1" s="74"/>
      <c r="CBC1" s="74"/>
      <c r="CBD1" s="74"/>
      <c r="CBE1" s="74"/>
      <c r="CBF1" s="74"/>
      <c r="CBG1" s="74"/>
      <c r="CBH1" s="74"/>
      <c r="CBI1" s="74"/>
      <c r="CBJ1" s="74"/>
      <c r="CBK1" s="74"/>
      <c r="CBL1" s="74"/>
      <c r="CBM1" s="74"/>
      <c r="CBN1" s="74"/>
      <c r="CBO1" s="74"/>
      <c r="CBP1" s="74"/>
      <c r="CBQ1" s="74"/>
      <c r="CBR1" s="74"/>
      <c r="CBS1" s="74"/>
      <c r="CBT1" s="74"/>
      <c r="CBU1" s="74"/>
      <c r="CBV1" s="74"/>
      <c r="CBW1" s="74"/>
      <c r="CBX1" s="74"/>
      <c r="CBY1" s="74"/>
      <c r="CBZ1" s="74"/>
      <c r="CCA1" s="74"/>
      <c r="CCB1" s="74"/>
      <c r="CCC1" s="74"/>
      <c r="CCD1" s="74"/>
      <c r="CCE1" s="74"/>
      <c r="CCF1" s="74"/>
      <c r="CCG1" s="74"/>
      <c r="CCH1" s="74"/>
      <c r="CCI1" s="74"/>
      <c r="CCJ1" s="74"/>
      <c r="CCK1" s="74"/>
      <c r="CCL1" s="74"/>
      <c r="CCM1" s="74"/>
      <c r="CCN1" s="74"/>
      <c r="CCO1" s="74"/>
      <c r="CCP1" s="74"/>
      <c r="CCQ1" s="74"/>
      <c r="CCR1" s="74"/>
      <c r="CCS1" s="74"/>
      <c r="CCT1" s="74"/>
      <c r="CCU1" s="74"/>
      <c r="CCV1" s="74"/>
      <c r="CCW1" s="74"/>
      <c r="CCX1" s="74"/>
      <c r="CCY1" s="74"/>
      <c r="CCZ1" s="74"/>
      <c r="CDA1" s="74"/>
      <c r="CDB1" s="74"/>
      <c r="CDC1" s="74"/>
      <c r="CDD1" s="74"/>
      <c r="CDE1" s="74"/>
      <c r="CDF1" s="74"/>
      <c r="CDG1" s="74"/>
      <c r="CDH1" s="74"/>
      <c r="CDI1" s="74"/>
      <c r="CDJ1" s="74"/>
      <c r="CDK1" s="74"/>
      <c r="CDL1" s="74"/>
      <c r="CDM1" s="74"/>
      <c r="CDN1" s="74"/>
      <c r="CDO1" s="74"/>
      <c r="CDP1" s="74"/>
      <c r="CDQ1" s="74"/>
      <c r="CDR1" s="74"/>
      <c r="CDS1" s="74"/>
      <c r="CDT1" s="74"/>
      <c r="CDU1" s="74"/>
      <c r="CDV1" s="74"/>
      <c r="CDW1" s="74"/>
      <c r="CDX1" s="74"/>
      <c r="CDY1" s="74"/>
      <c r="CDZ1" s="74"/>
      <c r="CEA1" s="74"/>
      <c r="CEB1" s="74"/>
      <c r="CEC1" s="74"/>
      <c r="CED1" s="74"/>
      <c r="CEE1" s="74"/>
      <c r="CEF1" s="74"/>
      <c r="CEG1" s="74"/>
      <c r="CEH1" s="74"/>
      <c r="CEI1" s="74"/>
      <c r="CEJ1" s="74"/>
      <c r="CEK1" s="74"/>
      <c r="CEL1" s="74"/>
      <c r="CEM1" s="74"/>
      <c r="CEN1" s="74"/>
      <c r="CEO1" s="74"/>
      <c r="CEP1" s="74"/>
      <c r="CEQ1" s="74"/>
      <c r="CER1" s="74"/>
      <c r="CES1" s="74"/>
      <c r="CET1" s="74"/>
      <c r="CEU1" s="74"/>
      <c r="CEV1" s="74"/>
      <c r="CEW1" s="74"/>
      <c r="CEX1" s="74"/>
      <c r="CEY1" s="74"/>
      <c r="CEZ1" s="74"/>
      <c r="CFA1" s="74"/>
      <c r="CFB1" s="74"/>
      <c r="CFC1" s="74"/>
      <c r="CFD1" s="74"/>
      <c r="CFE1" s="74"/>
      <c r="CFF1" s="74"/>
      <c r="CFG1" s="74"/>
      <c r="CFH1" s="74"/>
      <c r="CFI1" s="74"/>
      <c r="CFJ1" s="74"/>
      <c r="CFK1" s="74"/>
      <c r="CFL1" s="74"/>
      <c r="CFM1" s="74"/>
      <c r="CFN1" s="74"/>
      <c r="CFO1" s="74"/>
      <c r="CFP1" s="74"/>
      <c r="CFQ1" s="74"/>
      <c r="CFR1" s="74"/>
      <c r="CFS1" s="74"/>
      <c r="CFT1" s="74"/>
      <c r="CFU1" s="74"/>
      <c r="CFV1" s="74"/>
      <c r="CFW1" s="74"/>
      <c r="CFX1" s="74"/>
      <c r="CFY1" s="74"/>
      <c r="CFZ1" s="74"/>
      <c r="CGA1" s="74"/>
      <c r="CGB1" s="74"/>
      <c r="CGC1" s="74"/>
      <c r="CGD1" s="74"/>
      <c r="CGE1" s="74"/>
      <c r="CGF1" s="74"/>
      <c r="CGG1" s="74"/>
      <c r="CGH1" s="74"/>
      <c r="CGI1" s="74"/>
      <c r="CGJ1" s="74"/>
      <c r="CGK1" s="74"/>
      <c r="CGL1" s="74"/>
      <c r="CGM1" s="74"/>
      <c r="CGN1" s="74"/>
      <c r="CGO1" s="74"/>
      <c r="CGP1" s="74"/>
      <c r="CGQ1" s="74"/>
      <c r="CGR1" s="74"/>
      <c r="CGS1" s="74"/>
      <c r="CGT1" s="74"/>
      <c r="CGU1" s="74"/>
      <c r="CGV1" s="74"/>
      <c r="CGW1" s="74"/>
      <c r="CGX1" s="74"/>
      <c r="CGY1" s="74"/>
      <c r="CGZ1" s="74"/>
      <c r="CHA1" s="74"/>
      <c r="CHB1" s="74"/>
      <c r="CHC1" s="74"/>
      <c r="CHD1" s="74"/>
      <c r="CHE1" s="74"/>
      <c r="CHF1" s="74"/>
      <c r="CHG1" s="74"/>
      <c r="CHH1" s="74"/>
      <c r="CHI1" s="74"/>
      <c r="CHJ1" s="74"/>
      <c r="CHK1" s="74"/>
      <c r="CHL1" s="74"/>
      <c r="CHM1" s="74"/>
      <c r="CHN1" s="74"/>
      <c r="CHO1" s="74"/>
      <c r="CHP1" s="74"/>
      <c r="CHQ1" s="74"/>
      <c r="CHR1" s="74"/>
      <c r="CHS1" s="74"/>
      <c r="CHT1" s="74"/>
      <c r="CHU1" s="74"/>
      <c r="CHV1" s="74"/>
      <c r="CHW1" s="74"/>
      <c r="CHX1" s="74"/>
      <c r="CHY1" s="74"/>
      <c r="CHZ1" s="74"/>
      <c r="CIA1" s="74"/>
      <c r="CIB1" s="74"/>
      <c r="CIC1" s="74"/>
      <c r="CID1" s="74"/>
      <c r="CIE1" s="74"/>
      <c r="CIF1" s="74"/>
      <c r="CIG1" s="74"/>
      <c r="CIH1" s="74"/>
      <c r="CII1" s="74"/>
      <c r="CIJ1" s="74"/>
      <c r="CIK1" s="74"/>
      <c r="CIL1" s="74"/>
      <c r="CIM1" s="74"/>
      <c r="CIN1" s="74"/>
      <c r="CIO1" s="74"/>
      <c r="CIP1" s="74"/>
      <c r="CIQ1" s="74"/>
      <c r="CIR1" s="74"/>
      <c r="CIS1" s="74"/>
      <c r="CIT1" s="74"/>
      <c r="CIU1" s="74"/>
      <c r="CIV1" s="74"/>
      <c r="CIW1" s="74"/>
      <c r="CIX1" s="74"/>
      <c r="CIY1" s="74"/>
      <c r="CIZ1" s="74"/>
      <c r="CJA1" s="74"/>
      <c r="CJB1" s="74"/>
      <c r="CJC1" s="74"/>
      <c r="CJD1" s="74"/>
      <c r="CJE1" s="74"/>
      <c r="CJF1" s="74"/>
      <c r="CJG1" s="74"/>
      <c r="CJH1" s="74"/>
      <c r="CJI1" s="74"/>
      <c r="CJJ1" s="74"/>
      <c r="CJK1" s="74"/>
      <c r="CJL1" s="74"/>
      <c r="CJM1" s="74"/>
      <c r="CJN1" s="74"/>
      <c r="CJO1" s="74"/>
      <c r="CJP1" s="74"/>
      <c r="CJQ1" s="74"/>
      <c r="CJR1" s="74"/>
      <c r="CJS1" s="74"/>
      <c r="CJT1" s="74"/>
      <c r="CJU1" s="74"/>
      <c r="CJV1" s="74"/>
      <c r="CJW1" s="74"/>
      <c r="CJX1" s="74"/>
      <c r="CJY1" s="74"/>
      <c r="CJZ1" s="74"/>
      <c r="CKA1" s="74"/>
      <c r="CKB1" s="74"/>
      <c r="CKC1" s="74"/>
      <c r="CKD1" s="74"/>
      <c r="CKE1" s="74"/>
      <c r="CKF1" s="74"/>
      <c r="CKG1" s="74"/>
      <c r="CKH1" s="74"/>
      <c r="CKI1" s="74"/>
      <c r="CKJ1" s="74"/>
      <c r="CKK1" s="74"/>
      <c r="CKL1" s="74"/>
      <c r="CKM1" s="74"/>
      <c r="CKN1" s="74"/>
      <c r="CKO1" s="74"/>
      <c r="CKP1" s="74"/>
      <c r="CKQ1" s="74"/>
      <c r="CKR1" s="74"/>
      <c r="CKS1" s="74"/>
      <c r="CKT1" s="74"/>
      <c r="CKU1" s="74"/>
      <c r="CKV1" s="74"/>
      <c r="CKW1" s="74"/>
      <c r="CKX1" s="74"/>
      <c r="CKY1" s="74"/>
      <c r="CKZ1" s="74"/>
      <c r="CLA1" s="74"/>
      <c r="CLB1" s="74"/>
      <c r="CLC1" s="74"/>
      <c r="CLD1" s="74"/>
      <c r="CLE1" s="74"/>
      <c r="CLF1" s="74"/>
      <c r="CLG1" s="74"/>
      <c r="CLH1" s="74"/>
      <c r="CLI1" s="74"/>
      <c r="CLJ1" s="74"/>
      <c r="CLK1" s="74"/>
      <c r="CLL1" s="74"/>
      <c r="CLM1" s="74"/>
      <c r="CLN1" s="74"/>
      <c r="CLO1" s="74"/>
      <c r="CLP1" s="74"/>
      <c r="CLQ1" s="74"/>
      <c r="CLR1" s="74"/>
      <c r="CLS1" s="74"/>
      <c r="CLT1" s="74"/>
      <c r="CLU1" s="74"/>
      <c r="CLV1" s="74"/>
      <c r="CLW1" s="74"/>
      <c r="CLX1" s="74"/>
      <c r="CLY1" s="74"/>
      <c r="CLZ1" s="74"/>
      <c r="CMA1" s="74"/>
      <c r="CMB1" s="74"/>
      <c r="CMC1" s="74"/>
      <c r="CMD1" s="74"/>
      <c r="CME1" s="74"/>
      <c r="CMF1" s="74"/>
      <c r="CMG1" s="74"/>
      <c r="CMH1" s="74"/>
      <c r="CMI1" s="74"/>
      <c r="CMJ1" s="74"/>
      <c r="CMK1" s="74"/>
      <c r="CML1" s="74"/>
      <c r="CMM1" s="74"/>
      <c r="CMN1" s="74"/>
      <c r="CMO1" s="74"/>
      <c r="CMP1" s="74"/>
      <c r="CMQ1" s="74"/>
      <c r="CMR1" s="74"/>
      <c r="CMS1" s="74"/>
      <c r="CMT1" s="74"/>
      <c r="CMU1" s="74"/>
      <c r="CMV1" s="74"/>
      <c r="CMW1" s="74"/>
      <c r="CMX1" s="74"/>
      <c r="CMY1" s="74"/>
      <c r="CMZ1" s="74"/>
      <c r="CNA1" s="74"/>
      <c r="CNB1" s="74"/>
      <c r="CNC1" s="74"/>
      <c r="CND1" s="74"/>
      <c r="CNE1" s="74"/>
      <c r="CNF1" s="74"/>
      <c r="CNG1" s="74"/>
      <c r="CNH1" s="74"/>
      <c r="CNI1" s="74"/>
      <c r="CNJ1" s="74"/>
      <c r="CNK1" s="74"/>
      <c r="CNL1" s="74"/>
      <c r="CNM1" s="74"/>
      <c r="CNN1" s="74"/>
      <c r="CNO1" s="74"/>
      <c r="CNP1" s="74"/>
      <c r="CNQ1" s="74"/>
      <c r="CNR1" s="74"/>
      <c r="CNS1" s="74"/>
      <c r="CNT1" s="74"/>
      <c r="CNU1" s="74"/>
      <c r="CNV1" s="74"/>
      <c r="CNW1" s="74"/>
      <c r="CNX1" s="74"/>
      <c r="CNY1" s="74"/>
      <c r="CNZ1" s="74"/>
      <c r="COA1" s="74"/>
      <c r="COB1" s="74"/>
      <c r="COC1" s="74"/>
      <c r="COD1" s="74"/>
      <c r="COE1" s="74"/>
      <c r="COF1" s="74"/>
      <c r="COG1" s="74"/>
      <c r="COH1" s="74"/>
      <c r="COI1" s="74"/>
      <c r="COJ1" s="74"/>
      <c r="COK1" s="74"/>
      <c r="COL1" s="74"/>
      <c r="COM1" s="74"/>
      <c r="CON1" s="74"/>
      <c r="COO1" s="74"/>
      <c r="COP1" s="74"/>
      <c r="COQ1" s="74"/>
      <c r="COR1" s="74"/>
      <c r="COS1" s="74"/>
      <c r="COT1" s="74"/>
      <c r="COU1" s="74"/>
      <c r="COV1" s="74"/>
      <c r="COW1" s="74"/>
      <c r="COX1" s="74"/>
      <c r="COY1" s="74"/>
      <c r="COZ1" s="74"/>
      <c r="CPA1" s="74"/>
      <c r="CPB1" s="74"/>
      <c r="CPC1" s="74"/>
      <c r="CPD1" s="74"/>
      <c r="CPE1" s="74"/>
      <c r="CPF1" s="74"/>
      <c r="CPG1" s="74"/>
      <c r="CPH1" s="74"/>
      <c r="CPI1" s="74"/>
      <c r="CPJ1" s="74"/>
      <c r="CPK1" s="74"/>
      <c r="CPL1" s="74"/>
      <c r="CPM1" s="74"/>
      <c r="CPN1" s="74"/>
      <c r="CPO1" s="74"/>
      <c r="CPP1" s="74"/>
      <c r="CPQ1" s="74"/>
      <c r="CPR1" s="74"/>
      <c r="CPS1" s="74"/>
      <c r="CPT1" s="74"/>
      <c r="CPU1" s="74"/>
      <c r="CPV1" s="74"/>
      <c r="CPW1" s="74"/>
      <c r="CPX1" s="74"/>
      <c r="CPY1" s="74"/>
      <c r="CPZ1" s="74"/>
      <c r="CQA1" s="74"/>
      <c r="CQB1" s="74"/>
      <c r="CQC1" s="74"/>
      <c r="CQD1" s="74"/>
      <c r="CQE1" s="74"/>
      <c r="CQF1" s="74"/>
      <c r="CQG1" s="74"/>
      <c r="CQH1" s="74"/>
      <c r="CQI1" s="74"/>
      <c r="CQJ1" s="74"/>
      <c r="CQK1" s="74"/>
      <c r="CQL1" s="74"/>
      <c r="CQM1" s="74"/>
      <c r="CQN1" s="74"/>
      <c r="CQO1" s="74"/>
      <c r="CQP1" s="74"/>
      <c r="CQQ1" s="74"/>
      <c r="CQR1" s="74"/>
      <c r="CQS1" s="74"/>
      <c r="CQT1" s="74"/>
      <c r="CQU1" s="74"/>
      <c r="CQV1" s="74"/>
      <c r="CQW1" s="74"/>
      <c r="CQX1" s="74"/>
      <c r="CQY1" s="74"/>
      <c r="CQZ1" s="74"/>
      <c r="CRA1" s="74"/>
      <c r="CRB1" s="74"/>
      <c r="CRC1" s="74"/>
      <c r="CRD1" s="74"/>
      <c r="CRE1" s="74"/>
      <c r="CRF1" s="74"/>
      <c r="CRG1" s="74"/>
      <c r="CRH1" s="74"/>
      <c r="CRI1" s="74"/>
      <c r="CRJ1" s="74"/>
      <c r="CRK1" s="74"/>
      <c r="CRL1" s="74"/>
      <c r="CRM1" s="74"/>
      <c r="CRN1" s="74"/>
      <c r="CRO1" s="74"/>
      <c r="CRP1" s="74"/>
      <c r="CRQ1" s="74"/>
      <c r="CRR1" s="74"/>
      <c r="CRS1" s="74"/>
      <c r="CRT1" s="74"/>
      <c r="CRU1" s="74"/>
      <c r="CRV1" s="74"/>
      <c r="CRW1" s="74"/>
      <c r="CRX1" s="74"/>
      <c r="CRY1" s="74"/>
      <c r="CRZ1" s="74"/>
      <c r="CSA1" s="74"/>
      <c r="CSB1" s="74"/>
      <c r="CSC1" s="74"/>
      <c r="CSD1" s="74"/>
      <c r="CSE1" s="74"/>
      <c r="CSF1" s="74"/>
      <c r="CSG1" s="74"/>
      <c r="CSH1" s="74"/>
      <c r="CSI1" s="74"/>
      <c r="CSJ1" s="74"/>
      <c r="CSK1" s="74"/>
      <c r="CSL1" s="74"/>
      <c r="CSM1" s="74"/>
      <c r="CSN1" s="74"/>
      <c r="CSO1" s="74"/>
      <c r="CSP1" s="74"/>
      <c r="CSQ1" s="74"/>
      <c r="CSR1" s="74"/>
      <c r="CSS1" s="74"/>
      <c r="CST1" s="74"/>
      <c r="CSU1" s="74"/>
      <c r="CSV1" s="74"/>
      <c r="CSW1" s="74"/>
      <c r="CSX1" s="74"/>
      <c r="CSY1" s="74"/>
      <c r="CSZ1" s="74"/>
      <c r="CTA1" s="74"/>
      <c r="CTB1" s="74"/>
      <c r="CTC1" s="74"/>
      <c r="CTD1" s="74"/>
      <c r="CTE1" s="74"/>
      <c r="CTF1" s="74"/>
      <c r="CTG1" s="74"/>
      <c r="CTH1" s="74"/>
      <c r="CTI1" s="74"/>
      <c r="CTJ1" s="74"/>
      <c r="CTK1" s="74"/>
      <c r="CTL1" s="74"/>
      <c r="CTM1" s="74"/>
      <c r="CTN1" s="74"/>
      <c r="CTO1" s="74"/>
      <c r="CTP1" s="74"/>
      <c r="CTQ1" s="74"/>
      <c r="CTR1" s="74"/>
      <c r="CTS1" s="74"/>
      <c r="CTT1" s="74"/>
      <c r="CTU1" s="74"/>
      <c r="CTV1" s="74"/>
      <c r="CTW1" s="74"/>
      <c r="CTX1" s="74"/>
      <c r="CTY1" s="74"/>
      <c r="CTZ1" s="74"/>
      <c r="CUA1" s="74"/>
      <c r="CUB1" s="74"/>
      <c r="CUC1" s="74"/>
      <c r="CUD1" s="74"/>
      <c r="CUE1" s="74"/>
      <c r="CUF1" s="74"/>
      <c r="CUG1" s="74"/>
      <c r="CUH1" s="74"/>
      <c r="CUI1" s="74"/>
      <c r="CUJ1" s="74"/>
      <c r="CUK1" s="74"/>
      <c r="CUL1" s="74"/>
      <c r="CUM1" s="74"/>
      <c r="CUN1" s="74"/>
      <c r="CUO1" s="74"/>
      <c r="CUP1" s="74"/>
      <c r="CUQ1" s="74"/>
      <c r="CUR1" s="74"/>
      <c r="CUS1" s="74"/>
      <c r="CUT1" s="74"/>
      <c r="CUU1" s="74"/>
      <c r="CUV1" s="74"/>
      <c r="CUW1" s="74"/>
      <c r="CUX1" s="74"/>
      <c r="CUY1" s="74"/>
      <c r="CUZ1" s="74"/>
      <c r="CVA1" s="74"/>
      <c r="CVB1" s="74"/>
      <c r="CVC1" s="74"/>
      <c r="CVD1" s="74"/>
      <c r="CVE1" s="74"/>
      <c r="CVF1" s="74"/>
      <c r="CVG1" s="74"/>
      <c r="CVH1" s="74"/>
      <c r="CVI1" s="74"/>
      <c r="CVJ1" s="74"/>
      <c r="CVK1" s="74"/>
      <c r="CVL1" s="74"/>
      <c r="CVM1" s="74"/>
      <c r="CVN1" s="74"/>
      <c r="CVO1" s="74"/>
      <c r="CVP1" s="74"/>
      <c r="CVQ1" s="74"/>
      <c r="CVR1" s="74"/>
      <c r="CVS1" s="74"/>
      <c r="CVT1" s="74"/>
      <c r="CVU1" s="74"/>
      <c r="CVV1" s="74"/>
      <c r="CVW1" s="74"/>
      <c r="CVX1" s="74"/>
      <c r="CVY1" s="74"/>
      <c r="CVZ1" s="74"/>
      <c r="CWA1" s="74"/>
      <c r="CWB1" s="74"/>
      <c r="CWC1" s="74"/>
      <c r="CWD1" s="74"/>
      <c r="CWE1" s="74"/>
      <c r="CWF1" s="74"/>
      <c r="CWG1" s="74"/>
      <c r="CWH1" s="74"/>
      <c r="CWI1" s="74"/>
      <c r="CWJ1" s="74"/>
      <c r="CWK1" s="74"/>
      <c r="CWL1" s="74"/>
      <c r="CWM1" s="74"/>
      <c r="CWN1" s="74"/>
      <c r="CWO1" s="74"/>
      <c r="CWP1" s="74"/>
      <c r="CWQ1" s="74"/>
      <c r="CWR1" s="74"/>
      <c r="CWS1" s="74"/>
      <c r="CWT1" s="74"/>
      <c r="CWU1" s="74"/>
      <c r="CWV1" s="74"/>
      <c r="CWW1" s="74"/>
      <c r="CWX1" s="74"/>
      <c r="CWY1" s="74"/>
      <c r="CWZ1" s="74"/>
      <c r="CXA1" s="74"/>
      <c r="CXB1" s="74"/>
      <c r="CXC1" s="74"/>
      <c r="CXD1" s="74"/>
      <c r="CXE1" s="74"/>
      <c r="CXF1" s="74"/>
      <c r="CXG1" s="74"/>
      <c r="CXH1" s="74"/>
      <c r="CXI1" s="74"/>
      <c r="CXJ1" s="74"/>
      <c r="CXK1" s="74"/>
      <c r="CXL1" s="74"/>
      <c r="CXM1" s="74"/>
      <c r="CXN1" s="74"/>
      <c r="CXO1" s="74"/>
      <c r="CXP1" s="74"/>
      <c r="CXQ1" s="74"/>
      <c r="CXR1" s="74"/>
      <c r="CXS1" s="74"/>
      <c r="CXT1" s="74"/>
      <c r="CXU1" s="74"/>
      <c r="CXV1" s="74"/>
      <c r="CXW1" s="74"/>
      <c r="CXX1" s="74"/>
      <c r="CXY1" s="74"/>
      <c r="CXZ1" s="74"/>
      <c r="CYA1" s="74"/>
      <c r="CYB1" s="74"/>
      <c r="CYC1" s="74"/>
      <c r="CYD1" s="74"/>
      <c r="CYE1" s="74"/>
      <c r="CYF1" s="74"/>
      <c r="CYG1" s="74"/>
      <c r="CYH1" s="74"/>
      <c r="CYI1" s="74"/>
      <c r="CYJ1" s="74"/>
      <c r="CYK1" s="74"/>
      <c r="CYL1" s="74"/>
      <c r="CYM1" s="74"/>
      <c r="CYN1" s="74"/>
      <c r="CYO1" s="74"/>
      <c r="CYP1" s="74"/>
      <c r="CYQ1" s="74"/>
      <c r="CYR1" s="74"/>
      <c r="CYS1" s="74"/>
      <c r="CYT1" s="74"/>
      <c r="CYU1" s="74"/>
      <c r="CYV1" s="74"/>
      <c r="CYW1" s="74"/>
      <c r="CYX1" s="74"/>
      <c r="CYY1" s="74"/>
      <c r="CYZ1" s="74"/>
      <c r="CZA1" s="74"/>
      <c r="CZB1" s="74"/>
      <c r="CZC1" s="74"/>
      <c r="CZD1" s="74"/>
      <c r="CZE1" s="74"/>
      <c r="CZF1" s="74"/>
      <c r="CZG1" s="74"/>
      <c r="CZH1" s="74"/>
      <c r="CZI1" s="74"/>
      <c r="CZJ1" s="74"/>
      <c r="CZK1" s="74"/>
      <c r="CZL1" s="74"/>
      <c r="CZM1" s="74"/>
      <c r="CZN1" s="74"/>
      <c r="CZO1" s="74"/>
      <c r="CZP1" s="74"/>
      <c r="CZQ1" s="74"/>
      <c r="CZR1" s="74"/>
      <c r="CZS1" s="74"/>
      <c r="CZT1" s="74"/>
      <c r="CZU1" s="74"/>
      <c r="CZV1" s="74"/>
      <c r="CZW1" s="74"/>
      <c r="CZX1" s="74"/>
      <c r="CZY1" s="74"/>
      <c r="CZZ1" s="74"/>
      <c r="DAA1" s="74"/>
      <c r="DAB1" s="74"/>
      <c r="DAC1" s="74"/>
      <c r="DAD1" s="74"/>
      <c r="DAE1" s="74"/>
      <c r="DAF1" s="74"/>
      <c r="DAG1" s="74"/>
      <c r="DAH1" s="74"/>
      <c r="DAI1" s="74"/>
      <c r="DAJ1" s="74"/>
      <c r="DAK1" s="74"/>
      <c r="DAL1" s="74"/>
      <c r="DAM1" s="74"/>
      <c r="DAN1" s="74"/>
      <c r="DAO1" s="74"/>
      <c r="DAP1" s="74"/>
      <c r="DAQ1" s="74"/>
      <c r="DAR1" s="74"/>
      <c r="DAS1" s="74"/>
      <c r="DAT1" s="74"/>
      <c r="DAU1" s="74"/>
      <c r="DAV1" s="74"/>
      <c r="DAW1" s="74"/>
      <c r="DAX1" s="74"/>
      <c r="DAY1" s="74"/>
      <c r="DAZ1" s="74"/>
      <c r="DBA1" s="74"/>
      <c r="DBB1" s="74"/>
      <c r="DBC1" s="74"/>
      <c r="DBD1" s="74"/>
      <c r="DBE1" s="74"/>
      <c r="DBF1" s="74"/>
      <c r="DBG1" s="74"/>
      <c r="DBH1" s="74"/>
      <c r="DBI1" s="74"/>
      <c r="DBJ1" s="74"/>
      <c r="DBK1" s="74"/>
      <c r="DBL1" s="74"/>
      <c r="DBM1" s="74"/>
      <c r="DBN1" s="74"/>
      <c r="DBO1" s="74"/>
      <c r="DBP1" s="74"/>
      <c r="DBQ1" s="74"/>
      <c r="DBR1" s="74"/>
      <c r="DBS1" s="74"/>
      <c r="DBT1" s="74"/>
      <c r="DBU1" s="74"/>
      <c r="DBV1" s="74"/>
      <c r="DBW1" s="74"/>
      <c r="DBX1" s="74"/>
      <c r="DBY1" s="74"/>
      <c r="DBZ1" s="74"/>
      <c r="DCA1" s="74"/>
      <c r="DCB1" s="74"/>
      <c r="DCC1" s="74"/>
      <c r="DCD1" s="74"/>
      <c r="DCE1" s="74"/>
      <c r="DCF1" s="74"/>
      <c r="DCG1" s="74"/>
      <c r="DCH1" s="74"/>
      <c r="DCI1" s="74"/>
      <c r="DCJ1" s="74"/>
      <c r="DCK1" s="74"/>
      <c r="DCL1" s="74"/>
      <c r="DCM1" s="74"/>
      <c r="DCN1" s="74"/>
      <c r="DCO1" s="74"/>
      <c r="DCP1" s="74"/>
      <c r="DCQ1" s="74"/>
      <c r="DCR1" s="74"/>
      <c r="DCS1" s="74"/>
      <c r="DCT1" s="74"/>
      <c r="DCU1" s="74"/>
      <c r="DCV1" s="74"/>
      <c r="DCW1" s="74"/>
      <c r="DCX1" s="74"/>
      <c r="DCY1" s="74"/>
      <c r="DCZ1" s="74"/>
      <c r="DDA1" s="74"/>
      <c r="DDB1" s="74"/>
      <c r="DDC1" s="74"/>
      <c r="DDD1" s="74"/>
      <c r="DDE1" s="74"/>
      <c r="DDF1" s="74"/>
      <c r="DDG1" s="74"/>
      <c r="DDH1" s="74"/>
      <c r="DDI1" s="74"/>
      <c r="DDJ1" s="74"/>
      <c r="DDK1" s="74"/>
      <c r="DDL1" s="74"/>
      <c r="DDM1" s="74"/>
      <c r="DDN1" s="74"/>
      <c r="DDO1" s="74"/>
      <c r="DDP1" s="74"/>
      <c r="DDQ1" s="74"/>
      <c r="DDR1" s="74"/>
      <c r="DDS1" s="74"/>
      <c r="DDT1" s="74"/>
      <c r="DDU1" s="74"/>
      <c r="DDV1" s="74"/>
      <c r="DDW1" s="74"/>
      <c r="DDX1" s="74"/>
      <c r="DDY1" s="74"/>
      <c r="DDZ1" s="74"/>
      <c r="DEA1" s="74"/>
      <c r="DEB1" s="74"/>
      <c r="DEC1" s="74"/>
      <c r="DED1" s="74"/>
      <c r="DEE1" s="74"/>
      <c r="DEF1" s="74"/>
      <c r="DEG1" s="74"/>
      <c r="DEH1" s="74"/>
      <c r="DEI1" s="74"/>
      <c r="DEJ1" s="74"/>
      <c r="DEK1" s="74"/>
      <c r="DEL1" s="74"/>
      <c r="DEM1" s="74"/>
      <c r="DEN1" s="74"/>
      <c r="DEO1" s="74"/>
      <c r="DEP1" s="74"/>
      <c r="DEQ1" s="74"/>
      <c r="DER1" s="74"/>
      <c r="DES1" s="74"/>
      <c r="DET1" s="74"/>
      <c r="DEU1" s="74"/>
      <c r="DEV1" s="74"/>
      <c r="DEW1" s="74"/>
      <c r="DEX1" s="74"/>
      <c r="DEY1" s="74"/>
      <c r="DEZ1" s="74"/>
      <c r="DFA1" s="74"/>
      <c r="DFB1" s="74"/>
      <c r="DFC1" s="74"/>
      <c r="DFD1" s="74"/>
      <c r="DFE1" s="74"/>
      <c r="DFF1" s="74"/>
      <c r="DFG1" s="74"/>
      <c r="DFH1" s="74"/>
      <c r="DFI1" s="74"/>
      <c r="DFJ1" s="74"/>
      <c r="DFK1" s="74"/>
      <c r="DFL1" s="74"/>
      <c r="DFM1" s="74"/>
      <c r="DFN1" s="74"/>
      <c r="DFO1" s="74"/>
      <c r="DFP1" s="74"/>
      <c r="DFQ1" s="74"/>
      <c r="DFR1" s="74"/>
      <c r="DFS1" s="74"/>
      <c r="DFT1" s="74"/>
      <c r="DFU1" s="74"/>
      <c r="DFV1" s="74"/>
      <c r="DFW1" s="74"/>
      <c r="DFX1" s="74"/>
      <c r="DFY1" s="74"/>
      <c r="DFZ1" s="74"/>
      <c r="DGA1" s="74"/>
      <c r="DGB1" s="74"/>
      <c r="DGC1" s="74"/>
      <c r="DGD1" s="74"/>
      <c r="DGE1" s="74"/>
      <c r="DGF1" s="74"/>
      <c r="DGG1" s="74"/>
      <c r="DGH1" s="74"/>
      <c r="DGI1" s="74"/>
      <c r="DGJ1" s="74"/>
      <c r="DGK1" s="74"/>
      <c r="DGL1" s="74"/>
      <c r="DGM1" s="74"/>
      <c r="DGN1" s="74"/>
      <c r="DGO1" s="74"/>
      <c r="DGP1" s="74"/>
      <c r="DGQ1" s="74"/>
      <c r="DGR1" s="74"/>
      <c r="DGS1" s="74"/>
      <c r="DGT1" s="74"/>
      <c r="DGU1" s="74"/>
      <c r="DGV1" s="74"/>
      <c r="DGW1" s="74"/>
      <c r="DGX1" s="74"/>
      <c r="DGY1" s="74"/>
      <c r="DGZ1" s="74"/>
      <c r="DHA1" s="74"/>
      <c r="DHB1" s="74"/>
      <c r="DHC1" s="74"/>
      <c r="DHD1" s="74"/>
      <c r="DHE1" s="74"/>
      <c r="DHF1" s="74"/>
      <c r="DHG1" s="74"/>
      <c r="DHH1" s="74"/>
      <c r="DHI1" s="74"/>
      <c r="DHJ1" s="74"/>
      <c r="DHK1" s="74"/>
      <c r="DHL1" s="74"/>
      <c r="DHM1" s="74"/>
      <c r="DHN1" s="74"/>
      <c r="DHO1" s="74"/>
      <c r="DHP1" s="74"/>
      <c r="DHQ1" s="74"/>
      <c r="DHR1" s="74"/>
      <c r="DHS1" s="74"/>
      <c r="DHT1" s="74"/>
      <c r="DHU1" s="74"/>
      <c r="DHV1" s="74"/>
      <c r="DHW1" s="74"/>
      <c r="DHX1" s="74"/>
      <c r="DHY1" s="74"/>
      <c r="DHZ1" s="74"/>
      <c r="DIA1" s="74"/>
      <c r="DIB1" s="74"/>
      <c r="DIC1" s="74"/>
      <c r="DID1" s="74"/>
      <c r="DIE1" s="74"/>
      <c r="DIF1" s="74"/>
      <c r="DIG1" s="74"/>
      <c r="DIH1" s="74"/>
      <c r="DII1" s="74"/>
      <c r="DIJ1" s="74"/>
      <c r="DIK1" s="74"/>
      <c r="DIL1" s="74"/>
      <c r="DIM1" s="74"/>
      <c r="DIN1" s="74"/>
      <c r="DIO1" s="74"/>
      <c r="DIP1" s="74"/>
      <c r="DIQ1" s="74"/>
      <c r="DIR1" s="74"/>
      <c r="DIS1" s="74"/>
      <c r="DIT1" s="74"/>
      <c r="DIU1" s="74"/>
      <c r="DIV1" s="74"/>
      <c r="DIW1" s="74"/>
      <c r="DIX1" s="74"/>
      <c r="DIY1" s="74"/>
      <c r="DIZ1" s="74"/>
      <c r="DJA1" s="74"/>
      <c r="DJB1" s="74"/>
      <c r="DJC1" s="74"/>
      <c r="DJD1" s="74"/>
      <c r="DJE1" s="74"/>
      <c r="DJF1" s="74"/>
      <c r="DJG1" s="74"/>
      <c r="DJH1" s="74"/>
      <c r="DJI1" s="74"/>
      <c r="DJJ1" s="74"/>
      <c r="DJK1" s="74"/>
      <c r="DJL1" s="74"/>
      <c r="DJM1" s="74"/>
      <c r="DJN1" s="74"/>
      <c r="DJO1" s="74"/>
      <c r="DJP1" s="74"/>
      <c r="DJQ1" s="74"/>
      <c r="DJR1" s="74"/>
      <c r="DJS1" s="74"/>
      <c r="DJT1" s="74"/>
      <c r="DJU1" s="74"/>
      <c r="DJV1" s="74"/>
      <c r="DJW1" s="74"/>
      <c r="DJX1" s="74"/>
      <c r="DJY1" s="74"/>
      <c r="DJZ1" s="74"/>
      <c r="DKA1" s="74"/>
      <c r="DKB1" s="74"/>
      <c r="DKC1" s="74"/>
      <c r="DKD1" s="74"/>
      <c r="DKE1" s="74"/>
      <c r="DKF1" s="74"/>
      <c r="DKG1" s="74"/>
      <c r="DKH1" s="74"/>
      <c r="DKI1" s="74"/>
      <c r="DKJ1" s="74"/>
      <c r="DKK1" s="74"/>
      <c r="DKL1" s="74"/>
      <c r="DKM1" s="74"/>
      <c r="DKN1" s="74"/>
      <c r="DKO1" s="74"/>
      <c r="DKP1" s="74"/>
      <c r="DKQ1" s="74"/>
      <c r="DKR1" s="74"/>
      <c r="DKS1" s="74"/>
      <c r="DKT1" s="74"/>
      <c r="DKU1" s="74"/>
      <c r="DKV1" s="74"/>
      <c r="DKW1" s="74"/>
      <c r="DKX1" s="74"/>
      <c r="DKY1" s="74"/>
      <c r="DKZ1" s="74"/>
      <c r="DLA1" s="74"/>
      <c r="DLB1" s="74"/>
      <c r="DLC1" s="74"/>
      <c r="DLD1" s="74"/>
      <c r="DLE1" s="74"/>
      <c r="DLF1" s="74"/>
      <c r="DLG1" s="74"/>
      <c r="DLH1" s="74"/>
      <c r="DLI1" s="74"/>
      <c r="DLJ1" s="74"/>
      <c r="DLK1" s="74"/>
      <c r="DLL1" s="74"/>
      <c r="DLM1" s="74"/>
      <c r="DLN1" s="74"/>
      <c r="DLO1" s="74"/>
      <c r="DLP1" s="74"/>
      <c r="DLQ1" s="74"/>
      <c r="DLR1" s="74"/>
      <c r="DLS1" s="74"/>
      <c r="DLT1" s="74"/>
      <c r="DLU1" s="74"/>
      <c r="DLV1" s="74"/>
      <c r="DLW1" s="74"/>
      <c r="DLX1" s="74"/>
      <c r="DLY1" s="74"/>
      <c r="DLZ1" s="74"/>
      <c r="DMA1" s="74"/>
      <c r="DMB1" s="74"/>
      <c r="DMC1" s="74"/>
      <c r="DMD1" s="74"/>
      <c r="DME1" s="74"/>
      <c r="DMF1" s="74"/>
      <c r="DMG1" s="74"/>
      <c r="DMH1" s="74"/>
      <c r="DMI1" s="74"/>
      <c r="DMJ1" s="74"/>
      <c r="DMK1" s="74"/>
      <c r="DML1" s="74"/>
      <c r="DMM1" s="74"/>
      <c r="DMN1" s="74"/>
      <c r="DMO1" s="74"/>
      <c r="DMP1" s="74"/>
      <c r="DMQ1" s="74"/>
      <c r="DMR1" s="74"/>
      <c r="DMS1" s="74"/>
      <c r="DMT1" s="74"/>
      <c r="DMU1" s="74"/>
      <c r="DMV1" s="74"/>
      <c r="DMW1" s="74"/>
      <c r="DMX1" s="74"/>
      <c r="DMY1" s="74"/>
      <c r="DMZ1" s="74"/>
      <c r="DNA1" s="74"/>
      <c r="DNB1" s="74"/>
      <c r="DNC1" s="74"/>
      <c r="DND1" s="74"/>
      <c r="DNE1" s="74"/>
      <c r="DNF1" s="74"/>
      <c r="DNG1" s="74"/>
      <c r="DNH1" s="74"/>
      <c r="DNI1" s="74"/>
      <c r="DNJ1" s="74"/>
      <c r="DNK1" s="74"/>
      <c r="DNL1" s="74"/>
      <c r="DNM1" s="74"/>
      <c r="DNN1" s="74"/>
      <c r="DNO1" s="74"/>
      <c r="DNP1" s="74"/>
      <c r="DNQ1" s="74"/>
      <c r="DNR1" s="74"/>
      <c r="DNS1" s="74"/>
      <c r="DNT1" s="74"/>
      <c r="DNU1" s="74"/>
      <c r="DNV1" s="74"/>
      <c r="DNW1" s="74"/>
      <c r="DNX1" s="74"/>
      <c r="DNY1" s="74"/>
      <c r="DNZ1" s="74"/>
      <c r="DOA1" s="74"/>
      <c r="DOB1" s="74"/>
      <c r="DOC1" s="74"/>
      <c r="DOD1" s="74"/>
      <c r="DOE1" s="74"/>
      <c r="DOF1" s="74"/>
      <c r="DOG1" s="74"/>
      <c r="DOH1" s="74"/>
      <c r="DOI1" s="74"/>
      <c r="DOJ1" s="74"/>
      <c r="DOK1" s="74"/>
      <c r="DOL1" s="74"/>
      <c r="DOM1" s="74"/>
      <c r="DON1" s="74"/>
      <c r="DOO1" s="74"/>
      <c r="DOP1" s="74"/>
      <c r="DOQ1" s="74"/>
      <c r="DOR1" s="74"/>
      <c r="DOS1" s="74"/>
      <c r="DOT1" s="74"/>
      <c r="DOU1" s="74"/>
      <c r="DOV1" s="74"/>
      <c r="DOW1" s="74"/>
      <c r="DOX1" s="74"/>
      <c r="DOY1" s="74"/>
      <c r="DOZ1" s="74"/>
      <c r="DPA1" s="74"/>
      <c r="DPB1" s="74"/>
      <c r="DPC1" s="74"/>
      <c r="DPD1" s="74"/>
      <c r="DPE1" s="74"/>
      <c r="DPF1" s="74"/>
      <c r="DPG1" s="74"/>
      <c r="DPH1" s="74"/>
      <c r="DPI1" s="74"/>
      <c r="DPJ1" s="74"/>
      <c r="DPK1" s="74"/>
      <c r="DPL1" s="74"/>
      <c r="DPM1" s="74"/>
      <c r="DPN1" s="74"/>
      <c r="DPO1" s="74"/>
      <c r="DPP1" s="74"/>
      <c r="DPQ1" s="74"/>
      <c r="DPR1" s="74"/>
      <c r="DPS1" s="74"/>
      <c r="DPT1" s="74"/>
      <c r="DPU1" s="74"/>
      <c r="DPV1" s="74"/>
      <c r="DPW1" s="74"/>
      <c r="DPX1" s="74"/>
      <c r="DPY1" s="74"/>
      <c r="DPZ1" s="74"/>
      <c r="DQA1" s="74"/>
      <c r="DQB1" s="74"/>
      <c r="DQC1" s="74"/>
      <c r="DQD1" s="74"/>
      <c r="DQE1" s="74"/>
      <c r="DQF1" s="74"/>
      <c r="DQG1" s="74"/>
      <c r="DQH1" s="74"/>
      <c r="DQI1" s="74"/>
      <c r="DQJ1" s="74"/>
      <c r="DQK1" s="74"/>
      <c r="DQL1" s="74"/>
      <c r="DQM1" s="74"/>
      <c r="DQN1" s="74"/>
      <c r="DQO1" s="74"/>
      <c r="DQP1" s="74"/>
      <c r="DQQ1" s="74"/>
      <c r="DQR1" s="74"/>
      <c r="DQS1" s="74"/>
      <c r="DQT1" s="74"/>
      <c r="DQU1" s="74"/>
      <c r="DQV1" s="74"/>
      <c r="DQW1" s="74"/>
      <c r="DQX1" s="74"/>
      <c r="DQY1" s="74"/>
      <c r="DQZ1" s="74"/>
      <c r="DRA1" s="74"/>
      <c r="DRB1" s="74"/>
      <c r="DRC1" s="74"/>
      <c r="DRD1" s="74"/>
      <c r="DRE1" s="74"/>
      <c r="DRF1" s="74"/>
      <c r="DRG1" s="74"/>
      <c r="DRH1" s="74"/>
      <c r="DRI1" s="74"/>
      <c r="DRJ1" s="74"/>
      <c r="DRK1" s="74"/>
      <c r="DRL1" s="74"/>
      <c r="DRM1" s="74"/>
      <c r="DRN1" s="74"/>
      <c r="DRO1" s="74"/>
      <c r="DRP1" s="74"/>
      <c r="DRQ1" s="74"/>
      <c r="DRR1" s="74"/>
      <c r="DRS1" s="74"/>
      <c r="DRT1" s="74"/>
      <c r="DRU1" s="74"/>
      <c r="DRV1" s="74"/>
      <c r="DRW1" s="74"/>
      <c r="DRX1" s="74"/>
      <c r="DRY1" s="74"/>
      <c r="DRZ1" s="74"/>
      <c r="DSA1" s="74"/>
      <c r="DSB1" s="74"/>
      <c r="DSC1" s="74"/>
      <c r="DSD1" s="74"/>
      <c r="DSE1" s="74"/>
      <c r="DSF1" s="74"/>
      <c r="DSG1" s="74"/>
      <c r="DSH1" s="74"/>
      <c r="DSI1" s="74"/>
      <c r="DSJ1" s="74"/>
      <c r="DSK1" s="74"/>
      <c r="DSL1" s="74"/>
      <c r="DSM1" s="74"/>
      <c r="DSN1" s="74"/>
      <c r="DSO1" s="74"/>
      <c r="DSP1" s="74"/>
      <c r="DSQ1" s="74"/>
      <c r="DSR1" s="74"/>
      <c r="DSS1" s="74"/>
      <c r="DST1" s="74"/>
      <c r="DSU1" s="74"/>
      <c r="DSV1" s="74"/>
      <c r="DSW1" s="74"/>
      <c r="DSX1" s="74"/>
      <c r="DSY1" s="74"/>
      <c r="DSZ1" s="74"/>
      <c r="DTA1" s="74"/>
      <c r="DTB1" s="74"/>
      <c r="DTC1" s="74"/>
      <c r="DTD1" s="74"/>
      <c r="DTE1" s="74"/>
      <c r="DTF1" s="74"/>
      <c r="DTG1" s="74"/>
      <c r="DTH1" s="74"/>
      <c r="DTI1" s="74"/>
      <c r="DTJ1" s="74"/>
      <c r="DTK1" s="74"/>
      <c r="DTL1" s="74"/>
      <c r="DTM1" s="74"/>
      <c r="DTN1" s="74"/>
      <c r="DTO1" s="74"/>
      <c r="DTP1" s="74"/>
      <c r="DTQ1" s="74"/>
      <c r="DTR1" s="74"/>
      <c r="DTS1" s="74"/>
      <c r="DTT1" s="74"/>
      <c r="DTU1" s="74"/>
      <c r="DTV1" s="74"/>
      <c r="DTW1" s="74"/>
      <c r="DTX1" s="74"/>
      <c r="DTY1" s="74"/>
      <c r="DTZ1" s="74"/>
      <c r="DUA1" s="74"/>
      <c r="DUB1" s="74"/>
      <c r="DUC1" s="74"/>
      <c r="DUD1" s="74"/>
      <c r="DUE1" s="74"/>
      <c r="DUF1" s="74"/>
      <c r="DUG1" s="74"/>
      <c r="DUH1" s="74"/>
      <c r="DUI1" s="74"/>
      <c r="DUJ1" s="74"/>
      <c r="DUK1" s="74"/>
      <c r="DUL1" s="74"/>
      <c r="DUM1" s="74"/>
      <c r="DUN1" s="74"/>
      <c r="DUO1" s="74"/>
      <c r="DUP1" s="74"/>
      <c r="DUQ1" s="74"/>
      <c r="DUR1" s="74"/>
      <c r="DUS1" s="74"/>
      <c r="DUT1" s="74"/>
      <c r="DUU1" s="74"/>
      <c r="DUV1" s="74"/>
      <c r="DUW1" s="74"/>
      <c r="DUX1" s="74"/>
      <c r="DUY1" s="74"/>
      <c r="DUZ1" s="74"/>
      <c r="DVA1" s="74"/>
      <c r="DVB1" s="74"/>
      <c r="DVC1" s="74"/>
      <c r="DVD1" s="74"/>
      <c r="DVE1" s="74"/>
      <c r="DVF1" s="74"/>
      <c r="DVG1" s="74"/>
      <c r="DVH1" s="74"/>
      <c r="DVI1" s="74"/>
      <c r="DVJ1" s="74"/>
      <c r="DVK1" s="74"/>
      <c r="DVL1" s="74"/>
      <c r="DVM1" s="74"/>
      <c r="DVN1" s="74"/>
      <c r="DVO1" s="74"/>
      <c r="DVP1" s="74"/>
      <c r="DVQ1" s="74"/>
      <c r="DVR1" s="74"/>
      <c r="DVS1" s="74"/>
      <c r="DVT1" s="74"/>
      <c r="DVU1" s="74"/>
      <c r="DVV1" s="74"/>
      <c r="DVW1" s="74"/>
      <c r="DVX1" s="74"/>
      <c r="DVY1" s="74"/>
      <c r="DVZ1" s="74"/>
      <c r="DWA1" s="74"/>
      <c r="DWB1" s="74"/>
      <c r="DWC1" s="74"/>
      <c r="DWD1" s="74"/>
      <c r="DWE1" s="74"/>
      <c r="DWF1" s="74"/>
      <c r="DWG1" s="74"/>
      <c r="DWH1" s="74"/>
      <c r="DWI1" s="74"/>
      <c r="DWJ1" s="74"/>
      <c r="DWK1" s="74"/>
      <c r="DWL1" s="74"/>
      <c r="DWM1" s="74"/>
      <c r="DWN1" s="74"/>
      <c r="DWO1" s="74"/>
      <c r="DWP1" s="74"/>
      <c r="DWQ1" s="74"/>
      <c r="DWR1" s="74"/>
      <c r="DWS1" s="74"/>
      <c r="DWT1" s="74"/>
      <c r="DWU1" s="74"/>
      <c r="DWV1" s="74"/>
      <c r="DWW1" s="74"/>
      <c r="DWX1" s="74"/>
      <c r="DWY1" s="74"/>
      <c r="DWZ1" s="74"/>
      <c r="DXA1" s="74"/>
      <c r="DXB1" s="74"/>
      <c r="DXC1" s="74"/>
      <c r="DXD1" s="74"/>
      <c r="DXE1" s="74"/>
      <c r="DXF1" s="74"/>
      <c r="DXG1" s="74"/>
      <c r="DXH1" s="74"/>
      <c r="DXI1" s="74"/>
      <c r="DXJ1" s="74"/>
      <c r="DXK1" s="74"/>
      <c r="DXL1" s="74"/>
      <c r="DXM1" s="74"/>
      <c r="DXN1" s="74"/>
      <c r="DXO1" s="74"/>
      <c r="DXP1" s="74"/>
      <c r="DXQ1" s="74"/>
      <c r="DXR1" s="74"/>
      <c r="DXS1" s="74"/>
      <c r="DXT1" s="74"/>
      <c r="DXU1" s="74"/>
      <c r="DXV1" s="74"/>
      <c r="DXW1" s="74"/>
      <c r="DXX1" s="74"/>
      <c r="DXY1" s="74"/>
      <c r="DXZ1" s="74"/>
      <c r="DYA1" s="74"/>
      <c r="DYB1" s="74"/>
      <c r="DYC1" s="74"/>
      <c r="DYD1" s="74"/>
      <c r="DYE1" s="74"/>
      <c r="DYF1" s="74"/>
      <c r="DYG1" s="74"/>
      <c r="DYH1" s="74"/>
      <c r="DYI1" s="74"/>
      <c r="DYJ1" s="74"/>
      <c r="DYK1" s="74"/>
      <c r="DYL1" s="74"/>
      <c r="DYM1" s="74"/>
      <c r="DYN1" s="74"/>
      <c r="DYO1" s="74"/>
      <c r="DYP1" s="74"/>
      <c r="DYQ1" s="74"/>
      <c r="DYR1" s="74"/>
      <c r="DYS1" s="74"/>
      <c r="DYT1" s="74"/>
      <c r="DYU1" s="74"/>
      <c r="DYV1" s="74"/>
      <c r="DYW1" s="74"/>
      <c r="DYX1" s="74"/>
      <c r="DYY1" s="74"/>
      <c r="DYZ1" s="74"/>
      <c r="DZA1" s="74"/>
      <c r="DZB1" s="74"/>
      <c r="DZC1" s="74"/>
      <c r="DZD1" s="74"/>
      <c r="DZE1" s="74"/>
      <c r="DZF1" s="74"/>
      <c r="DZG1" s="74"/>
      <c r="DZH1" s="74"/>
      <c r="DZI1" s="74"/>
      <c r="DZJ1" s="74"/>
      <c r="DZK1" s="74"/>
      <c r="DZL1" s="74"/>
      <c r="DZM1" s="74"/>
      <c r="DZN1" s="74"/>
      <c r="DZO1" s="74"/>
      <c r="DZP1" s="74"/>
      <c r="DZQ1" s="74"/>
      <c r="DZR1" s="74"/>
      <c r="DZS1" s="74"/>
      <c r="DZT1" s="74"/>
      <c r="DZU1" s="74"/>
      <c r="DZV1" s="74"/>
      <c r="DZW1" s="74"/>
      <c r="DZX1" s="74"/>
      <c r="DZY1" s="74"/>
      <c r="DZZ1" s="74"/>
      <c r="EAA1" s="74"/>
      <c r="EAB1" s="74"/>
      <c r="EAC1" s="74"/>
      <c r="EAD1" s="74"/>
      <c r="EAE1" s="74"/>
      <c r="EAF1" s="74"/>
      <c r="EAG1" s="74"/>
      <c r="EAH1" s="74"/>
      <c r="EAI1" s="74"/>
      <c r="EAJ1" s="74"/>
      <c r="EAK1" s="74"/>
      <c r="EAL1" s="74"/>
      <c r="EAM1" s="74"/>
      <c r="EAN1" s="74"/>
      <c r="EAO1" s="74"/>
      <c r="EAP1" s="74"/>
      <c r="EAQ1" s="74"/>
      <c r="EAR1" s="74"/>
      <c r="EAS1" s="74"/>
      <c r="EAT1" s="74"/>
      <c r="EAU1" s="74"/>
      <c r="EAV1" s="74"/>
      <c r="EAW1" s="74"/>
      <c r="EAX1" s="74"/>
      <c r="EAY1" s="74"/>
      <c r="EAZ1" s="74"/>
      <c r="EBA1" s="74"/>
      <c r="EBB1" s="74"/>
      <c r="EBC1" s="74"/>
      <c r="EBD1" s="74"/>
      <c r="EBE1" s="74"/>
      <c r="EBF1" s="74"/>
      <c r="EBG1" s="74"/>
      <c r="EBH1" s="74"/>
      <c r="EBI1" s="74"/>
      <c r="EBJ1" s="74"/>
      <c r="EBK1" s="74"/>
      <c r="EBL1" s="74"/>
      <c r="EBM1" s="74"/>
      <c r="EBN1" s="74"/>
      <c r="EBO1" s="74"/>
      <c r="EBP1" s="74"/>
      <c r="EBQ1" s="74"/>
      <c r="EBR1" s="74"/>
      <c r="EBS1" s="74"/>
      <c r="EBT1" s="74"/>
      <c r="EBU1" s="74"/>
      <c r="EBV1" s="74"/>
      <c r="EBW1" s="74"/>
      <c r="EBX1" s="74"/>
      <c r="EBY1" s="74"/>
      <c r="EBZ1" s="74"/>
      <c r="ECA1" s="74"/>
      <c r="ECB1" s="74"/>
      <c r="ECC1" s="74"/>
      <c r="ECD1" s="74"/>
      <c r="ECE1" s="74"/>
      <c r="ECF1" s="74"/>
      <c r="ECG1" s="74"/>
      <c r="ECH1" s="74"/>
      <c r="ECI1" s="74"/>
      <c r="ECJ1" s="74"/>
      <c r="ECK1" s="74"/>
      <c r="ECL1" s="74"/>
      <c r="ECM1" s="74"/>
      <c r="ECN1" s="74"/>
      <c r="ECO1" s="74"/>
      <c r="ECP1" s="74"/>
      <c r="ECQ1" s="74"/>
      <c r="ECR1" s="74"/>
      <c r="ECS1" s="74"/>
      <c r="ECT1" s="74"/>
      <c r="ECU1" s="74"/>
      <c r="ECV1" s="74"/>
      <c r="ECW1" s="74"/>
      <c r="ECX1" s="74"/>
      <c r="ECY1" s="74"/>
      <c r="ECZ1" s="74"/>
      <c r="EDA1" s="74"/>
      <c r="EDB1" s="74"/>
      <c r="EDC1" s="74"/>
      <c r="EDD1" s="74"/>
      <c r="EDE1" s="74"/>
      <c r="EDF1" s="74"/>
      <c r="EDG1" s="74"/>
      <c r="EDH1" s="74"/>
      <c r="EDI1" s="74"/>
      <c r="EDJ1" s="74"/>
      <c r="EDK1" s="74"/>
      <c r="EDL1" s="74"/>
      <c r="EDM1" s="74"/>
      <c r="EDN1" s="74"/>
      <c r="EDO1" s="74"/>
      <c r="EDP1" s="74"/>
      <c r="EDQ1" s="74"/>
      <c r="EDR1" s="74"/>
      <c r="EDS1" s="74"/>
      <c r="EDT1" s="74"/>
      <c r="EDU1" s="74"/>
      <c r="EDV1" s="74"/>
      <c r="EDW1" s="74"/>
      <c r="EDX1" s="74"/>
      <c r="EDY1" s="74"/>
      <c r="EDZ1" s="74"/>
      <c r="EEA1" s="74"/>
      <c r="EEB1" s="74"/>
      <c r="EEC1" s="74"/>
      <c r="EED1" s="74"/>
      <c r="EEE1" s="74"/>
      <c r="EEF1" s="74"/>
      <c r="EEG1" s="74"/>
      <c r="EEH1" s="74"/>
      <c r="EEI1" s="74"/>
      <c r="EEJ1" s="74"/>
      <c r="EEK1" s="74"/>
      <c r="EEL1" s="74"/>
      <c r="EEM1" s="74"/>
      <c r="EEN1" s="74"/>
      <c r="EEO1" s="74"/>
      <c r="EEP1" s="74"/>
      <c r="EEQ1" s="74"/>
      <c r="EER1" s="74"/>
      <c r="EES1" s="74"/>
      <c r="EET1" s="74"/>
      <c r="EEU1" s="74"/>
      <c r="EEV1" s="74"/>
      <c r="EEW1" s="74"/>
      <c r="EEX1" s="74"/>
      <c r="EEY1" s="74"/>
      <c r="EEZ1" s="74"/>
      <c r="EFA1" s="74"/>
      <c r="EFB1" s="74"/>
      <c r="EFC1" s="74"/>
      <c r="EFD1" s="74"/>
      <c r="EFE1" s="74"/>
      <c r="EFF1" s="74"/>
      <c r="EFG1" s="74"/>
      <c r="EFH1" s="74"/>
      <c r="EFI1" s="74"/>
      <c r="EFJ1" s="74"/>
      <c r="EFK1" s="74"/>
      <c r="EFL1" s="74"/>
      <c r="EFM1" s="74"/>
      <c r="EFN1" s="74"/>
      <c r="EFO1" s="74"/>
      <c r="EFP1" s="74"/>
      <c r="EFQ1" s="74"/>
      <c r="EFR1" s="74"/>
      <c r="EFS1" s="74"/>
      <c r="EFT1" s="74"/>
      <c r="EFU1" s="74"/>
      <c r="EFV1" s="74"/>
      <c r="EFW1" s="74"/>
      <c r="EFX1" s="74"/>
      <c r="EFY1" s="74"/>
      <c r="EFZ1" s="74"/>
      <c r="EGA1" s="74"/>
      <c r="EGB1" s="74"/>
      <c r="EGC1" s="74"/>
      <c r="EGD1" s="74"/>
      <c r="EGE1" s="74"/>
      <c r="EGF1" s="74"/>
      <c r="EGG1" s="74"/>
      <c r="EGH1" s="74"/>
      <c r="EGI1" s="74"/>
      <c r="EGJ1" s="74"/>
      <c r="EGK1" s="74"/>
      <c r="EGL1" s="74"/>
      <c r="EGM1" s="74"/>
      <c r="EGN1" s="74"/>
      <c r="EGO1" s="74"/>
      <c r="EGP1" s="74"/>
      <c r="EGQ1" s="74"/>
      <c r="EGR1" s="74"/>
      <c r="EGS1" s="74"/>
      <c r="EGT1" s="74"/>
      <c r="EGU1" s="74"/>
      <c r="EGV1" s="74"/>
      <c r="EGW1" s="74"/>
      <c r="EGX1" s="74"/>
      <c r="EGY1" s="74"/>
      <c r="EGZ1" s="74"/>
      <c r="EHA1" s="74"/>
      <c r="EHB1" s="74"/>
      <c r="EHC1" s="74"/>
      <c r="EHD1" s="74"/>
      <c r="EHE1" s="74"/>
      <c r="EHF1" s="74"/>
      <c r="EHG1" s="74"/>
      <c r="EHH1" s="74"/>
      <c r="EHI1" s="74"/>
      <c r="EHJ1" s="74"/>
      <c r="EHK1" s="74"/>
      <c r="EHL1" s="74"/>
      <c r="EHM1" s="74"/>
      <c r="EHN1" s="74"/>
      <c r="EHO1" s="74"/>
      <c r="EHP1" s="74"/>
      <c r="EHQ1" s="74"/>
      <c r="EHR1" s="74"/>
      <c r="EHS1" s="74"/>
      <c r="EHT1" s="74"/>
      <c r="EHU1" s="74"/>
      <c r="EHV1" s="74"/>
      <c r="EHW1" s="74"/>
      <c r="EHX1" s="74"/>
      <c r="EHY1" s="74"/>
      <c r="EHZ1" s="74"/>
      <c r="EIA1" s="74"/>
      <c r="EIB1" s="74"/>
      <c r="EIC1" s="74"/>
      <c r="EID1" s="74"/>
      <c r="EIE1" s="74"/>
      <c r="EIF1" s="74"/>
      <c r="EIG1" s="74"/>
      <c r="EIH1" s="74"/>
      <c r="EII1" s="74"/>
      <c r="EIJ1" s="74"/>
      <c r="EIK1" s="74"/>
      <c r="EIL1" s="74"/>
      <c r="EIM1" s="74"/>
      <c r="EIN1" s="74"/>
      <c r="EIO1" s="74"/>
      <c r="EIP1" s="74"/>
      <c r="EIQ1" s="74"/>
      <c r="EIR1" s="74"/>
      <c r="EIS1" s="74"/>
      <c r="EIT1" s="74"/>
      <c r="EIU1" s="74"/>
      <c r="EIV1" s="74"/>
      <c r="EIW1" s="74"/>
      <c r="EIX1" s="74"/>
      <c r="EIY1" s="74"/>
      <c r="EIZ1" s="74"/>
      <c r="EJA1" s="74"/>
      <c r="EJB1" s="74"/>
      <c r="EJC1" s="74"/>
      <c r="EJD1" s="74"/>
      <c r="EJE1" s="74"/>
      <c r="EJF1" s="74"/>
      <c r="EJG1" s="74"/>
      <c r="EJH1" s="74"/>
      <c r="EJI1" s="74"/>
      <c r="EJJ1" s="74"/>
      <c r="EJK1" s="74"/>
      <c r="EJL1" s="74"/>
      <c r="EJM1" s="74"/>
      <c r="EJN1" s="74"/>
      <c r="EJO1" s="74"/>
      <c r="EJP1" s="74"/>
      <c r="EJQ1" s="74"/>
      <c r="EJR1" s="74"/>
      <c r="EJS1" s="74"/>
      <c r="EJT1" s="74"/>
      <c r="EJU1" s="74"/>
      <c r="EJV1" s="74"/>
      <c r="EJW1" s="74"/>
      <c r="EJX1" s="74"/>
      <c r="EJY1" s="74"/>
      <c r="EJZ1" s="74"/>
      <c r="EKA1" s="74"/>
      <c r="EKB1" s="74"/>
      <c r="EKC1" s="74"/>
      <c r="EKD1" s="74"/>
      <c r="EKE1" s="74"/>
      <c r="EKF1" s="74"/>
      <c r="EKG1" s="74"/>
      <c r="EKH1" s="74"/>
      <c r="EKI1" s="74"/>
      <c r="EKJ1" s="74"/>
      <c r="EKK1" s="74"/>
      <c r="EKL1" s="74"/>
      <c r="EKM1" s="74"/>
      <c r="EKN1" s="74"/>
      <c r="EKO1" s="74"/>
      <c r="EKP1" s="74"/>
      <c r="EKQ1" s="74"/>
      <c r="EKR1" s="74"/>
      <c r="EKS1" s="74"/>
      <c r="EKT1" s="74"/>
      <c r="EKU1" s="74"/>
      <c r="EKV1" s="74"/>
      <c r="EKW1" s="74"/>
      <c r="EKX1" s="74"/>
      <c r="EKY1" s="74"/>
      <c r="EKZ1" s="74"/>
      <c r="ELA1" s="74"/>
      <c r="ELB1" s="74"/>
      <c r="ELC1" s="74"/>
      <c r="ELD1" s="74"/>
      <c r="ELE1" s="74"/>
      <c r="ELF1" s="74"/>
      <c r="ELG1" s="74"/>
      <c r="ELH1" s="74"/>
      <c r="ELI1" s="74"/>
      <c r="ELJ1" s="74"/>
      <c r="ELK1" s="74"/>
      <c r="ELL1" s="74"/>
      <c r="ELM1" s="74"/>
      <c r="ELN1" s="74"/>
      <c r="ELO1" s="74"/>
      <c r="ELP1" s="74"/>
      <c r="ELQ1" s="74"/>
      <c r="ELR1" s="74"/>
      <c r="ELS1" s="74"/>
      <c r="ELT1" s="74"/>
      <c r="ELU1" s="74"/>
      <c r="ELV1" s="74"/>
      <c r="ELW1" s="74"/>
      <c r="ELX1" s="74"/>
      <c r="ELY1" s="74"/>
      <c r="ELZ1" s="74"/>
      <c r="EMA1" s="74"/>
      <c r="EMB1" s="74"/>
      <c r="EMC1" s="74"/>
      <c r="EMD1" s="74"/>
      <c r="EME1" s="74"/>
      <c r="EMF1" s="74"/>
      <c r="EMG1" s="74"/>
      <c r="EMH1" s="74"/>
      <c r="EMI1" s="74"/>
      <c r="EMJ1" s="74"/>
      <c r="EMK1" s="74"/>
      <c r="EML1" s="74"/>
      <c r="EMM1" s="74"/>
      <c r="EMN1" s="74"/>
      <c r="EMO1" s="74"/>
      <c r="EMP1" s="74"/>
      <c r="EMQ1" s="74"/>
      <c r="EMR1" s="74"/>
      <c r="EMS1" s="74"/>
      <c r="EMT1" s="74"/>
      <c r="EMU1" s="74"/>
      <c r="EMV1" s="74"/>
      <c r="EMW1" s="74"/>
      <c r="EMX1" s="74"/>
      <c r="EMY1" s="74"/>
      <c r="EMZ1" s="74"/>
      <c r="ENA1" s="74"/>
      <c r="ENB1" s="74"/>
      <c r="ENC1" s="74"/>
      <c r="END1" s="74"/>
      <c r="ENE1" s="74"/>
      <c r="ENF1" s="74"/>
      <c r="ENG1" s="74"/>
      <c r="ENH1" s="74"/>
      <c r="ENI1" s="74"/>
      <c r="ENJ1" s="74"/>
      <c r="ENK1" s="74"/>
      <c r="ENL1" s="74"/>
      <c r="ENM1" s="74"/>
      <c r="ENN1" s="74"/>
      <c r="ENO1" s="74"/>
      <c r="ENP1" s="74"/>
      <c r="ENQ1" s="74"/>
      <c r="ENR1" s="74"/>
      <c r="ENS1" s="74"/>
      <c r="ENT1" s="74"/>
      <c r="ENU1" s="74"/>
      <c r="ENV1" s="74"/>
      <c r="ENW1" s="74"/>
      <c r="ENX1" s="74"/>
      <c r="ENY1" s="74"/>
      <c r="ENZ1" s="74"/>
      <c r="EOA1" s="74"/>
      <c r="EOB1" s="74"/>
      <c r="EOC1" s="74"/>
      <c r="EOD1" s="74"/>
      <c r="EOE1" s="74"/>
      <c r="EOF1" s="74"/>
      <c r="EOG1" s="74"/>
      <c r="EOH1" s="74"/>
      <c r="EOI1" s="74"/>
      <c r="EOJ1" s="74"/>
      <c r="EOK1" s="74"/>
      <c r="EOL1" s="74"/>
      <c r="EOM1" s="74"/>
      <c r="EON1" s="74"/>
      <c r="EOO1" s="74"/>
      <c r="EOP1" s="74"/>
      <c r="EOQ1" s="74"/>
      <c r="EOR1" s="74"/>
      <c r="EOS1" s="74"/>
      <c r="EOT1" s="74"/>
      <c r="EOU1" s="74"/>
      <c r="EOV1" s="74"/>
      <c r="EOW1" s="74"/>
      <c r="EOX1" s="74"/>
      <c r="EOY1" s="74"/>
      <c r="EOZ1" s="74"/>
      <c r="EPA1" s="74"/>
      <c r="EPB1" s="74"/>
      <c r="EPC1" s="74"/>
      <c r="EPD1" s="74"/>
      <c r="EPE1" s="74"/>
      <c r="EPF1" s="74"/>
      <c r="EPG1" s="74"/>
      <c r="EPH1" s="74"/>
      <c r="EPI1" s="74"/>
      <c r="EPJ1" s="74"/>
      <c r="EPK1" s="74"/>
      <c r="EPL1" s="74"/>
      <c r="EPM1" s="74"/>
      <c r="EPN1" s="74"/>
      <c r="EPO1" s="74"/>
      <c r="EPP1" s="74"/>
      <c r="EPQ1" s="74"/>
      <c r="EPR1" s="74"/>
      <c r="EPS1" s="74"/>
      <c r="EPT1" s="74"/>
      <c r="EPU1" s="74"/>
      <c r="EPV1" s="74"/>
      <c r="EPW1" s="74"/>
      <c r="EPX1" s="74"/>
      <c r="EPY1" s="74"/>
      <c r="EPZ1" s="74"/>
      <c r="EQA1" s="74"/>
      <c r="EQB1" s="74"/>
      <c r="EQC1" s="74"/>
      <c r="EQD1" s="74"/>
      <c r="EQE1" s="74"/>
      <c r="EQF1" s="74"/>
      <c r="EQG1" s="74"/>
      <c r="EQH1" s="74"/>
      <c r="EQI1" s="74"/>
      <c r="EQJ1" s="74"/>
      <c r="EQK1" s="74"/>
      <c r="EQL1" s="74"/>
      <c r="EQM1" s="74"/>
      <c r="EQN1" s="74"/>
      <c r="EQO1" s="74"/>
      <c r="EQP1" s="74"/>
      <c r="EQQ1" s="74"/>
      <c r="EQR1" s="74"/>
      <c r="EQS1" s="74"/>
      <c r="EQT1" s="74"/>
      <c r="EQU1" s="74"/>
      <c r="EQV1" s="74"/>
      <c r="EQW1" s="74"/>
      <c r="EQX1" s="74"/>
      <c r="EQY1" s="74"/>
      <c r="EQZ1" s="74"/>
      <c r="ERA1" s="74"/>
      <c r="ERB1" s="74"/>
      <c r="ERC1" s="74"/>
      <c r="ERD1" s="74"/>
      <c r="ERE1" s="74"/>
      <c r="ERF1" s="74"/>
      <c r="ERG1" s="74"/>
      <c r="ERH1" s="74"/>
      <c r="ERI1" s="74"/>
      <c r="ERJ1" s="74"/>
      <c r="ERK1" s="74"/>
      <c r="ERL1" s="74"/>
      <c r="ERM1" s="74"/>
      <c r="ERN1" s="74"/>
      <c r="ERO1" s="74"/>
      <c r="ERP1" s="74"/>
      <c r="ERQ1" s="74"/>
      <c r="ERR1" s="74"/>
      <c r="ERS1" s="74"/>
      <c r="ERT1" s="74"/>
      <c r="ERU1" s="74"/>
      <c r="ERV1" s="74"/>
      <c r="ERW1" s="74"/>
      <c r="ERX1" s="74"/>
      <c r="ERY1" s="74"/>
      <c r="ERZ1" s="74"/>
      <c r="ESA1" s="74"/>
      <c r="ESB1" s="74"/>
      <c r="ESC1" s="74"/>
      <c r="ESD1" s="74"/>
      <c r="ESE1" s="74"/>
      <c r="ESF1" s="74"/>
      <c r="ESG1" s="74"/>
      <c r="ESH1" s="74"/>
      <c r="ESI1" s="74"/>
      <c r="ESJ1" s="74"/>
      <c r="ESK1" s="74"/>
      <c r="ESL1" s="74"/>
      <c r="ESM1" s="74"/>
      <c r="ESN1" s="74"/>
      <c r="ESO1" s="74"/>
      <c r="ESP1" s="74"/>
      <c r="ESQ1" s="74"/>
      <c r="ESR1" s="74"/>
      <c r="ESS1" s="74"/>
      <c r="EST1" s="74"/>
      <c r="ESU1" s="74"/>
      <c r="ESV1" s="74"/>
      <c r="ESW1" s="74"/>
      <c r="ESX1" s="74"/>
      <c r="ESY1" s="74"/>
      <c r="ESZ1" s="74"/>
      <c r="ETA1" s="74"/>
      <c r="ETB1" s="74"/>
      <c r="ETC1" s="74"/>
      <c r="ETD1" s="74"/>
      <c r="ETE1" s="74"/>
      <c r="ETF1" s="74"/>
      <c r="ETG1" s="74"/>
      <c r="ETH1" s="74"/>
      <c r="ETI1" s="74"/>
      <c r="ETJ1" s="74"/>
      <c r="ETK1" s="74"/>
      <c r="ETL1" s="74"/>
      <c r="ETM1" s="74"/>
      <c r="ETN1" s="74"/>
      <c r="ETO1" s="74"/>
      <c r="ETP1" s="74"/>
      <c r="ETQ1" s="74"/>
      <c r="ETR1" s="74"/>
      <c r="ETS1" s="74"/>
      <c r="ETT1" s="74"/>
      <c r="ETU1" s="74"/>
      <c r="ETV1" s="74"/>
      <c r="ETW1" s="74"/>
      <c r="ETX1" s="74"/>
      <c r="ETY1" s="74"/>
      <c r="ETZ1" s="74"/>
      <c r="EUA1" s="74"/>
      <c r="EUB1" s="74"/>
      <c r="EUC1" s="74"/>
      <c r="EUD1" s="74"/>
      <c r="EUE1" s="74"/>
      <c r="EUF1" s="74"/>
      <c r="EUG1" s="74"/>
      <c r="EUH1" s="74"/>
      <c r="EUI1" s="74"/>
      <c r="EUJ1" s="74"/>
      <c r="EUK1" s="74"/>
      <c r="EUL1" s="74"/>
      <c r="EUM1" s="74"/>
      <c r="EUN1" s="74"/>
      <c r="EUO1" s="74"/>
      <c r="EUP1" s="74"/>
      <c r="EUQ1" s="74"/>
      <c r="EUR1" s="74"/>
      <c r="EUS1" s="74"/>
      <c r="EUT1" s="74"/>
      <c r="EUU1" s="74"/>
      <c r="EUV1" s="74"/>
      <c r="EUW1" s="74"/>
      <c r="EUX1" s="74"/>
      <c r="EUY1" s="74"/>
      <c r="EUZ1" s="74"/>
      <c r="EVA1" s="74"/>
      <c r="EVB1" s="74"/>
      <c r="EVC1" s="74"/>
      <c r="EVD1" s="74"/>
      <c r="EVE1" s="74"/>
      <c r="EVF1" s="74"/>
      <c r="EVG1" s="74"/>
      <c r="EVH1" s="74"/>
      <c r="EVI1" s="74"/>
      <c r="EVJ1" s="74"/>
      <c r="EVK1" s="74"/>
      <c r="EVL1" s="74"/>
      <c r="EVM1" s="74"/>
      <c r="EVN1" s="74"/>
      <c r="EVO1" s="74"/>
      <c r="EVP1" s="74"/>
      <c r="EVQ1" s="74"/>
      <c r="EVR1" s="74"/>
      <c r="EVS1" s="74"/>
      <c r="EVT1" s="74"/>
      <c r="EVU1" s="74"/>
      <c r="EVV1" s="74"/>
      <c r="EVW1" s="74"/>
      <c r="EVX1" s="74"/>
      <c r="EVY1" s="74"/>
      <c r="EVZ1" s="74"/>
      <c r="EWA1" s="74"/>
      <c r="EWB1" s="74"/>
      <c r="EWC1" s="74"/>
      <c r="EWD1" s="74"/>
      <c r="EWE1" s="74"/>
      <c r="EWF1" s="74"/>
      <c r="EWG1" s="74"/>
      <c r="EWH1" s="74"/>
      <c r="EWI1" s="74"/>
      <c r="EWJ1" s="74"/>
      <c r="EWK1" s="74"/>
      <c r="EWL1" s="74"/>
      <c r="EWM1" s="74"/>
      <c r="EWN1" s="74"/>
      <c r="EWO1" s="74"/>
      <c r="EWP1" s="74"/>
      <c r="EWQ1" s="74"/>
      <c r="EWR1" s="74"/>
      <c r="EWS1" s="74"/>
      <c r="EWT1" s="74"/>
      <c r="EWU1" s="74"/>
      <c r="EWV1" s="74"/>
      <c r="EWW1" s="74"/>
      <c r="EWX1" s="74"/>
      <c r="EWY1" s="74"/>
      <c r="EWZ1" s="74"/>
      <c r="EXA1" s="74"/>
      <c r="EXB1" s="74"/>
      <c r="EXC1" s="74"/>
      <c r="EXD1" s="74"/>
      <c r="EXE1" s="74"/>
      <c r="EXF1" s="74"/>
      <c r="EXG1" s="74"/>
      <c r="EXH1" s="74"/>
      <c r="EXI1" s="74"/>
      <c r="EXJ1" s="74"/>
      <c r="EXK1" s="74"/>
      <c r="EXL1" s="74"/>
      <c r="EXM1" s="74"/>
      <c r="EXN1" s="74"/>
      <c r="EXO1" s="74"/>
      <c r="EXP1" s="74"/>
      <c r="EXQ1" s="74"/>
      <c r="EXR1" s="74"/>
      <c r="EXS1" s="74"/>
      <c r="EXT1" s="74"/>
      <c r="EXU1" s="74"/>
      <c r="EXV1" s="74"/>
      <c r="EXW1" s="74"/>
      <c r="EXX1" s="74"/>
      <c r="EXY1" s="74"/>
      <c r="EXZ1" s="74"/>
      <c r="EYA1" s="74"/>
      <c r="EYB1" s="74"/>
      <c r="EYC1" s="74"/>
      <c r="EYD1" s="74"/>
      <c r="EYE1" s="74"/>
      <c r="EYF1" s="74"/>
      <c r="EYG1" s="74"/>
      <c r="EYH1" s="74"/>
      <c r="EYI1" s="74"/>
      <c r="EYJ1" s="74"/>
      <c r="EYK1" s="74"/>
      <c r="EYL1" s="74"/>
      <c r="EYM1" s="74"/>
      <c r="EYN1" s="74"/>
      <c r="EYO1" s="74"/>
      <c r="EYP1" s="74"/>
      <c r="EYQ1" s="74"/>
      <c r="EYR1" s="74"/>
      <c r="EYS1" s="74"/>
      <c r="EYT1" s="74"/>
      <c r="EYU1" s="74"/>
      <c r="EYV1" s="74"/>
      <c r="EYW1" s="74"/>
      <c r="EYX1" s="74"/>
      <c r="EYY1" s="74"/>
      <c r="EYZ1" s="74"/>
      <c r="EZA1" s="74"/>
      <c r="EZB1" s="74"/>
      <c r="EZC1" s="74"/>
      <c r="EZD1" s="74"/>
      <c r="EZE1" s="74"/>
      <c r="EZF1" s="74"/>
      <c r="EZG1" s="74"/>
      <c r="EZH1" s="74"/>
      <c r="EZI1" s="74"/>
      <c r="EZJ1" s="74"/>
      <c r="EZK1" s="74"/>
      <c r="EZL1" s="74"/>
      <c r="EZM1" s="74"/>
      <c r="EZN1" s="74"/>
      <c r="EZO1" s="74"/>
      <c r="EZP1" s="74"/>
      <c r="EZQ1" s="74"/>
      <c r="EZR1" s="74"/>
      <c r="EZS1" s="74"/>
      <c r="EZT1" s="74"/>
      <c r="EZU1" s="74"/>
      <c r="EZV1" s="74"/>
      <c r="EZW1" s="74"/>
      <c r="EZX1" s="74"/>
      <c r="EZY1" s="74"/>
      <c r="EZZ1" s="74"/>
      <c r="FAA1" s="74"/>
      <c r="FAB1" s="74"/>
      <c r="FAC1" s="74"/>
      <c r="FAD1" s="74"/>
      <c r="FAE1" s="74"/>
      <c r="FAF1" s="74"/>
      <c r="FAG1" s="74"/>
      <c r="FAH1" s="74"/>
      <c r="FAI1" s="74"/>
      <c r="FAJ1" s="74"/>
      <c r="FAK1" s="74"/>
      <c r="FAL1" s="74"/>
      <c r="FAM1" s="74"/>
      <c r="FAN1" s="74"/>
      <c r="FAO1" s="74"/>
      <c r="FAP1" s="74"/>
      <c r="FAQ1" s="74"/>
      <c r="FAR1" s="74"/>
      <c r="FAS1" s="74"/>
      <c r="FAT1" s="74"/>
      <c r="FAU1" s="74"/>
      <c r="FAV1" s="74"/>
      <c r="FAW1" s="74"/>
      <c r="FAX1" s="74"/>
      <c r="FAY1" s="74"/>
      <c r="FAZ1" s="74"/>
      <c r="FBA1" s="74"/>
      <c r="FBB1" s="74"/>
      <c r="FBC1" s="74"/>
      <c r="FBD1" s="74"/>
      <c r="FBE1" s="74"/>
      <c r="FBF1" s="74"/>
      <c r="FBG1" s="74"/>
      <c r="FBH1" s="74"/>
      <c r="FBI1" s="74"/>
      <c r="FBJ1" s="74"/>
      <c r="FBK1" s="74"/>
      <c r="FBL1" s="74"/>
      <c r="FBM1" s="74"/>
      <c r="FBN1" s="74"/>
      <c r="FBO1" s="74"/>
      <c r="FBP1" s="74"/>
      <c r="FBQ1" s="74"/>
      <c r="FBR1" s="74"/>
      <c r="FBS1" s="74"/>
      <c r="FBT1" s="74"/>
      <c r="FBU1" s="74"/>
      <c r="FBV1" s="74"/>
      <c r="FBW1" s="74"/>
      <c r="FBX1" s="74"/>
      <c r="FBY1" s="74"/>
      <c r="FBZ1" s="74"/>
      <c r="FCA1" s="74"/>
      <c r="FCB1" s="74"/>
      <c r="FCC1" s="74"/>
      <c r="FCD1" s="74"/>
      <c r="FCE1" s="74"/>
      <c r="FCF1" s="74"/>
      <c r="FCG1" s="74"/>
      <c r="FCH1" s="74"/>
      <c r="FCI1" s="74"/>
      <c r="FCJ1" s="74"/>
      <c r="FCK1" s="74"/>
      <c r="FCL1" s="74"/>
      <c r="FCM1" s="74"/>
      <c r="FCN1" s="74"/>
      <c r="FCO1" s="74"/>
      <c r="FCP1" s="74"/>
      <c r="FCQ1" s="74"/>
      <c r="FCR1" s="74"/>
      <c r="FCS1" s="74"/>
      <c r="FCT1" s="74"/>
      <c r="FCU1" s="74"/>
      <c r="FCV1" s="74"/>
      <c r="FCW1" s="74"/>
      <c r="FCX1" s="74"/>
      <c r="FCY1" s="74"/>
      <c r="FCZ1" s="74"/>
      <c r="FDA1" s="74"/>
      <c r="FDB1" s="74"/>
      <c r="FDC1" s="74"/>
      <c r="FDD1" s="74"/>
      <c r="FDE1" s="74"/>
      <c r="FDF1" s="74"/>
      <c r="FDG1" s="74"/>
      <c r="FDH1" s="74"/>
      <c r="FDI1" s="74"/>
      <c r="FDJ1" s="74"/>
      <c r="FDK1" s="74"/>
      <c r="FDL1" s="74"/>
      <c r="FDM1" s="74"/>
      <c r="FDN1" s="74"/>
      <c r="FDO1" s="74"/>
      <c r="FDP1" s="74"/>
      <c r="FDQ1" s="74"/>
      <c r="FDR1" s="74"/>
      <c r="FDS1" s="74"/>
      <c r="FDT1" s="74"/>
      <c r="FDU1" s="74"/>
      <c r="FDV1" s="74"/>
      <c r="FDW1" s="74"/>
      <c r="FDX1" s="74"/>
      <c r="FDY1" s="74"/>
      <c r="FDZ1" s="74"/>
      <c r="FEA1" s="74"/>
      <c r="FEB1" s="74"/>
      <c r="FEC1" s="74"/>
      <c r="FED1" s="74"/>
      <c r="FEE1" s="74"/>
      <c r="FEF1" s="74"/>
      <c r="FEG1" s="74"/>
      <c r="FEH1" s="74"/>
      <c r="FEI1" s="74"/>
      <c r="FEJ1" s="74"/>
      <c r="FEK1" s="74"/>
      <c r="FEL1" s="74"/>
      <c r="FEM1" s="74"/>
      <c r="FEN1" s="74"/>
      <c r="FEO1" s="74"/>
      <c r="FEP1" s="74"/>
      <c r="FEQ1" s="74"/>
      <c r="FER1" s="74"/>
      <c r="FES1" s="74"/>
      <c r="FET1" s="74"/>
      <c r="FEU1" s="74"/>
      <c r="FEV1" s="74"/>
      <c r="FEW1" s="74"/>
      <c r="FEX1" s="74"/>
      <c r="FEY1" s="74"/>
      <c r="FEZ1" s="74"/>
      <c r="FFA1" s="74"/>
      <c r="FFB1" s="74"/>
      <c r="FFC1" s="74"/>
      <c r="FFD1" s="74"/>
      <c r="FFE1" s="74"/>
      <c r="FFF1" s="74"/>
      <c r="FFG1" s="74"/>
      <c r="FFH1" s="74"/>
      <c r="FFI1" s="74"/>
      <c r="FFJ1" s="74"/>
      <c r="FFK1" s="74"/>
      <c r="FFL1" s="74"/>
      <c r="FFM1" s="74"/>
      <c r="FFN1" s="74"/>
      <c r="FFO1" s="74"/>
      <c r="FFP1" s="74"/>
      <c r="FFQ1" s="74"/>
      <c r="FFR1" s="74"/>
      <c r="FFS1" s="74"/>
      <c r="FFT1" s="74"/>
      <c r="FFU1" s="74"/>
      <c r="FFV1" s="74"/>
      <c r="FFW1" s="74"/>
      <c r="FFX1" s="74"/>
      <c r="FFY1" s="74"/>
      <c r="FFZ1" s="74"/>
      <c r="FGA1" s="74"/>
      <c r="FGB1" s="74"/>
      <c r="FGC1" s="74"/>
      <c r="FGD1" s="74"/>
      <c r="FGE1" s="74"/>
      <c r="FGF1" s="74"/>
      <c r="FGG1" s="74"/>
      <c r="FGH1" s="74"/>
      <c r="FGI1" s="74"/>
      <c r="FGJ1" s="74"/>
      <c r="FGK1" s="74"/>
      <c r="FGL1" s="74"/>
      <c r="FGM1" s="74"/>
      <c r="FGN1" s="74"/>
      <c r="FGO1" s="74"/>
      <c r="FGP1" s="74"/>
      <c r="FGQ1" s="74"/>
      <c r="FGR1" s="74"/>
      <c r="FGS1" s="74"/>
      <c r="FGT1" s="74"/>
      <c r="FGU1" s="74"/>
      <c r="FGV1" s="74"/>
      <c r="FGW1" s="74"/>
      <c r="FGX1" s="74"/>
      <c r="FGY1" s="74"/>
      <c r="FGZ1" s="74"/>
      <c r="FHA1" s="74"/>
      <c r="FHB1" s="74"/>
      <c r="FHC1" s="74"/>
      <c r="FHD1" s="74"/>
      <c r="FHE1" s="74"/>
      <c r="FHF1" s="74"/>
      <c r="FHG1" s="74"/>
      <c r="FHH1" s="74"/>
      <c r="FHI1" s="74"/>
      <c r="FHJ1" s="74"/>
      <c r="FHK1" s="74"/>
      <c r="FHL1" s="74"/>
      <c r="FHM1" s="74"/>
      <c r="FHN1" s="74"/>
      <c r="FHO1" s="74"/>
      <c r="FHP1" s="74"/>
      <c r="FHQ1" s="74"/>
      <c r="FHR1" s="74"/>
      <c r="FHS1" s="74"/>
      <c r="FHT1" s="74"/>
      <c r="FHU1" s="74"/>
      <c r="FHV1" s="74"/>
      <c r="FHW1" s="74"/>
      <c r="FHX1" s="74"/>
      <c r="FHY1" s="74"/>
      <c r="FHZ1" s="74"/>
      <c r="FIA1" s="74"/>
      <c r="FIB1" s="74"/>
      <c r="FIC1" s="74"/>
      <c r="FID1" s="74"/>
      <c r="FIE1" s="74"/>
      <c r="FIF1" s="74"/>
      <c r="FIG1" s="74"/>
      <c r="FIH1" s="74"/>
      <c r="FII1" s="74"/>
      <c r="FIJ1" s="74"/>
      <c r="FIK1" s="74"/>
      <c r="FIL1" s="74"/>
      <c r="FIM1" s="74"/>
      <c r="FIN1" s="74"/>
      <c r="FIO1" s="74"/>
      <c r="FIP1" s="74"/>
      <c r="FIQ1" s="74"/>
      <c r="FIR1" s="74"/>
      <c r="FIS1" s="74"/>
      <c r="FIT1" s="74"/>
      <c r="FIU1" s="74"/>
      <c r="FIV1" s="74"/>
      <c r="FIW1" s="74"/>
      <c r="FIX1" s="74"/>
      <c r="FIY1" s="74"/>
      <c r="FIZ1" s="74"/>
      <c r="FJA1" s="74"/>
      <c r="FJB1" s="74"/>
      <c r="FJC1" s="74"/>
      <c r="FJD1" s="74"/>
      <c r="FJE1" s="74"/>
      <c r="FJF1" s="74"/>
      <c r="FJG1" s="74"/>
      <c r="FJH1" s="74"/>
      <c r="FJI1" s="74"/>
      <c r="FJJ1" s="74"/>
      <c r="FJK1" s="74"/>
      <c r="FJL1" s="74"/>
      <c r="FJM1" s="74"/>
      <c r="FJN1" s="74"/>
      <c r="FJO1" s="74"/>
      <c r="FJP1" s="74"/>
      <c r="FJQ1" s="74"/>
      <c r="FJR1" s="74"/>
      <c r="FJS1" s="74"/>
      <c r="FJT1" s="74"/>
      <c r="FJU1" s="74"/>
      <c r="FJV1" s="74"/>
      <c r="FJW1" s="74"/>
      <c r="FJX1" s="74"/>
      <c r="FJY1" s="74"/>
      <c r="FJZ1" s="74"/>
      <c r="FKA1" s="74"/>
      <c r="FKB1" s="74"/>
      <c r="FKC1" s="74"/>
      <c r="FKD1" s="74"/>
      <c r="FKE1" s="74"/>
      <c r="FKF1" s="74"/>
      <c r="FKG1" s="74"/>
      <c r="FKH1" s="74"/>
      <c r="FKI1" s="74"/>
      <c r="FKJ1" s="74"/>
      <c r="FKK1" s="74"/>
      <c r="FKL1" s="74"/>
      <c r="FKM1" s="74"/>
      <c r="FKN1" s="74"/>
      <c r="FKO1" s="74"/>
      <c r="FKP1" s="74"/>
      <c r="FKQ1" s="74"/>
      <c r="FKR1" s="74"/>
      <c r="FKS1" s="74"/>
      <c r="FKT1" s="74"/>
      <c r="FKU1" s="74"/>
      <c r="FKV1" s="74"/>
      <c r="FKW1" s="74"/>
      <c r="FKX1" s="74"/>
      <c r="FKY1" s="74"/>
      <c r="FKZ1" s="74"/>
      <c r="FLA1" s="74"/>
      <c r="FLB1" s="74"/>
      <c r="FLC1" s="74"/>
      <c r="FLD1" s="74"/>
      <c r="FLE1" s="74"/>
      <c r="FLF1" s="74"/>
      <c r="FLG1" s="74"/>
      <c r="FLH1" s="74"/>
      <c r="FLI1" s="74"/>
      <c r="FLJ1" s="74"/>
      <c r="FLK1" s="74"/>
      <c r="FLL1" s="74"/>
      <c r="FLM1" s="74"/>
      <c r="FLN1" s="74"/>
      <c r="FLO1" s="74"/>
      <c r="FLP1" s="74"/>
      <c r="FLQ1" s="74"/>
      <c r="FLR1" s="74"/>
      <c r="FLS1" s="74"/>
      <c r="FLT1" s="74"/>
      <c r="FLU1" s="74"/>
      <c r="FLV1" s="74"/>
      <c r="FLW1" s="74"/>
      <c r="FLX1" s="74"/>
      <c r="FLY1" s="74"/>
      <c r="FLZ1" s="74"/>
      <c r="FMA1" s="74"/>
      <c r="FMB1" s="74"/>
      <c r="FMC1" s="74"/>
      <c r="FMD1" s="74"/>
      <c r="FME1" s="74"/>
      <c r="FMF1" s="74"/>
      <c r="FMG1" s="74"/>
      <c r="FMH1" s="74"/>
      <c r="FMI1" s="74"/>
      <c r="FMJ1" s="74"/>
      <c r="FMK1" s="74"/>
      <c r="FML1" s="74"/>
      <c r="FMM1" s="74"/>
      <c r="FMN1" s="74"/>
      <c r="FMO1" s="74"/>
      <c r="FMP1" s="74"/>
      <c r="FMQ1" s="74"/>
      <c r="FMR1" s="74"/>
      <c r="FMS1" s="74"/>
      <c r="FMT1" s="74"/>
      <c r="FMU1" s="74"/>
      <c r="FMV1" s="74"/>
      <c r="FMW1" s="74"/>
      <c r="FMX1" s="74"/>
      <c r="FMY1" s="74"/>
      <c r="FMZ1" s="74"/>
      <c r="FNA1" s="74"/>
      <c r="FNB1" s="74"/>
      <c r="FNC1" s="74"/>
      <c r="FND1" s="74"/>
      <c r="FNE1" s="74"/>
      <c r="FNF1" s="74"/>
      <c r="FNG1" s="74"/>
      <c r="FNH1" s="74"/>
      <c r="FNI1" s="74"/>
      <c r="FNJ1" s="74"/>
      <c r="FNK1" s="74"/>
      <c r="FNL1" s="74"/>
      <c r="FNM1" s="74"/>
      <c r="FNN1" s="74"/>
      <c r="FNO1" s="74"/>
      <c r="FNP1" s="74"/>
      <c r="FNQ1" s="74"/>
      <c r="FNR1" s="74"/>
      <c r="FNS1" s="74"/>
      <c r="FNT1" s="74"/>
      <c r="FNU1" s="74"/>
      <c r="FNV1" s="74"/>
      <c r="FNW1" s="74"/>
      <c r="FNX1" s="74"/>
      <c r="FNY1" s="74"/>
      <c r="FNZ1" s="74"/>
      <c r="FOA1" s="74"/>
      <c r="FOB1" s="74"/>
      <c r="FOC1" s="74"/>
      <c r="FOD1" s="74"/>
      <c r="FOE1" s="74"/>
      <c r="FOF1" s="74"/>
      <c r="FOG1" s="74"/>
      <c r="FOH1" s="74"/>
      <c r="FOI1" s="74"/>
      <c r="FOJ1" s="74"/>
      <c r="FOK1" s="74"/>
      <c r="FOL1" s="74"/>
      <c r="FOM1" s="74"/>
      <c r="FON1" s="74"/>
      <c r="FOO1" s="74"/>
      <c r="FOP1" s="74"/>
      <c r="FOQ1" s="74"/>
      <c r="FOR1" s="74"/>
      <c r="FOS1" s="74"/>
      <c r="FOT1" s="74"/>
      <c r="FOU1" s="74"/>
      <c r="FOV1" s="74"/>
      <c r="FOW1" s="74"/>
      <c r="FOX1" s="74"/>
      <c r="FOY1" s="74"/>
      <c r="FOZ1" s="74"/>
      <c r="FPA1" s="74"/>
      <c r="FPB1" s="74"/>
      <c r="FPC1" s="74"/>
      <c r="FPD1" s="74"/>
      <c r="FPE1" s="74"/>
      <c r="FPF1" s="74"/>
      <c r="FPG1" s="74"/>
      <c r="FPH1" s="74"/>
      <c r="FPI1" s="74"/>
      <c r="FPJ1" s="74"/>
      <c r="FPK1" s="74"/>
      <c r="FPL1" s="74"/>
      <c r="FPM1" s="74"/>
      <c r="FPN1" s="74"/>
      <c r="FPO1" s="74"/>
      <c r="FPP1" s="74"/>
      <c r="FPQ1" s="74"/>
      <c r="FPR1" s="74"/>
      <c r="FPS1" s="74"/>
      <c r="FPT1" s="74"/>
      <c r="FPU1" s="74"/>
      <c r="FPV1" s="74"/>
      <c r="FPW1" s="74"/>
      <c r="FPX1" s="74"/>
      <c r="FPY1" s="74"/>
      <c r="FPZ1" s="74"/>
      <c r="FQA1" s="74"/>
      <c r="FQB1" s="74"/>
      <c r="FQC1" s="74"/>
      <c r="FQD1" s="74"/>
      <c r="FQE1" s="74"/>
      <c r="FQF1" s="74"/>
      <c r="FQG1" s="74"/>
      <c r="FQH1" s="74"/>
      <c r="FQI1" s="74"/>
      <c r="FQJ1" s="74"/>
      <c r="FQK1" s="74"/>
      <c r="FQL1" s="74"/>
      <c r="FQM1" s="74"/>
      <c r="FQN1" s="74"/>
      <c r="FQO1" s="74"/>
      <c r="FQP1" s="74"/>
      <c r="FQQ1" s="74"/>
      <c r="FQR1" s="74"/>
      <c r="FQS1" s="74"/>
      <c r="FQT1" s="74"/>
      <c r="FQU1" s="74"/>
      <c r="FQV1" s="74"/>
      <c r="FQW1" s="74"/>
      <c r="FQX1" s="74"/>
      <c r="FQY1" s="74"/>
      <c r="FQZ1" s="74"/>
      <c r="FRA1" s="74"/>
      <c r="FRB1" s="74"/>
      <c r="FRC1" s="74"/>
      <c r="FRD1" s="74"/>
      <c r="FRE1" s="74"/>
      <c r="FRF1" s="74"/>
      <c r="FRG1" s="74"/>
      <c r="FRH1" s="74"/>
      <c r="FRI1" s="74"/>
      <c r="FRJ1" s="74"/>
      <c r="FRK1" s="74"/>
      <c r="FRL1" s="74"/>
      <c r="FRM1" s="74"/>
      <c r="FRN1" s="74"/>
      <c r="FRO1" s="74"/>
      <c r="FRP1" s="74"/>
      <c r="FRQ1" s="74"/>
      <c r="FRR1" s="74"/>
      <c r="FRS1" s="74"/>
      <c r="FRT1" s="74"/>
      <c r="FRU1" s="74"/>
      <c r="FRV1" s="74"/>
      <c r="FRW1" s="74"/>
      <c r="FRX1" s="74"/>
      <c r="FRY1" s="74"/>
      <c r="FRZ1" s="74"/>
      <c r="FSA1" s="74"/>
      <c r="FSB1" s="74"/>
      <c r="FSC1" s="74"/>
      <c r="FSD1" s="74"/>
      <c r="FSE1" s="74"/>
      <c r="FSF1" s="74"/>
      <c r="FSG1" s="74"/>
      <c r="FSH1" s="74"/>
      <c r="FSI1" s="74"/>
      <c r="FSJ1" s="74"/>
      <c r="FSK1" s="74"/>
      <c r="FSL1" s="74"/>
      <c r="FSM1" s="74"/>
      <c r="FSN1" s="74"/>
      <c r="FSO1" s="74"/>
      <c r="FSP1" s="74"/>
      <c r="FSQ1" s="74"/>
      <c r="FSR1" s="74"/>
      <c r="FSS1" s="74"/>
      <c r="FST1" s="74"/>
      <c r="FSU1" s="74"/>
      <c r="FSV1" s="74"/>
      <c r="FSW1" s="74"/>
      <c r="FSX1" s="74"/>
      <c r="FSY1" s="74"/>
      <c r="FSZ1" s="74"/>
      <c r="FTA1" s="74"/>
      <c r="FTB1" s="74"/>
      <c r="FTC1" s="74"/>
      <c r="FTD1" s="74"/>
      <c r="FTE1" s="74"/>
      <c r="FTF1" s="74"/>
      <c r="FTG1" s="74"/>
      <c r="FTH1" s="74"/>
      <c r="FTI1" s="74"/>
      <c r="FTJ1" s="74"/>
      <c r="FTK1" s="74"/>
      <c r="FTL1" s="74"/>
      <c r="FTM1" s="74"/>
      <c r="FTN1" s="74"/>
      <c r="FTO1" s="74"/>
      <c r="FTP1" s="74"/>
      <c r="FTQ1" s="74"/>
      <c r="FTR1" s="74"/>
      <c r="FTS1" s="74"/>
      <c r="FTT1" s="74"/>
      <c r="FTU1" s="74"/>
      <c r="FTV1" s="74"/>
      <c r="FTW1" s="74"/>
      <c r="FTX1" s="74"/>
      <c r="FTY1" s="74"/>
      <c r="FTZ1" s="74"/>
      <c r="FUA1" s="74"/>
      <c r="FUB1" s="74"/>
      <c r="FUC1" s="74"/>
      <c r="FUD1" s="74"/>
      <c r="FUE1" s="74"/>
      <c r="FUF1" s="74"/>
      <c r="FUG1" s="74"/>
      <c r="FUH1" s="74"/>
      <c r="FUI1" s="74"/>
      <c r="FUJ1" s="74"/>
      <c r="FUK1" s="74"/>
      <c r="FUL1" s="74"/>
      <c r="FUM1" s="74"/>
      <c r="FUN1" s="74"/>
      <c r="FUO1" s="74"/>
      <c r="FUP1" s="74"/>
      <c r="FUQ1" s="74"/>
      <c r="FUR1" s="74"/>
      <c r="FUS1" s="74"/>
      <c r="FUT1" s="74"/>
      <c r="FUU1" s="74"/>
      <c r="FUV1" s="74"/>
      <c r="FUW1" s="74"/>
      <c r="FUX1" s="74"/>
      <c r="FUY1" s="74"/>
      <c r="FUZ1" s="74"/>
      <c r="FVA1" s="74"/>
      <c r="FVB1" s="74"/>
      <c r="FVC1" s="74"/>
      <c r="FVD1" s="74"/>
      <c r="FVE1" s="74"/>
      <c r="FVF1" s="74"/>
      <c r="FVG1" s="74"/>
      <c r="FVH1" s="74"/>
      <c r="FVI1" s="74"/>
      <c r="FVJ1" s="74"/>
      <c r="FVK1" s="74"/>
      <c r="FVL1" s="74"/>
      <c r="FVM1" s="74"/>
      <c r="FVN1" s="74"/>
      <c r="FVO1" s="74"/>
      <c r="FVP1" s="74"/>
      <c r="FVQ1" s="74"/>
      <c r="FVR1" s="74"/>
      <c r="FVS1" s="74"/>
      <c r="FVT1" s="74"/>
      <c r="FVU1" s="74"/>
      <c r="FVV1" s="74"/>
      <c r="FVW1" s="74"/>
      <c r="FVX1" s="74"/>
      <c r="FVY1" s="74"/>
      <c r="FVZ1" s="74"/>
      <c r="FWA1" s="74"/>
      <c r="FWB1" s="74"/>
      <c r="FWC1" s="74"/>
      <c r="FWD1" s="74"/>
      <c r="FWE1" s="74"/>
      <c r="FWF1" s="74"/>
      <c r="FWG1" s="74"/>
      <c r="FWH1" s="74"/>
      <c r="FWI1" s="74"/>
      <c r="FWJ1" s="74"/>
      <c r="FWK1" s="74"/>
      <c r="FWL1" s="74"/>
      <c r="FWM1" s="74"/>
      <c r="FWN1" s="74"/>
      <c r="FWO1" s="74"/>
      <c r="FWP1" s="74"/>
      <c r="FWQ1" s="74"/>
      <c r="FWR1" s="74"/>
      <c r="FWS1" s="74"/>
      <c r="FWT1" s="74"/>
      <c r="FWU1" s="74"/>
      <c r="FWV1" s="74"/>
      <c r="FWW1" s="74"/>
      <c r="FWX1" s="74"/>
      <c r="FWY1" s="74"/>
      <c r="FWZ1" s="74"/>
      <c r="FXA1" s="74"/>
      <c r="FXB1" s="74"/>
      <c r="FXC1" s="74"/>
      <c r="FXD1" s="74"/>
      <c r="FXE1" s="74"/>
      <c r="FXF1" s="74"/>
      <c r="FXG1" s="74"/>
      <c r="FXH1" s="74"/>
      <c r="FXI1" s="74"/>
      <c r="FXJ1" s="74"/>
      <c r="FXK1" s="74"/>
      <c r="FXL1" s="74"/>
      <c r="FXM1" s="74"/>
      <c r="FXN1" s="74"/>
      <c r="FXO1" s="74"/>
      <c r="FXP1" s="74"/>
      <c r="FXQ1" s="74"/>
      <c r="FXR1" s="74"/>
      <c r="FXS1" s="74"/>
      <c r="FXT1" s="74"/>
      <c r="FXU1" s="74"/>
      <c r="FXV1" s="74"/>
      <c r="FXW1" s="74"/>
      <c r="FXX1" s="74"/>
      <c r="FXY1" s="74"/>
      <c r="FXZ1" s="74"/>
      <c r="FYA1" s="74"/>
      <c r="FYB1" s="74"/>
      <c r="FYC1" s="74"/>
      <c r="FYD1" s="74"/>
      <c r="FYE1" s="74"/>
      <c r="FYF1" s="74"/>
      <c r="FYG1" s="74"/>
      <c r="FYH1" s="74"/>
      <c r="FYI1" s="74"/>
      <c r="FYJ1" s="74"/>
      <c r="FYK1" s="74"/>
      <c r="FYL1" s="74"/>
      <c r="FYM1" s="74"/>
      <c r="FYN1" s="74"/>
      <c r="FYO1" s="74"/>
      <c r="FYP1" s="74"/>
      <c r="FYQ1" s="74"/>
      <c r="FYR1" s="74"/>
      <c r="FYS1" s="74"/>
      <c r="FYT1" s="74"/>
      <c r="FYU1" s="74"/>
      <c r="FYV1" s="74"/>
      <c r="FYW1" s="74"/>
      <c r="FYX1" s="74"/>
      <c r="FYY1" s="74"/>
      <c r="FYZ1" s="74"/>
      <c r="FZA1" s="74"/>
      <c r="FZB1" s="74"/>
      <c r="FZC1" s="74"/>
      <c r="FZD1" s="74"/>
      <c r="FZE1" s="74"/>
      <c r="FZF1" s="74"/>
      <c r="FZG1" s="74"/>
      <c r="FZH1" s="74"/>
      <c r="FZI1" s="74"/>
      <c r="FZJ1" s="74"/>
      <c r="FZK1" s="74"/>
      <c r="FZL1" s="74"/>
      <c r="FZM1" s="74"/>
      <c r="FZN1" s="74"/>
      <c r="FZO1" s="74"/>
      <c r="FZP1" s="74"/>
      <c r="FZQ1" s="74"/>
      <c r="FZR1" s="74"/>
      <c r="FZS1" s="74"/>
      <c r="FZT1" s="74"/>
      <c r="FZU1" s="74"/>
      <c r="FZV1" s="74"/>
      <c r="FZW1" s="74"/>
      <c r="FZX1" s="74"/>
      <c r="FZY1" s="74"/>
      <c r="FZZ1" s="74"/>
      <c r="GAA1" s="74"/>
      <c r="GAB1" s="74"/>
      <c r="GAC1" s="74"/>
      <c r="GAD1" s="74"/>
      <c r="GAE1" s="74"/>
      <c r="GAF1" s="74"/>
      <c r="GAG1" s="74"/>
      <c r="GAH1" s="74"/>
      <c r="GAI1" s="74"/>
      <c r="GAJ1" s="74"/>
      <c r="GAK1" s="74"/>
      <c r="GAL1" s="74"/>
      <c r="GAM1" s="74"/>
      <c r="GAN1" s="74"/>
      <c r="GAO1" s="74"/>
      <c r="GAP1" s="74"/>
      <c r="GAQ1" s="74"/>
      <c r="GAR1" s="74"/>
      <c r="GAS1" s="74"/>
      <c r="GAT1" s="74"/>
      <c r="GAU1" s="74"/>
      <c r="GAV1" s="74"/>
      <c r="GAW1" s="74"/>
      <c r="GAX1" s="74"/>
      <c r="GAY1" s="74"/>
      <c r="GAZ1" s="74"/>
      <c r="GBA1" s="74"/>
      <c r="GBB1" s="74"/>
      <c r="GBC1" s="74"/>
      <c r="GBD1" s="74"/>
      <c r="GBE1" s="74"/>
      <c r="GBF1" s="74"/>
      <c r="GBG1" s="74"/>
      <c r="GBH1" s="74"/>
      <c r="GBI1" s="74"/>
      <c r="GBJ1" s="74"/>
      <c r="GBK1" s="74"/>
      <c r="GBL1" s="74"/>
      <c r="GBM1" s="74"/>
      <c r="GBN1" s="74"/>
      <c r="GBO1" s="74"/>
      <c r="GBP1" s="74"/>
      <c r="GBQ1" s="74"/>
      <c r="GBR1" s="74"/>
      <c r="GBS1" s="74"/>
      <c r="GBT1" s="74"/>
      <c r="GBU1" s="74"/>
      <c r="GBV1" s="74"/>
      <c r="GBW1" s="74"/>
      <c r="GBX1" s="74"/>
      <c r="GBY1" s="74"/>
      <c r="GBZ1" s="74"/>
      <c r="GCA1" s="74"/>
      <c r="GCB1" s="74"/>
      <c r="GCC1" s="74"/>
      <c r="GCD1" s="74"/>
      <c r="GCE1" s="74"/>
      <c r="GCF1" s="74"/>
      <c r="GCG1" s="74"/>
      <c r="GCH1" s="74"/>
      <c r="GCI1" s="74"/>
      <c r="GCJ1" s="74"/>
      <c r="GCK1" s="74"/>
      <c r="GCL1" s="74"/>
      <c r="GCM1" s="74"/>
      <c r="GCN1" s="74"/>
      <c r="GCO1" s="74"/>
      <c r="GCP1" s="74"/>
      <c r="GCQ1" s="74"/>
      <c r="GCR1" s="74"/>
      <c r="GCS1" s="74"/>
      <c r="GCT1" s="74"/>
      <c r="GCU1" s="74"/>
      <c r="GCV1" s="74"/>
      <c r="GCW1" s="74"/>
      <c r="GCX1" s="74"/>
      <c r="GCY1" s="74"/>
      <c r="GCZ1" s="74"/>
      <c r="GDA1" s="74"/>
      <c r="GDB1" s="74"/>
      <c r="GDC1" s="74"/>
      <c r="GDD1" s="74"/>
      <c r="GDE1" s="74"/>
      <c r="GDF1" s="74"/>
      <c r="GDG1" s="74"/>
      <c r="GDH1" s="74"/>
      <c r="GDI1" s="74"/>
      <c r="GDJ1" s="74"/>
      <c r="GDK1" s="74"/>
      <c r="GDL1" s="74"/>
      <c r="GDM1" s="74"/>
      <c r="GDN1" s="74"/>
      <c r="GDO1" s="74"/>
      <c r="GDP1" s="74"/>
      <c r="GDQ1" s="74"/>
      <c r="GDR1" s="74"/>
      <c r="GDS1" s="74"/>
      <c r="GDT1" s="74"/>
      <c r="GDU1" s="74"/>
      <c r="GDV1" s="74"/>
      <c r="GDW1" s="74"/>
      <c r="GDX1" s="74"/>
      <c r="GDY1" s="74"/>
      <c r="GDZ1" s="74"/>
      <c r="GEA1" s="74"/>
      <c r="GEB1" s="74"/>
      <c r="GEC1" s="74"/>
      <c r="GED1" s="74"/>
      <c r="GEE1" s="74"/>
      <c r="GEF1" s="74"/>
      <c r="GEG1" s="74"/>
      <c r="GEH1" s="74"/>
      <c r="GEI1" s="74"/>
      <c r="GEJ1" s="74"/>
      <c r="GEK1" s="74"/>
      <c r="GEL1" s="74"/>
      <c r="GEM1" s="74"/>
      <c r="GEN1" s="74"/>
      <c r="GEO1" s="74"/>
      <c r="GEP1" s="74"/>
      <c r="GEQ1" s="74"/>
      <c r="GER1" s="74"/>
      <c r="GES1" s="74"/>
      <c r="GET1" s="74"/>
      <c r="GEU1" s="74"/>
      <c r="GEV1" s="74"/>
      <c r="GEW1" s="74"/>
      <c r="GEX1" s="74"/>
      <c r="GEY1" s="74"/>
      <c r="GEZ1" s="74"/>
      <c r="GFA1" s="74"/>
      <c r="GFB1" s="74"/>
      <c r="GFC1" s="74"/>
      <c r="GFD1" s="74"/>
      <c r="GFE1" s="74"/>
      <c r="GFF1" s="74"/>
      <c r="GFG1" s="74"/>
      <c r="GFH1" s="74"/>
      <c r="GFI1" s="74"/>
      <c r="GFJ1" s="74"/>
      <c r="GFK1" s="74"/>
      <c r="GFL1" s="74"/>
      <c r="GFM1" s="74"/>
      <c r="GFN1" s="74"/>
      <c r="GFO1" s="74"/>
      <c r="GFP1" s="74"/>
      <c r="GFQ1" s="74"/>
      <c r="GFR1" s="74"/>
      <c r="GFS1" s="74"/>
      <c r="GFT1" s="74"/>
      <c r="GFU1" s="74"/>
      <c r="GFV1" s="74"/>
      <c r="GFW1" s="74"/>
      <c r="GFX1" s="74"/>
      <c r="GFY1" s="74"/>
      <c r="GFZ1" s="74"/>
      <c r="GGA1" s="74"/>
      <c r="GGB1" s="74"/>
      <c r="GGC1" s="74"/>
      <c r="GGD1" s="74"/>
      <c r="GGE1" s="74"/>
      <c r="GGF1" s="74"/>
      <c r="GGG1" s="74"/>
      <c r="GGH1" s="74"/>
      <c r="GGI1" s="74"/>
      <c r="GGJ1" s="74"/>
      <c r="GGK1" s="74"/>
      <c r="GGL1" s="74"/>
      <c r="GGM1" s="74"/>
      <c r="GGN1" s="74"/>
      <c r="GGO1" s="74"/>
      <c r="GGP1" s="74"/>
      <c r="GGQ1" s="74"/>
      <c r="GGR1" s="74"/>
      <c r="GGS1" s="74"/>
      <c r="GGT1" s="74"/>
      <c r="GGU1" s="74"/>
      <c r="GGV1" s="74"/>
      <c r="GGW1" s="74"/>
      <c r="GGX1" s="74"/>
      <c r="GGY1" s="74"/>
      <c r="GGZ1" s="74"/>
      <c r="GHA1" s="74"/>
      <c r="GHB1" s="74"/>
      <c r="GHC1" s="74"/>
      <c r="GHD1" s="74"/>
      <c r="GHE1" s="74"/>
      <c r="GHF1" s="74"/>
      <c r="GHG1" s="74"/>
      <c r="GHH1" s="74"/>
      <c r="GHI1" s="74"/>
      <c r="GHJ1" s="74"/>
      <c r="GHK1" s="74"/>
      <c r="GHL1" s="74"/>
      <c r="GHM1" s="74"/>
      <c r="GHN1" s="74"/>
      <c r="GHO1" s="74"/>
      <c r="GHP1" s="74"/>
      <c r="GHQ1" s="74"/>
      <c r="GHR1" s="74"/>
      <c r="GHS1" s="74"/>
      <c r="GHT1" s="74"/>
      <c r="GHU1" s="74"/>
      <c r="GHV1" s="74"/>
      <c r="GHW1" s="74"/>
      <c r="GHX1" s="74"/>
      <c r="GHY1" s="74"/>
      <c r="GHZ1" s="74"/>
      <c r="GIA1" s="74"/>
      <c r="GIB1" s="74"/>
      <c r="GIC1" s="74"/>
      <c r="GID1" s="74"/>
      <c r="GIE1" s="74"/>
      <c r="GIF1" s="74"/>
      <c r="GIG1" s="74"/>
      <c r="GIH1" s="74"/>
      <c r="GII1" s="74"/>
      <c r="GIJ1" s="74"/>
      <c r="GIK1" s="74"/>
      <c r="GIL1" s="74"/>
      <c r="GIM1" s="74"/>
      <c r="GIN1" s="74"/>
      <c r="GIO1" s="74"/>
      <c r="GIP1" s="74"/>
      <c r="GIQ1" s="74"/>
      <c r="GIR1" s="74"/>
      <c r="GIS1" s="74"/>
      <c r="GIT1" s="74"/>
      <c r="GIU1" s="74"/>
      <c r="GIV1" s="74"/>
      <c r="GIW1" s="74"/>
      <c r="GIX1" s="74"/>
      <c r="GIY1" s="74"/>
      <c r="GIZ1" s="74"/>
      <c r="GJA1" s="74"/>
      <c r="GJB1" s="74"/>
      <c r="GJC1" s="74"/>
      <c r="GJD1" s="74"/>
      <c r="GJE1" s="74"/>
      <c r="GJF1" s="74"/>
      <c r="GJG1" s="74"/>
      <c r="GJH1" s="74"/>
      <c r="GJI1" s="74"/>
      <c r="GJJ1" s="74"/>
      <c r="GJK1" s="74"/>
      <c r="GJL1" s="74"/>
      <c r="GJM1" s="74"/>
      <c r="GJN1" s="74"/>
      <c r="GJO1" s="74"/>
      <c r="GJP1" s="74"/>
      <c r="GJQ1" s="74"/>
      <c r="GJR1" s="74"/>
      <c r="GJS1" s="74"/>
      <c r="GJT1" s="74"/>
      <c r="GJU1" s="74"/>
      <c r="GJV1" s="74"/>
      <c r="GJW1" s="74"/>
      <c r="GJX1" s="74"/>
      <c r="GJY1" s="74"/>
      <c r="GJZ1" s="74"/>
      <c r="GKA1" s="74"/>
      <c r="GKB1" s="74"/>
      <c r="GKC1" s="74"/>
      <c r="GKD1" s="74"/>
      <c r="GKE1" s="74"/>
      <c r="GKF1" s="74"/>
      <c r="GKG1" s="74"/>
      <c r="GKH1" s="74"/>
      <c r="GKI1" s="74"/>
      <c r="GKJ1" s="74"/>
      <c r="GKK1" s="74"/>
      <c r="GKL1" s="74"/>
      <c r="GKM1" s="74"/>
      <c r="GKN1" s="74"/>
      <c r="GKO1" s="74"/>
      <c r="GKP1" s="74"/>
      <c r="GKQ1" s="74"/>
      <c r="GKR1" s="74"/>
      <c r="GKS1" s="74"/>
      <c r="GKT1" s="74"/>
      <c r="GKU1" s="74"/>
      <c r="GKV1" s="74"/>
      <c r="GKW1" s="74"/>
      <c r="GKX1" s="74"/>
      <c r="GKY1" s="74"/>
      <c r="GKZ1" s="74"/>
      <c r="GLA1" s="74"/>
      <c r="GLB1" s="74"/>
      <c r="GLC1" s="74"/>
      <c r="GLD1" s="74"/>
      <c r="GLE1" s="74"/>
      <c r="GLF1" s="74"/>
      <c r="GLG1" s="74"/>
      <c r="GLH1" s="74"/>
      <c r="GLI1" s="74"/>
      <c r="GLJ1" s="74"/>
      <c r="GLK1" s="74"/>
      <c r="GLL1" s="74"/>
      <c r="GLM1" s="74"/>
      <c r="GLN1" s="74"/>
      <c r="GLO1" s="74"/>
      <c r="GLP1" s="74"/>
      <c r="GLQ1" s="74"/>
      <c r="GLR1" s="74"/>
      <c r="GLS1" s="74"/>
      <c r="GLT1" s="74"/>
      <c r="GLU1" s="74"/>
      <c r="GLV1" s="74"/>
      <c r="GLW1" s="74"/>
      <c r="GLX1" s="74"/>
      <c r="GLY1" s="74"/>
      <c r="GLZ1" s="74"/>
      <c r="GMA1" s="74"/>
      <c r="GMB1" s="74"/>
      <c r="GMC1" s="74"/>
      <c r="GMD1" s="74"/>
      <c r="GME1" s="74"/>
      <c r="GMF1" s="74"/>
      <c r="GMG1" s="74"/>
      <c r="GMH1" s="74"/>
      <c r="GMI1" s="74"/>
      <c r="GMJ1" s="74"/>
      <c r="GMK1" s="74"/>
      <c r="GML1" s="74"/>
      <c r="GMM1" s="74"/>
      <c r="GMN1" s="74"/>
      <c r="GMO1" s="74"/>
      <c r="GMP1" s="74"/>
      <c r="GMQ1" s="74"/>
      <c r="GMR1" s="74"/>
      <c r="GMS1" s="74"/>
      <c r="GMT1" s="74"/>
      <c r="GMU1" s="74"/>
      <c r="GMV1" s="74"/>
      <c r="GMW1" s="74"/>
      <c r="GMX1" s="74"/>
      <c r="GMY1" s="74"/>
      <c r="GMZ1" s="74"/>
      <c r="GNA1" s="74"/>
      <c r="GNB1" s="74"/>
      <c r="GNC1" s="74"/>
      <c r="GND1" s="74"/>
      <c r="GNE1" s="74"/>
      <c r="GNF1" s="74"/>
      <c r="GNG1" s="74"/>
      <c r="GNH1" s="74"/>
      <c r="GNI1" s="74"/>
      <c r="GNJ1" s="74"/>
      <c r="GNK1" s="74"/>
      <c r="GNL1" s="74"/>
      <c r="GNM1" s="74"/>
      <c r="GNN1" s="74"/>
      <c r="GNO1" s="74"/>
      <c r="GNP1" s="74"/>
      <c r="GNQ1" s="74"/>
      <c r="GNR1" s="74"/>
      <c r="GNS1" s="74"/>
      <c r="GNT1" s="74"/>
      <c r="GNU1" s="74"/>
      <c r="GNV1" s="74"/>
      <c r="GNW1" s="74"/>
      <c r="GNX1" s="74"/>
      <c r="GNY1" s="74"/>
      <c r="GNZ1" s="74"/>
      <c r="GOA1" s="74"/>
      <c r="GOB1" s="74"/>
      <c r="GOC1" s="74"/>
      <c r="GOD1" s="74"/>
      <c r="GOE1" s="74"/>
      <c r="GOF1" s="74"/>
      <c r="GOG1" s="74"/>
      <c r="GOH1" s="74"/>
      <c r="GOI1" s="74"/>
      <c r="GOJ1" s="74"/>
      <c r="GOK1" s="74"/>
      <c r="GOL1" s="74"/>
      <c r="GOM1" s="74"/>
      <c r="GON1" s="74"/>
      <c r="GOO1" s="74"/>
      <c r="GOP1" s="74"/>
      <c r="GOQ1" s="74"/>
      <c r="GOR1" s="74"/>
      <c r="GOS1" s="74"/>
      <c r="GOT1" s="74"/>
      <c r="GOU1" s="74"/>
      <c r="GOV1" s="74"/>
      <c r="GOW1" s="74"/>
      <c r="GOX1" s="74"/>
      <c r="GOY1" s="74"/>
      <c r="GOZ1" s="74"/>
      <c r="GPA1" s="74"/>
      <c r="GPB1" s="74"/>
      <c r="GPC1" s="74"/>
      <c r="GPD1" s="74"/>
      <c r="GPE1" s="74"/>
      <c r="GPF1" s="74"/>
      <c r="GPG1" s="74"/>
      <c r="GPH1" s="74"/>
      <c r="GPI1" s="74"/>
      <c r="GPJ1" s="74"/>
      <c r="GPK1" s="74"/>
      <c r="GPL1" s="74"/>
      <c r="GPM1" s="74"/>
      <c r="GPN1" s="74"/>
      <c r="GPO1" s="74"/>
      <c r="GPP1" s="74"/>
      <c r="GPQ1" s="74"/>
      <c r="GPR1" s="74"/>
      <c r="GPS1" s="74"/>
      <c r="GPT1" s="74"/>
      <c r="GPU1" s="74"/>
      <c r="GPV1" s="74"/>
      <c r="GPW1" s="74"/>
      <c r="GPX1" s="74"/>
      <c r="GPY1" s="74"/>
      <c r="GPZ1" s="74"/>
      <c r="GQA1" s="74"/>
      <c r="GQB1" s="74"/>
      <c r="GQC1" s="74"/>
      <c r="GQD1" s="74"/>
      <c r="GQE1" s="74"/>
      <c r="GQF1" s="74"/>
      <c r="GQG1" s="74"/>
      <c r="GQH1" s="74"/>
      <c r="GQI1" s="74"/>
      <c r="GQJ1" s="74"/>
      <c r="GQK1" s="74"/>
      <c r="GQL1" s="74"/>
      <c r="GQM1" s="74"/>
      <c r="GQN1" s="74"/>
      <c r="GQO1" s="74"/>
      <c r="GQP1" s="74"/>
      <c r="GQQ1" s="74"/>
      <c r="GQR1" s="74"/>
      <c r="GQS1" s="74"/>
      <c r="GQT1" s="74"/>
      <c r="GQU1" s="74"/>
      <c r="GQV1" s="74"/>
      <c r="GQW1" s="74"/>
      <c r="GQX1" s="74"/>
      <c r="GQY1" s="74"/>
      <c r="GQZ1" s="74"/>
      <c r="GRA1" s="74"/>
      <c r="GRB1" s="74"/>
      <c r="GRC1" s="74"/>
      <c r="GRD1" s="74"/>
      <c r="GRE1" s="74"/>
      <c r="GRF1" s="74"/>
      <c r="GRG1" s="74"/>
      <c r="GRH1" s="74"/>
      <c r="GRI1" s="74"/>
      <c r="GRJ1" s="74"/>
      <c r="GRK1" s="74"/>
      <c r="GRL1" s="74"/>
      <c r="GRM1" s="74"/>
      <c r="GRN1" s="74"/>
      <c r="GRO1" s="74"/>
      <c r="GRP1" s="74"/>
      <c r="GRQ1" s="74"/>
      <c r="GRR1" s="74"/>
      <c r="GRS1" s="74"/>
      <c r="GRT1" s="74"/>
      <c r="GRU1" s="74"/>
      <c r="GRV1" s="74"/>
      <c r="GRW1" s="74"/>
      <c r="GRX1" s="74"/>
      <c r="GRY1" s="74"/>
      <c r="GRZ1" s="74"/>
      <c r="GSA1" s="74"/>
      <c r="GSB1" s="74"/>
      <c r="GSC1" s="74"/>
      <c r="GSD1" s="74"/>
      <c r="GSE1" s="74"/>
      <c r="GSF1" s="74"/>
      <c r="GSG1" s="74"/>
      <c r="GSH1" s="74"/>
      <c r="GSI1" s="74"/>
      <c r="GSJ1" s="74"/>
      <c r="GSK1" s="74"/>
      <c r="GSL1" s="74"/>
      <c r="GSM1" s="74"/>
      <c r="GSN1" s="74"/>
      <c r="GSO1" s="74"/>
      <c r="GSP1" s="74"/>
      <c r="GSQ1" s="74"/>
      <c r="GSR1" s="74"/>
      <c r="GSS1" s="74"/>
      <c r="GST1" s="74"/>
      <c r="GSU1" s="74"/>
      <c r="GSV1" s="74"/>
      <c r="GSW1" s="74"/>
      <c r="GSX1" s="74"/>
      <c r="GSY1" s="74"/>
      <c r="GSZ1" s="74"/>
      <c r="GTA1" s="74"/>
      <c r="GTB1" s="74"/>
      <c r="GTC1" s="74"/>
      <c r="GTD1" s="74"/>
      <c r="GTE1" s="74"/>
      <c r="GTF1" s="74"/>
      <c r="GTG1" s="74"/>
      <c r="GTH1" s="74"/>
      <c r="GTI1" s="74"/>
      <c r="GTJ1" s="74"/>
      <c r="GTK1" s="74"/>
      <c r="GTL1" s="74"/>
      <c r="GTM1" s="74"/>
      <c r="GTN1" s="74"/>
      <c r="GTO1" s="74"/>
      <c r="GTP1" s="74"/>
      <c r="GTQ1" s="74"/>
      <c r="GTR1" s="74"/>
      <c r="GTS1" s="74"/>
      <c r="GTT1" s="74"/>
      <c r="GTU1" s="74"/>
      <c r="GTV1" s="74"/>
      <c r="GTW1" s="74"/>
      <c r="GTX1" s="74"/>
      <c r="GTY1" s="74"/>
      <c r="GTZ1" s="74"/>
      <c r="GUA1" s="74"/>
      <c r="GUB1" s="74"/>
      <c r="GUC1" s="74"/>
      <c r="GUD1" s="74"/>
      <c r="GUE1" s="74"/>
      <c r="GUF1" s="74"/>
      <c r="GUG1" s="74"/>
      <c r="GUH1" s="74"/>
      <c r="GUI1" s="74"/>
      <c r="GUJ1" s="74"/>
      <c r="GUK1" s="74"/>
      <c r="GUL1" s="74"/>
      <c r="GUM1" s="74"/>
      <c r="GUN1" s="74"/>
      <c r="GUO1" s="74"/>
      <c r="GUP1" s="74"/>
      <c r="GUQ1" s="74"/>
      <c r="GUR1" s="74"/>
      <c r="GUS1" s="74"/>
      <c r="GUT1" s="74"/>
      <c r="GUU1" s="74"/>
      <c r="GUV1" s="74"/>
      <c r="GUW1" s="74"/>
      <c r="GUX1" s="74"/>
      <c r="GUY1" s="74"/>
      <c r="GUZ1" s="74"/>
      <c r="GVA1" s="74"/>
      <c r="GVB1" s="74"/>
      <c r="GVC1" s="74"/>
      <c r="GVD1" s="74"/>
      <c r="GVE1" s="74"/>
      <c r="GVF1" s="74"/>
      <c r="GVG1" s="74"/>
      <c r="GVH1" s="74"/>
      <c r="GVI1" s="74"/>
      <c r="GVJ1" s="74"/>
      <c r="GVK1" s="74"/>
      <c r="GVL1" s="74"/>
      <c r="GVM1" s="74"/>
      <c r="GVN1" s="74"/>
      <c r="GVO1" s="74"/>
      <c r="GVP1" s="74"/>
      <c r="GVQ1" s="74"/>
      <c r="GVR1" s="74"/>
      <c r="GVS1" s="74"/>
      <c r="GVT1" s="74"/>
      <c r="GVU1" s="74"/>
      <c r="GVV1" s="74"/>
      <c r="GVW1" s="74"/>
      <c r="GVX1" s="74"/>
      <c r="GVY1" s="74"/>
      <c r="GVZ1" s="74"/>
      <c r="GWA1" s="74"/>
      <c r="GWB1" s="74"/>
      <c r="GWC1" s="74"/>
      <c r="GWD1" s="74"/>
      <c r="GWE1" s="74"/>
      <c r="GWF1" s="74"/>
      <c r="GWG1" s="74"/>
      <c r="GWH1" s="74"/>
      <c r="GWI1" s="74"/>
      <c r="GWJ1" s="74"/>
      <c r="GWK1" s="74"/>
      <c r="GWL1" s="74"/>
      <c r="GWM1" s="74"/>
      <c r="GWN1" s="74"/>
      <c r="GWO1" s="74"/>
      <c r="GWP1" s="74"/>
      <c r="GWQ1" s="74"/>
      <c r="GWR1" s="74"/>
      <c r="GWS1" s="74"/>
      <c r="GWT1" s="74"/>
      <c r="GWU1" s="74"/>
      <c r="GWV1" s="74"/>
      <c r="GWW1" s="74"/>
      <c r="GWX1" s="74"/>
      <c r="GWY1" s="74"/>
      <c r="GWZ1" s="74"/>
      <c r="GXA1" s="74"/>
      <c r="GXB1" s="74"/>
      <c r="GXC1" s="74"/>
      <c r="GXD1" s="74"/>
      <c r="GXE1" s="74"/>
      <c r="GXF1" s="74"/>
      <c r="GXG1" s="74"/>
      <c r="GXH1" s="74"/>
      <c r="GXI1" s="74"/>
      <c r="GXJ1" s="74"/>
      <c r="GXK1" s="74"/>
      <c r="GXL1" s="74"/>
      <c r="GXM1" s="74"/>
      <c r="GXN1" s="74"/>
      <c r="GXO1" s="74"/>
      <c r="GXP1" s="74"/>
      <c r="GXQ1" s="74"/>
      <c r="GXR1" s="74"/>
      <c r="GXS1" s="74"/>
      <c r="GXT1" s="74"/>
      <c r="GXU1" s="74"/>
      <c r="GXV1" s="74"/>
      <c r="GXW1" s="74"/>
      <c r="GXX1" s="74"/>
      <c r="GXY1" s="74"/>
      <c r="GXZ1" s="74"/>
      <c r="GYA1" s="74"/>
      <c r="GYB1" s="74"/>
      <c r="GYC1" s="74"/>
      <c r="GYD1" s="74"/>
      <c r="GYE1" s="74"/>
      <c r="GYF1" s="74"/>
      <c r="GYG1" s="74"/>
      <c r="GYH1" s="74"/>
      <c r="GYI1" s="74"/>
      <c r="GYJ1" s="74"/>
      <c r="GYK1" s="74"/>
      <c r="GYL1" s="74"/>
      <c r="GYM1" s="74"/>
      <c r="GYN1" s="74"/>
      <c r="GYO1" s="74"/>
      <c r="GYP1" s="74"/>
      <c r="GYQ1" s="74"/>
      <c r="GYR1" s="74"/>
      <c r="GYS1" s="74"/>
      <c r="GYT1" s="74"/>
      <c r="GYU1" s="74"/>
      <c r="GYV1" s="74"/>
      <c r="GYW1" s="74"/>
      <c r="GYX1" s="74"/>
      <c r="GYY1" s="74"/>
      <c r="GYZ1" s="74"/>
      <c r="GZA1" s="74"/>
      <c r="GZB1" s="74"/>
      <c r="GZC1" s="74"/>
      <c r="GZD1" s="74"/>
      <c r="GZE1" s="74"/>
      <c r="GZF1" s="74"/>
      <c r="GZG1" s="74"/>
      <c r="GZH1" s="74"/>
      <c r="GZI1" s="74"/>
      <c r="GZJ1" s="74"/>
      <c r="GZK1" s="74"/>
      <c r="GZL1" s="74"/>
      <c r="GZM1" s="74"/>
      <c r="GZN1" s="74"/>
      <c r="GZO1" s="74"/>
      <c r="GZP1" s="74"/>
      <c r="GZQ1" s="74"/>
      <c r="GZR1" s="74"/>
      <c r="GZS1" s="74"/>
      <c r="GZT1" s="74"/>
      <c r="GZU1" s="74"/>
      <c r="GZV1" s="74"/>
      <c r="GZW1" s="74"/>
      <c r="GZX1" s="74"/>
      <c r="GZY1" s="74"/>
      <c r="GZZ1" s="74"/>
      <c r="HAA1" s="74"/>
      <c r="HAB1" s="74"/>
      <c r="HAC1" s="74"/>
      <c r="HAD1" s="74"/>
      <c r="HAE1" s="74"/>
      <c r="HAF1" s="74"/>
      <c r="HAG1" s="74"/>
      <c r="HAH1" s="74"/>
      <c r="HAI1" s="74"/>
      <c r="HAJ1" s="74"/>
      <c r="HAK1" s="74"/>
      <c r="HAL1" s="74"/>
      <c r="HAM1" s="74"/>
      <c r="HAN1" s="74"/>
      <c r="HAO1" s="74"/>
      <c r="HAP1" s="74"/>
      <c r="HAQ1" s="74"/>
      <c r="HAR1" s="74"/>
      <c r="HAS1" s="74"/>
      <c r="HAT1" s="74"/>
      <c r="HAU1" s="74"/>
      <c r="HAV1" s="74"/>
      <c r="HAW1" s="74"/>
      <c r="HAX1" s="74"/>
      <c r="HAY1" s="74"/>
      <c r="HAZ1" s="74"/>
      <c r="HBA1" s="74"/>
      <c r="HBB1" s="74"/>
      <c r="HBC1" s="74"/>
      <c r="HBD1" s="74"/>
      <c r="HBE1" s="74"/>
      <c r="HBF1" s="74"/>
      <c r="HBG1" s="74"/>
      <c r="HBH1" s="74"/>
      <c r="HBI1" s="74"/>
      <c r="HBJ1" s="74"/>
      <c r="HBK1" s="74"/>
      <c r="HBL1" s="74"/>
      <c r="HBM1" s="74"/>
      <c r="HBN1" s="74"/>
      <c r="HBO1" s="74"/>
      <c r="HBP1" s="74"/>
      <c r="HBQ1" s="74"/>
      <c r="HBR1" s="74"/>
      <c r="HBS1" s="74"/>
      <c r="HBT1" s="74"/>
      <c r="HBU1" s="74"/>
      <c r="HBV1" s="74"/>
      <c r="HBW1" s="74"/>
      <c r="HBX1" s="74"/>
      <c r="HBY1" s="74"/>
      <c r="HBZ1" s="74"/>
      <c r="HCA1" s="74"/>
      <c r="HCB1" s="74"/>
      <c r="HCC1" s="74"/>
      <c r="HCD1" s="74"/>
      <c r="HCE1" s="74"/>
      <c r="HCF1" s="74"/>
      <c r="HCG1" s="74"/>
      <c r="HCH1" s="74"/>
      <c r="HCI1" s="74"/>
      <c r="HCJ1" s="74"/>
      <c r="HCK1" s="74"/>
      <c r="HCL1" s="74"/>
      <c r="HCM1" s="74"/>
      <c r="HCN1" s="74"/>
      <c r="HCO1" s="74"/>
      <c r="HCP1" s="74"/>
      <c r="HCQ1" s="74"/>
      <c r="HCR1" s="74"/>
      <c r="HCS1" s="74"/>
      <c r="HCT1" s="74"/>
      <c r="HCU1" s="74"/>
      <c r="HCV1" s="74"/>
      <c r="HCW1" s="74"/>
      <c r="HCX1" s="74"/>
      <c r="HCY1" s="74"/>
      <c r="HCZ1" s="74"/>
      <c r="HDA1" s="74"/>
      <c r="HDB1" s="74"/>
      <c r="HDC1" s="74"/>
      <c r="HDD1" s="74"/>
      <c r="HDE1" s="74"/>
      <c r="HDF1" s="74"/>
      <c r="HDG1" s="74"/>
      <c r="HDH1" s="74"/>
      <c r="HDI1" s="74"/>
      <c r="HDJ1" s="74"/>
      <c r="HDK1" s="74"/>
      <c r="HDL1" s="74"/>
      <c r="HDM1" s="74"/>
      <c r="HDN1" s="74"/>
      <c r="HDO1" s="74"/>
      <c r="HDP1" s="74"/>
      <c r="HDQ1" s="74"/>
      <c r="HDR1" s="74"/>
      <c r="HDS1" s="74"/>
      <c r="HDT1" s="74"/>
      <c r="HDU1" s="74"/>
      <c r="HDV1" s="74"/>
      <c r="HDW1" s="74"/>
      <c r="HDX1" s="74"/>
      <c r="HDY1" s="74"/>
      <c r="HDZ1" s="74"/>
      <c r="HEA1" s="74"/>
      <c r="HEB1" s="74"/>
      <c r="HEC1" s="74"/>
      <c r="HED1" s="74"/>
      <c r="HEE1" s="74"/>
      <c r="HEF1" s="74"/>
      <c r="HEG1" s="74"/>
      <c r="HEH1" s="74"/>
      <c r="HEI1" s="74"/>
      <c r="HEJ1" s="74"/>
      <c r="HEK1" s="74"/>
      <c r="HEL1" s="74"/>
      <c r="HEM1" s="74"/>
      <c r="HEN1" s="74"/>
      <c r="HEO1" s="74"/>
      <c r="HEP1" s="74"/>
      <c r="HEQ1" s="74"/>
      <c r="HER1" s="74"/>
      <c r="HES1" s="74"/>
      <c r="HET1" s="74"/>
      <c r="HEU1" s="74"/>
      <c r="HEV1" s="74"/>
      <c r="HEW1" s="74"/>
      <c r="HEX1" s="74"/>
      <c r="HEY1" s="74"/>
      <c r="HEZ1" s="74"/>
      <c r="HFA1" s="74"/>
      <c r="HFB1" s="74"/>
      <c r="HFC1" s="74"/>
      <c r="HFD1" s="74"/>
      <c r="HFE1" s="74"/>
      <c r="HFF1" s="74"/>
      <c r="HFG1" s="74"/>
      <c r="HFH1" s="74"/>
      <c r="HFI1" s="74"/>
      <c r="HFJ1" s="74"/>
      <c r="HFK1" s="74"/>
      <c r="HFL1" s="74"/>
      <c r="HFM1" s="74"/>
      <c r="HFN1" s="74"/>
      <c r="HFO1" s="74"/>
      <c r="HFP1" s="74"/>
      <c r="HFQ1" s="74"/>
      <c r="HFR1" s="74"/>
      <c r="HFS1" s="74"/>
      <c r="HFT1" s="74"/>
      <c r="HFU1" s="74"/>
      <c r="HFV1" s="74"/>
      <c r="HFW1" s="74"/>
      <c r="HFX1" s="74"/>
      <c r="HFY1" s="74"/>
      <c r="HFZ1" s="74"/>
      <c r="HGA1" s="74"/>
      <c r="HGB1" s="74"/>
      <c r="HGC1" s="74"/>
      <c r="HGD1" s="74"/>
      <c r="HGE1" s="74"/>
      <c r="HGF1" s="74"/>
      <c r="HGG1" s="74"/>
      <c r="HGH1" s="74"/>
      <c r="HGI1" s="74"/>
      <c r="HGJ1" s="74"/>
      <c r="HGK1" s="74"/>
      <c r="HGL1" s="74"/>
      <c r="HGM1" s="74"/>
      <c r="HGN1" s="74"/>
      <c r="HGO1" s="74"/>
      <c r="HGP1" s="74"/>
      <c r="HGQ1" s="74"/>
      <c r="HGR1" s="74"/>
      <c r="HGS1" s="74"/>
      <c r="HGT1" s="74"/>
      <c r="HGU1" s="74"/>
      <c r="HGV1" s="74"/>
      <c r="HGW1" s="74"/>
      <c r="HGX1" s="74"/>
      <c r="HGY1" s="74"/>
      <c r="HGZ1" s="74"/>
      <c r="HHA1" s="74"/>
      <c r="HHB1" s="74"/>
      <c r="HHC1" s="74"/>
      <c r="HHD1" s="74"/>
      <c r="HHE1" s="74"/>
      <c r="HHF1" s="74"/>
      <c r="HHG1" s="74"/>
      <c r="HHH1" s="74"/>
      <c r="HHI1" s="74"/>
      <c r="HHJ1" s="74"/>
      <c r="HHK1" s="74"/>
      <c r="HHL1" s="74"/>
      <c r="HHM1" s="74"/>
      <c r="HHN1" s="74"/>
      <c r="HHO1" s="74"/>
      <c r="HHP1" s="74"/>
      <c r="HHQ1" s="74"/>
      <c r="HHR1" s="74"/>
      <c r="HHS1" s="74"/>
      <c r="HHT1" s="74"/>
      <c r="HHU1" s="74"/>
      <c r="HHV1" s="74"/>
      <c r="HHW1" s="74"/>
      <c r="HHX1" s="74"/>
      <c r="HHY1" s="74"/>
      <c r="HHZ1" s="74"/>
      <c r="HIA1" s="74"/>
      <c r="HIB1" s="74"/>
      <c r="HIC1" s="74"/>
      <c r="HID1" s="74"/>
      <c r="HIE1" s="74"/>
      <c r="HIF1" s="74"/>
      <c r="HIG1" s="74"/>
      <c r="HIH1" s="74"/>
      <c r="HII1" s="74"/>
      <c r="HIJ1" s="74"/>
      <c r="HIK1" s="74"/>
      <c r="HIL1" s="74"/>
      <c r="HIM1" s="74"/>
      <c r="HIN1" s="74"/>
      <c r="HIO1" s="74"/>
      <c r="HIP1" s="74"/>
      <c r="HIQ1" s="74"/>
      <c r="HIR1" s="74"/>
      <c r="HIS1" s="74"/>
      <c r="HIT1" s="74"/>
      <c r="HIU1" s="74"/>
      <c r="HIV1" s="74"/>
      <c r="HIW1" s="74"/>
      <c r="HIX1" s="74"/>
      <c r="HIY1" s="74"/>
      <c r="HIZ1" s="74"/>
      <c r="HJA1" s="74"/>
      <c r="HJB1" s="74"/>
      <c r="HJC1" s="74"/>
      <c r="HJD1" s="74"/>
      <c r="HJE1" s="74"/>
      <c r="HJF1" s="74"/>
      <c r="HJG1" s="74"/>
      <c r="HJH1" s="74"/>
      <c r="HJI1" s="74"/>
      <c r="HJJ1" s="74"/>
      <c r="HJK1" s="74"/>
      <c r="HJL1" s="74"/>
      <c r="HJM1" s="74"/>
      <c r="HJN1" s="74"/>
      <c r="HJO1" s="74"/>
      <c r="HJP1" s="74"/>
      <c r="HJQ1" s="74"/>
      <c r="HJR1" s="74"/>
      <c r="HJS1" s="74"/>
      <c r="HJT1" s="74"/>
      <c r="HJU1" s="74"/>
      <c r="HJV1" s="74"/>
      <c r="HJW1" s="74"/>
      <c r="HJX1" s="74"/>
      <c r="HJY1" s="74"/>
      <c r="HJZ1" s="74"/>
      <c r="HKA1" s="74"/>
      <c r="HKB1" s="74"/>
      <c r="HKC1" s="74"/>
      <c r="HKD1" s="74"/>
      <c r="HKE1" s="74"/>
      <c r="HKF1" s="74"/>
      <c r="HKG1" s="74"/>
      <c r="HKH1" s="74"/>
      <c r="HKI1" s="74"/>
      <c r="HKJ1" s="74"/>
      <c r="HKK1" s="74"/>
      <c r="HKL1" s="74"/>
      <c r="HKM1" s="74"/>
      <c r="HKN1" s="74"/>
      <c r="HKO1" s="74"/>
      <c r="HKP1" s="74"/>
      <c r="HKQ1" s="74"/>
      <c r="HKR1" s="74"/>
      <c r="HKS1" s="74"/>
      <c r="HKT1" s="74"/>
      <c r="HKU1" s="74"/>
      <c r="HKV1" s="74"/>
      <c r="HKW1" s="74"/>
      <c r="HKX1" s="74"/>
      <c r="HKY1" s="74"/>
      <c r="HKZ1" s="74"/>
      <c r="HLA1" s="74"/>
      <c r="HLB1" s="74"/>
      <c r="HLC1" s="74"/>
      <c r="HLD1" s="74"/>
      <c r="HLE1" s="74"/>
      <c r="HLF1" s="74"/>
      <c r="HLG1" s="74"/>
      <c r="HLH1" s="74"/>
      <c r="HLI1" s="74"/>
      <c r="HLJ1" s="74"/>
      <c r="HLK1" s="74"/>
      <c r="HLL1" s="74"/>
      <c r="HLM1" s="74"/>
      <c r="HLN1" s="74"/>
      <c r="HLO1" s="74"/>
      <c r="HLP1" s="74"/>
      <c r="HLQ1" s="74"/>
      <c r="HLR1" s="74"/>
      <c r="HLS1" s="74"/>
      <c r="HLT1" s="74"/>
      <c r="HLU1" s="74"/>
      <c r="HLV1" s="74"/>
      <c r="HLW1" s="74"/>
      <c r="HLX1" s="74"/>
      <c r="HLY1" s="74"/>
      <c r="HLZ1" s="74"/>
      <c r="HMA1" s="74"/>
      <c r="HMB1" s="74"/>
      <c r="HMC1" s="74"/>
      <c r="HMD1" s="74"/>
      <c r="HME1" s="74"/>
      <c r="HMF1" s="74"/>
      <c r="HMG1" s="74"/>
      <c r="HMH1" s="74"/>
      <c r="HMI1" s="74"/>
      <c r="HMJ1" s="74"/>
      <c r="HMK1" s="74"/>
      <c r="HML1" s="74"/>
      <c r="HMM1" s="74"/>
      <c r="HMN1" s="74"/>
      <c r="HMO1" s="74"/>
      <c r="HMP1" s="74"/>
      <c r="HMQ1" s="74"/>
      <c r="HMR1" s="74"/>
      <c r="HMS1" s="74"/>
      <c r="HMT1" s="74"/>
      <c r="HMU1" s="74"/>
      <c r="HMV1" s="74"/>
      <c r="HMW1" s="74"/>
      <c r="HMX1" s="74"/>
      <c r="HMY1" s="74"/>
      <c r="HMZ1" s="74"/>
      <c r="HNA1" s="74"/>
      <c r="HNB1" s="74"/>
      <c r="HNC1" s="74"/>
      <c r="HND1" s="74"/>
      <c r="HNE1" s="74"/>
      <c r="HNF1" s="74"/>
      <c r="HNG1" s="74"/>
      <c r="HNH1" s="74"/>
      <c r="HNI1" s="74"/>
      <c r="HNJ1" s="74"/>
      <c r="HNK1" s="74"/>
      <c r="HNL1" s="74"/>
      <c r="HNM1" s="74"/>
      <c r="HNN1" s="74"/>
      <c r="HNO1" s="74"/>
      <c r="HNP1" s="74"/>
      <c r="HNQ1" s="74"/>
      <c r="HNR1" s="74"/>
      <c r="HNS1" s="74"/>
      <c r="HNT1" s="74"/>
      <c r="HNU1" s="74"/>
      <c r="HNV1" s="74"/>
      <c r="HNW1" s="74"/>
      <c r="HNX1" s="74"/>
      <c r="HNY1" s="74"/>
      <c r="HNZ1" s="74"/>
      <c r="HOA1" s="74"/>
      <c r="HOB1" s="74"/>
      <c r="HOC1" s="74"/>
      <c r="HOD1" s="74"/>
      <c r="HOE1" s="74"/>
      <c r="HOF1" s="74"/>
      <c r="HOG1" s="74"/>
      <c r="HOH1" s="74"/>
      <c r="HOI1" s="74"/>
      <c r="HOJ1" s="74"/>
      <c r="HOK1" s="74"/>
      <c r="HOL1" s="74"/>
      <c r="HOM1" s="74"/>
      <c r="HON1" s="74"/>
      <c r="HOO1" s="74"/>
      <c r="HOP1" s="74"/>
      <c r="HOQ1" s="74"/>
      <c r="HOR1" s="74"/>
      <c r="HOS1" s="74"/>
      <c r="HOT1" s="74"/>
      <c r="HOU1" s="74"/>
      <c r="HOV1" s="74"/>
      <c r="HOW1" s="74"/>
      <c r="HOX1" s="74"/>
      <c r="HOY1" s="74"/>
      <c r="HOZ1" s="74"/>
      <c r="HPA1" s="74"/>
      <c r="HPB1" s="74"/>
      <c r="HPC1" s="74"/>
      <c r="HPD1" s="74"/>
      <c r="HPE1" s="74"/>
      <c r="HPF1" s="74"/>
      <c r="HPG1" s="74"/>
      <c r="HPH1" s="74"/>
      <c r="HPI1" s="74"/>
      <c r="HPJ1" s="74"/>
      <c r="HPK1" s="74"/>
      <c r="HPL1" s="74"/>
      <c r="HPM1" s="74"/>
      <c r="HPN1" s="74"/>
      <c r="HPO1" s="74"/>
      <c r="HPP1" s="74"/>
      <c r="HPQ1" s="74"/>
      <c r="HPR1" s="74"/>
      <c r="HPS1" s="74"/>
      <c r="HPT1" s="74"/>
      <c r="HPU1" s="74"/>
      <c r="HPV1" s="74"/>
      <c r="HPW1" s="74"/>
      <c r="HPX1" s="74"/>
      <c r="HPY1" s="74"/>
      <c r="HPZ1" s="74"/>
      <c r="HQA1" s="74"/>
      <c r="HQB1" s="74"/>
      <c r="HQC1" s="74"/>
      <c r="HQD1" s="74"/>
      <c r="HQE1" s="74"/>
      <c r="HQF1" s="74"/>
      <c r="HQG1" s="74"/>
      <c r="HQH1" s="74"/>
      <c r="HQI1" s="74"/>
      <c r="HQJ1" s="74"/>
      <c r="HQK1" s="74"/>
      <c r="HQL1" s="74"/>
      <c r="HQM1" s="74"/>
      <c r="HQN1" s="74"/>
      <c r="HQO1" s="74"/>
      <c r="HQP1" s="74"/>
      <c r="HQQ1" s="74"/>
      <c r="HQR1" s="74"/>
      <c r="HQS1" s="74"/>
      <c r="HQT1" s="74"/>
      <c r="HQU1" s="74"/>
      <c r="HQV1" s="74"/>
      <c r="HQW1" s="74"/>
      <c r="HQX1" s="74"/>
      <c r="HQY1" s="74"/>
      <c r="HQZ1" s="74"/>
      <c r="HRA1" s="74"/>
      <c r="HRB1" s="74"/>
      <c r="HRC1" s="74"/>
      <c r="HRD1" s="74"/>
      <c r="HRE1" s="74"/>
      <c r="HRF1" s="74"/>
      <c r="HRG1" s="74"/>
      <c r="HRH1" s="74"/>
      <c r="HRI1" s="74"/>
      <c r="HRJ1" s="74"/>
      <c r="HRK1" s="74"/>
      <c r="HRL1" s="74"/>
      <c r="HRM1" s="74"/>
      <c r="HRN1" s="74"/>
      <c r="HRO1" s="74"/>
      <c r="HRP1" s="74"/>
      <c r="HRQ1" s="74"/>
      <c r="HRR1" s="74"/>
      <c r="HRS1" s="74"/>
      <c r="HRT1" s="74"/>
      <c r="HRU1" s="74"/>
      <c r="HRV1" s="74"/>
      <c r="HRW1" s="74"/>
      <c r="HRX1" s="74"/>
      <c r="HRY1" s="74"/>
      <c r="HRZ1" s="74"/>
      <c r="HSA1" s="74"/>
      <c r="HSB1" s="74"/>
      <c r="HSC1" s="74"/>
      <c r="HSD1" s="74"/>
      <c r="HSE1" s="74"/>
      <c r="HSF1" s="74"/>
      <c r="HSG1" s="74"/>
      <c r="HSH1" s="74"/>
      <c r="HSI1" s="74"/>
      <c r="HSJ1" s="74"/>
      <c r="HSK1" s="74"/>
      <c r="HSL1" s="74"/>
      <c r="HSM1" s="74"/>
      <c r="HSN1" s="74"/>
      <c r="HSO1" s="74"/>
      <c r="HSP1" s="74"/>
      <c r="HSQ1" s="74"/>
      <c r="HSR1" s="74"/>
      <c r="HSS1" s="74"/>
      <c r="HST1" s="74"/>
      <c r="HSU1" s="74"/>
      <c r="HSV1" s="74"/>
      <c r="HSW1" s="74"/>
      <c r="HSX1" s="74"/>
      <c r="HSY1" s="74"/>
      <c r="HSZ1" s="74"/>
      <c r="HTA1" s="74"/>
      <c r="HTB1" s="74"/>
      <c r="HTC1" s="74"/>
      <c r="HTD1" s="74"/>
      <c r="HTE1" s="74"/>
      <c r="HTF1" s="74"/>
      <c r="HTG1" s="74"/>
      <c r="HTH1" s="74"/>
      <c r="HTI1" s="74"/>
      <c r="HTJ1" s="74"/>
      <c r="HTK1" s="74"/>
      <c r="HTL1" s="74"/>
      <c r="HTM1" s="74"/>
      <c r="HTN1" s="74"/>
      <c r="HTO1" s="74"/>
      <c r="HTP1" s="74"/>
      <c r="HTQ1" s="74"/>
      <c r="HTR1" s="74"/>
      <c r="HTS1" s="74"/>
      <c r="HTT1" s="74"/>
      <c r="HTU1" s="74"/>
      <c r="HTV1" s="74"/>
      <c r="HTW1" s="74"/>
      <c r="HTX1" s="74"/>
      <c r="HTY1" s="74"/>
      <c r="HTZ1" s="74"/>
      <c r="HUA1" s="74"/>
      <c r="HUB1" s="74"/>
      <c r="HUC1" s="74"/>
      <c r="HUD1" s="74"/>
      <c r="HUE1" s="74"/>
      <c r="HUF1" s="74"/>
      <c r="HUG1" s="74"/>
      <c r="HUH1" s="74"/>
      <c r="HUI1" s="74"/>
      <c r="HUJ1" s="74"/>
      <c r="HUK1" s="74"/>
      <c r="HUL1" s="74"/>
      <c r="HUM1" s="74"/>
      <c r="HUN1" s="74"/>
      <c r="HUO1" s="74"/>
      <c r="HUP1" s="74"/>
      <c r="HUQ1" s="74"/>
      <c r="HUR1" s="74"/>
      <c r="HUS1" s="74"/>
      <c r="HUT1" s="74"/>
      <c r="HUU1" s="74"/>
      <c r="HUV1" s="74"/>
      <c r="HUW1" s="74"/>
      <c r="HUX1" s="74"/>
      <c r="HUY1" s="74"/>
      <c r="HUZ1" s="74"/>
      <c r="HVA1" s="74"/>
      <c r="HVB1" s="74"/>
      <c r="HVC1" s="74"/>
      <c r="HVD1" s="74"/>
      <c r="HVE1" s="74"/>
      <c r="HVF1" s="74"/>
      <c r="HVG1" s="74"/>
      <c r="HVH1" s="74"/>
      <c r="HVI1" s="74"/>
      <c r="HVJ1" s="74"/>
      <c r="HVK1" s="74"/>
      <c r="HVL1" s="74"/>
      <c r="HVM1" s="74"/>
      <c r="HVN1" s="74"/>
      <c r="HVO1" s="74"/>
      <c r="HVP1" s="74"/>
      <c r="HVQ1" s="74"/>
      <c r="HVR1" s="74"/>
      <c r="HVS1" s="74"/>
      <c r="HVT1" s="74"/>
      <c r="HVU1" s="74"/>
      <c r="HVV1" s="74"/>
      <c r="HVW1" s="74"/>
      <c r="HVX1" s="74"/>
      <c r="HVY1" s="74"/>
      <c r="HVZ1" s="74"/>
      <c r="HWA1" s="74"/>
      <c r="HWB1" s="74"/>
      <c r="HWC1" s="74"/>
      <c r="HWD1" s="74"/>
      <c r="HWE1" s="74"/>
      <c r="HWF1" s="74"/>
      <c r="HWG1" s="74"/>
      <c r="HWH1" s="74"/>
      <c r="HWI1" s="74"/>
      <c r="HWJ1" s="74"/>
      <c r="HWK1" s="74"/>
      <c r="HWL1" s="74"/>
      <c r="HWM1" s="74"/>
      <c r="HWN1" s="74"/>
      <c r="HWO1" s="74"/>
      <c r="HWP1" s="74"/>
      <c r="HWQ1" s="74"/>
      <c r="HWR1" s="74"/>
      <c r="HWS1" s="74"/>
      <c r="HWT1" s="74"/>
      <c r="HWU1" s="74"/>
      <c r="HWV1" s="74"/>
      <c r="HWW1" s="74"/>
      <c r="HWX1" s="74"/>
      <c r="HWY1" s="74"/>
      <c r="HWZ1" s="74"/>
      <c r="HXA1" s="74"/>
      <c r="HXB1" s="74"/>
      <c r="HXC1" s="74"/>
      <c r="HXD1" s="74"/>
      <c r="HXE1" s="74"/>
      <c r="HXF1" s="74"/>
      <c r="HXG1" s="74"/>
      <c r="HXH1" s="74"/>
      <c r="HXI1" s="74"/>
      <c r="HXJ1" s="74"/>
      <c r="HXK1" s="74"/>
      <c r="HXL1" s="74"/>
      <c r="HXM1" s="74"/>
      <c r="HXN1" s="74"/>
      <c r="HXO1" s="74"/>
      <c r="HXP1" s="74"/>
      <c r="HXQ1" s="74"/>
      <c r="HXR1" s="74"/>
      <c r="HXS1" s="74"/>
      <c r="HXT1" s="74"/>
      <c r="HXU1" s="74"/>
      <c r="HXV1" s="74"/>
      <c r="HXW1" s="74"/>
      <c r="HXX1" s="74"/>
      <c r="HXY1" s="74"/>
      <c r="HXZ1" s="74"/>
      <c r="HYA1" s="74"/>
      <c r="HYB1" s="74"/>
      <c r="HYC1" s="74"/>
      <c r="HYD1" s="74"/>
      <c r="HYE1" s="74"/>
      <c r="HYF1" s="74"/>
      <c r="HYG1" s="74"/>
      <c r="HYH1" s="74"/>
      <c r="HYI1" s="74"/>
      <c r="HYJ1" s="74"/>
      <c r="HYK1" s="74"/>
      <c r="HYL1" s="74"/>
      <c r="HYM1" s="74"/>
      <c r="HYN1" s="74"/>
      <c r="HYO1" s="74"/>
      <c r="HYP1" s="74"/>
      <c r="HYQ1" s="74"/>
      <c r="HYR1" s="74"/>
      <c r="HYS1" s="74"/>
      <c r="HYT1" s="74"/>
      <c r="HYU1" s="74"/>
      <c r="HYV1" s="74"/>
      <c r="HYW1" s="74"/>
      <c r="HYX1" s="74"/>
      <c r="HYY1" s="74"/>
      <c r="HYZ1" s="74"/>
      <c r="HZA1" s="74"/>
      <c r="HZB1" s="74"/>
      <c r="HZC1" s="74"/>
      <c r="HZD1" s="74"/>
      <c r="HZE1" s="74"/>
      <c r="HZF1" s="74"/>
      <c r="HZG1" s="74"/>
      <c r="HZH1" s="74"/>
      <c r="HZI1" s="74"/>
      <c r="HZJ1" s="74"/>
      <c r="HZK1" s="74"/>
      <c r="HZL1" s="74"/>
      <c r="HZM1" s="74"/>
      <c r="HZN1" s="74"/>
      <c r="HZO1" s="74"/>
      <c r="HZP1" s="74"/>
      <c r="HZQ1" s="74"/>
      <c r="HZR1" s="74"/>
      <c r="HZS1" s="74"/>
      <c r="HZT1" s="74"/>
      <c r="HZU1" s="74"/>
      <c r="HZV1" s="74"/>
      <c r="HZW1" s="74"/>
      <c r="HZX1" s="74"/>
      <c r="HZY1" s="74"/>
      <c r="HZZ1" s="74"/>
      <c r="IAA1" s="74"/>
      <c r="IAB1" s="74"/>
      <c r="IAC1" s="74"/>
      <c r="IAD1" s="74"/>
      <c r="IAE1" s="74"/>
      <c r="IAF1" s="74"/>
      <c r="IAG1" s="74"/>
      <c r="IAH1" s="74"/>
      <c r="IAI1" s="74"/>
      <c r="IAJ1" s="74"/>
      <c r="IAK1" s="74"/>
      <c r="IAL1" s="74"/>
      <c r="IAM1" s="74"/>
      <c r="IAN1" s="74"/>
      <c r="IAO1" s="74"/>
      <c r="IAP1" s="74"/>
      <c r="IAQ1" s="74"/>
      <c r="IAR1" s="74"/>
      <c r="IAS1" s="74"/>
      <c r="IAT1" s="74"/>
      <c r="IAU1" s="74"/>
      <c r="IAV1" s="74"/>
      <c r="IAW1" s="74"/>
      <c r="IAX1" s="74"/>
      <c r="IAY1" s="74"/>
      <c r="IAZ1" s="74"/>
      <c r="IBA1" s="74"/>
      <c r="IBB1" s="74"/>
      <c r="IBC1" s="74"/>
      <c r="IBD1" s="74"/>
      <c r="IBE1" s="74"/>
      <c r="IBF1" s="74"/>
      <c r="IBG1" s="74"/>
      <c r="IBH1" s="74"/>
      <c r="IBI1" s="74"/>
      <c r="IBJ1" s="74"/>
      <c r="IBK1" s="74"/>
      <c r="IBL1" s="74"/>
      <c r="IBM1" s="74"/>
      <c r="IBN1" s="74"/>
      <c r="IBO1" s="74"/>
      <c r="IBP1" s="74"/>
      <c r="IBQ1" s="74"/>
      <c r="IBR1" s="74"/>
      <c r="IBS1" s="74"/>
      <c r="IBT1" s="74"/>
      <c r="IBU1" s="74"/>
      <c r="IBV1" s="74"/>
      <c r="IBW1" s="74"/>
      <c r="IBX1" s="74"/>
      <c r="IBY1" s="74"/>
      <c r="IBZ1" s="74"/>
      <c r="ICA1" s="74"/>
      <c r="ICB1" s="74"/>
      <c r="ICC1" s="74"/>
      <c r="ICD1" s="74"/>
      <c r="ICE1" s="74"/>
      <c r="ICF1" s="74"/>
      <c r="ICG1" s="74"/>
      <c r="ICH1" s="74"/>
      <c r="ICI1" s="74"/>
      <c r="ICJ1" s="74"/>
      <c r="ICK1" s="74"/>
      <c r="ICL1" s="74"/>
      <c r="ICM1" s="74"/>
      <c r="ICN1" s="74"/>
      <c r="ICO1" s="74"/>
      <c r="ICP1" s="74"/>
      <c r="ICQ1" s="74"/>
      <c r="ICR1" s="74"/>
      <c r="ICS1" s="74"/>
      <c r="ICT1" s="74"/>
      <c r="ICU1" s="74"/>
      <c r="ICV1" s="74"/>
      <c r="ICW1" s="74"/>
      <c r="ICX1" s="74"/>
      <c r="ICY1" s="74"/>
      <c r="ICZ1" s="74"/>
      <c r="IDA1" s="74"/>
      <c r="IDB1" s="74"/>
      <c r="IDC1" s="74"/>
      <c r="IDD1" s="74"/>
      <c r="IDE1" s="74"/>
      <c r="IDF1" s="74"/>
      <c r="IDG1" s="74"/>
      <c r="IDH1" s="74"/>
      <c r="IDI1" s="74"/>
      <c r="IDJ1" s="74"/>
      <c r="IDK1" s="74"/>
      <c r="IDL1" s="74"/>
      <c r="IDM1" s="74"/>
      <c r="IDN1" s="74"/>
      <c r="IDO1" s="74"/>
      <c r="IDP1" s="74"/>
      <c r="IDQ1" s="74"/>
      <c r="IDR1" s="74"/>
      <c r="IDS1" s="74"/>
      <c r="IDT1" s="74"/>
      <c r="IDU1" s="74"/>
      <c r="IDV1" s="74"/>
      <c r="IDW1" s="74"/>
      <c r="IDX1" s="74"/>
      <c r="IDY1" s="74"/>
      <c r="IDZ1" s="74"/>
      <c r="IEA1" s="74"/>
      <c r="IEB1" s="74"/>
      <c r="IEC1" s="74"/>
      <c r="IED1" s="74"/>
      <c r="IEE1" s="74"/>
      <c r="IEF1" s="74"/>
      <c r="IEG1" s="74"/>
      <c r="IEH1" s="74"/>
      <c r="IEI1" s="74"/>
      <c r="IEJ1" s="74"/>
      <c r="IEK1" s="74"/>
      <c r="IEL1" s="74"/>
      <c r="IEM1" s="74"/>
      <c r="IEN1" s="74"/>
      <c r="IEO1" s="74"/>
      <c r="IEP1" s="74"/>
      <c r="IEQ1" s="74"/>
      <c r="IER1" s="74"/>
      <c r="IES1" s="74"/>
      <c r="IET1" s="74"/>
      <c r="IEU1" s="74"/>
      <c r="IEV1" s="74"/>
      <c r="IEW1" s="74"/>
      <c r="IEX1" s="74"/>
      <c r="IEY1" s="74"/>
      <c r="IEZ1" s="74"/>
      <c r="IFA1" s="74"/>
      <c r="IFB1" s="74"/>
      <c r="IFC1" s="74"/>
      <c r="IFD1" s="74"/>
      <c r="IFE1" s="74"/>
      <c r="IFF1" s="74"/>
      <c r="IFG1" s="74"/>
      <c r="IFH1" s="74"/>
      <c r="IFI1" s="74"/>
      <c r="IFJ1" s="74"/>
      <c r="IFK1" s="74"/>
      <c r="IFL1" s="74"/>
      <c r="IFM1" s="74"/>
      <c r="IFN1" s="74"/>
      <c r="IFO1" s="74"/>
      <c r="IFP1" s="74"/>
      <c r="IFQ1" s="74"/>
      <c r="IFR1" s="74"/>
      <c r="IFS1" s="74"/>
      <c r="IFT1" s="74"/>
      <c r="IFU1" s="74"/>
      <c r="IFV1" s="74"/>
      <c r="IFW1" s="74"/>
      <c r="IFX1" s="74"/>
      <c r="IFY1" s="74"/>
      <c r="IFZ1" s="74"/>
      <c r="IGA1" s="74"/>
      <c r="IGB1" s="74"/>
      <c r="IGC1" s="74"/>
      <c r="IGD1" s="74"/>
      <c r="IGE1" s="74"/>
      <c r="IGF1" s="74"/>
      <c r="IGG1" s="74"/>
      <c r="IGH1" s="74"/>
      <c r="IGI1" s="74"/>
      <c r="IGJ1" s="74"/>
      <c r="IGK1" s="74"/>
      <c r="IGL1" s="74"/>
      <c r="IGM1" s="74"/>
      <c r="IGN1" s="74"/>
      <c r="IGO1" s="74"/>
      <c r="IGP1" s="74"/>
      <c r="IGQ1" s="74"/>
      <c r="IGR1" s="74"/>
      <c r="IGS1" s="74"/>
      <c r="IGT1" s="74"/>
      <c r="IGU1" s="74"/>
      <c r="IGV1" s="74"/>
      <c r="IGW1" s="74"/>
      <c r="IGX1" s="74"/>
      <c r="IGY1" s="74"/>
      <c r="IGZ1" s="74"/>
      <c r="IHA1" s="74"/>
      <c r="IHB1" s="74"/>
      <c r="IHC1" s="74"/>
      <c r="IHD1" s="74"/>
      <c r="IHE1" s="74"/>
      <c r="IHF1" s="74"/>
      <c r="IHG1" s="74"/>
      <c r="IHH1" s="74"/>
      <c r="IHI1" s="74"/>
      <c r="IHJ1" s="74"/>
      <c r="IHK1" s="74"/>
      <c r="IHL1" s="74"/>
      <c r="IHM1" s="74"/>
      <c r="IHN1" s="74"/>
      <c r="IHO1" s="74"/>
      <c r="IHP1" s="74"/>
      <c r="IHQ1" s="74"/>
      <c r="IHR1" s="74"/>
      <c r="IHS1" s="74"/>
      <c r="IHT1" s="74"/>
      <c r="IHU1" s="74"/>
      <c r="IHV1" s="74"/>
      <c r="IHW1" s="74"/>
      <c r="IHX1" s="74"/>
      <c r="IHY1" s="74"/>
      <c r="IHZ1" s="74"/>
      <c r="IIA1" s="74"/>
      <c r="IIB1" s="74"/>
      <c r="IIC1" s="74"/>
      <c r="IID1" s="74"/>
      <c r="IIE1" s="74"/>
      <c r="IIF1" s="74"/>
      <c r="IIG1" s="74"/>
      <c r="IIH1" s="74"/>
      <c r="III1" s="74"/>
      <c r="IIJ1" s="74"/>
      <c r="IIK1" s="74"/>
      <c r="IIL1" s="74"/>
      <c r="IIM1" s="74"/>
      <c r="IIN1" s="74"/>
      <c r="IIO1" s="74"/>
      <c r="IIP1" s="74"/>
      <c r="IIQ1" s="74"/>
      <c r="IIR1" s="74"/>
      <c r="IIS1" s="74"/>
      <c r="IIT1" s="74"/>
      <c r="IIU1" s="74"/>
      <c r="IIV1" s="74"/>
      <c r="IIW1" s="74"/>
      <c r="IIX1" s="74"/>
      <c r="IIY1" s="74"/>
      <c r="IIZ1" s="74"/>
      <c r="IJA1" s="74"/>
      <c r="IJB1" s="74"/>
      <c r="IJC1" s="74"/>
      <c r="IJD1" s="74"/>
      <c r="IJE1" s="74"/>
      <c r="IJF1" s="74"/>
      <c r="IJG1" s="74"/>
      <c r="IJH1" s="74"/>
      <c r="IJI1" s="74"/>
      <c r="IJJ1" s="74"/>
      <c r="IJK1" s="74"/>
      <c r="IJL1" s="74"/>
      <c r="IJM1" s="74"/>
      <c r="IJN1" s="74"/>
      <c r="IJO1" s="74"/>
      <c r="IJP1" s="74"/>
      <c r="IJQ1" s="74"/>
      <c r="IJR1" s="74"/>
      <c r="IJS1" s="74"/>
      <c r="IJT1" s="74"/>
      <c r="IJU1" s="74"/>
      <c r="IJV1" s="74"/>
      <c r="IJW1" s="74"/>
      <c r="IJX1" s="74"/>
      <c r="IJY1" s="74"/>
      <c r="IJZ1" s="74"/>
      <c r="IKA1" s="74"/>
      <c r="IKB1" s="74"/>
      <c r="IKC1" s="74"/>
      <c r="IKD1" s="74"/>
      <c r="IKE1" s="74"/>
      <c r="IKF1" s="74"/>
      <c r="IKG1" s="74"/>
      <c r="IKH1" s="74"/>
      <c r="IKI1" s="74"/>
      <c r="IKJ1" s="74"/>
      <c r="IKK1" s="74"/>
      <c r="IKL1" s="74"/>
      <c r="IKM1" s="74"/>
      <c r="IKN1" s="74"/>
      <c r="IKO1" s="74"/>
      <c r="IKP1" s="74"/>
      <c r="IKQ1" s="74"/>
      <c r="IKR1" s="74"/>
      <c r="IKS1" s="74"/>
      <c r="IKT1" s="74"/>
      <c r="IKU1" s="74"/>
      <c r="IKV1" s="74"/>
      <c r="IKW1" s="74"/>
      <c r="IKX1" s="74"/>
      <c r="IKY1" s="74"/>
      <c r="IKZ1" s="74"/>
      <c r="ILA1" s="74"/>
      <c r="ILB1" s="74"/>
      <c r="ILC1" s="74"/>
      <c r="ILD1" s="74"/>
      <c r="ILE1" s="74"/>
      <c r="ILF1" s="74"/>
      <c r="ILG1" s="74"/>
      <c r="ILH1" s="74"/>
      <c r="ILI1" s="74"/>
      <c r="ILJ1" s="74"/>
      <c r="ILK1" s="74"/>
      <c r="ILL1" s="74"/>
      <c r="ILM1" s="74"/>
      <c r="ILN1" s="74"/>
      <c r="ILO1" s="74"/>
      <c r="ILP1" s="74"/>
      <c r="ILQ1" s="74"/>
      <c r="ILR1" s="74"/>
      <c r="ILS1" s="74"/>
      <c r="ILT1" s="74"/>
      <c r="ILU1" s="74"/>
      <c r="ILV1" s="74"/>
      <c r="ILW1" s="74"/>
      <c r="ILX1" s="74"/>
      <c r="ILY1" s="74"/>
      <c r="ILZ1" s="74"/>
      <c r="IMA1" s="74"/>
      <c r="IMB1" s="74"/>
      <c r="IMC1" s="74"/>
      <c r="IMD1" s="74"/>
      <c r="IME1" s="74"/>
      <c r="IMF1" s="74"/>
      <c r="IMG1" s="74"/>
      <c r="IMH1" s="74"/>
      <c r="IMI1" s="74"/>
      <c r="IMJ1" s="74"/>
      <c r="IMK1" s="74"/>
      <c r="IML1" s="74"/>
      <c r="IMM1" s="74"/>
      <c r="IMN1" s="74"/>
      <c r="IMO1" s="74"/>
      <c r="IMP1" s="74"/>
      <c r="IMQ1" s="74"/>
      <c r="IMR1" s="74"/>
      <c r="IMS1" s="74"/>
      <c r="IMT1" s="74"/>
      <c r="IMU1" s="74"/>
      <c r="IMV1" s="74"/>
      <c r="IMW1" s="74"/>
      <c r="IMX1" s="74"/>
      <c r="IMY1" s="74"/>
      <c r="IMZ1" s="74"/>
      <c r="INA1" s="74"/>
      <c r="INB1" s="74"/>
      <c r="INC1" s="74"/>
      <c r="IND1" s="74"/>
      <c r="INE1" s="74"/>
      <c r="INF1" s="74"/>
      <c r="ING1" s="74"/>
      <c r="INH1" s="74"/>
      <c r="INI1" s="74"/>
      <c r="INJ1" s="74"/>
      <c r="INK1" s="74"/>
      <c r="INL1" s="74"/>
      <c r="INM1" s="74"/>
      <c r="INN1" s="74"/>
      <c r="INO1" s="74"/>
      <c r="INP1" s="74"/>
      <c r="INQ1" s="74"/>
      <c r="INR1" s="74"/>
      <c r="INS1" s="74"/>
      <c r="INT1" s="74"/>
      <c r="INU1" s="74"/>
      <c r="INV1" s="74"/>
      <c r="INW1" s="74"/>
      <c r="INX1" s="74"/>
      <c r="INY1" s="74"/>
      <c r="INZ1" s="74"/>
      <c r="IOA1" s="74"/>
      <c r="IOB1" s="74"/>
      <c r="IOC1" s="74"/>
      <c r="IOD1" s="74"/>
      <c r="IOE1" s="74"/>
      <c r="IOF1" s="74"/>
      <c r="IOG1" s="74"/>
      <c r="IOH1" s="74"/>
      <c r="IOI1" s="74"/>
      <c r="IOJ1" s="74"/>
      <c r="IOK1" s="74"/>
      <c r="IOL1" s="74"/>
      <c r="IOM1" s="74"/>
      <c r="ION1" s="74"/>
      <c r="IOO1" s="74"/>
      <c r="IOP1" s="74"/>
      <c r="IOQ1" s="74"/>
      <c r="IOR1" s="74"/>
      <c r="IOS1" s="74"/>
      <c r="IOT1" s="74"/>
      <c r="IOU1" s="74"/>
      <c r="IOV1" s="74"/>
      <c r="IOW1" s="74"/>
      <c r="IOX1" s="74"/>
      <c r="IOY1" s="74"/>
      <c r="IOZ1" s="74"/>
      <c r="IPA1" s="74"/>
      <c r="IPB1" s="74"/>
      <c r="IPC1" s="74"/>
      <c r="IPD1" s="74"/>
      <c r="IPE1" s="74"/>
      <c r="IPF1" s="74"/>
      <c r="IPG1" s="74"/>
      <c r="IPH1" s="74"/>
      <c r="IPI1" s="74"/>
      <c r="IPJ1" s="74"/>
      <c r="IPK1" s="74"/>
      <c r="IPL1" s="74"/>
      <c r="IPM1" s="74"/>
      <c r="IPN1" s="74"/>
      <c r="IPO1" s="74"/>
      <c r="IPP1" s="74"/>
      <c r="IPQ1" s="74"/>
      <c r="IPR1" s="74"/>
      <c r="IPS1" s="74"/>
      <c r="IPT1" s="74"/>
      <c r="IPU1" s="74"/>
      <c r="IPV1" s="74"/>
      <c r="IPW1" s="74"/>
      <c r="IPX1" s="74"/>
      <c r="IPY1" s="74"/>
      <c r="IPZ1" s="74"/>
      <c r="IQA1" s="74"/>
      <c r="IQB1" s="74"/>
      <c r="IQC1" s="74"/>
      <c r="IQD1" s="74"/>
      <c r="IQE1" s="74"/>
      <c r="IQF1" s="74"/>
      <c r="IQG1" s="74"/>
      <c r="IQH1" s="74"/>
      <c r="IQI1" s="74"/>
      <c r="IQJ1" s="74"/>
      <c r="IQK1" s="74"/>
      <c r="IQL1" s="74"/>
      <c r="IQM1" s="74"/>
      <c r="IQN1" s="74"/>
      <c r="IQO1" s="74"/>
      <c r="IQP1" s="74"/>
      <c r="IQQ1" s="74"/>
      <c r="IQR1" s="74"/>
      <c r="IQS1" s="74"/>
      <c r="IQT1" s="74"/>
      <c r="IQU1" s="74"/>
      <c r="IQV1" s="74"/>
      <c r="IQW1" s="74"/>
      <c r="IQX1" s="74"/>
      <c r="IQY1" s="74"/>
      <c r="IQZ1" s="74"/>
      <c r="IRA1" s="74"/>
      <c r="IRB1" s="74"/>
      <c r="IRC1" s="74"/>
      <c r="IRD1" s="74"/>
      <c r="IRE1" s="74"/>
      <c r="IRF1" s="74"/>
      <c r="IRG1" s="74"/>
      <c r="IRH1" s="74"/>
      <c r="IRI1" s="74"/>
      <c r="IRJ1" s="74"/>
      <c r="IRK1" s="74"/>
      <c r="IRL1" s="74"/>
      <c r="IRM1" s="74"/>
      <c r="IRN1" s="74"/>
      <c r="IRO1" s="74"/>
      <c r="IRP1" s="74"/>
      <c r="IRQ1" s="74"/>
      <c r="IRR1" s="74"/>
      <c r="IRS1" s="74"/>
      <c r="IRT1" s="74"/>
      <c r="IRU1" s="74"/>
      <c r="IRV1" s="74"/>
      <c r="IRW1" s="74"/>
      <c r="IRX1" s="74"/>
      <c r="IRY1" s="74"/>
      <c r="IRZ1" s="74"/>
      <c r="ISA1" s="74"/>
      <c r="ISB1" s="74"/>
      <c r="ISC1" s="74"/>
      <c r="ISD1" s="74"/>
      <c r="ISE1" s="74"/>
      <c r="ISF1" s="74"/>
      <c r="ISG1" s="74"/>
      <c r="ISH1" s="74"/>
      <c r="ISI1" s="74"/>
      <c r="ISJ1" s="74"/>
      <c r="ISK1" s="74"/>
      <c r="ISL1" s="74"/>
      <c r="ISM1" s="74"/>
      <c r="ISN1" s="74"/>
      <c r="ISO1" s="74"/>
      <c r="ISP1" s="74"/>
      <c r="ISQ1" s="74"/>
      <c r="ISR1" s="74"/>
      <c r="ISS1" s="74"/>
      <c r="IST1" s="74"/>
      <c r="ISU1" s="74"/>
      <c r="ISV1" s="74"/>
      <c r="ISW1" s="74"/>
      <c r="ISX1" s="74"/>
      <c r="ISY1" s="74"/>
      <c r="ISZ1" s="74"/>
      <c r="ITA1" s="74"/>
      <c r="ITB1" s="74"/>
      <c r="ITC1" s="74"/>
      <c r="ITD1" s="74"/>
      <c r="ITE1" s="74"/>
      <c r="ITF1" s="74"/>
      <c r="ITG1" s="74"/>
      <c r="ITH1" s="74"/>
      <c r="ITI1" s="74"/>
      <c r="ITJ1" s="74"/>
      <c r="ITK1" s="74"/>
      <c r="ITL1" s="74"/>
      <c r="ITM1" s="74"/>
      <c r="ITN1" s="74"/>
      <c r="ITO1" s="74"/>
      <c r="ITP1" s="74"/>
      <c r="ITQ1" s="74"/>
      <c r="ITR1" s="74"/>
      <c r="ITS1" s="74"/>
      <c r="ITT1" s="74"/>
      <c r="ITU1" s="74"/>
      <c r="ITV1" s="74"/>
      <c r="ITW1" s="74"/>
      <c r="ITX1" s="74"/>
      <c r="ITY1" s="74"/>
      <c r="ITZ1" s="74"/>
      <c r="IUA1" s="74"/>
      <c r="IUB1" s="74"/>
      <c r="IUC1" s="74"/>
      <c r="IUD1" s="74"/>
      <c r="IUE1" s="74"/>
      <c r="IUF1" s="74"/>
      <c r="IUG1" s="74"/>
      <c r="IUH1" s="74"/>
      <c r="IUI1" s="74"/>
      <c r="IUJ1" s="74"/>
      <c r="IUK1" s="74"/>
      <c r="IUL1" s="74"/>
      <c r="IUM1" s="74"/>
      <c r="IUN1" s="74"/>
      <c r="IUO1" s="74"/>
      <c r="IUP1" s="74"/>
      <c r="IUQ1" s="74"/>
      <c r="IUR1" s="74"/>
      <c r="IUS1" s="74"/>
      <c r="IUT1" s="74"/>
      <c r="IUU1" s="74"/>
      <c r="IUV1" s="74"/>
      <c r="IUW1" s="74"/>
      <c r="IUX1" s="74"/>
      <c r="IUY1" s="74"/>
      <c r="IUZ1" s="74"/>
      <c r="IVA1" s="74"/>
      <c r="IVB1" s="74"/>
      <c r="IVC1" s="74"/>
      <c r="IVD1" s="74"/>
      <c r="IVE1" s="74"/>
      <c r="IVF1" s="74"/>
      <c r="IVG1" s="74"/>
      <c r="IVH1" s="74"/>
      <c r="IVI1" s="74"/>
      <c r="IVJ1" s="74"/>
      <c r="IVK1" s="74"/>
      <c r="IVL1" s="74"/>
      <c r="IVM1" s="74"/>
      <c r="IVN1" s="74"/>
      <c r="IVO1" s="74"/>
      <c r="IVP1" s="74"/>
      <c r="IVQ1" s="74"/>
      <c r="IVR1" s="74"/>
      <c r="IVS1" s="74"/>
      <c r="IVT1" s="74"/>
      <c r="IVU1" s="74"/>
      <c r="IVV1" s="74"/>
      <c r="IVW1" s="74"/>
      <c r="IVX1" s="74"/>
      <c r="IVY1" s="74"/>
      <c r="IVZ1" s="74"/>
      <c r="IWA1" s="74"/>
      <c r="IWB1" s="74"/>
      <c r="IWC1" s="74"/>
      <c r="IWD1" s="74"/>
      <c r="IWE1" s="74"/>
      <c r="IWF1" s="74"/>
      <c r="IWG1" s="74"/>
      <c r="IWH1" s="74"/>
      <c r="IWI1" s="74"/>
      <c r="IWJ1" s="74"/>
      <c r="IWK1" s="74"/>
      <c r="IWL1" s="74"/>
      <c r="IWM1" s="74"/>
      <c r="IWN1" s="74"/>
      <c r="IWO1" s="74"/>
      <c r="IWP1" s="74"/>
      <c r="IWQ1" s="74"/>
      <c r="IWR1" s="74"/>
      <c r="IWS1" s="74"/>
      <c r="IWT1" s="74"/>
      <c r="IWU1" s="74"/>
      <c r="IWV1" s="74"/>
      <c r="IWW1" s="74"/>
      <c r="IWX1" s="74"/>
      <c r="IWY1" s="74"/>
      <c r="IWZ1" s="74"/>
      <c r="IXA1" s="74"/>
      <c r="IXB1" s="74"/>
      <c r="IXC1" s="74"/>
      <c r="IXD1" s="74"/>
      <c r="IXE1" s="74"/>
      <c r="IXF1" s="74"/>
      <c r="IXG1" s="74"/>
      <c r="IXH1" s="74"/>
      <c r="IXI1" s="74"/>
      <c r="IXJ1" s="74"/>
      <c r="IXK1" s="74"/>
      <c r="IXL1" s="74"/>
      <c r="IXM1" s="74"/>
      <c r="IXN1" s="74"/>
      <c r="IXO1" s="74"/>
      <c r="IXP1" s="74"/>
      <c r="IXQ1" s="74"/>
      <c r="IXR1" s="74"/>
      <c r="IXS1" s="74"/>
      <c r="IXT1" s="74"/>
      <c r="IXU1" s="74"/>
      <c r="IXV1" s="74"/>
      <c r="IXW1" s="74"/>
      <c r="IXX1" s="74"/>
      <c r="IXY1" s="74"/>
      <c r="IXZ1" s="74"/>
      <c r="IYA1" s="74"/>
      <c r="IYB1" s="74"/>
      <c r="IYC1" s="74"/>
      <c r="IYD1" s="74"/>
      <c r="IYE1" s="74"/>
      <c r="IYF1" s="74"/>
      <c r="IYG1" s="74"/>
      <c r="IYH1" s="74"/>
      <c r="IYI1" s="74"/>
      <c r="IYJ1" s="74"/>
      <c r="IYK1" s="74"/>
      <c r="IYL1" s="74"/>
      <c r="IYM1" s="74"/>
      <c r="IYN1" s="74"/>
      <c r="IYO1" s="74"/>
      <c r="IYP1" s="74"/>
      <c r="IYQ1" s="74"/>
      <c r="IYR1" s="74"/>
      <c r="IYS1" s="74"/>
      <c r="IYT1" s="74"/>
      <c r="IYU1" s="74"/>
      <c r="IYV1" s="74"/>
      <c r="IYW1" s="74"/>
      <c r="IYX1" s="74"/>
      <c r="IYY1" s="74"/>
      <c r="IYZ1" s="74"/>
      <c r="IZA1" s="74"/>
      <c r="IZB1" s="74"/>
      <c r="IZC1" s="74"/>
      <c r="IZD1" s="74"/>
      <c r="IZE1" s="74"/>
      <c r="IZF1" s="74"/>
      <c r="IZG1" s="74"/>
      <c r="IZH1" s="74"/>
      <c r="IZI1" s="74"/>
      <c r="IZJ1" s="74"/>
      <c r="IZK1" s="74"/>
      <c r="IZL1" s="74"/>
      <c r="IZM1" s="74"/>
      <c r="IZN1" s="74"/>
      <c r="IZO1" s="74"/>
      <c r="IZP1" s="74"/>
      <c r="IZQ1" s="74"/>
      <c r="IZR1" s="74"/>
      <c r="IZS1" s="74"/>
      <c r="IZT1" s="74"/>
      <c r="IZU1" s="74"/>
      <c r="IZV1" s="74"/>
      <c r="IZW1" s="74"/>
      <c r="IZX1" s="74"/>
      <c r="IZY1" s="74"/>
      <c r="IZZ1" s="74"/>
      <c r="JAA1" s="74"/>
      <c r="JAB1" s="74"/>
      <c r="JAC1" s="74"/>
      <c r="JAD1" s="74"/>
      <c r="JAE1" s="74"/>
      <c r="JAF1" s="74"/>
      <c r="JAG1" s="74"/>
      <c r="JAH1" s="74"/>
      <c r="JAI1" s="74"/>
      <c r="JAJ1" s="74"/>
      <c r="JAK1" s="74"/>
      <c r="JAL1" s="74"/>
      <c r="JAM1" s="74"/>
      <c r="JAN1" s="74"/>
      <c r="JAO1" s="74"/>
      <c r="JAP1" s="74"/>
      <c r="JAQ1" s="74"/>
      <c r="JAR1" s="74"/>
      <c r="JAS1" s="74"/>
      <c r="JAT1" s="74"/>
      <c r="JAU1" s="74"/>
      <c r="JAV1" s="74"/>
      <c r="JAW1" s="74"/>
      <c r="JAX1" s="74"/>
      <c r="JAY1" s="74"/>
      <c r="JAZ1" s="74"/>
      <c r="JBA1" s="74"/>
      <c r="JBB1" s="74"/>
      <c r="JBC1" s="74"/>
      <c r="JBD1" s="74"/>
      <c r="JBE1" s="74"/>
      <c r="JBF1" s="74"/>
      <c r="JBG1" s="74"/>
      <c r="JBH1" s="74"/>
      <c r="JBI1" s="74"/>
      <c r="JBJ1" s="74"/>
      <c r="JBK1" s="74"/>
      <c r="JBL1" s="74"/>
      <c r="JBM1" s="74"/>
      <c r="JBN1" s="74"/>
      <c r="JBO1" s="74"/>
      <c r="JBP1" s="74"/>
      <c r="JBQ1" s="74"/>
      <c r="JBR1" s="74"/>
      <c r="JBS1" s="74"/>
      <c r="JBT1" s="74"/>
      <c r="JBU1" s="74"/>
      <c r="JBV1" s="74"/>
      <c r="JBW1" s="74"/>
      <c r="JBX1" s="74"/>
      <c r="JBY1" s="74"/>
      <c r="JBZ1" s="74"/>
      <c r="JCA1" s="74"/>
      <c r="JCB1" s="74"/>
      <c r="JCC1" s="74"/>
      <c r="JCD1" s="74"/>
      <c r="JCE1" s="74"/>
      <c r="JCF1" s="74"/>
      <c r="JCG1" s="74"/>
      <c r="JCH1" s="74"/>
      <c r="JCI1" s="74"/>
      <c r="JCJ1" s="74"/>
      <c r="JCK1" s="74"/>
      <c r="JCL1" s="74"/>
      <c r="JCM1" s="74"/>
      <c r="JCN1" s="74"/>
      <c r="JCO1" s="74"/>
      <c r="JCP1" s="74"/>
      <c r="JCQ1" s="74"/>
      <c r="JCR1" s="74"/>
      <c r="JCS1" s="74"/>
      <c r="JCT1" s="74"/>
      <c r="JCU1" s="74"/>
      <c r="JCV1" s="74"/>
      <c r="JCW1" s="74"/>
      <c r="JCX1" s="74"/>
      <c r="JCY1" s="74"/>
      <c r="JCZ1" s="74"/>
      <c r="JDA1" s="74"/>
      <c r="JDB1" s="74"/>
      <c r="JDC1" s="74"/>
      <c r="JDD1" s="74"/>
      <c r="JDE1" s="74"/>
      <c r="JDF1" s="74"/>
      <c r="JDG1" s="74"/>
      <c r="JDH1" s="74"/>
      <c r="JDI1" s="74"/>
      <c r="JDJ1" s="74"/>
      <c r="JDK1" s="74"/>
      <c r="JDL1" s="74"/>
      <c r="JDM1" s="74"/>
      <c r="JDN1" s="74"/>
      <c r="JDO1" s="74"/>
      <c r="JDP1" s="74"/>
      <c r="JDQ1" s="74"/>
      <c r="JDR1" s="74"/>
      <c r="JDS1" s="74"/>
      <c r="JDT1" s="74"/>
      <c r="JDU1" s="74"/>
      <c r="JDV1" s="74"/>
      <c r="JDW1" s="74"/>
      <c r="JDX1" s="74"/>
      <c r="JDY1" s="74"/>
      <c r="JDZ1" s="74"/>
      <c r="JEA1" s="74"/>
      <c r="JEB1" s="74"/>
      <c r="JEC1" s="74"/>
      <c r="JED1" s="74"/>
      <c r="JEE1" s="74"/>
      <c r="JEF1" s="74"/>
      <c r="JEG1" s="74"/>
      <c r="JEH1" s="74"/>
      <c r="JEI1" s="74"/>
      <c r="JEJ1" s="74"/>
      <c r="JEK1" s="74"/>
      <c r="JEL1" s="74"/>
      <c r="JEM1" s="74"/>
      <c r="JEN1" s="74"/>
      <c r="JEO1" s="74"/>
      <c r="JEP1" s="74"/>
      <c r="JEQ1" s="74"/>
      <c r="JER1" s="74"/>
      <c r="JES1" s="74"/>
      <c r="JET1" s="74"/>
      <c r="JEU1" s="74"/>
      <c r="JEV1" s="74"/>
      <c r="JEW1" s="74"/>
      <c r="JEX1" s="74"/>
      <c r="JEY1" s="74"/>
      <c r="JEZ1" s="74"/>
      <c r="JFA1" s="74"/>
      <c r="JFB1" s="74"/>
      <c r="JFC1" s="74"/>
      <c r="JFD1" s="74"/>
      <c r="JFE1" s="74"/>
      <c r="JFF1" s="74"/>
      <c r="JFG1" s="74"/>
      <c r="JFH1" s="74"/>
      <c r="JFI1" s="74"/>
      <c r="JFJ1" s="74"/>
      <c r="JFK1" s="74"/>
      <c r="JFL1" s="74"/>
      <c r="JFM1" s="74"/>
      <c r="JFN1" s="74"/>
      <c r="JFO1" s="74"/>
      <c r="JFP1" s="74"/>
      <c r="JFQ1" s="74"/>
      <c r="JFR1" s="74"/>
      <c r="JFS1" s="74"/>
      <c r="JFT1" s="74"/>
      <c r="JFU1" s="74"/>
      <c r="JFV1" s="74"/>
      <c r="JFW1" s="74"/>
      <c r="JFX1" s="74"/>
      <c r="JFY1" s="74"/>
      <c r="JFZ1" s="74"/>
      <c r="JGA1" s="74"/>
      <c r="JGB1" s="74"/>
      <c r="JGC1" s="74"/>
      <c r="JGD1" s="74"/>
      <c r="JGE1" s="74"/>
      <c r="JGF1" s="74"/>
      <c r="JGG1" s="74"/>
      <c r="JGH1" s="74"/>
      <c r="JGI1" s="74"/>
      <c r="JGJ1" s="74"/>
      <c r="JGK1" s="74"/>
      <c r="JGL1" s="74"/>
      <c r="JGM1" s="74"/>
      <c r="JGN1" s="74"/>
      <c r="JGO1" s="74"/>
      <c r="JGP1" s="74"/>
      <c r="JGQ1" s="74"/>
      <c r="JGR1" s="74"/>
      <c r="JGS1" s="74"/>
      <c r="JGT1" s="74"/>
      <c r="JGU1" s="74"/>
      <c r="JGV1" s="74"/>
      <c r="JGW1" s="74"/>
      <c r="JGX1" s="74"/>
      <c r="JGY1" s="74"/>
      <c r="JGZ1" s="74"/>
      <c r="JHA1" s="74"/>
      <c r="JHB1" s="74"/>
      <c r="JHC1" s="74"/>
      <c r="JHD1" s="74"/>
      <c r="JHE1" s="74"/>
      <c r="JHF1" s="74"/>
      <c r="JHG1" s="74"/>
      <c r="JHH1" s="74"/>
      <c r="JHI1" s="74"/>
      <c r="JHJ1" s="74"/>
      <c r="JHK1" s="74"/>
      <c r="JHL1" s="74"/>
      <c r="JHM1" s="74"/>
      <c r="JHN1" s="74"/>
      <c r="JHO1" s="74"/>
      <c r="JHP1" s="74"/>
      <c r="JHQ1" s="74"/>
      <c r="JHR1" s="74"/>
      <c r="JHS1" s="74"/>
      <c r="JHT1" s="74"/>
      <c r="JHU1" s="74"/>
      <c r="JHV1" s="74"/>
      <c r="JHW1" s="74"/>
      <c r="JHX1" s="74"/>
      <c r="JHY1" s="74"/>
      <c r="JHZ1" s="74"/>
      <c r="JIA1" s="74"/>
      <c r="JIB1" s="74"/>
      <c r="JIC1" s="74"/>
      <c r="JID1" s="74"/>
      <c r="JIE1" s="74"/>
      <c r="JIF1" s="74"/>
      <c r="JIG1" s="74"/>
      <c r="JIH1" s="74"/>
      <c r="JII1" s="74"/>
      <c r="JIJ1" s="74"/>
      <c r="JIK1" s="74"/>
      <c r="JIL1" s="74"/>
      <c r="JIM1" s="74"/>
      <c r="JIN1" s="74"/>
      <c r="JIO1" s="74"/>
      <c r="JIP1" s="74"/>
      <c r="JIQ1" s="74"/>
      <c r="JIR1" s="74"/>
      <c r="JIS1" s="74"/>
      <c r="JIT1" s="74"/>
      <c r="JIU1" s="74"/>
      <c r="JIV1" s="74"/>
      <c r="JIW1" s="74"/>
      <c r="JIX1" s="74"/>
      <c r="JIY1" s="74"/>
      <c r="JIZ1" s="74"/>
      <c r="JJA1" s="74"/>
      <c r="JJB1" s="74"/>
      <c r="JJC1" s="74"/>
      <c r="JJD1" s="74"/>
      <c r="JJE1" s="74"/>
      <c r="JJF1" s="74"/>
      <c r="JJG1" s="74"/>
      <c r="JJH1" s="74"/>
      <c r="JJI1" s="74"/>
      <c r="JJJ1" s="74"/>
      <c r="JJK1" s="74"/>
      <c r="JJL1" s="74"/>
      <c r="JJM1" s="74"/>
      <c r="JJN1" s="74"/>
      <c r="JJO1" s="74"/>
      <c r="JJP1" s="74"/>
      <c r="JJQ1" s="74"/>
      <c r="JJR1" s="74"/>
      <c r="JJS1" s="74"/>
      <c r="JJT1" s="74"/>
      <c r="JJU1" s="74"/>
      <c r="JJV1" s="74"/>
      <c r="JJW1" s="74"/>
      <c r="JJX1" s="74"/>
      <c r="JJY1" s="74"/>
      <c r="JJZ1" s="74"/>
      <c r="JKA1" s="74"/>
      <c r="JKB1" s="74"/>
      <c r="JKC1" s="74"/>
      <c r="JKD1" s="74"/>
      <c r="JKE1" s="74"/>
      <c r="JKF1" s="74"/>
      <c r="JKG1" s="74"/>
      <c r="JKH1" s="74"/>
      <c r="JKI1" s="74"/>
      <c r="JKJ1" s="74"/>
      <c r="JKK1" s="74"/>
      <c r="JKL1" s="74"/>
      <c r="JKM1" s="74"/>
      <c r="JKN1" s="74"/>
      <c r="JKO1" s="74"/>
      <c r="JKP1" s="74"/>
      <c r="JKQ1" s="74"/>
      <c r="JKR1" s="74"/>
      <c r="JKS1" s="74"/>
      <c r="JKT1" s="74"/>
      <c r="JKU1" s="74"/>
      <c r="JKV1" s="74"/>
      <c r="JKW1" s="74"/>
      <c r="JKX1" s="74"/>
      <c r="JKY1" s="74"/>
      <c r="JKZ1" s="74"/>
      <c r="JLA1" s="74"/>
      <c r="JLB1" s="74"/>
      <c r="JLC1" s="74"/>
      <c r="JLD1" s="74"/>
      <c r="JLE1" s="74"/>
      <c r="JLF1" s="74"/>
      <c r="JLG1" s="74"/>
      <c r="JLH1" s="74"/>
      <c r="JLI1" s="74"/>
      <c r="JLJ1" s="74"/>
      <c r="JLK1" s="74"/>
      <c r="JLL1" s="74"/>
      <c r="JLM1" s="74"/>
      <c r="JLN1" s="74"/>
      <c r="JLO1" s="74"/>
      <c r="JLP1" s="74"/>
      <c r="JLQ1" s="74"/>
      <c r="JLR1" s="74"/>
      <c r="JLS1" s="74"/>
      <c r="JLT1" s="74"/>
      <c r="JLU1" s="74"/>
      <c r="JLV1" s="74"/>
      <c r="JLW1" s="74"/>
      <c r="JLX1" s="74"/>
      <c r="JLY1" s="74"/>
      <c r="JLZ1" s="74"/>
      <c r="JMA1" s="74"/>
      <c r="JMB1" s="74"/>
      <c r="JMC1" s="74"/>
      <c r="JMD1" s="74"/>
      <c r="JME1" s="74"/>
      <c r="JMF1" s="74"/>
      <c r="JMG1" s="74"/>
      <c r="JMH1" s="74"/>
      <c r="JMI1" s="74"/>
      <c r="JMJ1" s="74"/>
      <c r="JMK1" s="74"/>
      <c r="JML1" s="74"/>
      <c r="JMM1" s="74"/>
      <c r="JMN1" s="74"/>
      <c r="JMO1" s="74"/>
      <c r="JMP1" s="74"/>
      <c r="JMQ1" s="74"/>
      <c r="JMR1" s="74"/>
      <c r="JMS1" s="74"/>
      <c r="JMT1" s="74"/>
      <c r="JMU1" s="74"/>
      <c r="JMV1" s="74"/>
      <c r="JMW1" s="74"/>
      <c r="JMX1" s="74"/>
      <c r="JMY1" s="74"/>
      <c r="JMZ1" s="74"/>
      <c r="JNA1" s="74"/>
      <c r="JNB1" s="74"/>
      <c r="JNC1" s="74"/>
      <c r="JND1" s="74"/>
      <c r="JNE1" s="74"/>
      <c r="JNF1" s="74"/>
      <c r="JNG1" s="74"/>
      <c r="JNH1" s="74"/>
      <c r="JNI1" s="74"/>
      <c r="JNJ1" s="74"/>
      <c r="JNK1" s="74"/>
      <c r="JNL1" s="74"/>
      <c r="JNM1" s="74"/>
      <c r="JNN1" s="74"/>
      <c r="JNO1" s="74"/>
      <c r="JNP1" s="74"/>
      <c r="JNQ1" s="74"/>
      <c r="JNR1" s="74"/>
      <c r="JNS1" s="74"/>
      <c r="JNT1" s="74"/>
      <c r="JNU1" s="74"/>
      <c r="JNV1" s="74"/>
      <c r="JNW1" s="74"/>
      <c r="JNX1" s="74"/>
      <c r="JNY1" s="74"/>
      <c r="JNZ1" s="74"/>
      <c r="JOA1" s="74"/>
      <c r="JOB1" s="74"/>
      <c r="JOC1" s="74"/>
      <c r="JOD1" s="74"/>
      <c r="JOE1" s="74"/>
      <c r="JOF1" s="74"/>
      <c r="JOG1" s="74"/>
      <c r="JOH1" s="74"/>
      <c r="JOI1" s="74"/>
      <c r="JOJ1" s="74"/>
      <c r="JOK1" s="74"/>
      <c r="JOL1" s="74"/>
      <c r="JOM1" s="74"/>
      <c r="JON1" s="74"/>
      <c r="JOO1" s="74"/>
      <c r="JOP1" s="74"/>
      <c r="JOQ1" s="74"/>
      <c r="JOR1" s="74"/>
      <c r="JOS1" s="74"/>
      <c r="JOT1" s="74"/>
      <c r="JOU1" s="74"/>
      <c r="JOV1" s="74"/>
      <c r="JOW1" s="74"/>
      <c r="JOX1" s="74"/>
      <c r="JOY1" s="74"/>
      <c r="JOZ1" s="74"/>
      <c r="JPA1" s="74"/>
      <c r="JPB1" s="74"/>
      <c r="JPC1" s="74"/>
      <c r="JPD1" s="74"/>
      <c r="JPE1" s="74"/>
      <c r="JPF1" s="74"/>
      <c r="JPG1" s="74"/>
      <c r="JPH1" s="74"/>
      <c r="JPI1" s="74"/>
      <c r="JPJ1" s="74"/>
      <c r="JPK1" s="74"/>
      <c r="JPL1" s="74"/>
      <c r="JPM1" s="74"/>
      <c r="JPN1" s="74"/>
      <c r="JPO1" s="74"/>
      <c r="JPP1" s="74"/>
      <c r="JPQ1" s="74"/>
      <c r="JPR1" s="74"/>
      <c r="JPS1" s="74"/>
      <c r="JPT1" s="74"/>
      <c r="JPU1" s="74"/>
      <c r="JPV1" s="74"/>
      <c r="JPW1" s="74"/>
      <c r="JPX1" s="74"/>
      <c r="JPY1" s="74"/>
      <c r="JPZ1" s="74"/>
      <c r="JQA1" s="74"/>
      <c r="JQB1" s="74"/>
      <c r="JQC1" s="74"/>
      <c r="JQD1" s="74"/>
      <c r="JQE1" s="74"/>
      <c r="JQF1" s="74"/>
      <c r="JQG1" s="74"/>
      <c r="JQH1" s="74"/>
      <c r="JQI1" s="74"/>
      <c r="JQJ1" s="74"/>
      <c r="JQK1" s="74"/>
      <c r="JQL1" s="74"/>
      <c r="JQM1" s="74"/>
      <c r="JQN1" s="74"/>
      <c r="JQO1" s="74"/>
      <c r="JQP1" s="74"/>
      <c r="JQQ1" s="74"/>
      <c r="JQR1" s="74"/>
      <c r="JQS1" s="74"/>
      <c r="JQT1" s="74"/>
      <c r="JQU1" s="74"/>
      <c r="JQV1" s="74"/>
      <c r="JQW1" s="74"/>
      <c r="JQX1" s="74"/>
      <c r="JQY1" s="74"/>
      <c r="JQZ1" s="74"/>
      <c r="JRA1" s="74"/>
      <c r="JRB1" s="74"/>
      <c r="JRC1" s="74"/>
      <c r="JRD1" s="74"/>
      <c r="JRE1" s="74"/>
      <c r="JRF1" s="74"/>
      <c r="JRG1" s="74"/>
      <c r="JRH1" s="74"/>
      <c r="JRI1" s="74"/>
      <c r="JRJ1" s="74"/>
      <c r="JRK1" s="74"/>
      <c r="JRL1" s="74"/>
      <c r="JRM1" s="74"/>
      <c r="JRN1" s="74"/>
      <c r="JRO1" s="74"/>
      <c r="JRP1" s="74"/>
      <c r="JRQ1" s="74"/>
      <c r="JRR1" s="74"/>
      <c r="JRS1" s="74"/>
      <c r="JRT1" s="74"/>
      <c r="JRU1" s="74"/>
      <c r="JRV1" s="74"/>
      <c r="JRW1" s="74"/>
      <c r="JRX1" s="74"/>
      <c r="JRY1" s="74"/>
      <c r="JRZ1" s="74"/>
      <c r="JSA1" s="74"/>
      <c r="JSB1" s="74"/>
      <c r="JSC1" s="74"/>
      <c r="JSD1" s="74"/>
      <c r="JSE1" s="74"/>
      <c r="JSF1" s="74"/>
      <c r="JSG1" s="74"/>
      <c r="JSH1" s="74"/>
      <c r="JSI1" s="74"/>
      <c r="JSJ1" s="74"/>
      <c r="JSK1" s="74"/>
      <c r="JSL1" s="74"/>
      <c r="JSM1" s="74"/>
      <c r="JSN1" s="74"/>
      <c r="JSO1" s="74"/>
      <c r="JSP1" s="74"/>
      <c r="JSQ1" s="74"/>
      <c r="JSR1" s="74"/>
      <c r="JSS1" s="74"/>
      <c r="JST1" s="74"/>
      <c r="JSU1" s="74"/>
      <c r="JSV1" s="74"/>
      <c r="JSW1" s="74"/>
      <c r="JSX1" s="74"/>
      <c r="JSY1" s="74"/>
      <c r="JSZ1" s="74"/>
      <c r="JTA1" s="74"/>
      <c r="JTB1" s="74"/>
      <c r="JTC1" s="74"/>
      <c r="JTD1" s="74"/>
      <c r="JTE1" s="74"/>
      <c r="JTF1" s="74"/>
      <c r="JTG1" s="74"/>
      <c r="JTH1" s="74"/>
      <c r="JTI1" s="74"/>
      <c r="JTJ1" s="74"/>
      <c r="JTK1" s="74"/>
      <c r="JTL1" s="74"/>
      <c r="JTM1" s="74"/>
      <c r="JTN1" s="74"/>
      <c r="JTO1" s="74"/>
      <c r="JTP1" s="74"/>
      <c r="JTQ1" s="74"/>
      <c r="JTR1" s="74"/>
      <c r="JTS1" s="74"/>
      <c r="JTT1" s="74"/>
      <c r="JTU1" s="74"/>
      <c r="JTV1" s="74"/>
      <c r="JTW1" s="74"/>
      <c r="JTX1" s="74"/>
      <c r="JTY1" s="74"/>
      <c r="JTZ1" s="74"/>
      <c r="JUA1" s="74"/>
      <c r="JUB1" s="74"/>
      <c r="JUC1" s="74"/>
      <c r="JUD1" s="74"/>
      <c r="JUE1" s="74"/>
      <c r="JUF1" s="74"/>
      <c r="JUG1" s="74"/>
      <c r="JUH1" s="74"/>
      <c r="JUI1" s="74"/>
      <c r="JUJ1" s="74"/>
      <c r="JUK1" s="74"/>
      <c r="JUL1" s="74"/>
      <c r="JUM1" s="74"/>
      <c r="JUN1" s="74"/>
      <c r="JUO1" s="74"/>
      <c r="JUP1" s="74"/>
      <c r="JUQ1" s="74"/>
      <c r="JUR1" s="74"/>
      <c r="JUS1" s="74"/>
      <c r="JUT1" s="74"/>
      <c r="JUU1" s="74"/>
      <c r="JUV1" s="74"/>
      <c r="JUW1" s="74"/>
      <c r="JUX1" s="74"/>
      <c r="JUY1" s="74"/>
      <c r="JUZ1" s="74"/>
      <c r="JVA1" s="74"/>
      <c r="JVB1" s="74"/>
      <c r="JVC1" s="74"/>
      <c r="JVD1" s="74"/>
      <c r="JVE1" s="74"/>
      <c r="JVF1" s="74"/>
      <c r="JVG1" s="74"/>
      <c r="JVH1" s="74"/>
      <c r="JVI1" s="74"/>
      <c r="JVJ1" s="74"/>
      <c r="JVK1" s="74"/>
      <c r="JVL1" s="74"/>
      <c r="JVM1" s="74"/>
      <c r="JVN1" s="74"/>
      <c r="JVO1" s="74"/>
      <c r="JVP1" s="74"/>
      <c r="JVQ1" s="74"/>
      <c r="JVR1" s="74"/>
      <c r="JVS1" s="74"/>
      <c r="JVT1" s="74"/>
      <c r="JVU1" s="74"/>
      <c r="JVV1" s="74"/>
      <c r="JVW1" s="74"/>
      <c r="JVX1" s="74"/>
      <c r="JVY1" s="74"/>
      <c r="JVZ1" s="74"/>
      <c r="JWA1" s="74"/>
      <c r="JWB1" s="74"/>
      <c r="JWC1" s="74"/>
      <c r="JWD1" s="74"/>
      <c r="JWE1" s="74"/>
      <c r="JWF1" s="74"/>
      <c r="JWG1" s="74"/>
      <c r="JWH1" s="74"/>
      <c r="JWI1" s="74"/>
      <c r="JWJ1" s="74"/>
      <c r="JWK1" s="74"/>
      <c r="JWL1" s="74"/>
      <c r="JWM1" s="74"/>
      <c r="JWN1" s="74"/>
      <c r="JWO1" s="74"/>
      <c r="JWP1" s="74"/>
      <c r="JWQ1" s="74"/>
      <c r="JWR1" s="74"/>
      <c r="JWS1" s="74"/>
      <c r="JWT1" s="74"/>
      <c r="JWU1" s="74"/>
      <c r="JWV1" s="74"/>
      <c r="JWW1" s="74"/>
      <c r="JWX1" s="74"/>
      <c r="JWY1" s="74"/>
      <c r="JWZ1" s="74"/>
      <c r="JXA1" s="74"/>
      <c r="JXB1" s="74"/>
      <c r="JXC1" s="74"/>
      <c r="JXD1" s="74"/>
      <c r="JXE1" s="74"/>
      <c r="JXF1" s="74"/>
      <c r="JXG1" s="74"/>
      <c r="JXH1" s="74"/>
      <c r="JXI1" s="74"/>
      <c r="JXJ1" s="74"/>
      <c r="JXK1" s="74"/>
      <c r="JXL1" s="74"/>
      <c r="JXM1" s="74"/>
      <c r="JXN1" s="74"/>
      <c r="JXO1" s="74"/>
      <c r="JXP1" s="74"/>
      <c r="JXQ1" s="74"/>
      <c r="JXR1" s="74"/>
      <c r="JXS1" s="74"/>
      <c r="JXT1" s="74"/>
      <c r="JXU1" s="74"/>
      <c r="JXV1" s="74"/>
      <c r="JXW1" s="74"/>
      <c r="JXX1" s="74"/>
      <c r="JXY1" s="74"/>
      <c r="JXZ1" s="74"/>
      <c r="JYA1" s="74"/>
      <c r="JYB1" s="74"/>
      <c r="JYC1" s="74"/>
      <c r="JYD1" s="74"/>
      <c r="JYE1" s="74"/>
      <c r="JYF1" s="74"/>
      <c r="JYG1" s="74"/>
      <c r="JYH1" s="74"/>
      <c r="JYI1" s="74"/>
      <c r="JYJ1" s="74"/>
      <c r="JYK1" s="74"/>
      <c r="JYL1" s="74"/>
      <c r="JYM1" s="74"/>
      <c r="JYN1" s="74"/>
      <c r="JYO1" s="74"/>
      <c r="JYP1" s="74"/>
      <c r="JYQ1" s="74"/>
      <c r="JYR1" s="74"/>
      <c r="JYS1" s="74"/>
      <c r="JYT1" s="74"/>
      <c r="JYU1" s="74"/>
      <c r="JYV1" s="74"/>
      <c r="JYW1" s="74"/>
      <c r="JYX1" s="74"/>
      <c r="JYY1" s="74"/>
      <c r="JYZ1" s="74"/>
      <c r="JZA1" s="74"/>
      <c r="JZB1" s="74"/>
      <c r="JZC1" s="74"/>
      <c r="JZD1" s="74"/>
      <c r="JZE1" s="74"/>
      <c r="JZF1" s="74"/>
      <c r="JZG1" s="74"/>
      <c r="JZH1" s="74"/>
      <c r="JZI1" s="74"/>
      <c r="JZJ1" s="74"/>
      <c r="JZK1" s="74"/>
      <c r="JZL1" s="74"/>
      <c r="JZM1" s="74"/>
      <c r="JZN1" s="74"/>
      <c r="JZO1" s="74"/>
      <c r="JZP1" s="74"/>
      <c r="JZQ1" s="74"/>
      <c r="JZR1" s="74"/>
      <c r="JZS1" s="74"/>
      <c r="JZT1" s="74"/>
      <c r="JZU1" s="74"/>
      <c r="JZV1" s="74"/>
      <c r="JZW1" s="74"/>
      <c r="JZX1" s="74"/>
      <c r="JZY1" s="74"/>
      <c r="JZZ1" s="74"/>
      <c r="KAA1" s="74"/>
      <c r="KAB1" s="74"/>
      <c r="KAC1" s="74"/>
      <c r="KAD1" s="74"/>
      <c r="KAE1" s="74"/>
      <c r="KAF1" s="74"/>
      <c r="KAG1" s="74"/>
      <c r="KAH1" s="74"/>
      <c r="KAI1" s="74"/>
      <c r="KAJ1" s="74"/>
      <c r="KAK1" s="74"/>
      <c r="KAL1" s="74"/>
      <c r="KAM1" s="74"/>
      <c r="KAN1" s="74"/>
      <c r="KAO1" s="74"/>
      <c r="KAP1" s="74"/>
      <c r="KAQ1" s="74"/>
      <c r="KAR1" s="74"/>
      <c r="KAS1" s="74"/>
      <c r="KAT1" s="74"/>
      <c r="KAU1" s="74"/>
      <c r="KAV1" s="74"/>
      <c r="KAW1" s="74"/>
      <c r="KAX1" s="74"/>
      <c r="KAY1" s="74"/>
      <c r="KAZ1" s="74"/>
      <c r="KBA1" s="74"/>
      <c r="KBB1" s="74"/>
      <c r="KBC1" s="74"/>
      <c r="KBD1" s="74"/>
      <c r="KBE1" s="74"/>
      <c r="KBF1" s="74"/>
      <c r="KBG1" s="74"/>
      <c r="KBH1" s="74"/>
      <c r="KBI1" s="74"/>
      <c r="KBJ1" s="74"/>
      <c r="KBK1" s="74"/>
      <c r="KBL1" s="74"/>
      <c r="KBM1" s="74"/>
      <c r="KBN1" s="74"/>
      <c r="KBO1" s="74"/>
      <c r="KBP1" s="74"/>
      <c r="KBQ1" s="74"/>
      <c r="KBR1" s="74"/>
      <c r="KBS1" s="74"/>
      <c r="KBT1" s="74"/>
      <c r="KBU1" s="74"/>
      <c r="KBV1" s="74"/>
      <c r="KBW1" s="74"/>
      <c r="KBX1" s="74"/>
      <c r="KBY1" s="74"/>
      <c r="KBZ1" s="74"/>
      <c r="KCA1" s="74"/>
      <c r="KCB1" s="74"/>
      <c r="KCC1" s="74"/>
      <c r="KCD1" s="74"/>
      <c r="KCE1" s="74"/>
      <c r="KCF1" s="74"/>
      <c r="KCG1" s="74"/>
      <c r="KCH1" s="74"/>
      <c r="KCI1" s="74"/>
      <c r="KCJ1" s="74"/>
      <c r="KCK1" s="74"/>
      <c r="KCL1" s="74"/>
      <c r="KCM1" s="74"/>
      <c r="KCN1" s="74"/>
      <c r="KCO1" s="74"/>
      <c r="KCP1" s="74"/>
      <c r="KCQ1" s="74"/>
      <c r="KCR1" s="74"/>
      <c r="KCS1" s="74"/>
      <c r="KCT1" s="74"/>
      <c r="KCU1" s="74"/>
      <c r="KCV1" s="74"/>
      <c r="KCW1" s="74"/>
      <c r="KCX1" s="74"/>
      <c r="KCY1" s="74"/>
      <c r="KCZ1" s="74"/>
      <c r="KDA1" s="74"/>
      <c r="KDB1" s="74"/>
      <c r="KDC1" s="74"/>
      <c r="KDD1" s="74"/>
      <c r="KDE1" s="74"/>
      <c r="KDF1" s="74"/>
      <c r="KDG1" s="74"/>
      <c r="KDH1" s="74"/>
      <c r="KDI1" s="74"/>
      <c r="KDJ1" s="74"/>
      <c r="KDK1" s="74"/>
      <c r="KDL1" s="74"/>
      <c r="KDM1" s="74"/>
      <c r="KDN1" s="74"/>
      <c r="KDO1" s="74"/>
      <c r="KDP1" s="74"/>
      <c r="KDQ1" s="74"/>
      <c r="KDR1" s="74"/>
      <c r="KDS1" s="74"/>
      <c r="KDT1" s="74"/>
      <c r="KDU1" s="74"/>
      <c r="KDV1" s="74"/>
      <c r="KDW1" s="74"/>
      <c r="KDX1" s="74"/>
      <c r="KDY1" s="74"/>
      <c r="KDZ1" s="74"/>
      <c r="KEA1" s="74"/>
      <c r="KEB1" s="74"/>
      <c r="KEC1" s="74"/>
      <c r="KED1" s="74"/>
      <c r="KEE1" s="74"/>
      <c r="KEF1" s="74"/>
      <c r="KEG1" s="74"/>
      <c r="KEH1" s="74"/>
      <c r="KEI1" s="74"/>
      <c r="KEJ1" s="74"/>
      <c r="KEK1" s="74"/>
      <c r="KEL1" s="74"/>
      <c r="KEM1" s="74"/>
      <c r="KEN1" s="74"/>
      <c r="KEO1" s="74"/>
      <c r="KEP1" s="74"/>
      <c r="KEQ1" s="74"/>
      <c r="KER1" s="74"/>
      <c r="KES1" s="74"/>
      <c r="KET1" s="74"/>
      <c r="KEU1" s="74"/>
      <c r="KEV1" s="74"/>
      <c r="KEW1" s="74"/>
      <c r="KEX1" s="74"/>
      <c r="KEY1" s="74"/>
      <c r="KEZ1" s="74"/>
      <c r="KFA1" s="74"/>
      <c r="KFB1" s="74"/>
      <c r="KFC1" s="74"/>
      <c r="KFD1" s="74"/>
      <c r="KFE1" s="74"/>
      <c r="KFF1" s="74"/>
      <c r="KFG1" s="74"/>
      <c r="KFH1" s="74"/>
      <c r="KFI1" s="74"/>
      <c r="KFJ1" s="74"/>
      <c r="KFK1" s="74"/>
      <c r="KFL1" s="74"/>
      <c r="KFM1" s="74"/>
      <c r="KFN1" s="74"/>
      <c r="KFO1" s="74"/>
      <c r="KFP1" s="74"/>
      <c r="KFQ1" s="74"/>
      <c r="KFR1" s="74"/>
      <c r="KFS1" s="74"/>
      <c r="KFT1" s="74"/>
      <c r="KFU1" s="74"/>
      <c r="KFV1" s="74"/>
      <c r="KFW1" s="74"/>
      <c r="KFX1" s="74"/>
      <c r="KFY1" s="74"/>
      <c r="KFZ1" s="74"/>
      <c r="KGA1" s="74"/>
      <c r="KGB1" s="74"/>
      <c r="KGC1" s="74"/>
      <c r="KGD1" s="74"/>
      <c r="KGE1" s="74"/>
      <c r="KGF1" s="74"/>
      <c r="KGG1" s="74"/>
      <c r="KGH1" s="74"/>
      <c r="KGI1" s="74"/>
      <c r="KGJ1" s="74"/>
      <c r="KGK1" s="74"/>
      <c r="KGL1" s="74"/>
      <c r="KGM1" s="74"/>
      <c r="KGN1" s="74"/>
      <c r="KGO1" s="74"/>
      <c r="KGP1" s="74"/>
      <c r="KGQ1" s="74"/>
      <c r="KGR1" s="74"/>
      <c r="KGS1" s="74"/>
      <c r="KGT1" s="74"/>
      <c r="KGU1" s="74"/>
      <c r="KGV1" s="74"/>
      <c r="KGW1" s="74"/>
      <c r="KGX1" s="74"/>
      <c r="KGY1" s="74"/>
      <c r="KGZ1" s="74"/>
      <c r="KHA1" s="74"/>
      <c r="KHB1" s="74"/>
      <c r="KHC1" s="74"/>
      <c r="KHD1" s="74"/>
      <c r="KHE1" s="74"/>
      <c r="KHF1" s="74"/>
      <c r="KHG1" s="74"/>
      <c r="KHH1" s="74"/>
      <c r="KHI1" s="74"/>
      <c r="KHJ1" s="74"/>
      <c r="KHK1" s="74"/>
      <c r="KHL1" s="74"/>
      <c r="KHM1" s="74"/>
      <c r="KHN1" s="74"/>
      <c r="KHO1" s="74"/>
      <c r="KHP1" s="74"/>
      <c r="KHQ1" s="74"/>
      <c r="KHR1" s="74"/>
      <c r="KHS1" s="74"/>
      <c r="KHT1" s="74"/>
      <c r="KHU1" s="74"/>
      <c r="KHV1" s="74"/>
      <c r="KHW1" s="74"/>
      <c r="KHX1" s="74"/>
      <c r="KHY1" s="74"/>
      <c r="KHZ1" s="74"/>
      <c r="KIA1" s="74"/>
      <c r="KIB1" s="74"/>
      <c r="KIC1" s="74"/>
      <c r="KID1" s="74"/>
      <c r="KIE1" s="74"/>
      <c r="KIF1" s="74"/>
      <c r="KIG1" s="74"/>
      <c r="KIH1" s="74"/>
      <c r="KII1" s="74"/>
      <c r="KIJ1" s="74"/>
      <c r="KIK1" s="74"/>
      <c r="KIL1" s="74"/>
      <c r="KIM1" s="74"/>
      <c r="KIN1" s="74"/>
      <c r="KIO1" s="74"/>
      <c r="KIP1" s="74"/>
      <c r="KIQ1" s="74"/>
      <c r="KIR1" s="74"/>
      <c r="KIS1" s="74"/>
      <c r="KIT1" s="74"/>
      <c r="KIU1" s="74"/>
      <c r="KIV1" s="74"/>
      <c r="KIW1" s="74"/>
      <c r="KIX1" s="74"/>
      <c r="KIY1" s="74"/>
      <c r="KIZ1" s="74"/>
      <c r="KJA1" s="74"/>
      <c r="KJB1" s="74"/>
      <c r="KJC1" s="74"/>
      <c r="KJD1" s="74"/>
      <c r="KJE1" s="74"/>
      <c r="KJF1" s="74"/>
      <c r="KJG1" s="74"/>
      <c r="KJH1" s="74"/>
      <c r="KJI1" s="74"/>
      <c r="KJJ1" s="74"/>
      <c r="KJK1" s="74"/>
      <c r="KJL1" s="74"/>
      <c r="KJM1" s="74"/>
      <c r="KJN1" s="74"/>
      <c r="KJO1" s="74"/>
      <c r="KJP1" s="74"/>
      <c r="KJQ1" s="74"/>
      <c r="KJR1" s="74"/>
      <c r="KJS1" s="74"/>
      <c r="KJT1" s="74"/>
      <c r="KJU1" s="74"/>
      <c r="KJV1" s="74"/>
      <c r="KJW1" s="74"/>
      <c r="KJX1" s="74"/>
      <c r="KJY1" s="74"/>
      <c r="KJZ1" s="74"/>
      <c r="KKA1" s="74"/>
      <c r="KKB1" s="74"/>
      <c r="KKC1" s="74"/>
      <c r="KKD1" s="74"/>
      <c r="KKE1" s="74"/>
      <c r="KKF1" s="74"/>
      <c r="KKG1" s="74"/>
      <c r="KKH1" s="74"/>
      <c r="KKI1" s="74"/>
      <c r="KKJ1" s="74"/>
      <c r="KKK1" s="74"/>
      <c r="KKL1" s="74"/>
      <c r="KKM1" s="74"/>
      <c r="KKN1" s="74"/>
      <c r="KKO1" s="74"/>
      <c r="KKP1" s="74"/>
      <c r="KKQ1" s="74"/>
      <c r="KKR1" s="74"/>
      <c r="KKS1" s="74"/>
      <c r="KKT1" s="74"/>
      <c r="KKU1" s="74"/>
      <c r="KKV1" s="74"/>
      <c r="KKW1" s="74"/>
      <c r="KKX1" s="74"/>
      <c r="KKY1" s="74"/>
      <c r="KKZ1" s="74"/>
      <c r="KLA1" s="74"/>
      <c r="KLB1" s="74"/>
      <c r="KLC1" s="74"/>
      <c r="KLD1" s="74"/>
      <c r="KLE1" s="74"/>
      <c r="KLF1" s="74"/>
      <c r="KLG1" s="74"/>
      <c r="KLH1" s="74"/>
      <c r="KLI1" s="74"/>
      <c r="KLJ1" s="74"/>
      <c r="KLK1" s="74"/>
      <c r="KLL1" s="74"/>
      <c r="KLM1" s="74"/>
      <c r="KLN1" s="74"/>
      <c r="KLO1" s="74"/>
      <c r="KLP1" s="74"/>
      <c r="KLQ1" s="74"/>
      <c r="KLR1" s="74"/>
      <c r="KLS1" s="74"/>
      <c r="KLT1" s="74"/>
      <c r="KLU1" s="74"/>
      <c r="KLV1" s="74"/>
      <c r="KLW1" s="74"/>
      <c r="KLX1" s="74"/>
      <c r="KLY1" s="74"/>
      <c r="KLZ1" s="74"/>
      <c r="KMA1" s="74"/>
      <c r="KMB1" s="74"/>
      <c r="KMC1" s="74"/>
      <c r="KMD1" s="74"/>
      <c r="KME1" s="74"/>
      <c r="KMF1" s="74"/>
      <c r="KMG1" s="74"/>
      <c r="KMH1" s="74"/>
      <c r="KMI1" s="74"/>
      <c r="KMJ1" s="74"/>
      <c r="KMK1" s="74"/>
      <c r="KML1" s="74"/>
      <c r="KMM1" s="74"/>
      <c r="KMN1" s="74"/>
      <c r="KMO1" s="74"/>
      <c r="KMP1" s="74"/>
      <c r="KMQ1" s="74"/>
      <c r="KMR1" s="74"/>
      <c r="KMS1" s="74"/>
      <c r="KMT1" s="74"/>
      <c r="KMU1" s="74"/>
      <c r="KMV1" s="74"/>
      <c r="KMW1" s="74"/>
      <c r="KMX1" s="74"/>
      <c r="KMY1" s="74"/>
      <c r="KMZ1" s="74"/>
      <c r="KNA1" s="74"/>
      <c r="KNB1" s="74"/>
      <c r="KNC1" s="74"/>
      <c r="KND1" s="74"/>
      <c r="KNE1" s="74"/>
      <c r="KNF1" s="74"/>
      <c r="KNG1" s="74"/>
      <c r="KNH1" s="74"/>
      <c r="KNI1" s="74"/>
      <c r="KNJ1" s="74"/>
      <c r="KNK1" s="74"/>
      <c r="KNL1" s="74"/>
      <c r="KNM1" s="74"/>
      <c r="KNN1" s="74"/>
      <c r="KNO1" s="74"/>
      <c r="KNP1" s="74"/>
      <c r="KNQ1" s="74"/>
      <c r="KNR1" s="74"/>
      <c r="KNS1" s="74"/>
      <c r="KNT1" s="74"/>
      <c r="KNU1" s="74"/>
      <c r="KNV1" s="74"/>
      <c r="KNW1" s="74"/>
      <c r="KNX1" s="74"/>
      <c r="KNY1" s="74"/>
      <c r="KNZ1" s="74"/>
      <c r="KOA1" s="74"/>
      <c r="KOB1" s="74"/>
      <c r="KOC1" s="74"/>
      <c r="KOD1" s="74"/>
      <c r="KOE1" s="74"/>
      <c r="KOF1" s="74"/>
      <c r="KOG1" s="74"/>
      <c r="KOH1" s="74"/>
      <c r="KOI1" s="74"/>
      <c r="KOJ1" s="74"/>
      <c r="KOK1" s="74"/>
      <c r="KOL1" s="74"/>
      <c r="KOM1" s="74"/>
      <c r="KON1" s="74"/>
      <c r="KOO1" s="74"/>
      <c r="KOP1" s="74"/>
      <c r="KOQ1" s="74"/>
      <c r="KOR1" s="74"/>
      <c r="KOS1" s="74"/>
      <c r="KOT1" s="74"/>
      <c r="KOU1" s="74"/>
      <c r="KOV1" s="74"/>
      <c r="KOW1" s="74"/>
      <c r="KOX1" s="74"/>
      <c r="KOY1" s="74"/>
      <c r="KOZ1" s="74"/>
      <c r="KPA1" s="74"/>
      <c r="KPB1" s="74"/>
      <c r="KPC1" s="74"/>
      <c r="KPD1" s="74"/>
      <c r="KPE1" s="74"/>
      <c r="KPF1" s="74"/>
      <c r="KPG1" s="74"/>
      <c r="KPH1" s="74"/>
      <c r="KPI1" s="74"/>
      <c r="KPJ1" s="74"/>
      <c r="KPK1" s="74"/>
      <c r="KPL1" s="74"/>
      <c r="KPM1" s="74"/>
      <c r="KPN1" s="74"/>
      <c r="KPO1" s="74"/>
      <c r="KPP1" s="74"/>
      <c r="KPQ1" s="74"/>
      <c r="KPR1" s="74"/>
      <c r="KPS1" s="74"/>
      <c r="KPT1" s="74"/>
      <c r="KPU1" s="74"/>
      <c r="KPV1" s="74"/>
      <c r="KPW1" s="74"/>
      <c r="KPX1" s="74"/>
      <c r="KPY1" s="74"/>
      <c r="KPZ1" s="74"/>
      <c r="KQA1" s="74"/>
      <c r="KQB1" s="74"/>
      <c r="KQC1" s="74"/>
      <c r="KQD1" s="74"/>
      <c r="KQE1" s="74"/>
      <c r="KQF1" s="74"/>
      <c r="KQG1" s="74"/>
      <c r="KQH1" s="74"/>
      <c r="KQI1" s="74"/>
      <c r="KQJ1" s="74"/>
      <c r="KQK1" s="74"/>
      <c r="KQL1" s="74"/>
      <c r="KQM1" s="74"/>
      <c r="KQN1" s="74"/>
      <c r="KQO1" s="74"/>
      <c r="KQP1" s="74"/>
      <c r="KQQ1" s="74"/>
      <c r="KQR1" s="74"/>
      <c r="KQS1" s="74"/>
      <c r="KQT1" s="74"/>
      <c r="KQU1" s="74"/>
      <c r="KQV1" s="74"/>
      <c r="KQW1" s="74"/>
      <c r="KQX1" s="74"/>
      <c r="KQY1" s="74"/>
      <c r="KQZ1" s="74"/>
      <c r="KRA1" s="74"/>
      <c r="KRB1" s="74"/>
      <c r="KRC1" s="74"/>
      <c r="KRD1" s="74"/>
      <c r="KRE1" s="74"/>
      <c r="KRF1" s="74"/>
      <c r="KRG1" s="74"/>
      <c r="KRH1" s="74"/>
      <c r="KRI1" s="74"/>
      <c r="KRJ1" s="74"/>
      <c r="KRK1" s="74"/>
      <c r="KRL1" s="74"/>
      <c r="KRM1" s="74"/>
      <c r="KRN1" s="74"/>
      <c r="KRO1" s="74"/>
      <c r="KRP1" s="74"/>
      <c r="KRQ1" s="74"/>
      <c r="KRR1" s="74"/>
      <c r="KRS1" s="74"/>
      <c r="KRT1" s="74"/>
      <c r="KRU1" s="74"/>
      <c r="KRV1" s="74"/>
      <c r="KRW1" s="74"/>
      <c r="KRX1" s="74"/>
      <c r="KRY1" s="74"/>
      <c r="KRZ1" s="74"/>
      <c r="KSA1" s="74"/>
      <c r="KSB1" s="74"/>
      <c r="KSC1" s="74"/>
      <c r="KSD1" s="74"/>
      <c r="KSE1" s="74"/>
      <c r="KSF1" s="74"/>
      <c r="KSG1" s="74"/>
      <c r="KSH1" s="74"/>
      <c r="KSI1" s="74"/>
      <c r="KSJ1" s="74"/>
      <c r="KSK1" s="74"/>
      <c r="KSL1" s="74"/>
      <c r="KSM1" s="74"/>
      <c r="KSN1" s="74"/>
      <c r="KSO1" s="74"/>
      <c r="KSP1" s="74"/>
      <c r="KSQ1" s="74"/>
      <c r="KSR1" s="74"/>
      <c r="KSS1" s="74"/>
      <c r="KST1" s="74"/>
      <c r="KSU1" s="74"/>
      <c r="KSV1" s="74"/>
      <c r="KSW1" s="74"/>
      <c r="KSX1" s="74"/>
      <c r="KSY1" s="74"/>
      <c r="KSZ1" s="74"/>
      <c r="KTA1" s="74"/>
      <c r="KTB1" s="74"/>
      <c r="KTC1" s="74"/>
      <c r="KTD1" s="74"/>
      <c r="KTE1" s="74"/>
      <c r="KTF1" s="74"/>
      <c r="KTG1" s="74"/>
      <c r="KTH1" s="74"/>
      <c r="KTI1" s="74"/>
      <c r="KTJ1" s="74"/>
      <c r="KTK1" s="74"/>
      <c r="KTL1" s="74"/>
      <c r="KTM1" s="74"/>
      <c r="KTN1" s="74"/>
      <c r="KTO1" s="74"/>
      <c r="KTP1" s="74"/>
      <c r="KTQ1" s="74"/>
      <c r="KTR1" s="74"/>
      <c r="KTS1" s="74"/>
      <c r="KTT1" s="74"/>
      <c r="KTU1" s="74"/>
      <c r="KTV1" s="74"/>
      <c r="KTW1" s="74"/>
      <c r="KTX1" s="74"/>
      <c r="KTY1" s="74"/>
      <c r="KTZ1" s="74"/>
      <c r="KUA1" s="74"/>
      <c r="KUB1" s="74"/>
      <c r="KUC1" s="74"/>
      <c r="KUD1" s="74"/>
      <c r="KUE1" s="74"/>
      <c r="KUF1" s="74"/>
      <c r="KUG1" s="74"/>
      <c r="KUH1" s="74"/>
      <c r="KUI1" s="74"/>
      <c r="KUJ1" s="74"/>
      <c r="KUK1" s="74"/>
      <c r="KUL1" s="74"/>
      <c r="KUM1" s="74"/>
      <c r="KUN1" s="74"/>
      <c r="KUO1" s="74"/>
      <c r="KUP1" s="74"/>
      <c r="KUQ1" s="74"/>
      <c r="KUR1" s="74"/>
      <c r="KUS1" s="74"/>
      <c r="KUT1" s="74"/>
      <c r="KUU1" s="74"/>
      <c r="KUV1" s="74"/>
      <c r="KUW1" s="74"/>
      <c r="KUX1" s="74"/>
      <c r="KUY1" s="74"/>
      <c r="KUZ1" s="74"/>
      <c r="KVA1" s="74"/>
      <c r="KVB1" s="74"/>
      <c r="KVC1" s="74"/>
      <c r="KVD1" s="74"/>
      <c r="KVE1" s="74"/>
      <c r="KVF1" s="74"/>
      <c r="KVG1" s="74"/>
      <c r="KVH1" s="74"/>
      <c r="KVI1" s="74"/>
      <c r="KVJ1" s="74"/>
      <c r="KVK1" s="74"/>
      <c r="KVL1" s="74"/>
      <c r="KVM1" s="74"/>
      <c r="KVN1" s="74"/>
      <c r="KVO1" s="74"/>
      <c r="KVP1" s="74"/>
      <c r="KVQ1" s="74"/>
      <c r="KVR1" s="74"/>
      <c r="KVS1" s="74"/>
      <c r="KVT1" s="74"/>
      <c r="KVU1" s="74"/>
      <c r="KVV1" s="74"/>
      <c r="KVW1" s="74"/>
      <c r="KVX1" s="74"/>
      <c r="KVY1" s="74"/>
      <c r="KVZ1" s="74"/>
      <c r="KWA1" s="74"/>
      <c r="KWB1" s="74"/>
      <c r="KWC1" s="74"/>
      <c r="KWD1" s="74"/>
      <c r="KWE1" s="74"/>
      <c r="KWF1" s="74"/>
      <c r="KWG1" s="74"/>
      <c r="KWH1" s="74"/>
      <c r="KWI1" s="74"/>
      <c r="KWJ1" s="74"/>
      <c r="KWK1" s="74"/>
      <c r="KWL1" s="74"/>
      <c r="KWM1" s="74"/>
      <c r="KWN1" s="74"/>
      <c r="KWO1" s="74"/>
      <c r="KWP1" s="74"/>
      <c r="KWQ1" s="74"/>
      <c r="KWR1" s="74"/>
      <c r="KWS1" s="74"/>
      <c r="KWT1" s="74"/>
      <c r="KWU1" s="74"/>
      <c r="KWV1" s="74"/>
      <c r="KWW1" s="74"/>
      <c r="KWX1" s="74"/>
      <c r="KWY1" s="74"/>
      <c r="KWZ1" s="74"/>
      <c r="KXA1" s="74"/>
      <c r="KXB1" s="74"/>
      <c r="KXC1" s="74"/>
      <c r="KXD1" s="74"/>
      <c r="KXE1" s="74"/>
      <c r="KXF1" s="74"/>
      <c r="KXG1" s="74"/>
      <c r="KXH1" s="74"/>
      <c r="KXI1" s="74"/>
      <c r="KXJ1" s="74"/>
      <c r="KXK1" s="74"/>
      <c r="KXL1" s="74"/>
      <c r="KXM1" s="74"/>
      <c r="KXN1" s="74"/>
      <c r="KXO1" s="74"/>
      <c r="KXP1" s="74"/>
      <c r="KXQ1" s="74"/>
      <c r="KXR1" s="74"/>
      <c r="KXS1" s="74"/>
      <c r="KXT1" s="74"/>
      <c r="KXU1" s="74"/>
      <c r="KXV1" s="74"/>
      <c r="KXW1" s="74"/>
      <c r="KXX1" s="74"/>
      <c r="KXY1" s="74"/>
      <c r="KXZ1" s="74"/>
      <c r="KYA1" s="74"/>
      <c r="KYB1" s="74"/>
      <c r="KYC1" s="74"/>
      <c r="KYD1" s="74"/>
      <c r="KYE1" s="74"/>
      <c r="KYF1" s="74"/>
      <c r="KYG1" s="74"/>
      <c r="KYH1" s="74"/>
      <c r="KYI1" s="74"/>
      <c r="KYJ1" s="74"/>
      <c r="KYK1" s="74"/>
      <c r="KYL1" s="74"/>
      <c r="KYM1" s="74"/>
      <c r="KYN1" s="74"/>
      <c r="KYO1" s="74"/>
      <c r="KYP1" s="74"/>
      <c r="KYQ1" s="74"/>
      <c r="KYR1" s="74"/>
      <c r="KYS1" s="74"/>
      <c r="KYT1" s="74"/>
      <c r="KYU1" s="74"/>
      <c r="KYV1" s="74"/>
      <c r="KYW1" s="74"/>
      <c r="KYX1" s="74"/>
      <c r="KYY1" s="74"/>
      <c r="KYZ1" s="74"/>
      <c r="KZA1" s="74"/>
      <c r="KZB1" s="74"/>
      <c r="KZC1" s="74"/>
      <c r="KZD1" s="74"/>
      <c r="KZE1" s="74"/>
      <c r="KZF1" s="74"/>
      <c r="KZG1" s="74"/>
      <c r="KZH1" s="74"/>
      <c r="KZI1" s="74"/>
      <c r="KZJ1" s="74"/>
      <c r="KZK1" s="74"/>
      <c r="KZL1" s="74"/>
      <c r="KZM1" s="74"/>
      <c r="KZN1" s="74"/>
      <c r="KZO1" s="74"/>
      <c r="KZP1" s="74"/>
      <c r="KZQ1" s="74"/>
      <c r="KZR1" s="74"/>
      <c r="KZS1" s="74"/>
      <c r="KZT1" s="74"/>
      <c r="KZU1" s="74"/>
      <c r="KZV1" s="74"/>
      <c r="KZW1" s="74"/>
      <c r="KZX1" s="74"/>
      <c r="KZY1" s="74"/>
      <c r="KZZ1" s="74"/>
      <c r="LAA1" s="74"/>
      <c r="LAB1" s="74"/>
      <c r="LAC1" s="74"/>
      <c r="LAD1" s="74"/>
      <c r="LAE1" s="74"/>
      <c r="LAF1" s="74"/>
      <c r="LAG1" s="74"/>
      <c r="LAH1" s="74"/>
      <c r="LAI1" s="74"/>
      <c r="LAJ1" s="74"/>
      <c r="LAK1" s="74"/>
      <c r="LAL1" s="74"/>
      <c r="LAM1" s="74"/>
      <c r="LAN1" s="74"/>
      <c r="LAO1" s="74"/>
      <c r="LAP1" s="74"/>
      <c r="LAQ1" s="74"/>
      <c r="LAR1" s="74"/>
      <c r="LAS1" s="74"/>
      <c r="LAT1" s="74"/>
      <c r="LAU1" s="74"/>
      <c r="LAV1" s="74"/>
      <c r="LAW1" s="74"/>
      <c r="LAX1" s="74"/>
      <c r="LAY1" s="74"/>
      <c r="LAZ1" s="74"/>
      <c r="LBA1" s="74"/>
      <c r="LBB1" s="74"/>
      <c r="LBC1" s="74"/>
      <c r="LBD1" s="74"/>
      <c r="LBE1" s="74"/>
      <c r="LBF1" s="74"/>
      <c r="LBG1" s="74"/>
      <c r="LBH1" s="74"/>
      <c r="LBI1" s="74"/>
      <c r="LBJ1" s="74"/>
      <c r="LBK1" s="74"/>
      <c r="LBL1" s="74"/>
      <c r="LBM1" s="74"/>
      <c r="LBN1" s="74"/>
      <c r="LBO1" s="74"/>
      <c r="LBP1" s="74"/>
      <c r="LBQ1" s="74"/>
      <c r="LBR1" s="74"/>
      <c r="LBS1" s="74"/>
      <c r="LBT1" s="74"/>
      <c r="LBU1" s="74"/>
      <c r="LBV1" s="74"/>
      <c r="LBW1" s="74"/>
      <c r="LBX1" s="74"/>
      <c r="LBY1" s="74"/>
      <c r="LBZ1" s="74"/>
      <c r="LCA1" s="74"/>
      <c r="LCB1" s="74"/>
      <c r="LCC1" s="74"/>
      <c r="LCD1" s="74"/>
      <c r="LCE1" s="74"/>
      <c r="LCF1" s="74"/>
      <c r="LCG1" s="74"/>
      <c r="LCH1" s="74"/>
      <c r="LCI1" s="74"/>
      <c r="LCJ1" s="74"/>
      <c r="LCK1" s="74"/>
      <c r="LCL1" s="74"/>
      <c r="LCM1" s="74"/>
      <c r="LCN1" s="74"/>
      <c r="LCO1" s="74"/>
      <c r="LCP1" s="74"/>
      <c r="LCQ1" s="74"/>
      <c r="LCR1" s="74"/>
      <c r="LCS1" s="74"/>
      <c r="LCT1" s="74"/>
      <c r="LCU1" s="74"/>
      <c r="LCV1" s="74"/>
      <c r="LCW1" s="74"/>
      <c r="LCX1" s="74"/>
      <c r="LCY1" s="74"/>
      <c r="LCZ1" s="74"/>
      <c r="LDA1" s="74"/>
      <c r="LDB1" s="74"/>
      <c r="LDC1" s="74"/>
      <c r="LDD1" s="74"/>
      <c r="LDE1" s="74"/>
      <c r="LDF1" s="74"/>
      <c r="LDG1" s="74"/>
      <c r="LDH1" s="74"/>
      <c r="LDI1" s="74"/>
      <c r="LDJ1" s="74"/>
      <c r="LDK1" s="74"/>
      <c r="LDL1" s="74"/>
      <c r="LDM1" s="74"/>
      <c r="LDN1" s="74"/>
      <c r="LDO1" s="74"/>
      <c r="LDP1" s="74"/>
      <c r="LDQ1" s="74"/>
      <c r="LDR1" s="74"/>
      <c r="LDS1" s="74"/>
      <c r="LDT1" s="74"/>
      <c r="LDU1" s="74"/>
      <c r="LDV1" s="74"/>
      <c r="LDW1" s="74"/>
      <c r="LDX1" s="74"/>
      <c r="LDY1" s="74"/>
      <c r="LDZ1" s="74"/>
      <c r="LEA1" s="74"/>
      <c r="LEB1" s="74"/>
      <c r="LEC1" s="74"/>
      <c r="LED1" s="74"/>
      <c r="LEE1" s="74"/>
      <c r="LEF1" s="74"/>
      <c r="LEG1" s="74"/>
      <c r="LEH1" s="74"/>
      <c r="LEI1" s="74"/>
      <c r="LEJ1" s="74"/>
      <c r="LEK1" s="74"/>
      <c r="LEL1" s="74"/>
      <c r="LEM1" s="74"/>
      <c r="LEN1" s="74"/>
      <c r="LEO1" s="74"/>
      <c r="LEP1" s="74"/>
      <c r="LEQ1" s="74"/>
      <c r="LER1" s="74"/>
      <c r="LES1" s="74"/>
      <c r="LET1" s="74"/>
      <c r="LEU1" s="74"/>
      <c r="LEV1" s="74"/>
      <c r="LEW1" s="74"/>
      <c r="LEX1" s="74"/>
      <c r="LEY1" s="74"/>
      <c r="LEZ1" s="74"/>
      <c r="LFA1" s="74"/>
      <c r="LFB1" s="74"/>
      <c r="LFC1" s="74"/>
      <c r="LFD1" s="74"/>
      <c r="LFE1" s="74"/>
      <c r="LFF1" s="74"/>
      <c r="LFG1" s="74"/>
      <c r="LFH1" s="74"/>
      <c r="LFI1" s="74"/>
      <c r="LFJ1" s="74"/>
      <c r="LFK1" s="74"/>
      <c r="LFL1" s="74"/>
      <c r="LFM1" s="74"/>
      <c r="LFN1" s="74"/>
      <c r="LFO1" s="74"/>
      <c r="LFP1" s="74"/>
      <c r="LFQ1" s="74"/>
      <c r="LFR1" s="74"/>
      <c r="LFS1" s="74"/>
      <c r="LFT1" s="74"/>
      <c r="LFU1" s="74"/>
      <c r="LFV1" s="74"/>
      <c r="LFW1" s="74"/>
      <c r="LFX1" s="74"/>
      <c r="LFY1" s="74"/>
      <c r="LFZ1" s="74"/>
      <c r="LGA1" s="74"/>
      <c r="LGB1" s="74"/>
      <c r="LGC1" s="74"/>
      <c r="LGD1" s="74"/>
      <c r="LGE1" s="74"/>
      <c r="LGF1" s="74"/>
      <c r="LGG1" s="74"/>
      <c r="LGH1" s="74"/>
      <c r="LGI1" s="74"/>
      <c r="LGJ1" s="74"/>
      <c r="LGK1" s="74"/>
      <c r="LGL1" s="74"/>
      <c r="LGM1" s="74"/>
      <c r="LGN1" s="74"/>
      <c r="LGO1" s="74"/>
      <c r="LGP1" s="74"/>
      <c r="LGQ1" s="74"/>
      <c r="LGR1" s="74"/>
      <c r="LGS1" s="74"/>
      <c r="LGT1" s="74"/>
      <c r="LGU1" s="74"/>
      <c r="LGV1" s="74"/>
      <c r="LGW1" s="74"/>
      <c r="LGX1" s="74"/>
      <c r="LGY1" s="74"/>
      <c r="LGZ1" s="74"/>
      <c r="LHA1" s="74"/>
      <c r="LHB1" s="74"/>
      <c r="LHC1" s="74"/>
      <c r="LHD1" s="74"/>
      <c r="LHE1" s="74"/>
      <c r="LHF1" s="74"/>
      <c r="LHG1" s="74"/>
      <c r="LHH1" s="74"/>
      <c r="LHI1" s="74"/>
      <c r="LHJ1" s="74"/>
      <c r="LHK1" s="74"/>
      <c r="LHL1" s="74"/>
      <c r="LHM1" s="74"/>
      <c r="LHN1" s="74"/>
      <c r="LHO1" s="74"/>
      <c r="LHP1" s="74"/>
      <c r="LHQ1" s="74"/>
      <c r="LHR1" s="74"/>
      <c r="LHS1" s="74"/>
      <c r="LHT1" s="74"/>
      <c r="LHU1" s="74"/>
      <c r="LHV1" s="74"/>
      <c r="LHW1" s="74"/>
      <c r="LHX1" s="74"/>
      <c r="LHY1" s="74"/>
      <c r="LHZ1" s="74"/>
      <c r="LIA1" s="74"/>
      <c r="LIB1" s="74"/>
      <c r="LIC1" s="74"/>
      <c r="LID1" s="74"/>
      <c r="LIE1" s="74"/>
      <c r="LIF1" s="74"/>
      <c r="LIG1" s="74"/>
      <c r="LIH1" s="74"/>
      <c r="LII1" s="74"/>
      <c r="LIJ1" s="74"/>
      <c r="LIK1" s="74"/>
      <c r="LIL1" s="74"/>
      <c r="LIM1" s="74"/>
      <c r="LIN1" s="74"/>
      <c r="LIO1" s="74"/>
      <c r="LIP1" s="74"/>
      <c r="LIQ1" s="74"/>
      <c r="LIR1" s="74"/>
      <c r="LIS1" s="74"/>
      <c r="LIT1" s="74"/>
      <c r="LIU1" s="74"/>
      <c r="LIV1" s="74"/>
      <c r="LIW1" s="74"/>
      <c r="LIX1" s="74"/>
      <c r="LIY1" s="74"/>
      <c r="LIZ1" s="74"/>
      <c r="LJA1" s="74"/>
      <c r="LJB1" s="74"/>
      <c r="LJC1" s="74"/>
      <c r="LJD1" s="74"/>
      <c r="LJE1" s="74"/>
      <c r="LJF1" s="74"/>
      <c r="LJG1" s="74"/>
      <c r="LJH1" s="74"/>
      <c r="LJI1" s="74"/>
      <c r="LJJ1" s="74"/>
      <c r="LJK1" s="74"/>
      <c r="LJL1" s="74"/>
      <c r="LJM1" s="74"/>
      <c r="LJN1" s="74"/>
      <c r="LJO1" s="74"/>
      <c r="LJP1" s="74"/>
      <c r="LJQ1" s="74"/>
      <c r="LJR1" s="74"/>
      <c r="LJS1" s="74"/>
      <c r="LJT1" s="74"/>
      <c r="LJU1" s="74"/>
      <c r="LJV1" s="74"/>
      <c r="LJW1" s="74"/>
      <c r="LJX1" s="74"/>
      <c r="LJY1" s="74"/>
      <c r="LJZ1" s="74"/>
      <c r="LKA1" s="74"/>
      <c r="LKB1" s="74"/>
      <c r="LKC1" s="74"/>
      <c r="LKD1" s="74"/>
      <c r="LKE1" s="74"/>
      <c r="LKF1" s="74"/>
      <c r="LKG1" s="74"/>
      <c r="LKH1" s="74"/>
      <c r="LKI1" s="74"/>
      <c r="LKJ1" s="74"/>
      <c r="LKK1" s="74"/>
      <c r="LKL1" s="74"/>
      <c r="LKM1" s="74"/>
      <c r="LKN1" s="74"/>
      <c r="LKO1" s="74"/>
      <c r="LKP1" s="74"/>
      <c r="LKQ1" s="74"/>
      <c r="LKR1" s="74"/>
      <c r="LKS1" s="74"/>
      <c r="LKT1" s="74"/>
      <c r="LKU1" s="74"/>
      <c r="LKV1" s="74"/>
      <c r="LKW1" s="74"/>
      <c r="LKX1" s="74"/>
      <c r="LKY1" s="74"/>
      <c r="LKZ1" s="74"/>
      <c r="LLA1" s="74"/>
      <c r="LLB1" s="74"/>
      <c r="LLC1" s="74"/>
      <c r="LLD1" s="74"/>
      <c r="LLE1" s="74"/>
      <c r="LLF1" s="74"/>
      <c r="LLG1" s="74"/>
      <c r="LLH1" s="74"/>
      <c r="LLI1" s="74"/>
      <c r="LLJ1" s="74"/>
      <c r="LLK1" s="74"/>
      <c r="LLL1" s="74"/>
      <c r="LLM1" s="74"/>
      <c r="LLN1" s="74"/>
      <c r="LLO1" s="74"/>
      <c r="LLP1" s="74"/>
      <c r="LLQ1" s="74"/>
      <c r="LLR1" s="74"/>
      <c r="LLS1" s="74"/>
      <c r="LLT1" s="74"/>
      <c r="LLU1" s="74"/>
      <c r="LLV1" s="74"/>
      <c r="LLW1" s="74"/>
      <c r="LLX1" s="74"/>
      <c r="LLY1" s="74"/>
      <c r="LLZ1" s="74"/>
      <c r="LMA1" s="74"/>
      <c r="LMB1" s="74"/>
      <c r="LMC1" s="74"/>
      <c r="LMD1" s="74"/>
      <c r="LME1" s="74"/>
      <c r="LMF1" s="74"/>
      <c r="LMG1" s="74"/>
      <c r="LMH1" s="74"/>
      <c r="LMI1" s="74"/>
      <c r="LMJ1" s="74"/>
      <c r="LMK1" s="74"/>
      <c r="LML1" s="74"/>
      <c r="LMM1" s="74"/>
      <c r="LMN1" s="74"/>
      <c r="LMO1" s="74"/>
      <c r="LMP1" s="74"/>
      <c r="LMQ1" s="74"/>
      <c r="LMR1" s="74"/>
      <c r="LMS1" s="74"/>
      <c r="LMT1" s="74"/>
      <c r="LMU1" s="74"/>
      <c r="LMV1" s="74"/>
      <c r="LMW1" s="74"/>
      <c r="LMX1" s="74"/>
      <c r="LMY1" s="74"/>
      <c r="LMZ1" s="74"/>
      <c r="LNA1" s="74"/>
      <c r="LNB1" s="74"/>
      <c r="LNC1" s="74"/>
      <c r="LND1" s="74"/>
      <c r="LNE1" s="74"/>
      <c r="LNF1" s="74"/>
      <c r="LNG1" s="74"/>
      <c r="LNH1" s="74"/>
      <c r="LNI1" s="74"/>
      <c r="LNJ1" s="74"/>
      <c r="LNK1" s="74"/>
      <c r="LNL1" s="74"/>
      <c r="LNM1" s="74"/>
      <c r="LNN1" s="74"/>
      <c r="LNO1" s="74"/>
      <c r="LNP1" s="74"/>
      <c r="LNQ1" s="74"/>
      <c r="LNR1" s="74"/>
      <c r="LNS1" s="74"/>
      <c r="LNT1" s="74"/>
      <c r="LNU1" s="74"/>
      <c r="LNV1" s="74"/>
      <c r="LNW1" s="74"/>
      <c r="LNX1" s="74"/>
      <c r="LNY1" s="74"/>
      <c r="LNZ1" s="74"/>
      <c r="LOA1" s="74"/>
      <c r="LOB1" s="74"/>
      <c r="LOC1" s="74"/>
      <c r="LOD1" s="74"/>
      <c r="LOE1" s="74"/>
      <c r="LOF1" s="74"/>
      <c r="LOG1" s="74"/>
      <c r="LOH1" s="74"/>
      <c r="LOI1" s="74"/>
      <c r="LOJ1" s="74"/>
      <c r="LOK1" s="74"/>
      <c r="LOL1" s="74"/>
      <c r="LOM1" s="74"/>
      <c r="LON1" s="74"/>
      <c r="LOO1" s="74"/>
      <c r="LOP1" s="74"/>
      <c r="LOQ1" s="74"/>
      <c r="LOR1" s="74"/>
      <c r="LOS1" s="74"/>
      <c r="LOT1" s="74"/>
      <c r="LOU1" s="74"/>
      <c r="LOV1" s="74"/>
      <c r="LOW1" s="74"/>
      <c r="LOX1" s="74"/>
      <c r="LOY1" s="74"/>
      <c r="LOZ1" s="74"/>
      <c r="LPA1" s="74"/>
      <c r="LPB1" s="74"/>
      <c r="LPC1" s="74"/>
      <c r="LPD1" s="74"/>
      <c r="LPE1" s="74"/>
      <c r="LPF1" s="74"/>
      <c r="LPG1" s="74"/>
      <c r="LPH1" s="74"/>
      <c r="LPI1" s="74"/>
      <c r="LPJ1" s="74"/>
      <c r="LPK1" s="74"/>
      <c r="LPL1" s="74"/>
      <c r="LPM1" s="74"/>
      <c r="LPN1" s="74"/>
      <c r="LPO1" s="74"/>
      <c r="LPP1" s="74"/>
      <c r="LPQ1" s="74"/>
      <c r="LPR1" s="74"/>
      <c r="LPS1" s="74"/>
      <c r="LPT1" s="74"/>
      <c r="LPU1" s="74"/>
      <c r="LPV1" s="74"/>
      <c r="LPW1" s="74"/>
      <c r="LPX1" s="74"/>
      <c r="LPY1" s="74"/>
      <c r="LPZ1" s="74"/>
      <c r="LQA1" s="74"/>
      <c r="LQB1" s="74"/>
      <c r="LQC1" s="74"/>
      <c r="LQD1" s="74"/>
      <c r="LQE1" s="74"/>
      <c r="LQF1" s="74"/>
      <c r="LQG1" s="74"/>
      <c r="LQH1" s="74"/>
      <c r="LQI1" s="74"/>
      <c r="LQJ1" s="74"/>
      <c r="LQK1" s="74"/>
      <c r="LQL1" s="74"/>
      <c r="LQM1" s="74"/>
      <c r="LQN1" s="74"/>
      <c r="LQO1" s="74"/>
      <c r="LQP1" s="74"/>
      <c r="LQQ1" s="74"/>
      <c r="LQR1" s="74"/>
      <c r="LQS1" s="74"/>
      <c r="LQT1" s="74"/>
      <c r="LQU1" s="74"/>
      <c r="LQV1" s="74"/>
      <c r="LQW1" s="74"/>
      <c r="LQX1" s="74"/>
      <c r="LQY1" s="74"/>
      <c r="LQZ1" s="74"/>
      <c r="LRA1" s="74"/>
      <c r="LRB1" s="74"/>
      <c r="LRC1" s="74"/>
      <c r="LRD1" s="74"/>
      <c r="LRE1" s="74"/>
      <c r="LRF1" s="74"/>
      <c r="LRG1" s="74"/>
      <c r="LRH1" s="74"/>
      <c r="LRI1" s="74"/>
      <c r="LRJ1" s="74"/>
      <c r="LRK1" s="74"/>
      <c r="LRL1" s="74"/>
      <c r="LRM1" s="74"/>
      <c r="LRN1" s="74"/>
      <c r="LRO1" s="74"/>
      <c r="LRP1" s="74"/>
      <c r="LRQ1" s="74"/>
      <c r="LRR1" s="74"/>
      <c r="LRS1" s="74"/>
      <c r="LRT1" s="74"/>
      <c r="LRU1" s="74"/>
      <c r="LRV1" s="74"/>
      <c r="LRW1" s="74"/>
      <c r="LRX1" s="74"/>
      <c r="LRY1" s="74"/>
      <c r="LRZ1" s="74"/>
      <c r="LSA1" s="74"/>
      <c r="LSB1" s="74"/>
      <c r="LSC1" s="74"/>
      <c r="LSD1" s="74"/>
      <c r="LSE1" s="74"/>
      <c r="LSF1" s="74"/>
      <c r="LSG1" s="74"/>
      <c r="LSH1" s="74"/>
      <c r="LSI1" s="74"/>
      <c r="LSJ1" s="74"/>
      <c r="LSK1" s="74"/>
      <c r="LSL1" s="74"/>
      <c r="LSM1" s="74"/>
      <c r="LSN1" s="74"/>
      <c r="LSO1" s="74"/>
      <c r="LSP1" s="74"/>
      <c r="LSQ1" s="74"/>
      <c r="LSR1" s="74"/>
      <c r="LSS1" s="74"/>
      <c r="LST1" s="74"/>
      <c r="LSU1" s="74"/>
      <c r="LSV1" s="74"/>
      <c r="LSW1" s="74"/>
      <c r="LSX1" s="74"/>
      <c r="LSY1" s="74"/>
      <c r="LSZ1" s="74"/>
      <c r="LTA1" s="74"/>
      <c r="LTB1" s="74"/>
      <c r="LTC1" s="74"/>
      <c r="LTD1" s="74"/>
      <c r="LTE1" s="74"/>
      <c r="LTF1" s="74"/>
      <c r="LTG1" s="74"/>
      <c r="LTH1" s="74"/>
      <c r="LTI1" s="74"/>
      <c r="LTJ1" s="74"/>
      <c r="LTK1" s="74"/>
      <c r="LTL1" s="74"/>
      <c r="LTM1" s="74"/>
      <c r="LTN1" s="74"/>
      <c r="LTO1" s="74"/>
      <c r="LTP1" s="74"/>
      <c r="LTQ1" s="74"/>
      <c r="LTR1" s="74"/>
      <c r="LTS1" s="74"/>
      <c r="LTT1" s="74"/>
      <c r="LTU1" s="74"/>
      <c r="LTV1" s="74"/>
      <c r="LTW1" s="74"/>
      <c r="LTX1" s="74"/>
      <c r="LTY1" s="74"/>
      <c r="LTZ1" s="74"/>
      <c r="LUA1" s="74"/>
      <c r="LUB1" s="74"/>
      <c r="LUC1" s="74"/>
      <c r="LUD1" s="74"/>
      <c r="LUE1" s="74"/>
      <c r="LUF1" s="74"/>
      <c r="LUG1" s="74"/>
      <c r="LUH1" s="74"/>
      <c r="LUI1" s="74"/>
      <c r="LUJ1" s="74"/>
      <c r="LUK1" s="74"/>
      <c r="LUL1" s="74"/>
      <c r="LUM1" s="74"/>
      <c r="LUN1" s="74"/>
      <c r="LUO1" s="74"/>
      <c r="LUP1" s="74"/>
      <c r="LUQ1" s="74"/>
      <c r="LUR1" s="74"/>
      <c r="LUS1" s="74"/>
      <c r="LUT1" s="74"/>
      <c r="LUU1" s="74"/>
      <c r="LUV1" s="74"/>
      <c r="LUW1" s="74"/>
      <c r="LUX1" s="74"/>
      <c r="LUY1" s="74"/>
      <c r="LUZ1" s="74"/>
      <c r="LVA1" s="74"/>
      <c r="LVB1" s="74"/>
      <c r="LVC1" s="74"/>
      <c r="LVD1" s="74"/>
      <c r="LVE1" s="74"/>
      <c r="LVF1" s="74"/>
      <c r="LVG1" s="74"/>
      <c r="LVH1" s="74"/>
      <c r="LVI1" s="74"/>
      <c r="LVJ1" s="74"/>
      <c r="LVK1" s="74"/>
      <c r="LVL1" s="74"/>
      <c r="LVM1" s="74"/>
      <c r="LVN1" s="74"/>
      <c r="LVO1" s="74"/>
      <c r="LVP1" s="74"/>
      <c r="LVQ1" s="74"/>
      <c r="LVR1" s="74"/>
      <c r="LVS1" s="74"/>
      <c r="LVT1" s="74"/>
      <c r="LVU1" s="74"/>
      <c r="LVV1" s="74"/>
      <c r="LVW1" s="74"/>
      <c r="LVX1" s="74"/>
      <c r="LVY1" s="74"/>
      <c r="LVZ1" s="74"/>
      <c r="LWA1" s="74"/>
      <c r="LWB1" s="74"/>
      <c r="LWC1" s="74"/>
      <c r="LWD1" s="74"/>
      <c r="LWE1" s="74"/>
      <c r="LWF1" s="74"/>
      <c r="LWG1" s="74"/>
      <c r="LWH1" s="74"/>
      <c r="LWI1" s="74"/>
      <c r="LWJ1" s="74"/>
      <c r="LWK1" s="74"/>
      <c r="LWL1" s="74"/>
      <c r="LWM1" s="74"/>
      <c r="LWN1" s="74"/>
      <c r="LWO1" s="74"/>
      <c r="LWP1" s="74"/>
      <c r="LWQ1" s="74"/>
      <c r="LWR1" s="74"/>
      <c r="LWS1" s="74"/>
      <c r="LWT1" s="74"/>
      <c r="LWU1" s="74"/>
      <c r="LWV1" s="74"/>
      <c r="LWW1" s="74"/>
      <c r="LWX1" s="74"/>
      <c r="LWY1" s="74"/>
      <c r="LWZ1" s="74"/>
      <c r="LXA1" s="74"/>
      <c r="LXB1" s="74"/>
      <c r="LXC1" s="74"/>
      <c r="LXD1" s="74"/>
      <c r="LXE1" s="74"/>
      <c r="LXF1" s="74"/>
      <c r="LXG1" s="74"/>
      <c r="LXH1" s="74"/>
      <c r="LXI1" s="74"/>
      <c r="LXJ1" s="74"/>
      <c r="LXK1" s="74"/>
      <c r="LXL1" s="74"/>
      <c r="LXM1" s="74"/>
      <c r="LXN1" s="74"/>
      <c r="LXO1" s="74"/>
      <c r="LXP1" s="74"/>
      <c r="LXQ1" s="74"/>
      <c r="LXR1" s="74"/>
      <c r="LXS1" s="74"/>
      <c r="LXT1" s="74"/>
      <c r="LXU1" s="74"/>
      <c r="LXV1" s="74"/>
      <c r="LXW1" s="74"/>
      <c r="LXX1" s="74"/>
      <c r="LXY1" s="74"/>
      <c r="LXZ1" s="74"/>
      <c r="LYA1" s="74"/>
      <c r="LYB1" s="74"/>
      <c r="LYC1" s="74"/>
      <c r="LYD1" s="74"/>
      <c r="LYE1" s="74"/>
      <c r="LYF1" s="74"/>
      <c r="LYG1" s="74"/>
      <c r="LYH1" s="74"/>
      <c r="LYI1" s="74"/>
      <c r="LYJ1" s="74"/>
      <c r="LYK1" s="74"/>
      <c r="LYL1" s="74"/>
      <c r="LYM1" s="74"/>
      <c r="LYN1" s="74"/>
      <c r="LYO1" s="74"/>
      <c r="LYP1" s="74"/>
      <c r="LYQ1" s="74"/>
      <c r="LYR1" s="74"/>
      <c r="LYS1" s="74"/>
      <c r="LYT1" s="74"/>
      <c r="LYU1" s="74"/>
      <c r="LYV1" s="74"/>
      <c r="LYW1" s="74"/>
      <c r="LYX1" s="74"/>
      <c r="LYY1" s="74"/>
      <c r="LYZ1" s="74"/>
      <c r="LZA1" s="74"/>
      <c r="LZB1" s="74"/>
      <c r="LZC1" s="74"/>
      <c r="LZD1" s="74"/>
      <c r="LZE1" s="74"/>
      <c r="LZF1" s="74"/>
      <c r="LZG1" s="74"/>
      <c r="LZH1" s="74"/>
      <c r="LZI1" s="74"/>
      <c r="LZJ1" s="74"/>
      <c r="LZK1" s="74"/>
      <c r="LZL1" s="74"/>
      <c r="LZM1" s="74"/>
      <c r="LZN1" s="74"/>
      <c r="LZO1" s="74"/>
      <c r="LZP1" s="74"/>
      <c r="LZQ1" s="74"/>
      <c r="LZR1" s="74"/>
      <c r="LZS1" s="74"/>
      <c r="LZT1" s="74"/>
      <c r="LZU1" s="74"/>
      <c r="LZV1" s="74"/>
      <c r="LZW1" s="74"/>
      <c r="LZX1" s="74"/>
      <c r="LZY1" s="74"/>
      <c r="LZZ1" s="74"/>
      <c r="MAA1" s="74"/>
      <c r="MAB1" s="74"/>
      <c r="MAC1" s="74"/>
      <c r="MAD1" s="74"/>
      <c r="MAE1" s="74"/>
      <c r="MAF1" s="74"/>
      <c r="MAG1" s="74"/>
      <c r="MAH1" s="74"/>
      <c r="MAI1" s="74"/>
      <c r="MAJ1" s="74"/>
      <c r="MAK1" s="74"/>
      <c r="MAL1" s="74"/>
      <c r="MAM1" s="74"/>
      <c r="MAN1" s="74"/>
      <c r="MAO1" s="74"/>
      <c r="MAP1" s="74"/>
      <c r="MAQ1" s="74"/>
      <c r="MAR1" s="74"/>
      <c r="MAS1" s="74"/>
      <c r="MAT1" s="74"/>
      <c r="MAU1" s="74"/>
      <c r="MAV1" s="74"/>
      <c r="MAW1" s="74"/>
      <c r="MAX1" s="74"/>
      <c r="MAY1" s="74"/>
      <c r="MAZ1" s="74"/>
      <c r="MBA1" s="74"/>
      <c r="MBB1" s="74"/>
      <c r="MBC1" s="74"/>
      <c r="MBD1" s="74"/>
      <c r="MBE1" s="74"/>
      <c r="MBF1" s="74"/>
      <c r="MBG1" s="74"/>
      <c r="MBH1" s="74"/>
      <c r="MBI1" s="74"/>
      <c r="MBJ1" s="74"/>
      <c r="MBK1" s="74"/>
      <c r="MBL1" s="74"/>
      <c r="MBM1" s="74"/>
      <c r="MBN1" s="74"/>
      <c r="MBO1" s="74"/>
      <c r="MBP1" s="74"/>
      <c r="MBQ1" s="74"/>
      <c r="MBR1" s="74"/>
      <c r="MBS1" s="74"/>
      <c r="MBT1" s="74"/>
      <c r="MBU1" s="74"/>
      <c r="MBV1" s="74"/>
      <c r="MBW1" s="74"/>
      <c r="MBX1" s="74"/>
      <c r="MBY1" s="74"/>
      <c r="MBZ1" s="74"/>
      <c r="MCA1" s="74"/>
      <c r="MCB1" s="74"/>
      <c r="MCC1" s="74"/>
      <c r="MCD1" s="74"/>
      <c r="MCE1" s="74"/>
      <c r="MCF1" s="74"/>
      <c r="MCG1" s="74"/>
      <c r="MCH1" s="74"/>
      <c r="MCI1" s="74"/>
      <c r="MCJ1" s="74"/>
      <c r="MCK1" s="74"/>
      <c r="MCL1" s="74"/>
      <c r="MCM1" s="74"/>
      <c r="MCN1" s="74"/>
      <c r="MCO1" s="74"/>
      <c r="MCP1" s="74"/>
      <c r="MCQ1" s="74"/>
      <c r="MCR1" s="74"/>
      <c r="MCS1" s="74"/>
      <c r="MCT1" s="74"/>
      <c r="MCU1" s="74"/>
      <c r="MCV1" s="74"/>
      <c r="MCW1" s="74"/>
      <c r="MCX1" s="74"/>
      <c r="MCY1" s="74"/>
      <c r="MCZ1" s="74"/>
      <c r="MDA1" s="74"/>
      <c r="MDB1" s="74"/>
      <c r="MDC1" s="74"/>
      <c r="MDD1" s="74"/>
      <c r="MDE1" s="74"/>
      <c r="MDF1" s="74"/>
      <c r="MDG1" s="74"/>
      <c r="MDH1" s="74"/>
      <c r="MDI1" s="74"/>
      <c r="MDJ1" s="74"/>
      <c r="MDK1" s="74"/>
      <c r="MDL1" s="74"/>
      <c r="MDM1" s="74"/>
      <c r="MDN1" s="74"/>
      <c r="MDO1" s="74"/>
      <c r="MDP1" s="74"/>
      <c r="MDQ1" s="74"/>
      <c r="MDR1" s="74"/>
      <c r="MDS1" s="74"/>
      <c r="MDT1" s="74"/>
      <c r="MDU1" s="74"/>
      <c r="MDV1" s="74"/>
      <c r="MDW1" s="74"/>
      <c r="MDX1" s="74"/>
      <c r="MDY1" s="74"/>
      <c r="MDZ1" s="74"/>
      <c r="MEA1" s="74"/>
      <c r="MEB1" s="74"/>
      <c r="MEC1" s="74"/>
      <c r="MED1" s="74"/>
      <c r="MEE1" s="74"/>
      <c r="MEF1" s="74"/>
      <c r="MEG1" s="74"/>
      <c r="MEH1" s="74"/>
      <c r="MEI1" s="74"/>
      <c r="MEJ1" s="74"/>
      <c r="MEK1" s="74"/>
      <c r="MEL1" s="74"/>
      <c r="MEM1" s="74"/>
      <c r="MEN1" s="74"/>
      <c r="MEO1" s="74"/>
      <c r="MEP1" s="74"/>
      <c r="MEQ1" s="74"/>
      <c r="MER1" s="74"/>
      <c r="MES1" s="74"/>
      <c r="MET1" s="74"/>
      <c r="MEU1" s="74"/>
      <c r="MEV1" s="74"/>
      <c r="MEW1" s="74"/>
      <c r="MEX1" s="74"/>
      <c r="MEY1" s="74"/>
      <c r="MEZ1" s="74"/>
      <c r="MFA1" s="74"/>
      <c r="MFB1" s="74"/>
      <c r="MFC1" s="74"/>
      <c r="MFD1" s="74"/>
      <c r="MFE1" s="74"/>
      <c r="MFF1" s="74"/>
      <c r="MFG1" s="74"/>
      <c r="MFH1" s="74"/>
      <c r="MFI1" s="74"/>
      <c r="MFJ1" s="74"/>
      <c r="MFK1" s="74"/>
      <c r="MFL1" s="74"/>
      <c r="MFM1" s="74"/>
      <c r="MFN1" s="74"/>
      <c r="MFO1" s="74"/>
      <c r="MFP1" s="74"/>
      <c r="MFQ1" s="74"/>
      <c r="MFR1" s="74"/>
      <c r="MFS1" s="74"/>
      <c r="MFT1" s="74"/>
      <c r="MFU1" s="74"/>
      <c r="MFV1" s="74"/>
      <c r="MFW1" s="74"/>
      <c r="MFX1" s="74"/>
      <c r="MFY1" s="74"/>
      <c r="MFZ1" s="74"/>
      <c r="MGA1" s="74"/>
      <c r="MGB1" s="74"/>
      <c r="MGC1" s="74"/>
      <c r="MGD1" s="74"/>
      <c r="MGE1" s="74"/>
      <c r="MGF1" s="74"/>
      <c r="MGG1" s="74"/>
      <c r="MGH1" s="74"/>
      <c r="MGI1" s="74"/>
      <c r="MGJ1" s="74"/>
      <c r="MGK1" s="74"/>
      <c r="MGL1" s="74"/>
      <c r="MGM1" s="74"/>
      <c r="MGN1" s="74"/>
      <c r="MGO1" s="74"/>
      <c r="MGP1" s="74"/>
      <c r="MGQ1" s="74"/>
      <c r="MGR1" s="74"/>
      <c r="MGS1" s="74"/>
      <c r="MGT1" s="74"/>
      <c r="MGU1" s="74"/>
      <c r="MGV1" s="74"/>
      <c r="MGW1" s="74"/>
      <c r="MGX1" s="74"/>
      <c r="MGY1" s="74"/>
      <c r="MGZ1" s="74"/>
      <c r="MHA1" s="74"/>
      <c r="MHB1" s="74"/>
      <c r="MHC1" s="74"/>
      <c r="MHD1" s="74"/>
      <c r="MHE1" s="74"/>
      <c r="MHF1" s="74"/>
      <c r="MHG1" s="74"/>
      <c r="MHH1" s="74"/>
      <c r="MHI1" s="74"/>
      <c r="MHJ1" s="74"/>
      <c r="MHK1" s="74"/>
      <c r="MHL1" s="74"/>
      <c r="MHM1" s="74"/>
      <c r="MHN1" s="74"/>
      <c r="MHO1" s="74"/>
      <c r="MHP1" s="74"/>
      <c r="MHQ1" s="74"/>
      <c r="MHR1" s="74"/>
      <c r="MHS1" s="74"/>
      <c r="MHT1" s="74"/>
      <c r="MHU1" s="74"/>
      <c r="MHV1" s="74"/>
      <c r="MHW1" s="74"/>
      <c r="MHX1" s="74"/>
      <c r="MHY1" s="74"/>
      <c r="MHZ1" s="74"/>
      <c r="MIA1" s="74"/>
      <c r="MIB1" s="74"/>
      <c r="MIC1" s="74"/>
      <c r="MID1" s="74"/>
      <c r="MIE1" s="74"/>
      <c r="MIF1" s="74"/>
      <c r="MIG1" s="74"/>
      <c r="MIH1" s="74"/>
      <c r="MII1" s="74"/>
      <c r="MIJ1" s="74"/>
      <c r="MIK1" s="74"/>
      <c r="MIL1" s="74"/>
      <c r="MIM1" s="74"/>
      <c r="MIN1" s="74"/>
      <c r="MIO1" s="74"/>
      <c r="MIP1" s="74"/>
      <c r="MIQ1" s="74"/>
      <c r="MIR1" s="74"/>
      <c r="MIS1" s="74"/>
      <c r="MIT1" s="74"/>
      <c r="MIU1" s="74"/>
      <c r="MIV1" s="74"/>
      <c r="MIW1" s="74"/>
      <c r="MIX1" s="74"/>
      <c r="MIY1" s="74"/>
      <c r="MIZ1" s="74"/>
      <c r="MJA1" s="74"/>
      <c r="MJB1" s="74"/>
      <c r="MJC1" s="74"/>
      <c r="MJD1" s="74"/>
      <c r="MJE1" s="74"/>
      <c r="MJF1" s="74"/>
      <c r="MJG1" s="74"/>
      <c r="MJH1" s="74"/>
      <c r="MJI1" s="74"/>
      <c r="MJJ1" s="74"/>
      <c r="MJK1" s="74"/>
      <c r="MJL1" s="74"/>
      <c r="MJM1" s="74"/>
      <c r="MJN1" s="74"/>
      <c r="MJO1" s="74"/>
      <c r="MJP1" s="74"/>
      <c r="MJQ1" s="74"/>
      <c r="MJR1" s="74"/>
      <c r="MJS1" s="74"/>
      <c r="MJT1" s="74"/>
      <c r="MJU1" s="74"/>
      <c r="MJV1" s="74"/>
      <c r="MJW1" s="74"/>
      <c r="MJX1" s="74"/>
      <c r="MJY1" s="74"/>
      <c r="MJZ1" s="74"/>
      <c r="MKA1" s="74"/>
      <c r="MKB1" s="74"/>
      <c r="MKC1" s="74"/>
      <c r="MKD1" s="74"/>
      <c r="MKE1" s="74"/>
      <c r="MKF1" s="74"/>
      <c r="MKG1" s="74"/>
      <c r="MKH1" s="74"/>
      <c r="MKI1" s="74"/>
      <c r="MKJ1" s="74"/>
      <c r="MKK1" s="74"/>
      <c r="MKL1" s="74"/>
      <c r="MKM1" s="74"/>
      <c r="MKN1" s="74"/>
      <c r="MKO1" s="74"/>
      <c r="MKP1" s="74"/>
      <c r="MKQ1" s="74"/>
      <c r="MKR1" s="74"/>
      <c r="MKS1" s="74"/>
      <c r="MKT1" s="74"/>
      <c r="MKU1" s="74"/>
      <c r="MKV1" s="74"/>
      <c r="MKW1" s="74"/>
      <c r="MKX1" s="74"/>
      <c r="MKY1" s="74"/>
      <c r="MKZ1" s="74"/>
      <c r="MLA1" s="74"/>
      <c r="MLB1" s="74"/>
      <c r="MLC1" s="74"/>
      <c r="MLD1" s="74"/>
      <c r="MLE1" s="74"/>
      <c r="MLF1" s="74"/>
      <c r="MLG1" s="74"/>
      <c r="MLH1" s="74"/>
      <c r="MLI1" s="74"/>
      <c r="MLJ1" s="74"/>
      <c r="MLK1" s="74"/>
      <c r="MLL1" s="74"/>
      <c r="MLM1" s="74"/>
      <c r="MLN1" s="74"/>
      <c r="MLO1" s="74"/>
      <c r="MLP1" s="74"/>
      <c r="MLQ1" s="74"/>
      <c r="MLR1" s="74"/>
      <c r="MLS1" s="74"/>
      <c r="MLT1" s="74"/>
      <c r="MLU1" s="74"/>
      <c r="MLV1" s="74"/>
      <c r="MLW1" s="74"/>
      <c r="MLX1" s="74"/>
      <c r="MLY1" s="74"/>
      <c r="MLZ1" s="74"/>
      <c r="MMA1" s="74"/>
      <c r="MMB1" s="74"/>
      <c r="MMC1" s="74"/>
      <c r="MMD1" s="74"/>
      <c r="MME1" s="74"/>
      <c r="MMF1" s="74"/>
      <c r="MMG1" s="74"/>
      <c r="MMH1" s="74"/>
      <c r="MMI1" s="74"/>
      <c r="MMJ1" s="74"/>
      <c r="MMK1" s="74"/>
      <c r="MML1" s="74"/>
      <c r="MMM1" s="74"/>
      <c r="MMN1" s="74"/>
      <c r="MMO1" s="74"/>
      <c r="MMP1" s="74"/>
      <c r="MMQ1" s="74"/>
      <c r="MMR1" s="74"/>
      <c r="MMS1" s="74"/>
      <c r="MMT1" s="74"/>
      <c r="MMU1" s="74"/>
      <c r="MMV1" s="74"/>
      <c r="MMW1" s="74"/>
      <c r="MMX1" s="74"/>
      <c r="MMY1" s="74"/>
      <c r="MMZ1" s="74"/>
      <c r="MNA1" s="74"/>
      <c r="MNB1" s="74"/>
      <c r="MNC1" s="74"/>
      <c r="MND1" s="74"/>
      <c r="MNE1" s="74"/>
      <c r="MNF1" s="74"/>
      <c r="MNG1" s="74"/>
      <c r="MNH1" s="74"/>
      <c r="MNI1" s="74"/>
      <c r="MNJ1" s="74"/>
      <c r="MNK1" s="74"/>
      <c r="MNL1" s="74"/>
      <c r="MNM1" s="74"/>
      <c r="MNN1" s="74"/>
      <c r="MNO1" s="74"/>
      <c r="MNP1" s="74"/>
      <c r="MNQ1" s="74"/>
      <c r="MNR1" s="74"/>
      <c r="MNS1" s="74"/>
      <c r="MNT1" s="74"/>
      <c r="MNU1" s="74"/>
      <c r="MNV1" s="74"/>
      <c r="MNW1" s="74"/>
      <c r="MNX1" s="74"/>
      <c r="MNY1" s="74"/>
      <c r="MNZ1" s="74"/>
      <c r="MOA1" s="74"/>
      <c r="MOB1" s="74"/>
      <c r="MOC1" s="74"/>
      <c r="MOD1" s="74"/>
      <c r="MOE1" s="74"/>
      <c r="MOF1" s="74"/>
      <c r="MOG1" s="74"/>
      <c r="MOH1" s="74"/>
      <c r="MOI1" s="74"/>
      <c r="MOJ1" s="74"/>
      <c r="MOK1" s="74"/>
      <c r="MOL1" s="74"/>
      <c r="MOM1" s="74"/>
      <c r="MON1" s="74"/>
      <c r="MOO1" s="74"/>
      <c r="MOP1" s="74"/>
      <c r="MOQ1" s="74"/>
      <c r="MOR1" s="74"/>
      <c r="MOS1" s="74"/>
      <c r="MOT1" s="74"/>
      <c r="MOU1" s="74"/>
      <c r="MOV1" s="74"/>
      <c r="MOW1" s="74"/>
      <c r="MOX1" s="74"/>
      <c r="MOY1" s="74"/>
      <c r="MOZ1" s="74"/>
      <c r="MPA1" s="74"/>
      <c r="MPB1" s="74"/>
      <c r="MPC1" s="74"/>
      <c r="MPD1" s="74"/>
      <c r="MPE1" s="74"/>
      <c r="MPF1" s="74"/>
      <c r="MPG1" s="74"/>
      <c r="MPH1" s="74"/>
      <c r="MPI1" s="74"/>
      <c r="MPJ1" s="74"/>
      <c r="MPK1" s="74"/>
      <c r="MPL1" s="74"/>
      <c r="MPM1" s="74"/>
      <c r="MPN1" s="74"/>
      <c r="MPO1" s="74"/>
      <c r="MPP1" s="74"/>
      <c r="MPQ1" s="74"/>
      <c r="MPR1" s="74"/>
      <c r="MPS1" s="74"/>
      <c r="MPT1" s="74"/>
      <c r="MPU1" s="74"/>
      <c r="MPV1" s="74"/>
      <c r="MPW1" s="74"/>
      <c r="MPX1" s="74"/>
      <c r="MPY1" s="74"/>
      <c r="MPZ1" s="74"/>
      <c r="MQA1" s="74"/>
      <c r="MQB1" s="74"/>
      <c r="MQC1" s="74"/>
      <c r="MQD1" s="74"/>
      <c r="MQE1" s="74"/>
      <c r="MQF1" s="74"/>
      <c r="MQG1" s="74"/>
      <c r="MQH1" s="74"/>
      <c r="MQI1" s="74"/>
      <c r="MQJ1" s="74"/>
      <c r="MQK1" s="74"/>
      <c r="MQL1" s="74"/>
      <c r="MQM1" s="74"/>
      <c r="MQN1" s="74"/>
      <c r="MQO1" s="74"/>
      <c r="MQP1" s="74"/>
      <c r="MQQ1" s="74"/>
      <c r="MQR1" s="74"/>
      <c r="MQS1" s="74"/>
      <c r="MQT1" s="74"/>
      <c r="MQU1" s="74"/>
      <c r="MQV1" s="74"/>
      <c r="MQW1" s="74"/>
      <c r="MQX1" s="74"/>
      <c r="MQY1" s="74"/>
      <c r="MQZ1" s="74"/>
      <c r="MRA1" s="74"/>
      <c r="MRB1" s="74"/>
      <c r="MRC1" s="74"/>
      <c r="MRD1" s="74"/>
      <c r="MRE1" s="74"/>
      <c r="MRF1" s="74"/>
      <c r="MRG1" s="74"/>
      <c r="MRH1" s="74"/>
      <c r="MRI1" s="74"/>
      <c r="MRJ1" s="74"/>
      <c r="MRK1" s="74"/>
      <c r="MRL1" s="74"/>
      <c r="MRM1" s="74"/>
      <c r="MRN1" s="74"/>
      <c r="MRO1" s="74"/>
      <c r="MRP1" s="74"/>
      <c r="MRQ1" s="74"/>
      <c r="MRR1" s="74"/>
      <c r="MRS1" s="74"/>
      <c r="MRT1" s="74"/>
      <c r="MRU1" s="74"/>
      <c r="MRV1" s="74"/>
      <c r="MRW1" s="74"/>
      <c r="MRX1" s="74"/>
      <c r="MRY1" s="74"/>
      <c r="MRZ1" s="74"/>
      <c r="MSA1" s="74"/>
      <c r="MSB1" s="74"/>
      <c r="MSC1" s="74"/>
      <c r="MSD1" s="74"/>
      <c r="MSE1" s="74"/>
      <c r="MSF1" s="74"/>
      <c r="MSG1" s="74"/>
      <c r="MSH1" s="74"/>
      <c r="MSI1" s="74"/>
      <c r="MSJ1" s="74"/>
      <c r="MSK1" s="74"/>
      <c r="MSL1" s="74"/>
      <c r="MSM1" s="74"/>
      <c r="MSN1" s="74"/>
      <c r="MSO1" s="74"/>
      <c r="MSP1" s="74"/>
      <c r="MSQ1" s="74"/>
      <c r="MSR1" s="74"/>
      <c r="MSS1" s="74"/>
      <c r="MST1" s="74"/>
      <c r="MSU1" s="74"/>
      <c r="MSV1" s="74"/>
      <c r="MSW1" s="74"/>
      <c r="MSX1" s="74"/>
      <c r="MSY1" s="74"/>
      <c r="MSZ1" s="74"/>
      <c r="MTA1" s="74"/>
      <c r="MTB1" s="74"/>
      <c r="MTC1" s="74"/>
      <c r="MTD1" s="74"/>
      <c r="MTE1" s="74"/>
      <c r="MTF1" s="74"/>
      <c r="MTG1" s="74"/>
      <c r="MTH1" s="74"/>
      <c r="MTI1" s="74"/>
      <c r="MTJ1" s="74"/>
      <c r="MTK1" s="74"/>
      <c r="MTL1" s="74"/>
      <c r="MTM1" s="74"/>
      <c r="MTN1" s="74"/>
      <c r="MTO1" s="74"/>
      <c r="MTP1" s="74"/>
      <c r="MTQ1" s="74"/>
      <c r="MTR1" s="74"/>
      <c r="MTS1" s="74"/>
      <c r="MTT1" s="74"/>
      <c r="MTU1" s="74"/>
      <c r="MTV1" s="74"/>
      <c r="MTW1" s="74"/>
      <c r="MTX1" s="74"/>
      <c r="MTY1" s="74"/>
      <c r="MTZ1" s="74"/>
      <c r="MUA1" s="74"/>
      <c r="MUB1" s="74"/>
      <c r="MUC1" s="74"/>
      <c r="MUD1" s="74"/>
      <c r="MUE1" s="74"/>
      <c r="MUF1" s="74"/>
      <c r="MUG1" s="74"/>
      <c r="MUH1" s="74"/>
      <c r="MUI1" s="74"/>
      <c r="MUJ1" s="74"/>
      <c r="MUK1" s="74"/>
      <c r="MUL1" s="74"/>
      <c r="MUM1" s="74"/>
      <c r="MUN1" s="74"/>
      <c r="MUO1" s="74"/>
      <c r="MUP1" s="74"/>
      <c r="MUQ1" s="74"/>
      <c r="MUR1" s="74"/>
      <c r="MUS1" s="74"/>
      <c r="MUT1" s="74"/>
      <c r="MUU1" s="74"/>
      <c r="MUV1" s="74"/>
      <c r="MUW1" s="74"/>
      <c r="MUX1" s="74"/>
      <c r="MUY1" s="74"/>
      <c r="MUZ1" s="74"/>
      <c r="MVA1" s="74"/>
      <c r="MVB1" s="74"/>
      <c r="MVC1" s="74"/>
      <c r="MVD1" s="74"/>
      <c r="MVE1" s="74"/>
      <c r="MVF1" s="74"/>
      <c r="MVG1" s="74"/>
      <c r="MVH1" s="74"/>
      <c r="MVI1" s="74"/>
      <c r="MVJ1" s="74"/>
      <c r="MVK1" s="74"/>
      <c r="MVL1" s="74"/>
      <c r="MVM1" s="74"/>
      <c r="MVN1" s="74"/>
      <c r="MVO1" s="74"/>
      <c r="MVP1" s="74"/>
      <c r="MVQ1" s="74"/>
      <c r="MVR1" s="74"/>
      <c r="MVS1" s="74"/>
      <c r="MVT1" s="74"/>
      <c r="MVU1" s="74"/>
      <c r="MVV1" s="74"/>
      <c r="MVW1" s="74"/>
      <c r="MVX1" s="74"/>
      <c r="MVY1" s="74"/>
      <c r="MVZ1" s="74"/>
      <c r="MWA1" s="74"/>
      <c r="MWB1" s="74"/>
      <c r="MWC1" s="74"/>
      <c r="MWD1" s="74"/>
      <c r="MWE1" s="74"/>
      <c r="MWF1" s="74"/>
      <c r="MWG1" s="74"/>
      <c r="MWH1" s="74"/>
      <c r="MWI1" s="74"/>
      <c r="MWJ1" s="74"/>
      <c r="MWK1" s="74"/>
      <c r="MWL1" s="74"/>
      <c r="MWM1" s="74"/>
      <c r="MWN1" s="74"/>
      <c r="MWO1" s="74"/>
      <c r="MWP1" s="74"/>
      <c r="MWQ1" s="74"/>
      <c r="MWR1" s="74"/>
      <c r="MWS1" s="74"/>
      <c r="MWT1" s="74"/>
      <c r="MWU1" s="74"/>
      <c r="MWV1" s="74"/>
      <c r="MWW1" s="74"/>
      <c r="MWX1" s="74"/>
      <c r="MWY1" s="74"/>
      <c r="MWZ1" s="74"/>
      <c r="MXA1" s="74"/>
      <c r="MXB1" s="74"/>
      <c r="MXC1" s="74"/>
      <c r="MXD1" s="74"/>
      <c r="MXE1" s="74"/>
      <c r="MXF1" s="74"/>
      <c r="MXG1" s="74"/>
      <c r="MXH1" s="74"/>
      <c r="MXI1" s="74"/>
      <c r="MXJ1" s="74"/>
      <c r="MXK1" s="74"/>
      <c r="MXL1" s="74"/>
      <c r="MXM1" s="74"/>
      <c r="MXN1" s="74"/>
      <c r="MXO1" s="74"/>
      <c r="MXP1" s="74"/>
      <c r="MXQ1" s="74"/>
      <c r="MXR1" s="74"/>
      <c r="MXS1" s="74"/>
      <c r="MXT1" s="74"/>
      <c r="MXU1" s="74"/>
      <c r="MXV1" s="74"/>
      <c r="MXW1" s="74"/>
      <c r="MXX1" s="74"/>
      <c r="MXY1" s="74"/>
      <c r="MXZ1" s="74"/>
      <c r="MYA1" s="74"/>
      <c r="MYB1" s="74"/>
      <c r="MYC1" s="74"/>
      <c r="MYD1" s="74"/>
      <c r="MYE1" s="74"/>
      <c r="MYF1" s="74"/>
      <c r="MYG1" s="74"/>
      <c r="MYH1" s="74"/>
      <c r="MYI1" s="74"/>
      <c r="MYJ1" s="74"/>
      <c r="MYK1" s="74"/>
      <c r="MYL1" s="74"/>
      <c r="MYM1" s="74"/>
      <c r="MYN1" s="74"/>
      <c r="MYO1" s="74"/>
      <c r="MYP1" s="74"/>
      <c r="MYQ1" s="74"/>
      <c r="MYR1" s="74"/>
      <c r="MYS1" s="74"/>
      <c r="MYT1" s="74"/>
      <c r="MYU1" s="74"/>
      <c r="MYV1" s="74"/>
      <c r="MYW1" s="74"/>
      <c r="MYX1" s="74"/>
      <c r="MYY1" s="74"/>
      <c r="MYZ1" s="74"/>
      <c r="MZA1" s="74"/>
      <c r="MZB1" s="74"/>
      <c r="MZC1" s="74"/>
      <c r="MZD1" s="74"/>
      <c r="MZE1" s="74"/>
      <c r="MZF1" s="74"/>
      <c r="MZG1" s="74"/>
      <c r="MZH1" s="74"/>
      <c r="MZI1" s="74"/>
      <c r="MZJ1" s="74"/>
      <c r="MZK1" s="74"/>
      <c r="MZL1" s="74"/>
      <c r="MZM1" s="74"/>
      <c r="MZN1" s="74"/>
      <c r="MZO1" s="74"/>
      <c r="MZP1" s="74"/>
      <c r="MZQ1" s="74"/>
      <c r="MZR1" s="74"/>
      <c r="MZS1" s="74"/>
      <c r="MZT1" s="74"/>
      <c r="MZU1" s="74"/>
      <c r="MZV1" s="74"/>
      <c r="MZW1" s="74"/>
      <c r="MZX1" s="74"/>
      <c r="MZY1" s="74"/>
      <c r="MZZ1" s="74"/>
      <c r="NAA1" s="74"/>
      <c r="NAB1" s="74"/>
      <c r="NAC1" s="74"/>
      <c r="NAD1" s="74"/>
      <c r="NAE1" s="74"/>
      <c r="NAF1" s="74"/>
      <c r="NAG1" s="74"/>
      <c r="NAH1" s="74"/>
      <c r="NAI1" s="74"/>
      <c r="NAJ1" s="74"/>
      <c r="NAK1" s="74"/>
      <c r="NAL1" s="74"/>
      <c r="NAM1" s="74"/>
      <c r="NAN1" s="74"/>
      <c r="NAO1" s="74"/>
      <c r="NAP1" s="74"/>
      <c r="NAQ1" s="74"/>
      <c r="NAR1" s="74"/>
      <c r="NAS1" s="74"/>
      <c r="NAT1" s="74"/>
      <c r="NAU1" s="74"/>
      <c r="NAV1" s="74"/>
      <c r="NAW1" s="74"/>
      <c r="NAX1" s="74"/>
      <c r="NAY1" s="74"/>
      <c r="NAZ1" s="74"/>
      <c r="NBA1" s="74"/>
      <c r="NBB1" s="74"/>
      <c r="NBC1" s="74"/>
      <c r="NBD1" s="74"/>
      <c r="NBE1" s="74"/>
      <c r="NBF1" s="74"/>
      <c r="NBG1" s="74"/>
      <c r="NBH1" s="74"/>
      <c r="NBI1" s="74"/>
      <c r="NBJ1" s="74"/>
      <c r="NBK1" s="74"/>
      <c r="NBL1" s="74"/>
      <c r="NBM1" s="74"/>
      <c r="NBN1" s="74"/>
      <c r="NBO1" s="74"/>
      <c r="NBP1" s="74"/>
      <c r="NBQ1" s="74"/>
      <c r="NBR1" s="74"/>
      <c r="NBS1" s="74"/>
      <c r="NBT1" s="74"/>
      <c r="NBU1" s="74"/>
      <c r="NBV1" s="74"/>
      <c r="NBW1" s="74"/>
      <c r="NBX1" s="74"/>
      <c r="NBY1" s="74"/>
      <c r="NBZ1" s="74"/>
      <c r="NCA1" s="74"/>
      <c r="NCB1" s="74"/>
      <c r="NCC1" s="74"/>
      <c r="NCD1" s="74"/>
      <c r="NCE1" s="74"/>
      <c r="NCF1" s="74"/>
      <c r="NCG1" s="74"/>
      <c r="NCH1" s="74"/>
      <c r="NCI1" s="74"/>
      <c r="NCJ1" s="74"/>
      <c r="NCK1" s="74"/>
      <c r="NCL1" s="74"/>
      <c r="NCM1" s="74"/>
      <c r="NCN1" s="74"/>
      <c r="NCO1" s="74"/>
      <c r="NCP1" s="74"/>
      <c r="NCQ1" s="74"/>
      <c r="NCR1" s="74"/>
      <c r="NCS1" s="74"/>
      <c r="NCT1" s="74"/>
      <c r="NCU1" s="74"/>
      <c r="NCV1" s="74"/>
      <c r="NCW1" s="74"/>
      <c r="NCX1" s="74"/>
      <c r="NCY1" s="74"/>
      <c r="NCZ1" s="74"/>
      <c r="NDA1" s="74"/>
      <c r="NDB1" s="74"/>
      <c r="NDC1" s="74"/>
      <c r="NDD1" s="74"/>
      <c r="NDE1" s="74"/>
      <c r="NDF1" s="74"/>
      <c r="NDG1" s="74"/>
      <c r="NDH1" s="74"/>
      <c r="NDI1" s="74"/>
      <c r="NDJ1" s="74"/>
      <c r="NDK1" s="74"/>
      <c r="NDL1" s="74"/>
      <c r="NDM1" s="74"/>
      <c r="NDN1" s="74"/>
      <c r="NDO1" s="74"/>
      <c r="NDP1" s="74"/>
      <c r="NDQ1" s="74"/>
      <c r="NDR1" s="74"/>
      <c r="NDS1" s="74"/>
      <c r="NDT1" s="74"/>
      <c r="NDU1" s="74"/>
      <c r="NDV1" s="74"/>
      <c r="NDW1" s="74"/>
      <c r="NDX1" s="74"/>
      <c r="NDY1" s="74"/>
      <c r="NDZ1" s="74"/>
      <c r="NEA1" s="74"/>
      <c r="NEB1" s="74"/>
      <c r="NEC1" s="74"/>
      <c r="NED1" s="74"/>
      <c r="NEE1" s="74"/>
      <c r="NEF1" s="74"/>
      <c r="NEG1" s="74"/>
      <c r="NEH1" s="74"/>
      <c r="NEI1" s="74"/>
      <c r="NEJ1" s="74"/>
      <c r="NEK1" s="74"/>
      <c r="NEL1" s="74"/>
      <c r="NEM1" s="74"/>
      <c r="NEN1" s="74"/>
      <c r="NEO1" s="74"/>
      <c r="NEP1" s="74"/>
      <c r="NEQ1" s="74"/>
      <c r="NER1" s="74"/>
      <c r="NES1" s="74"/>
      <c r="NET1" s="74"/>
      <c r="NEU1" s="74"/>
      <c r="NEV1" s="74"/>
      <c r="NEW1" s="74"/>
      <c r="NEX1" s="74"/>
      <c r="NEY1" s="74"/>
      <c r="NEZ1" s="74"/>
      <c r="NFA1" s="74"/>
      <c r="NFB1" s="74"/>
      <c r="NFC1" s="74"/>
      <c r="NFD1" s="74"/>
      <c r="NFE1" s="74"/>
      <c r="NFF1" s="74"/>
      <c r="NFG1" s="74"/>
      <c r="NFH1" s="74"/>
      <c r="NFI1" s="74"/>
      <c r="NFJ1" s="74"/>
      <c r="NFK1" s="74"/>
      <c r="NFL1" s="74"/>
      <c r="NFM1" s="74"/>
      <c r="NFN1" s="74"/>
      <c r="NFO1" s="74"/>
      <c r="NFP1" s="74"/>
      <c r="NFQ1" s="74"/>
      <c r="NFR1" s="74"/>
      <c r="NFS1" s="74"/>
      <c r="NFT1" s="74"/>
      <c r="NFU1" s="74"/>
      <c r="NFV1" s="74"/>
      <c r="NFW1" s="74"/>
      <c r="NFX1" s="74"/>
      <c r="NFY1" s="74"/>
      <c r="NFZ1" s="74"/>
      <c r="NGA1" s="74"/>
      <c r="NGB1" s="74"/>
      <c r="NGC1" s="74"/>
      <c r="NGD1" s="74"/>
      <c r="NGE1" s="74"/>
      <c r="NGF1" s="74"/>
      <c r="NGG1" s="74"/>
      <c r="NGH1" s="74"/>
      <c r="NGI1" s="74"/>
      <c r="NGJ1" s="74"/>
      <c r="NGK1" s="74"/>
      <c r="NGL1" s="74"/>
      <c r="NGM1" s="74"/>
      <c r="NGN1" s="74"/>
      <c r="NGO1" s="74"/>
      <c r="NGP1" s="74"/>
      <c r="NGQ1" s="74"/>
      <c r="NGR1" s="74"/>
      <c r="NGS1" s="74"/>
      <c r="NGT1" s="74"/>
      <c r="NGU1" s="74"/>
      <c r="NGV1" s="74"/>
      <c r="NGW1" s="74"/>
      <c r="NGX1" s="74"/>
      <c r="NGY1" s="74"/>
      <c r="NGZ1" s="74"/>
      <c r="NHA1" s="74"/>
      <c r="NHB1" s="74"/>
      <c r="NHC1" s="74"/>
      <c r="NHD1" s="74"/>
      <c r="NHE1" s="74"/>
      <c r="NHF1" s="74"/>
      <c r="NHG1" s="74"/>
      <c r="NHH1" s="74"/>
      <c r="NHI1" s="74"/>
      <c r="NHJ1" s="74"/>
      <c r="NHK1" s="74"/>
      <c r="NHL1" s="74"/>
      <c r="NHM1" s="74"/>
      <c r="NHN1" s="74"/>
      <c r="NHO1" s="74"/>
      <c r="NHP1" s="74"/>
      <c r="NHQ1" s="74"/>
      <c r="NHR1" s="74"/>
      <c r="NHS1" s="74"/>
      <c r="NHT1" s="74"/>
      <c r="NHU1" s="74"/>
      <c r="NHV1" s="74"/>
      <c r="NHW1" s="74"/>
      <c r="NHX1" s="74"/>
      <c r="NHY1" s="74"/>
      <c r="NHZ1" s="74"/>
      <c r="NIA1" s="74"/>
      <c r="NIB1" s="74"/>
      <c r="NIC1" s="74"/>
      <c r="NID1" s="74"/>
      <c r="NIE1" s="74"/>
      <c r="NIF1" s="74"/>
      <c r="NIG1" s="74"/>
      <c r="NIH1" s="74"/>
      <c r="NII1" s="74"/>
      <c r="NIJ1" s="74"/>
      <c r="NIK1" s="74"/>
      <c r="NIL1" s="74"/>
      <c r="NIM1" s="74"/>
      <c r="NIN1" s="74"/>
      <c r="NIO1" s="74"/>
      <c r="NIP1" s="74"/>
      <c r="NIQ1" s="74"/>
      <c r="NIR1" s="74"/>
      <c r="NIS1" s="74"/>
      <c r="NIT1" s="74"/>
      <c r="NIU1" s="74"/>
      <c r="NIV1" s="74"/>
      <c r="NIW1" s="74"/>
      <c r="NIX1" s="74"/>
      <c r="NIY1" s="74"/>
      <c r="NIZ1" s="74"/>
      <c r="NJA1" s="74"/>
      <c r="NJB1" s="74"/>
      <c r="NJC1" s="74"/>
      <c r="NJD1" s="74"/>
      <c r="NJE1" s="74"/>
      <c r="NJF1" s="74"/>
      <c r="NJG1" s="74"/>
      <c r="NJH1" s="74"/>
      <c r="NJI1" s="74"/>
      <c r="NJJ1" s="74"/>
      <c r="NJK1" s="74"/>
      <c r="NJL1" s="74"/>
      <c r="NJM1" s="74"/>
      <c r="NJN1" s="74"/>
      <c r="NJO1" s="74"/>
      <c r="NJP1" s="74"/>
      <c r="NJQ1" s="74"/>
      <c r="NJR1" s="74"/>
      <c r="NJS1" s="74"/>
      <c r="NJT1" s="74"/>
      <c r="NJU1" s="74"/>
      <c r="NJV1" s="74"/>
      <c r="NJW1" s="74"/>
      <c r="NJX1" s="74"/>
      <c r="NJY1" s="74"/>
      <c r="NJZ1" s="74"/>
      <c r="NKA1" s="74"/>
      <c r="NKB1" s="74"/>
      <c r="NKC1" s="74"/>
      <c r="NKD1" s="74"/>
      <c r="NKE1" s="74"/>
      <c r="NKF1" s="74"/>
      <c r="NKG1" s="74"/>
      <c r="NKH1" s="74"/>
      <c r="NKI1" s="74"/>
      <c r="NKJ1" s="74"/>
      <c r="NKK1" s="74"/>
      <c r="NKL1" s="74"/>
      <c r="NKM1" s="74"/>
      <c r="NKN1" s="74"/>
      <c r="NKO1" s="74"/>
      <c r="NKP1" s="74"/>
      <c r="NKQ1" s="74"/>
      <c r="NKR1" s="74"/>
      <c r="NKS1" s="74"/>
      <c r="NKT1" s="74"/>
      <c r="NKU1" s="74"/>
      <c r="NKV1" s="74"/>
      <c r="NKW1" s="74"/>
      <c r="NKX1" s="74"/>
      <c r="NKY1" s="74"/>
      <c r="NKZ1" s="74"/>
      <c r="NLA1" s="74"/>
      <c r="NLB1" s="74"/>
      <c r="NLC1" s="74"/>
      <c r="NLD1" s="74"/>
      <c r="NLE1" s="74"/>
      <c r="NLF1" s="74"/>
      <c r="NLG1" s="74"/>
      <c r="NLH1" s="74"/>
      <c r="NLI1" s="74"/>
      <c r="NLJ1" s="74"/>
      <c r="NLK1" s="74"/>
      <c r="NLL1" s="74"/>
      <c r="NLM1" s="74"/>
      <c r="NLN1" s="74"/>
      <c r="NLO1" s="74"/>
      <c r="NLP1" s="74"/>
      <c r="NLQ1" s="74"/>
      <c r="NLR1" s="74"/>
      <c r="NLS1" s="74"/>
      <c r="NLT1" s="74"/>
      <c r="NLU1" s="74"/>
      <c r="NLV1" s="74"/>
      <c r="NLW1" s="74"/>
      <c r="NLX1" s="74"/>
      <c r="NLY1" s="74"/>
      <c r="NLZ1" s="74"/>
      <c r="NMA1" s="74"/>
      <c r="NMB1" s="74"/>
      <c r="NMC1" s="74"/>
      <c r="NMD1" s="74"/>
      <c r="NME1" s="74"/>
      <c r="NMF1" s="74"/>
      <c r="NMG1" s="74"/>
      <c r="NMH1" s="74"/>
      <c r="NMI1" s="74"/>
      <c r="NMJ1" s="74"/>
      <c r="NMK1" s="74"/>
      <c r="NML1" s="74"/>
      <c r="NMM1" s="74"/>
      <c r="NMN1" s="74"/>
      <c r="NMO1" s="74"/>
      <c r="NMP1" s="74"/>
      <c r="NMQ1" s="74"/>
      <c r="NMR1" s="74"/>
      <c r="NMS1" s="74"/>
      <c r="NMT1" s="74"/>
      <c r="NMU1" s="74"/>
      <c r="NMV1" s="74"/>
      <c r="NMW1" s="74"/>
      <c r="NMX1" s="74"/>
      <c r="NMY1" s="74"/>
      <c r="NMZ1" s="74"/>
      <c r="NNA1" s="74"/>
      <c r="NNB1" s="74"/>
      <c r="NNC1" s="74"/>
      <c r="NND1" s="74"/>
      <c r="NNE1" s="74"/>
      <c r="NNF1" s="74"/>
      <c r="NNG1" s="74"/>
      <c r="NNH1" s="74"/>
      <c r="NNI1" s="74"/>
      <c r="NNJ1" s="74"/>
      <c r="NNK1" s="74"/>
      <c r="NNL1" s="74"/>
      <c r="NNM1" s="74"/>
      <c r="NNN1" s="74"/>
      <c r="NNO1" s="74"/>
      <c r="NNP1" s="74"/>
      <c r="NNQ1" s="74"/>
      <c r="NNR1" s="74"/>
      <c r="NNS1" s="74"/>
      <c r="NNT1" s="74"/>
      <c r="NNU1" s="74"/>
      <c r="NNV1" s="74"/>
      <c r="NNW1" s="74"/>
      <c r="NNX1" s="74"/>
      <c r="NNY1" s="74"/>
      <c r="NNZ1" s="74"/>
      <c r="NOA1" s="74"/>
      <c r="NOB1" s="74"/>
      <c r="NOC1" s="74"/>
      <c r="NOD1" s="74"/>
      <c r="NOE1" s="74"/>
      <c r="NOF1" s="74"/>
      <c r="NOG1" s="74"/>
      <c r="NOH1" s="74"/>
      <c r="NOI1" s="74"/>
      <c r="NOJ1" s="74"/>
      <c r="NOK1" s="74"/>
      <c r="NOL1" s="74"/>
      <c r="NOM1" s="74"/>
      <c r="NON1" s="74"/>
      <c r="NOO1" s="74"/>
      <c r="NOP1" s="74"/>
      <c r="NOQ1" s="74"/>
      <c r="NOR1" s="74"/>
      <c r="NOS1" s="74"/>
      <c r="NOT1" s="74"/>
      <c r="NOU1" s="74"/>
      <c r="NOV1" s="74"/>
      <c r="NOW1" s="74"/>
      <c r="NOX1" s="74"/>
      <c r="NOY1" s="74"/>
      <c r="NOZ1" s="74"/>
      <c r="NPA1" s="74"/>
      <c r="NPB1" s="74"/>
      <c r="NPC1" s="74"/>
      <c r="NPD1" s="74"/>
      <c r="NPE1" s="74"/>
      <c r="NPF1" s="74"/>
      <c r="NPG1" s="74"/>
      <c r="NPH1" s="74"/>
      <c r="NPI1" s="74"/>
      <c r="NPJ1" s="74"/>
      <c r="NPK1" s="74"/>
      <c r="NPL1" s="74"/>
      <c r="NPM1" s="74"/>
      <c r="NPN1" s="74"/>
      <c r="NPO1" s="74"/>
      <c r="NPP1" s="74"/>
      <c r="NPQ1" s="74"/>
      <c r="NPR1" s="74"/>
      <c r="NPS1" s="74"/>
      <c r="NPT1" s="74"/>
      <c r="NPU1" s="74"/>
      <c r="NPV1" s="74"/>
      <c r="NPW1" s="74"/>
      <c r="NPX1" s="74"/>
      <c r="NPY1" s="74"/>
      <c r="NPZ1" s="74"/>
      <c r="NQA1" s="74"/>
      <c r="NQB1" s="74"/>
      <c r="NQC1" s="74"/>
      <c r="NQD1" s="74"/>
      <c r="NQE1" s="74"/>
      <c r="NQF1" s="74"/>
      <c r="NQG1" s="74"/>
      <c r="NQH1" s="74"/>
      <c r="NQI1" s="74"/>
      <c r="NQJ1" s="74"/>
      <c r="NQK1" s="74"/>
      <c r="NQL1" s="74"/>
      <c r="NQM1" s="74"/>
      <c r="NQN1" s="74"/>
      <c r="NQO1" s="74"/>
      <c r="NQP1" s="74"/>
      <c r="NQQ1" s="74"/>
      <c r="NQR1" s="74"/>
      <c r="NQS1" s="74"/>
      <c r="NQT1" s="74"/>
      <c r="NQU1" s="74"/>
      <c r="NQV1" s="74"/>
      <c r="NQW1" s="74"/>
      <c r="NQX1" s="74"/>
      <c r="NQY1" s="74"/>
      <c r="NQZ1" s="74"/>
      <c r="NRA1" s="74"/>
      <c r="NRB1" s="74"/>
      <c r="NRC1" s="74"/>
      <c r="NRD1" s="74"/>
      <c r="NRE1" s="74"/>
      <c r="NRF1" s="74"/>
      <c r="NRG1" s="74"/>
      <c r="NRH1" s="74"/>
      <c r="NRI1" s="74"/>
      <c r="NRJ1" s="74"/>
      <c r="NRK1" s="74"/>
      <c r="NRL1" s="74"/>
      <c r="NRM1" s="74"/>
      <c r="NRN1" s="74"/>
      <c r="NRO1" s="74"/>
      <c r="NRP1" s="74"/>
      <c r="NRQ1" s="74"/>
      <c r="NRR1" s="74"/>
      <c r="NRS1" s="74"/>
      <c r="NRT1" s="74"/>
      <c r="NRU1" s="74"/>
      <c r="NRV1" s="74"/>
      <c r="NRW1" s="74"/>
      <c r="NRX1" s="74"/>
      <c r="NRY1" s="74"/>
      <c r="NRZ1" s="74"/>
      <c r="NSA1" s="74"/>
      <c r="NSB1" s="74"/>
      <c r="NSC1" s="74"/>
      <c r="NSD1" s="74"/>
      <c r="NSE1" s="74"/>
      <c r="NSF1" s="74"/>
      <c r="NSG1" s="74"/>
      <c r="NSH1" s="74"/>
      <c r="NSI1" s="74"/>
      <c r="NSJ1" s="74"/>
      <c r="NSK1" s="74"/>
      <c r="NSL1" s="74"/>
      <c r="NSM1" s="74"/>
      <c r="NSN1" s="74"/>
      <c r="NSO1" s="74"/>
      <c r="NSP1" s="74"/>
      <c r="NSQ1" s="74"/>
      <c r="NSR1" s="74"/>
      <c r="NSS1" s="74"/>
      <c r="NST1" s="74"/>
      <c r="NSU1" s="74"/>
      <c r="NSV1" s="74"/>
      <c r="NSW1" s="74"/>
      <c r="NSX1" s="74"/>
      <c r="NSY1" s="74"/>
      <c r="NSZ1" s="74"/>
      <c r="NTA1" s="74"/>
      <c r="NTB1" s="74"/>
      <c r="NTC1" s="74"/>
      <c r="NTD1" s="74"/>
      <c r="NTE1" s="74"/>
      <c r="NTF1" s="74"/>
      <c r="NTG1" s="74"/>
      <c r="NTH1" s="74"/>
      <c r="NTI1" s="74"/>
      <c r="NTJ1" s="74"/>
      <c r="NTK1" s="74"/>
      <c r="NTL1" s="74"/>
      <c r="NTM1" s="74"/>
      <c r="NTN1" s="74"/>
      <c r="NTO1" s="74"/>
      <c r="NTP1" s="74"/>
      <c r="NTQ1" s="74"/>
      <c r="NTR1" s="74"/>
      <c r="NTS1" s="74"/>
      <c r="NTT1" s="74"/>
      <c r="NTU1" s="74"/>
      <c r="NTV1" s="74"/>
      <c r="NTW1" s="74"/>
      <c r="NTX1" s="74"/>
      <c r="NTY1" s="74"/>
      <c r="NTZ1" s="74"/>
      <c r="NUA1" s="74"/>
      <c r="NUB1" s="74"/>
      <c r="NUC1" s="74"/>
      <c r="NUD1" s="74"/>
      <c r="NUE1" s="74"/>
      <c r="NUF1" s="74"/>
      <c r="NUG1" s="74"/>
      <c r="NUH1" s="74"/>
      <c r="NUI1" s="74"/>
      <c r="NUJ1" s="74"/>
      <c r="NUK1" s="74"/>
      <c r="NUL1" s="74"/>
      <c r="NUM1" s="74"/>
      <c r="NUN1" s="74"/>
      <c r="NUO1" s="74"/>
      <c r="NUP1" s="74"/>
      <c r="NUQ1" s="74"/>
      <c r="NUR1" s="74"/>
      <c r="NUS1" s="74"/>
      <c r="NUT1" s="74"/>
      <c r="NUU1" s="74"/>
      <c r="NUV1" s="74"/>
      <c r="NUW1" s="74"/>
      <c r="NUX1" s="74"/>
      <c r="NUY1" s="74"/>
      <c r="NUZ1" s="74"/>
      <c r="NVA1" s="74"/>
      <c r="NVB1" s="74"/>
      <c r="NVC1" s="74"/>
      <c r="NVD1" s="74"/>
      <c r="NVE1" s="74"/>
      <c r="NVF1" s="74"/>
      <c r="NVG1" s="74"/>
      <c r="NVH1" s="74"/>
      <c r="NVI1" s="74"/>
      <c r="NVJ1" s="74"/>
      <c r="NVK1" s="74"/>
      <c r="NVL1" s="74"/>
      <c r="NVM1" s="74"/>
      <c r="NVN1" s="74"/>
      <c r="NVO1" s="74"/>
      <c r="NVP1" s="74"/>
      <c r="NVQ1" s="74"/>
      <c r="NVR1" s="74"/>
      <c r="NVS1" s="74"/>
      <c r="NVT1" s="74"/>
      <c r="NVU1" s="74"/>
      <c r="NVV1" s="74"/>
      <c r="NVW1" s="74"/>
      <c r="NVX1" s="74"/>
      <c r="NVY1" s="74"/>
      <c r="NVZ1" s="74"/>
      <c r="NWA1" s="74"/>
      <c r="NWB1" s="74"/>
      <c r="NWC1" s="74"/>
      <c r="NWD1" s="74"/>
      <c r="NWE1" s="74"/>
      <c r="NWF1" s="74"/>
      <c r="NWG1" s="74"/>
      <c r="NWH1" s="74"/>
      <c r="NWI1" s="74"/>
      <c r="NWJ1" s="74"/>
      <c r="NWK1" s="74"/>
      <c r="NWL1" s="74"/>
      <c r="NWM1" s="74"/>
      <c r="NWN1" s="74"/>
      <c r="NWO1" s="74"/>
      <c r="NWP1" s="74"/>
      <c r="NWQ1" s="74"/>
      <c r="NWR1" s="74"/>
      <c r="NWS1" s="74"/>
      <c r="NWT1" s="74"/>
      <c r="NWU1" s="74"/>
      <c r="NWV1" s="74"/>
      <c r="NWW1" s="74"/>
      <c r="NWX1" s="74"/>
      <c r="NWY1" s="74"/>
      <c r="NWZ1" s="74"/>
      <c r="NXA1" s="74"/>
      <c r="NXB1" s="74"/>
      <c r="NXC1" s="74"/>
      <c r="NXD1" s="74"/>
      <c r="NXE1" s="74"/>
      <c r="NXF1" s="74"/>
      <c r="NXG1" s="74"/>
      <c r="NXH1" s="74"/>
      <c r="NXI1" s="74"/>
      <c r="NXJ1" s="74"/>
      <c r="NXK1" s="74"/>
      <c r="NXL1" s="74"/>
      <c r="NXM1" s="74"/>
      <c r="NXN1" s="74"/>
      <c r="NXO1" s="74"/>
      <c r="NXP1" s="74"/>
      <c r="NXQ1" s="74"/>
      <c r="NXR1" s="74"/>
      <c r="NXS1" s="74"/>
      <c r="NXT1" s="74"/>
      <c r="NXU1" s="74"/>
      <c r="NXV1" s="74"/>
      <c r="NXW1" s="74"/>
      <c r="NXX1" s="74"/>
      <c r="NXY1" s="74"/>
      <c r="NXZ1" s="74"/>
      <c r="NYA1" s="74"/>
      <c r="NYB1" s="74"/>
      <c r="NYC1" s="74"/>
      <c r="NYD1" s="74"/>
      <c r="NYE1" s="74"/>
      <c r="NYF1" s="74"/>
      <c r="NYG1" s="74"/>
      <c r="NYH1" s="74"/>
      <c r="NYI1" s="74"/>
      <c r="NYJ1" s="74"/>
      <c r="NYK1" s="74"/>
      <c r="NYL1" s="74"/>
      <c r="NYM1" s="74"/>
      <c r="NYN1" s="74"/>
      <c r="NYO1" s="74"/>
      <c r="NYP1" s="74"/>
      <c r="NYQ1" s="74"/>
      <c r="NYR1" s="74"/>
      <c r="NYS1" s="74"/>
      <c r="NYT1" s="74"/>
      <c r="NYU1" s="74"/>
      <c r="NYV1" s="74"/>
      <c r="NYW1" s="74"/>
      <c r="NYX1" s="74"/>
      <c r="NYY1" s="74"/>
      <c r="NYZ1" s="74"/>
      <c r="NZA1" s="74"/>
      <c r="NZB1" s="74"/>
      <c r="NZC1" s="74"/>
      <c r="NZD1" s="74"/>
      <c r="NZE1" s="74"/>
      <c r="NZF1" s="74"/>
      <c r="NZG1" s="74"/>
      <c r="NZH1" s="74"/>
      <c r="NZI1" s="74"/>
      <c r="NZJ1" s="74"/>
      <c r="NZK1" s="74"/>
      <c r="NZL1" s="74"/>
      <c r="NZM1" s="74"/>
      <c r="NZN1" s="74"/>
      <c r="NZO1" s="74"/>
      <c r="NZP1" s="74"/>
      <c r="NZQ1" s="74"/>
      <c r="NZR1" s="74"/>
      <c r="NZS1" s="74"/>
      <c r="NZT1" s="74"/>
      <c r="NZU1" s="74"/>
      <c r="NZV1" s="74"/>
      <c r="NZW1" s="74"/>
      <c r="NZX1" s="74"/>
      <c r="NZY1" s="74"/>
      <c r="NZZ1" s="74"/>
      <c r="OAA1" s="74"/>
      <c r="OAB1" s="74"/>
      <c r="OAC1" s="74"/>
      <c r="OAD1" s="74"/>
      <c r="OAE1" s="74"/>
      <c r="OAF1" s="74"/>
      <c r="OAG1" s="74"/>
      <c r="OAH1" s="74"/>
      <c r="OAI1" s="74"/>
      <c r="OAJ1" s="74"/>
      <c r="OAK1" s="74"/>
      <c r="OAL1" s="74"/>
      <c r="OAM1" s="74"/>
      <c r="OAN1" s="74"/>
      <c r="OAO1" s="74"/>
      <c r="OAP1" s="74"/>
      <c r="OAQ1" s="74"/>
      <c r="OAR1" s="74"/>
      <c r="OAS1" s="74"/>
      <c r="OAT1" s="74"/>
      <c r="OAU1" s="74"/>
      <c r="OAV1" s="74"/>
      <c r="OAW1" s="74"/>
      <c r="OAX1" s="74"/>
      <c r="OAY1" s="74"/>
      <c r="OAZ1" s="74"/>
      <c r="OBA1" s="74"/>
      <c r="OBB1" s="74"/>
      <c r="OBC1" s="74"/>
      <c r="OBD1" s="74"/>
      <c r="OBE1" s="74"/>
      <c r="OBF1" s="74"/>
      <c r="OBG1" s="74"/>
      <c r="OBH1" s="74"/>
      <c r="OBI1" s="74"/>
      <c r="OBJ1" s="74"/>
      <c r="OBK1" s="74"/>
      <c r="OBL1" s="74"/>
      <c r="OBM1" s="74"/>
      <c r="OBN1" s="74"/>
      <c r="OBO1" s="74"/>
      <c r="OBP1" s="74"/>
      <c r="OBQ1" s="74"/>
      <c r="OBR1" s="74"/>
      <c r="OBS1" s="74"/>
      <c r="OBT1" s="74"/>
      <c r="OBU1" s="74"/>
      <c r="OBV1" s="74"/>
      <c r="OBW1" s="74"/>
      <c r="OBX1" s="74"/>
      <c r="OBY1" s="74"/>
      <c r="OBZ1" s="74"/>
      <c r="OCA1" s="74"/>
      <c r="OCB1" s="74"/>
      <c r="OCC1" s="74"/>
      <c r="OCD1" s="74"/>
      <c r="OCE1" s="74"/>
      <c r="OCF1" s="74"/>
      <c r="OCG1" s="74"/>
      <c r="OCH1" s="74"/>
      <c r="OCI1" s="74"/>
      <c r="OCJ1" s="74"/>
      <c r="OCK1" s="74"/>
      <c r="OCL1" s="74"/>
      <c r="OCM1" s="74"/>
      <c r="OCN1" s="74"/>
      <c r="OCO1" s="74"/>
      <c r="OCP1" s="74"/>
      <c r="OCQ1" s="74"/>
      <c r="OCR1" s="74"/>
      <c r="OCS1" s="74"/>
      <c r="OCT1" s="74"/>
      <c r="OCU1" s="74"/>
      <c r="OCV1" s="74"/>
      <c r="OCW1" s="74"/>
      <c r="OCX1" s="74"/>
      <c r="OCY1" s="74"/>
      <c r="OCZ1" s="74"/>
      <c r="ODA1" s="74"/>
      <c r="ODB1" s="74"/>
      <c r="ODC1" s="74"/>
      <c r="ODD1" s="74"/>
      <c r="ODE1" s="74"/>
      <c r="ODF1" s="74"/>
      <c r="ODG1" s="74"/>
      <c r="ODH1" s="74"/>
      <c r="ODI1" s="74"/>
      <c r="ODJ1" s="74"/>
      <c r="ODK1" s="74"/>
      <c r="ODL1" s="74"/>
      <c r="ODM1" s="74"/>
      <c r="ODN1" s="74"/>
      <c r="ODO1" s="74"/>
      <c r="ODP1" s="74"/>
      <c r="ODQ1" s="74"/>
      <c r="ODR1" s="74"/>
      <c r="ODS1" s="74"/>
      <c r="ODT1" s="74"/>
      <c r="ODU1" s="74"/>
      <c r="ODV1" s="74"/>
      <c r="ODW1" s="74"/>
      <c r="ODX1" s="74"/>
      <c r="ODY1" s="74"/>
      <c r="ODZ1" s="74"/>
      <c r="OEA1" s="74"/>
      <c r="OEB1" s="74"/>
      <c r="OEC1" s="74"/>
      <c r="OED1" s="74"/>
      <c r="OEE1" s="74"/>
      <c r="OEF1" s="74"/>
      <c r="OEG1" s="74"/>
      <c r="OEH1" s="74"/>
      <c r="OEI1" s="74"/>
      <c r="OEJ1" s="74"/>
      <c r="OEK1" s="74"/>
      <c r="OEL1" s="74"/>
      <c r="OEM1" s="74"/>
      <c r="OEN1" s="74"/>
      <c r="OEO1" s="74"/>
      <c r="OEP1" s="74"/>
      <c r="OEQ1" s="74"/>
      <c r="OER1" s="74"/>
      <c r="OES1" s="74"/>
      <c r="OET1" s="74"/>
      <c r="OEU1" s="74"/>
      <c r="OEV1" s="74"/>
      <c r="OEW1" s="74"/>
      <c r="OEX1" s="74"/>
      <c r="OEY1" s="74"/>
      <c r="OEZ1" s="74"/>
      <c r="OFA1" s="74"/>
      <c r="OFB1" s="74"/>
      <c r="OFC1" s="74"/>
      <c r="OFD1" s="74"/>
      <c r="OFE1" s="74"/>
      <c r="OFF1" s="74"/>
      <c r="OFG1" s="74"/>
      <c r="OFH1" s="74"/>
      <c r="OFI1" s="74"/>
      <c r="OFJ1" s="74"/>
      <c r="OFK1" s="74"/>
      <c r="OFL1" s="74"/>
      <c r="OFM1" s="74"/>
      <c r="OFN1" s="74"/>
      <c r="OFO1" s="74"/>
      <c r="OFP1" s="74"/>
      <c r="OFQ1" s="74"/>
      <c r="OFR1" s="74"/>
      <c r="OFS1" s="74"/>
      <c r="OFT1" s="74"/>
      <c r="OFU1" s="74"/>
      <c r="OFV1" s="74"/>
      <c r="OFW1" s="74"/>
      <c r="OFX1" s="74"/>
      <c r="OFY1" s="74"/>
      <c r="OFZ1" s="74"/>
      <c r="OGA1" s="74"/>
      <c r="OGB1" s="74"/>
      <c r="OGC1" s="74"/>
      <c r="OGD1" s="74"/>
      <c r="OGE1" s="74"/>
      <c r="OGF1" s="74"/>
      <c r="OGG1" s="74"/>
      <c r="OGH1" s="74"/>
      <c r="OGI1" s="74"/>
      <c r="OGJ1" s="74"/>
      <c r="OGK1" s="74"/>
      <c r="OGL1" s="74"/>
      <c r="OGM1" s="74"/>
      <c r="OGN1" s="74"/>
      <c r="OGO1" s="74"/>
      <c r="OGP1" s="74"/>
      <c r="OGQ1" s="74"/>
      <c r="OGR1" s="74"/>
      <c r="OGS1" s="74"/>
      <c r="OGT1" s="74"/>
      <c r="OGU1" s="74"/>
      <c r="OGV1" s="74"/>
      <c r="OGW1" s="74"/>
      <c r="OGX1" s="74"/>
      <c r="OGY1" s="74"/>
      <c r="OGZ1" s="74"/>
      <c r="OHA1" s="74"/>
      <c r="OHB1" s="74"/>
      <c r="OHC1" s="74"/>
      <c r="OHD1" s="74"/>
      <c r="OHE1" s="74"/>
      <c r="OHF1" s="74"/>
      <c r="OHG1" s="74"/>
      <c r="OHH1" s="74"/>
      <c r="OHI1" s="74"/>
      <c r="OHJ1" s="74"/>
      <c r="OHK1" s="74"/>
      <c r="OHL1" s="74"/>
      <c r="OHM1" s="74"/>
      <c r="OHN1" s="74"/>
      <c r="OHO1" s="74"/>
      <c r="OHP1" s="74"/>
      <c r="OHQ1" s="74"/>
      <c r="OHR1" s="74"/>
      <c r="OHS1" s="74"/>
      <c r="OHT1" s="74"/>
      <c r="OHU1" s="74"/>
      <c r="OHV1" s="74"/>
      <c r="OHW1" s="74"/>
      <c r="OHX1" s="74"/>
      <c r="OHY1" s="74"/>
      <c r="OHZ1" s="74"/>
      <c r="OIA1" s="74"/>
      <c r="OIB1" s="74"/>
      <c r="OIC1" s="74"/>
      <c r="OID1" s="74"/>
      <c r="OIE1" s="74"/>
      <c r="OIF1" s="74"/>
      <c r="OIG1" s="74"/>
      <c r="OIH1" s="74"/>
      <c r="OII1" s="74"/>
      <c r="OIJ1" s="74"/>
      <c r="OIK1" s="74"/>
      <c r="OIL1" s="74"/>
      <c r="OIM1" s="74"/>
      <c r="OIN1" s="74"/>
      <c r="OIO1" s="74"/>
      <c r="OIP1" s="74"/>
      <c r="OIQ1" s="74"/>
      <c r="OIR1" s="74"/>
      <c r="OIS1" s="74"/>
      <c r="OIT1" s="74"/>
      <c r="OIU1" s="74"/>
      <c r="OIV1" s="74"/>
      <c r="OIW1" s="74"/>
      <c r="OIX1" s="74"/>
      <c r="OIY1" s="74"/>
      <c r="OIZ1" s="74"/>
      <c r="OJA1" s="74"/>
      <c r="OJB1" s="74"/>
      <c r="OJC1" s="74"/>
      <c r="OJD1" s="74"/>
      <c r="OJE1" s="74"/>
      <c r="OJF1" s="74"/>
      <c r="OJG1" s="74"/>
      <c r="OJH1" s="74"/>
      <c r="OJI1" s="74"/>
      <c r="OJJ1" s="74"/>
      <c r="OJK1" s="74"/>
      <c r="OJL1" s="74"/>
      <c r="OJM1" s="74"/>
      <c r="OJN1" s="74"/>
      <c r="OJO1" s="74"/>
      <c r="OJP1" s="74"/>
      <c r="OJQ1" s="74"/>
      <c r="OJR1" s="74"/>
      <c r="OJS1" s="74"/>
      <c r="OJT1" s="74"/>
      <c r="OJU1" s="74"/>
      <c r="OJV1" s="74"/>
      <c r="OJW1" s="74"/>
      <c r="OJX1" s="74"/>
      <c r="OJY1" s="74"/>
      <c r="OJZ1" s="74"/>
      <c r="OKA1" s="74"/>
      <c r="OKB1" s="74"/>
      <c r="OKC1" s="74"/>
      <c r="OKD1" s="74"/>
      <c r="OKE1" s="74"/>
      <c r="OKF1" s="74"/>
      <c r="OKG1" s="74"/>
      <c r="OKH1" s="74"/>
      <c r="OKI1" s="74"/>
      <c r="OKJ1" s="74"/>
      <c r="OKK1" s="74"/>
      <c r="OKL1" s="74"/>
      <c r="OKM1" s="74"/>
      <c r="OKN1" s="74"/>
      <c r="OKO1" s="74"/>
      <c r="OKP1" s="74"/>
      <c r="OKQ1" s="74"/>
      <c r="OKR1" s="74"/>
      <c r="OKS1" s="74"/>
      <c r="OKT1" s="74"/>
      <c r="OKU1" s="74"/>
      <c r="OKV1" s="74"/>
      <c r="OKW1" s="74"/>
      <c r="OKX1" s="74"/>
      <c r="OKY1" s="74"/>
      <c r="OKZ1" s="74"/>
      <c r="OLA1" s="74"/>
      <c r="OLB1" s="74"/>
      <c r="OLC1" s="74"/>
      <c r="OLD1" s="74"/>
      <c r="OLE1" s="74"/>
      <c r="OLF1" s="74"/>
      <c r="OLG1" s="74"/>
      <c r="OLH1" s="74"/>
      <c r="OLI1" s="74"/>
      <c r="OLJ1" s="74"/>
      <c r="OLK1" s="74"/>
      <c r="OLL1" s="74"/>
      <c r="OLM1" s="74"/>
      <c r="OLN1" s="74"/>
      <c r="OLO1" s="74"/>
      <c r="OLP1" s="74"/>
      <c r="OLQ1" s="74"/>
      <c r="OLR1" s="74"/>
      <c r="OLS1" s="74"/>
      <c r="OLT1" s="74"/>
      <c r="OLU1" s="74"/>
      <c r="OLV1" s="74"/>
      <c r="OLW1" s="74"/>
      <c r="OLX1" s="74"/>
      <c r="OLY1" s="74"/>
      <c r="OLZ1" s="74"/>
      <c r="OMA1" s="74"/>
      <c r="OMB1" s="74"/>
      <c r="OMC1" s="74"/>
      <c r="OMD1" s="74"/>
      <c r="OME1" s="74"/>
      <c r="OMF1" s="74"/>
      <c r="OMG1" s="74"/>
      <c r="OMH1" s="74"/>
      <c r="OMI1" s="74"/>
      <c r="OMJ1" s="74"/>
      <c r="OMK1" s="74"/>
      <c r="OML1" s="74"/>
      <c r="OMM1" s="74"/>
      <c r="OMN1" s="74"/>
      <c r="OMO1" s="74"/>
      <c r="OMP1" s="74"/>
      <c r="OMQ1" s="74"/>
      <c r="OMR1" s="74"/>
      <c r="OMS1" s="74"/>
      <c r="OMT1" s="74"/>
      <c r="OMU1" s="74"/>
      <c r="OMV1" s="74"/>
      <c r="OMW1" s="74"/>
      <c r="OMX1" s="74"/>
      <c r="OMY1" s="74"/>
      <c r="OMZ1" s="74"/>
      <c r="ONA1" s="74"/>
      <c r="ONB1" s="74"/>
      <c r="ONC1" s="74"/>
      <c r="OND1" s="74"/>
      <c r="ONE1" s="74"/>
      <c r="ONF1" s="74"/>
      <c r="ONG1" s="74"/>
      <c r="ONH1" s="74"/>
      <c r="ONI1" s="74"/>
      <c r="ONJ1" s="74"/>
      <c r="ONK1" s="74"/>
      <c r="ONL1" s="74"/>
      <c r="ONM1" s="74"/>
      <c r="ONN1" s="74"/>
      <c r="ONO1" s="74"/>
      <c r="ONP1" s="74"/>
      <c r="ONQ1" s="74"/>
      <c r="ONR1" s="74"/>
      <c r="ONS1" s="74"/>
      <c r="ONT1" s="74"/>
      <c r="ONU1" s="74"/>
      <c r="ONV1" s="74"/>
      <c r="ONW1" s="74"/>
      <c r="ONX1" s="74"/>
      <c r="ONY1" s="74"/>
      <c r="ONZ1" s="74"/>
      <c r="OOA1" s="74"/>
      <c r="OOB1" s="74"/>
      <c r="OOC1" s="74"/>
      <c r="OOD1" s="74"/>
      <c r="OOE1" s="74"/>
      <c r="OOF1" s="74"/>
      <c r="OOG1" s="74"/>
      <c r="OOH1" s="74"/>
      <c r="OOI1" s="74"/>
      <c r="OOJ1" s="74"/>
      <c r="OOK1" s="74"/>
      <c r="OOL1" s="74"/>
      <c r="OOM1" s="74"/>
      <c r="OON1" s="74"/>
      <c r="OOO1" s="74"/>
      <c r="OOP1" s="74"/>
      <c r="OOQ1" s="74"/>
      <c r="OOR1" s="74"/>
      <c r="OOS1" s="74"/>
      <c r="OOT1" s="74"/>
      <c r="OOU1" s="74"/>
      <c r="OOV1" s="74"/>
      <c r="OOW1" s="74"/>
      <c r="OOX1" s="74"/>
      <c r="OOY1" s="74"/>
      <c r="OOZ1" s="74"/>
      <c r="OPA1" s="74"/>
      <c r="OPB1" s="74"/>
      <c r="OPC1" s="74"/>
      <c r="OPD1" s="74"/>
      <c r="OPE1" s="74"/>
      <c r="OPF1" s="74"/>
      <c r="OPG1" s="74"/>
      <c r="OPH1" s="74"/>
      <c r="OPI1" s="74"/>
      <c r="OPJ1" s="74"/>
      <c r="OPK1" s="74"/>
      <c r="OPL1" s="74"/>
      <c r="OPM1" s="74"/>
      <c r="OPN1" s="74"/>
      <c r="OPO1" s="74"/>
      <c r="OPP1" s="74"/>
      <c r="OPQ1" s="74"/>
      <c r="OPR1" s="74"/>
      <c r="OPS1" s="74"/>
      <c r="OPT1" s="74"/>
      <c r="OPU1" s="74"/>
      <c r="OPV1" s="74"/>
      <c r="OPW1" s="74"/>
      <c r="OPX1" s="74"/>
      <c r="OPY1" s="74"/>
      <c r="OPZ1" s="74"/>
      <c r="OQA1" s="74"/>
      <c r="OQB1" s="74"/>
      <c r="OQC1" s="74"/>
      <c r="OQD1" s="74"/>
      <c r="OQE1" s="74"/>
      <c r="OQF1" s="74"/>
      <c r="OQG1" s="74"/>
      <c r="OQH1" s="74"/>
      <c r="OQI1" s="74"/>
      <c r="OQJ1" s="74"/>
      <c r="OQK1" s="74"/>
      <c r="OQL1" s="74"/>
      <c r="OQM1" s="74"/>
      <c r="OQN1" s="74"/>
      <c r="OQO1" s="74"/>
      <c r="OQP1" s="74"/>
      <c r="OQQ1" s="74"/>
      <c r="OQR1" s="74"/>
      <c r="OQS1" s="74"/>
      <c r="OQT1" s="74"/>
      <c r="OQU1" s="74"/>
      <c r="OQV1" s="74"/>
      <c r="OQW1" s="74"/>
      <c r="OQX1" s="74"/>
      <c r="OQY1" s="74"/>
      <c r="OQZ1" s="74"/>
      <c r="ORA1" s="74"/>
      <c r="ORB1" s="74"/>
      <c r="ORC1" s="74"/>
      <c r="ORD1" s="74"/>
      <c r="ORE1" s="74"/>
      <c r="ORF1" s="74"/>
      <c r="ORG1" s="74"/>
      <c r="ORH1" s="74"/>
      <c r="ORI1" s="74"/>
      <c r="ORJ1" s="74"/>
      <c r="ORK1" s="74"/>
      <c r="ORL1" s="74"/>
      <c r="ORM1" s="74"/>
      <c r="ORN1" s="74"/>
      <c r="ORO1" s="74"/>
      <c r="ORP1" s="74"/>
      <c r="ORQ1" s="74"/>
      <c r="ORR1" s="74"/>
      <c r="ORS1" s="74"/>
      <c r="ORT1" s="74"/>
      <c r="ORU1" s="74"/>
      <c r="ORV1" s="74"/>
      <c r="ORW1" s="74"/>
      <c r="ORX1" s="74"/>
      <c r="ORY1" s="74"/>
      <c r="ORZ1" s="74"/>
      <c r="OSA1" s="74"/>
      <c r="OSB1" s="74"/>
      <c r="OSC1" s="74"/>
      <c r="OSD1" s="74"/>
      <c r="OSE1" s="74"/>
      <c r="OSF1" s="74"/>
      <c r="OSG1" s="74"/>
      <c r="OSH1" s="74"/>
      <c r="OSI1" s="74"/>
      <c r="OSJ1" s="74"/>
      <c r="OSK1" s="74"/>
      <c r="OSL1" s="74"/>
      <c r="OSM1" s="74"/>
      <c r="OSN1" s="74"/>
      <c r="OSO1" s="74"/>
      <c r="OSP1" s="74"/>
      <c r="OSQ1" s="74"/>
      <c r="OSR1" s="74"/>
      <c r="OSS1" s="74"/>
      <c r="OST1" s="74"/>
      <c r="OSU1" s="74"/>
      <c r="OSV1" s="74"/>
      <c r="OSW1" s="74"/>
      <c r="OSX1" s="74"/>
      <c r="OSY1" s="74"/>
      <c r="OSZ1" s="74"/>
      <c r="OTA1" s="74"/>
      <c r="OTB1" s="74"/>
      <c r="OTC1" s="74"/>
      <c r="OTD1" s="74"/>
      <c r="OTE1" s="74"/>
      <c r="OTF1" s="74"/>
      <c r="OTG1" s="74"/>
      <c r="OTH1" s="74"/>
      <c r="OTI1" s="74"/>
      <c r="OTJ1" s="74"/>
      <c r="OTK1" s="74"/>
      <c r="OTL1" s="74"/>
      <c r="OTM1" s="74"/>
      <c r="OTN1" s="74"/>
      <c r="OTO1" s="74"/>
      <c r="OTP1" s="74"/>
      <c r="OTQ1" s="74"/>
      <c r="OTR1" s="74"/>
      <c r="OTS1" s="74"/>
      <c r="OTT1" s="74"/>
      <c r="OTU1" s="74"/>
      <c r="OTV1" s="74"/>
      <c r="OTW1" s="74"/>
      <c r="OTX1" s="74"/>
      <c r="OTY1" s="74"/>
      <c r="OTZ1" s="74"/>
      <c r="OUA1" s="74"/>
      <c r="OUB1" s="74"/>
      <c r="OUC1" s="74"/>
      <c r="OUD1" s="74"/>
      <c r="OUE1" s="74"/>
      <c r="OUF1" s="74"/>
      <c r="OUG1" s="74"/>
      <c r="OUH1" s="74"/>
      <c r="OUI1" s="74"/>
      <c r="OUJ1" s="74"/>
      <c r="OUK1" s="74"/>
      <c r="OUL1" s="74"/>
      <c r="OUM1" s="74"/>
      <c r="OUN1" s="74"/>
      <c r="OUO1" s="74"/>
      <c r="OUP1" s="74"/>
      <c r="OUQ1" s="74"/>
      <c r="OUR1" s="74"/>
      <c r="OUS1" s="74"/>
      <c r="OUT1" s="74"/>
      <c r="OUU1" s="74"/>
      <c r="OUV1" s="74"/>
      <c r="OUW1" s="74"/>
      <c r="OUX1" s="74"/>
      <c r="OUY1" s="74"/>
      <c r="OUZ1" s="74"/>
      <c r="OVA1" s="74"/>
      <c r="OVB1" s="74"/>
      <c r="OVC1" s="74"/>
      <c r="OVD1" s="74"/>
      <c r="OVE1" s="74"/>
      <c r="OVF1" s="74"/>
      <c r="OVG1" s="74"/>
      <c r="OVH1" s="74"/>
      <c r="OVI1" s="74"/>
      <c r="OVJ1" s="74"/>
      <c r="OVK1" s="74"/>
      <c r="OVL1" s="74"/>
      <c r="OVM1" s="74"/>
      <c r="OVN1" s="74"/>
      <c r="OVO1" s="74"/>
      <c r="OVP1" s="74"/>
      <c r="OVQ1" s="74"/>
      <c r="OVR1" s="74"/>
      <c r="OVS1" s="74"/>
      <c r="OVT1" s="74"/>
      <c r="OVU1" s="74"/>
      <c r="OVV1" s="74"/>
      <c r="OVW1" s="74"/>
      <c r="OVX1" s="74"/>
      <c r="OVY1" s="74"/>
      <c r="OVZ1" s="74"/>
      <c r="OWA1" s="74"/>
      <c r="OWB1" s="74"/>
      <c r="OWC1" s="74"/>
      <c r="OWD1" s="74"/>
      <c r="OWE1" s="74"/>
      <c r="OWF1" s="74"/>
      <c r="OWG1" s="74"/>
      <c r="OWH1" s="74"/>
      <c r="OWI1" s="74"/>
      <c r="OWJ1" s="74"/>
      <c r="OWK1" s="74"/>
      <c r="OWL1" s="74"/>
      <c r="OWM1" s="74"/>
      <c r="OWN1" s="74"/>
      <c r="OWO1" s="74"/>
      <c r="OWP1" s="74"/>
      <c r="OWQ1" s="74"/>
      <c r="OWR1" s="74"/>
      <c r="OWS1" s="74"/>
      <c r="OWT1" s="74"/>
      <c r="OWU1" s="74"/>
      <c r="OWV1" s="74"/>
      <c r="OWW1" s="74"/>
      <c r="OWX1" s="74"/>
      <c r="OWY1" s="74"/>
      <c r="OWZ1" s="74"/>
      <c r="OXA1" s="74"/>
      <c r="OXB1" s="74"/>
      <c r="OXC1" s="74"/>
      <c r="OXD1" s="74"/>
      <c r="OXE1" s="74"/>
      <c r="OXF1" s="74"/>
      <c r="OXG1" s="74"/>
      <c r="OXH1" s="74"/>
      <c r="OXI1" s="74"/>
      <c r="OXJ1" s="74"/>
      <c r="OXK1" s="74"/>
      <c r="OXL1" s="74"/>
      <c r="OXM1" s="74"/>
      <c r="OXN1" s="74"/>
      <c r="OXO1" s="74"/>
      <c r="OXP1" s="74"/>
      <c r="OXQ1" s="74"/>
      <c r="OXR1" s="74"/>
      <c r="OXS1" s="74"/>
      <c r="OXT1" s="74"/>
      <c r="OXU1" s="74"/>
      <c r="OXV1" s="74"/>
      <c r="OXW1" s="74"/>
      <c r="OXX1" s="74"/>
      <c r="OXY1" s="74"/>
      <c r="OXZ1" s="74"/>
      <c r="OYA1" s="74"/>
      <c r="OYB1" s="74"/>
      <c r="OYC1" s="74"/>
      <c r="OYD1" s="74"/>
      <c r="OYE1" s="74"/>
      <c r="OYF1" s="74"/>
      <c r="OYG1" s="74"/>
      <c r="OYH1" s="74"/>
      <c r="OYI1" s="74"/>
      <c r="OYJ1" s="74"/>
      <c r="OYK1" s="74"/>
      <c r="OYL1" s="74"/>
      <c r="OYM1" s="74"/>
      <c r="OYN1" s="74"/>
      <c r="OYO1" s="74"/>
      <c r="OYP1" s="74"/>
      <c r="OYQ1" s="74"/>
      <c r="OYR1" s="74"/>
      <c r="OYS1" s="74"/>
      <c r="OYT1" s="74"/>
      <c r="OYU1" s="74"/>
      <c r="OYV1" s="74"/>
      <c r="OYW1" s="74"/>
      <c r="OYX1" s="74"/>
      <c r="OYY1" s="74"/>
      <c r="OYZ1" s="74"/>
      <c r="OZA1" s="74"/>
      <c r="OZB1" s="74"/>
      <c r="OZC1" s="74"/>
      <c r="OZD1" s="74"/>
      <c r="OZE1" s="74"/>
      <c r="OZF1" s="74"/>
      <c r="OZG1" s="74"/>
      <c r="OZH1" s="74"/>
      <c r="OZI1" s="74"/>
      <c r="OZJ1" s="74"/>
      <c r="OZK1" s="74"/>
      <c r="OZL1" s="74"/>
      <c r="OZM1" s="74"/>
      <c r="OZN1" s="74"/>
      <c r="OZO1" s="74"/>
      <c r="OZP1" s="74"/>
      <c r="OZQ1" s="74"/>
      <c r="OZR1" s="74"/>
      <c r="OZS1" s="74"/>
      <c r="OZT1" s="74"/>
      <c r="OZU1" s="74"/>
      <c r="OZV1" s="74"/>
      <c r="OZW1" s="74"/>
      <c r="OZX1" s="74"/>
      <c r="OZY1" s="74"/>
      <c r="OZZ1" s="74"/>
      <c r="PAA1" s="74"/>
      <c r="PAB1" s="74"/>
      <c r="PAC1" s="74"/>
      <c r="PAD1" s="74"/>
      <c r="PAE1" s="74"/>
      <c r="PAF1" s="74"/>
      <c r="PAG1" s="74"/>
      <c r="PAH1" s="74"/>
      <c r="PAI1" s="74"/>
      <c r="PAJ1" s="74"/>
      <c r="PAK1" s="74"/>
      <c r="PAL1" s="74"/>
      <c r="PAM1" s="74"/>
      <c r="PAN1" s="74"/>
      <c r="PAO1" s="74"/>
      <c r="PAP1" s="74"/>
      <c r="PAQ1" s="74"/>
      <c r="PAR1" s="74"/>
      <c r="PAS1" s="74"/>
      <c r="PAT1" s="74"/>
      <c r="PAU1" s="74"/>
      <c r="PAV1" s="74"/>
      <c r="PAW1" s="74"/>
      <c r="PAX1" s="74"/>
      <c r="PAY1" s="74"/>
      <c r="PAZ1" s="74"/>
      <c r="PBA1" s="74"/>
      <c r="PBB1" s="74"/>
      <c r="PBC1" s="74"/>
      <c r="PBD1" s="74"/>
      <c r="PBE1" s="74"/>
      <c r="PBF1" s="74"/>
      <c r="PBG1" s="74"/>
      <c r="PBH1" s="74"/>
      <c r="PBI1" s="74"/>
      <c r="PBJ1" s="74"/>
      <c r="PBK1" s="74"/>
      <c r="PBL1" s="74"/>
      <c r="PBM1" s="74"/>
      <c r="PBN1" s="74"/>
      <c r="PBO1" s="74"/>
      <c r="PBP1" s="74"/>
      <c r="PBQ1" s="74"/>
      <c r="PBR1" s="74"/>
      <c r="PBS1" s="74"/>
      <c r="PBT1" s="74"/>
      <c r="PBU1" s="74"/>
      <c r="PBV1" s="74"/>
      <c r="PBW1" s="74"/>
      <c r="PBX1" s="74"/>
      <c r="PBY1" s="74"/>
      <c r="PBZ1" s="74"/>
      <c r="PCA1" s="74"/>
      <c r="PCB1" s="74"/>
      <c r="PCC1" s="74"/>
      <c r="PCD1" s="74"/>
      <c r="PCE1" s="74"/>
      <c r="PCF1" s="74"/>
      <c r="PCG1" s="74"/>
      <c r="PCH1" s="74"/>
      <c r="PCI1" s="74"/>
      <c r="PCJ1" s="74"/>
      <c r="PCK1" s="74"/>
      <c r="PCL1" s="74"/>
      <c r="PCM1" s="74"/>
      <c r="PCN1" s="74"/>
      <c r="PCO1" s="74"/>
      <c r="PCP1" s="74"/>
      <c r="PCQ1" s="74"/>
      <c r="PCR1" s="74"/>
      <c r="PCS1" s="74"/>
      <c r="PCT1" s="74"/>
      <c r="PCU1" s="74"/>
      <c r="PCV1" s="74"/>
      <c r="PCW1" s="74"/>
      <c r="PCX1" s="74"/>
      <c r="PCY1" s="74"/>
      <c r="PCZ1" s="74"/>
      <c r="PDA1" s="74"/>
      <c r="PDB1" s="74"/>
      <c r="PDC1" s="74"/>
      <c r="PDD1" s="74"/>
      <c r="PDE1" s="74"/>
      <c r="PDF1" s="74"/>
      <c r="PDG1" s="74"/>
      <c r="PDH1" s="74"/>
      <c r="PDI1" s="74"/>
      <c r="PDJ1" s="74"/>
      <c r="PDK1" s="74"/>
      <c r="PDL1" s="74"/>
      <c r="PDM1" s="74"/>
      <c r="PDN1" s="74"/>
      <c r="PDO1" s="74"/>
      <c r="PDP1" s="74"/>
      <c r="PDQ1" s="74"/>
      <c r="PDR1" s="74"/>
      <c r="PDS1" s="74"/>
      <c r="PDT1" s="74"/>
      <c r="PDU1" s="74"/>
      <c r="PDV1" s="74"/>
      <c r="PDW1" s="74"/>
      <c r="PDX1" s="74"/>
      <c r="PDY1" s="74"/>
      <c r="PDZ1" s="74"/>
      <c r="PEA1" s="74"/>
      <c r="PEB1" s="74"/>
      <c r="PEC1" s="74"/>
      <c r="PED1" s="74"/>
      <c r="PEE1" s="74"/>
      <c r="PEF1" s="74"/>
      <c r="PEG1" s="74"/>
      <c r="PEH1" s="74"/>
      <c r="PEI1" s="74"/>
      <c r="PEJ1" s="74"/>
      <c r="PEK1" s="74"/>
      <c r="PEL1" s="74"/>
      <c r="PEM1" s="74"/>
      <c r="PEN1" s="74"/>
      <c r="PEO1" s="74"/>
      <c r="PEP1" s="74"/>
      <c r="PEQ1" s="74"/>
      <c r="PER1" s="74"/>
      <c r="PES1" s="74"/>
      <c r="PET1" s="74"/>
      <c r="PEU1" s="74"/>
      <c r="PEV1" s="74"/>
      <c r="PEW1" s="74"/>
      <c r="PEX1" s="74"/>
      <c r="PEY1" s="74"/>
      <c r="PEZ1" s="74"/>
      <c r="PFA1" s="74"/>
      <c r="PFB1" s="74"/>
      <c r="PFC1" s="74"/>
      <c r="PFD1" s="74"/>
      <c r="PFE1" s="74"/>
      <c r="PFF1" s="74"/>
      <c r="PFG1" s="74"/>
      <c r="PFH1" s="74"/>
      <c r="PFI1" s="74"/>
      <c r="PFJ1" s="74"/>
      <c r="PFK1" s="74"/>
      <c r="PFL1" s="74"/>
      <c r="PFM1" s="74"/>
      <c r="PFN1" s="74"/>
      <c r="PFO1" s="74"/>
      <c r="PFP1" s="74"/>
      <c r="PFQ1" s="74"/>
      <c r="PFR1" s="74"/>
      <c r="PFS1" s="74"/>
      <c r="PFT1" s="74"/>
      <c r="PFU1" s="74"/>
      <c r="PFV1" s="74"/>
      <c r="PFW1" s="74"/>
      <c r="PFX1" s="74"/>
      <c r="PFY1" s="74"/>
      <c r="PFZ1" s="74"/>
      <c r="PGA1" s="74"/>
      <c r="PGB1" s="74"/>
      <c r="PGC1" s="74"/>
      <c r="PGD1" s="74"/>
      <c r="PGE1" s="74"/>
      <c r="PGF1" s="74"/>
      <c r="PGG1" s="74"/>
      <c r="PGH1" s="74"/>
      <c r="PGI1" s="74"/>
      <c r="PGJ1" s="74"/>
      <c r="PGK1" s="74"/>
      <c r="PGL1" s="74"/>
      <c r="PGM1" s="74"/>
      <c r="PGN1" s="74"/>
      <c r="PGO1" s="74"/>
      <c r="PGP1" s="74"/>
      <c r="PGQ1" s="74"/>
      <c r="PGR1" s="74"/>
      <c r="PGS1" s="74"/>
      <c r="PGT1" s="74"/>
      <c r="PGU1" s="74"/>
      <c r="PGV1" s="74"/>
      <c r="PGW1" s="74"/>
      <c r="PGX1" s="74"/>
      <c r="PGY1" s="74"/>
      <c r="PGZ1" s="74"/>
      <c r="PHA1" s="74"/>
      <c r="PHB1" s="74"/>
      <c r="PHC1" s="74"/>
      <c r="PHD1" s="74"/>
      <c r="PHE1" s="74"/>
      <c r="PHF1" s="74"/>
      <c r="PHG1" s="74"/>
      <c r="PHH1" s="74"/>
      <c r="PHI1" s="74"/>
      <c r="PHJ1" s="74"/>
      <c r="PHK1" s="74"/>
      <c r="PHL1" s="74"/>
      <c r="PHM1" s="74"/>
      <c r="PHN1" s="74"/>
      <c r="PHO1" s="74"/>
      <c r="PHP1" s="74"/>
      <c r="PHQ1" s="74"/>
      <c r="PHR1" s="74"/>
      <c r="PHS1" s="74"/>
      <c r="PHT1" s="74"/>
      <c r="PHU1" s="74"/>
      <c r="PHV1" s="74"/>
      <c r="PHW1" s="74"/>
      <c r="PHX1" s="74"/>
      <c r="PHY1" s="74"/>
      <c r="PHZ1" s="74"/>
      <c r="PIA1" s="74"/>
      <c r="PIB1" s="74"/>
      <c r="PIC1" s="74"/>
      <c r="PID1" s="74"/>
      <c r="PIE1" s="74"/>
      <c r="PIF1" s="74"/>
      <c r="PIG1" s="74"/>
      <c r="PIH1" s="74"/>
      <c r="PII1" s="74"/>
      <c r="PIJ1" s="74"/>
      <c r="PIK1" s="74"/>
      <c r="PIL1" s="74"/>
      <c r="PIM1" s="74"/>
      <c r="PIN1" s="74"/>
      <c r="PIO1" s="74"/>
      <c r="PIP1" s="74"/>
      <c r="PIQ1" s="74"/>
      <c r="PIR1" s="74"/>
      <c r="PIS1" s="74"/>
      <c r="PIT1" s="74"/>
      <c r="PIU1" s="74"/>
      <c r="PIV1" s="74"/>
      <c r="PIW1" s="74"/>
      <c r="PIX1" s="74"/>
      <c r="PIY1" s="74"/>
      <c r="PIZ1" s="74"/>
      <c r="PJA1" s="74"/>
      <c r="PJB1" s="74"/>
      <c r="PJC1" s="74"/>
      <c r="PJD1" s="74"/>
      <c r="PJE1" s="74"/>
      <c r="PJF1" s="74"/>
      <c r="PJG1" s="74"/>
      <c r="PJH1" s="74"/>
      <c r="PJI1" s="74"/>
      <c r="PJJ1" s="74"/>
      <c r="PJK1" s="74"/>
      <c r="PJL1" s="74"/>
      <c r="PJM1" s="74"/>
      <c r="PJN1" s="74"/>
      <c r="PJO1" s="74"/>
      <c r="PJP1" s="74"/>
      <c r="PJQ1" s="74"/>
      <c r="PJR1" s="74"/>
      <c r="PJS1" s="74"/>
      <c r="PJT1" s="74"/>
      <c r="PJU1" s="74"/>
      <c r="PJV1" s="74"/>
      <c r="PJW1" s="74"/>
      <c r="PJX1" s="74"/>
      <c r="PJY1" s="74"/>
      <c r="PJZ1" s="74"/>
      <c r="PKA1" s="74"/>
      <c r="PKB1" s="74"/>
      <c r="PKC1" s="74"/>
      <c r="PKD1" s="74"/>
      <c r="PKE1" s="74"/>
      <c r="PKF1" s="74"/>
      <c r="PKG1" s="74"/>
      <c r="PKH1" s="74"/>
      <c r="PKI1" s="74"/>
      <c r="PKJ1" s="74"/>
      <c r="PKK1" s="74"/>
      <c r="PKL1" s="74"/>
      <c r="PKM1" s="74"/>
      <c r="PKN1" s="74"/>
      <c r="PKO1" s="74"/>
      <c r="PKP1" s="74"/>
      <c r="PKQ1" s="74"/>
      <c r="PKR1" s="74"/>
      <c r="PKS1" s="74"/>
      <c r="PKT1" s="74"/>
      <c r="PKU1" s="74"/>
      <c r="PKV1" s="74"/>
      <c r="PKW1" s="74"/>
      <c r="PKX1" s="74"/>
      <c r="PKY1" s="74"/>
      <c r="PKZ1" s="74"/>
      <c r="PLA1" s="74"/>
      <c r="PLB1" s="74"/>
      <c r="PLC1" s="74"/>
      <c r="PLD1" s="74"/>
      <c r="PLE1" s="74"/>
      <c r="PLF1" s="74"/>
      <c r="PLG1" s="74"/>
      <c r="PLH1" s="74"/>
      <c r="PLI1" s="74"/>
      <c r="PLJ1" s="74"/>
      <c r="PLK1" s="74"/>
      <c r="PLL1" s="74"/>
      <c r="PLM1" s="74"/>
      <c r="PLN1" s="74"/>
      <c r="PLO1" s="74"/>
      <c r="PLP1" s="74"/>
      <c r="PLQ1" s="74"/>
      <c r="PLR1" s="74"/>
      <c r="PLS1" s="74"/>
      <c r="PLT1" s="74"/>
      <c r="PLU1" s="74"/>
      <c r="PLV1" s="74"/>
      <c r="PLW1" s="74"/>
      <c r="PLX1" s="74"/>
      <c r="PLY1" s="74"/>
      <c r="PLZ1" s="74"/>
      <c r="PMA1" s="74"/>
      <c r="PMB1" s="74"/>
      <c r="PMC1" s="74"/>
      <c r="PMD1" s="74"/>
      <c r="PME1" s="74"/>
      <c r="PMF1" s="74"/>
      <c r="PMG1" s="74"/>
      <c r="PMH1" s="74"/>
      <c r="PMI1" s="74"/>
      <c r="PMJ1" s="74"/>
      <c r="PMK1" s="74"/>
      <c r="PML1" s="74"/>
      <c r="PMM1" s="74"/>
      <c r="PMN1" s="74"/>
      <c r="PMO1" s="74"/>
      <c r="PMP1" s="74"/>
      <c r="PMQ1" s="74"/>
      <c r="PMR1" s="74"/>
      <c r="PMS1" s="74"/>
      <c r="PMT1" s="74"/>
      <c r="PMU1" s="74"/>
      <c r="PMV1" s="74"/>
      <c r="PMW1" s="74"/>
      <c r="PMX1" s="74"/>
      <c r="PMY1" s="74"/>
      <c r="PMZ1" s="74"/>
      <c r="PNA1" s="74"/>
      <c r="PNB1" s="74"/>
      <c r="PNC1" s="74"/>
      <c r="PND1" s="74"/>
      <c r="PNE1" s="74"/>
      <c r="PNF1" s="74"/>
      <c r="PNG1" s="74"/>
      <c r="PNH1" s="74"/>
      <c r="PNI1" s="74"/>
      <c r="PNJ1" s="74"/>
      <c r="PNK1" s="74"/>
      <c r="PNL1" s="74"/>
      <c r="PNM1" s="74"/>
      <c r="PNN1" s="74"/>
      <c r="PNO1" s="74"/>
      <c r="PNP1" s="74"/>
      <c r="PNQ1" s="74"/>
      <c r="PNR1" s="74"/>
      <c r="PNS1" s="74"/>
      <c r="PNT1" s="74"/>
      <c r="PNU1" s="74"/>
      <c r="PNV1" s="74"/>
      <c r="PNW1" s="74"/>
      <c r="PNX1" s="74"/>
      <c r="PNY1" s="74"/>
      <c r="PNZ1" s="74"/>
      <c r="POA1" s="74"/>
      <c r="POB1" s="74"/>
      <c r="POC1" s="74"/>
      <c r="POD1" s="74"/>
      <c r="POE1" s="74"/>
      <c r="POF1" s="74"/>
      <c r="POG1" s="74"/>
      <c r="POH1" s="74"/>
      <c r="POI1" s="74"/>
      <c r="POJ1" s="74"/>
      <c r="POK1" s="74"/>
      <c r="POL1" s="74"/>
      <c r="POM1" s="74"/>
      <c r="PON1" s="74"/>
      <c r="POO1" s="74"/>
      <c r="POP1" s="74"/>
      <c r="POQ1" s="74"/>
      <c r="POR1" s="74"/>
      <c r="POS1" s="74"/>
      <c r="POT1" s="74"/>
      <c r="POU1" s="74"/>
      <c r="POV1" s="74"/>
      <c r="POW1" s="74"/>
      <c r="POX1" s="74"/>
      <c r="POY1" s="74"/>
      <c r="POZ1" s="74"/>
      <c r="PPA1" s="74"/>
      <c r="PPB1" s="74"/>
      <c r="PPC1" s="74"/>
      <c r="PPD1" s="74"/>
      <c r="PPE1" s="74"/>
      <c r="PPF1" s="74"/>
      <c r="PPG1" s="74"/>
      <c r="PPH1" s="74"/>
      <c r="PPI1" s="74"/>
      <c r="PPJ1" s="74"/>
      <c r="PPK1" s="74"/>
      <c r="PPL1" s="74"/>
      <c r="PPM1" s="74"/>
      <c r="PPN1" s="74"/>
      <c r="PPO1" s="74"/>
      <c r="PPP1" s="74"/>
      <c r="PPQ1" s="74"/>
      <c r="PPR1" s="74"/>
      <c r="PPS1" s="74"/>
      <c r="PPT1" s="74"/>
      <c r="PPU1" s="74"/>
      <c r="PPV1" s="74"/>
      <c r="PPW1" s="74"/>
      <c r="PPX1" s="74"/>
      <c r="PPY1" s="74"/>
      <c r="PPZ1" s="74"/>
      <c r="PQA1" s="74"/>
      <c r="PQB1" s="74"/>
      <c r="PQC1" s="74"/>
      <c r="PQD1" s="74"/>
      <c r="PQE1" s="74"/>
      <c r="PQF1" s="74"/>
      <c r="PQG1" s="74"/>
      <c r="PQH1" s="74"/>
      <c r="PQI1" s="74"/>
      <c r="PQJ1" s="74"/>
      <c r="PQK1" s="74"/>
      <c r="PQL1" s="74"/>
      <c r="PQM1" s="74"/>
      <c r="PQN1" s="74"/>
      <c r="PQO1" s="74"/>
      <c r="PQP1" s="74"/>
      <c r="PQQ1" s="74"/>
      <c r="PQR1" s="74"/>
      <c r="PQS1" s="74"/>
      <c r="PQT1" s="74"/>
      <c r="PQU1" s="74"/>
      <c r="PQV1" s="74"/>
      <c r="PQW1" s="74"/>
      <c r="PQX1" s="74"/>
      <c r="PQY1" s="74"/>
      <c r="PQZ1" s="74"/>
      <c r="PRA1" s="74"/>
      <c r="PRB1" s="74"/>
      <c r="PRC1" s="74"/>
      <c r="PRD1" s="74"/>
      <c r="PRE1" s="74"/>
      <c r="PRF1" s="74"/>
      <c r="PRG1" s="74"/>
      <c r="PRH1" s="74"/>
      <c r="PRI1" s="74"/>
      <c r="PRJ1" s="74"/>
      <c r="PRK1" s="74"/>
      <c r="PRL1" s="74"/>
      <c r="PRM1" s="74"/>
      <c r="PRN1" s="74"/>
      <c r="PRO1" s="74"/>
      <c r="PRP1" s="74"/>
      <c r="PRQ1" s="74"/>
      <c r="PRR1" s="74"/>
      <c r="PRS1" s="74"/>
      <c r="PRT1" s="74"/>
      <c r="PRU1" s="74"/>
      <c r="PRV1" s="74"/>
      <c r="PRW1" s="74"/>
      <c r="PRX1" s="74"/>
      <c r="PRY1" s="74"/>
      <c r="PRZ1" s="74"/>
      <c r="PSA1" s="74"/>
      <c r="PSB1" s="74"/>
      <c r="PSC1" s="74"/>
      <c r="PSD1" s="74"/>
      <c r="PSE1" s="74"/>
      <c r="PSF1" s="74"/>
      <c r="PSG1" s="74"/>
      <c r="PSH1" s="74"/>
      <c r="PSI1" s="74"/>
      <c r="PSJ1" s="74"/>
      <c r="PSK1" s="74"/>
      <c r="PSL1" s="74"/>
      <c r="PSM1" s="74"/>
      <c r="PSN1" s="74"/>
      <c r="PSO1" s="74"/>
      <c r="PSP1" s="74"/>
      <c r="PSQ1" s="74"/>
      <c r="PSR1" s="74"/>
      <c r="PSS1" s="74"/>
      <c r="PST1" s="74"/>
      <c r="PSU1" s="74"/>
      <c r="PSV1" s="74"/>
      <c r="PSW1" s="74"/>
      <c r="PSX1" s="74"/>
      <c r="PSY1" s="74"/>
      <c r="PSZ1" s="74"/>
      <c r="PTA1" s="74"/>
      <c r="PTB1" s="74"/>
      <c r="PTC1" s="74"/>
      <c r="PTD1" s="74"/>
      <c r="PTE1" s="74"/>
      <c r="PTF1" s="74"/>
      <c r="PTG1" s="74"/>
      <c r="PTH1" s="74"/>
      <c r="PTI1" s="74"/>
      <c r="PTJ1" s="74"/>
      <c r="PTK1" s="74"/>
      <c r="PTL1" s="74"/>
      <c r="PTM1" s="74"/>
      <c r="PTN1" s="74"/>
      <c r="PTO1" s="74"/>
      <c r="PTP1" s="74"/>
      <c r="PTQ1" s="74"/>
      <c r="PTR1" s="74"/>
      <c r="PTS1" s="74"/>
      <c r="PTT1" s="74"/>
      <c r="PTU1" s="74"/>
      <c r="PTV1" s="74"/>
      <c r="PTW1" s="74"/>
      <c r="PTX1" s="74"/>
      <c r="PTY1" s="74"/>
      <c r="PTZ1" s="74"/>
      <c r="PUA1" s="74"/>
      <c r="PUB1" s="74"/>
      <c r="PUC1" s="74"/>
      <c r="PUD1" s="74"/>
      <c r="PUE1" s="74"/>
      <c r="PUF1" s="74"/>
      <c r="PUG1" s="74"/>
      <c r="PUH1" s="74"/>
      <c r="PUI1" s="74"/>
      <c r="PUJ1" s="74"/>
      <c r="PUK1" s="74"/>
      <c r="PUL1" s="74"/>
      <c r="PUM1" s="74"/>
      <c r="PUN1" s="74"/>
      <c r="PUO1" s="74"/>
      <c r="PUP1" s="74"/>
      <c r="PUQ1" s="74"/>
      <c r="PUR1" s="74"/>
      <c r="PUS1" s="74"/>
      <c r="PUT1" s="74"/>
      <c r="PUU1" s="74"/>
      <c r="PUV1" s="74"/>
      <c r="PUW1" s="74"/>
      <c r="PUX1" s="74"/>
      <c r="PUY1" s="74"/>
      <c r="PUZ1" s="74"/>
      <c r="PVA1" s="74"/>
      <c r="PVB1" s="74"/>
      <c r="PVC1" s="74"/>
      <c r="PVD1" s="74"/>
      <c r="PVE1" s="74"/>
      <c r="PVF1" s="74"/>
      <c r="PVG1" s="74"/>
      <c r="PVH1" s="74"/>
      <c r="PVI1" s="74"/>
      <c r="PVJ1" s="74"/>
      <c r="PVK1" s="74"/>
      <c r="PVL1" s="74"/>
      <c r="PVM1" s="74"/>
      <c r="PVN1" s="74"/>
      <c r="PVO1" s="74"/>
      <c r="PVP1" s="74"/>
      <c r="PVQ1" s="74"/>
      <c r="PVR1" s="74"/>
      <c r="PVS1" s="74"/>
      <c r="PVT1" s="74"/>
      <c r="PVU1" s="74"/>
      <c r="PVV1" s="74"/>
      <c r="PVW1" s="74"/>
      <c r="PVX1" s="74"/>
      <c r="PVY1" s="74"/>
      <c r="PVZ1" s="74"/>
      <c r="PWA1" s="74"/>
      <c r="PWB1" s="74"/>
      <c r="PWC1" s="74"/>
      <c r="PWD1" s="74"/>
      <c r="PWE1" s="74"/>
      <c r="PWF1" s="74"/>
      <c r="PWG1" s="74"/>
      <c r="PWH1" s="74"/>
      <c r="PWI1" s="74"/>
      <c r="PWJ1" s="74"/>
      <c r="PWK1" s="74"/>
      <c r="PWL1" s="74"/>
      <c r="PWM1" s="74"/>
      <c r="PWN1" s="74"/>
      <c r="PWO1" s="74"/>
      <c r="PWP1" s="74"/>
      <c r="PWQ1" s="74"/>
      <c r="PWR1" s="74"/>
      <c r="PWS1" s="74"/>
      <c r="PWT1" s="74"/>
      <c r="PWU1" s="74"/>
      <c r="PWV1" s="74"/>
      <c r="PWW1" s="74"/>
      <c r="PWX1" s="74"/>
      <c r="PWY1" s="74"/>
      <c r="PWZ1" s="74"/>
      <c r="PXA1" s="74"/>
      <c r="PXB1" s="74"/>
      <c r="PXC1" s="74"/>
      <c r="PXD1" s="74"/>
      <c r="PXE1" s="74"/>
      <c r="PXF1" s="74"/>
      <c r="PXG1" s="74"/>
      <c r="PXH1" s="74"/>
      <c r="PXI1" s="74"/>
      <c r="PXJ1" s="74"/>
      <c r="PXK1" s="74"/>
      <c r="PXL1" s="74"/>
      <c r="PXM1" s="74"/>
      <c r="PXN1" s="74"/>
      <c r="PXO1" s="74"/>
      <c r="PXP1" s="74"/>
      <c r="PXQ1" s="74"/>
      <c r="PXR1" s="74"/>
      <c r="PXS1" s="74"/>
      <c r="PXT1" s="74"/>
      <c r="PXU1" s="74"/>
      <c r="PXV1" s="74"/>
      <c r="PXW1" s="74"/>
      <c r="PXX1" s="74"/>
      <c r="PXY1" s="74"/>
      <c r="PXZ1" s="74"/>
      <c r="PYA1" s="74"/>
      <c r="PYB1" s="74"/>
      <c r="PYC1" s="74"/>
      <c r="PYD1" s="74"/>
      <c r="PYE1" s="74"/>
      <c r="PYF1" s="74"/>
      <c r="PYG1" s="74"/>
      <c r="PYH1" s="74"/>
      <c r="PYI1" s="74"/>
      <c r="PYJ1" s="74"/>
      <c r="PYK1" s="74"/>
      <c r="PYL1" s="74"/>
      <c r="PYM1" s="74"/>
      <c r="PYN1" s="74"/>
      <c r="PYO1" s="74"/>
      <c r="PYP1" s="74"/>
      <c r="PYQ1" s="74"/>
      <c r="PYR1" s="74"/>
      <c r="PYS1" s="74"/>
      <c r="PYT1" s="74"/>
      <c r="PYU1" s="74"/>
      <c r="PYV1" s="74"/>
      <c r="PYW1" s="74"/>
      <c r="PYX1" s="74"/>
      <c r="PYY1" s="74"/>
      <c r="PYZ1" s="74"/>
      <c r="PZA1" s="74"/>
      <c r="PZB1" s="74"/>
      <c r="PZC1" s="74"/>
      <c r="PZD1" s="74"/>
      <c r="PZE1" s="74"/>
      <c r="PZF1" s="74"/>
      <c r="PZG1" s="74"/>
      <c r="PZH1" s="74"/>
      <c r="PZI1" s="74"/>
      <c r="PZJ1" s="74"/>
      <c r="PZK1" s="74"/>
      <c r="PZL1" s="74"/>
      <c r="PZM1" s="74"/>
      <c r="PZN1" s="74"/>
      <c r="PZO1" s="74"/>
      <c r="PZP1" s="74"/>
      <c r="PZQ1" s="74"/>
      <c r="PZR1" s="74"/>
      <c r="PZS1" s="74"/>
      <c r="PZT1" s="74"/>
      <c r="PZU1" s="74"/>
      <c r="PZV1" s="74"/>
      <c r="PZW1" s="74"/>
      <c r="PZX1" s="74"/>
      <c r="PZY1" s="74"/>
      <c r="PZZ1" s="74"/>
      <c r="QAA1" s="74"/>
      <c r="QAB1" s="74"/>
      <c r="QAC1" s="74"/>
      <c r="QAD1" s="74"/>
      <c r="QAE1" s="74"/>
      <c r="QAF1" s="74"/>
      <c r="QAG1" s="74"/>
      <c r="QAH1" s="74"/>
      <c r="QAI1" s="74"/>
      <c r="QAJ1" s="74"/>
      <c r="QAK1" s="74"/>
      <c r="QAL1" s="74"/>
      <c r="QAM1" s="74"/>
      <c r="QAN1" s="74"/>
      <c r="QAO1" s="74"/>
      <c r="QAP1" s="74"/>
      <c r="QAQ1" s="74"/>
      <c r="QAR1" s="74"/>
      <c r="QAS1" s="74"/>
      <c r="QAT1" s="74"/>
      <c r="QAU1" s="74"/>
      <c r="QAV1" s="74"/>
      <c r="QAW1" s="74"/>
      <c r="QAX1" s="74"/>
      <c r="QAY1" s="74"/>
      <c r="QAZ1" s="74"/>
      <c r="QBA1" s="74"/>
      <c r="QBB1" s="74"/>
      <c r="QBC1" s="74"/>
      <c r="QBD1" s="74"/>
      <c r="QBE1" s="74"/>
      <c r="QBF1" s="74"/>
      <c r="QBG1" s="74"/>
      <c r="QBH1" s="74"/>
      <c r="QBI1" s="74"/>
      <c r="QBJ1" s="74"/>
      <c r="QBK1" s="74"/>
      <c r="QBL1" s="74"/>
      <c r="QBM1" s="74"/>
      <c r="QBN1" s="74"/>
      <c r="QBO1" s="74"/>
      <c r="QBP1" s="74"/>
      <c r="QBQ1" s="74"/>
      <c r="QBR1" s="74"/>
      <c r="QBS1" s="74"/>
      <c r="QBT1" s="74"/>
      <c r="QBU1" s="74"/>
      <c r="QBV1" s="74"/>
      <c r="QBW1" s="74"/>
      <c r="QBX1" s="74"/>
      <c r="QBY1" s="74"/>
      <c r="QBZ1" s="74"/>
      <c r="QCA1" s="74"/>
      <c r="QCB1" s="74"/>
      <c r="QCC1" s="74"/>
      <c r="QCD1" s="74"/>
      <c r="QCE1" s="74"/>
      <c r="QCF1" s="74"/>
      <c r="QCG1" s="74"/>
      <c r="QCH1" s="74"/>
      <c r="QCI1" s="74"/>
      <c r="QCJ1" s="74"/>
      <c r="QCK1" s="74"/>
      <c r="QCL1" s="74"/>
      <c r="QCM1" s="74"/>
      <c r="QCN1" s="74"/>
      <c r="QCO1" s="74"/>
      <c r="QCP1" s="74"/>
      <c r="QCQ1" s="74"/>
      <c r="QCR1" s="74"/>
      <c r="QCS1" s="74"/>
      <c r="QCT1" s="74"/>
      <c r="QCU1" s="74"/>
      <c r="QCV1" s="74"/>
      <c r="QCW1" s="74"/>
      <c r="QCX1" s="74"/>
      <c r="QCY1" s="74"/>
      <c r="QCZ1" s="74"/>
      <c r="QDA1" s="74"/>
      <c r="QDB1" s="74"/>
      <c r="QDC1" s="74"/>
      <c r="QDD1" s="74"/>
      <c r="QDE1" s="74"/>
      <c r="QDF1" s="74"/>
      <c r="QDG1" s="74"/>
      <c r="QDH1" s="74"/>
      <c r="QDI1" s="74"/>
      <c r="QDJ1" s="74"/>
      <c r="QDK1" s="74"/>
      <c r="QDL1" s="74"/>
      <c r="QDM1" s="74"/>
      <c r="QDN1" s="74"/>
      <c r="QDO1" s="74"/>
      <c r="QDP1" s="74"/>
      <c r="QDQ1" s="74"/>
      <c r="QDR1" s="74"/>
      <c r="QDS1" s="74"/>
      <c r="QDT1" s="74"/>
      <c r="QDU1" s="74"/>
      <c r="QDV1" s="74"/>
      <c r="QDW1" s="74"/>
      <c r="QDX1" s="74"/>
      <c r="QDY1" s="74"/>
      <c r="QDZ1" s="74"/>
      <c r="QEA1" s="74"/>
      <c r="QEB1" s="74"/>
      <c r="QEC1" s="74"/>
      <c r="QED1" s="74"/>
      <c r="QEE1" s="74"/>
      <c r="QEF1" s="74"/>
      <c r="QEG1" s="74"/>
      <c r="QEH1" s="74"/>
      <c r="QEI1" s="74"/>
      <c r="QEJ1" s="74"/>
      <c r="QEK1" s="74"/>
      <c r="QEL1" s="74"/>
      <c r="QEM1" s="74"/>
      <c r="QEN1" s="74"/>
      <c r="QEO1" s="74"/>
      <c r="QEP1" s="74"/>
      <c r="QEQ1" s="74"/>
      <c r="QER1" s="74"/>
      <c r="QES1" s="74"/>
      <c r="QET1" s="74"/>
      <c r="QEU1" s="74"/>
      <c r="QEV1" s="74"/>
      <c r="QEW1" s="74"/>
      <c r="QEX1" s="74"/>
      <c r="QEY1" s="74"/>
      <c r="QEZ1" s="74"/>
      <c r="QFA1" s="74"/>
      <c r="QFB1" s="74"/>
      <c r="QFC1" s="74"/>
      <c r="QFD1" s="74"/>
      <c r="QFE1" s="74"/>
      <c r="QFF1" s="74"/>
      <c r="QFG1" s="74"/>
      <c r="QFH1" s="74"/>
      <c r="QFI1" s="74"/>
      <c r="QFJ1" s="74"/>
      <c r="QFK1" s="74"/>
      <c r="QFL1" s="74"/>
      <c r="QFM1" s="74"/>
      <c r="QFN1" s="74"/>
      <c r="QFO1" s="74"/>
      <c r="QFP1" s="74"/>
      <c r="QFQ1" s="74"/>
      <c r="QFR1" s="74"/>
      <c r="QFS1" s="74"/>
      <c r="QFT1" s="74"/>
      <c r="QFU1" s="74"/>
      <c r="QFV1" s="74"/>
      <c r="QFW1" s="74"/>
      <c r="QFX1" s="74"/>
      <c r="QFY1" s="74"/>
      <c r="QFZ1" s="74"/>
      <c r="QGA1" s="74"/>
      <c r="QGB1" s="74"/>
      <c r="QGC1" s="74"/>
      <c r="QGD1" s="74"/>
      <c r="QGE1" s="74"/>
      <c r="QGF1" s="74"/>
      <c r="QGG1" s="74"/>
      <c r="QGH1" s="74"/>
      <c r="QGI1" s="74"/>
      <c r="QGJ1" s="74"/>
      <c r="QGK1" s="74"/>
      <c r="QGL1" s="74"/>
      <c r="QGM1" s="74"/>
      <c r="QGN1" s="74"/>
      <c r="QGO1" s="74"/>
      <c r="QGP1" s="74"/>
      <c r="QGQ1" s="74"/>
      <c r="QGR1" s="74"/>
      <c r="QGS1" s="74"/>
      <c r="QGT1" s="74"/>
      <c r="QGU1" s="74"/>
      <c r="QGV1" s="74"/>
      <c r="QGW1" s="74"/>
      <c r="QGX1" s="74"/>
      <c r="QGY1" s="74"/>
      <c r="QGZ1" s="74"/>
      <c r="QHA1" s="74"/>
      <c r="QHB1" s="74"/>
      <c r="QHC1" s="74"/>
      <c r="QHD1" s="74"/>
      <c r="QHE1" s="74"/>
      <c r="QHF1" s="74"/>
      <c r="QHG1" s="74"/>
      <c r="QHH1" s="74"/>
      <c r="QHI1" s="74"/>
      <c r="QHJ1" s="74"/>
      <c r="QHK1" s="74"/>
      <c r="QHL1" s="74"/>
      <c r="QHM1" s="74"/>
      <c r="QHN1" s="74"/>
      <c r="QHO1" s="74"/>
      <c r="QHP1" s="74"/>
      <c r="QHQ1" s="74"/>
      <c r="QHR1" s="74"/>
      <c r="QHS1" s="74"/>
      <c r="QHT1" s="74"/>
      <c r="QHU1" s="74"/>
      <c r="QHV1" s="74"/>
      <c r="QHW1" s="74"/>
      <c r="QHX1" s="74"/>
      <c r="QHY1" s="74"/>
      <c r="QHZ1" s="74"/>
      <c r="QIA1" s="74"/>
      <c r="QIB1" s="74"/>
      <c r="QIC1" s="74"/>
      <c r="QID1" s="74"/>
      <c r="QIE1" s="74"/>
      <c r="QIF1" s="74"/>
      <c r="QIG1" s="74"/>
      <c r="QIH1" s="74"/>
      <c r="QII1" s="74"/>
      <c r="QIJ1" s="74"/>
      <c r="QIK1" s="74"/>
      <c r="QIL1" s="74"/>
      <c r="QIM1" s="74"/>
      <c r="QIN1" s="74"/>
      <c r="QIO1" s="74"/>
      <c r="QIP1" s="74"/>
      <c r="QIQ1" s="74"/>
      <c r="QIR1" s="74"/>
      <c r="QIS1" s="74"/>
      <c r="QIT1" s="74"/>
      <c r="QIU1" s="74"/>
      <c r="QIV1" s="74"/>
      <c r="QIW1" s="74"/>
      <c r="QIX1" s="74"/>
      <c r="QIY1" s="74"/>
      <c r="QIZ1" s="74"/>
      <c r="QJA1" s="74"/>
      <c r="QJB1" s="74"/>
      <c r="QJC1" s="74"/>
      <c r="QJD1" s="74"/>
      <c r="QJE1" s="74"/>
      <c r="QJF1" s="74"/>
      <c r="QJG1" s="74"/>
      <c r="QJH1" s="74"/>
      <c r="QJI1" s="74"/>
      <c r="QJJ1" s="74"/>
      <c r="QJK1" s="74"/>
      <c r="QJL1" s="74"/>
      <c r="QJM1" s="74"/>
      <c r="QJN1" s="74"/>
      <c r="QJO1" s="74"/>
      <c r="QJP1" s="74"/>
      <c r="QJQ1" s="74"/>
      <c r="QJR1" s="74"/>
      <c r="QJS1" s="74"/>
      <c r="QJT1" s="74"/>
      <c r="QJU1" s="74"/>
      <c r="QJV1" s="74"/>
      <c r="QJW1" s="74"/>
      <c r="QJX1" s="74"/>
      <c r="QJY1" s="74"/>
      <c r="QJZ1" s="74"/>
      <c r="QKA1" s="74"/>
      <c r="QKB1" s="74"/>
      <c r="QKC1" s="74"/>
      <c r="QKD1" s="74"/>
      <c r="QKE1" s="74"/>
      <c r="QKF1" s="74"/>
      <c r="QKG1" s="74"/>
      <c r="QKH1" s="74"/>
      <c r="QKI1" s="74"/>
      <c r="QKJ1" s="74"/>
      <c r="QKK1" s="74"/>
      <c r="QKL1" s="74"/>
      <c r="QKM1" s="74"/>
      <c r="QKN1" s="74"/>
      <c r="QKO1" s="74"/>
      <c r="QKP1" s="74"/>
      <c r="QKQ1" s="74"/>
      <c r="QKR1" s="74"/>
      <c r="QKS1" s="74"/>
      <c r="QKT1" s="74"/>
      <c r="QKU1" s="74"/>
      <c r="QKV1" s="74"/>
      <c r="QKW1" s="74"/>
      <c r="QKX1" s="74"/>
      <c r="QKY1" s="74"/>
      <c r="QKZ1" s="74"/>
      <c r="QLA1" s="74"/>
      <c r="QLB1" s="74"/>
      <c r="QLC1" s="74"/>
      <c r="QLD1" s="74"/>
      <c r="QLE1" s="74"/>
      <c r="QLF1" s="74"/>
      <c r="QLG1" s="74"/>
      <c r="QLH1" s="74"/>
      <c r="QLI1" s="74"/>
      <c r="QLJ1" s="74"/>
      <c r="QLK1" s="74"/>
      <c r="QLL1" s="74"/>
      <c r="QLM1" s="74"/>
      <c r="QLN1" s="74"/>
      <c r="QLO1" s="74"/>
      <c r="QLP1" s="74"/>
      <c r="QLQ1" s="74"/>
      <c r="QLR1" s="74"/>
      <c r="QLS1" s="74"/>
      <c r="QLT1" s="74"/>
      <c r="QLU1" s="74"/>
      <c r="QLV1" s="74"/>
      <c r="QLW1" s="74"/>
      <c r="QLX1" s="74"/>
      <c r="QLY1" s="74"/>
      <c r="QLZ1" s="74"/>
      <c r="QMA1" s="74"/>
      <c r="QMB1" s="74"/>
      <c r="QMC1" s="74"/>
      <c r="QMD1" s="74"/>
      <c r="QME1" s="74"/>
      <c r="QMF1" s="74"/>
      <c r="QMG1" s="74"/>
      <c r="QMH1" s="74"/>
      <c r="QMI1" s="74"/>
      <c r="QMJ1" s="74"/>
      <c r="QMK1" s="74"/>
      <c r="QML1" s="74"/>
      <c r="QMM1" s="74"/>
      <c r="QMN1" s="74"/>
      <c r="QMO1" s="74"/>
      <c r="QMP1" s="74"/>
      <c r="QMQ1" s="74"/>
      <c r="QMR1" s="74"/>
      <c r="QMS1" s="74"/>
      <c r="QMT1" s="74"/>
      <c r="QMU1" s="74"/>
      <c r="QMV1" s="74"/>
      <c r="QMW1" s="74"/>
      <c r="QMX1" s="74"/>
      <c r="QMY1" s="74"/>
      <c r="QMZ1" s="74"/>
      <c r="QNA1" s="74"/>
      <c r="QNB1" s="74"/>
      <c r="QNC1" s="74"/>
      <c r="QND1" s="74"/>
      <c r="QNE1" s="74"/>
      <c r="QNF1" s="74"/>
      <c r="QNG1" s="74"/>
      <c r="QNH1" s="74"/>
      <c r="QNI1" s="74"/>
      <c r="QNJ1" s="74"/>
      <c r="QNK1" s="74"/>
      <c r="QNL1" s="74"/>
      <c r="QNM1" s="74"/>
      <c r="QNN1" s="74"/>
      <c r="QNO1" s="74"/>
      <c r="QNP1" s="74"/>
      <c r="QNQ1" s="74"/>
      <c r="QNR1" s="74"/>
      <c r="QNS1" s="74"/>
      <c r="QNT1" s="74"/>
      <c r="QNU1" s="74"/>
      <c r="QNV1" s="74"/>
      <c r="QNW1" s="74"/>
      <c r="QNX1" s="74"/>
      <c r="QNY1" s="74"/>
      <c r="QNZ1" s="74"/>
      <c r="QOA1" s="74"/>
      <c r="QOB1" s="74"/>
      <c r="QOC1" s="74"/>
      <c r="QOD1" s="74"/>
      <c r="QOE1" s="74"/>
      <c r="QOF1" s="74"/>
      <c r="QOG1" s="74"/>
      <c r="QOH1" s="74"/>
      <c r="QOI1" s="74"/>
      <c r="QOJ1" s="74"/>
      <c r="QOK1" s="74"/>
      <c r="QOL1" s="74"/>
      <c r="QOM1" s="74"/>
      <c r="QON1" s="74"/>
      <c r="QOO1" s="74"/>
      <c r="QOP1" s="74"/>
      <c r="QOQ1" s="74"/>
      <c r="QOR1" s="74"/>
      <c r="QOS1" s="74"/>
      <c r="QOT1" s="74"/>
      <c r="QOU1" s="74"/>
      <c r="QOV1" s="74"/>
      <c r="QOW1" s="74"/>
      <c r="QOX1" s="74"/>
      <c r="QOY1" s="74"/>
      <c r="QOZ1" s="74"/>
      <c r="QPA1" s="74"/>
      <c r="QPB1" s="74"/>
      <c r="QPC1" s="74"/>
      <c r="QPD1" s="74"/>
      <c r="QPE1" s="74"/>
      <c r="QPF1" s="74"/>
      <c r="QPG1" s="74"/>
      <c r="QPH1" s="74"/>
      <c r="QPI1" s="74"/>
      <c r="QPJ1" s="74"/>
      <c r="QPK1" s="74"/>
      <c r="QPL1" s="74"/>
      <c r="QPM1" s="74"/>
      <c r="QPN1" s="74"/>
      <c r="QPO1" s="74"/>
      <c r="QPP1" s="74"/>
      <c r="QPQ1" s="74"/>
      <c r="QPR1" s="74"/>
      <c r="QPS1" s="74"/>
      <c r="QPT1" s="74"/>
      <c r="QPU1" s="74"/>
      <c r="QPV1" s="74"/>
      <c r="QPW1" s="74"/>
      <c r="QPX1" s="74"/>
      <c r="QPY1" s="74"/>
      <c r="QPZ1" s="74"/>
      <c r="QQA1" s="74"/>
      <c r="QQB1" s="74"/>
      <c r="QQC1" s="74"/>
      <c r="QQD1" s="74"/>
      <c r="QQE1" s="74"/>
      <c r="QQF1" s="74"/>
      <c r="QQG1" s="74"/>
      <c r="QQH1" s="74"/>
      <c r="QQI1" s="74"/>
      <c r="QQJ1" s="74"/>
      <c r="QQK1" s="74"/>
      <c r="QQL1" s="74"/>
      <c r="QQM1" s="74"/>
      <c r="QQN1" s="74"/>
      <c r="QQO1" s="74"/>
      <c r="QQP1" s="74"/>
      <c r="QQQ1" s="74"/>
      <c r="QQR1" s="74"/>
      <c r="QQS1" s="74"/>
      <c r="QQT1" s="74"/>
      <c r="QQU1" s="74"/>
      <c r="QQV1" s="74"/>
      <c r="QQW1" s="74"/>
      <c r="QQX1" s="74"/>
      <c r="QQY1" s="74"/>
      <c r="QQZ1" s="74"/>
      <c r="QRA1" s="74"/>
      <c r="QRB1" s="74"/>
      <c r="QRC1" s="74"/>
      <c r="QRD1" s="74"/>
      <c r="QRE1" s="74"/>
      <c r="QRF1" s="74"/>
      <c r="QRG1" s="74"/>
      <c r="QRH1" s="74"/>
      <c r="QRI1" s="74"/>
      <c r="QRJ1" s="74"/>
      <c r="QRK1" s="74"/>
      <c r="QRL1" s="74"/>
      <c r="QRM1" s="74"/>
      <c r="QRN1" s="74"/>
      <c r="QRO1" s="74"/>
      <c r="QRP1" s="74"/>
      <c r="QRQ1" s="74"/>
      <c r="QRR1" s="74"/>
      <c r="QRS1" s="74"/>
      <c r="QRT1" s="74"/>
      <c r="QRU1" s="74"/>
      <c r="QRV1" s="74"/>
      <c r="QRW1" s="74"/>
      <c r="QRX1" s="74"/>
      <c r="QRY1" s="74"/>
      <c r="QRZ1" s="74"/>
      <c r="QSA1" s="74"/>
      <c r="QSB1" s="74"/>
      <c r="QSC1" s="74"/>
      <c r="QSD1" s="74"/>
      <c r="QSE1" s="74"/>
      <c r="QSF1" s="74"/>
      <c r="QSG1" s="74"/>
      <c r="QSH1" s="74"/>
      <c r="QSI1" s="74"/>
      <c r="QSJ1" s="74"/>
      <c r="QSK1" s="74"/>
      <c r="QSL1" s="74"/>
      <c r="QSM1" s="74"/>
      <c r="QSN1" s="74"/>
      <c r="QSO1" s="74"/>
      <c r="QSP1" s="74"/>
      <c r="QSQ1" s="74"/>
      <c r="QSR1" s="74"/>
      <c r="QSS1" s="74"/>
      <c r="QST1" s="74"/>
      <c r="QSU1" s="74"/>
      <c r="QSV1" s="74"/>
      <c r="QSW1" s="74"/>
      <c r="QSX1" s="74"/>
      <c r="QSY1" s="74"/>
      <c r="QSZ1" s="74"/>
      <c r="QTA1" s="74"/>
      <c r="QTB1" s="74"/>
      <c r="QTC1" s="74"/>
      <c r="QTD1" s="74"/>
      <c r="QTE1" s="74"/>
      <c r="QTF1" s="74"/>
      <c r="QTG1" s="74"/>
      <c r="QTH1" s="74"/>
      <c r="QTI1" s="74"/>
      <c r="QTJ1" s="74"/>
      <c r="QTK1" s="74"/>
      <c r="QTL1" s="74"/>
      <c r="QTM1" s="74"/>
      <c r="QTN1" s="74"/>
      <c r="QTO1" s="74"/>
      <c r="QTP1" s="74"/>
      <c r="QTQ1" s="74"/>
      <c r="QTR1" s="74"/>
      <c r="QTS1" s="74"/>
      <c r="QTT1" s="74"/>
      <c r="QTU1" s="74"/>
      <c r="QTV1" s="74"/>
      <c r="QTW1" s="74"/>
      <c r="QTX1" s="74"/>
      <c r="QTY1" s="74"/>
      <c r="QTZ1" s="74"/>
      <c r="QUA1" s="74"/>
      <c r="QUB1" s="74"/>
      <c r="QUC1" s="74"/>
      <c r="QUD1" s="74"/>
      <c r="QUE1" s="74"/>
      <c r="QUF1" s="74"/>
      <c r="QUG1" s="74"/>
      <c r="QUH1" s="74"/>
      <c r="QUI1" s="74"/>
      <c r="QUJ1" s="74"/>
      <c r="QUK1" s="74"/>
      <c r="QUL1" s="74"/>
      <c r="QUM1" s="74"/>
      <c r="QUN1" s="74"/>
      <c r="QUO1" s="74"/>
      <c r="QUP1" s="74"/>
      <c r="QUQ1" s="74"/>
      <c r="QUR1" s="74"/>
      <c r="QUS1" s="74"/>
      <c r="QUT1" s="74"/>
      <c r="QUU1" s="74"/>
      <c r="QUV1" s="74"/>
      <c r="QUW1" s="74"/>
      <c r="QUX1" s="74"/>
      <c r="QUY1" s="74"/>
      <c r="QUZ1" s="74"/>
      <c r="QVA1" s="74"/>
      <c r="QVB1" s="74"/>
      <c r="QVC1" s="74"/>
      <c r="QVD1" s="74"/>
      <c r="QVE1" s="74"/>
      <c r="QVF1" s="74"/>
      <c r="QVG1" s="74"/>
      <c r="QVH1" s="74"/>
      <c r="QVI1" s="74"/>
      <c r="QVJ1" s="74"/>
      <c r="QVK1" s="74"/>
      <c r="QVL1" s="74"/>
      <c r="QVM1" s="74"/>
      <c r="QVN1" s="74"/>
      <c r="QVO1" s="74"/>
      <c r="QVP1" s="74"/>
      <c r="QVQ1" s="74"/>
      <c r="QVR1" s="74"/>
      <c r="QVS1" s="74"/>
      <c r="QVT1" s="74"/>
      <c r="QVU1" s="74"/>
      <c r="QVV1" s="74"/>
      <c r="QVW1" s="74"/>
      <c r="QVX1" s="74"/>
      <c r="QVY1" s="74"/>
      <c r="QVZ1" s="74"/>
      <c r="QWA1" s="74"/>
      <c r="QWB1" s="74"/>
      <c r="QWC1" s="74"/>
      <c r="QWD1" s="74"/>
      <c r="QWE1" s="74"/>
      <c r="QWF1" s="74"/>
      <c r="QWG1" s="74"/>
      <c r="QWH1" s="74"/>
      <c r="QWI1" s="74"/>
      <c r="QWJ1" s="74"/>
      <c r="QWK1" s="74"/>
      <c r="QWL1" s="74"/>
      <c r="QWM1" s="74"/>
      <c r="QWN1" s="74"/>
      <c r="QWO1" s="74"/>
      <c r="QWP1" s="74"/>
      <c r="QWQ1" s="74"/>
      <c r="QWR1" s="74"/>
      <c r="QWS1" s="74"/>
      <c r="QWT1" s="74"/>
      <c r="QWU1" s="74"/>
      <c r="QWV1" s="74"/>
      <c r="QWW1" s="74"/>
      <c r="QWX1" s="74"/>
      <c r="QWY1" s="74"/>
      <c r="QWZ1" s="74"/>
      <c r="QXA1" s="74"/>
      <c r="QXB1" s="74"/>
      <c r="QXC1" s="74"/>
      <c r="QXD1" s="74"/>
      <c r="QXE1" s="74"/>
      <c r="QXF1" s="74"/>
      <c r="QXG1" s="74"/>
      <c r="QXH1" s="74"/>
      <c r="QXI1" s="74"/>
      <c r="QXJ1" s="74"/>
      <c r="QXK1" s="74"/>
      <c r="QXL1" s="74"/>
      <c r="QXM1" s="74"/>
      <c r="QXN1" s="74"/>
      <c r="QXO1" s="74"/>
      <c r="QXP1" s="74"/>
      <c r="QXQ1" s="74"/>
      <c r="QXR1" s="74"/>
      <c r="QXS1" s="74"/>
      <c r="QXT1" s="74"/>
      <c r="QXU1" s="74"/>
      <c r="QXV1" s="74"/>
      <c r="QXW1" s="74"/>
      <c r="QXX1" s="74"/>
      <c r="QXY1" s="74"/>
      <c r="QXZ1" s="74"/>
      <c r="QYA1" s="74"/>
      <c r="QYB1" s="74"/>
      <c r="QYC1" s="74"/>
      <c r="QYD1" s="74"/>
      <c r="QYE1" s="74"/>
      <c r="QYF1" s="74"/>
      <c r="QYG1" s="74"/>
      <c r="QYH1" s="74"/>
      <c r="QYI1" s="74"/>
      <c r="QYJ1" s="74"/>
      <c r="QYK1" s="74"/>
      <c r="QYL1" s="74"/>
      <c r="QYM1" s="74"/>
      <c r="QYN1" s="74"/>
      <c r="QYO1" s="74"/>
      <c r="QYP1" s="74"/>
      <c r="QYQ1" s="74"/>
      <c r="QYR1" s="74"/>
      <c r="QYS1" s="74"/>
      <c r="QYT1" s="74"/>
      <c r="QYU1" s="74"/>
      <c r="QYV1" s="74"/>
      <c r="QYW1" s="74"/>
      <c r="QYX1" s="74"/>
      <c r="QYY1" s="74"/>
      <c r="QYZ1" s="74"/>
      <c r="QZA1" s="74"/>
      <c r="QZB1" s="74"/>
      <c r="QZC1" s="74"/>
      <c r="QZD1" s="74"/>
      <c r="QZE1" s="74"/>
      <c r="QZF1" s="74"/>
      <c r="QZG1" s="74"/>
      <c r="QZH1" s="74"/>
      <c r="QZI1" s="74"/>
      <c r="QZJ1" s="74"/>
      <c r="QZK1" s="74"/>
      <c r="QZL1" s="74"/>
      <c r="QZM1" s="74"/>
      <c r="QZN1" s="74"/>
      <c r="QZO1" s="74"/>
      <c r="QZP1" s="74"/>
      <c r="QZQ1" s="74"/>
      <c r="QZR1" s="74"/>
      <c r="QZS1" s="74"/>
      <c r="QZT1" s="74"/>
      <c r="QZU1" s="74"/>
      <c r="QZV1" s="74"/>
      <c r="QZW1" s="74"/>
      <c r="QZX1" s="74"/>
      <c r="QZY1" s="74"/>
      <c r="QZZ1" s="74"/>
      <c r="RAA1" s="74"/>
      <c r="RAB1" s="74"/>
      <c r="RAC1" s="74"/>
      <c r="RAD1" s="74"/>
      <c r="RAE1" s="74"/>
      <c r="RAF1" s="74"/>
      <c r="RAG1" s="74"/>
      <c r="RAH1" s="74"/>
      <c r="RAI1" s="74"/>
      <c r="RAJ1" s="74"/>
      <c r="RAK1" s="74"/>
      <c r="RAL1" s="74"/>
      <c r="RAM1" s="74"/>
      <c r="RAN1" s="74"/>
      <c r="RAO1" s="74"/>
      <c r="RAP1" s="74"/>
      <c r="RAQ1" s="74"/>
      <c r="RAR1" s="74"/>
      <c r="RAS1" s="74"/>
      <c r="RAT1" s="74"/>
      <c r="RAU1" s="74"/>
      <c r="RAV1" s="74"/>
      <c r="RAW1" s="74"/>
      <c r="RAX1" s="74"/>
      <c r="RAY1" s="74"/>
      <c r="RAZ1" s="74"/>
      <c r="RBA1" s="74"/>
      <c r="RBB1" s="74"/>
      <c r="RBC1" s="74"/>
      <c r="RBD1" s="74"/>
      <c r="RBE1" s="74"/>
      <c r="RBF1" s="74"/>
      <c r="RBG1" s="74"/>
      <c r="RBH1" s="74"/>
      <c r="RBI1" s="74"/>
      <c r="RBJ1" s="74"/>
      <c r="RBK1" s="74"/>
      <c r="RBL1" s="74"/>
      <c r="RBM1" s="74"/>
      <c r="RBN1" s="74"/>
      <c r="RBO1" s="74"/>
      <c r="RBP1" s="74"/>
      <c r="RBQ1" s="74"/>
      <c r="RBR1" s="74"/>
      <c r="RBS1" s="74"/>
      <c r="RBT1" s="74"/>
      <c r="RBU1" s="74"/>
      <c r="RBV1" s="74"/>
      <c r="RBW1" s="74"/>
      <c r="RBX1" s="74"/>
      <c r="RBY1" s="74"/>
      <c r="RBZ1" s="74"/>
      <c r="RCA1" s="74"/>
      <c r="RCB1" s="74"/>
      <c r="RCC1" s="74"/>
      <c r="RCD1" s="74"/>
      <c r="RCE1" s="74"/>
      <c r="RCF1" s="74"/>
      <c r="RCG1" s="74"/>
      <c r="RCH1" s="74"/>
      <c r="RCI1" s="74"/>
      <c r="RCJ1" s="74"/>
      <c r="RCK1" s="74"/>
      <c r="RCL1" s="74"/>
      <c r="RCM1" s="74"/>
      <c r="RCN1" s="74"/>
      <c r="RCO1" s="74"/>
      <c r="RCP1" s="74"/>
      <c r="RCQ1" s="74"/>
      <c r="RCR1" s="74"/>
      <c r="RCS1" s="74"/>
      <c r="RCT1" s="74"/>
      <c r="RCU1" s="74"/>
      <c r="RCV1" s="74"/>
      <c r="RCW1" s="74"/>
      <c r="RCX1" s="74"/>
      <c r="RCY1" s="74"/>
      <c r="RCZ1" s="74"/>
      <c r="RDA1" s="74"/>
      <c r="RDB1" s="74"/>
      <c r="RDC1" s="74"/>
      <c r="RDD1" s="74"/>
      <c r="RDE1" s="74"/>
      <c r="RDF1" s="74"/>
      <c r="RDG1" s="74"/>
      <c r="RDH1" s="74"/>
      <c r="RDI1" s="74"/>
      <c r="RDJ1" s="74"/>
      <c r="RDK1" s="74"/>
      <c r="RDL1" s="74"/>
      <c r="RDM1" s="74"/>
      <c r="RDN1" s="74"/>
      <c r="RDO1" s="74"/>
      <c r="RDP1" s="74"/>
      <c r="RDQ1" s="74"/>
      <c r="RDR1" s="74"/>
      <c r="RDS1" s="74"/>
      <c r="RDT1" s="74"/>
      <c r="RDU1" s="74"/>
      <c r="RDV1" s="74"/>
      <c r="RDW1" s="74"/>
      <c r="RDX1" s="74"/>
      <c r="RDY1" s="74"/>
      <c r="RDZ1" s="74"/>
      <c r="REA1" s="74"/>
      <c r="REB1" s="74"/>
      <c r="REC1" s="74"/>
      <c r="RED1" s="74"/>
      <c r="REE1" s="74"/>
      <c r="REF1" s="74"/>
      <c r="REG1" s="74"/>
      <c r="REH1" s="74"/>
      <c r="REI1" s="74"/>
      <c r="REJ1" s="74"/>
      <c r="REK1" s="74"/>
      <c r="REL1" s="74"/>
      <c r="REM1" s="74"/>
      <c r="REN1" s="74"/>
      <c r="REO1" s="74"/>
      <c r="REP1" s="74"/>
      <c r="REQ1" s="74"/>
      <c r="RER1" s="74"/>
      <c r="RES1" s="74"/>
      <c r="RET1" s="74"/>
      <c r="REU1" s="74"/>
      <c r="REV1" s="74"/>
      <c r="REW1" s="74"/>
      <c r="REX1" s="74"/>
      <c r="REY1" s="74"/>
      <c r="REZ1" s="74"/>
      <c r="RFA1" s="74"/>
      <c r="RFB1" s="74"/>
      <c r="RFC1" s="74"/>
      <c r="RFD1" s="74"/>
      <c r="RFE1" s="74"/>
      <c r="RFF1" s="74"/>
      <c r="RFG1" s="74"/>
      <c r="RFH1" s="74"/>
      <c r="RFI1" s="74"/>
      <c r="RFJ1" s="74"/>
      <c r="RFK1" s="74"/>
      <c r="RFL1" s="74"/>
      <c r="RFM1" s="74"/>
      <c r="RFN1" s="74"/>
      <c r="RFO1" s="74"/>
      <c r="RFP1" s="74"/>
      <c r="RFQ1" s="74"/>
      <c r="RFR1" s="74"/>
      <c r="RFS1" s="74"/>
      <c r="RFT1" s="74"/>
      <c r="RFU1" s="74"/>
      <c r="RFV1" s="74"/>
      <c r="RFW1" s="74"/>
      <c r="RFX1" s="74"/>
      <c r="RFY1" s="74"/>
      <c r="RFZ1" s="74"/>
      <c r="RGA1" s="74"/>
      <c r="RGB1" s="74"/>
      <c r="RGC1" s="74"/>
      <c r="RGD1" s="74"/>
      <c r="RGE1" s="74"/>
      <c r="RGF1" s="74"/>
      <c r="RGG1" s="74"/>
      <c r="RGH1" s="74"/>
      <c r="RGI1" s="74"/>
      <c r="RGJ1" s="74"/>
      <c r="RGK1" s="74"/>
      <c r="RGL1" s="74"/>
      <c r="RGM1" s="74"/>
      <c r="RGN1" s="74"/>
      <c r="RGO1" s="74"/>
      <c r="RGP1" s="74"/>
      <c r="RGQ1" s="74"/>
      <c r="RGR1" s="74"/>
      <c r="RGS1" s="74"/>
      <c r="RGT1" s="74"/>
      <c r="RGU1" s="74"/>
      <c r="RGV1" s="74"/>
      <c r="RGW1" s="74"/>
      <c r="RGX1" s="74"/>
      <c r="RGY1" s="74"/>
      <c r="RGZ1" s="74"/>
      <c r="RHA1" s="74"/>
      <c r="RHB1" s="74"/>
      <c r="RHC1" s="74"/>
      <c r="RHD1" s="74"/>
      <c r="RHE1" s="74"/>
      <c r="RHF1" s="74"/>
      <c r="RHG1" s="74"/>
      <c r="RHH1" s="74"/>
      <c r="RHI1" s="74"/>
      <c r="RHJ1" s="74"/>
      <c r="RHK1" s="74"/>
      <c r="RHL1" s="74"/>
      <c r="RHM1" s="74"/>
      <c r="RHN1" s="74"/>
      <c r="RHO1" s="74"/>
      <c r="RHP1" s="74"/>
      <c r="RHQ1" s="74"/>
      <c r="RHR1" s="74"/>
      <c r="RHS1" s="74"/>
      <c r="RHT1" s="74"/>
      <c r="RHU1" s="74"/>
      <c r="RHV1" s="74"/>
      <c r="RHW1" s="74"/>
      <c r="RHX1" s="74"/>
      <c r="RHY1" s="74"/>
      <c r="RHZ1" s="74"/>
      <c r="RIA1" s="74"/>
      <c r="RIB1" s="74"/>
      <c r="RIC1" s="74"/>
      <c r="RID1" s="74"/>
      <c r="RIE1" s="74"/>
      <c r="RIF1" s="74"/>
      <c r="RIG1" s="74"/>
      <c r="RIH1" s="74"/>
      <c r="RII1" s="74"/>
      <c r="RIJ1" s="74"/>
      <c r="RIK1" s="74"/>
      <c r="RIL1" s="74"/>
      <c r="RIM1" s="74"/>
      <c r="RIN1" s="74"/>
      <c r="RIO1" s="74"/>
      <c r="RIP1" s="74"/>
      <c r="RIQ1" s="74"/>
      <c r="RIR1" s="74"/>
      <c r="RIS1" s="74"/>
      <c r="RIT1" s="74"/>
      <c r="RIU1" s="74"/>
      <c r="RIV1" s="74"/>
      <c r="RIW1" s="74"/>
      <c r="RIX1" s="74"/>
      <c r="RIY1" s="74"/>
      <c r="RIZ1" s="74"/>
      <c r="RJA1" s="74"/>
      <c r="RJB1" s="74"/>
      <c r="RJC1" s="74"/>
      <c r="RJD1" s="74"/>
      <c r="RJE1" s="74"/>
      <c r="RJF1" s="74"/>
      <c r="RJG1" s="74"/>
      <c r="RJH1" s="74"/>
      <c r="RJI1" s="74"/>
      <c r="RJJ1" s="74"/>
      <c r="RJK1" s="74"/>
      <c r="RJL1" s="74"/>
      <c r="RJM1" s="74"/>
      <c r="RJN1" s="74"/>
      <c r="RJO1" s="74"/>
      <c r="RJP1" s="74"/>
      <c r="RJQ1" s="74"/>
      <c r="RJR1" s="74"/>
      <c r="RJS1" s="74"/>
      <c r="RJT1" s="74"/>
      <c r="RJU1" s="74"/>
      <c r="RJV1" s="74"/>
      <c r="RJW1" s="74"/>
      <c r="RJX1" s="74"/>
      <c r="RJY1" s="74"/>
      <c r="RJZ1" s="74"/>
      <c r="RKA1" s="74"/>
      <c r="RKB1" s="74"/>
      <c r="RKC1" s="74"/>
      <c r="RKD1" s="74"/>
      <c r="RKE1" s="74"/>
      <c r="RKF1" s="74"/>
      <c r="RKG1" s="74"/>
      <c r="RKH1" s="74"/>
      <c r="RKI1" s="74"/>
      <c r="RKJ1" s="74"/>
      <c r="RKK1" s="74"/>
      <c r="RKL1" s="74"/>
      <c r="RKM1" s="74"/>
      <c r="RKN1" s="74"/>
      <c r="RKO1" s="74"/>
      <c r="RKP1" s="74"/>
      <c r="RKQ1" s="74"/>
      <c r="RKR1" s="74"/>
      <c r="RKS1" s="74"/>
      <c r="RKT1" s="74"/>
      <c r="RKU1" s="74"/>
      <c r="RKV1" s="74"/>
      <c r="RKW1" s="74"/>
      <c r="RKX1" s="74"/>
      <c r="RKY1" s="74"/>
      <c r="RKZ1" s="74"/>
      <c r="RLA1" s="74"/>
      <c r="RLB1" s="74"/>
      <c r="RLC1" s="74"/>
      <c r="RLD1" s="74"/>
      <c r="RLE1" s="74"/>
      <c r="RLF1" s="74"/>
      <c r="RLG1" s="74"/>
      <c r="RLH1" s="74"/>
      <c r="RLI1" s="74"/>
      <c r="RLJ1" s="74"/>
      <c r="RLK1" s="74"/>
      <c r="RLL1" s="74"/>
      <c r="RLM1" s="74"/>
      <c r="RLN1" s="74"/>
      <c r="RLO1" s="74"/>
      <c r="RLP1" s="74"/>
      <c r="RLQ1" s="74"/>
      <c r="RLR1" s="74"/>
      <c r="RLS1" s="74"/>
      <c r="RLT1" s="74"/>
      <c r="RLU1" s="74"/>
      <c r="RLV1" s="74"/>
      <c r="RLW1" s="74"/>
      <c r="RLX1" s="74"/>
      <c r="RLY1" s="74"/>
      <c r="RLZ1" s="74"/>
      <c r="RMA1" s="74"/>
      <c r="RMB1" s="74"/>
      <c r="RMC1" s="74"/>
      <c r="RMD1" s="74"/>
      <c r="RME1" s="74"/>
      <c r="RMF1" s="74"/>
      <c r="RMG1" s="74"/>
      <c r="RMH1" s="74"/>
      <c r="RMI1" s="74"/>
      <c r="RMJ1" s="74"/>
      <c r="RMK1" s="74"/>
      <c r="RML1" s="74"/>
      <c r="RMM1" s="74"/>
      <c r="RMN1" s="74"/>
      <c r="RMO1" s="74"/>
      <c r="RMP1" s="74"/>
      <c r="RMQ1" s="74"/>
      <c r="RMR1" s="74"/>
      <c r="RMS1" s="74"/>
      <c r="RMT1" s="74"/>
      <c r="RMU1" s="74"/>
      <c r="RMV1" s="74"/>
      <c r="RMW1" s="74"/>
      <c r="RMX1" s="74"/>
      <c r="RMY1" s="74"/>
      <c r="RMZ1" s="74"/>
      <c r="RNA1" s="74"/>
      <c r="RNB1" s="74"/>
      <c r="RNC1" s="74"/>
      <c r="RND1" s="74"/>
      <c r="RNE1" s="74"/>
      <c r="RNF1" s="74"/>
      <c r="RNG1" s="74"/>
      <c r="RNH1" s="74"/>
      <c r="RNI1" s="74"/>
      <c r="RNJ1" s="74"/>
      <c r="RNK1" s="74"/>
      <c r="RNL1" s="74"/>
      <c r="RNM1" s="74"/>
      <c r="RNN1" s="74"/>
      <c r="RNO1" s="74"/>
      <c r="RNP1" s="74"/>
      <c r="RNQ1" s="74"/>
      <c r="RNR1" s="74"/>
      <c r="RNS1" s="74"/>
      <c r="RNT1" s="74"/>
      <c r="RNU1" s="74"/>
      <c r="RNV1" s="74"/>
      <c r="RNW1" s="74"/>
      <c r="RNX1" s="74"/>
      <c r="RNY1" s="74"/>
      <c r="RNZ1" s="74"/>
      <c r="ROA1" s="74"/>
      <c r="ROB1" s="74"/>
      <c r="ROC1" s="74"/>
      <c r="ROD1" s="74"/>
      <c r="ROE1" s="74"/>
      <c r="ROF1" s="74"/>
      <c r="ROG1" s="74"/>
      <c r="ROH1" s="74"/>
      <c r="ROI1" s="74"/>
      <c r="ROJ1" s="74"/>
      <c r="ROK1" s="74"/>
      <c r="ROL1" s="74"/>
      <c r="ROM1" s="74"/>
      <c r="RON1" s="74"/>
      <c r="ROO1" s="74"/>
      <c r="ROP1" s="74"/>
      <c r="ROQ1" s="74"/>
      <c r="ROR1" s="74"/>
      <c r="ROS1" s="74"/>
      <c r="ROT1" s="74"/>
      <c r="ROU1" s="74"/>
      <c r="ROV1" s="74"/>
      <c r="ROW1" s="74"/>
      <c r="ROX1" s="74"/>
      <c r="ROY1" s="74"/>
      <c r="ROZ1" s="74"/>
      <c r="RPA1" s="74"/>
      <c r="RPB1" s="74"/>
      <c r="RPC1" s="74"/>
      <c r="RPD1" s="74"/>
      <c r="RPE1" s="74"/>
      <c r="RPF1" s="74"/>
      <c r="RPG1" s="74"/>
      <c r="RPH1" s="74"/>
      <c r="RPI1" s="74"/>
      <c r="RPJ1" s="74"/>
      <c r="RPK1" s="74"/>
      <c r="RPL1" s="74"/>
      <c r="RPM1" s="74"/>
      <c r="RPN1" s="74"/>
      <c r="RPO1" s="74"/>
      <c r="RPP1" s="74"/>
      <c r="RPQ1" s="74"/>
      <c r="RPR1" s="74"/>
      <c r="RPS1" s="74"/>
      <c r="RPT1" s="74"/>
      <c r="RPU1" s="74"/>
      <c r="RPV1" s="74"/>
      <c r="RPW1" s="74"/>
      <c r="RPX1" s="74"/>
      <c r="RPY1" s="74"/>
      <c r="RPZ1" s="74"/>
      <c r="RQA1" s="74"/>
      <c r="RQB1" s="74"/>
      <c r="RQC1" s="74"/>
      <c r="RQD1" s="74"/>
      <c r="RQE1" s="74"/>
      <c r="RQF1" s="74"/>
      <c r="RQG1" s="74"/>
      <c r="RQH1" s="74"/>
      <c r="RQI1" s="74"/>
      <c r="RQJ1" s="74"/>
      <c r="RQK1" s="74"/>
      <c r="RQL1" s="74"/>
      <c r="RQM1" s="74"/>
      <c r="RQN1" s="74"/>
      <c r="RQO1" s="74"/>
      <c r="RQP1" s="74"/>
      <c r="RQQ1" s="74"/>
      <c r="RQR1" s="74"/>
      <c r="RQS1" s="74"/>
      <c r="RQT1" s="74"/>
      <c r="RQU1" s="74"/>
      <c r="RQV1" s="74"/>
      <c r="RQW1" s="74"/>
      <c r="RQX1" s="74"/>
      <c r="RQY1" s="74"/>
      <c r="RQZ1" s="74"/>
      <c r="RRA1" s="74"/>
      <c r="RRB1" s="74"/>
      <c r="RRC1" s="74"/>
      <c r="RRD1" s="74"/>
      <c r="RRE1" s="74"/>
      <c r="RRF1" s="74"/>
      <c r="RRG1" s="74"/>
      <c r="RRH1" s="74"/>
      <c r="RRI1" s="74"/>
      <c r="RRJ1" s="74"/>
      <c r="RRK1" s="74"/>
      <c r="RRL1" s="74"/>
      <c r="RRM1" s="74"/>
      <c r="RRN1" s="74"/>
      <c r="RRO1" s="74"/>
      <c r="RRP1" s="74"/>
      <c r="RRQ1" s="74"/>
      <c r="RRR1" s="74"/>
      <c r="RRS1" s="74"/>
      <c r="RRT1" s="74"/>
      <c r="RRU1" s="74"/>
      <c r="RRV1" s="74"/>
      <c r="RRW1" s="74"/>
      <c r="RRX1" s="74"/>
      <c r="RRY1" s="74"/>
      <c r="RRZ1" s="74"/>
      <c r="RSA1" s="74"/>
      <c r="RSB1" s="74"/>
      <c r="RSC1" s="74"/>
      <c r="RSD1" s="74"/>
      <c r="RSE1" s="74"/>
      <c r="RSF1" s="74"/>
      <c r="RSG1" s="74"/>
      <c r="RSH1" s="74"/>
      <c r="RSI1" s="74"/>
      <c r="RSJ1" s="74"/>
      <c r="RSK1" s="74"/>
      <c r="RSL1" s="74"/>
      <c r="RSM1" s="74"/>
      <c r="RSN1" s="74"/>
      <c r="RSO1" s="74"/>
      <c r="RSP1" s="74"/>
      <c r="RSQ1" s="74"/>
      <c r="RSR1" s="74"/>
      <c r="RSS1" s="74"/>
      <c r="RST1" s="74"/>
      <c r="RSU1" s="74"/>
      <c r="RSV1" s="74"/>
      <c r="RSW1" s="74"/>
      <c r="RSX1" s="74"/>
      <c r="RSY1" s="74"/>
      <c r="RSZ1" s="74"/>
      <c r="RTA1" s="74"/>
      <c r="RTB1" s="74"/>
      <c r="RTC1" s="74"/>
      <c r="RTD1" s="74"/>
      <c r="RTE1" s="74"/>
      <c r="RTF1" s="74"/>
      <c r="RTG1" s="74"/>
      <c r="RTH1" s="74"/>
      <c r="RTI1" s="74"/>
      <c r="RTJ1" s="74"/>
      <c r="RTK1" s="74"/>
      <c r="RTL1" s="74"/>
      <c r="RTM1" s="74"/>
      <c r="RTN1" s="74"/>
      <c r="RTO1" s="74"/>
      <c r="RTP1" s="74"/>
      <c r="RTQ1" s="74"/>
      <c r="RTR1" s="74"/>
      <c r="RTS1" s="74"/>
      <c r="RTT1" s="74"/>
      <c r="RTU1" s="74"/>
      <c r="RTV1" s="74"/>
      <c r="RTW1" s="74"/>
      <c r="RTX1" s="74"/>
      <c r="RTY1" s="74"/>
      <c r="RTZ1" s="74"/>
      <c r="RUA1" s="74"/>
      <c r="RUB1" s="74"/>
      <c r="RUC1" s="74"/>
      <c r="RUD1" s="74"/>
      <c r="RUE1" s="74"/>
      <c r="RUF1" s="74"/>
      <c r="RUG1" s="74"/>
      <c r="RUH1" s="74"/>
      <c r="RUI1" s="74"/>
      <c r="RUJ1" s="74"/>
      <c r="RUK1" s="74"/>
      <c r="RUL1" s="74"/>
      <c r="RUM1" s="74"/>
      <c r="RUN1" s="74"/>
      <c r="RUO1" s="74"/>
      <c r="RUP1" s="74"/>
      <c r="RUQ1" s="74"/>
      <c r="RUR1" s="74"/>
      <c r="RUS1" s="74"/>
      <c r="RUT1" s="74"/>
      <c r="RUU1" s="74"/>
      <c r="RUV1" s="74"/>
      <c r="RUW1" s="74"/>
      <c r="RUX1" s="74"/>
      <c r="RUY1" s="74"/>
      <c r="RUZ1" s="74"/>
      <c r="RVA1" s="74"/>
      <c r="RVB1" s="74"/>
      <c r="RVC1" s="74"/>
      <c r="RVD1" s="74"/>
      <c r="RVE1" s="74"/>
      <c r="RVF1" s="74"/>
      <c r="RVG1" s="74"/>
      <c r="RVH1" s="74"/>
      <c r="RVI1" s="74"/>
      <c r="RVJ1" s="74"/>
      <c r="RVK1" s="74"/>
      <c r="RVL1" s="74"/>
      <c r="RVM1" s="74"/>
      <c r="RVN1" s="74"/>
      <c r="RVO1" s="74"/>
      <c r="RVP1" s="74"/>
      <c r="RVQ1" s="74"/>
      <c r="RVR1" s="74"/>
      <c r="RVS1" s="74"/>
      <c r="RVT1" s="74"/>
      <c r="RVU1" s="74"/>
      <c r="RVV1" s="74"/>
      <c r="RVW1" s="74"/>
      <c r="RVX1" s="74"/>
      <c r="RVY1" s="74"/>
      <c r="RVZ1" s="74"/>
      <c r="RWA1" s="74"/>
      <c r="RWB1" s="74"/>
      <c r="RWC1" s="74"/>
      <c r="RWD1" s="74"/>
      <c r="RWE1" s="74"/>
      <c r="RWF1" s="74"/>
      <c r="RWG1" s="74"/>
      <c r="RWH1" s="74"/>
      <c r="RWI1" s="74"/>
      <c r="RWJ1" s="74"/>
      <c r="RWK1" s="74"/>
      <c r="RWL1" s="74"/>
      <c r="RWM1" s="74"/>
      <c r="RWN1" s="74"/>
      <c r="RWO1" s="74"/>
      <c r="RWP1" s="74"/>
      <c r="RWQ1" s="74"/>
      <c r="RWR1" s="74"/>
      <c r="RWS1" s="74"/>
      <c r="RWT1" s="74"/>
      <c r="RWU1" s="74"/>
      <c r="RWV1" s="74"/>
      <c r="RWW1" s="74"/>
      <c r="RWX1" s="74"/>
      <c r="RWY1" s="74"/>
      <c r="RWZ1" s="74"/>
      <c r="RXA1" s="74"/>
      <c r="RXB1" s="74"/>
      <c r="RXC1" s="74"/>
      <c r="RXD1" s="74"/>
      <c r="RXE1" s="74"/>
      <c r="RXF1" s="74"/>
      <c r="RXG1" s="74"/>
      <c r="RXH1" s="74"/>
      <c r="RXI1" s="74"/>
      <c r="RXJ1" s="74"/>
      <c r="RXK1" s="74"/>
      <c r="RXL1" s="74"/>
      <c r="RXM1" s="74"/>
      <c r="RXN1" s="74"/>
      <c r="RXO1" s="74"/>
      <c r="RXP1" s="74"/>
      <c r="RXQ1" s="74"/>
      <c r="RXR1" s="74"/>
      <c r="RXS1" s="74"/>
      <c r="RXT1" s="74"/>
      <c r="RXU1" s="74"/>
      <c r="RXV1" s="74"/>
      <c r="RXW1" s="74"/>
      <c r="RXX1" s="74"/>
      <c r="RXY1" s="74"/>
      <c r="RXZ1" s="74"/>
      <c r="RYA1" s="74"/>
      <c r="RYB1" s="74"/>
      <c r="RYC1" s="74"/>
      <c r="RYD1" s="74"/>
      <c r="RYE1" s="74"/>
      <c r="RYF1" s="74"/>
      <c r="RYG1" s="74"/>
      <c r="RYH1" s="74"/>
      <c r="RYI1" s="74"/>
      <c r="RYJ1" s="74"/>
      <c r="RYK1" s="74"/>
      <c r="RYL1" s="74"/>
      <c r="RYM1" s="74"/>
      <c r="RYN1" s="74"/>
      <c r="RYO1" s="74"/>
      <c r="RYP1" s="74"/>
      <c r="RYQ1" s="74"/>
      <c r="RYR1" s="74"/>
      <c r="RYS1" s="74"/>
      <c r="RYT1" s="74"/>
      <c r="RYU1" s="74"/>
      <c r="RYV1" s="74"/>
      <c r="RYW1" s="74"/>
      <c r="RYX1" s="74"/>
      <c r="RYY1" s="74"/>
      <c r="RYZ1" s="74"/>
      <c r="RZA1" s="74"/>
      <c r="RZB1" s="74"/>
      <c r="RZC1" s="74"/>
      <c r="RZD1" s="74"/>
      <c r="RZE1" s="74"/>
      <c r="RZF1" s="74"/>
      <c r="RZG1" s="74"/>
      <c r="RZH1" s="74"/>
      <c r="RZI1" s="74"/>
      <c r="RZJ1" s="74"/>
      <c r="RZK1" s="74"/>
      <c r="RZL1" s="74"/>
      <c r="RZM1" s="74"/>
      <c r="RZN1" s="74"/>
      <c r="RZO1" s="74"/>
      <c r="RZP1" s="74"/>
      <c r="RZQ1" s="74"/>
      <c r="RZR1" s="74"/>
      <c r="RZS1" s="74"/>
      <c r="RZT1" s="74"/>
      <c r="RZU1" s="74"/>
      <c r="RZV1" s="74"/>
      <c r="RZW1" s="74"/>
      <c r="RZX1" s="74"/>
      <c r="RZY1" s="74"/>
      <c r="RZZ1" s="74"/>
      <c r="SAA1" s="74"/>
      <c r="SAB1" s="74"/>
      <c r="SAC1" s="74"/>
      <c r="SAD1" s="74"/>
      <c r="SAE1" s="74"/>
      <c r="SAF1" s="74"/>
      <c r="SAG1" s="74"/>
      <c r="SAH1" s="74"/>
      <c r="SAI1" s="74"/>
      <c r="SAJ1" s="74"/>
      <c r="SAK1" s="74"/>
      <c r="SAL1" s="74"/>
      <c r="SAM1" s="74"/>
      <c r="SAN1" s="74"/>
      <c r="SAO1" s="74"/>
      <c r="SAP1" s="74"/>
      <c r="SAQ1" s="74"/>
      <c r="SAR1" s="74"/>
      <c r="SAS1" s="74"/>
      <c r="SAT1" s="74"/>
      <c r="SAU1" s="74"/>
      <c r="SAV1" s="74"/>
      <c r="SAW1" s="74"/>
      <c r="SAX1" s="74"/>
      <c r="SAY1" s="74"/>
      <c r="SAZ1" s="74"/>
      <c r="SBA1" s="74"/>
      <c r="SBB1" s="74"/>
      <c r="SBC1" s="74"/>
      <c r="SBD1" s="74"/>
      <c r="SBE1" s="74"/>
      <c r="SBF1" s="74"/>
      <c r="SBG1" s="74"/>
      <c r="SBH1" s="74"/>
      <c r="SBI1" s="74"/>
      <c r="SBJ1" s="74"/>
      <c r="SBK1" s="74"/>
      <c r="SBL1" s="74"/>
      <c r="SBM1" s="74"/>
      <c r="SBN1" s="74"/>
      <c r="SBO1" s="74"/>
      <c r="SBP1" s="74"/>
      <c r="SBQ1" s="74"/>
      <c r="SBR1" s="74"/>
      <c r="SBS1" s="74"/>
      <c r="SBT1" s="74"/>
      <c r="SBU1" s="74"/>
      <c r="SBV1" s="74"/>
      <c r="SBW1" s="74"/>
      <c r="SBX1" s="74"/>
      <c r="SBY1" s="74"/>
      <c r="SBZ1" s="74"/>
      <c r="SCA1" s="74"/>
      <c r="SCB1" s="74"/>
      <c r="SCC1" s="74"/>
      <c r="SCD1" s="74"/>
      <c r="SCE1" s="74"/>
      <c r="SCF1" s="74"/>
      <c r="SCG1" s="74"/>
      <c r="SCH1" s="74"/>
      <c r="SCI1" s="74"/>
      <c r="SCJ1" s="74"/>
      <c r="SCK1" s="74"/>
      <c r="SCL1" s="74"/>
      <c r="SCM1" s="74"/>
      <c r="SCN1" s="74"/>
      <c r="SCO1" s="74"/>
      <c r="SCP1" s="74"/>
      <c r="SCQ1" s="74"/>
      <c r="SCR1" s="74"/>
      <c r="SCS1" s="74"/>
      <c r="SCT1" s="74"/>
      <c r="SCU1" s="74"/>
      <c r="SCV1" s="74"/>
      <c r="SCW1" s="74"/>
      <c r="SCX1" s="74"/>
      <c r="SCY1" s="74"/>
      <c r="SCZ1" s="74"/>
      <c r="SDA1" s="74"/>
      <c r="SDB1" s="74"/>
      <c r="SDC1" s="74"/>
      <c r="SDD1" s="74"/>
      <c r="SDE1" s="74"/>
      <c r="SDF1" s="74"/>
      <c r="SDG1" s="74"/>
      <c r="SDH1" s="74"/>
      <c r="SDI1" s="74"/>
      <c r="SDJ1" s="74"/>
      <c r="SDK1" s="74"/>
      <c r="SDL1" s="74"/>
      <c r="SDM1" s="74"/>
      <c r="SDN1" s="74"/>
      <c r="SDO1" s="74"/>
      <c r="SDP1" s="74"/>
      <c r="SDQ1" s="74"/>
      <c r="SDR1" s="74"/>
      <c r="SDS1" s="74"/>
      <c r="SDT1" s="74"/>
      <c r="SDU1" s="74"/>
      <c r="SDV1" s="74"/>
      <c r="SDW1" s="74"/>
      <c r="SDX1" s="74"/>
      <c r="SDY1" s="74"/>
      <c r="SDZ1" s="74"/>
      <c r="SEA1" s="74"/>
      <c r="SEB1" s="74"/>
      <c r="SEC1" s="74"/>
      <c r="SED1" s="74"/>
      <c r="SEE1" s="74"/>
      <c r="SEF1" s="74"/>
      <c r="SEG1" s="74"/>
      <c r="SEH1" s="74"/>
      <c r="SEI1" s="74"/>
      <c r="SEJ1" s="74"/>
      <c r="SEK1" s="74"/>
      <c r="SEL1" s="74"/>
      <c r="SEM1" s="74"/>
      <c r="SEN1" s="74"/>
      <c r="SEO1" s="74"/>
      <c r="SEP1" s="74"/>
      <c r="SEQ1" s="74"/>
      <c r="SER1" s="74"/>
      <c r="SES1" s="74"/>
      <c r="SET1" s="74"/>
      <c r="SEU1" s="74"/>
      <c r="SEV1" s="74"/>
      <c r="SEW1" s="74"/>
      <c r="SEX1" s="74"/>
      <c r="SEY1" s="74"/>
      <c r="SEZ1" s="74"/>
      <c r="SFA1" s="74"/>
      <c r="SFB1" s="74"/>
      <c r="SFC1" s="74"/>
      <c r="SFD1" s="74"/>
      <c r="SFE1" s="74"/>
      <c r="SFF1" s="74"/>
      <c r="SFG1" s="74"/>
      <c r="SFH1" s="74"/>
      <c r="SFI1" s="74"/>
      <c r="SFJ1" s="74"/>
      <c r="SFK1" s="74"/>
      <c r="SFL1" s="74"/>
      <c r="SFM1" s="74"/>
      <c r="SFN1" s="74"/>
      <c r="SFO1" s="74"/>
      <c r="SFP1" s="74"/>
      <c r="SFQ1" s="74"/>
      <c r="SFR1" s="74"/>
      <c r="SFS1" s="74"/>
      <c r="SFT1" s="74"/>
      <c r="SFU1" s="74"/>
      <c r="SFV1" s="74"/>
      <c r="SFW1" s="74"/>
      <c r="SFX1" s="74"/>
      <c r="SFY1" s="74"/>
      <c r="SFZ1" s="74"/>
      <c r="SGA1" s="74"/>
      <c r="SGB1" s="74"/>
      <c r="SGC1" s="74"/>
      <c r="SGD1" s="74"/>
      <c r="SGE1" s="74"/>
      <c r="SGF1" s="74"/>
      <c r="SGG1" s="74"/>
      <c r="SGH1" s="74"/>
      <c r="SGI1" s="74"/>
      <c r="SGJ1" s="74"/>
      <c r="SGK1" s="74"/>
      <c r="SGL1" s="74"/>
      <c r="SGM1" s="74"/>
      <c r="SGN1" s="74"/>
      <c r="SGO1" s="74"/>
      <c r="SGP1" s="74"/>
      <c r="SGQ1" s="74"/>
      <c r="SGR1" s="74"/>
      <c r="SGS1" s="74"/>
      <c r="SGT1" s="74"/>
      <c r="SGU1" s="74"/>
      <c r="SGV1" s="74"/>
      <c r="SGW1" s="74"/>
      <c r="SGX1" s="74"/>
      <c r="SGY1" s="74"/>
      <c r="SGZ1" s="74"/>
      <c r="SHA1" s="74"/>
      <c r="SHB1" s="74"/>
      <c r="SHC1" s="74"/>
      <c r="SHD1" s="74"/>
      <c r="SHE1" s="74"/>
      <c r="SHF1" s="74"/>
      <c r="SHG1" s="74"/>
      <c r="SHH1" s="74"/>
      <c r="SHI1" s="74"/>
      <c r="SHJ1" s="74"/>
      <c r="SHK1" s="74"/>
      <c r="SHL1" s="74"/>
      <c r="SHM1" s="74"/>
      <c r="SHN1" s="74"/>
      <c r="SHO1" s="74"/>
      <c r="SHP1" s="74"/>
      <c r="SHQ1" s="74"/>
      <c r="SHR1" s="74"/>
      <c r="SHS1" s="74"/>
      <c r="SHT1" s="74"/>
      <c r="SHU1" s="74"/>
      <c r="SHV1" s="74"/>
      <c r="SHW1" s="74"/>
      <c r="SHX1" s="74"/>
      <c r="SHY1" s="74"/>
      <c r="SHZ1" s="74"/>
      <c r="SIA1" s="74"/>
      <c r="SIB1" s="74"/>
      <c r="SIC1" s="74"/>
      <c r="SID1" s="74"/>
      <c r="SIE1" s="74"/>
      <c r="SIF1" s="74"/>
      <c r="SIG1" s="74"/>
      <c r="SIH1" s="74"/>
      <c r="SII1" s="74"/>
      <c r="SIJ1" s="74"/>
      <c r="SIK1" s="74"/>
      <c r="SIL1" s="74"/>
      <c r="SIM1" s="74"/>
      <c r="SIN1" s="74"/>
      <c r="SIO1" s="74"/>
      <c r="SIP1" s="74"/>
      <c r="SIQ1" s="74"/>
      <c r="SIR1" s="74"/>
      <c r="SIS1" s="74"/>
      <c r="SIT1" s="74"/>
      <c r="SIU1" s="74"/>
      <c r="SIV1" s="74"/>
      <c r="SIW1" s="74"/>
      <c r="SIX1" s="74"/>
      <c r="SIY1" s="74"/>
      <c r="SIZ1" s="74"/>
      <c r="SJA1" s="74"/>
      <c r="SJB1" s="74"/>
      <c r="SJC1" s="74"/>
      <c r="SJD1" s="74"/>
      <c r="SJE1" s="74"/>
      <c r="SJF1" s="74"/>
      <c r="SJG1" s="74"/>
      <c r="SJH1" s="74"/>
      <c r="SJI1" s="74"/>
      <c r="SJJ1" s="74"/>
      <c r="SJK1" s="74"/>
      <c r="SJL1" s="74"/>
      <c r="SJM1" s="74"/>
      <c r="SJN1" s="74"/>
      <c r="SJO1" s="74"/>
      <c r="SJP1" s="74"/>
      <c r="SJQ1" s="74"/>
      <c r="SJR1" s="74"/>
      <c r="SJS1" s="74"/>
      <c r="SJT1" s="74"/>
      <c r="SJU1" s="74"/>
      <c r="SJV1" s="74"/>
      <c r="SJW1" s="74"/>
      <c r="SJX1" s="74"/>
      <c r="SJY1" s="74"/>
      <c r="SJZ1" s="74"/>
      <c r="SKA1" s="74"/>
      <c r="SKB1" s="74"/>
      <c r="SKC1" s="74"/>
      <c r="SKD1" s="74"/>
      <c r="SKE1" s="74"/>
      <c r="SKF1" s="74"/>
      <c r="SKG1" s="74"/>
      <c r="SKH1" s="74"/>
      <c r="SKI1" s="74"/>
      <c r="SKJ1" s="74"/>
      <c r="SKK1" s="74"/>
      <c r="SKL1" s="74"/>
      <c r="SKM1" s="74"/>
      <c r="SKN1" s="74"/>
      <c r="SKO1" s="74"/>
      <c r="SKP1" s="74"/>
      <c r="SKQ1" s="74"/>
      <c r="SKR1" s="74"/>
      <c r="SKS1" s="74"/>
      <c r="SKT1" s="74"/>
      <c r="SKU1" s="74"/>
      <c r="SKV1" s="74"/>
      <c r="SKW1" s="74"/>
      <c r="SKX1" s="74"/>
      <c r="SKY1" s="74"/>
      <c r="SKZ1" s="74"/>
      <c r="SLA1" s="74"/>
      <c r="SLB1" s="74"/>
      <c r="SLC1" s="74"/>
      <c r="SLD1" s="74"/>
      <c r="SLE1" s="74"/>
      <c r="SLF1" s="74"/>
      <c r="SLG1" s="74"/>
      <c r="SLH1" s="74"/>
      <c r="SLI1" s="74"/>
      <c r="SLJ1" s="74"/>
      <c r="SLK1" s="74"/>
      <c r="SLL1" s="74"/>
      <c r="SLM1" s="74"/>
      <c r="SLN1" s="74"/>
      <c r="SLO1" s="74"/>
      <c r="SLP1" s="74"/>
      <c r="SLQ1" s="74"/>
      <c r="SLR1" s="74"/>
      <c r="SLS1" s="74"/>
      <c r="SLT1" s="74"/>
      <c r="SLU1" s="74"/>
      <c r="SLV1" s="74"/>
      <c r="SLW1" s="74"/>
      <c r="SLX1" s="74"/>
      <c r="SLY1" s="74"/>
      <c r="SLZ1" s="74"/>
      <c r="SMA1" s="74"/>
      <c r="SMB1" s="74"/>
      <c r="SMC1" s="74"/>
      <c r="SMD1" s="74"/>
      <c r="SME1" s="74"/>
      <c r="SMF1" s="74"/>
      <c r="SMG1" s="74"/>
      <c r="SMH1" s="74"/>
      <c r="SMI1" s="74"/>
      <c r="SMJ1" s="74"/>
      <c r="SMK1" s="74"/>
      <c r="SML1" s="74"/>
      <c r="SMM1" s="74"/>
      <c r="SMN1" s="74"/>
      <c r="SMO1" s="74"/>
      <c r="SMP1" s="74"/>
      <c r="SMQ1" s="74"/>
      <c r="SMR1" s="74"/>
      <c r="SMS1" s="74"/>
      <c r="SMT1" s="74"/>
      <c r="SMU1" s="74"/>
      <c r="SMV1" s="74"/>
      <c r="SMW1" s="74"/>
      <c r="SMX1" s="74"/>
      <c r="SMY1" s="74"/>
      <c r="SMZ1" s="74"/>
      <c r="SNA1" s="74"/>
      <c r="SNB1" s="74"/>
      <c r="SNC1" s="74"/>
      <c r="SND1" s="74"/>
      <c r="SNE1" s="74"/>
      <c r="SNF1" s="74"/>
      <c r="SNG1" s="74"/>
      <c r="SNH1" s="74"/>
      <c r="SNI1" s="74"/>
      <c r="SNJ1" s="74"/>
      <c r="SNK1" s="74"/>
      <c r="SNL1" s="74"/>
      <c r="SNM1" s="74"/>
      <c r="SNN1" s="74"/>
      <c r="SNO1" s="74"/>
      <c r="SNP1" s="74"/>
      <c r="SNQ1" s="74"/>
      <c r="SNR1" s="74"/>
      <c r="SNS1" s="74"/>
      <c r="SNT1" s="74"/>
      <c r="SNU1" s="74"/>
      <c r="SNV1" s="74"/>
      <c r="SNW1" s="74"/>
      <c r="SNX1" s="74"/>
      <c r="SNY1" s="74"/>
      <c r="SNZ1" s="74"/>
      <c r="SOA1" s="74"/>
      <c r="SOB1" s="74"/>
      <c r="SOC1" s="74"/>
      <c r="SOD1" s="74"/>
      <c r="SOE1" s="74"/>
      <c r="SOF1" s="74"/>
      <c r="SOG1" s="74"/>
      <c r="SOH1" s="74"/>
      <c r="SOI1" s="74"/>
      <c r="SOJ1" s="74"/>
      <c r="SOK1" s="74"/>
      <c r="SOL1" s="74"/>
      <c r="SOM1" s="74"/>
      <c r="SON1" s="74"/>
      <c r="SOO1" s="74"/>
      <c r="SOP1" s="74"/>
      <c r="SOQ1" s="74"/>
      <c r="SOR1" s="74"/>
      <c r="SOS1" s="74"/>
      <c r="SOT1" s="74"/>
      <c r="SOU1" s="74"/>
      <c r="SOV1" s="74"/>
      <c r="SOW1" s="74"/>
      <c r="SOX1" s="74"/>
      <c r="SOY1" s="74"/>
      <c r="SOZ1" s="74"/>
      <c r="SPA1" s="74"/>
      <c r="SPB1" s="74"/>
      <c r="SPC1" s="74"/>
      <c r="SPD1" s="74"/>
      <c r="SPE1" s="74"/>
      <c r="SPF1" s="74"/>
      <c r="SPG1" s="74"/>
      <c r="SPH1" s="74"/>
      <c r="SPI1" s="74"/>
      <c r="SPJ1" s="74"/>
      <c r="SPK1" s="74"/>
      <c r="SPL1" s="74"/>
      <c r="SPM1" s="74"/>
      <c r="SPN1" s="74"/>
      <c r="SPO1" s="74"/>
      <c r="SPP1" s="74"/>
      <c r="SPQ1" s="74"/>
      <c r="SPR1" s="74"/>
      <c r="SPS1" s="74"/>
      <c r="SPT1" s="74"/>
      <c r="SPU1" s="74"/>
      <c r="SPV1" s="74"/>
      <c r="SPW1" s="74"/>
      <c r="SPX1" s="74"/>
      <c r="SPY1" s="74"/>
      <c r="SPZ1" s="74"/>
      <c r="SQA1" s="74"/>
      <c r="SQB1" s="74"/>
      <c r="SQC1" s="74"/>
      <c r="SQD1" s="74"/>
      <c r="SQE1" s="74"/>
      <c r="SQF1" s="74"/>
      <c r="SQG1" s="74"/>
      <c r="SQH1" s="74"/>
      <c r="SQI1" s="74"/>
      <c r="SQJ1" s="74"/>
      <c r="SQK1" s="74"/>
      <c r="SQL1" s="74"/>
      <c r="SQM1" s="74"/>
      <c r="SQN1" s="74"/>
      <c r="SQO1" s="74"/>
      <c r="SQP1" s="74"/>
      <c r="SQQ1" s="74"/>
      <c r="SQR1" s="74"/>
      <c r="SQS1" s="74"/>
      <c r="SQT1" s="74"/>
      <c r="SQU1" s="74"/>
      <c r="SQV1" s="74"/>
      <c r="SQW1" s="74"/>
      <c r="SQX1" s="74"/>
      <c r="SQY1" s="74"/>
      <c r="SQZ1" s="74"/>
      <c r="SRA1" s="74"/>
      <c r="SRB1" s="74"/>
      <c r="SRC1" s="74"/>
      <c r="SRD1" s="74"/>
      <c r="SRE1" s="74"/>
      <c r="SRF1" s="74"/>
      <c r="SRG1" s="74"/>
      <c r="SRH1" s="74"/>
      <c r="SRI1" s="74"/>
      <c r="SRJ1" s="74"/>
      <c r="SRK1" s="74"/>
      <c r="SRL1" s="74"/>
      <c r="SRM1" s="74"/>
      <c r="SRN1" s="74"/>
      <c r="SRO1" s="74"/>
      <c r="SRP1" s="74"/>
      <c r="SRQ1" s="74"/>
      <c r="SRR1" s="74"/>
      <c r="SRS1" s="74"/>
      <c r="SRT1" s="74"/>
      <c r="SRU1" s="74"/>
      <c r="SRV1" s="74"/>
      <c r="SRW1" s="74"/>
      <c r="SRX1" s="74"/>
      <c r="SRY1" s="74"/>
      <c r="SRZ1" s="74"/>
      <c r="SSA1" s="74"/>
      <c r="SSB1" s="74"/>
      <c r="SSC1" s="74"/>
      <c r="SSD1" s="74"/>
      <c r="SSE1" s="74"/>
      <c r="SSF1" s="74"/>
      <c r="SSG1" s="74"/>
      <c r="SSH1" s="74"/>
      <c r="SSI1" s="74"/>
      <c r="SSJ1" s="74"/>
      <c r="SSK1" s="74"/>
      <c r="SSL1" s="74"/>
      <c r="SSM1" s="74"/>
      <c r="SSN1" s="74"/>
      <c r="SSO1" s="74"/>
      <c r="SSP1" s="74"/>
      <c r="SSQ1" s="74"/>
      <c r="SSR1" s="74"/>
      <c r="SSS1" s="74"/>
      <c r="SST1" s="74"/>
      <c r="SSU1" s="74"/>
      <c r="SSV1" s="74"/>
      <c r="SSW1" s="74"/>
      <c r="SSX1" s="74"/>
      <c r="SSY1" s="74"/>
      <c r="SSZ1" s="74"/>
      <c r="STA1" s="74"/>
      <c r="STB1" s="74"/>
      <c r="STC1" s="74"/>
      <c r="STD1" s="74"/>
      <c r="STE1" s="74"/>
      <c r="STF1" s="74"/>
      <c r="STG1" s="74"/>
      <c r="STH1" s="74"/>
      <c r="STI1" s="74"/>
      <c r="STJ1" s="74"/>
      <c r="STK1" s="74"/>
      <c r="STL1" s="74"/>
      <c r="STM1" s="74"/>
      <c r="STN1" s="74"/>
      <c r="STO1" s="74"/>
      <c r="STP1" s="74"/>
      <c r="STQ1" s="74"/>
      <c r="STR1" s="74"/>
      <c r="STS1" s="74"/>
      <c r="STT1" s="74"/>
      <c r="STU1" s="74"/>
      <c r="STV1" s="74"/>
      <c r="STW1" s="74"/>
      <c r="STX1" s="74"/>
      <c r="STY1" s="74"/>
      <c r="STZ1" s="74"/>
      <c r="SUA1" s="74"/>
      <c r="SUB1" s="74"/>
      <c r="SUC1" s="74"/>
      <c r="SUD1" s="74"/>
      <c r="SUE1" s="74"/>
      <c r="SUF1" s="74"/>
      <c r="SUG1" s="74"/>
      <c r="SUH1" s="74"/>
      <c r="SUI1" s="74"/>
      <c r="SUJ1" s="74"/>
      <c r="SUK1" s="74"/>
      <c r="SUL1" s="74"/>
      <c r="SUM1" s="74"/>
      <c r="SUN1" s="74"/>
      <c r="SUO1" s="74"/>
      <c r="SUP1" s="74"/>
      <c r="SUQ1" s="74"/>
      <c r="SUR1" s="74"/>
      <c r="SUS1" s="74"/>
      <c r="SUT1" s="74"/>
      <c r="SUU1" s="74"/>
      <c r="SUV1" s="74"/>
      <c r="SUW1" s="74"/>
      <c r="SUX1" s="74"/>
      <c r="SUY1" s="74"/>
      <c r="SUZ1" s="74"/>
      <c r="SVA1" s="74"/>
      <c r="SVB1" s="74"/>
      <c r="SVC1" s="74"/>
      <c r="SVD1" s="74"/>
      <c r="SVE1" s="74"/>
      <c r="SVF1" s="74"/>
      <c r="SVG1" s="74"/>
      <c r="SVH1" s="74"/>
      <c r="SVI1" s="74"/>
      <c r="SVJ1" s="74"/>
      <c r="SVK1" s="74"/>
      <c r="SVL1" s="74"/>
      <c r="SVM1" s="74"/>
      <c r="SVN1" s="74"/>
      <c r="SVO1" s="74"/>
      <c r="SVP1" s="74"/>
      <c r="SVQ1" s="74"/>
      <c r="SVR1" s="74"/>
      <c r="SVS1" s="74"/>
      <c r="SVT1" s="74"/>
      <c r="SVU1" s="74"/>
      <c r="SVV1" s="74"/>
      <c r="SVW1" s="74"/>
      <c r="SVX1" s="74"/>
      <c r="SVY1" s="74"/>
      <c r="SVZ1" s="74"/>
      <c r="SWA1" s="74"/>
      <c r="SWB1" s="74"/>
      <c r="SWC1" s="74"/>
      <c r="SWD1" s="74"/>
      <c r="SWE1" s="74"/>
      <c r="SWF1" s="74"/>
      <c r="SWG1" s="74"/>
      <c r="SWH1" s="74"/>
      <c r="SWI1" s="74"/>
      <c r="SWJ1" s="74"/>
      <c r="SWK1" s="74"/>
      <c r="SWL1" s="74"/>
      <c r="SWM1" s="74"/>
      <c r="SWN1" s="74"/>
      <c r="SWO1" s="74"/>
      <c r="SWP1" s="74"/>
      <c r="SWQ1" s="74"/>
      <c r="SWR1" s="74"/>
      <c r="SWS1" s="74"/>
      <c r="SWT1" s="74"/>
      <c r="SWU1" s="74"/>
      <c r="SWV1" s="74"/>
      <c r="SWW1" s="74"/>
      <c r="SWX1" s="74"/>
      <c r="SWY1" s="74"/>
      <c r="SWZ1" s="74"/>
      <c r="SXA1" s="74"/>
      <c r="SXB1" s="74"/>
      <c r="SXC1" s="74"/>
      <c r="SXD1" s="74"/>
      <c r="SXE1" s="74"/>
      <c r="SXF1" s="74"/>
      <c r="SXG1" s="74"/>
      <c r="SXH1" s="74"/>
      <c r="SXI1" s="74"/>
      <c r="SXJ1" s="74"/>
      <c r="SXK1" s="74"/>
      <c r="SXL1" s="74"/>
      <c r="SXM1" s="74"/>
      <c r="SXN1" s="74"/>
      <c r="SXO1" s="74"/>
      <c r="SXP1" s="74"/>
      <c r="SXQ1" s="74"/>
      <c r="SXR1" s="74"/>
      <c r="SXS1" s="74"/>
      <c r="SXT1" s="74"/>
      <c r="SXU1" s="74"/>
      <c r="SXV1" s="74"/>
      <c r="SXW1" s="74"/>
      <c r="SXX1" s="74"/>
      <c r="SXY1" s="74"/>
      <c r="SXZ1" s="74"/>
      <c r="SYA1" s="74"/>
      <c r="SYB1" s="74"/>
      <c r="SYC1" s="74"/>
      <c r="SYD1" s="74"/>
      <c r="SYE1" s="74"/>
      <c r="SYF1" s="74"/>
      <c r="SYG1" s="74"/>
      <c r="SYH1" s="74"/>
      <c r="SYI1" s="74"/>
      <c r="SYJ1" s="74"/>
      <c r="SYK1" s="74"/>
      <c r="SYL1" s="74"/>
      <c r="SYM1" s="74"/>
      <c r="SYN1" s="74"/>
      <c r="SYO1" s="74"/>
      <c r="SYP1" s="74"/>
      <c r="SYQ1" s="74"/>
      <c r="SYR1" s="74"/>
      <c r="SYS1" s="74"/>
      <c r="SYT1" s="74"/>
      <c r="SYU1" s="74"/>
      <c r="SYV1" s="74"/>
      <c r="SYW1" s="74"/>
      <c r="SYX1" s="74"/>
      <c r="SYY1" s="74"/>
      <c r="SYZ1" s="74"/>
      <c r="SZA1" s="74"/>
      <c r="SZB1" s="74"/>
      <c r="SZC1" s="74"/>
      <c r="SZD1" s="74"/>
      <c r="SZE1" s="74"/>
      <c r="SZF1" s="74"/>
      <c r="SZG1" s="74"/>
      <c r="SZH1" s="74"/>
      <c r="SZI1" s="74"/>
      <c r="SZJ1" s="74"/>
      <c r="SZK1" s="74"/>
      <c r="SZL1" s="74"/>
      <c r="SZM1" s="74"/>
      <c r="SZN1" s="74"/>
      <c r="SZO1" s="74"/>
      <c r="SZP1" s="74"/>
      <c r="SZQ1" s="74"/>
      <c r="SZR1" s="74"/>
      <c r="SZS1" s="74"/>
      <c r="SZT1" s="74"/>
      <c r="SZU1" s="74"/>
      <c r="SZV1" s="74"/>
      <c r="SZW1" s="74"/>
      <c r="SZX1" s="74"/>
      <c r="SZY1" s="74"/>
      <c r="SZZ1" s="74"/>
      <c r="TAA1" s="74"/>
      <c r="TAB1" s="74"/>
      <c r="TAC1" s="74"/>
      <c r="TAD1" s="74"/>
      <c r="TAE1" s="74"/>
      <c r="TAF1" s="74"/>
      <c r="TAG1" s="74"/>
      <c r="TAH1" s="74"/>
      <c r="TAI1" s="74"/>
      <c r="TAJ1" s="74"/>
      <c r="TAK1" s="74"/>
      <c r="TAL1" s="74"/>
      <c r="TAM1" s="74"/>
      <c r="TAN1" s="74"/>
      <c r="TAO1" s="74"/>
      <c r="TAP1" s="74"/>
      <c r="TAQ1" s="74"/>
      <c r="TAR1" s="74"/>
      <c r="TAS1" s="74"/>
      <c r="TAT1" s="74"/>
      <c r="TAU1" s="74"/>
      <c r="TAV1" s="74"/>
      <c r="TAW1" s="74"/>
      <c r="TAX1" s="74"/>
      <c r="TAY1" s="74"/>
      <c r="TAZ1" s="74"/>
      <c r="TBA1" s="74"/>
      <c r="TBB1" s="74"/>
      <c r="TBC1" s="74"/>
      <c r="TBD1" s="74"/>
      <c r="TBE1" s="74"/>
      <c r="TBF1" s="74"/>
      <c r="TBG1" s="74"/>
      <c r="TBH1" s="74"/>
      <c r="TBI1" s="74"/>
      <c r="TBJ1" s="74"/>
      <c r="TBK1" s="74"/>
      <c r="TBL1" s="74"/>
      <c r="TBM1" s="74"/>
      <c r="TBN1" s="74"/>
      <c r="TBO1" s="74"/>
      <c r="TBP1" s="74"/>
      <c r="TBQ1" s="74"/>
      <c r="TBR1" s="74"/>
      <c r="TBS1" s="74"/>
      <c r="TBT1" s="74"/>
      <c r="TBU1" s="74"/>
      <c r="TBV1" s="74"/>
      <c r="TBW1" s="74"/>
      <c r="TBX1" s="74"/>
      <c r="TBY1" s="74"/>
      <c r="TBZ1" s="74"/>
      <c r="TCA1" s="74"/>
      <c r="TCB1" s="74"/>
      <c r="TCC1" s="74"/>
      <c r="TCD1" s="74"/>
      <c r="TCE1" s="74"/>
      <c r="TCF1" s="74"/>
      <c r="TCG1" s="74"/>
      <c r="TCH1" s="74"/>
      <c r="TCI1" s="74"/>
      <c r="TCJ1" s="74"/>
      <c r="TCK1" s="74"/>
      <c r="TCL1" s="74"/>
      <c r="TCM1" s="74"/>
      <c r="TCN1" s="74"/>
      <c r="TCO1" s="74"/>
      <c r="TCP1" s="74"/>
      <c r="TCQ1" s="74"/>
      <c r="TCR1" s="74"/>
      <c r="TCS1" s="74"/>
      <c r="TCT1" s="74"/>
      <c r="TCU1" s="74"/>
      <c r="TCV1" s="74"/>
      <c r="TCW1" s="74"/>
      <c r="TCX1" s="74"/>
      <c r="TCY1" s="74"/>
      <c r="TCZ1" s="74"/>
      <c r="TDA1" s="74"/>
      <c r="TDB1" s="74"/>
      <c r="TDC1" s="74"/>
      <c r="TDD1" s="74"/>
      <c r="TDE1" s="74"/>
      <c r="TDF1" s="74"/>
      <c r="TDG1" s="74"/>
      <c r="TDH1" s="74"/>
      <c r="TDI1" s="74"/>
      <c r="TDJ1" s="74"/>
      <c r="TDK1" s="74"/>
      <c r="TDL1" s="74"/>
      <c r="TDM1" s="74"/>
      <c r="TDN1" s="74"/>
      <c r="TDO1" s="74"/>
      <c r="TDP1" s="74"/>
      <c r="TDQ1" s="74"/>
      <c r="TDR1" s="74"/>
      <c r="TDS1" s="74"/>
      <c r="TDT1" s="74"/>
      <c r="TDU1" s="74"/>
      <c r="TDV1" s="74"/>
      <c r="TDW1" s="74"/>
      <c r="TDX1" s="74"/>
      <c r="TDY1" s="74"/>
      <c r="TDZ1" s="74"/>
      <c r="TEA1" s="74"/>
      <c r="TEB1" s="74"/>
      <c r="TEC1" s="74"/>
      <c r="TED1" s="74"/>
      <c r="TEE1" s="74"/>
      <c r="TEF1" s="74"/>
      <c r="TEG1" s="74"/>
      <c r="TEH1" s="74"/>
      <c r="TEI1" s="74"/>
      <c r="TEJ1" s="74"/>
      <c r="TEK1" s="74"/>
      <c r="TEL1" s="74"/>
      <c r="TEM1" s="74"/>
      <c r="TEN1" s="74"/>
      <c r="TEO1" s="74"/>
      <c r="TEP1" s="74"/>
      <c r="TEQ1" s="74"/>
      <c r="TER1" s="74"/>
      <c r="TES1" s="74"/>
      <c r="TET1" s="74"/>
      <c r="TEU1" s="74"/>
      <c r="TEV1" s="74"/>
      <c r="TEW1" s="74"/>
      <c r="TEX1" s="74"/>
      <c r="TEY1" s="74"/>
      <c r="TEZ1" s="74"/>
      <c r="TFA1" s="74"/>
      <c r="TFB1" s="74"/>
      <c r="TFC1" s="74"/>
      <c r="TFD1" s="74"/>
      <c r="TFE1" s="74"/>
      <c r="TFF1" s="74"/>
      <c r="TFG1" s="74"/>
      <c r="TFH1" s="74"/>
      <c r="TFI1" s="74"/>
      <c r="TFJ1" s="74"/>
      <c r="TFK1" s="74"/>
      <c r="TFL1" s="74"/>
      <c r="TFM1" s="74"/>
      <c r="TFN1" s="74"/>
      <c r="TFO1" s="74"/>
      <c r="TFP1" s="74"/>
      <c r="TFQ1" s="74"/>
      <c r="TFR1" s="74"/>
      <c r="TFS1" s="74"/>
      <c r="TFT1" s="74"/>
      <c r="TFU1" s="74"/>
      <c r="TFV1" s="74"/>
      <c r="TFW1" s="74"/>
      <c r="TFX1" s="74"/>
      <c r="TFY1" s="74"/>
      <c r="TFZ1" s="74"/>
      <c r="TGA1" s="74"/>
      <c r="TGB1" s="74"/>
      <c r="TGC1" s="74"/>
      <c r="TGD1" s="74"/>
      <c r="TGE1" s="74"/>
      <c r="TGF1" s="74"/>
      <c r="TGG1" s="74"/>
      <c r="TGH1" s="74"/>
      <c r="TGI1" s="74"/>
      <c r="TGJ1" s="74"/>
      <c r="TGK1" s="74"/>
      <c r="TGL1" s="74"/>
      <c r="TGM1" s="74"/>
      <c r="TGN1" s="74"/>
      <c r="TGO1" s="74"/>
      <c r="TGP1" s="74"/>
      <c r="TGQ1" s="74"/>
      <c r="TGR1" s="74"/>
      <c r="TGS1" s="74"/>
      <c r="TGT1" s="74"/>
      <c r="TGU1" s="74"/>
      <c r="TGV1" s="74"/>
      <c r="TGW1" s="74"/>
      <c r="TGX1" s="74"/>
      <c r="TGY1" s="74"/>
      <c r="TGZ1" s="74"/>
      <c r="THA1" s="74"/>
      <c r="THB1" s="74"/>
      <c r="THC1" s="74"/>
      <c r="THD1" s="74"/>
      <c r="THE1" s="74"/>
      <c r="THF1" s="74"/>
      <c r="THG1" s="74"/>
      <c r="THH1" s="74"/>
      <c r="THI1" s="74"/>
      <c r="THJ1" s="74"/>
      <c r="THK1" s="74"/>
      <c r="THL1" s="74"/>
      <c r="THM1" s="74"/>
      <c r="THN1" s="74"/>
      <c r="THO1" s="74"/>
      <c r="THP1" s="74"/>
      <c r="THQ1" s="74"/>
      <c r="THR1" s="74"/>
      <c r="THS1" s="74"/>
      <c r="THT1" s="74"/>
      <c r="THU1" s="74"/>
      <c r="THV1" s="74"/>
      <c r="THW1" s="74"/>
      <c r="THX1" s="74"/>
      <c r="THY1" s="74"/>
      <c r="THZ1" s="74"/>
      <c r="TIA1" s="74"/>
      <c r="TIB1" s="74"/>
      <c r="TIC1" s="74"/>
      <c r="TID1" s="74"/>
      <c r="TIE1" s="74"/>
      <c r="TIF1" s="74"/>
      <c r="TIG1" s="74"/>
      <c r="TIH1" s="74"/>
      <c r="TII1" s="74"/>
      <c r="TIJ1" s="74"/>
      <c r="TIK1" s="74"/>
      <c r="TIL1" s="74"/>
      <c r="TIM1" s="74"/>
      <c r="TIN1" s="74"/>
      <c r="TIO1" s="74"/>
      <c r="TIP1" s="74"/>
      <c r="TIQ1" s="74"/>
      <c r="TIR1" s="74"/>
      <c r="TIS1" s="74"/>
      <c r="TIT1" s="74"/>
      <c r="TIU1" s="74"/>
      <c r="TIV1" s="74"/>
      <c r="TIW1" s="74"/>
      <c r="TIX1" s="74"/>
      <c r="TIY1" s="74"/>
      <c r="TIZ1" s="74"/>
      <c r="TJA1" s="74"/>
      <c r="TJB1" s="74"/>
      <c r="TJC1" s="74"/>
      <c r="TJD1" s="74"/>
      <c r="TJE1" s="74"/>
      <c r="TJF1" s="74"/>
      <c r="TJG1" s="74"/>
      <c r="TJH1" s="74"/>
      <c r="TJI1" s="74"/>
      <c r="TJJ1" s="74"/>
      <c r="TJK1" s="74"/>
      <c r="TJL1" s="74"/>
      <c r="TJM1" s="74"/>
      <c r="TJN1" s="74"/>
      <c r="TJO1" s="74"/>
      <c r="TJP1" s="74"/>
      <c r="TJQ1" s="74"/>
      <c r="TJR1" s="74"/>
      <c r="TJS1" s="74"/>
      <c r="TJT1" s="74"/>
      <c r="TJU1" s="74"/>
      <c r="TJV1" s="74"/>
      <c r="TJW1" s="74"/>
      <c r="TJX1" s="74"/>
      <c r="TJY1" s="74"/>
      <c r="TJZ1" s="74"/>
      <c r="TKA1" s="74"/>
      <c r="TKB1" s="74"/>
      <c r="TKC1" s="74"/>
      <c r="TKD1" s="74"/>
      <c r="TKE1" s="74"/>
      <c r="TKF1" s="74"/>
      <c r="TKG1" s="74"/>
      <c r="TKH1" s="74"/>
      <c r="TKI1" s="74"/>
      <c r="TKJ1" s="74"/>
      <c r="TKK1" s="74"/>
      <c r="TKL1" s="74"/>
      <c r="TKM1" s="74"/>
      <c r="TKN1" s="74"/>
      <c r="TKO1" s="74"/>
      <c r="TKP1" s="74"/>
      <c r="TKQ1" s="74"/>
      <c r="TKR1" s="74"/>
      <c r="TKS1" s="74"/>
      <c r="TKT1" s="74"/>
      <c r="TKU1" s="74"/>
      <c r="TKV1" s="74"/>
      <c r="TKW1" s="74"/>
      <c r="TKX1" s="74"/>
      <c r="TKY1" s="74"/>
      <c r="TKZ1" s="74"/>
      <c r="TLA1" s="74"/>
      <c r="TLB1" s="74"/>
      <c r="TLC1" s="74"/>
      <c r="TLD1" s="74"/>
      <c r="TLE1" s="74"/>
      <c r="TLF1" s="74"/>
      <c r="TLG1" s="74"/>
      <c r="TLH1" s="74"/>
      <c r="TLI1" s="74"/>
      <c r="TLJ1" s="74"/>
      <c r="TLK1" s="74"/>
      <c r="TLL1" s="74"/>
      <c r="TLM1" s="74"/>
      <c r="TLN1" s="74"/>
      <c r="TLO1" s="74"/>
      <c r="TLP1" s="74"/>
      <c r="TLQ1" s="74"/>
      <c r="TLR1" s="74"/>
      <c r="TLS1" s="74"/>
      <c r="TLT1" s="74"/>
      <c r="TLU1" s="74"/>
      <c r="TLV1" s="74"/>
      <c r="TLW1" s="74"/>
      <c r="TLX1" s="74"/>
      <c r="TLY1" s="74"/>
      <c r="TLZ1" s="74"/>
      <c r="TMA1" s="74"/>
      <c r="TMB1" s="74"/>
      <c r="TMC1" s="74"/>
      <c r="TMD1" s="74"/>
      <c r="TME1" s="74"/>
      <c r="TMF1" s="74"/>
      <c r="TMG1" s="74"/>
      <c r="TMH1" s="74"/>
      <c r="TMI1" s="74"/>
      <c r="TMJ1" s="74"/>
      <c r="TMK1" s="74"/>
      <c r="TML1" s="74"/>
      <c r="TMM1" s="74"/>
      <c r="TMN1" s="74"/>
      <c r="TMO1" s="74"/>
      <c r="TMP1" s="74"/>
      <c r="TMQ1" s="74"/>
      <c r="TMR1" s="74"/>
      <c r="TMS1" s="74"/>
      <c r="TMT1" s="74"/>
      <c r="TMU1" s="74"/>
      <c r="TMV1" s="74"/>
      <c r="TMW1" s="74"/>
      <c r="TMX1" s="74"/>
      <c r="TMY1" s="74"/>
      <c r="TMZ1" s="74"/>
      <c r="TNA1" s="74"/>
      <c r="TNB1" s="74"/>
      <c r="TNC1" s="74"/>
      <c r="TND1" s="74"/>
      <c r="TNE1" s="74"/>
      <c r="TNF1" s="74"/>
      <c r="TNG1" s="74"/>
      <c r="TNH1" s="74"/>
      <c r="TNI1" s="74"/>
      <c r="TNJ1" s="74"/>
      <c r="TNK1" s="74"/>
      <c r="TNL1" s="74"/>
      <c r="TNM1" s="74"/>
      <c r="TNN1" s="74"/>
      <c r="TNO1" s="74"/>
      <c r="TNP1" s="74"/>
      <c r="TNQ1" s="74"/>
      <c r="TNR1" s="74"/>
      <c r="TNS1" s="74"/>
      <c r="TNT1" s="74"/>
      <c r="TNU1" s="74"/>
      <c r="TNV1" s="74"/>
      <c r="TNW1" s="74"/>
      <c r="TNX1" s="74"/>
      <c r="TNY1" s="74"/>
      <c r="TNZ1" s="74"/>
      <c r="TOA1" s="74"/>
      <c r="TOB1" s="74"/>
      <c r="TOC1" s="74"/>
      <c r="TOD1" s="74"/>
      <c r="TOE1" s="74"/>
      <c r="TOF1" s="74"/>
      <c r="TOG1" s="74"/>
      <c r="TOH1" s="74"/>
      <c r="TOI1" s="74"/>
      <c r="TOJ1" s="74"/>
      <c r="TOK1" s="74"/>
      <c r="TOL1" s="74"/>
      <c r="TOM1" s="74"/>
      <c r="TON1" s="74"/>
      <c r="TOO1" s="74"/>
      <c r="TOP1" s="74"/>
      <c r="TOQ1" s="74"/>
      <c r="TOR1" s="74"/>
      <c r="TOS1" s="74"/>
      <c r="TOT1" s="74"/>
      <c r="TOU1" s="74"/>
      <c r="TOV1" s="74"/>
      <c r="TOW1" s="74"/>
      <c r="TOX1" s="74"/>
      <c r="TOY1" s="74"/>
      <c r="TOZ1" s="74"/>
      <c r="TPA1" s="74"/>
      <c r="TPB1" s="74"/>
      <c r="TPC1" s="74"/>
      <c r="TPD1" s="74"/>
      <c r="TPE1" s="74"/>
      <c r="TPF1" s="74"/>
      <c r="TPG1" s="74"/>
      <c r="TPH1" s="74"/>
      <c r="TPI1" s="74"/>
      <c r="TPJ1" s="74"/>
      <c r="TPK1" s="74"/>
      <c r="TPL1" s="74"/>
      <c r="TPM1" s="74"/>
      <c r="TPN1" s="74"/>
      <c r="TPO1" s="74"/>
      <c r="TPP1" s="74"/>
      <c r="TPQ1" s="74"/>
      <c r="TPR1" s="74"/>
      <c r="TPS1" s="74"/>
      <c r="TPT1" s="74"/>
      <c r="TPU1" s="74"/>
      <c r="TPV1" s="74"/>
      <c r="TPW1" s="74"/>
      <c r="TPX1" s="74"/>
      <c r="TPY1" s="74"/>
      <c r="TPZ1" s="74"/>
      <c r="TQA1" s="74"/>
      <c r="TQB1" s="74"/>
      <c r="TQC1" s="74"/>
      <c r="TQD1" s="74"/>
      <c r="TQE1" s="74"/>
      <c r="TQF1" s="74"/>
      <c r="TQG1" s="74"/>
      <c r="TQH1" s="74"/>
      <c r="TQI1" s="74"/>
      <c r="TQJ1" s="74"/>
      <c r="TQK1" s="74"/>
      <c r="TQL1" s="74"/>
      <c r="TQM1" s="74"/>
      <c r="TQN1" s="74"/>
      <c r="TQO1" s="74"/>
      <c r="TQP1" s="74"/>
      <c r="TQQ1" s="74"/>
      <c r="TQR1" s="74"/>
      <c r="TQS1" s="74"/>
      <c r="TQT1" s="74"/>
      <c r="TQU1" s="74"/>
      <c r="TQV1" s="74"/>
      <c r="TQW1" s="74"/>
      <c r="TQX1" s="74"/>
      <c r="TQY1" s="74"/>
      <c r="TQZ1" s="74"/>
      <c r="TRA1" s="74"/>
      <c r="TRB1" s="74"/>
      <c r="TRC1" s="74"/>
      <c r="TRD1" s="74"/>
      <c r="TRE1" s="74"/>
      <c r="TRF1" s="74"/>
      <c r="TRG1" s="74"/>
      <c r="TRH1" s="74"/>
      <c r="TRI1" s="74"/>
      <c r="TRJ1" s="74"/>
      <c r="TRK1" s="74"/>
      <c r="TRL1" s="74"/>
      <c r="TRM1" s="74"/>
      <c r="TRN1" s="74"/>
      <c r="TRO1" s="74"/>
      <c r="TRP1" s="74"/>
      <c r="TRQ1" s="74"/>
      <c r="TRR1" s="74"/>
      <c r="TRS1" s="74"/>
      <c r="TRT1" s="74"/>
      <c r="TRU1" s="74"/>
      <c r="TRV1" s="74"/>
      <c r="TRW1" s="74"/>
      <c r="TRX1" s="74"/>
      <c r="TRY1" s="74"/>
      <c r="TRZ1" s="74"/>
      <c r="TSA1" s="74"/>
      <c r="TSB1" s="74"/>
      <c r="TSC1" s="74"/>
      <c r="TSD1" s="74"/>
      <c r="TSE1" s="74"/>
      <c r="TSF1" s="74"/>
      <c r="TSG1" s="74"/>
      <c r="TSH1" s="74"/>
      <c r="TSI1" s="74"/>
      <c r="TSJ1" s="74"/>
      <c r="TSK1" s="74"/>
      <c r="TSL1" s="74"/>
      <c r="TSM1" s="74"/>
      <c r="TSN1" s="74"/>
      <c r="TSO1" s="74"/>
      <c r="TSP1" s="74"/>
      <c r="TSQ1" s="74"/>
      <c r="TSR1" s="74"/>
      <c r="TSS1" s="74"/>
      <c r="TST1" s="74"/>
      <c r="TSU1" s="74"/>
      <c r="TSV1" s="74"/>
      <c r="TSW1" s="74"/>
      <c r="TSX1" s="74"/>
      <c r="TSY1" s="74"/>
      <c r="TSZ1" s="74"/>
      <c r="TTA1" s="74"/>
      <c r="TTB1" s="74"/>
      <c r="TTC1" s="74"/>
      <c r="TTD1" s="74"/>
      <c r="TTE1" s="74"/>
      <c r="TTF1" s="74"/>
      <c r="TTG1" s="74"/>
      <c r="TTH1" s="74"/>
      <c r="TTI1" s="74"/>
      <c r="TTJ1" s="74"/>
      <c r="TTK1" s="74"/>
      <c r="TTL1" s="74"/>
      <c r="TTM1" s="74"/>
      <c r="TTN1" s="74"/>
      <c r="TTO1" s="74"/>
      <c r="TTP1" s="74"/>
      <c r="TTQ1" s="74"/>
      <c r="TTR1" s="74"/>
      <c r="TTS1" s="74"/>
      <c r="TTT1" s="74"/>
      <c r="TTU1" s="74"/>
      <c r="TTV1" s="74"/>
      <c r="TTW1" s="74"/>
      <c r="TTX1" s="74"/>
      <c r="TTY1" s="74"/>
      <c r="TTZ1" s="74"/>
      <c r="TUA1" s="74"/>
      <c r="TUB1" s="74"/>
      <c r="TUC1" s="74"/>
      <c r="TUD1" s="74"/>
      <c r="TUE1" s="74"/>
      <c r="TUF1" s="74"/>
      <c r="TUG1" s="74"/>
      <c r="TUH1" s="74"/>
      <c r="TUI1" s="74"/>
      <c r="TUJ1" s="74"/>
      <c r="TUK1" s="74"/>
      <c r="TUL1" s="74"/>
      <c r="TUM1" s="74"/>
      <c r="TUN1" s="74"/>
      <c r="TUO1" s="74"/>
      <c r="TUP1" s="74"/>
      <c r="TUQ1" s="74"/>
      <c r="TUR1" s="74"/>
      <c r="TUS1" s="74"/>
      <c r="TUT1" s="74"/>
      <c r="TUU1" s="74"/>
      <c r="TUV1" s="74"/>
      <c r="TUW1" s="74"/>
      <c r="TUX1" s="74"/>
      <c r="TUY1" s="74"/>
      <c r="TUZ1" s="74"/>
      <c r="TVA1" s="74"/>
      <c r="TVB1" s="74"/>
      <c r="TVC1" s="74"/>
      <c r="TVD1" s="74"/>
      <c r="TVE1" s="74"/>
      <c r="TVF1" s="74"/>
      <c r="TVG1" s="74"/>
      <c r="TVH1" s="74"/>
      <c r="TVI1" s="74"/>
      <c r="TVJ1" s="74"/>
      <c r="TVK1" s="74"/>
      <c r="TVL1" s="74"/>
      <c r="TVM1" s="74"/>
      <c r="TVN1" s="74"/>
      <c r="TVO1" s="74"/>
      <c r="TVP1" s="74"/>
      <c r="TVQ1" s="74"/>
      <c r="TVR1" s="74"/>
      <c r="TVS1" s="74"/>
      <c r="TVT1" s="74"/>
      <c r="TVU1" s="74"/>
      <c r="TVV1" s="74"/>
      <c r="TVW1" s="74"/>
      <c r="TVX1" s="74"/>
      <c r="TVY1" s="74"/>
      <c r="TVZ1" s="74"/>
      <c r="TWA1" s="74"/>
      <c r="TWB1" s="74"/>
      <c r="TWC1" s="74"/>
      <c r="TWD1" s="74"/>
      <c r="TWE1" s="74"/>
      <c r="TWF1" s="74"/>
      <c r="TWG1" s="74"/>
      <c r="TWH1" s="74"/>
      <c r="TWI1" s="74"/>
      <c r="TWJ1" s="74"/>
      <c r="TWK1" s="74"/>
      <c r="TWL1" s="74"/>
      <c r="TWM1" s="74"/>
      <c r="TWN1" s="74"/>
      <c r="TWO1" s="74"/>
      <c r="TWP1" s="74"/>
      <c r="TWQ1" s="74"/>
      <c r="TWR1" s="74"/>
      <c r="TWS1" s="74"/>
      <c r="TWT1" s="74"/>
      <c r="TWU1" s="74"/>
      <c r="TWV1" s="74"/>
      <c r="TWW1" s="74"/>
      <c r="TWX1" s="74"/>
      <c r="TWY1" s="74"/>
      <c r="TWZ1" s="74"/>
      <c r="TXA1" s="74"/>
      <c r="TXB1" s="74"/>
      <c r="TXC1" s="74"/>
      <c r="TXD1" s="74"/>
      <c r="TXE1" s="74"/>
      <c r="TXF1" s="74"/>
      <c r="TXG1" s="74"/>
      <c r="TXH1" s="74"/>
      <c r="TXI1" s="74"/>
      <c r="TXJ1" s="74"/>
      <c r="TXK1" s="74"/>
      <c r="TXL1" s="74"/>
      <c r="TXM1" s="74"/>
      <c r="TXN1" s="74"/>
      <c r="TXO1" s="74"/>
      <c r="TXP1" s="74"/>
      <c r="TXQ1" s="74"/>
      <c r="TXR1" s="74"/>
      <c r="TXS1" s="74"/>
      <c r="TXT1" s="74"/>
      <c r="TXU1" s="74"/>
      <c r="TXV1" s="74"/>
      <c r="TXW1" s="74"/>
      <c r="TXX1" s="74"/>
      <c r="TXY1" s="74"/>
      <c r="TXZ1" s="74"/>
      <c r="TYA1" s="74"/>
      <c r="TYB1" s="74"/>
      <c r="TYC1" s="74"/>
      <c r="TYD1" s="74"/>
      <c r="TYE1" s="74"/>
      <c r="TYF1" s="74"/>
      <c r="TYG1" s="74"/>
      <c r="TYH1" s="74"/>
      <c r="TYI1" s="74"/>
      <c r="TYJ1" s="74"/>
      <c r="TYK1" s="74"/>
      <c r="TYL1" s="74"/>
      <c r="TYM1" s="74"/>
      <c r="TYN1" s="74"/>
      <c r="TYO1" s="74"/>
      <c r="TYP1" s="74"/>
      <c r="TYQ1" s="74"/>
      <c r="TYR1" s="74"/>
      <c r="TYS1" s="74"/>
      <c r="TYT1" s="74"/>
      <c r="TYU1" s="74"/>
      <c r="TYV1" s="74"/>
      <c r="TYW1" s="74"/>
      <c r="TYX1" s="74"/>
      <c r="TYY1" s="74"/>
      <c r="TYZ1" s="74"/>
      <c r="TZA1" s="74"/>
      <c r="TZB1" s="74"/>
      <c r="TZC1" s="74"/>
      <c r="TZD1" s="74"/>
      <c r="TZE1" s="74"/>
      <c r="TZF1" s="74"/>
      <c r="TZG1" s="74"/>
      <c r="TZH1" s="74"/>
      <c r="TZI1" s="74"/>
      <c r="TZJ1" s="74"/>
      <c r="TZK1" s="74"/>
      <c r="TZL1" s="74"/>
      <c r="TZM1" s="74"/>
      <c r="TZN1" s="74"/>
      <c r="TZO1" s="74"/>
      <c r="TZP1" s="74"/>
      <c r="TZQ1" s="74"/>
      <c r="TZR1" s="74"/>
      <c r="TZS1" s="74"/>
      <c r="TZT1" s="74"/>
      <c r="TZU1" s="74"/>
      <c r="TZV1" s="74"/>
      <c r="TZW1" s="74"/>
      <c r="TZX1" s="74"/>
      <c r="TZY1" s="74"/>
      <c r="TZZ1" s="74"/>
      <c r="UAA1" s="74"/>
      <c r="UAB1" s="74"/>
      <c r="UAC1" s="74"/>
      <c r="UAD1" s="74"/>
      <c r="UAE1" s="74"/>
      <c r="UAF1" s="74"/>
      <c r="UAG1" s="74"/>
      <c r="UAH1" s="74"/>
      <c r="UAI1" s="74"/>
      <c r="UAJ1" s="74"/>
      <c r="UAK1" s="74"/>
      <c r="UAL1" s="74"/>
      <c r="UAM1" s="74"/>
      <c r="UAN1" s="74"/>
      <c r="UAO1" s="74"/>
      <c r="UAP1" s="74"/>
      <c r="UAQ1" s="74"/>
      <c r="UAR1" s="74"/>
      <c r="UAS1" s="74"/>
      <c r="UAT1" s="74"/>
      <c r="UAU1" s="74"/>
      <c r="UAV1" s="74"/>
      <c r="UAW1" s="74"/>
      <c r="UAX1" s="74"/>
      <c r="UAY1" s="74"/>
      <c r="UAZ1" s="74"/>
      <c r="UBA1" s="74"/>
      <c r="UBB1" s="74"/>
      <c r="UBC1" s="74"/>
      <c r="UBD1" s="74"/>
      <c r="UBE1" s="74"/>
      <c r="UBF1" s="74"/>
      <c r="UBG1" s="74"/>
      <c r="UBH1" s="74"/>
      <c r="UBI1" s="74"/>
      <c r="UBJ1" s="74"/>
      <c r="UBK1" s="74"/>
      <c r="UBL1" s="74"/>
      <c r="UBM1" s="74"/>
      <c r="UBN1" s="74"/>
      <c r="UBO1" s="74"/>
      <c r="UBP1" s="74"/>
      <c r="UBQ1" s="74"/>
      <c r="UBR1" s="74"/>
      <c r="UBS1" s="74"/>
      <c r="UBT1" s="74"/>
      <c r="UBU1" s="74"/>
      <c r="UBV1" s="74"/>
      <c r="UBW1" s="74"/>
      <c r="UBX1" s="74"/>
      <c r="UBY1" s="74"/>
      <c r="UBZ1" s="74"/>
      <c r="UCA1" s="74"/>
      <c r="UCB1" s="74"/>
      <c r="UCC1" s="74"/>
      <c r="UCD1" s="74"/>
      <c r="UCE1" s="74"/>
      <c r="UCF1" s="74"/>
      <c r="UCG1" s="74"/>
      <c r="UCH1" s="74"/>
      <c r="UCI1" s="74"/>
      <c r="UCJ1" s="74"/>
      <c r="UCK1" s="74"/>
      <c r="UCL1" s="74"/>
      <c r="UCM1" s="74"/>
      <c r="UCN1" s="74"/>
      <c r="UCO1" s="74"/>
      <c r="UCP1" s="74"/>
      <c r="UCQ1" s="74"/>
      <c r="UCR1" s="74"/>
      <c r="UCS1" s="74"/>
      <c r="UCT1" s="74"/>
      <c r="UCU1" s="74"/>
      <c r="UCV1" s="74"/>
      <c r="UCW1" s="74"/>
      <c r="UCX1" s="74"/>
      <c r="UCY1" s="74"/>
      <c r="UCZ1" s="74"/>
      <c r="UDA1" s="74"/>
      <c r="UDB1" s="74"/>
      <c r="UDC1" s="74"/>
      <c r="UDD1" s="74"/>
      <c r="UDE1" s="74"/>
      <c r="UDF1" s="74"/>
      <c r="UDG1" s="74"/>
      <c r="UDH1" s="74"/>
      <c r="UDI1" s="74"/>
      <c r="UDJ1" s="74"/>
      <c r="UDK1" s="74"/>
      <c r="UDL1" s="74"/>
      <c r="UDM1" s="74"/>
      <c r="UDN1" s="74"/>
      <c r="UDO1" s="74"/>
      <c r="UDP1" s="74"/>
      <c r="UDQ1" s="74"/>
      <c r="UDR1" s="74"/>
      <c r="UDS1" s="74"/>
      <c r="UDT1" s="74"/>
      <c r="UDU1" s="74"/>
      <c r="UDV1" s="74"/>
      <c r="UDW1" s="74"/>
      <c r="UDX1" s="74"/>
      <c r="UDY1" s="74"/>
      <c r="UDZ1" s="74"/>
      <c r="UEA1" s="74"/>
      <c r="UEB1" s="74"/>
      <c r="UEC1" s="74"/>
      <c r="UED1" s="74"/>
      <c r="UEE1" s="74"/>
      <c r="UEF1" s="74"/>
      <c r="UEG1" s="74"/>
      <c r="UEH1" s="74"/>
      <c r="UEI1" s="74"/>
      <c r="UEJ1" s="74"/>
      <c r="UEK1" s="74"/>
      <c r="UEL1" s="74"/>
      <c r="UEM1" s="74"/>
      <c r="UEN1" s="74"/>
      <c r="UEO1" s="74"/>
      <c r="UEP1" s="74"/>
      <c r="UEQ1" s="74"/>
      <c r="UER1" s="74"/>
      <c r="UES1" s="74"/>
      <c r="UET1" s="74"/>
      <c r="UEU1" s="74"/>
      <c r="UEV1" s="74"/>
      <c r="UEW1" s="74"/>
      <c r="UEX1" s="74"/>
      <c r="UEY1" s="74"/>
      <c r="UEZ1" s="74"/>
      <c r="UFA1" s="74"/>
      <c r="UFB1" s="74"/>
      <c r="UFC1" s="74"/>
      <c r="UFD1" s="74"/>
      <c r="UFE1" s="74"/>
      <c r="UFF1" s="74"/>
      <c r="UFG1" s="74"/>
      <c r="UFH1" s="74"/>
      <c r="UFI1" s="74"/>
      <c r="UFJ1" s="74"/>
      <c r="UFK1" s="74"/>
      <c r="UFL1" s="74"/>
      <c r="UFM1" s="74"/>
      <c r="UFN1" s="74"/>
      <c r="UFO1" s="74"/>
      <c r="UFP1" s="74"/>
      <c r="UFQ1" s="74"/>
      <c r="UFR1" s="74"/>
      <c r="UFS1" s="74"/>
      <c r="UFT1" s="74"/>
      <c r="UFU1" s="74"/>
      <c r="UFV1" s="74"/>
      <c r="UFW1" s="74"/>
      <c r="UFX1" s="74"/>
      <c r="UFY1" s="74"/>
      <c r="UFZ1" s="74"/>
      <c r="UGA1" s="74"/>
      <c r="UGB1" s="74"/>
      <c r="UGC1" s="74"/>
      <c r="UGD1" s="74"/>
      <c r="UGE1" s="74"/>
      <c r="UGF1" s="74"/>
      <c r="UGG1" s="74"/>
      <c r="UGH1" s="74"/>
      <c r="UGI1" s="74"/>
      <c r="UGJ1" s="74"/>
      <c r="UGK1" s="74"/>
      <c r="UGL1" s="74"/>
      <c r="UGM1" s="74"/>
      <c r="UGN1" s="74"/>
      <c r="UGO1" s="74"/>
      <c r="UGP1" s="74"/>
      <c r="UGQ1" s="74"/>
      <c r="UGR1" s="74"/>
      <c r="UGS1" s="74"/>
      <c r="UGT1" s="74"/>
      <c r="UGU1" s="74"/>
      <c r="UGV1" s="74"/>
      <c r="UGW1" s="74"/>
      <c r="UGX1" s="74"/>
      <c r="UGY1" s="74"/>
      <c r="UGZ1" s="74"/>
      <c r="UHA1" s="74"/>
      <c r="UHB1" s="74"/>
      <c r="UHC1" s="74"/>
      <c r="UHD1" s="74"/>
      <c r="UHE1" s="74"/>
      <c r="UHF1" s="74"/>
      <c r="UHG1" s="74"/>
      <c r="UHH1" s="74"/>
      <c r="UHI1" s="74"/>
      <c r="UHJ1" s="74"/>
      <c r="UHK1" s="74"/>
      <c r="UHL1" s="74"/>
      <c r="UHM1" s="74"/>
      <c r="UHN1" s="74"/>
      <c r="UHO1" s="74"/>
      <c r="UHP1" s="74"/>
      <c r="UHQ1" s="74"/>
      <c r="UHR1" s="74"/>
      <c r="UHS1" s="74"/>
      <c r="UHT1" s="74"/>
      <c r="UHU1" s="74"/>
      <c r="UHV1" s="74"/>
      <c r="UHW1" s="74"/>
      <c r="UHX1" s="74"/>
      <c r="UHY1" s="74"/>
      <c r="UHZ1" s="74"/>
      <c r="UIA1" s="74"/>
      <c r="UIB1" s="74"/>
      <c r="UIC1" s="74"/>
      <c r="UID1" s="74"/>
      <c r="UIE1" s="74"/>
      <c r="UIF1" s="74"/>
      <c r="UIG1" s="74"/>
      <c r="UIH1" s="74"/>
      <c r="UII1" s="74"/>
      <c r="UIJ1" s="74"/>
      <c r="UIK1" s="74"/>
      <c r="UIL1" s="74"/>
      <c r="UIM1" s="74"/>
      <c r="UIN1" s="74"/>
      <c r="UIO1" s="74"/>
      <c r="UIP1" s="74"/>
      <c r="UIQ1" s="74"/>
      <c r="UIR1" s="74"/>
      <c r="UIS1" s="74"/>
      <c r="UIT1" s="74"/>
      <c r="UIU1" s="74"/>
      <c r="UIV1" s="74"/>
      <c r="UIW1" s="74"/>
      <c r="UIX1" s="74"/>
      <c r="UIY1" s="74"/>
      <c r="UIZ1" s="74"/>
      <c r="UJA1" s="74"/>
      <c r="UJB1" s="74"/>
      <c r="UJC1" s="74"/>
      <c r="UJD1" s="74"/>
      <c r="UJE1" s="74"/>
      <c r="UJF1" s="74"/>
      <c r="UJG1" s="74"/>
      <c r="UJH1" s="74"/>
      <c r="UJI1" s="74"/>
      <c r="UJJ1" s="74"/>
      <c r="UJK1" s="74"/>
      <c r="UJL1" s="74"/>
      <c r="UJM1" s="74"/>
      <c r="UJN1" s="74"/>
      <c r="UJO1" s="74"/>
      <c r="UJP1" s="74"/>
      <c r="UJQ1" s="74"/>
      <c r="UJR1" s="74"/>
      <c r="UJS1" s="74"/>
      <c r="UJT1" s="74"/>
      <c r="UJU1" s="74"/>
      <c r="UJV1" s="74"/>
      <c r="UJW1" s="74"/>
      <c r="UJX1" s="74"/>
      <c r="UJY1" s="74"/>
      <c r="UJZ1" s="74"/>
      <c r="UKA1" s="74"/>
      <c r="UKB1" s="74"/>
      <c r="UKC1" s="74"/>
      <c r="UKD1" s="74"/>
      <c r="UKE1" s="74"/>
      <c r="UKF1" s="74"/>
      <c r="UKG1" s="74"/>
      <c r="UKH1" s="74"/>
      <c r="UKI1" s="74"/>
      <c r="UKJ1" s="74"/>
      <c r="UKK1" s="74"/>
      <c r="UKL1" s="74"/>
      <c r="UKM1" s="74"/>
      <c r="UKN1" s="74"/>
      <c r="UKO1" s="74"/>
      <c r="UKP1" s="74"/>
      <c r="UKQ1" s="74"/>
      <c r="UKR1" s="74"/>
      <c r="UKS1" s="74"/>
      <c r="UKT1" s="74"/>
      <c r="UKU1" s="74"/>
      <c r="UKV1" s="74"/>
      <c r="UKW1" s="74"/>
      <c r="UKX1" s="74"/>
      <c r="UKY1" s="74"/>
      <c r="UKZ1" s="74"/>
      <c r="ULA1" s="74"/>
      <c r="ULB1" s="74"/>
      <c r="ULC1" s="74"/>
      <c r="ULD1" s="74"/>
      <c r="ULE1" s="74"/>
      <c r="ULF1" s="74"/>
      <c r="ULG1" s="74"/>
      <c r="ULH1" s="74"/>
      <c r="ULI1" s="74"/>
      <c r="ULJ1" s="74"/>
      <c r="ULK1" s="74"/>
      <c r="ULL1" s="74"/>
      <c r="ULM1" s="74"/>
      <c r="ULN1" s="74"/>
      <c r="ULO1" s="74"/>
      <c r="ULP1" s="74"/>
      <c r="ULQ1" s="74"/>
      <c r="ULR1" s="74"/>
      <c r="ULS1" s="74"/>
      <c r="ULT1" s="74"/>
      <c r="ULU1" s="74"/>
      <c r="ULV1" s="74"/>
      <c r="ULW1" s="74"/>
      <c r="ULX1" s="74"/>
      <c r="ULY1" s="74"/>
      <c r="ULZ1" s="74"/>
      <c r="UMA1" s="74"/>
      <c r="UMB1" s="74"/>
      <c r="UMC1" s="74"/>
      <c r="UMD1" s="74"/>
      <c r="UME1" s="74"/>
      <c r="UMF1" s="74"/>
      <c r="UMG1" s="74"/>
      <c r="UMH1" s="74"/>
      <c r="UMI1" s="74"/>
      <c r="UMJ1" s="74"/>
      <c r="UMK1" s="74"/>
      <c r="UML1" s="74"/>
      <c r="UMM1" s="74"/>
      <c r="UMN1" s="74"/>
      <c r="UMO1" s="74"/>
      <c r="UMP1" s="74"/>
      <c r="UMQ1" s="74"/>
      <c r="UMR1" s="74"/>
      <c r="UMS1" s="74"/>
      <c r="UMT1" s="74"/>
      <c r="UMU1" s="74"/>
      <c r="UMV1" s="74"/>
      <c r="UMW1" s="74"/>
      <c r="UMX1" s="74"/>
      <c r="UMY1" s="74"/>
      <c r="UMZ1" s="74"/>
      <c r="UNA1" s="74"/>
      <c r="UNB1" s="74"/>
      <c r="UNC1" s="74"/>
      <c r="UND1" s="74"/>
      <c r="UNE1" s="74"/>
      <c r="UNF1" s="74"/>
      <c r="UNG1" s="74"/>
      <c r="UNH1" s="74"/>
      <c r="UNI1" s="74"/>
      <c r="UNJ1" s="74"/>
      <c r="UNK1" s="74"/>
      <c r="UNL1" s="74"/>
      <c r="UNM1" s="74"/>
      <c r="UNN1" s="74"/>
      <c r="UNO1" s="74"/>
      <c r="UNP1" s="74"/>
      <c r="UNQ1" s="74"/>
      <c r="UNR1" s="74"/>
      <c r="UNS1" s="74"/>
      <c r="UNT1" s="74"/>
      <c r="UNU1" s="74"/>
      <c r="UNV1" s="74"/>
      <c r="UNW1" s="74"/>
      <c r="UNX1" s="74"/>
      <c r="UNY1" s="74"/>
      <c r="UNZ1" s="74"/>
      <c r="UOA1" s="74"/>
      <c r="UOB1" s="74"/>
      <c r="UOC1" s="74"/>
      <c r="UOD1" s="74"/>
      <c r="UOE1" s="74"/>
      <c r="UOF1" s="74"/>
      <c r="UOG1" s="74"/>
      <c r="UOH1" s="74"/>
      <c r="UOI1" s="74"/>
      <c r="UOJ1" s="74"/>
      <c r="UOK1" s="74"/>
      <c r="UOL1" s="74"/>
      <c r="UOM1" s="74"/>
      <c r="UON1" s="74"/>
      <c r="UOO1" s="74"/>
      <c r="UOP1" s="74"/>
      <c r="UOQ1" s="74"/>
      <c r="UOR1" s="74"/>
      <c r="UOS1" s="74"/>
      <c r="UOT1" s="74"/>
      <c r="UOU1" s="74"/>
      <c r="UOV1" s="74"/>
      <c r="UOW1" s="74"/>
      <c r="UOX1" s="74"/>
      <c r="UOY1" s="74"/>
      <c r="UOZ1" s="74"/>
      <c r="UPA1" s="74"/>
      <c r="UPB1" s="74"/>
      <c r="UPC1" s="74"/>
      <c r="UPD1" s="74"/>
      <c r="UPE1" s="74"/>
      <c r="UPF1" s="74"/>
      <c r="UPG1" s="74"/>
      <c r="UPH1" s="74"/>
      <c r="UPI1" s="74"/>
      <c r="UPJ1" s="74"/>
      <c r="UPK1" s="74"/>
      <c r="UPL1" s="74"/>
      <c r="UPM1" s="74"/>
      <c r="UPN1" s="74"/>
      <c r="UPO1" s="74"/>
      <c r="UPP1" s="74"/>
      <c r="UPQ1" s="74"/>
      <c r="UPR1" s="74"/>
      <c r="UPS1" s="74"/>
      <c r="UPT1" s="74"/>
      <c r="UPU1" s="74"/>
      <c r="UPV1" s="74"/>
      <c r="UPW1" s="74"/>
      <c r="UPX1" s="74"/>
      <c r="UPY1" s="74"/>
      <c r="UPZ1" s="74"/>
      <c r="UQA1" s="74"/>
      <c r="UQB1" s="74"/>
      <c r="UQC1" s="74"/>
      <c r="UQD1" s="74"/>
      <c r="UQE1" s="74"/>
      <c r="UQF1" s="74"/>
      <c r="UQG1" s="74"/>
      <c r="UQH1" s="74"/>
      <c r="UQI1" s="74"/>
      <c r="UQJ1" s="74"/>
      <c r="UQK1" s="74"/>
      <c r="UQL1" s="74"/>
      <c r="UQM1" s="74"/>
      <c r="UQN1" s="74"/>
      <c r="UQO1" s="74"/>
      <c r="UQP1" s="74"/>
      <c r="UQQ1" s="74"/>
      <c r="UQR1" s="74"/>
      <c r="UQS1" s="74"/>
      <c r="UQT1" s="74"/>
      <c r="UQU1" s="74"/>
      <c r="UQV1" s="74"/>
      <c r="UQW1" s="74"/>
      <c r="UQX1" s="74"/>
      <c r="UQY1" s="74"/>
      <c r="UQZ1" s="74"/>
      <c r="URA1" s="74"/>
      <c r="URB1" s="74"/>
      <c r="URC1" s="74"/>
      <c r="URD1" s="74"/>
      <c r="URE1" s="74"/>
      <c r="URF1" s="74"/>
      <c r="URG1" s="74"/>
      <c r="URH1" s="74"/>
      <c r="URI1" s="74"/>
      <c r="URJ1" s="74"/>
      <c r="URK1" s="74"/>
      <c r="URL1" s="74"/>
      <c r="URM1" s="74"/>
      <c r="URN1" s="74"/>
      <c r="URO1" s="74"/>
      <c r="URP1" s="74"/>
      <c r="URQ1" s="74"/>
      <c r="URR1" s="74"/>
      <c r="URS1" s="74"/>
      <c r="URT1" s="74"/>
      <c r="URU1" s="74"/>
      <c r="URV1" s="74"/>
      <c r="URW1" s="74"/>
      <c r="URX1" s="74"/>
      <c r="URY1" s="74"/>
      <c r="URZ1" s="74"/>
      <c r="USA1" s="74"/>
      <c r="USB1" s="74"/>
      <c r="USC1" s="74"/>
      <c r="USD1" s="74"/>
      <c r="USE1" s="74"/>
      <c r="USF1" s="74"/>
      <c r="USG1" s="74"/>
      <c r="USH1" s="74"/>
      <c r="USI1" s="74"/>
      <c r="USJ1" s="74"/>
      <c r="USK1" s="74"/>
      <c r="USL1" s="74"/>
      <c r="USM1" s="74"/>
      <c r="USN1" s="74"/>
      <c r="USO1" s="74"/>
      <c r="USP1" s="74"/>
      <c r="USQ1" s="74"/>
      <c r="USR1" s="74"/>
      <c r="USS1" s="74"/>
      <c r="UST1" s="74"/>
      <c r="USU1" s="74"/>
      <c r="USV1" s="74"/>
      <c r="USW1" s="74"/>
      <c r="USX1" s="74"/>
      <c r="USY1" s="74"/>
      <c r="USZ1" s="74"/>
      <c r="UTA1" s="74"/>
      <c r="UTB1" s="74"/>
      <c r="UTC1" s="74"/>
      <c r="UTD1" s="74"/>
      <c r="UTE1" s="74"/>
      <c r="UTF1" s="74"/>
      <c r="UTG1" s="74"/>
      <c r="UTH1" s="74"/>
      <c r="UTI1" s="74"/>
      <c r="UTJ1" s="74"/>
      <c r="UTK1" s="74"/>
      <c r="UTL1" s="74"/>
      <c r="UTM1" s="74"/>
      <c r="UTN1" s="74"/>
      <c r="UTO1" s="74"/>
      <c r="UTP1" s="74"/>
      <c r="UTQ1" s="74"/>
      <c r="UTR1" s="74"/>
      <c r="UTS1" s="74"/>
      <c r="UTT1" s="74"/>
      <c r="UTU1" s="74"/>
      <c r="UTV1" s="74"/>
      <c r="UTW1" s="74"/>
      <c r="UTX1" s="74"/>
      <c r="UTY1" s="74"/>
      <c r="UTZ1" s="74"/>
      <c r="UUA1" s="74"/>
      <c r="UUB1" s="74"/>
      <c r="UUC1" s="74"/>
      <c r="UUD1" s="74"/>
      <c r="UUE1" s="74"/>
      <c r="UUF1" s="74"/>
      <c r="UUG1" s="74"/>
      <c r="UUH1" s="74"/>
      <c r="UUI1" s="74"/>
      <c r="UUJ1" s="74"/>
      <c r="UUK1" s="74"/>
      <c r="UUL1" s="74"/>
      <c r="UUM1" s="74"/>
      <c r="UUN1" s="74"/>
      <c r="UUO1" s="74"/>
      <c r="UUP1" s="74"/>
      <c r="UUQ1" s="74"/>
      <c r="UUR1" s="74"/>
      <c r="UUS1" s="74"/>
      <c r="UUT1" s="74"/>
      <c r="UUU1" s="74"/>
      <c r="UUV1" s="74"/>
      <c r="UUW1" s="74"/>
      <c r="UUX1" s="74"/>
      <c r="UUY1" s="74"/>
      <c r="UUZ1" s="74"/>
      <c r="UVA1" s="74"/>
      <c r="UVB1" s="74"/>
      <c r="UVC1" s="74"/>
      <c r="UVD1" s="74"/>
      <c r="UVE1" s="74"/>
      <c r="UVF1" s="74"/>
      <c r="UVG1" s="74"/>
      <c r="UVH1" s="74"/>
      <c r="UVI1" s="74"/>
      <c r="UVJ1" s="74"/>
      <c r="UVK1" s="74"/>
      <c r="UVL1" s="74"/>
      <c r="UVM1" s="74"/>
      <c r="UVN1" s="74"/>
      <c r="UVO1" s="74"/>
      <c r="UVP1" s="74"/>
      <c r="UVQ1" s="74"/>
      <c r="UVR1" s="74"/>
      <c r="UVS1" s="74"/>
      <c r="UVT1" s="74"/>
      <c r="UVU1" s="74"/>
      <c r="UVV1" s="74"/>
      <c r="UVW1" s="74"/>
      <c r="UVX1" s="74"/>
      <c r="UVY1" s="74"/>
      <c r="UVZ1" s="74"/>
      <c r="UWA1" s="74"/>
      <c r="UWB1" s="74"/>
      <c r="UWC1" s="74"/>
      <c r="UWD1" s="74"/>
      <c r="UWE1" s="74"/>
      <c r="UWF1" s="74"/>
      <c r="UWG1" s="74"/>
      <c r="UWH1" s="74"/>
      <c r="UWI1" s="74"/>
      <c r="UWJ1" s="74"/>
      <c r="UWK1" s="74"/>
      <c r="UWL1" s="74"/>
      <c r="UWM1" s="74"/>
      <c r="UWN1" s="74"/>
      <c r="UWO1" s="74"/>
      <c r="UWP1" s="74"/>
      <c r="UWQ1" s="74"/>
      <c r="UWR1" s="74"/>
      <c r="UWS1" s="74"/>
      <c r="UWT1" s="74"/>
      <c r="UWU1" s="74"/>
      <c r="UWV1" s="74"/>
      <c r="UWW1" s="74"/>
      <c r="UWX1" s="74"/>
      <c r="UWY1" s="74"/>
      <c r="UWZ1" s="74"/>
      <c r="UXA1" s="74"/>
      <c r="UXB1" s="74"/>
      <c r="UXC1" s="74"/>
      <c r="UXD1" s="74"/>
      <c r="UXE1" s="74"/>
      <c r="UXF1" s="74"/>
      <c r="UXG1" s="74"/>
      <c r="UXH1" s="74"/>
      <c r="UXI1" s="74"/>
      <c r="UXJ1" s="74"/>
      <c r="UXK1" s="74"/>
      <c r="UXL1" s="74"/>
      <c r="UXM1" s="74"/>
      <c r="UXN1" s="74"/>
      <c r="UXO1" s="74"/>
      <c r="UXP1" s="74"/>
      <c r="UXQ1" s="74"/>
      <c r="UXR1" s="74"/>
      <c r="UXS1" s="74"/>
      <c r="UXT1" s="74"/>
      <c r="UXU1" s="74"/>
      <c r="UXV1" s="74"/>
      <c r="UXW1" s="74"/>
      <c r="UXX1" s="74"/>
      <c r="UXY1" s="74"/>
      <c r="UXZ1" s="74"/>
      <c r="UYA1" s="74"/>
      <c r="UYB1" s="74"/>
      <c r="UYC1" s="74"/>
      <c r="UYD1" s="74"/>
      <c r="UYE1" s="74"/>
      <c r="UYF1" s="74"/>
      <c r="UYG1" s="74"/>
      <c r="UYH1" s="74"/>
      <c r="UYI1" s="74"/>
      <c r="UYJ1" s="74"/>
      <c r="UYK1" s="74"/>
      <c r="UYL1" s="74"/>
      <c r="UYM1" s="74"/>
      <c r="UYN1" s="74"/>
      <c r="UYO1" s="74"/>
      <c r="UYP1" s="74"/>
      <c r="UYQ1" s="74"/>
      <c r="UYR1" s="74"/>
      <c r="UYS1" s="74"/>
      <c r="UYT1" s="74"/>
      <c r="UYU1" s="74"/>
      <c r="UYV1" s="74"/>
      <c r="UYW1" s="74"/>
      <c r="UYX1" s="74"/>
      <c r="UYY1" s="74"/>
      <c r="UYZ1" s="74"/>
      <c r="UZA1" s="74"/>
      <c r="UZB1" s="74"/>
      <c r="UZC1" s="74"/>
      <c r="UZD1" s="74"/>
      <c r="UZE1" s="74"/>
      <c r="UZF1" s="74"/>
      <c r="UZG1" s="74"/>
      <c r="UZH1" s="74"/>
      <c r="UZI1" s="74"/>
      <c r="UZJ1" s="74"/>
      <c r="UZK1" s="74"/>
      <c r="UZL1" s="74"/>
      <c r="UZM1" s="74"/>
      <c r="UZN1" s="74"/>
      <c r="UZO1" s="74"/>
      <c r="UZP1" s="74"/>
      <c r="UZQ1" s="74"/>
      <c r="UZR1" s="74"/>
      <c r="UZS1" s="74"/>
      <c r="UZT1" s="74"/>
      <c r="UZU1" s="74"/>
      <c r="UZV1" s="74"/>
      <c r="UZW1" s="74"/>
      <c r="UZX1" s="74"/>
      <c r="UZY1" s="74"/>
      <c r="UZZ1" s="74"/>
      <c r="VAA1" s="74"/>
      <c r="VAB1" s="74"/>
      <c r="VAC1" s="74"/>
      <c r="VAD1" s="74"/>
      <c r="VAE1" s="74"/>
      <c r="VAF1" s="74"/>
      <c r="VAG1" s="74"/>
      <c r="VAH1" s="74"/>
      <c r="VAI1" s="74"/>
      <c r="VAJ1" s="74"/>
      <c r="VAK1" s="74"/>
      <c r="VAL1" s="74"/>
      <c r="VAM1" s="74"/>
      <c r="VAN1" s="74"/>
      <c r="VAO1" s="74"/>
      <c r="VAP1" s="74"/>
      <c r="VAQ1" s="74"/>
      <c r="VAR1" s="74"/>
      <c r="VAS1" s="74"/>
      <c r="VAT1" s="74"/>
      <c r="VAU1" s="74"/>
      <c r="VAV1" s="74"/>
      <c r="VAW1" s="74"/>
      <c r="VAX1" s="74"/>
      <c r="VAY1" s="74"/>
      <c r="VAZ1" s="74"/>
      <c r="VBA1" s="74"/>
      <c r="VBB1" s="74"/>
      <c r="VBC1" s="74"/>
      <c r="VBD1" s="74"/>
      <c r="VBE1" s="74"/>
      <c r="VBF1" s="74"/>
      <c r="VBG1" s="74"/>
      <c r="VBH1" s="74"/>
      <c r="VBI1" s="74"/>
      <c r="VBJ1" s="74"/>
      <c r="VBK1" s="74"/>
      <c r="VBL1" s="74"/>
      <c r="VBM1" s="74"/>
      <c r="VBN1" s="74"/>
      <c r="VBO1" s="74"/>
      <c r="VBP1" s="74"/>
      <c r="VBQ1" s="74"/>
      <c r="VBR1" s="74"/>
      <c r="VBS1" s="74"/>
      <c r="VBT1" s="74"/>
      <c r="VBU1" s="74"/>
      <c r="VBV1" s="74"/>
      <c r="VBW1" s="74"/>
      <c r="VBX1" s="74"/>
      <c r="VBY1" s="74"/>
      <c r="VBZ1" s="74"/>
      <c r="VCA1" s="74"/>
      <c r="VCB1" s="74"/>
      <c r="VCC1" s="74"/>
      <c r="VCD1" s="74"/>
      <c r="VCE1" s="74"/>
      <c r="VCF1" s="74"/>
      <c r="VCG1" s="74"/>
      <c r="VCH1" s="74"/>
      <c r="VCI1" s="74"/>
      <c r="VCJ1" s="74"/>
      <c r="VCK1" s="74"/>
      <c r="VCL1" s="74"/>
      <c r="VCM1" s="74"/>
      <c r="VCN1" s="74"/>
      <c r="VCO1" s="74"/>
      <c r="VCP1" s="74"/>
      <c r="VCQ1" s="74"/>
      <c r="VCR1" s="74"/>
      <c r="VCS1" s="74"/>
      <c r="VCT1" s="74"/>
      <c r="VCU1" s="74"/>
      <c r="VCV1" s="74"/>
      <c r="VCW1" s="74"/>
      <c r="VCX1" s="74"/>
      <c r="VCY1" s="74"/>
      <c r="VCZ1" s="74"/>
      <c r="VDA1" s="74"/>
      <c r="VDB1" s="74"/>
      <c r="VDC1" s="74"/>
      <c r="VDD1" s="74"/>
      <c r="VDE1" s="74"/>
      <c r="VDF1" s="74"/>
      <c r="VDG1" s="74"/>
      <c r="VDH1" s="74"/>
      <c r="VDI1" s="74"/>
      <c r="VDJ1" s="74"/>
      <c r="VDK1" s="74"/>
      <c r="VDL1" s="74"/>
      <c r="VDM1" s="74"/>
      <c r="VDN1" s="74"/>
      <c r="VDO1" s="74"/>
      <c r="VDP1" s="74"/>
      <c r="VDQ1" s="74"/>
      <c r="VDR1" s="74"/>
      <c r="VDS1" s="74"/>
      <c r="VDT1" s="74"/>
      <c r="VDU1" s="74"/>
      <c r="VDV1" s="74"/>
      <c r="VDW1" s="74"/>
      <c r="VDX1" s="74"/>
      <c r="VDY1" s="74"/>
      <c r="VDZ1" s="74"/>
      <c r="VEA1" s="74"/>
      <c r="VEB1" s="74"/>
      <c r="VEC1" s="74"/>
      <c r="VED1" s="74"/>
      <c r="VEE1" s="74"/>
      <c r="VEF1" s="74"/>
      <c r="VEG1" s="74"/>
      <c r="VEH1" s="74"/>
      <c r="VEI1" s="74"/>
      <c r="VEJ1" s="74"/>
      <c r="VEK1" s="74"/>
      <c r="VEL1" s="74"/>
      <c r="VEM1" s="74"/>
      <c r="VEN1" s="74"/>
      <c r="VEO1" s="74"/>
      <c r="VEP1" s="74"/>
      <c r="VEQ1" s="74"/>
      <c r="VER1" s="74"/>
      <c r="VES1" s="74"/>
      <c r="VET1" s="74"/>
      <c r="VEU1" s="74"/>
      <c r="VEV1" s="74"/>
      <c r="VEW1" s="74"/>
      <c r="VEX1" s="74"/>
      <c r="VEY1" s="74"/>
      <c r="VEZ1" s="74"/>
      <c r="VFA1" s="74"/>
      <c r="VFB1" s="74"/>
      <c r="VFC1" s="74"/>
      <c r="VFD1" s="74"/>
      <c r="VFE1" s="74"/>
      <c r="VFF1" s="74"/>
      <c r="VFG1" s="74"/>
      <c r="VFH1" s="74"/>
      <c r="VFI1" s="74"/>
      <c r="VFJ1" s="74"/>
      <c r="VFK1" s="74"/>
      <c r="VFL1" s="74"/>
      <c r="VFM1" s="74"/>
      <c r="VFN1" s="74"/>
      <c r="VFO1" s="74"/>
      <c r="VFP1" s="74"/>
      <c r="VFQ1" s="74"/>
      <c r="VFR1" s="74"/>
      <c r="VFS1" s="74"/>
      <c r="VFT1" s="74"/>
      <c r="VFU1" s="74"/>
      <c r="VFV1" s="74"/>
      <c r="VFW1" s="74"/>
      <c r="VFX1" s="74"/>
      <c r="VFY1" s="74"/>
      <c r="VFZ1" s="74"/>
      <c r="VGA1" s="74"/>
      <c r="VGB1" s="74"/>
      <c r="VGC1" s="74"/>
      <c r="VGD1" s="74"/>
      <c r="VGE1" s="74"/>
      <c r="VGF1" s="74"/>
      <c r="VGG1" s="74"/>
      <c r="VGH1" s="74"/>
      <c r="VGI1" s="74"/>
      <c r="VGJ1" s="74"/>
      <c r="VGK1" s="74"/>
      <c r="VGL1" s="74"/>
      <c r="VGM1" s="74"/>
      <c r="VGN1" s="74"/>
      <c r="VGO1" s="74"/>
      <c r="VGP1" s="74"/>
      <c r="VGQ1" s="74"/>
      <c r="VGR1" s="74"/>
      <c r="VGS1" s="74"/>
      <c r="VGT1" s="74"/>
      <c r="VGU1" s="74"/>
      <c r="VGV1" s="74"/>
      <c r="VGW1" s="74"/>
      <c r="VGX1" s="74"/>
      <c r="VGY1" s="74"/>
      <c r="VGZ1" s="74"/>
      <c r="VHA1" s="74"/>
      <c r="VHB1" s="74"/>
      <c r="VHC1" s="74"/>
      <c r="VHD1" s="74"/>
      <c r="VHE1" s="74"/>
      <c r="VHF1" s="74"/>
      <c r="VHG1" s="74"/>
      <c r="VHH1" s="74"/>
      <c r="VHI1" s="74"/>
      <c r="VHJ1" s="74"/>
      <c r="VHK1" s="74"/>
      <c r="VHL1" s="74"/>
      <c r="VHM1" s="74"/>
      <c r="VHN1" s="74"/>
      <c r="VHO1" s="74"/>
      <c r="VHP1" s="74"/>
      <c r="VHQ1" s="74"/>
      <c r="VHR1" s="74"/>
      <c r="VHS1" s="74"/>
      <c r="VHT1" s="74"/>
      <c r="VHU1" s="74"/>
      <c r="VHV1" s="74"/>
      <c r="VHW1" s="74"/>
      <c r="VHX1" s="74"/>
      <c r="VHY1" s="74"/>
      <c r="VHZ1" s="74"/>
      <c r="VIA1" s="74"/>
      <c r="VIB1" s="74"/>
      <c r="VIC1" s="74"/>
      <c r="VID1" s="74"/>
      <c r="VIE1" s="74"/>
      <c r="VIF1" s="74"/>
      <c r="VIG1" s="74"/>
      <c r="VIH1" s="74"/>
      <c r="VII1" s="74"/>
      <c r="VIJ1" s="74"/>
      <c r="VIK1" s="74"/>
      <c r="VIL1" s="74"/>
      <c r="VIM1" s="74"/>
      <c r="VIN1" s="74"/>
      <c r="VIO1" s="74"/>
      <c r="VIP1" s="74"/>
      <c r="VIQ1" s="74"/>
      <c r="VIR1" s="74"/>
      <c r="VIS1" s="74"/>
      <c r="VIT1" s="74"/>
      <c r="VIU1" s="74"/>
      <c r="VIV1" s="74"/>
      <c r="VIW1" s="74"/>
      <c r="VIX1" s="74"/>
      <c r="VIY1" s="74"/>
      <c r="VIZ1" s="74"/>
      <c r="VJA1" s="74"/>
      <c r="VJB1" s="74"/>
      <c r="VJC1" s="74"/>
      <c r="VJD1" s="74"/>
      <c r="VJE1" s="74"/>
      <c r="VJF1" s="74"/>
      <c r="VJG1" s="74"/>
      <c r="VJH1" s="74"/>
      <c r="VJI1" s="74"/>
      <c r="VJJ1" s="74"/>
      <c r="VJK1" s="74"/>
      <c r="VJL1" s="74"/>
      <c r="VJM1" s="74"/>
      <c r="VJN1" s="74"/>
      <c r="VJO1" s="74"/>
      <c r="VJP1" s="74"/>
      <c r="VJQ1" s="74"/>
      <c r="VJR1" s="74"/>
      <c r="VJS1" s="74"/>
      <c r="VJT1" s="74"/>
      <c r="VJU1" s="74"/>
      <c r="VJV1" s="74"/>
      <c r="VJW1" s="74"/>
      <c r="VJX1" s="74"/>
      <c r="VJY1" s="74"/>
      <c r="VJZ1" s="74"/>
      <c r="VKA1" s="74"/>
      <c r="VKB1" s="74"/>
      <c r="VKC1" s="74"/>
      <c r="VKD1" s="74"/>
      <c r="VKE1" s="74"/>
      <c r="VKF1" s="74"/>
      <c r="VKG1" s="74"/>
      <c r="VKH1" s="74"/>
      <c r="VKI1" s="74"/>
      <c r="VKJ1" s="74"/>
      <c r="VKK1" s="74"/>
      <c r="VKL1" s="74"/>
      <c r="VKM1" s="74"/>
      <c r="VKN1" s="74"/>
      <c r="VKO1" s="74"/>
      <c r="VKP1" s="74"/>
      <c r="VKQ1" s="74"/>
      <c r="VKR1" s="74"/>
      <c r="VKS1" s="74"/>
      <c r="VKT1" s="74"/>
      <c r="VKU1" s="74"/>
      <c r="VKV1" s="74"/>
      <c r="VKW1" s="74"/>
      <c r="VKX1" s="74"/>
      <c r="VKY1" s="74"/>
      <c r="VKZ1" s="74"/>
      <c r="VLA1" s="74"/>
      <c r="VLB1" s="74"/>
      <c r="VLC1" s="74"/>
      <c r="VLD1" s="74"/>
      <c r="VLE1" s="74"/>
      <c r="VLF1" s="74"/>
      <c r="VLG1" s="74"/>
      <c r="VLH1" s="74"/>
      <c r="VLI1" s="74"/>
      <c r="VLJ1" s="74"/>
      <c r="VLK1" s="74"/>
      <c r="VLL1" s="74"/>
      <c r="VLM1" s="74"/>
      <c r="VLN1" s="74"/>
      <c r="VLO1" s="74"/>
      <c r="VLP1" s="74"/>
      <c r="VLQ1" s="74"/>
      <c r="VLR1" s="74"/>
      <c r="VLS1" s="74"/>
      <c r="VLT1" s="74"/>
      <c r="VLU1" s="74"/>
      <c r="VLV1" s="74"/>
      <c r="VLW1" s="74"/>
      <c r="VLX1" s="74"/>
      <c r="VLY1" s="74"/>
      <c r="VLZ1" s="74"/>
      <c r="VMA1" s="74"/>
      <c r="VMB1" s="74"/>
      <c r="VMC1" s="74"/>
      <c r="VMD1" s="74"/>
      <c r="VME1" s="74"/>
      <c r="VMF1" s="74"/>
      <c r="VMG1" s="74"/>
      <c r="VMH1" s="74"/>
      <c r="VMI1" s="74"/>
      <c r="VMJ1" s="74"/>
      <c r="VMK1" s="74"/>
      <c r="VML1" s="74"/>
      <c r="VMM1" s="74"/>
      <c r="VMN1" s="74"/>
      <c r="VMO1" s="74"/>
      <c r="VMP1" s="74"/>
      <c r="VMQ1" s="74"/>
      <c r="VMR1" s="74"/>
      <c r="VMS1" s="74"/>
      <c r="VMT1" s="74"/>
      <c r="VMU1" s="74"/>
      <c r="VMV1" s="74"/>
      <c r="VMW1" s="74"/>
      <c r="VMX1" s="74"/>
      <c r="VMY1" s="74"/>
      <c r="VMZ1" s="74"/>
      <c r="VNA1" s="74"/>
      <c r="VNB1" s="74"/>
      <c r="VNC1" s="74"/>
      <c r="VND1" s="74"/>
      <c r="VNE1" s="74"/>
      <c r="VNF1" s="74"/>
      <c r="VNG1" s="74"/>
      <c r="VNH1" s="74"/>
      <c r="VNI1" s="74"/>
      <c r="VNJ1" s="74"/>
      <c r="VNK1" s="74"/>
      <c r="VNL1" s="74"/>
      <c r="VNM1" s="74"/>
      <c r="VNN1" s="74"/>
      <c r="VNO1" s="74"/>
      <c r="VNP1" s="74"/>
      <c r="VNQ1" s="74"/>
      <c r="VNR1" s="74"/>
      <c r="VNS1" s="74"/>
      <c r="VNT1" s="74"/>
      <c r="VNU1" s="74"/>
      <c r="VNV1" s="74"/>
      <c r="VNW1" s="74"/>
      <c r="VNX1" s="74"/>
      <c r="VNY1" s="74"/>
      <c r="VNZ1" s="74"/>
      <c r="VOA1" s="74"/>
      <c r="VOB1" s="74"/>
      <c r="VOC1" s="74"/>
      <c r="VOD1" s="74"/>
      <c r="VOE1" s="74"/>
      <c r="VOF1" s="74"/>
      <c r="VOG1" s="74"/>
      <c r="VOH1" s="74"/>
      <c r="VOI1" s="74"/>
      <c r="VOJ1" s="74"/>
      <c r="VOK1" s="74"/>
      <c r="VOL1" s="74"/>
      <c r="VOM1" s="74"/>
      <c r="VON1" s="74"/>
      <c r="VOO1" s="74"/>
      <c r="VOP1" s="74"/>
      <c r="VOQ1" s="74"/>
      <c r="VOR1" s="74"/>
      <c r="VOS1" s="74"/>
      <c r="VOT1" s="74"/>
      <c r="VOU1" s="74"/>
      <c r="VOV1" s="74"/>
      <c r="VOW1" s="74"/>
      <c r="VOX1" s="74"/>
      <c r="VOY1" s="74"/>
      <c r="VOZ1" s="74"/>
      <c r="VPA1" s="74"/>
      <c r="VPB1" s="74"/>
      <c r="VPC1" s="74"/>
      <c r="VPD1" s="74"/>
      <c r="VPE1" s="74"/>
      <c r="VPF1" s="74"/>
      <c r="VPG1" s="74"/>
      <c r="VPH1" s="74"/>
      <c r="VPI1" s="74"/>
      <c r="VPJ1" s="74"/>
      <c r="VPK1" s="74"/>
      <c r="VPL1" s="74"/>
      <c r="VPM1" s="74"/>
      <c r="VPN1" s="74"/>
      <c r="VPO1" s="74"/>
      <c r="VPP1" s="74"/>
      <c r="VPQ1" s="74"/>
      <c r="VPR1" s="74"/>
      <c r="VPS1" s="74"/>
      <c r="VPT1" s="74"/>
      <c r="VPU1" s="74"/>
      <c r="VPV1" s="74"/>
      <c r="VPW1" s="74"/>
      <c r="VPX1" s="74"/>
      <c r="VPY1" s="74"/>
      <c r="VPZ1" s="74"/>
      <c r="VQA1" s="74"/>
      <c r="VQB1" s="74"/>
      <c r="VQC1" s="74"/>
      <c r="VQD1" s="74"/>
      <c r="VQE1" s="74"/>
      <c r="VQF1" s="74"/>
      <c r="VQG1" s="74"/>
      <c r="VQH1" s="74"/>
      <c r="VQI1" s="74"/>
      <c r="VQJ1" s="74"/>
      <c r="VQK1" s="74"/>
      <c r="VQL1" s="74"/>
      <c r="VQM1" s="74"/>
      <c r="VQN1" s="74"/>
      <c r="VQO1" s="74"/>
      <c r="VQP1" s="74"/>
      <c r="VQQ1" s="74"/>
      <c r="VQR1" s="74"/>
      <c r="VQS1" s="74"/>
      <c r="VQT1" s="74"/>
      <c r="VQU1" s="74"/>
      <c r="VQV1" s="74"/>
      <c r="VQW1" s="74"/>
      <c r="VQX1" s="74"/>
      <c r="VQY1" s="74"/>
      <c r="VQZ1" s="74"/>
      <c r="VRA1" s="74"/>
      <c r="VRB1" s="74"/>
      <c r="VRC1" s="74"/>
      <c r="VRD1" s="74"/>
      <c r="VRE1" s="74"/>
      <c r="VRF1" s="74"/>
      <c r="VRG1" s="74"/>
      <c r="VRH1" s="74"/>
      <c r="VRI1" s="74"/>
      <c r="VRJ1" s="74"/>
      <c r="VRK1" s="74"/>
      <c r="VRL1" s="74"/>
      <c r="VRM1" s="74"/>
      <c r="VRN1" s="74"/>
      <c r="VRO1" s="74"/>
      <c r="VRP1" s="74"/>
      <c r="VRQ1" s="74"/>
      <c r="VRR1" s="74"/>
      <c r="VRS1" s="74"/>
      <c r="VRT1" s="74"/>
      <c r="VRU1" s="74"/>
      <c r="VRV1" s="74"/>
      <c r="VRW1" s="74"/>
      <c r="VRX1" s="74"/>
      <c r="VRY1" s="74"/>
      <c r="VRZ1" s="74"/>
      <c r="VSA1" s="74"/>
      <c r="VSB1" s="74"/>
      <c r="VSC1" s="74"/>
      <c r="VSD1" s="74"/>
      <c r="VSE1" s="74"/>
      <c r="VSF1" s="74"/>
      <c r="VSG1" s="74"/>
      <c r="VSH1" s="74"/>
      <c r="VSI1" s="74"/>
      <c r="VSJ1" s="74"/>
      <c r="VSK1" s="74"/>
      <c r="VSL1" s="74"/>
      <c r="VSM1" s="74"/>
      <c r="VSN1" s="74"/>
      <c r="VSO1" s="74"/>
      <c r="VSP1" s="74"/>
      <c r="VSQ1" s="74"/>
      <c r="VSR1" s="74"/>
      <c r="VSS1" s="74"/>
      <c r="VST1" s="74"/>
      <c r="VSU1" s="74"/>
      <c r="VSV1" s="74"/>
      <c r="VSW1" s="74"/>
      <c r="VSX1" s="74"/>
      <c r="VSY1" s="74"/>
      <c r="VSZ1" s="74"/>
      <c r="VTA1" s="74"/>
      <c r="VTB1" s="74"/>
      <c r="VTC1" s="74"/>
      <c r="VTD1" s="74"/>
      <c r="VTE1" s="74"/>
      <c r="VTF1" s="74"/>
      <c r="VTG1" s="74"/>
      <c r="VTH1" s="74"/>
      <c r="VTI1" s="74"/>
      <c r="VTJ1" s="74"/>
      <c r="VTK1" s="74"/>
      <c r="VTL1" s="74"/>
      <c r="VTM1" s="74"/>
      <c r="VTN1" s="74"/>
      <c r="VTO1" s="74"/>
      <c r="VTP1" s="74"/>
      <c r="VTQ1" s="74"/>
      <c r="VTR1" s="74"/>
      <c r="VTS1" s="74"/>
      <c r="VTT1" s="74"/>
      <c r="VTU1" s="74"/>
      <c r="VTV1" s="74"/>
      <c r="VTW1" s="74"/>
      <c r="VTX1" s="74"/>
      <c r="VTY1" s="74"/>
      <c r="VTZ1" s="74"/>
      <c r="VUA1" s="74"/>
      <c r="VUB1" s="74"/>
      <c r="VUC1" s="74"/>
      <c r="VUD1" s="74"/>
      <c r="VUE1" s="74"/>
      <c r="VUF1" s="74"/>
      <c r="VUG1" s="74"/>
      <c r="VUH1" s="74"/>
      <c r="VUI1" s="74"/>
      <c r="VUJ1" s="74"/>
      <c r="VUK1" s="74"/>
      <c r="VUL1" s="74"/>
      <c r="VUM1" s="74"/>
      <c r="VUN1" s="74"/>
      <c r="VUO1" s="74"/>
      <c r="VUP1" s="74"/>
      <c r="VUQ1" s="74"/>
      <c r="VUR1" s="74"/>
      <c r="VUS1" s="74"/>
      <c r="VUT1" s="74"/>
      <c r="VUU1" s="74"/>
      <c r="VUV1" s="74"/>
      <c r="VUW1" s="74"/>
      <c r="VUX1" s="74"/>
      <c r="VUY1" s="74"/>
      <c r="VUZ1" s="74"/>
      <c r="VVA1" s="74"/>
      <c r="VVB1" s="74"/>
      <c r="VVC1" s="74"/>
      <c r="VVD1" s="74"/>
      <c r="VVE1" s="74"/>
      <c r="VVF1" s="74"/>
      <c r="VVG1" s="74"/>
      <c r="VVH1" s="74"/>
      <c r="VVI1" s="74"/>
      <c r="VVJ1" s="74"/>
      <c r="VVK1" s="74"/>
      <c r="VVL1" s="74"/>
      <c r="VVM1" s="74"/>
      <c r="VVN1" s="74"/>
      <c r="VVO1" s="74"/>
      <c r="VVP1" s="74"/>
      <c r="VVQ1" s="74"/>
      <c r="VVR1" s="74"/>
      <c r="VVS1" s="74"/>
      <c r="VVT1" s="74"/>
      <c r="VVU1" s="74"/>
      <c r="VVV1" s="74"/>
      <c r="VVW1" s="74"/>
      <c r="VVX1" s="74"/>
      <c r="VVY1" s="74"/>
      <c r="VVZ1" s="74"/>
      <c r="VWA1" s="74"/>
      <c r="VWB1" s="74"/>
      <c r="VWC1" s="74"/>
      <c r="VWD1" s="74"/>
      <c r="VWE1" s="74"/>
      <c r="VWF1" s="74"/>
      <c r="VWG1" s="74"/>
      <c r="VWH1" s="74"/>
      <c r="VWI1" s="74"/>
      <c r="VWJ1" s="74"/>
      <c r="VWK1" s="74"/>
      <c r="VWL1" s="74"/>
      <c r="VWM1" s="74"/>
      <c r="VWN1" s="74"/>
      <c r="VWO1" s="74"/>
      <c r="VWP1" s="74"/>
      <c r="VWQ1" s="74"/>
      <c r="VWR1" s="74"/>
      <c r="VWS1" s="74"/>
      <c r="VWT1" s="74"/>
      <c r="VWU1" s="74"/>
      <c r="VWV1" s="74"/>
      <c r="VWW1" s="74"/>
      <c r="VWX1" s="74"/>
      <c r="VWY1" s="74"/>
      <c r="VWZ1" s="74"/>
      <c r="VXA1" s="74"/>
      <c r="VXB1" s="74"/>
      <c r="VXC1" s="74"/>
      <c r="VXD1" s="74"/>
      <c r="VXE1" s="74"/>
      <c r="VXF1" s="74"/>
      <c r="VXG1" s="74"/>
      <c r="VXH1" s="74"/>
      <c r="VXI1" s="74"/>
      <c r="VXJ1" s="74"/>
      <c r="VXK1" s="74"/>
      <c r="VXL1" s="74"/>
      <c r="VXM1" s="74"/>
      <c r="VXN1" s="74"/>
      <c r="VXO1" s="74"/>
      <c r="VXP1" s="74"/>
      <c r="VXQ1" s="74"/>
      <c r="VXR1" s="74"/>
      <c r="VXS1" s="74"/>
      <c r="VXT1" s="74"/>
      <c r="VXU1" s="74"/>
      <c r="VXV1" s="74"/>
      <c r="VXW1" s="74"/>
      <c r="VXX1" s="74"/>
      <c r="VXY1" s="74"/>
      <c r="VXZ1" s="74"/>
      <c r="VYA1" s="74"/>
      <c r="VYB1" s="74"/>
      <c r="VYC1" s="74"/>
      <c r="VYD1" s="74"/>
      <c r="VYE1" s="74"/>
      <c r="VYF1" s="74"/>
      <c r="VYG1" s="74"/>
      <c r="VYH1" s="74"/>
      <c r="VYI1" s="74"/>
      <c r="VYJ1" s="74"/>
      <c r="VYK1" s="74"/>
      <c r="VYL1" s="74"/>
      <c r="VYM1" s="74"/>
      <c r="VYN1" s="74"/>
      <c r="VYO1" s="74"/>
      <c r="VYP1" s="74"/>
      <c r="VYQ1" s="74"/>
      <c r="VYR1" s="74"/>
      <c r="VYS1" s="74"/>
      <c r="VYT1" s="74"/>
      <c r="VYU1" s="74"/>
      <c r="VYV1" s="74"/>
      <c r="VYW1" s="74"/>
      <c r="VYX1" s="74"/>
      <c r="VYY1" s="74"/>
      <c r="VYZ1" s="74"/>
      <c r="VZA1" s="74"/>
      <c r="VZB1" s="74"/>
      <c r="VZC1" s="74"/>
      <c r="VZD1" s="74"/>
      <c r="VZE1" s="74"/>
      <c r="VZF1" s="74"/>
      <c r="VZG1" s="74"/>
      <c r="VZH1" s="74"/>
      <c r="VZI1" s="74"/>
      <c r="VZJ1" s="74"/>
      <c r="VZK1" s="74"/>
      <c r="VZL1" s="74"/>
      <c r="VZM1" s="74"/>
      <c r="VZN1" s="74"/>
      <c r="VZO1" s="74"/>
      <c r="VZP1" s="74"/>
      <c r="VZQ1" s="74"/>
      <c r="VZR1" s="74"/>
      <c r="VZS1" s="74"/>
      <c r="VZT1" s="74"/>
      <c r="VZU1" s="74"/>
      <c r="VZV1" s="74"/>
      <c r="VZW1" s="74"/>
      <c r="VZX1" s="74"/>
      <c r="VZY1" s="74"/>
      <c r="VZZ1" s="74"/>
      <c r="WAA1" s="74"/>
      <c r="WAB1" s="74"/>
      <c r="WAC1" s="74"/>
      <c r="WAD1" s="74"/>
      <c r="WAE1" s="74"/>
      <c r="WAF1" s="74"/>
      <c r="WAG1" s="74"/>
      <c r="WAH1" s="74"/>
      <c r="WAI1" s="74"/>
      <c r="WAJ1" s="74"/>
      <c r="WAK1" s="74"/>
      <c r="WAL1" s="74"/>
      <c r="WAM1" s="74"/>
      <c r="WAN1" s="74"/>
      <c r="WAO1" s="74"/>
      <c r="WAP1" s="74"/>
      <c r="WAQ1" s="74"/>
      <c r="WAR1" s="74"/>
      <c r="WAS1" s="74"/>
      <c r="WAT1" s="74"/>
      <c r="WAU1" s="74"/>
      <c r="WAV1" s="74"/>
      <c r="WAW1" s="74"/>
      <c r="WAX1" s="74"/>
      <c r="WAY1" s="74"/>
      <c r="WAZ1" s="74"/>
      <c r="WBA1" s="74"/>
      <c r="WBB1" s="74"/>
      <c r="WBC1" s="74"/>
      <c r="WBD1" s="74"/>
      <c r="WBE1" s="74"/>
      <c r="WBF1" s="74"/>
      <c r="WBG1" s="74"/>
      <c r="WBH1" s="74"/>
      <c r="WBI1" s="74"/>
      <c r="WBJ1" s="74"/>
      <c r="WBK1" s="74"/>
      <c r="WBL1" s="74"/>
      <c r="WBM1" s="74"/>
      <c r="WBN1" s="74"/>
      <c r="WBO1" s="74"/>
      <c r="WBP1" s="74"/>
      <c r="WBQ1" s="74"/>
      <c r="WBR1" s="74"/>
      <c r="WBS1" s="74"/>
      <c r="WBT1" s="74"/>
      <c r="WBU1" s="74"/>
      <c r="WBV1" s="74"/>
      <c r="WBW1" s="74"/>
      <c r="WBX1" s="74"/>
      <c r="WBY1" s="74"/>
      <c r="WBZ1" s="74"/>
      <c r="WCA1" s="74"/>
      <c r="WCB1" s="74"/>
      <c r="WCC1" s="74"/>
      <c r="WCD1" s="74"/>
      <c r="WCE1" s="74"/>
      <c r="WCF1" s="74"/>
      <c r="WCG1" s="74"/>
      <c r="WCH1" s="74"/>
      <c r="WCI1" s="74"/>
      <c r="WCJ1" s="74"/>
      <c r="WCK1" s="74"/>
      <c r="WCL1" s="74"/>
      <c r="WCM1" s="74"/>
      <c r="WCN1" s="74"/>
      <c r="WCO1" s="74"/>
      <c r="WCP1" s="74"/>
      <c r="WCQ1" s="74"/>
      <c r="WCR1" s="74"/>
      <c r="WCS1" s="74"/>
      <c r="WCT1" s="74"/>
      <c r="WCU1" s="74"/>
      <c r="WCV1" s="74"/>
      <c r="WCW1" s="74"/>
      <c r="WCX1" s="74"/>
      <c r="WCY1" s="74"/>
      <c r="WCZ1" s="74"/>
      <c r="WDA1" s="74"/>
      <c r="WDB1" s="74"/>
      <c r="WDC1" s="74"/>
      <c r="WDD1" s="74"/>
      <c r="WDE1" s="74"/>
      <c r="WDF1" s="74"/>
      <c r="WDG1" s="74"/>
      <c r="WDH1" s="74"/>
      <c r="WDI1" s="74"/>
      <c r="WDJ1" s="74"/>
      <c r="WDK1" s="74"/>
      <c r="WDL1" s="74"/>
      <c r="WDM1" s="74"/>
      <c r="WDN1" s="74"/>
      <c r="WDO1" s="74"/>
      <c r="WDP1" s="74"/>
      <c r="WDQ1" s="74"/>
      <c r="WDR1" s="74"/>
      <c r="WDS1" s="74"/>
      <c r="WDT1" s="74"/>
      <c r="WDU1" s="74"/>
      <c r="WDV1" s="74"/>
      <c r="WDW1" s="74"/>
      <c r="WDX1" s="74"/>
      <c r="WDY1" s="74"/>
      <c r="WDZ1" s="74"/>
      <c r="WEA1" s="74"/>
      <c r="WEB1" s="74"/>
      <c r="WEC1" s="74"/>
      <c r="WED1" s="74"/>
      <c r="WEE1" s="74"/>
      <c r="WEF1" s="74"/>
      <c r="WEG1" s="74"/>
      <c r="WEH1" s="74"/>
      <c r="WEI1" s="74"/>
      <c r="WEJ1" s="74"/>
      <c r="WEK1" s="74"/>
      <c r="WEL1" s="74"/>
      <c r="WEM1" s="74"/>
      <c r="WEN1" s="74"/>
      <c r="WEO1" s="74"/>
      <c r="WEP1" s="74"/>
      <c r="WEQ1" s="74"/>
      <c r="WER1" s="74"/>
      <c r="WES1" s="74"/>
      <c r="WET1" s="74"/>
      <c r="WEU1" s="74"/>
      <c r="WEV1" s="74"/>
      <c r="WEW1" s="74"/>
      <c r="WEX1" s="74"/>
      <c r="WEY1" s="74"/>
      <c r="WEZ1" s="74"/>
      <c r="WFA1" s="74"/>
      <c r="WFB1" s="74"/>
      <c r="WFC1" s="74"/>
      <c r="WFD1" s="74"/>
      <c r="WFE1" s="74"/>
      <c r="WFF1" s="74"/>
      <c r="WFG1" s="74"/>
      <c r="WFH1" s="74"/>
      <c r="WFI1" s="74"/>
      <c r="WFJ1" s="74"/>
      <c r="WFK1" s="74"/>
      <c r="WFL1" s="74"/>
      <c r="WFM1" s="74"/>
      <c r="WFN1" s="74"/>
      <c r="WFO1" s="74"/>
      <c r="WFP1" s="74"/>
      <c r="WFQ1" s="74"/>
      <c r="WFR1" s="74"/>
      <c r="WFS1" s="74"/>
      <c r="WFT1" s="74"/>
      <c r="WFU1" s="74"/>
      <c r="WFV1" s="74"/>
      <c r="WFW1" s="74"/>
      <c r="WFX1" s="74"/>
      <c r="WFY1" s="74"/>
      <c r="WFZ1" s="74"/>
      <c r="WGA1" s="74"/>
      <c r="WGB1" s="74"/>
      <c r="WGC1" s="74"/>
      <c r="WGD1" s="74"/>
      <c r="WGE1" s="74"/>
      <c r="WGF1" s="74"/>
      <c r="WGG1" s="74"/>
      <c r="WGH1" s="74"/>
      <c r="WGI1" s="74"/>
      <c r="WGJ1" s="74"/>
      <c r="WGK1" s="74"/>
      <c r="WGL1" s="74"/>
      <c r="WGM1" s="74"/>
      <c r="WGN1" s="74"/>
      <c r="WGO1" s="74"/>
      <c r="WGP1" s="74"/>
      <c r="WGQ1" s="74"/>
      <c r="WGR1" s="74"/>
      <c r="WGS1" s="74"/>
      <c r="WGT1" s="74"/>
      <c r="WGU1" s="74"/>
      <c r="WGV1" s="74"/>
      <c r="WGW1" s="74"/>
      <c r="WGX1" s="74"/>
      <c r="WGY1" s="74"/>
      <c r="WGZ1" s="74"/>
      <c r="WHA1" s="74"/>
      <c r="WHB1" s="74"/>
      <c r="WHC1" s="74"/>
      <c r="WHD1" s="74"/>
      <c r="WHE1" s="74"/>
      <c r="WHF1" s="74"/>
      <c r="WHG1" s="74"/>
      <c r="WHH1" s="74"/>
      <c r="WHI1" s="74"/>
      <c r="WHJ1" s="74"/>
      <c r="WHK1" s="74"/>
      <c r="WHL1" s="74"/>
      <c r="WHM1" s="74"/>
      <c r="WHN1" s="74"/>
      <c r="WHO1" s="74"/>
      <c r="WHP1" s="74"/>
      <c r="WHQ1" s="74"/>
      <c r="WHR1" s="74"/>
      <c r="WHS1" s="74"/>
      <c r="WHT1" s="74"/>
      <c r="WHU1" s="74"/>
      <c r="WHV1" s="74"/>
      <c r="WHW1" s="74"/>
      <c r="WHX1" s="74"/>
      <c r="WHY1" s="74"/>
      <c r="WHZ1" s="74"/>
      <c r="WIA1" s="74"/>
      <c r="WIB1" s="74"/>
      <c r="WIC1" s="74"/>
      <c r="WID1" s="74"/>
      <c r="WIE1" s="74"/>
      <c r="WIF1" s="74"/>
      <c r="WIG1" s="74"/>
      <c r="WIH1" s="74"/>
      <c r="WII1" s="74"/>
      <c r="WIJ1" s="74"/>
      <c r="WIK1" s="74"/>
      <c r="WIL1" s="74"/>
      <c r="WIM1" s="74"/>
      <c r="WIN1" s="74"/>
      <c r="WIO1" s="74"/>
      <c r="WIP1" s="74"/>
      <c r="WIQ1" s="74"/>
      <c r="WIR1" s="74"/>
      <c r="WIS1" s="74"/>
      <c r="WIT1" s="74"/>
      <c r="WIU1" s="74"/>
      <c r="WIV1" s="74"/>
      <c r="WIW1" s="74"/>
      <c r="WIX1" s="74"/>
      <c r="WIY1" s="74"/>
      <c r="WIZ1" s="74"/>
      <c r="WJA1" s="74"/>
      <c r="WJB1" s="74"/>
      <c r="WJC1" s="74"/>
      <c r="WJD1" s="74"/>
      <c r="WJE1" s="74"/>
      <c r="WJF1" s="74"/>
      <c r="WJG1" s="74"/>
      <c r="WJH1" s="74"/>
      <c r="WJI1" s="74"/>
      <c r="WJJ1" s="74"/>
      <c r="WJK1" s="74"/>
      <c r="WJL1" s="74"/>
      <c r="WJM1" s="74"/>
      <c r="WJN1" s="74"/>
      <c r="WJO1" s="74"/>
      <c r="WJP1" s="74"/>
      <c r="WJQ1" s="74"/>
      <c r="WJR1" s="74"/>
      <c r="WJS1" s="74"/>
      <c r="WJT1" s="74"/>
      <c r="WJU1" s="74"/>
      <c r="WJV1" s="74"/>
      <c r="WJW1" s="74"/>
      <c r="WJX1" s="74"/>
      <c r="WJY1" s="74"/>
      <c r="WJZ1" s="74"/>
      <c r="WKA1" s="74"/>
      <c r="WKB1" s="74"/>
      <c r="WKC1" s="74"/>
      <c r="WKD1" s="74"/>
      <c r="WKE1" s="74"/>
      <c r="WKF1" s="74"/>
      <c r="WKG1" s="74"/>
      <c r="WKH1" s="74"/>
      <c r="WKI1" s="74"/>
      <c r="WKJ1" s="74"/>
      <c r="WKK1" s="74"/>
      <c r="WKL1" s="74"/>
      <c r="WKM1" s="74"/>
      <c r="WKN1" s="74"/>
      <c r="WKO1" s="74"/>
      <c r="WKP1" s="74"/>
      <c r="WKQ1" s="74"/>
      <c r="WKR1" s="74"/>
      <c r="WKS1" s="74"/>
      <c r="WKT1" s="74"/>
      <c r="WKU1" s="74"/>
      <c r="WKV1" s="74"/>
      <c r="WKW1" s="74"/>
      <c r="WKX1" s="74"/>
      <c r="WKY1" s="74"/>
      <c r="WKZ1" s="74"/>
      <c r="WLA1" s="74"/>
      <c r="WLB1" s="74"/>
      <c r="WLC1" s="74"/>
      <c r="WLD1" s="74"/>
      <c r="WLE1" s="74"/>
      <c r="WLF1" s="74"/>
      <c r="WLG1" s="74"/>
      <c r="WLH1" s="74"/>
      <c r="WLI1" s="74"/>
      <c r="WLJ1" s="74"/>
      <c r="WLK1" s="74"/>
      <c r="WLL1" s="74"/>
      <c r="WLM1" s="74"/>
      <c r="WLN1" s="74"/>
      <c r="WLO1" s="74"/>
      <c r="WLP1" s="74"/>
      <c r="WLQ1" s="74"/>
      <c r="WLR1" s="74"/>
      <c r="WLS1" s="74"/>
      <c r="WLT1" s="74"/>
      <c r="WLU1" s="74"/>
      <c r="WLV1" s="74"/>
      <c r="WLW1" s="74"/>
      <c r="WLX1" s="74"/>
      <c r="WLY1" s="74"/>
      <c r="WLZ1" s="74"/>
      <c r="WMA1" s="74"/>
      <c r="WMB1" s="74"/>
      <c r="WMC1" s="74"/>
      <c r="WMD1" s="74"/>
      <c r="WME1" s="74"/>
      <c r="WMF1" s="74"/>
      <c r="WMG1" s="74"/>
      <c r="WMH1" s="74"/>
      <c r="WMI1" s="74"/>
      <c r="WMJ1" s="74"/>
      <c r="WMK1" s="74"/>
      <c r="WML1" s="74"/>
      <c r="WMM1" s="74"/>
      <c r="WMN1" s="74"/>
      <c r="WMO1" s="74"/>
      <c r="WMP1" s="74"/>
      <c r="WMQ1" s="74"/>
      <c r="WMR1" s="74"/>
      <c r="WMS1" s="74"/>
      <c r="WMT1" s="74"/>
      <c r="WMU1" s="74"/>
      <c r="WMV1" s="74"/>
      <c r="WMW1" s="74"/>
      <c r="WMX1" s="74"/>
      <c r="WMY1" s="74"/>
      <c r="WMZ1" s="74"/>
      <c r="WNA1" s="74"/>
      <c r="WNB1" s="74"/>
      <c r="WNC1" s="74"/>
      <c r="WND1" s="74"/>
      <c r="WNE1" s="74"/>
      <c r="WNF1" s="74"/>
      <c r="WNG1" s="74"/>
      <c r="WNH1" s="74"/>
      <c r="WNI1" s="74"/>
      <c r="WNJ1" s="74"/>
      <c r="WNK1" s="74"/>
      <c r="WNL1" s="74"/>
      <c r="WNM1" s="74"/>
      <c r="WNN1" s="74"/>
      <c r="WNO1" s="74"/>
      <c r="WNP1" s="74"/>
      <c r="WNQ1" s="74"/>
      <c r="WNR1" s="74"/>
      <c r="WNS1" s="74"/>
      <c r="WNT1" s="74"/>
      <c r="WNU1" s="74"/>
      <c r="WNV1" s="74"/>
      <c r="WNW1" s="74"/>
      <c r="WNX1" s="74"/>
      <c r="WNY1" s="74"/>
      <c r="WNZ1" s="74"/>
      <c r="WOA1" s="74"/>
      <c r="WOB1" s="74"/>
      <c r="WOC1" s="74"/>
      <c r="WOD1" s="74"/>
      <c r="WOE1" s="74"/>
      <c r="WOF1" s="74"/>
      <c r="WOG1" s="74"/>
      <c r="WOH1" s="74"/>
      <c r="WOI1" s="74"/>
      <c r="WOJ1" s="74"/>
      <c r="WOK1" s="74"/>
      <c r="WOL1" s="74"/>
      <c r="WOM1" s="74"/>
      <c r="WON1" s="74"/>
      <c r="WOO1" s="74"/>
      <c r="WOP1" s="74"/>
      <c r="WOQ1" s="74"/>
      <c r="WOR1" s="74"/>
      <c r="WOS1" s="74"/>
      <c r="WOT1" s="74"/>
      <c r="WOU1" s="74"/>
      <c r="WOV1" s="74"/>
      <c r="WOW1" s="74"/>
      <c r="WOX1" s="74"/>
      <c r="WOY1" s="74"/>
      <c r="WOZ1" s="74"/>
      <c r="WPA1" s="74"/>
      <c r="WPB1" s="74"/>
      <c r="WPC1" s="74"/>
      <c r="WPD1" s="74"/>
      <c r="WPE1" s="74"/>
      <c r="WPF1" s="74"/>
      <c r="WPG1" s="74"/>
      <c r="WPH1" s="74"/>
      <c r="WPI1" s="74"/>
      <c r="WPJ1" s="74"/>
      <c r="WPK1" s="74"/>
      <c r="WPL1" s="74"/>
      <c r="WPM1" s="74"/>
      <c r="WPN1" s="74"/>
      <c r="WPO1" s="74"/>
      <c r="WPP1" s="74"/>
      <c r="WPQ1" s="74"/>
      <c r="WPR1" s="74"/>
      <c r="WPS1" s="74"/>
      <c r="WPT1" s="74"/>
      <c r="WPU1" s="74"/>
      <c r="WPV1" s="74"/>
      <c r="WPW1" s="74"/>
      <c r="WPX1" s="74"/>
      <c r="WPY1" s="74"/>
      <c r="WPZ1" s="74"/>
      <c r="WQA1" s="74"/>
      <c r="WQB1" s="74"/>
      <c r="WQC1" s="74"/>
      <c r="WQD1" s="74"/>
      <c r="WQE1" s="74"/>
      <c r="WQF1" s="74"/>
      <c r="WQG1" s="74"/>
      <c r="WQH1" s="74"/>
      <c r="WQI1" s="74"/>
      <c r="WQJ1" s="74"/>
      <c r="WQK1" s="74"/>
      <c r="WQL1" s="74"/>
      <c r="WQM1" s="74"/>
      <c r="WQN1" s="74"/>
      <c r="WQO1" s="74"/>
      <c r="WQP1" s="74"/>
      <c r="WQQ1" s="74"/>
      <c r="WQR1" s="74"/>
      <c r="WQS1" s="74"/>
      <c r="WQT1" s="74"/>
      <c r="WQU1" s="74"/>
      <c r="WQV1" s="74"/>
      <c r="WQW1" s="74"/>
      <c r="WQX1" s="74"/>
      <c r="WQY1" s="74"/>
      <c r="WQZ1" s="74"/>
      <c r="WRA1" s="74"/>
      <c r="WRB1" s="74"/>
      <c r="WRC1" s="74"/>
      <c r="WRD1" s="74"/>
      <c r="WRE1" s="74"/>
      <c r="WRF1" s="74"/>
      <c r="WRG1" s="74"/>
      <c r="WRH1" s="74"/>
      <c r="WRI1" s="74"/>
      <c r="WRJ1" s="74"/>
      <c r="WRK1" s="74"/>
      <c r="WRL1" s="74"/>
      <c r="WRM1" s="74"/>
      <c r="WRN1" s="74"/>
      <c r="WRO1" s="74"/>
      <c r="WRP1" s="74"/>
      <c r="WRQ1" s="74"/>
      <c r="WRR1" s="74"/>
      <c r="WRS1" s="74"/>
      <c r="WRT1" s="74"/>
      <c r="WRU1" s="74"/>
      <c r="WRV1" s="74"/>
      <c r="WRW1" s="74"/>
      <c r="WRX1" s="74"/>
      <c r="WRY1" s="74"/>
      <c r="WRZ1" s="74"/>
      <c r="WSA1" s="74"/>
      <c r="WSB1" s="74"/>
      <c r="WSC1" s="74"/>
      <c r="WSD1" s="74"/>
      <c r="WSE1" s="74"/>
      <c r="WSF1" s="74"/>
      <c r="WSG1" s="74"/>
      <c r="WSH1" s="74"/>
      <c r="WSI1" s="74"/>
      <c r="WSJ1" s="74"/>
      <c r="WSK1" s="74"/>
      <c r="WSL1" s="74"/>
      <c r="WSM1" s="74"/>
      <c r="WSN1" s="74"/>
      <c r="WSO1" s="74"/>
      <c r="WSP1" s="74"/>
      <c r="WSQ1" s="74"/>
      <c r="WSR1" s="74"/>
      <c r="WSS1" s="74"/>
      <c r="WST1" s="74"/>
      <c r="WSU1" s="74"/>
      <c r="WSV1" s="74"/>
      <c r="WSW1" s="74"/>
      <c r="WSX1" s="74"/>
      <c r="WSY1" s="74"/>
      <c r="WSZ1" s="74"/>
      <c r="WTA1" s="74"/>
      <c r="WTB1" s="74"/>
      <c r="WTC1" s="74"/>
      <c r="WTD1" s="74"/>
      <c r="WTE1" s="74"/>
      <c r="WTF1" s="74"/>
      <c r="WTG1" s="74"/>
      <c r="WTH1" s="74"/>
      <c r="WTI1" s="74"/>
      <c r="WTJ1" s="74"/>
      <c r="WTK1" s="74"/>
      <c r="WTL1" s="74"/>
      <c r="WTM1" s="74"/>
      <c r="WTN1" s="74"/>
      <c r="WTO1" s="74"/>
      <c r="WTP1" s="74"/>
      <c r="WTQ1" s="74"/>
      <c r="WTR1" s="74"/>
      <c r="WTS1" s="74"/>
      <c r="WTT1" s="74"/>
      <c r="WTU1" s="74"/>
      <c r="WTV1" s="74"/>
      <c r="WTW1" s="74"/>
      <c r="WTX1" s="74"/>
      <c r="WTY1" s="74"/>
      <c r="WTZ1" s="74"/>
      <c r="WUA1" s="74"/>
      <c r="WUB1" s="74"/>
      <c r="WUC1" s="74"/>
      <c r="WUD1" s="74"/>
      <c r="WUE1" s="74"/>
      <c r="WUF1" s="74"/>
      <c r="WUG1" s="74"/>
      <c r="WUH1" s="74"/>
      <c r="WUI1" s="74"/>
      <c r="WUJ1" s="74"/>
      <c r="WUK1" s="74"/>
      <c r="WUL1" s="74"/>
      <c r="WUM1" s="74"/>
      <c r="WUN1" s="74"/>
      <c r="WUO1" s="74"/>
      <c r="WUP1" s="74"/>
      <c r="WUQ1" s="74"/>
      <c r="WUR1" s="74"/>
      <c r="WUS1" s="74"/>
      <c r="WUT1" s="74"/>
      <c r="WUU1" s="74"/>
      <c r="WUV1" s="74"/>
      <c r="WUW1" s="74"/>
      <c r="WUX1" s="74"/>
      <c r="WUY1" s="74"/>
      <c r="WUZ1" s="74"/>
      <c r="WVA1" s="74"/>
      <c r="WVB1" s="74"/>
      <c r="WVC1" s="74"/>
      <c r="WVD1" s="74"/>
      <c r="WVE1" s="74"/>
      <c r="WVF1" s="74"/>
      <c r="WVG1" s="74"/>
      <c r="WVH1" s="74"/>
      <c r="WVI1" s="74"/>
      <c r="WVJ1" s="74"/>
      <c r="WVK1" s="74"/>
      <c r="WVL1" s="74"/>
      <c r="WVM1" s="74"/>
      <c r="WVN1" s="74"/>
      <c r="WVO1" s="74"/>
      <c r="WVP1" s="74"/>
      <c r="WVQ1" s="74"/>
      <c r="WVR1" s="74"/>
      <c r="WVS1" s="74"/>
      <c r="WVT1" s="74"/>
      <c r="WVU1" s="74"/>
      <c r="WVV1" s="74"/>
      <c r="WVW1" s="74"/>
      <c r="WVX1" s="74"/>
      <c r="WVY1" s="74"/>
      <c r="WVZ1" s="74"/>
      <c r="WWA1" s="74"/>
      <c r="WWB1" s="74"/>
      <c r="WWC1" s="74"/>
      <c r="WWD1" s="74"/>
      <c r="WWE1" s="74"/>
      <c r="WWF1" s="74"/>
      <c r="WWG1" s="74"/>
      <c r="WWH1" s="74"/>
      <c r="WWI1" s="74"/>
      <c r="WWJ1" s="74"/>
      <c r="WWK1" s="74"/>
      <c r="WWL1" s="74"/>
      <c r="WWM1" s="74"/>
      <c r="WWN1" s="74"/>
      <c r="WWO1" s="74"/>
      <c r="WWP1" s="74"/>
      <c r="WWQ1" s="74"/>
      <c r="WWR1" s="74"/>
      <c r="WWS1" s="74"/>
      <c r="WWT1" s="74"/>
      <c r="WWU1" s="74"/>
      <c r="WWV1" s="74"/>
      <c r="WWW1" s="74"/>
      <c r="WWX1" s="74"/>
      <c r="WWY1" s="74"/>
      <c r="WWZ1" s="74"/>
      <c r="WXA1" s="74"/>
      <c r="WXB1" s="74"/>
      <c r="WXC1" s="74"/>
      <c r="WXD1" s="74"/>
      <c r="WXE1" s="74"/>
      <c r="WXF1" s="74"/>
      <c r="WXG1" s="74"/>
      <c r="WXH1" s="74"/>
      <c r="WXI1" s="74"/>
      <c r="WXJ1" s="74"/>
      <c r="WXK1" s="74"/>
      <c r="WXL1" s="74"/>
      <c r="WXM1" s="74"/>
      <c r="WXN1" s="74"/>
      <c r="WXO1" s="74"/>
      <c r="WXP1" s="74"/>
      <c r="WXQ1" s="74"/>
      <c r="WXR1" s="74"/>
      <c r="WXS1" s="74"/>
      <c r="WXT1" s="74"/>
      <c r="WXU1" s="74"/>
      <c r="WXV1" s="74"/>
      <c r="WXW1" s="74"/>
      <c r="WXX1" s="74"/>
      <c r="WXY1" s="74"/>
      <c r="WXZ1" s="74"/>
      <c r="WYA1" s="74"/>
      <c r="WYB1" s="74"/>
      <c r="WYC1" s="74"/>
      <c r="WYD1" s="74"/>
      <c r="WYE1" s="74"/>
      <c r="WYF1" s="74"/>
      <c r="WYG1" s="74"/>
      <c r="WYH1" s="74"/>
      <c r="WYI1" s="74"/>
      <c r="WYJ1" s="74"/>
      <c r="WYK1" s="74"/>
      <c r="WYL1" s="74"/>
      <c r="WYM1" s="74"/>
      <c r="WYN1" s="74"/>
      <c r="WYO1" s="74"/>
      <c r="WYP1" s="74"/>
      <c r="WYQ1" s="74"/>
      <c r="WYR1" s="74"/>
      <c r="WYS1" s="74"/>
      <c r="WYT1" s="74"/>
      <c r="WYU1" s="74"/>
      <c r="WYV1" s="74"/>
      <c r="WYW1" s="74"/>
      <c r="WYX1" s="74"/>
      <c r="WYY1" s="74"/>
      <c r="WYZ1" s="74"/>
      <c r="WZA1" s="74"/>
      <c r="WZB1" s="74"/>
      <c r="WZC1" s="74"/>
      <c r="WZD1" s="74"/>
      <c r="WZE1" s="74"/>
      <c r="WZF1" s="74"/>
      <c r="WZG1" s="74"/>
      <c r="WZH1" s="74"/>
      <c r="WZI1" s="74"/>
      <c r="WZJ1" s="74"/>
      <c r="WZK1" s="74"/>
      <c r="WZL1" s="74"/>
      <c r="WZM1" s="74"/>
      <c r="WZN1" s="74"/>
      <c r="WZO1" s="74"/>
      <c r="WZP1" s="74"/>
      <c r="WZQ1" s="74"/>
      <c r="WZR1" s="74"/>
      <c r="WZS1" s="74"/>
      <c r="WZT1" s="74"/>
      <c r="WZU1" s="74"/>
      <c r="WZV1" s="74"/>
      <c r="WZW1" s="74"/>
      <c r="WZX1" s="74"/>
      <c r="WZY1" s="74"/>
      <c r="WZZ1" s="74"/>
      <c r="XAA1" s="74"/>
      <c r="XAB1" s="74"/>
      <c r="XAC1" s="74"/>
      <c r="XAD1" s="74"/>
      <c r="XAE1" s="74"/>
      <c r="XAF1" s="74"/>
      <c r="XAG1" s="74"/>
      <c r="XAH1" s="74"/>
      <c r="XAI1" s="74"/>
      <c r="XAJ1" s="74"/>
      <c r="XAK1" s="74"/>
      <c r="XAL1" s="74"/>
      <c r="XAM1" s="74"/>
      <c r="XAN1" s="74"/>
      <c r="XAO1" s="74"/>
      <c r="XAP1" s="74"/>
      <c r="XAQ1" s="74"/>
      <c r="XAR1" s="74"/>
      <c r="XAS1" s="74"/>
      <c r="XAT1" s="74"/>
      <c r="XAU1" s="74"/>
      <c r="XAV1" s="74"/>
      <c r="XAW1" s="74"/>
      <c r="XAX1" s="74"/>
      <c r="XAY1" s="74"/>
      <c r="XAZ1" s="74"/>
      <c r="XBA1" s="74"/>
      <c r="XBB1" s="74"/>
      <c r="XBC1" s="74"/>
      <c r="XBD1" s="74"/>
      <c r="XBE1" s="74"/>
      <c r="XBF1" s="74"/>
      <c r="XBG1" s="74"/>
      <c r="XBH1" s="74"/>
      <c r="XBI1" s="74"/>
      <c r="XBJ1" s="74"/>
      <c r="XBK1" s="74"/>
      <c r="XBL1" s="74"/>
      <c r="XBM1" s="74"/>
      <c r="XBN1" s="74"/>
      <c r="XBO1" s="74"/>
      <c r="XBP1" s="74"/>
      <c r="XBQ1" s="74"/>
      <c r="XBR1" s="74"/>
      <c r="XBS1" s="74"/>
      <c r="XBT1" s="74"/>
      <c r="XBU1" s="74"/>
      <c r="XBV1" s="74"/>
      <c r="XBW1" s="74"/>
      <c r="XBX1" s="74"/>
      <c r="XBY1" s="74"/>
      <c r="XBZ1" s="74"/>
      <c r="XCA1" s="74"/>
      <c r="XCB1" s="74"/>
      <c r="XCC1" s="74"/>
      <c r="XCD1" s="74"/>
      <c r="XCE1" s="74"/>
      <c r="XCF1" s="74"/>
      <c r="XCG1" s="74"/>
      <c r="XCH1" s="74"/>
      <c r="XCI1" s="74"/>
      <c r="XCJ1" s="74"/>
      <c r="XCK1" s="74"/>
      <c r="XCL1" s="74"/>
      <c r="XCM1" s="74"/>
      <c r="XCN1" s="74"/>
      <c r="XCO1" s="74"/>
      <c r="XCP1" s="74"/>
      <c r="XCQ1" s="74"/>
      <c r="XCR1" s="74"/>
      <c r="XCS1" s="74"/>
      <c r="XCT1" s="74"/>
      <c r="XCU1" s="74"/>
      <c r="XCV1" s="74"/>
      <c r="XCW1" s="74"/>
      <c r="XCX1" s="74"/>
      <c r="XCY1" s="74"/>
      <c r="XCZ1" s="74"/>
      <c r="XDA1" s="74"/>
      <c r="XDB1" s="74"/>
      <c r="XDC1" s="74"/>
      <c r="XDD1" s="74"/>
      <c r="XDE1" s="74"/>
      <c r="XDF1" s="74"/>
      <c r="XDG1" s="74"/>
      <c r="XDH1" s="74"/>
      <c r="XDI1" s="74"/>
      <c r="XDJ1" s="74"/>
      <c r="XDK1" s="74"/>
      <c r="XDL1" s="74"/>
      <c r="XDM1" s="74"/>
      <c r="XDN1" s="74"/>
      <c r="XDO1" s="74"/>
      <c r="XDP1" s="74"/>
      <c r="XDQ1" s="74"/>
      <c r="XDR1" s="74"/>
      <c r="XDS1" s="74"/>
      <c r="XDT1" s="74"/>
      <c r="XDU1" s="74"/>
      <c r="XDV1" s="74"/>
      <c r="XDW1" s="74"/>
      <c r="XDX1" s="74"/>
      <c r="XDY1" s="74"/>
      <c r="XDZ1" s="74"/>
      <c r="XEA1" s="74"/>
      <c r="XEB1" s="74"/>
      <c r="XEC1" s="74"/>
      <c r="XED1" s="74"/>
      <c r="XEE1" s="74"/>
      <c r="XEF1" s="74"/>
      <c r="XEG1" s="74"/>
      <c r="XEH1" s="74"/>
      <c r="XEI1" s="74"/>
      <c r="XEJ1" s="74"/>
      <c r="XEK1" s="74"/>
      <c r="XEL1" s="74"/>
      <c r="XEM1" s="74"/>
      <c r="XEN1" s="74"/>
      <c r="XEO1" s="74"/>
      <c r="XEP1" s="74"/>
      <c r="XEQ1" s="74"/>
      <c r="XER1" s="74"/>
      <c r="XES1" s="74"/>
      <c r="XET1" s="74"/>
      <c r="XEU1" s="74"/>
      <c r="XEV1" s="74"/>
      <c r="XEW1" s="74"/>
      <c r="XEX1" s="74"/>
      <c r="XEY1" s="74"/>
      <c r="XEZ1" s="74"/>
      <c r="XFA1" s="74"/>
      <c r="XFB1" s="74"/>
      <c r="XFC1" s="74"/>
    </row>
    <row r="2" spans="1:16383" customFormat="1" x14ac:dyDescent="0.25">
      <c r="A2" s="73"/>
      <c r="B2" s="74"/>
      <c r="C2" s="74"/>
      <c r="D2" s="75"/>
      <c r="E2" s="75"/>
      <c r="F2" s="75"/>
      <c r="G2" s="76"/>
      <c r="H2" s="74"/>
      <c r="I2" s="74"/>
      <c r="J2" s="74"/>
      <c r="K2" s="77"/>
      <c r="L2" s="78"/>
      <c r="M2" s="82"/>
      <c r="N2" s="79"/>
      <c r="O2" s="79"/>
      <c r="P2" s="79"/>
      <c r="Q2" s="79"/>
      <c r="R2" s="79"/>
      <c r="S2" s="78"/>
      <c r="T2" s="79"/>
      <c r="U2" s="79"/>
      <c r="V2" s="79"/>
      <c r="W2" s="79"/>
      <c r="X2" s="79"/>
      <c r="Y2" s="74"/>
      <c r="Z2" s="74"/>
      <c r="AA2" s="181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  <c r="XEZ2" s="74"/>
      <c r="XFA2" s="74"/>
      <c r="XFB2" s="74"/>
      <c r="XFC2" s="74"/>
    </row>
    <row r="3" spans="1:16383" customFormat="1" x14ac:dyDescent="0.25">
      <c r="A3" s="73"/>
      <c r="B3" s="74"/>
      <c r="C3" s="74"/>
      <c r="D3" s="75"/>
      <c r="E3" s="75"/>
      <c r="F3" s="75"/>
      <c r="G3" s="76"/>
      <c r="H3" s="74"/>
      <c r="I3" s="74"/>
      <c r="J3" s="74"/>
      <c r="K3" s="77"/>
      <c r="L3" s="78"/>
      <c r="M3" s="82"/>
      <c r="N3" s="79"/>
      <c r="O3" s="79"/>
      <c r="P3" s="79"/>
      <c r="Q3" s="79"/>
      <c r="R3" s="79"/>
      <c r="S3" s="78"/>
      <c r="T3" s="79"/>
      <c r="U3" s="79"/>
      <c r="V3" s="79"/>
      <c r="W3" s="79"/>
      <c r="X3" s="79"/>
      <c r="Y3" s="74"/>
      <c r="Z3" s="74"/>
      <c r="AA3" s="181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4"/>
      <c r="DF3" s="74"/>
      <c r="DG3" s="74"/>
      <c r="DH3" s="74"/>
      <c r="DI3" s="74"/>
      <c r="DJ3" s="74"/>
      <c r="DK3" s="74"/>
      <c r="DL3" s="74"/>
      <c r="DM3" s="74"/>
      <c r="DN3" s="74"/>
      <c r="DO3" s="74"/>
      <c r="DP3" s="74"/>
      <c r="DQ3" s="74"/>
      <c r="DR3" s="74"/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4"/>
      <c r="ED3" s="74"/>
      <c r="EE3" s="74"/>
      <c r="EF3" s="74"/>
      <c r="EG3" s="74"/>
      <c r="EH3" s="74"/>
      <c r="EI3" s="74"/>
      <c r="EJ3" s="74"/>
      <c r="EK3" s="74"/>
      <c r="EL3" s="74"/>
      <c r="EM3" s="74"/>
      <c r="EN3" s="74"/>
      <c r="EO3" s="74"/>
      <c r="EP3" s="74"/>
      <c r="EQ3" s="74"/>
      <c r="ER3" s="74"/>
      <c r="ES3" s="74"/>
      <c r="ET3" s="74"/>
      <c r="EU3" s="74"/>
      <c r="EV3" s="74"/>
      <c r="EW3" s="74"/>
      <c r="EX3" s="74"/>
      <c r="EY3" s="74"/>
      <c r="EZ3" s="74"/>
      <c r="FA3" s="74"/>
      <c r="FB3" s="74"/>
      <c r="FC3" s="74"/>
      <c r="FD3" s="74"/>
      <c r="FE3" s="74"/>
      <c r="FF3" s="74"/>
      <c r="FG3" s="74"/>
      <c r="FH3" s="74"/>
      <c r="FI3" s="74"/>
      <c r="FJ3" s="74"/>
      <c r="FK3" s="74"/>
      <c r="FL3" s="74"/>
      <c r="FM3" s="74"/>
      <c r="FN3" s="74"/>
      <c r="FO3" s="74"/>
      <c r="FP3" s="74"/>
      <c r="FQ3" s="74"/>
      <c r="FR3" s="74"/>
      <c r="FS3" s="74"/>
      <c r="FT3" s="74"/>
      <c r="FU3" s="74"/>
      <c r="FV3" s="74"/>
      <c r="FW3" s="74"/>
      <c r="FX3" s="74"/>
      <c r="FY3" s="74"/>
      <c r="FZ3" s="74"/>
      <c r="GA3" s="74"/>
      <c r="GB3" s="74"/>
      <c r="GC3" s="74"/>
      <c r="GD3" s="74"/>
      <c r="GE3" s="74"/>
      <c r="GF3" s="74"/>
      <c r="GG3" s="74"/>
      <c r="GH3" s="74"/>
      <c r="GI3" s="74"/>
      <c r="GJ3" s="74"/>
      <c r="GK3" s="74"/>
      <c r="GL3" s="74"/>
      <c r="GM3" s="74"/>
      <c r="GN3" s="74"/>
      <c r="GO3" s="74"/>
      <c r="GP3" s="74"/>
      <c r="GQ3" s="74"/>
      <c r="GR3" s="74"/>
      <c r="GS3" s="74"/>
      <c r="GT3" s="74"/>
      <c r="GU3" s="74"/>
      <c r="GV3" s="74"/>
      <c r="GW3" s="74"/>
      <c r="GX3" s="74"/>
      <c r="GY3" s="74"/>
      <c r="GZ3" s="74"/>
      <c r="HA3" s="74"/>
      <c r="HB3" s="74"/>
      <c r="HC3" s="74"/>
      <c r="HD3" s="74"/>
      <c r="HE3" s="74"/>
      <c r="HF3" s="74"/>
      <c r="HG3" s="74"/>
      <c r="HH3" s="74"/>
      <c r="HI3" s="74"/>
      <c r="HJ3" s="74"/>
      <c r="HK3" s="74"/>
      <c r="HL3" s="74"/>
      <c r="HM3" s="74"/>
      <c r="HN3" s="74"/>
      <c r="HO3" s="74"/>
      <c r="HP3" s="74"/>
      <c r="HQ3" s="74"/>
      <c r="HR3" s="74"/>
      <c r="HS3" s="74"/>
      <c r="HT3" s="74"/>
      <c r="HU3" s="74"/>
      <c r="HV3" s="74"/>
      <c r="HW3" s="74"/>
      <c r="HX3" s="74"/>
      <c r="HY3" s="74"/>
      <c r="HZ3" s="74"/>
      <c r="IA3" s="74"/>
      <c r="IB3" s="74"/>
      <c r="IC3" s="74"/>
      <c r="ID3" s="74"/>
      <c r="IE3" s="74"/>
      <c r="IF3" s="74"/>
      <c r="IG3" s="74"/>
      <c r="IH3" s="74"/>
      <c r="II3" s="74"/>
      <c r="IJ3" s="74"/>
      <c r="IK3" s="74"/>
      <c r="IL3" s="74"/>
      <c r="IM3" s="74"/>
      <c r="IN3" s="74"/>
      <c r="IO3" s="74"/>
      <c r="IP3" s="74"/>
      <c r="IQ3" s="74"/>
      <c r="IR3" s="74"/>
      <c r="IS3" s="74"/>
      <c r="IT3" s="74"/>
      <c r="IU3" s="74"/>
      <c r="IV3" s="74"/>
      <c r="IW3" s="74"/>
      <c r="IX3" s="74"/>
      <c r="IY3" s="74"/>
      <c r="IZ3" s="74"/>
      <c r="JA3" s="74"/>
      <c r="JB3" s="74"/>
      <c r="JC3" s="74"/>
      <c r="JD3" s="74"/>
      <c r="JE3" s="74"/>
      <c r="JF3" s="74"/>
      <c r="JG3" s="74"/>
      <c r="JH3" s="74"/>
      <c r="JI3" s="74"/>
      <c r="JJ3" s="74"/>
      <c r="JK3" s="74"/>
      <c r="JL3" s="74"/>
      <c r="JM3" s="74"/>
      <c r="JN3" s="74"/>
      <c r="JO3" s="74"/>
      <c r="JP3" s="74"/>
      <c r="JQ3" s="74"/>
      <c r="JR3" s="74"/>
      <c r="JS3" s="74"/>
      <c r="JT3" s="74"/>
      <c r="JU3" s="74"/>
      <c r="JV3" s="74"/>
      <c r="JW3" s="74"/>
      <c r="JX3" s="74"/>
      <c r="JY3" s="74"/>
      <c r="JZ3" s="74"/>
      <c r="KA3" s="74"/>
      <c r="KB3" s="74"/>
      <c r="KC3" s="74"/>
      <c r="KD3" s="74"/>
      <c r="KE3" s="74"/>
      <c r="KF3" s="74"/>
      <c r="KG3" s="74"/>
      <c r="KH3" s="74"/>
      <c r="KI3" s="74"/>
      <c r="KJ3" s="74"/>
      <c r="KK3" s="74"/>
      <c r="KL3" s="74"/>
      <c r="KM3" s="74"/>
      <c r="KN3" s="74"/>
      <c r="KO3" s="74"/>
      <c r="KP3" s="74"/>
      <c r="KQ3" s="74"/>
      <c r="KR3" s="74"/>
      <c r="KS3" s="74"/>
      <c r="KT3" s="74"/>
      <c r="KU3" s="74"/>
      <c r="KV3" s="74"/>
      <c r="KW3" s="74"/>
      <c r="KX3" s="74"/>
      <c r="KY3" s="74"/>
      <c r="KZ3" s="74"/>
      <c r="LA3" s="74"/>
      <c r="LB3" s="74"/>
      <c r="LC3" s="74"/>
      <c r="LD3" s="74"/>
      <c r="LE3" s="74"/>
      <c r="LF3" s="74"/>
      <c r="LG3" s="74"/>
      <c r="LH3" s="74"/>
      <c r="LI3" s="74"/>
      <c r="LJ3" s="74"/>
      <c r="LK3" s="74"/>
      <c r="LL3" s="74"/>
      <c r="LM3" s="74"/>
      <c r="LN3" s="74"/>
      <c r="LO3" s="74"/>
      <c r="LP3" s="74"/>
      <c r="LQ3" s="74"/>
      <c r="LR3" s="74"/>
      <c r="LS3" s="74"/>
      <c r="LT3" s="74"/>
      <c r="LU3" s="74"/>
      <c r="LV3" s="74"/>
      <c r="LW3" s="74"/>
      <c r="LX3" s="74"/>
      <c r="LY3" s="74"/>
      <c r="LZ3" s="74"/>
      <c r="MA3" s="74"/>
      <c r="MB3" s="74"/>
      <c r="MC3" s="74"/>
      <c r="MD3" s="74"/>
      <c r="ME3" s="74"/>
      <c r="MF3" s="74"/>
      <c r="MG3" s="74"/>
      <c r="MH3" s="74"/>
      <c r="MI3" s="74"/>
      <c r="MJ3" s="74"/>
      <c r="MK3" s="74"/>
      <c r="ML3" s="74"/>
      <c r="MM3" s="74"/>
      <c r="MN3" s="74"/>
      <c r="MO3" s="74"/>
      <c r="MP3" s="74"/>
      <c r="MQ3" s="74"/>
      <c r="MR3" s="74"/>
      <c r="MS3" s="74"/>
      <c r="MT3" s="74"/>
      <c r="MU3" s="74"/>
      <c r="MV3" s="74"/>
      <c r="MW3" s="74"/>
      <c r="MX3" s="74"/>
      <c r="MY3" s="74"/>
      <c r="MZ3" s="74"/>
      <c r="NA3" s="74"/>
      <c r="NB3" s="74"/>
      <c r="NC3" s="74"/>
      <c r="ND3" s="74"/>
      <c r="NE3" s="74"/>
      <c r="NF3" s="74"/>
      <c r="NG3" s="74"/>
      <c r="NH3" s="74"/>
      <c r="NI3" s="74"/>
      <c r="NJ3" s="74"/>
      <c r="NK3" s="74"/>
      <c r="NL3" s="74"/>
      <c r="NM3" s="74"/>
      <c r="NN3" s="74"/>
      <c r="NO3" s="74"/>
      <c r="NP3" s="74"/>
      <c r="NQ3" s="74"/>
      <c r="NR3" s="74"/>
      <c r="NS3" s="74"/>
      <c r="NT3" s="74"/>
      <c r="NU3" s="74"/>
      <c r="NV3" s="74"/>
      <c r="NW3" s="74"/>
      <c r="NX3" s="74"/>
      <c r="NY3" s="74"/>
      <c r="NZ3" s="74"/>
      <c r="OA3" s="74"/>
      <c r="OB3" s="74"/>
      <c r="OC3" s="74"/>
      <c r="OD3" s="74"/>
      <c r="OE3" s="74"/>
      <c r="OF3" s="74"/>
      <c r="OG3" s="74"/>
      <c r="OH3" s="74"/>
      <c r="OI3" s="74"/>
      <c r="OJ3" s="74"/>
      <c r="OK3" s="74"/>
      <c r="OL3" s="74"/>
      <c r="OM3" s="74"/>
      <c r="ON3" s="74"/>
      <c r="OO3" s="74"/>
      <c r="OP3" s="74"/>
      <c r="OQ3" s="74"/>
      <c r="OR3" s="74"/>
      <c r="OS3" s="74"/>
      <c r="OT3" s="74"/>
      <c r="OU3" s="74"/>
      <c r="OV3" s="74"/>
      <c r="OW3" s="74"/>
      <c r="OX3" s="74"/>
      <c r="OY3" s="74"/>
      <c r="OZ3" s="74"/>
      <c r="PA3" s="74"/>
      <c r="PB3" s="74"/>
      <c r="PC3" s="74"/>
      <c r="PD3" s="74"/>
      <c r="PE3" s="74"/>
      <c r="PF3" s="74"/>
      <c r="PG3" s="74"/>
      <c r="PH3" s="74"/>
      <c r="PI3" s="74"/>
      <c r="PJ3" s="74"/>
      <c r="PK3" s="74"/>
      <c r="PL3" s="74"/>
      <c r="PM3" s="74"/>
      <c r="PN3" s="74"/>
      <c r="PO3" s="74"/>
      <c r="PP3" s="74"/>
      <c r="PQ3" s="74"/>
      <c r="PR3" s="74"/>
      <c r="PS3" s="74"/>
      <c r="PT3" s="74"/>
      <c r="PU3" s="74"/>
      <c r="PV3" s="74"/>
      <c r="PW3" s="74"/>
      <c r="PX3" s="74"/>
      <c r="PY3" s="74"/>
      <c r="PZ3" s="74"/>
      <c r="QA3" s="74"/>
      <c r="QB3" s="74"/>
      <c r="QC3" s="74"/>
      <c r="QD3" s="74"/>
      <c r="QE3" s="74"/>
      <c r="QF3" s="74"/>
      <c r="QG3" s="74"/>
      <c r="QH3" s="74"/>
      <c r="QI3" s="74"/>
      <c r="QJ3" s="74"/>
      <c r="QK3" s="74"/>
      <c r="QL3" s="74"/>
      <c r="QM3" s="74"/>
      <c r="QN3" s="74"/>
      <c r="QO3" s="74"/>
      <c r="QP3" s="74"/>
      <c r="QQ3" s="74"/>
      <c r="QR3" s="74"/>
      <c r="QS3" s="74"/>
      <c r="QT3" s="74"/>
      <c r="QU3" s="74"/>
      <c r="QV3" s="74"/>
      <c r="QW3" s="74"/>
      <c r="QX3" s="74"/>
      <c r="QY3" s="74"/>
      <c r="QZ3" s="74"/>
      <c r="RA3" s="74"/>
      <c r="RB3" s="74"/>
      <c r="RC3" s="74"/>
      <c r="RD3" s="74"/>
      <c r="RE3" s="74"/>
      <c r="RF3" s="74"/>
      <c r="RG3" s="74"/>
      <c r="RH3" s="74"/>
      <c r="RI3" s="74"/>
      <c r="RJ3" s="74"/>
      <c r="RK3" s="74"/>
      <c r="RL3" s="74"/>
      <c r="RM3" s="74"/>
      <c r="RN3" s="74"/>
      <c r="RO3" s="74"/>
      <c r="RP3" s="74"/>
      <c r="RQ3" s="74"/>
      <c r="RR3" s="74"/>
      <c r="RS3" s="74"/>
      <c r="RT3" s="74"/>
      <c r="RU3" s="74"/>
      <c r="RV3" s="74"/>
      <c r="RW3" s="74"/>
      <c r="RX3" s="74"/>
      <c r="RY3" s="74"/>
      <c r="RZ3" s="74"/>
      <c r="SA3" s="74"/>
      <c r="SB3" s="74"/>
      <c r="SC3" s="74"/>
      <c r="SD3" s="74"/>
      <c r="SE3" s="74"/>
      <c r="SF3" s="74"/>
      <c r="SG3" s="74"/>
      <c r="SH3" s="74"/>
      <c r="SI3" s="74"/>
      <c r="SJ3" s="74"/>
      <c r="SK3" s="74"/>
      <c r="SL3" s="74"/>
      <c r="SM3" s="74"/>
      <c r="SN3" s="74"/>
      <c r="SO3" s="74"/>
      <c r="SP3" s="74"/>
      <c r="SQ3" s="74"/>
      <c r="SR3" s="74"/>
      <c r="SS3" s="74"/>
      <c r="ST3" s="74"/>
      <c r="SU3" s="74"/>
      <c r="SV3" s="74"/>
      <c r="SW3" s="74"/>
      <c r="SX3" s="74"/>
      <c r="SY3" s="74"/>
      <c r="SZ3" s="74"/>
      <c r="TA3" s="74"/>
      <c r="TB3" s="74"/>
      <c r="TC3" s="74"/>
      <c r="TD3" s="74"/>
      <c r="TE3" s="74"/>
      <c r="TF3" s="74"/>
      <c r="TG3" s="74"/>
      <c r="TH3" s="74"/>
      <c r="TI3" s="74"/>
      <c r="TJ3" s="74"/>
      <c r="TK3" s="74"/>
      <c r="TL3" s="74"/>
      <c r="TM3" s="74"/>
      <c r="TN3" s="74"/>
      <c r="TO3" s="74"/>
      <c r="TP3" s="74"/>
      <c r="TQ3" s="74"/>
      <c r="TR3" s="74"/>
      <c r="TS3" s="74"/>
      <c r="TT3" s="74"/>
      <c r="TU3" s="74"/>
      <c r="TV3" s="74"/>
      <c r="TW3" s="74"/>
      <c r="TX3" s="74"/>
      <c r="TY3" s="74"/>
      <c r="TZ3" s="74"/>
      <c r="UA3" s="74"/>
      <c r="UB3" s="74"/>
      <c r="UC3" s="74"/>
      <c r="UD3" s="74"/>
      <c r="UE3" s="74"/>
      <c r="UF3" s="74"/>
      <c r="UG3" s="74"/>
      <c r="UH3" s="74"/>
      <c r="UI3" s="74"/>
      <c r="UJ3" s="74"/>
      <c r="UK3" s="74"/>
      <c r="UL3" s="74"/>
      <c r="UM3" s="74"/>
      <c r="UN3" s="74"/>
      <c r="UO3" s="74"/>
      <c r="UP3" s="74"/>
      <c r="UQ3" s="74"/>
      <c r="UR3" s="74"/>
      <c r="US3" s="74"/>
      <c r="UT3" s="74"/>
      <c r="UU3" s="74"/>
      <c r="UV3" s="74"/>
      <c r="UW3" s="74"/>
      <c r="UX3" s="74"/>
      <c r="UY3" s="74"/>
      <c r="UZ3" s="74"/>
      <c r="VA3" s="74"/>
      <c r="VB3" s="74"/>
      <c r="VC3" s="74"/>
      <c r="VD3" s="74"/>
      <c r="VE3" s="74"/>
      <c r="VF3" s="74"/>
      <c r="VG3" s="74"/>
      <c r="VH3" s="74"/>
      <c r="VI3" s="74"/>
      <c r="VJ3" s="74"/>
      <c r="VK3" s="74"/>
      <c r="VL3" s="74"/>
      <c r="VM3" s="74"/>
      <c r="VN3" s="74"/>
      <c r="VO3" s="74"/>
      <c r="VP3" s="74"/>
      <c r="VQ3" s="74"/>
      <c r="VR3" s="74"/>
      <c r="VS3" s="74"/>
      <c r="VT3" s="74"/>
      <c r="VU3" s="74"/>
      <c r="VV3" s="74"/>
      <c r="VW3" s="74"/>
      <c r="VX3" s="74"/>
      <c r="VY3" s="74"/>
      <c r="VZ3" s="74"/>
      <c r="WA3" s="74"/>
      <c r="WB3" s="74"/>
      <c r="WC3" s="74"/>
      <c r="WD3" s="74"/>
      <c r="WE3" s="74"/>
      <c r="WF3" s="74"/>
      <c r="WG3" s="74"/>
      <c r="WH3" s="74"/>
      <c r="WI3" s="74"/>
      <c r="WJ3" s="74"/>
      <c r="WK3" s="74"/>
      <c r="WL3" s="74"/>
      <c r="WM3" s="74"/>
      <c r="WN3" s="74"/>
      <c r="WO3" s="74"/>
      <c r="WP3" s="74"/>
      <c r="WQ3" s="74"/>
      <c r="WR3" s="74"/>
      <c r="WS3" s="74"/>
      <c r="WT3" s="74"/>
      <c r="WU3" s="74"/>
      <c r="WV3" s="74"/>
      <c r="WW3" s="74"/>
      <c r="WX3" s="74"/>
      <c r="WY3" s="74"/>
      <c r="WZ3" s="74"/>
      <c r="XA3" s="74"/>
      <c r="XB3" s="74"/>
      <c r="XC3" s="74"/>
      <c r="XD3" s="74"/>
      <c r="XE3" s="74"/>
      <c r="XF3" s="74"/>
      <c r="XG3" s="74"/>
      <c r="XH3" s="74"/>
      <c r="XI3" s="74"/>
      <c r="XJ3" s="74"/>
      <c r="XK3" s="74"/>
      <c r="XL3" s="74"/>
      <c r="XM3" s="74"/>
      <c r="XN3" s="74"/>
      <c r="XO3" s="74"/>
      <c r="XP3" s="74"/>
      <c r="XQ3" s="74"/>
      <c r="XR3" s="74"/>
      <c r="XS3" s="74"/>
      <c r="XT3" s="74"/>
      <c r="XU3" s="74"/>
      <c r="XV3" s="74"/>
      <c r="XW3" s="74"/>
      <c r="XX3" s="74"/>
      <c r="XY3" s="74"/>
      <c r="XZ3" s="74"/>
      <c r="YA3" s="74"/>
      <c r="YB3" s="74"/>
      <c r="YC3" s="74"/>
      <c r="YD3" s="74"/>
      <c r="YE3" s="74"/>
      <c r="YF3" s="74"/>
      <c r="YG3" s="74"/>
      <c r="YH3" s="74"/>
      <c r="YI3" s="74"/>
      <c r="YJ3" s="74"/>
      <c r="YK3" s="74"/>
      <c r="YL3" s="74"/>
      <c r="YM3" s="74"/>
      <c r="YN3" s="74"/>
      <c r="YO3" s="74"/>
      <c r="YP3" s="74"/>
      <c r="YQ3" s="74"/>
      <c r="YR3" s="74"/>
      <c r="YS3" s="74"/>
      <c r="YT3" s="74"/>
      <c r="YU3" s="74"/>
      <c r="YV3" s="74"/>
      <c r="YW3" s="74"/>
      <c r="YX3" s="74"/>
      <c r="YY3" s="74"/>
      <c r="YZ3" s="74"/>
      <c r="ZA3" s="74"/>
      <c r="ZB3" s="74"/>
      <c r="ZC3" s="74"/>
      <c r="ZD3" s="74"/>
      <c r="ZE3" s="74"/>
      <c r="ZF3" s="74"/>
      <c r="ZG3" s="74"/>
      <c r="ZH3" s="74"/>
      <c r="ZI3" s="74"/>
      <c r="ZJ3" s="74"/>
      <c r="ZK3" s="74"/>
      <c r="ZL3" s="74"/>
      <c r="ZM3" s="74"/>
      <c r="ZN3" s="74"/>
      <c r="ZO3" s="74"/>
      <c r="ZP3" s="74"/>
      <c r="ZQ3" s="74"/>
      <c r="ZR3" s="74"/>
      <c r="ZS3" s="74"/>
      <c r="ZT3" s="74"/>
      <c r="ZU3" s="74"/>
      <c r="ZV3" s="74"/>
      <c r="ZW3" s="74"/>
      <c r="ZX3" s="74"/>
      <c r="ZY3" s="74"/>
      <c r="ZZ3" s="74"/>
      <c r="AAA3" s="74"/>
      <c r="AAB3" s="74"/>
      <c r="AAC3" s="74"/>
      <c r="AAD3" s="74"/>
      <c r="AAE3" s="74"/>
      <c r="AAF3" s="74"/>
      <c r="AAG3" s="74"/>
      <c r="AAH3" s="74"/>
      <c r="AAI3" s="74"/>
      <c r="AAJ3" s="74"/>
      <c r="AAK3" s="74"/>
      <c r="AAL3" s="74"/>
      <c r="AAM3" s="74"/>
      <c r="AAN3" s="74"/>
      <c r="AAO3" s="74"/>
      <c r="AAP3" s="74"/>
      <c r="AAQ3" s="74"/>
      <c r="AAR3" s="74"/>
      <c r="AAS3" s="74"/>
      <c r="AAT3" s="74"/>
      <c r="AAU3" s="74"/>
      <c r="AAV3" s="74"/>
      <c r="AAW3" s="74"/>
      <c r="AAX3" s="74"/>
      <c r="AAY3" s="74"/>
      <c r="AAZ3" s="74"/>
      <c r="ABA3" s="74"/>
      <c r="ABB3" s="74"/>
      <c r="ABC3" s="74"/>
      <c r="ABD3" s="74"/>
      <c r="ABE3" s="74"/>
      <c r="ABF3" s="74"/>
      <c r="ABG3" s="74"/>
      <c r="ABH3" s="74"/>
      <c r="ABI3" s="74"/>
      <c r="ABJ3" s="74"/>
      <c r="ABK3" s="74"/>
      <c r="ABL3" s="74"/>
      <c r="ABM3" s="74"/>
      <c r="ABN3" s="74"/>
      <c r="ABO3" s="74"/>
      <c r="ABP3" s="74"/>
      <c r="ABQ3" s="74"/>
      <c r="ABR3" s="74"/>
      <c r="ABS3" s="74"/>
      <c r="ABT3" s="74"/>
      <c r="ABU3" s="74"/>
      <c r="ABV3" s="74"/>
      <c r="ABW3" s="74"/>
      <c r="ABX3" s="74"/>
      <c r="ABY3" s="74"/>
      <c r="ABZ3" s="74"/>
      <c r="ACA3" s="74"/>
      <c r="ACB3" s="74"/>
      <c r="ACC3" s="74"/>
      <c r="ACD3" s="74"/>
      <c r="ACE3" s="74"/>
      <c r="ACF3" s="74"/>
      <c r="ACG3" s="74"/>
      <c r="ACH3" s="74"/>
      <c r="ACI3" s="74"/>
      <c r="ACJ3" s="74"/>
      <c r="ACK3" s="74"/>
      <c r="ACL3" s="74"/>
      <c r="ACM3" s="74"/>
      <c r="ACN3" s="74"/>
      <c r="ACO3" s="74"/>
      <c r="ACP3" s="74"/>
      <c r="ACQ3" s="74"/>
      <c r="ACR3" s="74"/>
      <c r="ACS3" s="74"/>
      <c r="ACT3" s="74"/>
      <c r="ACU3" s="74"/>
      <c r="ACV3" s="74"/>
      <c r="ACW3" s="74"/>
      <c r="ACX3" s="74"/>
      <c r="ACY3" s="74"/>
      <c r="ACZ3" s="74"/>
      <c r="ADA3" s="74"/>
      <c r="ADB3" s="74"/>
      <c r="ADC3" s="74"/>
      <c r="ADD3" s="74"/>
      <c r="ADE3" s="74"/>
      <c r="ADF3" s="74"/>
      <c r="ADG3" s="74"/>
      <c r="ADH3" s="74"/>
      <c r="ADI3" s="74"/>
      <c r="ADJ3" s="74"/>
      <c r="ADK3" s="74"/>
      <c r="ADL3" s="74"/>
      <c r="ADM3" s="74"/>
      <c r="ADN3" s="74"/>
      <c r="ADO3" s="74"/>
      <c r="ADP3" s="74"/>
      <c r="ADQ3" s="74"/>
      <c r="ADR3" s="74"/>
      <c r="ADS3" s="74"/>
      <c r="ADT3" s="74"/>
      <c r="ADU3" s="74"/>
      <c r="ADV3" s="74"/>
      <c r="ADW3" s="74"/>
      <c r="ADX3" s="74"/>
      <c r="ADY3" s="74"/>
      <c r="ADZ3" s="74"/>
      <c r="AEA3" s="74"/>
      <c r="AEB3" s="74"/>
      <c r="AEC3" s="74"/>
      <c r="AED3" s="74"/>
      <c r="AEE3" s="74"/>
      <c r="AEF3" s="74"/>
      <c r="AEG3" s="74"/>
      <c r="AEH3" s="74"/>
      <c r="AEI3" s="74"/>
      <c r="AEJ3" s="74"/>
      <c r="AEK3" s="74"/>
      <c r="AEL3" s="74"/>
      <c r="AEM3" s="74"/>
      <c r="AEN3" s="74"/>
      <c r="AEO3" s="74"/>
      <c r="AEP3" s="74"/>
      <c r="AEQ3" s="74"/>
      <c r="AER3" s="74"/>
      <c r="AES3" s="74"/>
      <c r="AET3" s="74"/>
      <c r="AEU3" s="74"/>
      <c r="AEV3" s="74"/>
      <c r="AEW3" s="74"/>
      <c r="AEX3" s="74"/>
      <c r="AEY3" s="74"/>
      <c r="AEZ3" s="74"/>
      <c r="AFA3" s="74"/>
      <c r="AFB3" s="74"/>
      <c r="AFC3" s="74"/>
      <c r="AFD3" s="74"/>
      <c r="AFE3" s="74"/>
      <c r="AFF3" s="74"/>
      <c r="AFG3" s="74"/>
      <c r="AFH3" s="74"/>
      <c r="AFI3" s="74"/>
      <c r="AFJ3" s="74"/>
      <c r="AFK3" s="74"/>
      <c r="AFL3" s="74"/>
      <c r="AFM3" s="74"/>
      <c r="AFN3" s="74"/>
      <c r="AFO3" s="74"/>
      <c r="AFP3" s="74"/>
      <c r="AFQ3" s="74"/>
      <c r="AFR3" s="74"/>
      <c r="AFS3" s="74"/>
      <c r="AFT3" s="74"/>
      <c r="AFU3" s="74"/>
      <c r="AFV3" s="74"/>
      <c r="AFW3" s="74"/>
      <c r="AFX3" s="74"/>
      <c r="AFY3" s="74"/>
      <c r="AFZ3" s="74"/>
      <c r="AGA3" s="74"/>
      <c r="AGB3" s="74"/>
      <c r="AGC3" s="74"/>
      <c r="AGD3" s="74"/>
      <c r="AGE3" s="74"/>
      <c r="AGF3" s="74"/>
      <c r="AGG3" s="74"/>
      <c r="AGH3" s="74"/>
      <c r="AGI3" s="74"/>
      <c r="AGJ3" s="74"/>
      <c r="AGK3" s="74"/>
      <c r="AGL3" s="74"/>
      <c r="AGM3" s="74"/>
      <c r="AGN3" s="74"/>
      <c r="AGO3" s="74"/>
      <c r="AGP3" s="74"/>
      <c r="AGQ3" s="74"/>
      <c r="AGR3" s="74"/>
      <c r="AGS3" s="74"/>
      <c r="AGT3" s="74"/>
      <c r="AGU3" s="74"/>
      <c r="AGV3" s="74"/>
      <c r="AGW3" s="74"/>
      <c r="AGX3" s="74"/>
      <c r="AGY3" s="74"/>
      <c r="AGZ3" s="74"/>
      <c r="AHA3" s="74"/>
      <c r="AHB3" s="74"/>
      <c r="AHC3" s="74"/>
      <c r="AHD3" s="74"/>
      <c r="AHE3" s="74"/>
      <c r="AHF3" s="74"/>
      <c r="AHG3" s="74"/>
      <c r="AHH3" s="74"/>
      <c r="AHI3" s="74"/>
      <c r="AHJ3" s="74"/>
      <c r="AHK3" s="74"/>
      <c r="AHL3" s="74"/>
      <c r="AHM3" s="74"/>
      <c r="AHN3" s="74"/>
      <c r="AHO3" s="74"/>
      <c r="AHP3" s="74"/>
      <c r="AHQ3" s="74"/>
      <c r="AHR3" s="74"/>
      <c r="AHS3" s="74"/>
      <c r="AHT3" s="74"/>
      <c r="AHU3" s="74"/>
      <c r="AHV3" s="74"/>
      <c r="AHW3" s="74"/>
      <c r="AHX3" s="74"/>
      <c r="AHY3" s="74"/>
      <c r="AHZ3" s="74"/>
      <c r="AIA3" s="74"/>
      <c r="AIB3" s="74"/>
      <c r="AIC3" s="74"/>
      <c r="AID3" s="74"/>
      <c r="AIE3" s="74"/>
      <c r="AIF3" s="74"/>
      <c r="AIG3" s="74"/>
      <c r="AIH3" s="74"/>
      <c r="AII3" s="74"/>
      <c r="AIJ3" s="74"/>
      <c r="AIK3" s="74"/>
      <c r="AIL3" s="74"/>
      <c r="AIM3" s="74"/>
      <c r="AIN3" s="74"/>
      <c r="AIO3" s="74"/>
      <c r="AIP3" s="74"/>
      <c r="AIQ3" s="74"/>
      <c r="AIR3" s="74"/>
      <c r="AIS3" s="74"/>
      <c r="AIT3" s="74"/>
      <c r="AIU3" s="74"/>
      <c r="AIV3" s="74"/>
      <c r="AIW3" s="74"/>
      <c r="AIX3" s="74"/>
      <c r="AIY3" s="74"/>
      <c r="AIZ3" s="74"/>
      <c r="AJA3" s="74"/>
      <c r="AJB3" s="74"/>
      <c r="AJC3" s="74"/>
      <c r="AJD3" s="74"/>
      <c r="AJE3" s="74"/>
      <c r="AJF3" s="74"/>
      <c r="AJG3" s="74"/>
      <c r="AJH3" s="74"/>
      <c r="AJI3" s="74"/>
      <c r="AJJ3" s="74"/>
      <c r="AJK3" s="74"/>
      <c r="AJL3" s="74"/>
      <c r="AJM3" s="74"/>
      <c r="AJN3" s="74"/>
      <c r="AJO3" s="74"/>
      <c r="AJP3" s="74"/>
      <c r="AJQ3" s="74"/>
      <c r="AJR3" s="74"/>
      <c r="AJS3" s="74"/>
      <c r="AJT3" s="74"/>
      <c r="AJU3" s="74"/>
      <c r="AJV3" s="74"/>
      <c r="AJW3" s="74"/>
      <c r="AJX3" s="74"/>
      <c r="AJY3" s="74"/>
      <c r="AJZ3" s="74"/>
      <c r="AKA3" s="74"/>
      <c r="AKB3" s="74"/>
      <c r="AKC3" s="74"/>
      <c r="AKD3" s="74"/>
      <c r="AKE3" s="74"/>
      <c r="AKF3" s="74"/>
      <c r="AKG3" s="74"/>
      <c r="AKH3" s="74"/>
      <c r="AKI3" s="74"/>
      <c r="AKJ3" s="74"/>
      <c r="AKK3" s="74"/>
      <c r="AKL3" s="74"/>
      <c r="AKM3" s="74"/>
      <c r="AKN3" s="74"/>
      <c r="AKO3" s="74"/>
      <c r="AKP3" s="74"/>
      <c r="AKQ3" s="74"/>
      <c r="AKR3" s="74"/>
      <c r="AKS3" s="74"/>
      <c r="AKT3" s="74"/>
      <c r="AKU3" s="74"/>
      <c r="AKV3" s="74"/>
      <c r="AKW3" s="74"/>
      <c r="AKX3" s="74"/>
      <c r="AKY3" s="74"/>
      <c r="AKZ3" s="74"/>
      <c r="ALA3" s="74"/>
      <c r="ALB3" s="74"/>
      <c r="ALC3" s="74"/>
      <c r="ALD3" s="74"/>
      <c r="ALE3" s="74"/>
      <c r="ALF3" s="74"/>
      <c r="ALG3" s="74"/>
      <c r="ALH3" s="74"/>
      <c r="ALI3" s="74"/>
      <c r="ALJ3" s="74"/>
      <c r="ALK3" s="74"/>
      <c r="ALL3" s="74"/>
      <c r="ALM3" s="74"/>
      <c r="ALN3" s="74"/>
      <c r="ALO3" s="74"/>
      <c r="ALP3" s="74"/>
      <c r="ALQ3" s="74"/>
      <c r="ALR3" s="74"/>
      <c r="ALS3" s="74"/>
      <c r="ALT3" s="74"/>
      <c r="ALU3" s="74"/>
      <c r="ALV3" s="74"/>
      <c r="ALW3" s="74"/>
      <c r="ALX3" s="74"/>
      <c r="ALY3" s="74"/>
      <c r="ALZ3" s="74"/>
      <c r="AMA3" s="74"/>
      <c r="AMB3" s="74"/>
      <c r="AMC3" s="74"/>
      <c r="AMD3" s="74"/>
      <c r="AME3" s="74"/>
      <c r="AMF3" s="74"/>
      <c r="AMG3" s="74"/>
      <c r="AMH3" s="74"/>
      <c r="AMI3" s="74"/>
      <c r="AMJ3" s="74"/>
      <c r="AMK3" s="74"/>
      <c r="AML3" s="74"/>
      <c r="AMM3" s="74"/>
      <c r="AMN3" s="74"/>
      <c r="AMO3" s="74"/>
      <c r="AMP3" s="74"/>
      <c r="AMQ3" s="74"/>
      <c r="AMR3" s="74"/>
      <c r="AMS3" s="74"/>
      <c r="AMT3" s="74"/>
      <c r="AMU3" s="74"/>
      <c r="AMV3" s="74"/>
      <c r="AMW3" s="74"/>
      <c r="AMX3" s="74"/>
      <c r="AMY3" s="74"/>
      <c r="AMZ3" s="74"/>
      <c r="ANA3" s="74"/>
      <c r="ANB3" s="74"/>
      <c r="ANC3" s="74"/>
      <c r="AND3" s="74"/>
      <c r="ANE3" s="74"/>
      <c r="ANF3" s="74"/>
      <c r="ANG3" s="74"/>
      <c r="ANH3" s="74"/>
      <c r="ANI3" s="74"/>
      <c r="ANJ3" s="74"/>
      <c r="ANK3" s="74"/>
      <c r="ANL3" s="74"/>
      <c r="ANM3" s="74"/>
      <c r="ANN3" s="74"/>
      <c r="ANO3" s="74"/>
      <c r="ANP3" s="74"/>
      <c r="ANQ3" s="74"/>
      <c r="ANR3" s="74"/>
      <c r="ANS3" s="74"/>
      <c r="ANT3" s="74"/>
      <c r="ANU3" s="74"/>
      <c r="ANV3" s="74"/>
      <c r="ANW3" s="74"/>
      <c r="ANX3" s="74"/>
      <c r="ANY3" s="74"/>
      <c r="ANZ3" s="74"/>
      <c r="AOA3" s="74"/>
      <c r="AOB3" s="74"/>
      <c r="AOC3" s="74"/>
      <c r="AOD3" s="74"/>
      <c r="AOE3" s="74"/>
      <c r="AOF3" s="74"/>
      <c r="AOG3" s="74"/>
      <c r="AOH3" s="74"/>
      <c r="AOI3" s="74"/>
      <c r="AOJ3" s="74"/>
      <c r="AOK3" s="74"/>
      <c r="AOL3" s="74"/>
      <c r="AOM3" s="74"/>
      <c r="AON3" s="74"/>
      <c r="AOO3" s="74"/>
      <c r="AOP3" s="74"/>
      <c r="AOQ3" s="74"/>
      <c r="AOR3" s="74"/>
      <c r="AOS3" s="74"/>
      <c r="AOT3" s="74"/>
      <c r="AOU3" s="74"/>
      <c r="AOV3" s="74"/>
      <c r="AOW3" s="74"/>
      <c r="AOX3" s="74"/>
      <c r="AOY3" s="74"/>
      <c r="AOZ3" s="74"/>
      <c r="APA3" s="74"/>
      <c r="APB3" s="74"/>
      <c r="APC3" s="74"/>
      <c r="APD3" s="74"/>
      <c r="APE3" s="74"/>
      <c r="APF3" s="74"/>
      <c r="APG3" s="74"/>
      <c r="APH3" s="74"/>
      <c r="API3" s="74"/>
      <c r="APJ3" s="74"/>
      <c r="APK3" s="74"/>
      <c r="APL3" s="74"/>
      <c r="APM3" s="74"/>
      <c r="APN3" s="74"/>
      <c r="APO3" s="74"/>
      <c r="APP3" s="74"/>
      <c r="APQ3" s="74"/>
      <c r="APR3" s="74"/>
      <c r="APS3" s="74"/>
      <c r="APT3" s="74"/>
      <c r="APU3" s="74"/>
      <c r="APV3" s="74"/>
      <c r="APW3" s="74"/>
      <c r="APX3" s="74"/>
      <c r="APY3" s="74"/>
      <c r="APZ3" s="74"/>
      <c r="AQA3" s="74"/>
      <c r="AQB3" s="74"/>
      <c r="AQC3" s="74"/>
      <c r="AQD3" s="74"/>
      <c r="AQE3" s="74"/>
      <c r="AQF3" s="74"/>
      <c r="AQG3" s="74"/>
      <c r="AQH3" s="74"/>
      <c r="AQI3" s="74"/>
      <c r="AQJ3" s="74"/>
      <c r="AQK3" s="74"/>
      <c r="AQL3" s="74"/>
      <c r="AQM3" s="74"/>
      <c r="AQN3" s="74"/>
      <c r="AQO3" s="74"/>
      <c r="AQP3" s="74"/>
      <c r="AQQ3" s="74"/>
      <c r="AQR3" s="74"/>
      <c r="AQS3" s="74"/>
      <c r="AQT3" s="74"/>
      <c r="AQU3" s="74"/>
      <c r="AQV3" s="74"/>
      <c r="AQW3" s="74"/>
      <c r="AQX3" s="74"/>
      <c r="AQY3" s="74"/>
      <c r="AQZ3" s="74"/>
      <c r="ARA3" s="74"/>
      <c r="ARB3" s="74"/>
      <c r="ARC3" s="74"/>
      <c r="ARD3" s="74"/>
      <c r="ARE3" s="74"/>
      <c r="ARF3" s="74"/>
      <c r="ARG3" s="74"/>
      <c r="ARH3" s="74"/>
      <c r="ARI3" s="74"/>
      <c r="ARJ3" s="74"/>
      <c r="ARK3" s="74"/>
      <c r="ARL3" s="74"/>
      <c r="ARM3" s="74"/>
      <c r="ARN3" s="74"/>
      <c r="ARO3" s="74"/>
      <c r="ARP3" s="74"/>
      <c r="ARQ3" s="74"/>
      <c r="ARR3" s="74"/>
      <c r="ARS3" s="74"/>
      <c r="ART3" s="74"/>
      <c r="ARU3" s="74"/>
      <c r="ARV3" s="74"/>
      <c r="ARW3" s="74"/>
      <c r="ARX3" s="74"/>
      <c r="ARY3" s="74"/>
      <c r="ARZ3" s="74"/>
      <c r="ASA3" s="74"/>
      <c r="ASB3" s="74"/>
      <c r="ASC3" s="74"/>
      <c r="ASD3" s="74"/>
      <c r="ASE3" s="74"/>
      <c r="ASF3" s="74"/>
      <c r="ASG3" s="74"/>
      <c r="ASH3" s="74"/>
      <c r="ASI3" s="74"/>
      <c r="ASJ3" s="74"/>
      <c r="ASK3" s="74"/>
      <c r="ASL3" s="74"/>
      <c r="ASM3" s="74"/>
      <c r="ASN3" s="74"/>
      <c r="ASO3" s="74"/>
      <c r="ASP3" s="74"/>
      <c r="ASQ3" s="74"/>
      <c r="ASR3" s="74"/>
      <c r="ASS3" s="74"/>
      <c r="AST3" s="74"/>
      <c r="ASU3" s="74"/>
      <c r="ASV3" s="74"/>
      <c r="ASW3" s="74"/>
      <c r="ASX3" s="74"/>
      <c r="ASY3" s="74"/>
      <c r="ASZ3" s="74"/>
      <c r="ATA3" s="74"/>
      <c r="ATB3" s="74"/>
      <c r="ATC3" s="74"/>
      <c r="ATD3" s="74"/>
      <c r="ATE3" s="74"/>
      <c r="ATF3" s="74"/>
      <c r="ATG3" s="74"/>
      <c r="ATH3" s="74"/>
      <c r="ATI3" s="74"/>
      <c r="ATJ3" s="74"/>
      <c r="ATK3" s="74"/>
      <c r="ATL3" s="74"/>
      <c r="ATM3" s="74"/>
      <c r="ATN3" s="74"/>
      <c r="ATO3" s="74"/>
      <c r="ATP3" s="74"/>
      <c r="ATQ3" s="74"/>
      <c r="ATR3" s="74"/>
      <c r="ATS3" s="74"/>
      <c r="ATT3" s="74"/>
      <c r="ATU3" s="74"/>
      <c r="ATV3" s="74"/>
      <c r="ATW3" s="74"/>
      <c r="ATX3" s="74"/>
      <c r="ATY3" s="74"/>
      <c r="ATZ3" s="74"/>
      <c r="AUA3" s="74"/>
      <c r="AUB3" s="74"/>
      <c r="AUC3" s="74"/>
      <c r="AUD3" s="74"/>
      <c r="AUE3" s="74"/>
      <c r="AUF3" s="74"/>
      <c r="AUG3" s="74"/>
      <c r="AUH3" s="74"/>
      <c r="AUI3" s="74"/>
      <c r="AUJ3" s="74"/>
      <c r="AUK3" s="74"/>
      <c r="AUL3" s="74"/>
      <c r="AUM3" s="74"/>
      <c r="AUN3" s="74"/>
      <c r="AUO3" s="74"/>
      <c r="AUP3" s="74"/>
      <c r="AUQ3" s="74"/>
      <c r="AUR3" s="74"/>
      <c r="AUS3" s="74"/>
      <c r="AUT3" s="74"/>
      <c r="AUU3" s="74"/>
      <c r="AUV3" s="74"/>
      <c r="AUW3" s="74"/>
      <c r="AUX3" s="74"/>
      <c r="AUY3" s="74"/>
      <c r="AUZ3" s="74"/>
      <c r="AVA3" s="74"/>
      <c r="AVB3" s="74"/>
      <c r="AVC3" s="74"/>
      <c r="AVD3" s="74"/>
      <c r="AVE3" s="74"/>
      <c r="AVF3" s="74"/>
      <c r="AVG3" s="74"/>
      <c r="AVH3" s="74"/>
      <c r="AVI3" s="74"/>
      <c r="AVJ3" s="74"/>
      <c r="AVK3" s="74"/>
      <c r="AVL3" s="74"/>
      <c r="AVM3" s="74"/>
      <c r="AVN3" s="74"/>
      <c r="AVO3" s="74"/>
      <c r="AVP3" s="74"/>
      <c r="AVQ3" s="74"/>
      <c r="AVR3" s="74"/>
      <c r="AVS3" s="74"/>
      <c r="AVT3" s="74"/>
      <c r="AVU3" s="74"/>
      <c r="AVV3" s="74"/>
      <c r="AVW3" s="74"/>
      <c r="AVX3" s="74"/>
      <c r="AVY3" s="74"/>
      <c r="AVZ3" s="74"/>
      <c r="AWA3" s="74"/>
      <c r="AWB3" s="74"/>
      <c r="AWC3" s="74"/>
      <c r="AWD3" s="74"/>
      <c r="AWE3" s="74"/>
      <c r="AWF3" s="74"/>
      <c r="AWG3" s="74"/>
      <c r="AWH3" s="74"/>
      <c r="AWI3" s="74"/>
      <c r="AWJ3" s="74"/>
      <c r="AWK3" s="74"/>
      <c r="AWL3" s="74"/>
      <c r="AWM3" s="74"/>
      <c r="AWN3" s="74"/>
      <c r="AWO3" s="74"/>
      <c r="AWP3" s="74"/>
      <c r="AWQ3" s="74"/>
      <c r="AWR3" s="74"/>
      <c r="AWS3" s="74"/>
      <c r="AWT3" s="74"/>
      <c r="AWU3" s="74"/>
      <c r="AWV3" s="74"/>
      <c r="AWW3" s="74"/>
      <c r="AWX3" s="74"/>
      <c r="AWY3" s="74"/>
      <c r="AWZ3" s="74"/>
      <c r="AXA3" s="74"/>
      <c r="AXB3" s="74"/>
      <c r="AXC3" s="74"/>
      <c r="AXD3" s="74"/>
      <c r="AXE3" s="74"/>
      <c r="AXF3" s="74"/>
      <c r="AXG3" s="74"/>
      <c r="AXH3" s="74"/>
      <c r="AXI3" s="74"/>
      <c r="AXJ3" s="74"/>
      <c r="AXK3" s="74"/>
      <c r="AXL3" s="74"/>
      <c r="AXM3" s="74"/>
      <c r="AXN3" s="74"/>
      <c r="AXO3" s="74"/>
      <c r="AXP3" s="74"/>
      <c r="AXQ3" s="74"/>
      <c r="AXR3" s="74"/>
      <c r="AXS3" s="74"/>
      <c r="AXT3" s="74"/>
      <c r="AXU3" s="74"/>
      <c r="AXV3" s="74"/>
      <c r="AXW3" s="74"/>
      <c r="AXX3" s="74"/>
      <c r="AXY3" s="74"/>
      <c r="AXZ3" s="74"/>
      <c r="AYA3" s="74"/>
      <c r="AYB3" s="74"/>
      <c r="AYC3" s="74"/>
      <c r="AYD3" s="74"/>
      <c r="AYE3" s="74"/>
      <c r="AYF3" s="74"/>
      <c r="AYG3" s="74"/>
      <c r="AYH3" s="74"/>
      <c r="AYI3" s="74"/>
      <c r="AYJ3" s="74"/>
      <c r="AYK3" s="74"/>
      <c r="AYL3" s="74"/>
      <c r="AYM3" s="74"/>
      <c r="AYN3" s="74"/>
      <c r="AYO3" s="74"/>
      <c r="AYP3" s="74"/>
      <c r="AYQ3" s="74"/>
      <c r="AYR3" s="74"/>
      <c r="AYS3" s="74"/>
      <c r="AYT3" s="74"/>
      <c r="AYU3" s="74"/>
      <c r="AYV3" s="74"/>
      <c r="AYW3" s="74"/>
      <c r="AYX3" s="74"/>
      <c r="AYY3" s="74"/>
      <c r="AYZ3" s="74"/>
      <c r="AZA3" s="74"/>
      <c r="AZB3" s="74"/>
      <c r="AZC3" s="74"/>
      <c r="AZD3" s="74"/>
      <c r="AZE3" s="74"/>
      <c r="AZF3" s="74"/>
      <c r="AZG3" s="74"/>
      <c r="AZH3" s="74"/>
      <c r="AZI3" s="74"/>
      <c r="AZJ3" s="74"/>
      <c r="AZK3" s="74"/>
      <c r="AZL3" s="74"/>
      <c r="AZM3" s="74"/>
      <c r="AZN3" s="74"/>
      <c r="AZO3" s="74"/>
      <c r="AZP3" s="74"/>
      <c r="AZQ3" s="74"/>
      <c r="AZR3" s="74"/>
      <c r="AZS3" s="74"/>
      <c r="AZT3" s="74"/>
      <c r="AZU3" s="74"/>
      <c r="AZV3" s="74"/>
      <c r="AZW3" s="74"/>
      <c r="AZX3" s="74"/>
      <c r="AZY3" s="74"/>
      <c r="AZZ3" s="74"/>
      <c r="BAA3" s="74"/>
      <c r="BAB3" s="74"/>
      <c r="BAC3" s="74"/>
      <c r="BAD3" s="74"/>
      <c r="BAE3" s="74"/>
      <c r="BAF3" s="74"/>
      <c r="BAG3" s="74"/>
      <c r="BAH3" s="74"/>
      <c r="BAI3" s="74"/>
      <c r="BAJ3" s="74"/>
      <c r="BAK3" s="74"/>
      <c r="BAL3" s="74"/>
      <c r="BAM3" s="74"/>
      <c r="BAN3" s="74"/>
      <c r="BAO3" s="74"/>
      <c r="BAP3" s="74"/>
      <c r="BAQ3" s="74"/>
      <c r="BAR3" s="74"/>
      <c r="BAS3" s="74"/>
      <c r="BAT3" s="74"/>
      <c r="BAU3" s="74"/>
      <c r="BAV3" s="74"/>
      <c r="BAW3" s="74"/>
      <c r="BAX3" s="74"/>
      <c r="BAY3" s="74"/>
      <c r="BAZ3" s="74"/>
      <c r="BBA3" s="74"/>
      <c r="BBB3" s="74"/>
      <c r="BBC3" s="74"/>
      <c r="BBD3" s="74"/>
      <c r="BBE3" s="74"/>
      <c r="BBF3" s="74"/>
      <c r="BBG3" s="74"/>
      <c r="BBH3" s="74"/>
      <c r="BBI3" s="74"/>
      <c r="BBJ3" s="74"/>
      <c r="BBK3" s="74"/>
      <c r="BBL3" s="74"/>
      <c r="BBM3" s="74"/>
      <c r="BBN3" s="74"/>
      <c r="BBO3" s="74"/>
      <c r="BBP3" s="74"/>
      <c r="BBQ3" s="74"/>
      <c r="BBR3" s="74"/>
      <c r="BBS3" s="74"/>
      <c r="BBT3" s="74"/>
      <c r="BBU3" s="74"/>
      <c r="BBV3" s="74"/>
      <c r="BBW3" s="74"/>
      <c r="BBX3" s="74"/>
      <c r="BBY3" s="74"/>
      <c r="BBZ3" s="74"/>
      <c r="BCA3" s="74"/>
      <c r="BCB3" s="74"/>
      <c r="BCC3" s="74"/>
      <c r="BCD3" s="74"/>
      <c r="BCE3" s="74"/>
      <c r="BCF3" s="74"/>
      <c r="BCG3" s="74"/>
      <c r="BCH3" s="74"/>
      <c r="BCI3" s="74"/>
      <c r="BCJ3" s="74"/>
      <c r="BCK3" s="74"/>
      <c r="BCL3" s="74"/>
      <c r="BCM3" s="74"/>
      <c r="BCN3" s="74"/>
      <c r="BCO3" s="74"/>
      <c r="BCP3" s="74"/>
      <c r="BCQ3" s="74"/>
      <c r="BCR3" s="74"/>
      <c r="BCS3" s="74"/>
      <c r="BCT3" s="74"/>
      <c r="BCU3" s="74"/>
      <c r="BCV3" s="74"/>
      <c r="BCW3" s="74"/>
      <c r="BCX3" s="74"/>
      <c r="BCY3" s="74"/>
      <c r="BCZ3" s="74"/>
      <c r="BDA3" s="74"/>
      <c r="BDB3" s="74"/>
      <c r="BDC3" s="74"/>
      <c r="BDD3" s="74"/>
      <c r="BDE3" s="74"/>
      <c r="BDF3" s="74"/>
      <c r="BDG3" s="74"/>
      <c r="BDH3" s="74"/>
      <c r="BDI3" s="74"/>
      <c r="BDJ3" s="74"/>
      <c r="BDK3" s="74"/>
      <c r="BDL3" s="74"/>
      <c r="BDM3" s="74"/>
      <c r="BDN3" s="74"/>
      <c r="BDO3" s="74"/>
      <c r="BDP3" s="74"/>
      <c r="BDQ3" s="74"/>
      <c r="BDR3" s="74"/>
      <c r="BDS3" s="74"/>
      <c r="BDT3" s="74"/>
      <c r="BDU3" s="74"/>
      <c r="BDV3" s="74"/>
      <c r="BDW3" s="74"/>
      <c r="BDX3" s="74"/>
      <c r="BDY3" s="74"/>
      <c r="BDZ3" s="74"/>
      <c r="BEA3" s="74"/>
      <c r="BEB3" s="74"/>
      <c r="BEC3" s="74"/>
      <c r="BED3" s="74"/>
      <c r="BEE3" s="74"/>
      <c r="BEF3" s="74"/>
      <c r="BEG3" s="74"/>
      <c r="BEH3" s="74"/>
      <c r="BEI3" s="74"/>
      <c r="BEJ3" s="74"/>
      <c r="BEK3" s="74"/>
      <c r="BEL3" s="74"/>
      <c r="BEM3" s="74"/>
      <c r="BEN3" s="74"/>
      <c r="BEO3" s="74"/>
      <c r="BEP3" s="74"/>
      <c r="BEQ3" s="74"/>
      <c r="BER3" s="74"/>
      <c r="BES3" s="74"/>
      <c r="BET3" s="74"/>
      <c r="BEU3" s="74"/>
      <c r="BEV3" s="74"/>
      <c r="BEW3" s="74"/>
      <c r="BEX3" s="74"/>
      <c r="BEY3" s="74"/>
      <c r="BEZ3" s="74"/>
      <c r="BFA3" s="74"/>
      <c r="BFB3" s="74"/>
      <c r="BFC3" s="74"/>
      <c r="BFD3" s="74"/>
      <c r="BFE3" s="74"/>
      <c r="BFF3" s="74"/>
      <c r="BFG3" s="74"/>
      <c r="BFH3" s="74"/>
      <c r="BFI3" s="74"/>
      <c r="BFJ3" s="74"/>
      <c r="BFK3" s="74"/>
      <c r="BFL3" s="74"/>
      <c r="BFM3" s="74"/>
      <c r="BFN3" s="74"/>
      <c r="BFO3" s="74"/>
      <c r="BFP3" s="74"/>
      <c r="BFQ3" s="74"/>
      <c r="BFR3" s="74"/>
      <c r="BFS3" s="74"/>
      <c r="BFT3" s="74"/>
      <c r="BFU3" s="74"/>
      <c r="BFV3" s="74"/>
      <c r="BFW3" s="74"/>
      <c r="BFX3" s="74"/>
      <c r="BFY3" s="74"/>
      <c r="BFZ3" s="74"/>
      <c r="BGA3" s="74"/>
      <c r="BGB3" s="74"/>
      <c r="BGC3" s="74"/>
      <c r="BGD3" s="74"/>
      <c r="BGE3" s="74"/>
      <c r="BGF3" s="74"/>
      <c r="BGG3" s="74"/>
      <c r="BGH3" s="74"/>
      <c r="BGI3" s="74"/>
      <c r="BGJ3" s="74"/>
      <c r="BGK3" s="74"/>
      <c r="BGL3" s="74"/>
      <c r="BGM3" s="74"/>
      <c r="BGN3" s="74"/>
      <c r="BGO3" s="74"/>
      <c r="BGP3" s="74"/>
      <c r="BGQ3" s="74"/>
      <c r="BGR3" s="74"/>
      <c r="BGS3" s="74"/>
      <c r="BGT3" s="74"/>
      <c r="BGU3" s="74"/>
      <c r="BGV3" s="74"/>
      <c r="BGW3" s="74"/>
      <c r="BGX3" s="74"/>
      <c r="BGY3" s="74"/>
      <c r="BGZ3" s="74"/>
      <c r="BHA3" s="74"/>
      <c r="BHB3" s="74"/>
      <c r="BHC3" s="74"/>
      <c r="BHD3" s="74"/>
      <c r="BHE3" s="74"/>
      <c r="BHF3" s="74"/>
      <c r="BHG3" s="74"/>
      <c r="BHH3" s="74"/>
      <c r="BHI3" s="74"/>
      <c r="BHJ3" s="74"/>
      <c r="BHK3" s="74"/>
      <c r="BHL3" s="74"/>
      <c r="BHM3" s="74"/>
      <c r="BHN3" s="74"/>
      <c r="BHO3" s="74"/>
      <c r="BHP3" s="74"/>
      <c r="BHQ3" s="74"/>
      <c r="BHR3" s="74"/>
      <c r="BHS3" s="74"/>
      <c r="BHT3" s="74"/>
      <c r="BHU3" s="74"/>
      <c r="BHV3" s="74"/>
      <c r="BHW3" s="74"/>
      <c r="BHX3" s="74"/>
      <c r="BHY3" s="74"/>
      <c r="BHZ3" s="74"/>
      <c r="BIA3" s="74"/>
      <c r="BIB3" s="74"/>
      <c r="BIC3" s="74"/>
      <c r="BID3" s="74"/>
      <c r="BIE3" s="74"/>
      <c r="BIF3" s="74"/>
      <c r="BIG3" s="74"/>
      <c r="BIH3" s="74"/>
      <c r="BII3" s="74"/>
      <c r="BIJ3" s="74"/>
      <c r="BIK3" s="74"/>
      <c r="BIL3" s="74"/>
      <c r="BIM3" s="74"/>
      <c r="BIN3" s="74"/>
      <c r="BIO3" s="74"/>
      <c r="BIP3" s="74"/>
      <c r="BIQ3" s="74"/>
      <c r="BIR3" s="74"/>
      <c r="BIS3" s="74"/>
      <c r="BIT3" s="74"/>
      <c r="BIU3" s="74"/>
      <c r="BIV3" s="74"/>
      <c r="BIW3" s="74"/>
      <c r="BIX3" s="74"/>
      <c r="BIY3" s="74"/>
      <c r="BIZ3" s="74"/>
      <c r="BJA3" s="74"/>
      <c r="BJB3" s="74"/>
      <c r="BJC3" s="74"/>
      <c r="BJD3" s="74"/>
      <c r="BJE3" s="74"/>
      <c r="BJF3" s="74"/>
      <c r="BJG3" s="74"/>
      <c r="BJH3" s="74"/>
      <c r="BJI3" s="74"/>
      <c r="BJJ3" s="74"/>
      <c r="BJK3" s="74"/>
      <c r="BJL3" s="74"/>
      <c r="BJM3" s="74"/>
      <c r="BJN3" s="74"/>
      <c r="BJO3" s="74"/>
      <c r="BJP3" s="74"/>
      <c r="BJQ3" s="74"/>
      <c r="BJR3" s="74"/>
      <c r="BJS3" s="74"/>
      <c r="BJT3" s="74"/>
      <c r="BJU3" s="74"/>
      <c r="BJV3" s="74"/>
      <c r="BJW3" s="74"/>
      <c r="BJX3" s="74"/>
      <c r="BJY3" s="74"/>
      <c r="BJZ3" s="74"/>
      <c r="BKA3" s="74"/>
      <c r="BKB3" s="74"/>
      <c r="BKC3" s="74"/>
      <c r="BKD3" s="74"/>
      <c r="BKE3" s="74"/>
      <c r="BKF3" s="74"/>
      <c r="BKG3" s="74"/>
      <c r="BKH3" s="74"/>
      <c r="BKI3" s="74"/>
      <c r="BKJ3" s="74"/>
      <c r="BKK3" s="74"/>
      <c r="BKL3" s="74"/>
      <c r="BKM3" s="74"/>
      <c r="BKN3" s="74"/>
      <c r="BKO3" s="74"/>
      <c r="BKP3" s="74"/>
      <c r="BKQ3" s="74"/>
      <c r="BKR3" s="74"/>
      <c r="BKS3" s="74"/>
      <c r="BKT3" s="74"/>
      <c r="BKU3" s="74"/>
      <c r="BKV3" s="74"/>
      <c r="BKW3" s="74"/>
      <c r="BKX3" s="74"/>
      <c r="BKY3" s="74"/>
      <c r="BKZ3" s="74"/>
      <c r="BLA3" s="74"/>
      <c r="BLB3" s="74"/>
      <c r="BLC3" s="74"/>
      <c r="BLD3" s="74"/>
      <c r="BLE3" s="74"/>
      <c r="BLF3" s="74"/>
      <c r="BLG3" s="74"/>
      <c r="BLH3" s="74"/>
      <c r="BLI3" s="74"/>
      <c r="BLJ3" s="74"/>
      <c r="BLK3" s="74"/>
      <c r="BLL3" s="74"/>
      <c r="BLM3" s="74"/>
      <c r="BLN3" s="74"/>
      <c r="BLO3" s="74"/>
      <c r="BLP3" s="74"/>
      <c r="BLQ3" s="74"/>
      <c r="BLR3" s="74"/>
      <c r="BLS3" s="74"/>
      <c r="BLT3" s="74"/>
      <c r="BLU3" s="74"/>
      <c r="BLV3" s="74"/>
      <c r="BLW3" s="74"/>
      <c r="BLX3" s="74"/>
      <c r="BLY3" s="74"/>
      <c r="BLZ3" s="74"/>
      <c r="BMA3" s="74"/>
      <c r="BMB3" s="74"/>
      <c r="BMC3" s="74"/>
      <c r="BMD3" s="74"/>
      <c r="BME3" s="74"/>
      <c r="BMF3" s="74"/>
      <c r="BMG3" s="74"/>
      <c r="BMH3" s="74"/>
      <c r="BMI3" s="74"/>
      <c r="BMJ3" s="74"/>
      <c r="BMK3" s="74"/>
      <c r="BML3" s="74"/>
      <c r="BMM3" s="74"/>
      <c r="BMN3" s="74"/>
      <c r="BMO3" s="74"/>
      <c r="BMP3" s="74"/>
      <c r="BMQ3" s="74"/>
      <c r="BMR3" s="74"/>
      <c r="BMS3" s="74"/>
      <c r="BMT3" s="74"/>
      <c r="BMU3" s="74"/>
      <c r="BMV3" s="74"/>
      <c r="BMW3" s="74"/>
      <c r="BMX3" s="74"/>
      <c r="BMY3" s="74"/>
      <c r="BMZ3" s="74"/>
      <c r="BNA3" s="74"/>
      <c r="BNB3" s="74"/>
      <c r="BNC3" s="74"/>
      <c r="BND3" s="74"/>
      <c r="BNE3" s="74"/>
      <c r="BNF3" s="74"/>
      <c r="BNG3" s="74"/>
      <c r="BNH3" s="74"/>
      <c r="BNI3" s="74"/>
      <c r="BNJ3" s="74"/>
      <c r="BNK3" s="74"/>
      <c r="BNL3" s="74"/>
      <c r="BNM3" s="74"/>
      <c r="BNN3" s="74"/>
      <c r="BNO3" s="74"/>
      <c r="BNP3" s="74"/>
      <c r="BNQ3" s="74"/>
      <c r="BNR3" s="74"/>
      <c r="BNS3" s="74"/>
      <c r="BNT3" s="74"/>
      <c r="BNU3" s="74"/>
      <c r="BNV3" s="74"/>
      <c r="BNW3" s="74"/>
      <c r="BNX3" s="74"/>
      <c r="BNY3" s="74"/>
      <c r="BNZ3" s="74"/>
      <c r="BOA3" s="74"/>
      <c r="BOB3" s="74"/>
      <c r="BOC3" s="74"/>
      <c r="BOD3" s="74"/>
      <c r="BOE3" s="74"/>
      <c r="BOF3" s="74"/>
      <c r="BOG3" s="74"/>
      <c r="BOH3" s="74"/>
      <c r="BOI3" s="74"/>
      <c r="BOJ3" s="74"/>
      <c r="BOK3" s="74"/>
      <c r="BOL3" s="74"/>
      <c r="BOM3" s="74"/>
      <c r="BON3" s="74"/>
      <c r="BOO3" s="74"/>
      <c r="BOP3" s="74"/>
      <c r="BOQ3" s="74"/>
      <c r="BOR3" s="74"/>
      <c r="BOS3" s="74"/>
      <c r="BOT3" s="74"/>
      <c r="BOU3" s="74"/>
      <c r="BOV3" s="74"/>
      <c r="BOW3" s="74"/>
      <c r="BOX3" s="74"/>
      <c r="BOY3" s="74"/>
      <c r="BOZ3" s="74"/>
      <c r="BPA3" s="74"/>
      <c r="BPB3" s="74"/>
      <c r="BPC3" s="74"/>
      <c r="BPD3" s="74"/>
      <c r="BPE3" s="74"/>
      <c r="BPF3" s="74"/>
      <c r="BPG3" s="74"/>
      <c r="BPH3" s="74"/>
      <c r="BPI3" s="74"/>
      <c r="BPJ3" s="74"/>
      <c r="BPK3" s="74"/>
      <c r="BPL3" s="74"/>
      <c r="BPM3" s="74"/>
      <c r="BPN3" s="74"/>
      <c r="BPO3" s="74"/>
      <c r="BPP3" s="74"/>
      <c r="BPQ3" s="74"/>
      <c r="BPR3" s="74"/>
      <c r="BPS3" s="74"/>
      <c r="BPT3" s="74"/>
      <c r="BPU3" s="74"/>
      <c r="BPV3" s="74"/>
      <c r="BPW3" s="74"/>
      <c r="BPX3" s="74"/>
      <c r="BPY3" s="74"/>
      <c r="BPZ3" s="74"/>
      <c r="BQA3" s="74"/>
      <c r="BQB3" s="74"/>
      <c r="BQC3" s="74"/>
      <c r="BQD3" s="74"/>
      <c r="BQE3" s="74"/>
      <c r="BQF3" s="74"/>
      <c r="BQG3" s="74"/>
      <c r="BQH3" s="74"/>
      <c r="BQI3" s="74"/>
      <c r="BQJ3" s="74"/>
      <c r="BQK3" s="74"/>
      <c r="BQL3" s="74"/>
      <c r="BQM3" s="74"/>
      <c r="BQN3" s="74"/>
      <c r="BQO3" s="74"/>
      <c r="BQP3" s="74"/>
      <c r="BQQ3" s="74"/>
      <c r="BQR3" s="74"/>
      <c r="BQS3" s="74"/>
      <c r="BQT3" s="74"/>
      <c r="BQU3" s="74"/>
      <c r="BQV3" s="74"/>
      <c r="BQW3" s="74"/>
      <c r="BQX3" s="74"/>
      <c r="BQY3" s="74"/>
      <c r="BQZ3" s="74"/>
      <c r="BRA3" s="74"/>
      <c r="BRB3" s="74"/>
      <c r="BRC3" s="74"/>
      <c r="BRD3" s="74"/>
      <c r="BRE3" s="74"/>
      <c r="BRF3" s="74"/>
      <c r="BRG3" s="74"/>
      <c r="BRH3" s="74"/>
      <c r="BRI3" s="74"/>
      <c r="BRJ3" s="74"/>
      <c r="BRK3" s="74"/>
      <c r="BRL3" s="74"/>
      <c r="BRM3" s="74"/>
      <c r="BRN3" s="74"/>
      <c r="BRO3" s="74"/>
      <c r="BRP3" s="74"/>
      <c r="BRQ3" s="74"/>
      <c r="BRR3" s="74"/>
      <c r="BRS3" s="74"/>
      <c r="BRT3" s="74"/>
      <c r="BRU3" s="74"/>
      <c r="BRV3" s="74"/>
      <c r="BRW3" s="74"/>
      <c r="BRX3" s="74"/>
      <c r="BRY3" s="74"/>
      <c r="BRZ3" s="74"/>
      <c r="BSA3" s="74"/>
      <c r="BSB3" s="74"/>
      <c r="BSC3" s="74"/>
      <c r="BSD3" s="74"/>
      <c r="BSE3" s="74"/>
      <c r="BSF3" s="74"/>
      <c r="BSG3" s="74"/>
      <c r="BSH3" s="74"/>
      <c r="BSI3" s="74"/>
      <c r="BSJ3" s="74"/>
      <c r="BSK3" s="74"/>
      <c r="BSL3" s="74"/>
      <c r="BSM3" s="74"/>
      <c r="BSN3" s="74"/>
      <c r="BSO3" s="74"/>
      <c r="BSP3" s="74"/>
      <c r="BSQ3" s="74"/>
      <c r="BSR3" s="74"/>
      <c r="BSS3" s="74"/>
      <c r="BST3" s="74"/>
      <c r="BSU3" s="74"/>
      <c r="BSV3" s="74"/>
      <c r="BSW3" s="74"/>
      <c r="BSX3" s="74"/>
      <c r="BSY3" s="74"/>
      <c r="BSZ3" s="74"/>
      <c r="BTA3" s="74"/>
      <c r="BTB3" s="74"/>
      <c r="BTC3" s="74"/>
      <c r="BTD3" s="74"/>
      <c r="BTE3" s="74"/>
      <c r="BTF3" s="74"/>
      <c r="BTG3" s="74"/>
      <c r="BTH3" s="74"/>
      <c r="BTI3" s="74"/>
      <c r="BTJ3" s="74"/>
      <c r="BTK3" s="74"/>
      <c r="BTL3" s="74"/>
      <c r="BTM3" s="74"/>
      <c r="BTN3" s="74"/>
      <c r="BTO3" s="74"/>
      <c r="BTP3" s="74"/>
      <c r="BTQ3" s="74"/>
      <c r="BTR3" s="74"/>
      <c r="BTS3" s="74"/>
      <c r="BTT3" s="74"/>
      <c r="BTU3" s="74"/>
      <c r="BTV3" s="74"/>
      <c r="BTW3" s="74"/>
      <c r="BTX3" s="74"/>
      <c r="BTY3" s="74"/>
      <c r="BTZ3" s="74"/>
      <c r="BUA3" s="74"/>
      <c r="BUB3" s="74"/>
      <c r="BUC3" s="74"/>
      <c r="BUD3" s="74"/>
      <c r="BUE3" s="74"/>
      <c r="BUF3" s="74"/>
      <c r="BUG3" s="74"/>
      <c r="BUH3" s="74"/>
      <c r="BUI3" s="74"/>
      <c r="BUJ3" s="74"/>
      <c r="BUK3" s="74"/>
      <c r="BUL3" s="74"/>
      <c r="BUM3" s="74"/>
      <c r="BUN3" s="74"/>
      <c r="BUO3" s="74"/>
      <c r="BUP3" s="74"/>
      <c r="BUQ3" s="74"/>
      <c r="BUR3" s="74"/>
      <c r="BUS3" s="74"/>
      <c r="BUT3" s="74"/>
      <c r="BUU3" s="74"/>
      <c r="BUV3" s="74"/>
      <c r="BUW3" s="74"/>
      <c r="BUX3" s="74"/>
      <c r="BUY3" s="74"/>
      <c r="BUZ3" s="74"/>
      <c r="BVA3" s="74"/>
      <c r="BVB3" s="74"/>
      <c r="BVC3" s="74"/>
      <c r="BVD3" s="74"/>
      <c r="BVE3" s="74"/>
      <c r="BVF3" s="74"/>
      <c r="BVG3" s="74"/>
      <c r="BVH3" s="74"/>
      <c r="BVI3" s="74"/>
      <c r="BVJ3" s="74"/>
      <c r="BVK3" s="74"/>
      <c r="BVL3" s="74"/>
      <c r="BVM3" s="74"/>
      <c r="BVN3" s="74"/>
      <c r="BVO3" s="74"/>
      <c r="BVP3" s="74"/>
      <c r="BVQ3" s="74"/>
      <c r="BVR3" s="74"/>
      <c r="BVS3" s="74"/>
      <c r="BVT3" s="74"/>
      <c r="BVU3" s="74"/>
      <c r="BVV3" s="74"/>
      <c r="BVW3" s="74"/>
      <c r="BVX3" s="74"/>
      <c r="BVY3" s="74"/>
      <c r="BVZ3" s="74"/>
      <c r="BWA3" s="74"/>
      <c r="BWB3" s="74"/>
      <c r="BWC3" s="74"/>
      <c r="BWD3" s="74"/>
      <c r="BWE3" s="74"/>
      <c r="BWF3" s="74"/>
      <c r="BWG3" s="74"/>
      <c r="BWH3" s="74"/>
      <c r="BWI3" s="74"/>
      <c r="BWJ3" s="74"/>
      <c r="BWK3" s="74"/>
      <c r="BWL3" s="74"/>
      <c r="BWM3" s="74"/>
      <c r="BWN3" s="74"/>
      <c r="BWO3" s="74"/>
      <c r="BWP3" s="74"/>
      <c r="BWQ3" s="74"/>
      <c r="BWR3" s="74"/>
      <c r="BWS3" s="74"/>
      <c r="BWT3" s="74"/>
      <c r="BWU3" s="74"/>
      <c r="BWV3" s="74"/>
      <c r="BWW3" s="74"/>
      <c r="BWX3" s="74"/>
      <c r="BWY3" s="74"/>
      <c r="BWZ3" s="74"/>
      <c r="BXA3" s="74"/>
      <c r="BXB3" s="74"/>
      <c r="BXC3" s="74"/>
      <c r="BXD3" s="74"/>
      <c r="BXE3" s="74"/>
      <c r="BXF3" s="74"/>
      <c r="BXG3" s="74"/>
      <c r="BXH3" s="74"/>
      <c r="BXI3" s="74"/>
      <c r="BXJ3" s="74"/>
      <c r="BXK3" s="74"/>
      <c r="BXL3" s="74"/>
      <c r="BXM3" s="74"/>
      <c r="BXN3" s="74"/>
      <c r="BXO3" s="74"/>
      <c r="BXP3" s="74"/>
      <c r="BXQ3" s="74"/>
      <c r="BXR3" s="74"/>
      <c r="BXS3" s="74"/>
      <c r="BXT3" s="74"/>
      <c r="BXU3" s="74"/>
      <c r="BXV3" s="74"/>
      <c r="BXW3" s="74"/>
      <c r="BXX3" s="74"/>
      <c r="BXY3" s="74"/>
      <c r="BXZ3" s="74"/>
      <c r="BYA3" s="74"/>
      <c r="BYB3" s="74"/>
      <c r="BYC3" s="74"/>
      <c r="BYD3" s="74"/>
      <c r="BYE3" s="74"/>
      <c r="BYF3" s="74"/>
      <c r="BYG3" s="74"/>
      <c r="BYH3" s="74"/>
      <c r="BYI3" s="74"/>
      <c r="BYJ3" s="74"/>
      <c r="BYK3" s="74"/>
      <c r="BYL3" s="74"/>
      <c r="BYM3" s="74"/>
      <c r="BYN3" s="74"/>
      <c r="BYO3" s="74"/>
      <c r="BYP3" s="74"/>
      <c r="BYQ3" s="74"/>
      <c r="BYR3" s="74"/>
      <c r="BYS3" s="74"/>
      <c r="BYT3" s="74"/>
      <c r="BYU3" s="74"/>
      <c r="BYV3" s="74"/>
      <c r="BYW3" s="74"/>
      <c r="BYX3" s="74"/>
      <c r="BYY3" s="74"/>
      <c r="BYZ3" s="74"/>
      <c r="BZA3" s="74"/>
      <c r="BZB3" s="74"/>
      <c r="BZC3" s="74"/>
      <c r="BZD3" s="74"/>
      <c r="BZE3" s="74"/>
      <c r="BZF3" s="74"/>
      <c r="BZG3" s="74"/>
      <c r="BZH3" s="74"/>
      <c r="BZI3" s="74"/>
      <c r="BZJ3" s="74"/>
      <c r="BZK3" s="74"/>
      <c r="BZL3" s="74"/>
      <c r="BZM3" s="74"/>
      <c r="BZN3" s="74"/>
      <c r="BZO3" s="74"/>
      <c r="BZP3" s="74"/>
      <c r="BZQ3" s="74"/>
      <c r="BZR3" s="74"/>
      <c r="BZS3" s="74"/>
      <c r="BZT3" s="74"/>
      <c r="BZU3" s="74"/>
      <c r="BZV3" s="74"/>
      <c r="BZW3" s="74"/>
      <c r="BZX3" s="74"/>
      <c r="BZY3" s="74"/>
      <c r="BZZ3" s="74"/>
      <c r="CAA3" s="74"/>
      <c r="CAB3" s="74"/>
      <c r="CAC3" s="74"/>
      <c r="CAD3" s="74"/>
      <c r="CAE3" s="74"/>
      <c r="CAF3" s="74"/>
      <c r="CAG3" s="74"/>
      <c r="CAH3" s="74"/>
      <c r="CAI3" s="74"/>
      <c r="CAJ3" s="74"/>
      <c r="CAK3" s="74"/>
      <c r="CAL3" s="74"/>
      <c r="CAM3" s="74"/>
      <c r="CAN3" s="74"/>
      <c r="CAO3" s="74"/>
      <c r="CAP3" s="74"/>
      <c r="CAQ3" s="74"/>
      <c r="CAR3" s="74"/>
      <c r="CAS3" s="74"/>
      <c r="CAT3" s="74"/>
      <c r="CAU3" s="74"/>
      <c r="CAV3" s="74"/>
      <c r="CAW3" s="74"/>
      <c r="CAX3" s="74"/>
      <c r="CAY3" s="74"/>
      <c r="CAZ3" s="74"/>
      <c r="CBA3" s="74"/>
      <c r="CBB3" s="74"/>
      <c r="CBC3" s="74"/>
      <c r="CBD3" s="74"/>
      <c r="CBE3" s="74"/>
      <c r="CBF3" s="74"/>
      <c r="CBG3" s="74"/>
      <c r="CBH3" s="74"/>
      <c r="CBI3" s="74"/>
      <c r="CBJ3" s="74"/>
      <c r="CBK3" s="74"/>
      <c r="CBL3" s="74"/>
      <c r="CBM3" s="74"/>
      <c r="CBN3" s="74"/>
      <c r="CBO3" s="74"/>
      <c r="CBP3" s="74"/>
      <c r="CBQ3" s="74"/>
      <c r="CBR3" s="74"/>
      <c r="CBS3" s="74"/>
      <c r="CBT3" s="74"/>
      <c r="CBU3" s="74"/>
      <c r="CBV3" s="74"/>
      <c r="CBW3" s="74"/>
      <c r="CBX3" s="74"/>
      <c r="CBY3" s="74"/>
      <c r="CBZ3" s="74"/>
      <c r="CCA3" s="74"/>
      <c r="CCB3" s="74"/>
      <c r="CCC3" s="74"/>
      <c r="CCD3" s="74"/>
      <c r="CCE3" s="74"/>
      <c r="CCF3" s="74"/>
      <c r="CCG3" s="74"/>
      <c r="CCH3" s="74"/>
      <c r="CCI3" s="74"/>
      <c r="CCJ3" s="74"/>
      <c r="CCK3" s="74"/>
      <c r="CCL3" s="74"/>
      <c r="CCM3" s="74"/>
      <c r="CCN3" s="74"/>
      <c r="CCO3" s="74"/>
      <c r="CCP3" s="74"/>
      <c r="CCQ3" s="74"/>
      <c r="CCR3" s="74"/>
      <c r="CCS3" s="74"/>
      <c r="CCT3" s="74"/>
      <c r="CCU3" s="74"/>
      <c r="CCV3" s="74"/>
      <c r="CCW3" s="74"/>
      <c r="CCX3" s="74"/>
      <c r="CCY3" s="74"/>
      <c r="CCZ3" s="74"/>
      <c r="CDA3" s="74"/>
      <c r="CDB3" s="74"/>
      <c r="CDC3" s="74"/>
      <c r="CDD3" s="74"/>
      <c r="CDE3" s="74"/>
      <c r="CDF3" s="74"/>
      <c r="CDG3" s="74"/>
      <c r="CDH3" s="74"/>
      <c r="CDI3" s="74"/>
      <c r="CDJ3" s="74"/>
      <c r="CDK3" s="74"/>
      <c r="CDL3" s="74"/>
      <c r="CDM3" s="74"/>
      <c r="CDN3" s="74"/>
      <c r="CDO3" s="74"/>
      <c r="CDP3" s="74"/>
      <c r="CDQ3" s="74"/>
      <c r="CDR3" s="74"/>
      <c r="CDS3" s="74"/>
      <c r="CDT3" s="74"/>
      <c r="CDU3" s="74"/>
      <c r="CDV3" s="74"/>
      <c r="CDW3" s="74"/>
      <c r="CDX3" s="74"/>
      <c r="CDY3" s="74"/>
      <c r="CDZ3" s="74"/>
      <c r="CEA3" s="74"/>
      <c r="CEB3" s="74"/>
      <c r="CEC3" s="74"/>
      <c r="CED3" s="74"/>
      <c r="CEE3" s="74"/>
      <c r="CEF3" s="74"/>
      <c r="CEG3" s="74"/>
      <c r="CEH3" s="74"/>
      <c r="CEI3" s="74"/>
      <c r="CEJ3" s="74"/>
      <c r="CEK3" s="74"/>
      <c r="CEL3" s="74"/>
      <c r="CEM3" s="74"/>
      <c r="CEN3" s="74"/>
      <c r="CEO3" s="74"/>
      <c r="CEP3" s="74"/>
      <c r="CEQ3" s="74"/>
      <c r="CER3" s="74"/>
      <c r="CES3" s="74"/>
      <c r="CET3" s="74"/>
      <c r="CEU3" s="74"/>
      <c r="CEV3" s="74"/>
      <c r="CEW3" s="74"/>
      <c r="CEX3" s="74"/>
      <c r="CEY3" s="74"/>
      <c r="CEZ3" s="74"/>
      <c r="CFA3" s="74"/>
      <c r="CFB3" s="74"/>
      <c r="CFC3" s="74"/>
      <c r="CFD3" s="74"/>
      <c r="CFE3" s="74"/>
      <c r="CFF3" s="74"/>
      <c r="CFG3" s="74"/>
      <c r="CFH3" s="74"/>
      <c r="CFI3" s="74"/>
      <c r="CFJ3" s="74"/>
      <c r="CFK3" s="74"/>
      <c r="CFL3" s="74"/>
      <c r="CFM3" s="74"/>
      <c r="CFN3" s="74"/>
      <c r="CFO3" s="74"/>
      <c r="CFP3" s="74"/>
      <c r="CFQ3" s="74"/>
      <c r="CFR3" s="74"/>
      <c r="CFS3" s="74"/>
      <c r="CFT3" s="74"/>
      <c r="CFU3" s="74"/>
      <c r="CFV3" s="74"/>
      <c r="CFW3" s="74"/>
      <c r="CFX3" s="74"/>
      <c r="CFY3" s="74"/>
      <c r="CFZ3" s="74"/>
      <c r="CGA3" s="74"/>
      <c r="CGB3" s="74"/>
      <c r="CGC3" s="74"/>
      <c r="CGD3" s="74"/>
      <c r="CGE3" s="74"/>
      <c r="CGF3" s="74"/>
      <c r="CGG3" s="74"/>
      <c r="CGH3" s="74"/>
      <c r="CGI3" s="74"/>
      <c r="CGJ3" s="74"/>
      <c r="CGK3" s="74"/>
      <c r="CGL3" s="74"/>
      <c r="CGM3" s="74"/>
      <c r="CGN3" s="74"/>
      <c r="CGO3" s="74"/>
      <c r="CGP3" s="74"/>
      <c r="CGQ3" s="74"/>
      <c r="CGR3" s="74"/>
      <c r="CGS3" s="74"/>
      <c r="CGT3" s="74"/>
      <c r="CGU3" s="74"/>
      <c r="CGV3" s="74"/>
      <c r="CGW3" s="74"/>
      <c r="CGX3" s="74"/>
      <c r="CGY3" s="74"/>
      <c r="CGZ3" s="74"/>
      <c r="CHA3" s="74"/>
      <c r="CHB3" s="74"/>
      <c r="CHC3" s="74"/>
      <c r="CHD3" s="74"/>
      <c r="CHE3" s="74"/>
      <c r="CHF3" s="74"/>
      <c r="CHG3" s="74"/>
      <c r="CHH3" s="74"/>
      <c r="CHI3" s="74"/>
      <c r="CHJ3" s="74"/>
      <c r="CHK3" s="74"/>
      <c r="CHL3" s="74"/>
      <c r="CHM3" s="74"/>
      <c r="CHN3" s="74"/>
      <c r="CHO3" s="74"/>
      <c r="CHP3" s="74"/>
      <c r="CHQ3" s="74"/>
      <c r="CHR3" s="74"/>
      <c r="CHS3" s="74"/>
      <c r="CHT3" s="74"/>
      <c r="CHU3" s="74"/>
      <c r="CHV3" s="74"/>
      <c r="CHW3" s="74"/>
      <c r="CHX3" s="74"/>
      <c r="CHY3" s="74"/>
      <c r="CHZ3" s="74"/>
      <c r="CIA3" s="74"/>
      <c r="CIB3" s="74"/>
      <c r="CIC3" s="74"/>
      <c r="CID3" s="74"/>
      <c r="CIE3" s="74"/>
      <c r="CIF3" s="74"/>
      <c r="CIG3" s="74"/>
      <c r="CIH3" s="74"/>
      <c r="CII3" s="74"/>
      <c r="CIJ3" s="74"/>
      <c r="CIK3" s="74"/>
      <c r="CIL3" s="74"/>
      <c r="CIM3" s="74"/>
      <c r="CIN3" s="74"/>
      <c r="CIO3" s="74"/>
      <c r="CIP3" s="74"/>
      <c r="CIQ3" s="74"/>
      <c r="CIR3" s="74"/>
      <c r="CIS3" s="74"/>
      <c r="CIT3" s="74"/>
      <c r="CIU3" s="74"/>
      <c r="CIV3" s="74"/>
      <c r="CIW3" s="74"/>
      <c r="CIX3" s="74"/>
      <c r="CIY3" s="74"/>
      <c r="CIZ3" s="74"/>
      <c r="CJA3" s="74"/>
      <c r="CJB3" s="74"/>
      <c r="CJC3" s="74"/>
      <c r="CJD3" s="74"/>
      <c r="CJE3" s="74"/>
      <c r="CJF3" s="74"/>
      <c r="CJG3" s="74"/>
      <c r="CJH3" s="74"/>
      <c r="CJI3" s="74"/>
      <c r="CJJ3" s="74"/>
      <c r="CJK3" s="74"/>
      <c r="CJL3" s="74"/>
      <c r="CJM3" s="74"/>
      <c r="CJN3" s="74"/>
      <c r="CJO3" s="74"/>
      <c r="CJP3" s="74"/>
      <c r="CJQ3" s="74"/>
      <c r="CJR3" s="74"/>
      <c r="CJS3" s="74"/>
      <c r="CJT3" s="74"/>
      <c r="CJU3" s="74"/>
      <c r="CJV3" s="74"/>
      <c r="CJW3" s="74"/>
      <c r="CJX3" s="74"/>
      <c r="CJY3" s="74"/>
      <c r="CJZ3" s="74"/>
      <c r="CKA3" s="74"/>
      <c r="CKB3" s="74"/>
      <c r="CKC3" s="74"/>
      <c r="CKD3" s="74"/>
      <c r="CKE3" s="74"/>
      <c r="CKF3" s="74"/>
      <c r="CKG3" s="74"/>
      <c r="CKH3" s="74"/>
      <c r="CKI3" s="74"/>
      <c r="CKJ3" s="74"/>
      <c r="CKK3" s="74"/>
      <c r="CKL3" s="74"/>
      <c r="CKM3" s="74"/>
      <c r="CKN3" s="74"/>
      <c r="CKO3" s="74"/>
      <c r="CKP3" s="74"/>
      <c r="CKQ3" s="74"/>
      <c r="CKR3" s="74"/>
      <c r="CKS3" s="74"/>
      <c r="CKT3" s="74"/>
      <c r="CKU3" s="74"/>
      <c r="CKV3" s="74"/>
      <c r="CKW3" s="74"/>
      <c r="CKX3" s="74"/>
      <c r="CKY3" s="74"/>
      <c r="CKZ3" s="74"/>
      <c r="CLA3" s="74"/>
      <c r="CLB3" s="74"/>
      <c r="CLC3" s="74"/>
      <c r="CLD3" s="74"/>
      <c r="CLE3" s="74"/>
      <c r="CLF3" s="74"/>
      <c r="CLG3" s="74"/>
      <c r="CLH3" s="74"/>
      <c r="CLI3" s="74"/>
      <c r="CLJ3" s="74"/>
      <c r="CLK3" s="74"/>
      <c r="CLL3" s="74"/>
      <c r="CLM3" s="74"/>
      <c r="CLN3" s="74"/>
      <c r="CLO3" s="74"/>
      <c r="CLP3" s="74"/>
      <c r="CLQ3" s="74"/>
      <c r="CLR3" s="74"/>
      <c r="CLS3" s="74"/>
      <c r="CLT3" s="74"/>
      <c r="CLU3" s="74"/>
      <c r="CLV3" s="74"/>
      <c r="CLW3" s="74"/>
      <c r="CLX3" s="74"/>
      <c r="CLY3" s="74"/>
      <c r="CLZ3" s="74"/>
      <c r="CMA3" s="74"/>
      <c r="CMB3" s="74"/>
      <c r="CMC3" s="74"/>
      <c r="CMD3" s="74"/>
      <c r="CME3" s="74"/>
      <c r="CMF3" s="74"/>
      <c r="CMG3" s="74"/>
      <c r="CMH3" s="74"/>
      <c r="CMI3" s="74"/>
      <c r="CMJ3" s="74"/>
      <c r="CMK3" s="74"/>
      <c r="CML3" s="74"/>
      <c r="CMM3" s="74"/>
      <c r="CMN3" s="74"/>
      <c r="CMO3" s="74"/>
      <c r="CMP3" s="74"/>
      <c r="CMQ3" s="74"/>
      <c r="CMR3" s="74"/>
      <c r="CMS3" s="74"/>
      <c r="CMT3" s="74"/>
      <c r="CMU3" s="74"/>
      <c r="CMV3" s="74"/>
      <c r="CMW3" s="74"/>
      <c r="CMX3" s="74"/>
      <c r="CMY3" s="74"/>
      <c r="CMZ3" s="74"/>
      <c r="CNA3" s="74"/>
      <c r="CNB3" s="74"/>
      <c r="CNC3" s="74"/>
      <c r="CND3" s="74"/>
      <c r="CNE3" s="74"/>
      <c r="CNF3" s="74"/>
      <c r="CNG3" s="74"/>
      <c r="CNH3" s="74"/>
      <c r="CNI3" s="74"/>
      <c r="CNJ3" s="74"/>
      <c r="CNK3" s="74"/>
      <c r="CNL3" s="74"/>
      <c r="CNM3" s="74"/>
      <c r="CNN3" s="74"/>
      <c r="CNO3" s="74"/>
      <c r="CNP3" s="74"/>
      <c r="CNQ3" s="74"/>
      <c r="CNR3" s="74"/>
      <c r="CNS3" s="74"/>
      <c r="CNT3" s="74"/>
      <c r="CNU3" s="74"/>
      <c r="CNV3" s="74"/>
      <c r="CNW3" s="74"/>
      <c r="CNX3" s="74"/>
      <c r="CNY3" s="74"/>
      <c r="CNZ3" s="74"/>
      <c r="COA3" s="74"/>
      <c r="COB3" s="74"/>
      <c r="COC3" s="74"/>
      <c r="COD3" s="74"/>
      <c r="COE3" s="74"/>
      <c r="COF3" s="74"/>
      <c r="COG3" s="74"/>
      <c r="COH3" s="74"/>
      <c r="COI3" s="74"/>
      <c r="COJ3" s="74"/>
      <c r="COK3" s="74"/>
      <c r="COL3" s="74"/>
      <c r="COM3" s="74"/>
      <c r="CON3" s="74"/>
      <c r="COO3" s="74"/>
      <c r="COP3" s="74"/>
      <c r="COQ3" s="74"/>
      <c r="COR3" s="74"/>
      <c r="COS3" s="74"/>
      <c r="COT3" s="74"/>
      <c r="COU3" s="74"/>
      <c r="COV3" s="74"/>
      <c r="COW3" s="74"/>
      <c r="COX3" s="74"/>
      <c r="COY3" s="74"/>
      <c r="COZ3" s="74"/>
      <c r="CPA3" s="74"/>
      <c r="CPB3" s="74"/>
      <c r="CPC3" s="74"/>
      <c r="CPD3" s="74"/>
      <c r="CPE3" s="74"/>
      <c r="CPF3" s="74"/>
      <c r="CPG3" s="74"/>
      <c r="CPH3" s="74"/>
      <c r="CPI3" s="74"/>
      <c r="CPJ3" s="74"/>
      <c r="CPK3" s="74"/>
      <c r="CPL3" s="74"/>
      <c r="CPM3" s="74"/>
      <c r="CPN3" s="74"/>
      <c r="CPO3" s="74"/>
      <c r="CPP3" s="74"/>
      <c r="CPQ3" s="74"/>
      <c r="CPR3" s="74"/>
      <c r="CPS3" s="74"/>
      <c r="CPT3" s="74"/>
      <c r="CPU3" s="74"/>
      <c r="CPV3" s="74"/>
      <c r="CPW3" s="74"/>
      <c r="CPX3" s="74"/>
      <c r="CPY3" s="74"/>
      <c r="CPZ3" s="74"/>
      <c r="CQA3" s="74"/>
      <c r="CQB3" s="74"/>
      <c r="CQC3" s="74"/>
      <c r="CQD3" s="74"/>
      <c r="CQE3" s="74"/>
      <c r="CQF3" s="74"/>
      <c r="CQG3" s="74"/>
      <c r="CQH3" s="74"/>
      <c r="CQI3" s="74"/>
      <c r="CQJ3" s="74"/>
      <c r="CQK3" s="74"/>
      <c r="CQL3" s="74"/>
      <c r="CQM3" s="74"/>
      <c r="CQN3" s="74"/>
      <c r="CQO3" s="74"/>
      <c r="CQP3" s="74"/>
      <c r="CQQ3" s="74"/>
      <c r="CQR3" s="74"/>
      <c r="CQS3" s="74"/>
      <c r="CQT3" s="74"/>
      <c r="CQU3" s="74"/>
      <c r="CQV3" s="74"/>
      <c r="CQW3" s="74"/>
      <c r="CQX3" s="74"/>
      <c r="CQY3" s="74"/>
      <c r="CQZ3" s="74"/>
      <c r="CRA3" s="74"/>
      <c r="CRB3" s="74"/>
      <c r="CRC3" s="74"/>
      <c r="CRD3" s="74"/>
      <c r="CRE3" s="74"/>
      <c r="CRF3" s="74"/>
      <c r="CRG3" s="74"/>
      <c r="CRH3" s="74"/>
      <c r="CRI3" s="74"/>
      <c r="CRJ3" s="74"/>
      <c r="CRK3" s="74"/>
      <c r="CRL3" s="74"/>
      <c r="CRM3" s="74"/>
      <c r="CRN3" s="74"/>
      <c r="CRO3" s="74"/>
      <c r="CRP3" s="74"/>
      <c r="CRQ3" s="74"/>
      <c r="CRR3" s="74"/>
      <c r="CRS3" s="74"/>
      <c r="CRT3" s="74"/>
      <c r="CRU3" s="74"/>
      <c r="CRV3" s="74"/>
      <c r="CRW3" s="74"/>
      <c r="CRX3" s="74"/>
      <c r="CRY3" s="74"/>
      <c r="CRZ3" s="74"/>
      <c r="CSA3" s="74"/>
      <c r="CSB3" s="74"/>
      <c r="CSC3" s="74"/>
      <c r="CSD3" s="74"/>
      <c r="CSE3" s="74"/>
      <c r="CSF3" s="74"/>
      <c r="CSG3" s="74"/>
      <c r="CSH3" s="74"/>
      <c r="CSI3" s="74"/>
      <c r="CSJ3" s="74"/>
      <c r="CSK3" s="74"/>
      <c r="CSL3" s="74"/>
      <c r="CSM3" s="74"/>
      <c r="CSN3" s="74"/>
      <c r="CSO3" s="74"/>
      <c r="CSP3" s="74"/>
      <c r="CSQ3" s="74"/>
      <c r="CSR3" s="74"/>
      <c r="CSS3" s="74"/>
      <c r="CST3" s="74"/>
      <c r="CSU3" s="74"/>
      <c r="CSV3" s="74"/>
      <c r="CSW3" s="74"/>
      <c r="CSX3" s="74"/>
      <c r="CSY3" s="74"/>
      <c r="CSZ3" s="74"/>
      <c r="CTA3" s="74"/>
      <c r="CTB3" s="74"/>
      <c r="CTC3" s="74"/>
      <c r="CTD3" s="74"/>
      <c r="CTE3" s="74"/>
      <c r="CTF3" s="74"/>
      <c r="CTG3" s="74"/>
      <c r="CTH3" s="74"/>
      <c r="CTI3" s="74"/>
      <c r="CTJ3" s="74"/>
      <c r="CTK3" s="74"/>
      <c r="CTL3" s="74"/>
      <c r="CTM3" s="74"/>
      <c r="CTN3" s="74"/>
      <c r="CTO3" s="74"/>
      <c r="CTP3" s="74"/>
      <c r="CTQ3" s="74"/>
      <c r="CTR3" s="74"/>
      <c r="CTS3" s="74"/>
      <c r="CTT3" s="74"/>
      <c r="CTU3" s="74"/>
      <c r="CTV3" s="74"/>
      <c r="CTW3" s="74"/>
      <c r="CTX3" s="74"/>
      <c r="CTY3" s="74"/>
      <c r="CTZ3" s="74"/>
      <c r="CUA3" s="74"/>
      <c r="CUB3" s="74"/>
      <c r="CUC3" s="74"/>
      <c r="CUD3" s="74"/>
      <c r="CUE3" s="74"/>
      <c r="CUF3" s="74"/>
      <c r="CUG3" s="74"/>
      <c r="CUH3" s="74"/>
      <c r="CUI3" s="74"/>
      <c r="CUJ3" s="74"/>
      <c r="CUK3" s="74"/>
      <c r="CUL3" s="74"/>
      <c r="CUM3" s="74"/>
      <c r="CUN3" s="74"/>
      <c r="CUO3" s="74"/>
      <c r="CUP3" s="74"/>
      <c r="CUQ3" s="74"/>
      <c r="CUR3" s="74"/>
      <c r="CUS3" s="74"/>
      <c r="CUT3" s="74"/>
      <c r="CUU3" s="74"/>
      <c r="CUV3" s="74"/>
      <c r="CUW3" s="74"/>
      <c r="CUX3" s="74"/>
      <c r="CUY3" s="74"/>
      <c r="CUZ3" s="74"/>
      <c r="CVA3" s="74"/>
      <c r="CVB3" s="74"/>
      <c r="CVC3" s="74"/>
      <c r="CVD3" s="74"/>
      <c r="CVE3" s="74"/>
      <c r="CVF3" s="74"/>
      <c r="CVG3" s="74"/>
      <c r="CVH3" s="74"/>
      <c r="CVI3" s="74"/>
      <c r="CVJ3" s="74"/>
      <c r="CVK3" s="74"/>
      <c r="CVL3" s="74"/>
      <c r="CVM3" s="74"/>
      <c r="CVN3" s="74"/>
      <c r="CVO3" s="74"/>
      <c r="CVP3" s="74"/>
      <c r="CVQ3" s="74"/>
      <c r="CVR3" s="74"/>
      <c r="CVS3" s="74"/>
      <c r="CVT3" s="74"/>
      <c r="CVU3" s="74"/>
      <c r="CVV3" s="74"/>
      <c r="CVW3" s="74"/>
      <c r="CVX3" s="74"/>
      <c r="CVY3" s="74"/>
      <c r="CVZ3" s="74"/>
      <c r="CWA3" s="74"/>
      <c r="CWB3" s="74"/>
      <c r="CWC3" s="74"/>
      <c r="CWD3" s="74"/>
      <c r="CWE3" s="74"/>
      <c r="CWF3" s="74"/>
      <c r="CWG3" s="74"/>
      <c r="CWH3" s="74"/>
      <c r="CWI3" s="74"/>
      <c r="CWJ3" s="74"/>
      <c r="CWK3" s="74"/>
      <c r="CWL3" s="74"/>
      <c r="CWM3" s="74"/>
      <c r="CWN3" s="74"/>
      <c r="CWO3" s="74"/>
      <c r="CWP3" s="74"/>
      <c r="CWQ3" s="74"/>
      <c r="CWR3" s="74"/>
      <c r="CWS3" s="74"/>
      <c r="CWT3" s="74"/>
      <c r="CWU3" s="74"/>
      <c r="CWV3" s="74"/>
      <c r="CWW3" s="74"/>
      <c r="CWX3" s="74"/>
      <c r="CWY3" s="74"/>
      <c r="CWZ3" s="74"/>
      <c r="CXA3" s="74"/>
      <c r="CXB3" s="74"/>
      <c r="CXC3" s="74"/>
      <c r="CXD3" s="74"/>
      <c r="CXE3" s="74"/>
      <c r="CXF3" s="74"/>
      <c r="CXG3" s="74"/>
      <c r="CXH3" s="74"/>
      <c r="CXI3" s="74"/>
      <c r="CXJ3" s="74"/>
      <c r="CXK3" s="74"/>
      <c r="CXL3" s="74"/>
      <c r="CXM3" s="74"/>
      <c r="CXN3" s="74"/>
      <c r="CXO3" s="74"/>
      <c r="CXP3" s="74"/>
      <c r="CXQ3" s="74"/>
      <c r="CXR3" s="74"/>
      <c r="CXS3" s="74"/>
      <c r="CXT3" s="74"/>
      <c r="CXU3" s="74"/>
      <c r="CXV3" s="74"/>
      <c r="CXW3" s="74"/>
      <c r="CXX3" s="74"/>
      <c r="CXY3" s="74"/>
      <c r="CXZ3" s="74"/>
      <c r="CYA3" s="74"/>
      <c r="CYB3" s="74"/>
      <c r="CYC3" s="74"/>
      <c r="CYD3" s="74"/>
      <c r="CYE3" s="74"/>
      <c r="CYF3" s="74"/>
      <c r="CYG3" s="74"/>
      <c r="CYH3" s="74"/>
      <c r="CYI3" s="74"/>
      <c r="CYJ3" s="74"/>
      <c r="CYK3" s="74"/>
      <c r="CYL3" s="74"/>
      <c r="CYM3" s="74"/>
      <c r="CYN3" s="74"/>
      <c r="CYO3" s="74"/>
      <c r="CYP3" s="74"/>
      <c r="CYQ3" s="74"/>
      <c r="CYR3" s="74"/>
      <c r="CYS3" s="74"/>
      <c r="CYT3" s="74"/>
      <c r="CYU3" s="74"/>
      <c r="CYV3" s="74"/>
      <c r="CYW3" s="74"/>
      <c r="CYX3" s="74"/>
      <c r="CYY3" s="74"/>
      <c r="CYZ3" s="74"/>
      <c r="CZA3" s="74"/>
      <c r="CZB3" s="74"/>
      <c r="CZC3" s="74"/>
      <c r="CZD3" s="74"/>
      <c r="CZE3" s="74"/>
      <c r="CZF3" s="74"/>
      <c r="CZG3" s="74"/>
      <c r="CZH3" s="74"/>
      <c r="CZI3" s="74"/>
      <c r="CZJ3" s="74"/>
      <c r="CZK3" s="74"/>
      <c r="CZL3" s="74"/>
      <c r="CZM3" s="74"/>
      <c r="CZN3" s="74"/>
      <c r="CZO3" s="74"/>
      <c r="CZP3" s="74"/>
      <c r="CZQ3" s="74"/>
      <c r="CZR3" s="74"/>
      <c r="CZS3" s="74"/>
      <c r="CZT3" s="74"/>
      <c r="CZU3" s="74"/>
      <c r="CZV3" s="74"/>
      <c r="CZW3" s="74"/>
      <c r="CZX3" s="74"/>
      <c r="CZY3" s="74"/>
      <c r="CZZ3" s="74"/>
      <c r="DAA3" s="74"/>
      <c r="DAB3" s="74"/>
      <c r="DAC3" s="74"/>
      <c r="DAD3" s="74"/>
      <c r="DAE3" s="74"/>
      <c r="DAF3" s="74"/>
      <c r="DAG3" s="74"/>
      <c r="DAH3" s="74"/>
      <c r="DAI3" s="74"/>
      <c r="DAJ3" s="74"/>
      <c r="DAK3" s="74"/>
      <c r="DAL3" s="74"/>
      <c r="DAM3" s="74"/>
      <c r="DAN3" s="74"/>
      <c r="DAO3" s="74"/>
      <c r="DAP3" s="74"/>
      <c r="DAQ3" s="74"/>
      <c r="DAR3" s="74"/>
      <c r="DAS3" s="74"/>
      <c r="DAT3" s="74"/>
      <c r="DAU3" s="74"/>
      <c r="DAV3" s="74"/>
      <c r="DAW3" s="74"/>
      <c r="DAX3" s="74"/>
      <c r="DAY3" s="74"/>
      <c r="DAZ3" s="74"/>
      <c r="DBA3" s="74"/>
      <c r="DBB3" s="74"/>
      <c r="DBC3" s="74"/>
      <c r="DBD3" s="74"/>
      <c r="DBE3" s="74"/>
      <c r="DBF3" s="74"/>
      <c r="DBG3" s="74"/>
      <c r="DBH3" s="74"/>
      <c r="DBI3" s="74"/>
      <c r="DBJ3" s="74"/>
      <c r="DBK3" s="74"/>
      <c r="DBL3" s="74"/>
      <c r="DBM3" s="74"/>
      <c r="DBN3" s="74"/>
      <c r="DBO3" s="74"/>
      <c r="DBP3" s="74"/>
      <c r="DBQ3" s="74"/>
      <c r="DBR3" s="74"/>
      <c r="DBS3" s="74"/>
      <c r="DBT3" s="74"/>
      <c r="DBU3" s="74"/>
      <c r="DBV3" s="74"/>
      <c r="DBW3" s="74"/>
      <c r="DBX3" s="74"/>
      <c r="DBY3" s="74"/>
      <c r="DBZ3" s="74"/>
      <c r="DCA3" s="74"/>
      <c r="DCB3" s="74"/>
      <c r="DCC3" s="74"/>
      <c r="DCD3" s="74"/>
      <c r="DCE3" s="74"/>
      <c r="DCF3" s="74"/>
      <c r="DCG3" s="74"/>
      <c r="DCH3" s="74"/>
      <c r="DCI3" s="74"/>
      <c r="DCJ3" s="74"/>
      <c r="DCK3" s="74"/>
      <c r="DCL3" s="74"/>
      <c r="DCM3" s="74"/>
      <c r="DCN3" s="74"/>
      <c r="DCO3" s="74"/>
      <c r="DCP3" s="74"/>
      <c r="DCQ3" s="74"/>
      <c r="DCR3" s="74"/>
      <c r="DCS3" s="74"/>
      <c r="DCT3" s="74"/>
      <c r="DCU3" s="74"/>
      <c r="DCV3" s="74"/>
      <c r="DCW3" s="74"/>
      <c r="DCX3" s="74"/>
      <c r="DCY3" s="74"/>
      <c r="DCZ3" s="74"/>
      <c r="DDA3" s="74"/>
      <c r="DDB3" s="74"/>
      <c r="DDC3" s="74"/>
      <c r="DDD3" s="74"/>
      <c r="DDE3" s="74"/>
      <c r="DDF3" s="74"/>
      <c r="DDG3" s="74"/>
      <c r="DDH3" s="74"/>
      <c r="DDI3" s="74"/>
      <c r="DDJ3" s="74"/>
      <c r="DDK3" s="74"/>
      <c r="DDL3" s="74"/>
      <c r="DDM3" s="74"/>
      <c r="DDN3" s="74"/>
      <c r="DDO3" s="74"/>
      <c r="DDP3" s="74"/>
      <c r="DDQ3" s="74"/>
      <c r="DDR3" s="74"/>
      <c r="DDS3" s="74"/>
      <c r="DDT3" s="74"/>
      <c r="DDU3" s="74"/>
      <c r="DDV3" s="74"/>
      <c r="DDW3" s="74"/>
      <c r="DDX3" s="74"/>
      <c r="DDY3" s="74"/>
      <c r="DDZ3" s="74"/>
      <c r="DEA3" s="74"/>
      <c r="DEB3" s="74"/>
      <c r="DEC3" s="74"/>
      <c r="DED3" s="74"/>
      <c r="DEE3" s="74"/>
      <c r="DEF3" s="74"/>
      <c r="DEG3" s="74"/>
      <c r="DEH3" s="74"/>
      <c r="DEI3" s="74"/>
      <c r="DEJ3" s="74"/>
      <c r="DEK3" s="74"/>
      <c r="DEL3" s="74"/>
      <c r="DEM3" s="74"/>
      <c r="DEN3" s="74"/>
      <c r="DEO3" s="74"/>
      <c r="DEP3" s="74"/>
      <c r="DEQ3" s="74"/>
      <c r="DER3" s="74"/>
      <c r="DES3" s="74"/>
      <c r="DET3" s="74"/>
      <c r="DEU3" s="74"/>
      <c r="DEV3" s="74"/>
      <c r="DEW3" s="74"/>
      <c r="DEX3" s="74"/>
      <c r="DEY3" s="74"/>
      <c r="DEZ3" s="74"/>
      <c r="DFA3" s="74"/>
      <c r="DFB3" s="74"/>
      <c r="DFC3" s="74"/>
      <c r="DFD3" s="74"/>
      <c r="DFE3" s="74"/>
      <c r="DFF3" s="74"/>
      <c r="DFG3" s="74"/>
      <c r="DFH3" s="74"/>
      <c r="DFI3" s="74"/>
      <c r="DFJ3" s="74"/>
      <c r="DFK3" s="74"/>
      <c r="DFL3" s="74"/>
      <c r="DFM3" s="74"/>
      <c r="DFN3" s="74"/>
      <c r="DFO3" s="74"/>
      <c r="DFP3" s="74"/>
      <c r="DFQ3" s="74"/>
      <c r="DFR3" s="74"/>
      <c r="DFS3" s="74"/>
      <c r="DFT3" s="74"/>
      <c r="DFU3" s="74"/>
      <c r="DFV3" s="74"/>
      <c r="DFW3" s="74"/>
      <c r="DFX3" s="74"/>
      <c r="DFY3" s="74"/>
      <c r="DFZ3" s="74"/>
      <c r="DGA3" s="74"/>
      <c r="DGB3" s="74"/>
      <c r="DGC3" s="74"/>
      <c r="DGD3" s="74"/>
      <c r="DGE3" s="74"/>
      <c r="DGF3" s="74"/>
      <c r="DGG3" s="74"/>
      <c r="DGH3" s="74"/>
      <c r="DGI3" s="74"/>
      <c r="DGJ3" s="74"/>
      <c r="DGK3" s="74"/>
      <c r="DGL3" s="74"/>
      <c r="DGM3" s="74"/>
      <c r="DGN3" s="74"/>
      <c r="DGO3" s="74"/>
      <c r="DGP3" s="74"/>
      <c r="DGQ3" s="74"/>
      <c r="DGR3" s="74"/>
      <c r="DGS3" s="74"/>
      <c r="DGT3" s="74"/>
      <c r="DGU3" s="74"/>
      <c r="DGV3" s="74"/>
      <c r="DGW3" s="74"/>
      <c r="DGX3" s="74"/>
      <c r="DGY3" s="74"/>
      <c r="DGZ3" s="74"/>
      <c r="DHA3" s="74"/>
      <c r="DHB3" s="74"/>
      <c r="DHC3" s="74"/>
      <c r="DHD3" s="74"/>
      <c r="DHE3" s="74"/>
      <c r="DHF3" s="74"/>
      <c r="DHG3" s="74"/>
      <c r="DHH3" s="74"/>
      <c r="DHI3" s="74"/>
      <c r="DHJ3" s="74"/>
      <c r="DHK3" s="74"/>
      <c r="DHL3" s="74"/>
      <c r="DHM3" s="74"/>
      <c r="DHN3" s="74"/>
      <c r="DHO3" s="74"/>
      <c r="DHP3" s="74"/>
      <c r="DHQ3" s="74"/>
      <c r="DHR3" s="74"/>
      <c r="DHS3" s="74"/>
      <c r="DHT3" s="74"/>
      <c r="DHU3" s="74"/>
      <c r="DHV3" s="74"/>
      <c r="DHW3" s="74"/>
      <c r="DHX3" s="74"/>
      <c r="DHY3" s="74"/>
      <c r="DHZ3" s="74"/>
      <c r="DIA3" s="74"/>
      <c r="DIB3" s="74"/>
      <c r="DIC3" s="74"/>
      <c r="DID3" s="74"/>
      <c r="DIE3" s="74"/>
      <c r="DIF3" s="74"/>
      <c r="DIG3" s="74"/>
      <c r="DIH3" s="74"/>
      <c r="DII3" s="74"/>
      <c r="DIJ3" s="74"/>
      <c r="DIK3" s="74"/>
      <c r="DIL3" s="74"/>
      <c r="DIM3" s="74"/>
      <c r="DIN3" s="74"/>
      <c r="DIO3" s="74"/>
      <c r="DIP3" s="74"/>
      <c r="DIQ3" s="74"/>
      <c r="DIR3" s="74"/>
      <c r="DIS3" s="74"/>
      <c r="DIT3" s="74"/>
      <c r="DIU3" s="74"/>
      <c r="DIV3" s="74"/>
      <c r="DIW3" s="74"/>
      <c r="DIX3" s="74"/>
      <c r="DIY3" s="74"/>
      <c r="DIZ3" s="74"/>
      <c r="DJA3" s="74"/>
      <c r="DJB3" s="74"/>
      <c r="DJC3" s="74"/>
      <c r="DJD3" s="74"/>
      <c r="DJE3" s="74"/>
      <c r="DJF3" s="74"/>
      <c r="DJG3" s="74"/>
      <c r="DJH3" s="74"/>
      <c r="DJI3" s="74"/>
      <c r="DJJ3" s="74"/>
      <c r="DJK3" s="74"/>
      <c r="DJL3" s="74"/>
      <c r="DJM3" s="74"/>
      <c r="DJN3" s="74"/>
      <c r="DJO3" s="74"/>
      <c r="DJP3" s="74"/>
      <c r="DJQ3" s="74"/>
      <c r="DJR3" s="74"/>
      <c r="DJS3" s="74"/>
      <c r="DJT3" s="74"/>
      <c r="DJU3" s="74"/>
      <c r="DJV3" s="74"/>
      <c r="DJW3" s="74"/>
      <c r="DJX3" s="74"/>
      <c r="DJY3" s="74"/>
      <c r="DJZ3" s="74"/>
      <c r="DKA3" s="74"/>
      <c r="DKB3" s="74"/>
      <c r="DKC3" s="74"/>
      <c r="DKD3" s="74"/>
      <c r="DKE3" s="74"/>
      <c r="DKF3" s="74"/>
      <c r="DKG3" s="74"/>
      <c r="DKH3" s="74"/>
      <c r="DKI3" s="74"/>
      <c r="DKJ3" s="74"/>
      <c r="DKK3" s="74"/>
      <c r="DKL3" s="74"/>
      <c r="DKM3" s="74"/>
      <c r="DKN3" s="74"/>
      <c r="DKO3" s="74"/>
      <c r="DKP3" s="74"/>
      <c r="DKQ3" s="74"/>
      <c r="DKR3" s="74"/>
      <c r="DKS3" s="74"/>
      <c r="DKT3" s="74"/>
      <c r="DKU3" s="74"/>
      <c r="DKV3" s="74"/>
      <c r="DKW3" s="74"/>
      <c r="DKX3" s="74"/>
      <c r="DKY3" s="74"/>
      <c r="DKZ3" s="74"/>
      <c r="DLA3" s="74"/>
      <c r="DLB3" s="74"/>
      <c r="DLC3" s="74"/>
      <c r="DLD3" s="74"/>
      <c r="DLE3" s="74"/>
      <c r="DLF3" s="74"/>
      <c r="DLG3" s="74"/>
      <c r="DLH3" s="74"/>
      <c r="DLI3" s="74"/>
      <c r="DLJ3" s="74"/>
      <c r="DLK3" s="74"/>
      <c r="DLL3" s="74"/>
      <c r="DLM3" s="74"/>
      <c r="DLN3" s="74"/>
      <c r="DLO3" s="74"/>
      <c r="DLP3" s="74"/>
      <c r="DLQ3" s="74"/>
      <c r="DLR3" s="74"/>
      <c r="DLS3" s="74"/>
      <c r="DLT3" s="74"/>
      <c r="DLU3" s="74"/>
      <c r="DLV3" s="74"/>
      <c r="DLW3" s="74"/>
      <c r="DLX3" s="74"/>
      <c r="DLY3" s="74"/>
      <c r="DLZ3" s="74"/>
      <c r="DMA3" s="74"/>
      <c r="DMB3" s="74"/>
      <c r="DMC3" s="74"/>
      <c r="DMD3" s="74"/>
      <c r="DME3" s="74"/>
      <c r="DMF3" s="74"/>
      <c r="DMG3" s="74"/>
      <c r="DMH3" s="74"/>
      <c r="DMI3" s="74"/>
      <c r="DMJ3" s="74"/>
      <c r="DMK3" s="74"/>
      <c r="DML3" s="74"/>
      <c r="DMM3" s="74"/>
      <c r="DMN3" s="74"/>
      <c r="DMO3" s="74"/>
      <c r="DMP3" s="74"/>
      <c r="DMQ3" s="74"/>
      <c r="DMR3" s="74"/>
      <c r="DMS3" s="74"/>
      <c r="DMT3" s="74"/>
      <c r="DMU3" s="74"/>
      <c r="DMV3" s="74"/>
      <c r="DMW3" s="74"/>
      <c r="DMX3" s="74"/>
      <c r="DMY3" s="74"/>
      <c r="DMZ3" s="74"/>
      <c r="DNA3" s="74"/>
      <c r="DNB3" s="74"/>
      <c r="DNC3" s="74"/>
      <c r="DND3" s="74"/>
      <c r="DNE3" s="74"/>
      <c r="DNF3" s="74"/>
      <c r="DNG3" s="74"/>
      <c r="DNH3" s="74"/>
      <c r="DNI3" s="74"/>
      <c r="DNJ3" s="74"/>
      <c r="DNK3" s="74"/>
      <c r="DNL3" s="74"/>
      <c r="DNM3" s="74"/>
      <c r="DNN3" s="74"/>
      <c r="DNO3" s="74"/>
      <c r="DNP3" s="74"/>
      <c r="DNQ3" s="74"/>
      <c r="DNR3" s="74"/>
      <c r="DNS3" s="74"/>
      <c r="DNT3" s="74"/>
      <c r="DNU3" s="74"/>
      <c r="DNV3" s="74"/>
      <c r="DNW3" s="74"/>
      <c r="DNX3" s="74"/>
      <c r="DNY3" s="74"/>
      <c r="DNZ3" s="74"/>
      <c r="DOA3" s="74"/>
      <c r="DOB3" s="74"/>
      <c r="DOC3" s="74"/>
      <c r="DOD3" s="74"/>
      <c r="DOE3" s="74"/>
      <c r="DOF3" s="74"/>
      <c r="DOG3" s="74"/>
      <c r="DOH3" s="74"/>
      <c r="DOI3" s="74"/>
      <c r="DOJ3" s="74"/>
      <c r="DOK3" s="74"/>
      <c r="DOL3" s="74"/>
      <c r="DOM3" s="74"/>
      <c r="DON3" s="74"/>
      <c r="DOO3" s="74"/>
      <c r="DOP3" s="74"/>
      <c r="DOQ3" s="74"/>
      <c r="DOR3" s="74"/>
      <c r="DOS3" s="74"/>
      <c r="DOT3" s="74"/>
      <c r="DOU3" s="74"/>
      <c r="DOV3" s="74"/>
      <c r="DOW3" s="74"/>
      <c r="DOX3" s="74"/>
      <c r="DOY3" s="74"/>
      <c r="DOZ3" s="74"/>
      <c r="DPA3" s="74"/>
      <c r="DPB3" s="74"/>
      <c r="DPC3" s="74"/>
      <c r="DPD3" s="74"/>
      <c r="DPE3" s="74"/>
      <c r="DPF3" s="74"/>
      <c r="DPG3" s="74"/>
      <c r="DPH3" s="74"/>
      <c r="DPI3" s="74"/>
      <c r="DPJ3" s="74"/>
      <c r="DPK3" s="74"/>
      <c r="DPL3" s="74"/>
      <c r="DPM3" s="74"/>
      <c r="DPN3" s="74"/>
      <c r="DPO3" s="74"/>
      <c r="DPP3" s="74"/>
      <c r="DPQ3" s="74"/>
      <c r="DPR3" s="74"/>
      <c r="DPS3" s="74"/>
      <c r="DPT3" s="74"/>
      <c r="DPU3" s="74"/>
      <c r="DPV3" s="74"/>
      <c r="DPW3" s="74"/>
      <c r="DPX3" s="74"/>
      <c r="DPY3" s="74"/>
      <c r="DPZ3" s="74"/>
      <c r="DQA3" s="74"/>
      <c r="DQB3" s="74"/>
      <c r="DQC3" s="74"/>
      <c r="DQD3" s="74"/>
      <c r="DQE3" s="74"/>
      <c r="DQF3" s="74"/>
      <c r="DQG3" s="74"/>
      <c r="DQH3" s="74"/>
      <c r="DQI3" s="74"/>
      <c r="DQJ3" s="74"/>
      <c r="DQK3" s="74"/>
      <c r="DQL3" s="74"/>
      <c r="DQM3" s="74"/>
      <c r="DQN3" s="74"/>
      <c r="DQO3" s="74"/>
      <c r="DQP3" s="74"/>
      <c r="DQQ3" s="74"/>
      <c r="DQR3" s="74"/>
      <c r="DQS3" s="74"/>
      <c r="DQT3" s="74"/>
      <c r="DQU3" s="74"/>
      <c r="DQV3" s="74"/>
      <c r="DQW3" s="74"/>
      <c r="DQX3" s="74"/>
      <c r="DQY3" s="74"/>
      <c r="DQZ3" s="74"/>
      <c r="DRA3" s="74"/>
      <c r="DRB3" s="74"/>
      <c r="DRC3" s="74"/>
      <c r="DRD3" s="74"/>
      <c r="DRE3" s="74"/>
      <c r="DRF3" s="74"/>
      <c r="DRG3" s="74"/>
      <c r="DRH3" s="74"/>
      <c r="DRI3" s="74"/>
      <c r="DRJ3" s="74"/>
      <c r="DRK3" s="74"/>
      <c r="DRL3" s="74"/>
      <c r="DRM3" s="74"/>
      <c r="DRN3" s="74"/>
      <c r="DRO3" s="74"/>
      <c r="DRP3" s="74"/>
      <c r="DRQ3" s="74"/>
      <c r="DRR3" s="74"/>
      <c r="DRS3" s="74"/>
      <c r="DRT3" s="74"/>
      <c r="DRU3" s="74"/>
      <c r="DRV3" s="74"/>
      <c r="DRW3" s="74"/>
      <c r="DRX3" s="74"/>
      <c r="DRY3" s="74"/>
      <c r="DRZ3" s="74"/>
      <c r="DSA3" s="74"/>
      <c r="DSB3" s="74"/>
      <c r="DSC3" s="74"/>
      <c r="DSD3" s="74"/>
      <c r="DSE3" s="74"/>
      <c r="DSF3" s="74"/>
      <c r="DSG3" s="74"/>
      <c r="DSH3" s="74"/>
      <c r="DSI3" s="74"/>
      <c r="DSJ3" s="74"/>
      <c r="DSK3" s="74"/>
      <c r="DSL3" s="74"/>
      <c r="DSM3" s="74"/>
      <c r="DSN3" s="74"/>
      <c r="DSO3" s="74"/>
      <c r="DSP3" s="74"/>
      <c r="DSQ3" s="74"/>
      <c r="DSR3" s="74"/>
      <c r="DSS3" s="74"/>
      <c r="DST3" s="74"/>
      <c r="DSU3" s="74"/>
      <c r="DSV3" s="74"/>
      <c r="DSW3" s="74"/>
      <c r="DSX3" s="74"/>
      <c r="DSY3" s="74"/>
      <c r="DSZ3" s="74"/>
      <c r="DTA3" s="74"/>
      <c r="DTB3" s="74"/>
      <c r="DTC3" s="74"/>
      <c r="DTD3" s="74"/>
      <c r="DTE3" s="74"/>
      <c r="DTF3" s="74"/>
      <c r="DTG3" s="74"/>
      <c r="DTH3" s="74"/>
      <c r="DTI3" s="74"/>
      <c r="DTJ3" s="74"/>
      <c r="DTK3" s="74"/>
      <c r="DTL3" s="74"/>
      <c r="DTM3" s="74"/>
      <c r="DTN3" s="74"/>
      <c r="DTO3" s="74"/>
      <c r="DTP3" s="74"/>
      <c r="DTQ3" s="74"/>
      <c r="DTR3" s="74"/>
      <c r="DTS3" s="74"/>
      <c r="DTT3" s="74"/>
      <c r="DTU3" s="74"/>
      <c r="DTV3" s="74"/>
      <c r="DTW3" s="74"/>
      <c r="DTX3" s="74"/>
      <c r="DTY3" s="74"/>
      <c r="DTZ3" s="74"/>
      <c r="DUA3" s="74"/>
      <c r="DUB3" s="74"/>
      <c r="DUC3" s="74"/>
      <c r="DUD3" s="74"/>
      <c r="DUE3" s="74"/>
      <c r="DUF3" s="74"/>
      <c r="DUG3" s="74"/>
      <c r="DUH3" s="74"/>
      <c r="DUI3" s="74"/>
      <c r="DUJ3" s="74"/>
      <c r="DUK3" s="74"/>
      <c r="DUL3" s="74"/>
      <c r="DUM3" s="74"/>
      <c r="DUN3" s="74"/>
      <c r="DUO3" s="74"/>
      <c r="DUP3" s="74"/>
      <c r="DUQ3" s="74"/>
      <c r="DUR3" s="74"/>
      <c r="DUS3" s="74"/>
      <c r="DUT3" s="74"/>
      <c r="DUU3" s="74"/>
      <c r="DUV3" s="74"/>
      <c r="DUW3" s="74"/>
      <c r="DUX3" s="74"/>
      <c r="DUY3" s="74"/>
      <c r="DUZ3" s="74"/>
      <c r="DVA3" s="74"/>
      <c r="DVB3" s="74"/>
      <c r="DVC3" s="74"/>
      <c r="DVD3" s="74"/>
      <c r="DVE3" s="74"/>
      <c r="DVF3" s="74"/>
      <c r="DVG3" s="74"/>
      <c r="DVH3" s="74"/>
      <c r="DVI3" s="74"/>
      <c r="DVJ3" s="74"/>
      <c r="DVK3" s="74"/>
      <c r="DVL3" s="74"/>
      <c r="DVM3" s="74"/>
      <c r="DVN3" s="74"/>
      <c r="DVO3" s="74"/>
      <c r="DVP3" s="74"/>
      <c r="DVQ3" s="74"/>
      <c r="DVR3" s="74"/>
      <c r="DVS3" s="74"/>
      <c r="DVT3" s="74"/>
      <c r="DVU3" s="74"/>
      <c r="DVV3" s="74"/>
      <c r="DVW3" s="74"/>
      <c r="DVX3" s="74"/>
      <c r="DVY3" s="74"/>
      <c r="DVZ3" s="74"/>
      <c r="DWA3" s="74"/>
      <c r="DWB3" s="74"/>
      <c r="DWC3" s="74"/>
      <c r="DWD3" s="74"/>
      <c r="DWE3" s="74"/>
      <c r="DWF3" s="74"/>
      <c r="DWG3" s="74"/>
      <c r="DWH3" s="74"/>
      <c r="DWI3" s="74"/>
      <c r="DWJ3" s="74"/>
      <c r="DWK3" s="74"/>
      <c r="DWL3" s="74"/>
      <c r="DWM3" s="74"/>
      <c r="DWN3" s="74"/>
      <c r="DWO3" s="74"/>
      <c r="DWP3" s="74"/>
      <c r="DWQ3" s="74"/>
      <c r="DWR3" s="74"/>
      <c r="DWS3" s="74"/>
      <c r="DWT3" s="74"/>
      <c r="DWU3" s="74"/>
      <c r="DWV3" s="74"/>
      <c r="DWW3" s="74"/>
      <c r="DWX3" s="74"/>
      <c r="DWY3" s="74"/>
      <c r="DWZ3" s="74"/>
      <c r="DXA3" s="74"/>
      <c r="DXB3" s="74"/>
      <c r="DXC3" s="74"/>
      <c r="DXD3" s="74"/>
      <c r="DXE3" s="74"/>
      <c r="DXF3" s="74"/>
      <c r="DXG3" s="74"/>
      <c r="DXH3" s="74"/>
      <c r="DXI3" s="74"/>
      <c r="DXJ3" s="74"/>
      <c r="DXK3" s="74"/>
      <c r="DXL3" s="74"/>
      <c r="DXM3" s="74"/>
      <c r="DXN3" s="74"/>
      <c r="DXO3" s="74"/>
      <c r="DXP3" s="74"/>
      <c r="DXQ3" s="74"/>
      <c r="DXR3" s="74"/>
      <c r="DXS3" s="74"/>
      <c r="DXT3" s="74"/>
      <c r="DXU3" s="74"/>
      <c r="DXV3" s="74"/>
      <c r="DXW3" s="74"/>
      <c r="DXX3" s="74"/>
      <c r="DXY3" s="74"/>
      <c r="DXZ3" s="74"/>
      <c r="DYA3" s="74"/>
      <c r="DYB3" s="74"/>
      <c r="DYC3" s="74"/>
      <c r="DYD3" s="74"/>
      <c r="DYE3" s="74"/>
      <c r="DYF3" s="74"/>
      <c r="DYG3" s="74"/>
      <c r="DYH3" s="74"/>
      <c r="DYI3" s="74"/>
      <c r="DYJ3" s="74"/>
      <c r="DYK3" s="74"/>
      <c r="DYL3" s="74"/>
      <c r="DYM3" s="74"/>
      <c r="DYN3" s="74"/>
      <c r="DYO3" s="74"/>
      <c r="DYP3" s="74"/>
      <c r="DYQ3" s="74"/>
      <c r="DYR3" s="74"/>
      <c r="DYS3" s="74"/>
      <c r="DYT3" s="74"/>
      <c r="DYU3" s="74"/>
      <c r="DYV3" s="74"/>
      <c r="DYW3" s="74"/>
      <c r="DYX3" s="74"/>
      <c r="DYY3" s="74"/>
      <c r="DYZ3" s="74"/>
      <c r="DZA3" s="74"/>
      <c r="DZB3" s="74"/>
      <c r="DZC3" s="74"/>
      <c r="DZD3" s="74"/>
      <c r="DZE3" s="74"/>
      <c r="DZF3" s="74"/>
      <c r="DZG3" s="74"/>
      <c r="DZH3" s="74"/>
      <c r="DZI3" s="74"/>
      <c r="DZJ3" s="74"/>
      <c r="DZK3" s="74"/>
      <c r="DZL3" s="74"/>
      <c r="DZM3" s="74"/>
      <c r="DZN3" s="74"/>
      <c r="DZO3" s="74"/>
      <c r="DZP3" s="74"/>
      <c r="DZQ3" s="74"/>
      <c r="DZR3" s="74"/>
      <c r="DZS3" s="74"/>
      <c r="DZT3" s="74"/>
      <c r="DZU3" s="74"/>
      <c r="DZV3" s="74"/>
      <c r="DZW3" s="74"/>
      <c r="DZX3" s="74"/>
      <c r="DZY3" s="74"/>
      <c r="DZZ3" s="74"/>
      <c r="EAA3" s="74"/>
      <c r="EAB3" s="74"/>
      <c r="EAC3" s="74"/>
      <c r="EAD3" s="74"/>
      <c r="EAE3" s="74"/>
      <c r="EAF3" s="74"/>
      <c r="EAG3" s="74"/>
      <c r="EAH3" s="74"/>
      <c r="EAI3" s="74"/>
      <c r="EAJ3" s="74"/>
      <c r="EAK3" s="74"/>
      <c r="EAL3" s="74"/>
      <c r="EAM3" s="74"/>
      <c r="EAN3" s="74"/>
      <c r="EAO3" s="74"/>
      <c r="EAP3" s="74"/>
      <c r="EAQ3" s="74"/>
      <c r="EAR3" s="74"/>
      <c r="EAS3" s="74"/>
      <c r="EAT3" s="74"/>
      <c r="EAU3" s="74"/>
      <c r="EAV3" s="74"/>
      <c r="EAW3" s="74"/>
      <c r="EAX3" s="74"/>
      <c r="EAY3" s="74"/>
      <c r="EAZ3" s="74"/>
      <c r="EBA3" s="74"/>
      <c r="EBB3" s="74"/>
      <c r="EBC3" s="74"/>
      <c r="EBD3" s="74"/>
      <c r="EBE3" s="74"/>
      <c r="EBF3" s="74"/>
      <c r="EBG3" s="74"/>
      <c r="EBH3" s="74"/>
      <c r="EBI3" s="74"/>
      <c r="EBJ3" s="74"/>
      <c r="EBK3" s="74"/>
      <c r="EBL3" s="74"/>
      <c r="EBM3" s="74"/>
      <c r="EBN3" s="74"/>
      <c r="EBO3" s="74"/>
      <c r="EBP3" s="74"/>
      <c r="EBQ3" s="74"/>
      <c r="EBR3" s="74"/>
      <c r="EBS3" s="74"/>
      <c r="EBT3" s="74"/>
      <c r="EBU3" s="74"/>
      <c r="EBV3" s="74"/>
      <c r="EBW3" s="74"/>
      <c r="EBX3" s="74"/>
      <c r="EBY3" s="74"/>
      <c r="EBZ3" s="74"/>
      <c r="ECA3" s="74"/>
      <c r="ECB3" s="74"/>
      <c r="ECC3" s="74"/>
      <c r="ECD3" s="74"/>
      <c r="ECE3" s="74"/>
      <c r="ECF3" s="74"/>
      <c r="ECG3" s="74"/>
      <c r="ECH3" s="74"/>
      <c r="ECI3" s="74"/>
      <c r="ECJ3" s="74"/>
      <c r="ECK3" s="74"/>
      <c r="ECL3" s="74"/>
      <c r="ECM3" s="74"/>
      <c r="ECN3" s="74"/>
      <c r="ECO3" s="74"/>
      <c r="ECP3" s="74"/>
      <c r="ECQ3" s="74"/>
      <c r="ECR3" s="74"/>
      <c r="ECS3" s="74"/>
      <c r="ECT3" s="74"/>
      <c r="ECU3" s="74"/>
      <c r="ECV3" s="74"/>
      <c r="ECW3" s="74"/>
      <c r="ECX3" s="74"/>
      <c r="ECY3" s="74"/>
      <c r="ECZ3" s="74"/>
      <c r="EDA3" s="74"/>
      <c r="EDB3" s="74"/>
      <c r="EDC3" s="74"/>
      <c r="EDD3" s="74"/>
      <c r="EDE3" s="74"/>
      <c r="EDF3" s="74"/>
      <c r="EDG3" s="74"/>
      <c r="EDH3" s="74"/>
      <c r="EDI3" s="74"/>
      <c r="EDJ3" s="74"/>
      <c r="EDK3" s="74"/>
      <c r="EDL3" s="74"/>
      <c r="EDM3" s="74"/>
      <c r="EDN3" s="74"/>
      <c r="EDO3" s="74"/>
      <c r="EDP3" s="74"/>
      <c r="EDQ3" s="74"/>
      <c r="EDR3" s="74"/>
      <c r="EDS3" s="74"/>
      <c r="EDT3" s="74"/>
      <c r="EDU3" s="74"/>
      <c r="EDV3" s="74"/>
      <c r="EDW3" s="74"/>
      <c r="EDX3" s="74"/>
      <c r="EDY3" s="74"/>
      <c r="EDZ3" s="74"/>
      <c r="EEA3" s="74"/>
      <c r="EEB3" s="74"/>
      <c r="EEC3" s="74"/>
      <c r="EED3" s="74"/>
      <c r="EEE3" s="74"/>
      <c r="EEF3" s="74"/>
      <c r="EEG3" s="74"/>
      <c r="EEH3" s="74"/>
      <c r="EEI3" s="74"/>
      <c r="EEJ3" s="74"/>
      <c r="EEK3" s="74"/>
      <c r="EEL3" s="74"/>
      <c r="EEM3" s="74"/>
      <c r="EEN3" s="74"/>
      <c r="EEO3" s="74"/>
      <c r="EEP3" s="74"/>
      <c r="EEQ3" s="74"/>
      <c r="EER3" s="74"/>
      <c r="EES3" s="74"/>
      <c r="EET3" s="74"/>
      <c r="EEU3" s="74"/>
      <c r="EEV3" s="74"/>
      <c r="EEW3" s="74"/>
      <c r="EEX3" s="74"/>
      <c r="EEY3" s="74"/>
      <c r="EEZ3" s="74"/>
      <c r="EFA3" s="74"/>
      <c r="EFB3" s="74"/>
      <c r="EFC3" s="74"/>
      <c r="EFD3" s="74"/>
      <c r="EFE3" s="74"/>
      <c r="EFF3" s="74"/>
      <c r="EFG3" s="74"/>
      <c r="EFH3" s="74"/>
      <c r="EFI3" s="74"/>
      <c r="EFJ3" s="74"/>
      <c r="EFK3" s="74"/>
      <c r="EFL3" s="74"/>
      <c r="EFM3" s="74"/>
      <c r="EFN3" s="74"/>
      <c r="EFO3" s="74"/>
      <c r="EFP3" s="74"/>
      <c r="EFQ3" s="74"/>
      <c r="EFR3" s="74"/>
      <c r="EFS3" s="74"/>
      <c r="EFT3" s="74"/>
      <c r="EFU3" s="74"/>
      <c r="EFV3" s="74"/>
      <c r="EFW3" s="74"/>
      <c r="EFX3" s="74"/>
      <c r="EFY3" s="74"/>
      <c r="EFZ3" s="74"/>
      <c r="EGA3" s="74"/>
      <c r="EGB3" s="74"/>
      <c r="EGC3" s="74"/>
      <c r="EGD3" s="74"/>
      <c r="EGE3" s="74"/>
      <c r="EGF3" s="74"/>
      <c r="EGG3" s="74"/>
      <c r="EGH3" s="74"/>
      <c r="EGI3" s="74"/>
      <c r="EGJ3" s="74"/>
      <c r="EGK3" s="74"/>
      <c r="EGL3" s="74"/>
      <c r="EGM3" s="74"/>
      <c r="EGN3" s="74"/>
      <c r="EGO3" s="74"/>
      <c r="EGP3" s="74"/>
      <c r="EGQ3" s="74"/>
      <c r="EGR3" s="74"/>
      <c r="EGS3" s="74"/>
      <c r="EGT3" s="74"/>
      <c r="EGU3" s="74"/>
      <c r="EGV3" s="74"/>
      <c r="EGW3" s="74"/>
      <c r="EGX3" s="74"/>
      <c r="EGY3" s="74"/>
      <c r="EGZ3" s="74"/>
      <c r="EHA3" s="74"/>
      <c r="EHB3" s="74"/>
      <c r="EHC3" s="74"/>
      <c r="EHD3" s="74"/>
      <c r="EHE3" s="74"/>
      <c r="EHF3" s="74"/>
      <c r="EHG3" s="74"/>
      <c r="EHH3" s="74"/>
      <c r="EHI3" s="74"/>
      <c r="EHJ3" s="74"/>
      <c r="EHK3" s="74"/>
      <c r="EHL3" s="74"/>
      <c r="EHM3" s="74"/>
      <c r="EHN3" s="74"/>
      <c r="EHO3" s="74"/>
      <c r="EHP3" s="74"/>
      <c r="EHQ3" s="74"/>
      <c r="EHR3" s="74"/>
      <c r="EHS3" s="74"/>
      <c r="EHT3" s="74"/>
      <c r="EHU3" s="74"/>
      <c r="EHV3" s="74"/>
      <c r="EHW3" s="74"/>
      <c r="EHX3" s="74"/>
      <c r="EHY3" s="74"/>
      <c r="EHZ3" s="74"/>
      <c r="EIA3" s="74"/>
      <c r="EIB3" s="74"/>
      <c r="EIC3" s="74"/>
      <c r="EID3" s="74"/>
      <c r="EIE3" s="74"/>
      <c r="EIF3" s="74"/>
      <c r="EIG3" s="74"/>
      <c r="EIH3" s="74"/>
      <c r="EII3" s="74"/>
      <c r="EIJ3" s="74"/>
      <c r="EIK3" s="74"/>
      <c r="EIL3" s="74"/>
      <c r="EIM3" s="74"/>
      <c r="EIN3" s="74"/>
      <c r="EIO3" s="74"/>
      <c r="EIP3" s="74"/>
      <c r="EIQ3" s="74"/>
      <c r="EIR3" s="74"/>
      <c r="EIS3" s="74"/>
      <c r="EIT3" s="74"/>
      <c r="EIU3" s="74"/>
      <c r="EIV3" s="74"/>
      <c r="EIW3" s="74"/>
      <c r="EIX3" s="74"/>
      <c r="EIY3" s="74"/>
      <c r="EIZ3" s="74"/>
      <c r="EJA3" s="74"/>
      <c r="EJB3" s="74"/>
      <c r="EJC3" s="74"/>
      <c r="EJD3" s="74"/>
      <c r="EJE3" s="74"/>
      <c r="EJF3" s="74"/>
      <c r="EJG3" s="74"/>
      <c r="EJH3" s="74"/>
      <c r="EJI3" s="74"/>
      <c r="EJJ3" s="74"/>
      <c r="EJK3" s="74"/>
      <c r="EJL3" s="74"/>
      <c r="EJM3" s="74"/>
      <c r="EJN3" s="74"/>
      <c r="EJO3" s="74"/>
      <c r="EJP3" s="74"/>
      <c r="EJQ3" s="74"/>
      <c r="EJR3" s="74"/>
      <c r="EJS3" s="74"/>
      <c r="EJT3" s="74"/>
      <c r="EJU3" s="74"/>
      <c r="EJV3" s="74"/>
      <c r="EJW3" s="74"/>
      <c r="EJX3" s="74"/>
      <c r="EJY3" s="74"/>
      <c r="EJZ3" s="74"/>
      <c r="EKA3" s="74"/>
      <c r="EKB3" s="74"/>
      <c r="EKC3" s="74"/>
      <c r="EKD3" s="74"/>
      <c r="EKE3" s="74"/>
      <c r="EKF3" s="74"/>
      <c r="EKG3" s="74"/>
      <c r="EKH3" s="74"/>
      <c r="EKI3" s="74"/>
      <c r="EKJ3" s="74"/>
      <c r="EKK3" s="74"/>
      <c r="EKL3" s="74"/>
      <c r="EKM3" s="74"/>
      <c r="EKN3" s="74"/>
      <c r="EKO3" s="74"/>
      <c r="EKP3" s="74"/>
      <c r="EKQ3" s="74"/>
      <c r="EKR3" s="74"/>
      <c r="EKS3" s="74"/>
      <c r="EKT3" s="74"/>
      <c r="EKU3" s="74"/>
      <c r="EKV3" s="74"/>
      <c r="EKW3" s="74"/>
      <c r="EKX3" s="74"/>
      <c r="EKY3" s="74"/>
      <c r="EKZ3" s="74"/>
      <c r="ELA3" s="74"/>
      <c r="ELB3" s="74"/>
      <c r="ELC3" s="74"/>
      <c r="ELD3" s="74"/>
      <c r="ELE3" s="74"/>
      <c r="ELF3" s="74"/>
      <c r="ELG3" s="74"/>
      <c r="ELH3" s="74"/>
      <c r="ELI3" s="74"/>
      <c r="ELJ3" s="74"/>
      <c r="ELK3" s="74"/>
      <c r="ELL3" s="74"/>
      <c r="ELM3" s="74"/>
      <c r="ELN3" s="74"/>
      <c r="ELO3" s="74"/>
      <c r="ELP3" s="74"/>
      <c r="ELQ3" s="74"/>
      <c r="ELR3" s="74"/>
      <c r="ELS3" s="74"/>
      <c r="ELT3" s="74"/>
      <c r="ELU3" s="74"/>
      <c r="ELV3" s="74"/>
      <c r="ELW3" s="74"/>
      <c r="ELX3" s="74"/>
      <c r="ELY3" s="74"/>
      <c r="ELZ3" s="74"/>
      <c r="EMA3" s="74"/>
      <c r="EMB3" s="74"/>
      <c r="EMC3" s="74"/>
      <c r="EMD3" s="74"/>
      <c r="EME3" s="74"/>
      <c r="EMF3" s="74"/>
      <c r="EMG3" s="74"/>
      <c r="EMH3" s="74"/>
      <c r="EMI3" s="74"/>
      <c r="EMJ3" s="74"/>
      <c r="EMK3" s="74"/>
      <c r="EML3" s="74"/>
      <c r="EMM3" s="74"/>
      <c r="EMN3" s="74"/>
      <c r="EMO3" s="74"/>
      <c r="EMP3" s="74"/>
      <c r="EMQ3" s="74"/>
      <c r="EMR3" s="74"/>
      <c r="EMS3" s="74"/>
      <c r="EMT3" s="74"/>
      <c r="EMU3" s="74"/>
      <c r="EMV3" s="74"/>
      <c r="EMW3" s="74"/>
      <c r="EMX3" s="74"/>
      <c r="EMY3" s="74"/>
      <c r="EMZ3" s="74"/>
      <c r="ENA3" s="74"/>
      <c r="ENB3" s="74"/>
      <c r="ENC3" s="74"/>
      <c r="END3" s="74"/>
      <c r="ENE3" s="74"/>
      <c r="ENF3" s="74"/>
      <c r="ENG3" s="74"/>
      <c r="ENH3" s="74"/>
      <c r="ENI3" s="74"/>
      <c r="ENJ3" s="74"/>
      <c r="ENK3" s="74"/>
      <c r="ENL3" s="74"/>
      <c r="ENM3" s="74"/>
      <c r="ENN3" s="74"/>
      <c r="ENO3" s="74"/>
      <c r="ENP3" s="74"/>
      <c r="ENQ3" s="74"/>
      <c r="ENR3" s="74"/>
      <c r="ENS3" s="74"/>
      <c r="ENT3" s="74"/>
      <c r="ENU3" s="74"/>
      <c r="ENV3" s="74"/>
      <c r="ENW3" s="74"/>
      <c r="ENX3" s="74"/>
      <c r="ENY3" s="74"/>
      <c r="ENZ3" s="74"/>
      <c r="EOA3" s="74"/>
      <c r="EOB3" s="74"/>
      <c r="EOC3" s="74"/>
      <c r="EOD3" s="74"/>
      <c r="EOE3" s="74"/>
      <c r="EOF3" s="74"/>
      <c r="EOG3" s="74"/>
      <c r="EOH3" s="74"/>
      <c r="EOI3" s="74"/>
      <c r="EOJ3" s="74"/>
      <c r="EOK3" s="74"/>
      <c r="EOL3" s="74"/>
      <c r="EOM3" s="74"/>
      <c r="EON3" s="74"/>
      <c r="EOO3" s="74"/>
      <c r="EOP3" s="74"/>
      <c r="EOQ3" s="74"/>
      <c r="EOR3" s="74"/>
      <c r="EOS3" s="74"/>
      <c r="EOT3" s="74"/>
      <c r="EOU3" s="74"/>
      <c r="EOV3" s="74"/>
      <c r="EOW3" s="74"/>
      <c r="EOX3" s="74"/>
      <c r="EOY3" s="74"/>
      <c r="EOZ3" s="74"/>
      <c r="EPA3" s="74"/>
      <c r="EPB3" s="74"/>
      <c r="EPC3" s="74"/>
      <c r="EPD3" s="74"/>
      <c r="EPE3" s="74"/>
      <c r="EPF3" s="74"/>
      <c r="EPG3" s="74"/>
      <c r="EPH3" s="74"/>
      <c r="EPI3" s="74"/>
      <c r="EPJ3" s="74"/>
      <c r="EPK3" s="74"/>
      <c r="EPL3" s="74"/>
      <c r="EPM3" s="74"/>
      <c r="EPN3" s="74"/>
      <c r="EPO3" s="74"/>
      <c r="EPP3" s="74"/>
      <c r="EPQ3" s="74"/>
      <c r="EPR3" s="74"/>
      <c r="EPS3" s="74"/>
      <c r="EPT3" s="74"/>
      <c r="EPU3" s="74"/>
      <c r="EPV3" s="74"/>
      <c r="EPW3" s="74"/>
      <c r="EPX3" s="74"/>
      <c r="EPY3" s="74"/>
      <c r="EPZ3" s="74"/>
      <c r="EQA3" s="74"/>
      <c r="EQB3" s="74"/>
      <c r="EQC3" s="74"/>
      <c r="EQD3" s="74"/>
      <c r="EQE3" s="74"/>
      <c r="EQF3" s="74"/>
      <c r="EQG3" s="74"/>
      <c r="EQH3" s="74"/>
      <c r="EQI3" s="74"/>
      <c r="EQJ3" s="74"/>
      <c r="EQK3" s="74"/>
      <c r="EQL3" s="74"/>
      <c r="EQM3" s="74"/>
      <c r="EQN3" s="74"/>
      <c r="EQO3" s="74"/>
      <c r="EQP3" s="74"/>
      <c r="EQQ3" s="74"/>
      <c r="EQR3" s="74"/>
      <c r="EQS3" s="74"/>
      <c r="EQT3" s="74"/>
      <c r="EQU3" s="74"/>
      <c r="EQV3" s="74"/>
      <c r="EQW3" s="74"/>
      <c r="EQX3" s="74"/>
      <c r="EQY3" s="74"/>
      <c r="EQZ3" s="74"/>
      <c r="ERA3" s="74"/>
      <c r="ERB3" s="74"/>
      <c r="ERC3" s="74"/>
      <c r="ERD3" s="74"/>
      <c r="ERE3" s="74"/>
      <c r="ERF3" s="74"/>
      <c r="ERG3" s="74"/>
      <c r="ERH3" s="74"/>
      <c r="ERI3" s="74"/>
      <c r="ERJ3" s="74"/>
      <c r="ERK3" s="74"/>
      <c r="ERL3" s="74"/>
      <c r="ERM3" s="74"/>
      <c r="ERN3" s="74"/>
      <c r="ERO3" s="74"/>
      <c r="ERP3" s="74"/>
      <c r="ERQ3" s="74"/>
      <c r="ERR3" s="74"/>
      <c r="ERS3" s="74"/>
      <c r="ERT3" s="74"/>
      <c r="ERU3" s="74"/>
      <c r="ERV3" s="74"/>
      <c r="ERW3" s="74"/>
      <c r="ERX3" s="74"/>
      <c r="ERY3" s="74"/>
      <c r="ERZ3" s="74"/>
      <c r="ESA3" s="74"/>
      <c r="ESB3" s="74"/>
      <c r="ESC3" s="74"/>
      <c r="ESD3" s="74"/>
      <c r="ESE3" s="74"/>
      <c r="ESF3" s="74"/>
      <c r="ESG3" s="74"/>
      <c r="ESH3" s="74"/>
      <c r="ESI3" s="74"/>
      <c r="ESJ3" s="74"/>
      <c r="ESK3" s="74"/>
      <c r="ESL3" s="74"/>
      <c r="ESM3" s="74"/>
      <c r="ESN3" s="74"/>
      <c r="ESO3" s="74"/>
      <c r="ESP3" s="74"/>
      <c r="ESQ3" s="74"/>
      <c r="ESR3" s="74"/>
      <c r="ESS3" s="74"/>
      <c r="EST3" s="74"/>
      <c r="ESU3" s="74"/>
      <c r="ESV3" s="74"/>
      <c r="ESW3" s="74"/>
      <c r="ESX3" s="74"/>
      <c r="ESY3" s="74"/>
      <c r="ESZ3" s="74"/>
      <c r="ETA3" s="74"/>
      <c r="ETB3" s="74"/>
      <c r="ETC3" s="74"/>
      <c r="ETD3" s="74"/>
      <c r="ETE3" s="74"/>
      <c r="ETF3" s="74"/>
      <c r="ETG3" s="74"/>
      <c r="ETH3" s="74"/>
      <c r="ETI3" s="74"/>
      <c r="ETJ3" s="74"/>
      <c r="ETK3" s="74"/>
      <c r="ETL3" s="74"/>
      <c r="ETM3" s="74"/>
      <c r="ETN3" s="74"/>
      <c r="ETO3" s="74"/>
      <c r="ETP3" s="74"/>
      <c r="ETQ3" s="74"/>
      <c r="ETR3" s="74"/>
      <c r="ETS3" s="74"/>
      <c r="ETT3" s="74"/>
      <c r="ETU3" s="74"/>
      <c r="ETV3" s="74"/>
      <c r="ETW3" s="74"/>
      <c r="ETX3" s="74"/>
      <c r="ETY3" s="74"/>
      <c r="ETZ3" s="74"/>
      <c r="EUA3" s="74"/>
      <c r="EUB3" s="74"/>
      <c r="EUC3" s="74"/>
      <c r="EUD3" s="74"/>
      <c r="EUE3" s="74"/>
      <c r="EUF3" s="74"/>
      <c r="EUG3" s="74"/>
      <c r="EUH3" s="74"/>
      <c r="EUI3" s="74"/>
      <c r="EUJ3" s="74"/>
      <c r="EUK3" s="74"/>
      <c r="EUL3" s="74"/>
      <c r="EUM3" s="74"/>
      <c r="EUN3" s="74"/>
      <c r="EUO3" s="74"/>
      <c r="EUP3" s="74"/>
      <c r="EUQ3" s="74"/>
      <c r="EUR3" s="74"/>
      <c r="EUS3" s="74"/>
      <c r="EUT3" s="74"/>
      <c r="EUU3" s="74"/>
      <c r="EUV3" s="74"/>
      <c r="EUW3" s="74"/>
      <c r="EUX3" s="74"/>
      <c r="EUY3" s="74"/>
      <c r="EUZ3" s="74"/>
      <c r="EVA3" s="74"/>
      <c r="EVB3" s="74"/>
      <c r="EVC3" s="74"/>
      <c r="EVD3" s="74"/>
      <c r="EVE3" s="74"/>
      <c r="EVF3" s="74"/>
      <c r="EVG3" s="74"/>
      <c r="EVH3" s="74"/>
      <c r="EVI3" s="74"/>
      <c r="EVJ3" s="74"/>
      <c r="EVK3" s="74"/>
      <c r="EVL3" s="74"/>
      <c r="EVM3" s="74"/>
      <c r="EVN3" s="74"/>
      <c r="EVO3" s="74"/>
      <c r="EVP3" s="74"/>
      <c r="EVQ3" s="74"/>
      <c r="EVR3" s="74"/>
      <c r="EVS3" s="74"/>
      <c r="EVT3" s="74"/>
      <c r="EVU3" s="74"/>
      <c r="EVV3" s="74"/>
      <c r="EVW3" s="74"/>
      <c r="EVX3" s="74"/>
      <c r="EVY3" s="74"/>
      <c r="EVZ3" s="74"/>
      <c r="EWA3" s="74"/>
      <c r="EWB3" s="74"/>
      <c r="EWC3" s="74"/>
      <c r="EWD3" s="74"/>
      <c r="EWE3" s="74"/>
      <c r="EWF3" s="74"/>
      <c r="EWG3" s="74"/>
      <c r="EWH3" s="74"/>
      <c r="EWI3" s="74"/>
      <c r="EWJ3" s="74"/>
      <c r="EWK3" s="74"/>
      <c r="EWL3" s="74"/>
      <c r="EWM3" s="74"/>
      <c r="EWN3" s="74"/>
      <c r="EWO3" s="74"/>
      <c r="EWP3" s="74"/>
      <c r="EWQ3" s="74"/>
      <c r="EWR3" s="74"/>
      <c r="EWS3" s="74"/>
      <c r="EWT3" s="74"/>
      <c r="EWU3" s="74"/>
      <c r="EWV3" s="74"/>
      <c r="EWW3" s="74"/>
      <c r="EWX3" s="74"/>
      <c r="EWY3" s="74"/>
      <c r="EWZ3" s="74"/>
      <c r="EXA3" s="74"/>
      <c r="EXB3" s="74"/>
      <c r="EXC3" s="74"/>
      <c r="EXD3" s="74"/>
      <c r="EXE3" s="74"/>
      <c r="EXF3" s="74"/>
      <c r="EXG3" s="74"/>
      <c r="EXH3" s="74"/>
      <c r="EXI3" s="74"/>
      <c r="EXJ3" s="74"/>
      <c r="EXK3" s="74"/>
      <c r="EXL3" s="74"/>
      <c r="EXM3" s="74"/>
      <c r="EXN3" s="74"/>
      <c r="EXO3" s="74"/>
      <c r="EXP3" s="74"/>
      <c r="EXQ3" s="74"/>
      <c r="EXR3" s="74"/>
      <c r="EXS3" s="74"/>
      <c r="EXT3" s="74"/>
      <c r="EXU3" s="74"/>
      <c r="EXV3" s="74"/>
      <c r="EXW3" s="74"/>
      <c r="EXX3" s="74"/>
      <c r="EXY3" s="74"/>
      <c r="EXZ3" s="74"/>
      <c r="EYA3" s="74"/>
      <c r="EYB3" s="74"/>
      <c r="EYC3" s="74"/>
      <c r="EYD3" s="74"/>
      <c r="EYE3" s="74"/>
      <c r="EYF3" s="74"/>
      <c r="EYG3" s="74"/>
      <c r="EYH3" s="74"/>
      <c r="EYI3" s="74"/>
      <c r="EYJ3" s="74"/>
      <c r="EYK3" s="74"/>
      <c r="EYL3" s="74"/>
      <c r="EYM3" s="74"/>
      <c r="EYN3" s="74"/>
      <c r="EYO3" s="74"/>
      <c r="EYP3" s="74"/>
      <c r="EYQ3" s="74"/>
      <c r="EYR3" s="74"/>
      <c r="EYS3" s="74"/>
      <c r="EYT3" s="74"/>
      <c r="EYU3" s="74"/>
      <c r="EYV3" s="74"/>
      <c r="EYW3" s="74"/>
      <c r="EYX3" s="74"/>
      <c r="EYY3" s="74"/>
      <c r="EYZ3" s="74"/>
      <c r="EZA3" s="74"/>
      <c r="EZB3" s="74"/>
      <c r="EZC3" s="74"/>
      <c r="EZD3" s="74"/>
      <c r="EZE3" s="74"/>
      <c r="EZF3" s="74"/>
      <c r="EZG3" s="74"/>
      <c r="EZH3" s="74"/>
      <c r="EZI3" s="74"/>
      <c r="EZJ3" s="74"/>
      <c r="EZK3" s="74"/>
      <c r="EZL3" s="74"/>
      <c r="EZM3" s="74"/>
      <c r="EZN3" s="74"/>
      <c r="EZO3" s="74"/>
      <c r="EZP3" s="74"/>
      <c r="EZQ3" s="74"/>
      <c r="EZR3" s="74"/>
      <c r="EZS3" s="74"/>
      <c r="EZT3" s="74"/>
      <c r="EZU3" s="74"/>
      <c r="EZV3" s="74"/>
      <c r="EZW3" s="74"/>
      <c r="EZX3" s="74"/>
      <c r="EZY3" s="74"/>
      <c r="EZZ3" s="74"/>
      <c r="FAA3" s="74"/>
      <c r="FAB3" s="74"/>
      <c r="FAC3" s="74"/>
      <c r="FAD3" s="74"/>
      <c r="FAE3" s="74"/>
      <c r="FAF3" s="74"/>
      <c r="FAG3" s="74"/>
      <c r="FAH3" s="74"/>
      <c r="FAI3" s="74"/>
      <c r="FAJ3" s="74"/>
      <c r="FAK3" s="74"/>
      <c r="FAL3" s="74"/>
      <c r="FAM3" s="74"/>
      <c r="FAN3" s="74"/>
      <c r="FAO3" s="74"/>
      <c r="FAP3" s="74"/>
      <c r="FAQ3" s="74"/>
      <c r="FAR3" s="74"/>
      <c r="FAS3" s="74"/>
      <c r="FAT3" s="74"/>
      <c r="FAU3" s="74"/>
      <c r="FAV3" s="74"/>
      <c r="FAW3" s="74"/>
      <c r="FAX3" s="74"/>
      <c r="FAY3" s="74"/>
      <c r="FAZ3" s="74"/>
      <c r="FBA3" s="74"/>
      <c r="FBB3" s="74"/>
      <c r="FBC3" s="74"/>
      <c r="FBD3" s="74"/>
      <c r="FBE3" s="74"/>
      <c r="FBF3" s="74"/>
      <c r="FBG3" s="74"/>
      <c r="FBH3" s="74"/>
      <c r="FBI3" s="74"/>
      <c r="FBJ3" s="74"/>
      <c r="FBK3" s="74"/>
      <c r="FBL3" s="74"/>
      <c r="FBM3" s="74"/>
      <c r="FBN3" s="74"/>
      <c r="FBO3" s="74"/>
      <c r="FBP3" s="74"/>
      <c r="FBQ3" s="74"/>
      <c r="FBR3" s="74"/>
      <c r="FBS3" s="74"/>
      <c r="FBT3" s="74"/>
      <c r="FBU3" s="74"/>
      <c r="FBV3" s="74"/>
      <c r="FBW3" s="74"/>
      <c r="FBX3" s="74"/>
      <c r="FBY3" s="74"/>
      <c r="FBZ3" s="74"/>
      <c r="FCA3" s="74"/>
      <c r="FCB3" s="74"/>
      <c r="FCC3" s="74"/>
      <c r="FCD3" s="74"/>
      <c r="FCE3" s="74"/>
      <c r="FCF3" s="74"/>
      <c r="FCG3" s="74"/>
      <c r="FCH3" s="74"/>
      <c r="FCI3" s="74"/>
      <c r="FCJ3" s="74"/>
      <c r="FCK3" s="74"/>
      <c r="FCL3" s="74"/>
      <c r="FCM3" s="74"/>
      <c r="FCN3" s="74"/>
      <c r="FCO3" s="74"/>
      <c r="FCP3" s="74"/>
      <c r="FCQ3" s="74"/>
      <c r="FCR3" s="74"/>
      <c r="FCS3" s="74"/>
      <c r="FCT3" s="74"/>
      <c r="FCU3" s="74"/>
      <c r="FCV3" s="74"/>
      <c r="FCW3" s="74"/>
      <c r="FCX3" s="74"/>
      <c r="FCY3" s="74"/>
      <c r="FCZ3" s="74"/>
      <c r="FDA3" s="74"/>
      <c r="FDB3" s="74"/>
      <c r="FDC3" s="74"/>
      <c r="FDD3" s="74"/>
      <c r="FDE3" s="74"/>
      <c r="FDF3" s="74"/>
      <c r="FDG3" s="74"/>
      <c r="FDH3" s="74"/>
      <c r="FDI3" s="74"/>
      <c r="FDJ3" s="74"/>
      <c r="FDK3" s="74"/>
      <c r="FDL3" s="74"/>
      <c r="FDM3" s="74"/>
      <c r="FDN3" s="74"/>
      <c r="FDO3" s="74"/>
      <c r="FDP3" s="74"/>
      <c r="FDQ3" s="74"/>
      <c r="FDR3" s="74"/>
      <c r="FDS3" s="74"/>
      <c r="FDT3" s="74"/>
      <c r="FDU3" s="74"/>
      <c r="FDV3" s="74"/>
      <c r="FDW3" s="74"/>
      <c r="FDX3" s="74"/>
      <c r="FDY3" s="74"/>
      <c r="FDZ3" s="74"/>
      <c r="FEA3" s="74"/>
      <c r="FEB3" s="74"/>
      <c r="FEC3" s="74"/>
      <c r="FED3" s="74"/>
      <c r="FEE3" s="74"/>
      <c r="FEF3" s="74"/>
      <c r="FEG3" s="74"/>
      <c r="FEH3" s="74"/>
      <c r="FEI3" s="74"/>
      <c r="FEJ3" s="74"/>
      <c r="FEK3" s="74"/>
      <c r="FEL3" s="74"/>
      <c r="FEM3" s="74"/>
      <c r="FEN3" s="74"/>
      <c r="FEO3" s="74"/>
      <c r="FEP3" s="74"/>
      <c r="FEQ3" s="74"/>
      <c r="FER3" s="74"/>
      <c r="FES3" s="74"/>
      <c r="FET3" s="74"/>
      <c r="FEU3" s="74"/>
      <c r="FEV3" s="74"/>
      <c r="FEW3" s="74"/>
      <c r="FEX3" s="74"/>
      <c r="FEY3" s="74"/>
      <c r="FEZ3" s="74"/>
      <c r="FFA3" s="74"/>
      <c r="FFB3" s="74"/>
      <c r="FFC3" s="74"/>
      <c r="FFD3" s="74"/>
      <c r="FFE3" s="74"/>
      <c r="FFF3" s="74"/>
      <c r="FFG3" s="74"/>
      <c r="FFH3" s="74"/>
      <c r="FFI3" s="74"/>
      <c r="FFJ3" s="74"/>
      <c r="FFK3" s="74"/>
      <c r="FFL3" s="74"/>
      <c r="FFM3" s="74"/>
      <c r="FFN3" s="74"/>
      <c r="FFO3" s="74"/>
      <c r="FFP3" s="74"/>
      <c r="FFQ3" s="74"/>
      <c r="FFR3" s="74"/>
      <c r="FFS3" s="74"/>
      <c r="FFT3" s="74"/>
      <c r="FFU3" s="74"/>
      <c r="FFV3" s="74"/>
      <c r="FFW3" s="74"/>
      <c r="FFX3" s="74"/>
      <c r="FFY3" s="74"/>
      <c r="FFZ3" s="74"/>
      <c r="FGA3" s="74"/>
      <c r="FGB3" s="74"/>
      <c r="FGC3" s="74"/>
      <c r="FGD3" s="74"/>
      <c r="FGE3" s="74"/>
      <c r="FGF3" s="74"/>
      <c r="FGG3" s="74"/>
      <c r="FGH3" s="74"/>
      <c r="FGI3" s="74"/>
      <c r="FGJ3" s="74"/>
      <c r="FGK3" s="74"/>
      <c r="FGL3" s="74"/>
      <c r="FGM3" s="74"/>
      <c r="FGN3" s="74"/>
      <c r="FGO3" s="74"/>
      <c r="FGP3" s="74"/>
      <c r="FGQ3" s="74"/>
      <c r="FGR3" s="74"/>
      <c r="FGS3" s="74"/>
      <c r="FGT3" s="74"/>
      <c r="FGU3" s="74"/>
      <c r="FGV3" s="74"/>
      <c r="FGW3" s="74"/>
      <c r="FGX3" s="74"/>
      <c r="FGY3" s="74"/>
      <c r="FGZ3" s="74"/>
      <c r="FHA3" s="74"/>
      <c r="FHB3" s="74"/>
      <c r="FHC3" s="74"/>
      <c r="FHD3" s="74"/>
      <c r="FHE3" s="74"/>
      <c r="FHF3" s="74"/>
      <c r="FHG3" s="74"/>
      <c r="FHH3" s="74"/>
      <c r="FHI3" s="74"/>
      <c r="FHJ3" s="74"/>
      <c r="FHK3" s="74"/>
      <c r="FHL3" s="74"/>
      <c r="FHM3" s="74"/>
      <c r="FHN3" s="74"/>
      <c r="FHO3" s="74"/>
      <c r="FHP3" s="74"/>
      <c r="FHQ3" s="74"/>
      <c r="FHR3" s="74"/>
      <c r="FHS3" s="74"/>
      <c r="FHT3" s="74"/>
      <c r="FHU3" s="74"/>
      <c r="FHV3" s="74"/>
      <c r="FHW3" s="74"/>
      <c r="FHX3" s="74"/>
      <c r="FHY3" s="74"/>
      <c r="FHZ3" s="74"/>
      <c r="FIA3" s="74"/>
      <c r="FIB3" s="74"/>
      <c r="FIC3" s="74"/>
      <c r="FID3" s="74"/>
      <c r="FIE3" s="74"/>
      <c r="FIF3" s="74"/>
      <c r="FIG3" s="74"/>
      <c r="FIH3" s="74"/>
      <c r="FII3" s="74"/>
      <c r="FIJ3" s="74"/>
      <c r="FIK3" s="74"/>
      <c r="FIL3" s="74"/>
      <c r="FIM3" s="74"/>
      <c r="FIN3" s="74"/>
      <c r="FIO3" s="74"/>
      <c r="FIP3" s="74"/>
      <c r="FIQ3" s="74"/>
      <c r="FIR3" s="74"/>
      <c r="FIS3" s="74"/>
      <c r="FIT3" s="74"/>
      <c r="FIU3" s="74"/>
      <c r="FIV3" s="74"/>
      <c r="FIW3" s="74"/>
      <c r="FIX3" s="74"/>
      <c r="FIY3" s="74"/>
      <c r="FIZ3" s="74"/>
      <c r="FJA3" s="74"/>
      <c r="FJB3" s="74"/>
      <c r="FJC3" s="74"/>
      <c r="FJD3" s="74"/>
      <c r="FJE3" s="74"/>
      <c r="FJF3" s="74"/>
      <c r="FJG3" s="74"/>
      <c r="FJH3" s="74"/>
      <c r="FJI3" s="74"/>
      <c r="FJJ3" s="74"/>
      <c r="FJK3" s="74"/>
      <c r="FJL3" s="74"/>
      <c r="FJM3" s="74"/>
      <c r="FJN3" s="74"/>
      <c r="FJO3" s="74"/>
      <c r="FJP3" s="74"/>
      <c r="FJQ3" s="74"/>
      <c r="FJR3" s="74"/>
      <c r="FJS3" s="74"/>
      <c r="FJT3" s="74"/>
      <c r="FJU3" s="74"/>
      <c r="FJV3" s="74"/>
      <c r="FJW3" s="74"/>
      <c r="FJX3" s="74"/>
      <c r="FJY3" s="74"/>
      <c r="FJZ3" s="74"/>
      <c r="FKA3" s="74"/>
      <c r="FKB3" s="74"/>
      <c r="FKC3" s="74"/>
      <c r="FKD3" s="74"/>
      <c r="FKE3" s="74"/>
      <c r="FKF3" s="74"/>
      <c r="FKG3" s="74"/>
      <c r="FKH3" s="74"/>
      <c r="FKI3" s="74"/>
      <c r="FKJ3" s="74"/>
      <c r="FKK3" s="74"/>
      <c r="FKL3" s="74"/>
      <c r="FKM3" s="74"/>
      <c r="FKN3" s="74"/>
      <c r="FKO3" s="74"/>
      <c r="FKP3" s="74"/>
      <c r="FKQ3" s="74"/>
      <c r="FKR3" s="74"/>
      <c r="FKS3" s="74"/>
      <c r="FKT3" s="74"/>
      <c r="FKU3" s="74"/>
      <c r="FKV3" s="74"/>
      <c r="FKW3" s="74"/>
      <c r="FKX3" s="74"/>
      <c r="FKY3" s="74"/>
      <c r="FKZ3" s="74"/>
      <c r="FLA3" s="74"/>
      <c r="FLB3" s="74"/>
      <c r="FLC3" s="74"/>
      <c r="FLD3" s="74"/>
      <c r="FLE3" s="74"/>
      <c r="FLF3" s="74"/>
      <c r="FLG3" s="74"/>
      <c r="FLH3" s="74"/>
      <c r="FLI3" s="74"/>
      <c r="FLJ3" s="74"/>
      <c r="FLK3" s="74"/>
      <c r="FLL3" s="74"/>
      <c r="FLM3" s="74"/>
      <c r="FLN3" s="74"/>
      <c r="FLO3" s="74"/>
      <c r="FLP3" s="74"/>
      <c r="FLQ3" s="74"/>
      <c r="FLR3" s="74"/>
      <c r="FLS3" s="74"/>
      <c r="FLT3" s="74"/>
      <c r="FLU3" s="74"/>
      <c r="FLV3" s="74"/>
      <c r="FLW3" s="74"/>
      <c r="FLX3" s="74"/>
      <c r="FLY3" s="74"/>
      <c r="FLZ3" s="74"/>
      <c r="FMA3" s="74"/>
      <c r="FMB3" s="74"/>
      <c r="FMC3" s="74"/>
      <c r="FMD3" s="74"/>
      <c r="FME3" s="74"/>
      <c r="FMF3" s="74"/>
      <c r="FMG3" s="74"/>
      <c r="FMH3" s="74"/>
      <c r="FMI3" s="74"/>
      <c r="FMJ3" s="74"/>
      <c r="FMK3" s="74"/>
      <c r="FML3" s="74"/>
      <c r="FMM3" s="74"/>
      <c r="FMN3" s="74"/>
      <c r="FMO3" s="74"/>
      <c r="FMP3" s="74"/>
      <c r="FMQ3" s="74"/>
      <c r="FMR3" s="74"/>
      <c r="FMS3" s="74"/>
      <c r="FMT3" s="74"/>
      <c r="FMU3" s="74"/>
      <c r="FMV3" s="74"/>
      <c r="FMW3" s="74"/>
      <c r="FMX3" s="74"/>
      <c r="FMY3" s="74"/>
      <c r="FMZ3" s="74"/>
      <c r="FNA3" s="74"/>
      <c r="FNB3" s="74"/>
      <c r="FNC3" s="74"/>
      <c r="FND3" s="74"/>
      <c r="FNE3" s="74"/>
      <c r="FNF3" s="74"/>
      <c r="FNG3" s="74"/>
      <c r="FNH3" s="74"/>
      <c r="FNI3" s="74"/>
      <c r="FNJ3" s="74"/>
      <c r="FNK3" s="74"/>
      <c r="FNL3" s="74"/>
      <c r="FNM3" s="74"/>
      <c r="FNN3" s="74"/>
      <c r="FNO3" s="74"/>
      <c r="FNP3" s="74"/>
      <c r="FNQ3" s="74"/>
      <c r="FNR3" s="74"/>
      <c r="FNS3" s="74"/>
      <c r="FNT3" s="74"/>
      <c r="FNU3" s="74"/>
      <c r="FNV3" s="74"/>
      <c r="FNW3" s="74"/>
      <c r="FNX3" s="74"/>
      <c r="FNY3" s="74"/>
      <c r="FNZ3" s="74"/>
      <c r="FOA3" s="74"/>
      <c r="FOB3" s="74"/>
      <c r="FOC3" s="74"/>
      <c r="FOD3" s="74"/>
      <c r="FOE3" s="74"/>
      <c r="FOF3" s="74"/>
      <c r="FOG3" s="74"/>
      <c r="FOH3" s="74"/>
      <c r="FOI3" s="74"/>
      <c r="FOJ3" s="74"/>
      <c r="FOK3" s="74"/>
      <c r="FOL3" s="74"/>
      <c r="FOM3" s="74"/>
      <c r="FON3" s="74"/>
      <c r="FOO3" s="74"/>
      <c r="FOP3" s="74"/>
      <c r="FOQ3" s="74"/>
      <c r="FOR3" s="74"/>
      <c r="FOS3" s="74"/>
      <c r="FOT3" s="74"/>
      <c r="FOU3" s="74"/>
      <c r="FOV3" s="74"/>
      <c r="FOW3" s="74"/>
      <c r="FOX3" s="74"/>
      <c r="FOY3" s="74"/>
      <c r="FOZ3" s="74"/>
      <c r="FPA3" s="74"/>
      <c r="FPB3" s="74"/>
      <c r="FPC3" s="74"/>
      <c r="FPD3" s="74"/>
      <c r="FPE3" s="74"/>
      <c r="FPF3" s="74"/>
      <c r="FPG3" s="74"/>
      <c r="FPH3" s="74"/>
      <c r="FPI3" s="74"/>
      <c r="FPJ3" s="74"/>
      <c r="FPK3" s="74"/>
      <c r="FPL3" s="74"/>
      <c r="FPM3" s="74"/>
      <c r="FPN3" s="74"/>
      <c r="FPO3" s="74"/>
      <c r="FPP3" s="74"/>
      <c r="FPQ3" s="74"/>
      <c r="FPR3" s="74"/>
      <c r="FPS3" s="74"/>
      <c r="FPT3" s="74"/>
      <c r="FPU3" s="74"/>
      <c r="FPV3" s="74"/>
      <c r="FPW3" s="74"/>
      <c r="FPX3" s="74"/>
      <c r="FPY3" s="74"/>
      <c r="FPZ3" s="74"/>
      <c r="FQA3" s="74"/>
      <c r="FQB3" s="74"/>
      <c r="FQC3" s="74"/>
      <c r="FQD3" s="74"/>
      <c r="FQE3" s="74"/>
      <c r="FQF3" s="74"/>
      <c r="FQG3" s="74"/>
      <c r="FQH3" s="74"/>
      <c r="FQI3" s="74"/>
      <c r="FQJ3" s="74"/>
      <c r="FQK3" s="74"/>
      <c r="FQL3" s="74"/>
      <c r="FQM3" s="74"/>
      <c r="FQN3" s="74"/>
      <c r="FQO3" s="74"/>
      <c r="FQP3" s="74"/>
      <c r="FQQ3" s="74"/>
      <c r="FQR3" s="74"/>
      <c r="FQS3" s="74"/>
      <c r="FQT3" s="74"/>
      <c r="FQU3" s="74"/>
      <c r="FQV3" s="74"/>
      <c r="FQW3" s="74"/>
      <c r="FQX3" s="74"/>
      <c r="FQY3" s="74"/>
      <c r="FQZ3" s="74"/>
      <c r="FRA3" s="74"/>
      <c r="FRB3" s="74"/>
      <c r="FRC3" s="74"/>
      <c r="FRD3" s="74"/>
      <c r="FRE3" s="74"/>
      <c r="FRF3" s="74"/>
      <c r="FRG3" s="74"/>
      <c r="FRH3" s="74"/>
      <c r="FRI3" s="74"/>
      <c r="FRJ3" s="74"/>
      <c r="FRK3" s="74"/>
      <c r="FRL3" s="74"/>
      <c r="FRM3" s="74"/>
      <c r="FRN3" s="74"/>
      <c r="FRO3" s="74"/>
      <c r="FRP3" s="74"/>
      <c r="FRQ3" s="74"/>
      <c r="FRR3" s="74"/>
      <c r="FRS3" s="74"/>
      <c r="FRT3" s="74"/>
      <c r="FRU3" s="74"/>
      <c r="FRV3" s="74"/>
      <c r="FRW3" s="74"/>
      <c r="FRX3" s="74"/>
      <c r="FRY3" s="74"/>
      <c r="FRZ3" s="74"/>
      <c r="FSA3" s="74"/>
      <c r="FSB3" s="74"/>
      <c r="FSC3" s="74"/>
      <c r="FSD3" s="74"/>
      <c r="FSE3" s="74"/>
      <c r="FSF3" s="74"/>
      <c r="FSG3" s="74"/>
      <c r="FSH3" s="74"/>
      <c r="FSI3" s="74"/>
      <c r="FSJ3" s="74"/>
      <c r="FSK3" s="74"/>
      <c r="FSL3" s="74"/>
      <c r="FSM3" s="74"/>
      <c r="FSN3" s="74"/>
      <c r="FSO3" s="74"/>
      <c r="FSP3" s="74"/>
      <c r="FSQ3" s="74"/>
      <c r="FSR3" s="74"/>
      <c r="FSS3" s="74"/>
      <c r="FST3" s="74"/>
      <c r="FSU3" s="74"/>
      <c r="FSV3" s="74"/>
      <c r="FSW3" s="74"/>
      <c r="FSX3" s="74"/>
      <c r="FSY3" s="74"/>
      <c r="FSZ3" s="74"/>
      <c r="FTA3" s="74"/>
      <c r="FTB3" s="74"/>
      <c r="FTC3" s="74"/>
      <c r="FTD3" s="74"/>
      <c r="FTE3" s="74"/>
      <c r="FTF3" s="74"/>
      <c r="FTG3" s="74"/>
      <c r="FTH3" s="74"/>
      <c r="FTI3" s="74"/>
      <c r="FTJ3" s="74"/>
      <c r="FTK3" s="74"/>
      <c r="FTL3" s="74"/>
      <c r="FTM3" s="74"/>
      <c r="FTN3" s="74"/>
      <c r="FTO3" s="74"/>
      <c r="FTP3" s="74"/>
      <c r="FTQ3" s="74"/>
      <c r="FTR3" s="74"/>
      <c r="FTS3" s="74"/>
      <c r="FTT3" s="74"/>
      <c r="FTU3" s="74"/>
      <c r="FTV3" s="74"/>
      <c r="FTW3" s="74"/>
      <c r="FTX3" s="74"/>
      <c r="FTY3" s="74"/>
      <c r="FTZ3" s="74"/>
      <c r="FUA3" s="74"/>
      <c r="FUB3" s="74"/>
      <c r="FUC3" s="74"/>
      <c r="FUD3" s="74"/>
      <c r="FUE3" s="74"/>
      <c r="FUF3" s="74"/>
      <c r="FUG3" s="74"/>
      <c r="FUH3" s="74"/>
      <c r="FUI3" s="74"/>
      <c r="FUJ3" s="74"/>
      <c r="FUK3" s="74"/>
      <c r="FUL3" s="74"/>
      <c r="FUM3" s="74"/>
      <c r="FUN3" s="74"/>
      <c r="FUO3" s="74"/>
      <c r="FUP3" s="74"/>
      <c r="FUQ3" s="74"/>
      <c r="FUR3" s="74"/>
      <c r="FUS3" s="74"/>
      <c r="FUT3" s="74"/>
      <c r="FUU3" s="74"/>
      <c r="FUV3" s="74"/>
      <c r="FUW3" s="74"/>
      <c r="FUX3" s="74"/>
      <c r="FUY3" s="74"/>
      <c r="FUZ3" s="74"/>
      <c r="FVA3" s="74"/>
      <c r="FVB3" s="74"/>
      <c r="FVC3" s="74"/>
      <c r="FVD3" s="74"/>
      <c r="FVE3" s="74"/>
      <c r="FVF3" s="74"/>
      <c r="FVG3" s="74"/>
      <c r="FVH3" s="74"/>
      <c r="FVI3" s="74"/>
      <c r="FVJ3" s="74"/>
      <c r="FVK3" s="74"/>
      <c r="FVL3" s="74"/>
      <c r="FVM3" s="74"/>
      <c r="FVN3" s="74"/>
      <c r="FVO3" s="74"/>
      <c r="FVP3" s="74"/>
      <c r="FVQ3" s="74"/>
      <c r="FVR3" s="74"/>
      <c r="FVS3" s="74"/>
      <c r="FVT3" s="74"/>
      <c r="FVU3" s="74"/>
      <c r="FVV3" s="74"/>
      <c r="FVW3" s="74"/>
      <c r="FVX3" s="74"/>
      <c r="FVY3" s="74"/>
      <c r="FVZ3" s="74"/>
      <c r="FWA3" s="74"/>
      <c r="FWB3" s="74"/>
      <c r="FWC3" s="74"/>
      <c r="FWD3" s="74"/>
      <c r="FWE3" s="74"/>
      <c r="FWF3" s="74"/>
      <c r="FWG3" s="74"/>
      <c r="FWH3" s="74"/>
      <c r="FWI3" s="74"/>
      <c r="FWJ3" s="74"/>
      <c r="FWK3" s="74"/>
      <c r="FWL3" s="74"/>
      <c r="FWM3" s="74"/>
      <c r="FWN3" s="74"/>
      <c r="FWO3" s="74"/>
      <c r="FWP3" s="74"/>
      <c r="FWQ3" s="74"/>
      <c r="FWR3" s="74"/>
      <c r="FWS3" s="74"/>
      <c r="FWT3" s="74"/>
      <c r="FWU3" s="74"/>
      <c r="FWV3" s="74"/>
      <c r="FWW3" s="74"/>
      <c r="FWX3" s="74"/>
      <c r="FWY3" s="74"/>
      <c r="FWZ3" s="74"/>
      <c r="FXA3" s="74"/>
      <c r="FXB3" s="74"/>
      <c r="FXC3" s="74"/>
      <c r="FXD3" s="74"/>
      <c r="FXE3" s="74"/>
      <c r="FXF3" s="74"/>
      <c r="FXG3" s="74"/>
      <c r="FXH3" s="74"/>
      <c r="FXI3" s="74"/>
      <c r="FXJ3" s="74"/>
      <c r="FXK3" s="74"/>
      <c r="FXL3" s="74"/>
      <c r="FXM3" s="74"/>
      <c r="FXN3" s="74"/>
      <c r="FXO3" s="74"/>
      <c r="FXP3" s="74"/>
      <c r="FXQ3" s="74"/>
      <c r="FXR3" s="74"/>
      <c r="FXS3" s="74"/>
      <c r="FXT3" s="74"/>
      <c r="FXU3" s="74"/>
      <c r="FXV3" s="74"/>
      <c r="FXW3" s="74"/>
      <c r="FXX3" s="74"/>
      <c r="FXY3" s="74"/>
      <c r="FXZ3" s="74"/>
      <c r="FYA3" s="74"/>
      <c r="FYB3" s="74"/>
      <c r="FYC3" s="74"/>
      <c r="FYD3" s="74"/>
      <c r="FYE3" s="74"/>
      <c r="FYF3" s="74"/>
      <c r="FYG3" s="74"/>
      <c r="FYH3" s="74"/>
      <c r="FYI3" s="74"/>
      <c r="FYJ3" s="74"/>
      <c r="FYK3" s="74"/>
      <c r="FYL3" s="74"/>
      <c r="FYM3" s="74"/>
      <c r="FYN3" s="74"/>
      <c r="FYO3" s="74"/>
      <c r="FYP3" s="74"/>
      <c r="FYQ3" s="74"/>
      <c r="FYR3" s="74"/>
      <c r="FYS3" s="74"/>
      <c r="FYT3" s="74"/>
      <c r="FYU3" s="74"/>
      <c r="FYV3" s="74"/>
      <c r="FYW3" s="74"/>
      <c r="FYX3" s="74"/>
      <c r="FYY3" s="74"/>
      <c r="FYZ3" s="74"/>
      <c r="FZA3" s="74"/>
      <c r="FZB3" s="74"/>
      <c r="FZC3" s="74"/>
      <c r="FZD3" s="74"/>
      <c r="FZE3" s="74"/>
      <c r="FZF3" s="74"/>
      <c r="FZG3" s="74"/>
      <c r="FZH3" s="74"/>
      <c r="FZI3" s="74"/>
      <c r="FZJ3" s="74"/>
      <c r="FZK3" s="74"/>
      <c r="FZL3" s="74"/>
      <c r="FZM3" s="74"/>
      <c r="FZN3" s="74"/>
      <c r="FZO3" s="74"/>
      <c r="FZP3" s="74"/>
      <c r="FZQ3" s="74"/>
      <c r="FZR3" s="74"/>
      <c r="FZS3" s="74"/>
      <c r="FZT3" s="74"/>
      <c r="FZU3" s="74"/>
      <c r="FZV3" s="74"/>
      <c r="FZW3" s="74"/>
      <c r="FZX3" s="74"/>
      <c r="FZY3" s="74"/>
      <c r="FZZ3" s="74"/>
      <c r="GAA3" s="74"/>
      <c r="GAB3" s="74"/>
      <c r="GAC3" s="74"/>
      <c r="GAD3" s="74"/>
      <c r="GAE3" s="74"/>
      <c r="GAF3" s="74"/>
      <c r="GAG3" s="74"/>
      <c r="GAH3" s="74"/>
      <c r="GAI3" s="74"/>
      <c r="GAJ3" s="74"/>
      <c r="GAK3" s="74"/>
      <c r="GAL3" s="74"/>
      <c r="GAM3" s="74"/>
      <c r="GAN3" s="74"/>
      <c r="GAO3" s="74"/>
      <c r="GAP3" s="74"/>
      <c r="GAQ3" s="74"/>
      <c r="GAR3" s="74"/>
      <c r="GAS3" s="74"/>
      <c r="GAT3" s="74"/>
      <c r="GAU3" s="74"/>
      <c r="GAV3" s="74"/>
      <c r="GAW3" s="74"/>
      <c r="GAX3" s="74"/>
      <c r="GAY3" s="74"/>
      <c r="GAZ3" s="74"/>
      <c r="GBA3" s="74"/>
      <c r="GBB3" s="74"/>
      <c r="GBC3" s="74"/>
      <c r="GBD3" s="74"/>
      <c r="GBE3" s="74"/>
      <c r="GBF3" s="74"/>
      <c r="GBG3" s="74"/>
      <c r="GBH3" s="74"/>
      <c r="GBI3" s="74"/>
      <c r="GBJ3" s="74"/>
      <c r="GBK3" s="74"/>
      <c r="GBL3" s="74"/>
      <c r="GBM3" s="74"/>
      <c r="GBN3" s="74"/>
      <c r="GBO3" s="74"/>
      <c r="GBP3" s="74"/>
      <c r="GBQ3" s="74"/>
      <c r="GBR3" s="74"/>
      <c r="GBS3" s="74"/>
      <c r="GBT3" s="74"/>
      <c r="GBU3" s="74"/>
      <c r="GBV3" s="74"/>
      <c r="GBW3" s="74"/>
      <c r="GBX3" s="74"/>
      <c r="GBY3" s="74"/>
      <c r="GBZ3" s="74"/>
      <c r="GCA3" s="74"/>
      <c r="GCB3" s="74"/>
      <c r="GCC3" s="74"/>
      <c r="GCD3" s="74"/>
      <c r="GCE3" s="74"/>
      <c r="GCF3" s="74"/>
      <c r="GCG3" s="74"/>
      <c r="GCH3" s="74"/>
      <c r="GCI3" s="74"/>
      <c r="GCJ3" s="74"/>
      <c r="GCK3" s="74"/>
      <c r="GCL3" s="74"/>
      <c r="GCM3" s="74"/>
      <c r="GCN3" s="74"/>
      <c r="GCO3" s="74"/>
      <c r="GCP3" s="74"/>
      <c r="GCQ3" s="74"/>
      <c r="GCR3" s="74"/>
      <c r="GCS3" s="74"/>
      <c r="GCT3" s="74"/>
      <c r="GCU3" s="74"/>
      <c r="GCV3" s="74"/>
      <c r="GCW3" s="74"/>
      <c r="GCX3" s="74"/>
      <c r="GCY3" s="74"/>
      <c r="GCZ3" s="74"/>
      <c r="GDA3" s="74"/>
      <c r="GDB3" s="74"/>
      <c r="GDC3" s="74"/>
      <c r="GDD3" s="74"/>
      <c r="GDE3" s="74"/>
      <c r="GDF3" s="74"/>
      <c r="GDG3" s="74"/>
      <c r="GDH3" s="74"/>
      <c r="GDI3" s="74"/>
      <c r="GDJ3" s="74"/>
      <c r="GDK3" s="74"/>
      <c r="GDL3" s="74"/>
      <c r="GDM3" s="74"/>
      <c r="GDN3" s="74"/>
      <c r="GDO3" s="74"/>
      <c r="GDP3" s="74"/>
      <c r="GDQ3" s="74"/>
      <c r="GDR3" s="74"/>
      <c r="GDS3" s="74"/>
      <c r="GDT3" s="74"/>
      <c r="GDU3" s="74"/>
      <c r="GDV3" s="74"/>
      <c r="GDW3" s="74"/>
      <c r="GDX3" s="74"/>
      <c r="GDY3" s="74"/>
      <c r="GDZ3" s="74"/>
      <c r="GEA3" s="74"/>
      <c r="GEB3" s="74"/>
      <c r="GEC3" s="74"/>
      <c r="GED3" s="74"/>
      <c r="GEE3" s="74"/>
      <c r="GEF3" s="74"/>
      <c r="GEG3" s="74"/>
      <c r="GEH3" s="74"/>
      <c r="GEI3" s="74"/>
      <c r="GEJ3" s="74"/>
      <c r="GEK3" s="74"/>
      <c r="GEL3" s="74"/>
      <c r="GEM3" s="74"/>
      <c r="GEN3" s="74"/>
      <c r="GEO3" s="74"/>
      <c r="GEP3" s="74"/>
      <c r="GEQ3" s="74"/>
      <c r="GER3" s="74"/>
      <c r="GES3" s="74"/>
      <c r="GET3" s="74"/>
      <c r="GEU3" s="74"/>
      <c r="GEV3" s="74"/>
      <c r="GEW3" s="74"/>
      <c r="GEX3" s="74"/>
      <c r="GEY3" s="74"/>
      <c r="GEZ3" s="74"/>
      <c r="GFA3" s="74"/>
      <c r="GFB3" s="74"/>
      <c r="GFC3" s="74"/>
      <c r="GFD3" s="74"/>
      <c r="GFE3" s="74"/>
      <c r="GFF3" s="74"/>
      <c r="GFG3" s="74"/>
      <c r="GFH3" s="74"/>
      <c r="GFI3" s="74"/>
      <c r="GFJ3" s="74"/>
      <c r="GFK3" s="74"/>
      <c r="GFL3" s="74"/>
      <c r="GFM3" s="74"/>
      <c r="GFN3" s="74"/>
      <c r="GFO3" s="74"/>
      <c r="GFP3" s="74"/>
      <c r="GFQ3" s="74"/>
      <c r="GFR3" s="74"/>
      <c r="GFS3" s="74"/>
      <c r="GFT3" s="74"/>
      <c r="GFU3" s="74"/>
      <c r="GFV3" s="74"/>
      <c r="GFW3" s="74"/>
      <c r="GFX3" s="74"/>
      <c r="GFY3" s="74"/>
      <c r="GFZ3" s="74"/>
      <c r="GGA3" s="74"/>
      <c r="GGB3" s="74"/>
      <c r="GGC3" s="74"/>
      <c r="GGD3" s="74"/>
      <c r="GGE3" s="74"/>
      <c r="GGF3" s="74"/>
      <c r="GGG3" s="74"/>
      <c r="GGH3" s="74"/>
      <c r="GGI3" s="74"/>
      <c r="GGJ3" s="74"/>
      <c r="GGK3" s="74"/>
      <c r="GGL3" s="74"/>
      <c r="GGM3" s="74"/>
      <c r="GGN3" s="74"/>
      <c r="GGO3" s="74"/>
      <c r="GGP3" s="74"/>
      <c r="GGQ3" s="74"/>
      <c r="GGR3" s="74"/>
      <c r="GGS3" s="74"/>
      <c r="GGT3" s="74"/>
      <c r="GGU3" s="74"/>
      <c r="GGV3" s="74"/>
      <c r="GGW3" s="74"/>
      <c r="GGX3" s="74"/>
      <c r="GGY3" s="74"/>
      <c r="GGZ3" s="74"/>
      <c r="GHA3" s="74"/>
      <c r="GHB3" s="74"/>
      <c r="GHC3" s="74"/>
      <c r="GHD3" s="74"/>
      <c r="GHE3" s="74"/>
      <c r="GHF3" s="74"/>
      <c r="GHG3" s="74"/>
      <c r="GHH3" s="74"/>
      <c r="GHI3" s="74"/>
      <c r="GHJ3" s="74"/>
      <c r="GHK3" s="74"/>
      <c r="GHL3" s="74"/>
      <c r="GHM3" s="74"/>
      <c r="GHN3" s="74"/>
      <c r="GHO3" s="74"/>
      <c r="GHP3" s="74"/>
      <c r="GHQ3" s="74"/>
      <c r="GHR3" s="74"/>
      <c r="GHS3" s="74"/>
      <c r="GHT3" s="74"/>
      <c r="GHU3" s="74"/>
      <c r="GHV3" s="74"/>
      <c r="GHW3" s="74"/>
      <c r="GHX3" s="74"/>
      <c r="GHY3" s="74"/>
      <c r="GHZ3" s="74"/>
      <c r="GIA3" s="74"/>
      <c r="GIB3" s="74"/>
      <c r="GIC3" s="74"/>
      <c r="GID3" s="74"/>
      <c r="GIE3" s="74"/>
      <c r="GIF3" s="74"/>
      <c r="GIG3" s="74"/>
      <c r="GIH3" s="74"/>
      <c r="GII3" s="74"/>
      <c r="GIJ3" s="74"/>
      <c r="GIK3" s="74"/>
      <c r="GIL3" s="74"/>
      <c r="GIM3" s="74"/>
      <c r="GIN3" s="74"/>
      <c r="GIO3" s="74"/>
      <c r="GIP3" s="74"/>
      <c r="GIQ3" s="74"/>
      <c r="GIR3" s="74"/>
      <c r="GIS3" s="74"/>
      <c r="GIT3" s="74"/>
      <c r="GIU3" s="74"/>
      <c r="GIV3" s="74"/>
      <c r="GIW3" s="74"/>
      <c r="GIX3" s="74"/>
      <c r="GIY3" s="74"/>
      <c r="GIZ3" s="74"/>
      <c r="GJA3" s="74"/>
      <c r="GJB3" s="74"/>
      <c r="GJC3" s="74"/>
      <c r="GJD3" s="74"/>
      <c r="GJE3" s="74"/>
      <c r="GJF3" s="74"/>
      <c r="GJG3" s="74"/>
      <c r="GJH3" s="74"/>
      <c r="GJI3" s="74"/>
      <c r="GJJ3" s="74"/>
      <c r="GJK3" s="74"/>
      <c r="GJL3" s="74"/>
      <c r="GJM3" s="74"/>
      <c r="GJN3" s="74"/>
      <c r="GJO3" s="74"/>
      <c r="GJP3" s="74"/>
      <c r="GJQ3" s="74"/>
      <c r="GJR3" s="74"/>
      <c r="GJS3" s="74"/>
      <c r="GJT3" s="74"/>
      <c r="GJU3" s="74"/>
      <c r="GJV3" s="74"/>
      <c r="GJW3" s="74"/>
      <c r="GJX3" s="74"/>
      <c r="GJY3" s="74"/>
      <c r="GJZ3" s="74"/>
      <c r="GKA3" s="74"/>
      <c r="GKB3" s="74"/>
      <c r="GKC3" s="74"/>
      <c r="GKD3" s="74"/>
      <c r="GKE3" s="74"/>
      <c r="GKF3" s="74"/>
      <c r="GKG3" s="74"/>
      <c r="GKH3" s="74"/>
      <c r="GKI3" s="74"/>
      <c r="GKJ3" s="74"/>
      <c r="GKK3" s="74"/>
      <c r="GKL3" s="74"/>
      <c r="GKM3" s="74"/>
      <c r="GKN3" s="74"/>
      <c r="GKO3" s="74"/>
      <c r="GKP3" s="74"/>
      <c r="GKQ3" s="74"/>
      <c r="GKR3" s="74"/>
      <c r="GKS3" s="74"/>
      <c r="GKT3" s="74"/>
      <c r="GKU3" s="74"/>
      <c r="GKV3" s="74"/>
      <c r="GKW3" s="74"/>
      <c r="GKX3" s="74"/>
      <c r="GKY3" s="74"/>
      <c r="GKZ3" s="74"/>
      <c r="GLA3" s="74"/>
      <c r="GLB3" s="74"/>
      <c r="GLC3" s="74"/>
      <c r="GLD3" s="74"/>
      <c r="GLE3" s="74"/>
      <c r="GLF3" s="74"/>
      <c r="GLG3" s="74"/>
      <c r="GLH3" s="74"/>
      <c r="GLI3" s="74"/>
      <c r="GLJ3" s="74"/>
      <c r="GLK3" s="74"/>
      <c r="GLL3" s="74"/>
      <c r="GLM3" s="74"/>
      <c r="GLN3" s="74"/>
      <c r="GLO3" s="74"/>
      <c r="GLP3" s="74"/>
      <c r="GLQ3" s="74"/>
      <c r="GLR3" s="74"/>
      <c r="GLS3" s="74"/>
      <c r="GLT3" s="74"/>
      <c r="GLU3" s="74"/>
      <c r="GLV3" s="74"/>
      <c r="GLW3" s="74"/>
      <c r="GLX3" s="74"/>
      <c r="GLY3" s="74"/>
      <c r="GLZ3" s="74"/>
      <c r="GMA3" s="74"/>
      <c r="GMB3" s="74"/>
      <c r="GMC3" s="74"/>
      <c r="GMD3" s="74"/>
      <c r="GME3" s="74"/>
      <c r="GMF3" s="74"/>
      <c r="GMG3" s="74"/>
      <c r="GMH3" s="74"/>
      <c r="GMI3" s="74"/>
      <c r="GMJ3" s="74"/>
      <c r="GMK3" s="74"/>
      <c r="GML3" s="74"/>
      <c r="GMM3" s="74"/>
      <c r="GMN3" s="74"/>
      <c r="GMO3" s="74"/>
      <c r="GMP3" s="74"/>
      <c r="GMQ3" s="74"/>
      <c r="GMR3" s="74"/>
      <c r="GMS3" s="74"/>
      <c r="GMT3" s="74"/>
      <c r="GMU3" s="74"/>
      <c r="GMV3" s="74"/>
      <c r="GMW3" s="74"/>
      <c r="GMX3" s="74"/>
      <c r="GMY3" s="74"/>
      <c r="GMZ3" s="74"/>
      <c r="GNA3" s="74"/>
      <c r="GNB3" s="74"/>
      <c r="GNC3" s="74"/>
      <c r="GND3" s="74"/>
      <c r="GNE3" s="74"/>
      <c r="GNF3" s="74"/>
      <c r="GNG3" s="74"/>
      <c r="GNH3" s="74"/>
      <c r="GNI3" s="74"/>
      <c r="GNJ3" s="74"/>
      <c r="GNK3" s="74"/>
      <c r="GNL3" s="74"/>
      <c r="GNM3" s="74"/>
      <c r="GNN3" s="74"/>
      <c r="GNO3" s="74"/>
      <c r="GNP3" s="74"/>
      <c r="GNQ3" s="74"/>
      <c r="GNR3" s="74"/>
      <c r="GNS3" s="74"/>
      <c r="GNT3" s="74"/>
      <c r="GNU3" s="74"/>
      <c r="GNV3" s="74"/>
      <c r="GNW3" s="74"/>
      <c r="GNX3" s="74"/>
      <c r="GNY3" s="74"/>
      <c r="GNZ3" s="74"/>
      <c r="GOA3" s="74"/>
      <c r="GOB3" s="74"/>
      <c r="GOC3" s="74"/>
      <c r="GOD3" s="74"/>
      <c r="GOE3" s="74"/>
      <c r="GOF3" s="74"/>
      <c r="GOG3" s="74"/>
      <c r="GOH3" s="74"/>
      <c r="GOI3" s="74"/>
      <c r="GOJ3" s="74"/>
      <c r="GOK3" s="74"/>
      <c r="GOL3" s="74"/>
      <c r="GOM3" s="74"/>
      <c r="GON3" s="74"/>
      <c r="GOO3" s="74"/>
      <c r="GOP3" s="74"/>
      <c r="GOQ3" s="74"/>
      <c r="GOR3" s="74"/>
      <c r="GOS3" s="74"/>
      <c r="GOT3" s="74"/>
      <c r="GOU3" s="74"/>
      <c r="GOV3" s="74"/>
      <c r="GOW3" s="74"/>
      <c r="GOX3" s="74"/>
      <c r="GOY3" s="74"/>
      <c r="GOZ3" s="74"/>
      <c r="GPA3" s="74"/>
      <c r="GPB3" s="74"/>
      <c r="GPC3" s="74"/>
      <c r="GPD3" s="74"/>
      <c r="GPE3" s="74"/>
      <c r="GPF3" s="74"/>
      <c r="GPG3" s="74"/>
      <c r="GPH3" s="74"/>
      <c r="GPI3" s="74"/>
      <c r="GPJ3" s="74"/>
      <c r="GPK3" s="74"/>
      <c r="GPL3" s="74"/>
      <c r="GPM3" s="74"/>
      <c r="GPN3" s="74"/>
      <c r="GPO3" s="74"/>
      <c r="GPP3" s="74"/>
      <c r="GPQ3" s="74"/>
      <c r="GPR3" s="74"/>
      <c r="GPS3" s="74"/>
      <c r="GPT3" s="74"/>
      <c r="GPU3" s="74"/>
      <c r="GPV3" s="74"/>
      <c r="GPW3" s="74"/>
      <c r="GPX3" s="74"/>
      <c r="GPY3" s="74"/>
      <c r="GPZ3" s="74"/>
      <c r="GQA3" s="74"/>
      <c r="GQB3" s="74"/>
      <c r="GQC3" s="74"/>
      <c r="GQD3" s="74"/>
      <c r="GQE3" s="74"/>
      <c r="GQF3" s="74"/>
      <c r="GQG3" s="74"/>
      <c r="GQH3" s="74"/>
      <c r="GQI3" s="74"/>
      <c r="GQJ3" s="74"/>
      <c r="GQK3" s="74"/>
      <c r="GQL3" s="74"/>
      <c r="GQM3" s="74"/>
      <c r="GQN3" s="74"/>
      <c r="GQO3" s="74"/>
      <c r="GQP3" s="74"/>
      <c r="GQQ3" s="74"/>
      <c r="GQR3" s="74"/>
      <c r="GQS3" s="74"/>
      <c r="GQT3" s="74"/>
      <c r="GQU3" s="74"/>
      <c r="GQV3" s="74"/>
      <c r="GQW3" s="74"/>
      <c r="GQX3" s="74"/>
      <c r="GQY3" s="74"/>
      <c r="GQZ3" s="74"/>
      <c r="GRA3" s="74"/>
      <c r="GRB3" s="74"/>
      <c r="GRC3" s="74"/>
      <c r="GRD3" s="74"/>
      <c r="GRE3" s="74"/>
      <c r="GRF3" s="74"/>
      <c r="GRG3" s="74"/>
      <c r="GRH3" s="74"/>
      <c r="GRI3" s="74"/>
      <c r="GRJ3" s="74"/>
      <c r="GRK3" s="74"/>
      <c r="GRL3" s="74"/>
      <c r="GRM3" s="74"/>
      <c r="GRN3" s="74"/>
      <c r="GRO3" s="74"/>
      <c r="GRP3" s="74"/>
      <c r="GRQ3" s="74"/>
      <c r="GRR3" s="74"/>
      <c r="GRS3" s="74"/>
      <c r="GRT3" s="74"/>
      <c r="GRU3" s="74"/>
      <c r="GRV3" s="74"/>
      <c r="GRW3" s="74"/>
      <c r="GRX3" s="74"/>
      <c r="GRY3" s="74"/>
      <c r="GRZ3" s="74"/>
      <c r="GSA3" s="74"/>
      <c r="GSB3" s="74"/>
      <c r="GSC3" s="74"/>
      <c r="GSD3" s="74"/>
      <c r="GSE3" s="74"/>
      <c r="GSF3" s="74"/>
      <c r="GSG3" s="74"/>
      <c r="GSH3" s="74"/>
      <c r="GSI3" s="74"/>
      <c r="GSJ3" s="74"/>
      <c r="GSK3" s="74"/>
      <c r="GSL3" s="74"/>
      <c r="GSM3" s="74"/>
      <c r="GSN3" s="74"/>
      <c r="GSO3" s="74"/>
      <c r="GSP3" s="74"/>
      <c r="GSQ3" s="74"/>
      <c r="GSR3" s="74"/>
      <c r="GSS3" s="74"/>
      <c r="GST3" s="74"/>
      <c r="GSU3" s="74"/>
      <c r="GSV3" s="74"/>
      <c r="GSW3" s="74"/>
      <c r="GSX3" s="74"/>
      <c r="GSY3" s="74"/>
      <c r="GSZ3" s="74"/>
      <c r="GTA3" s="74"/>
      <c r="GTB3" s="74"/>
      <c r="GTC3" s="74"/>
      <c r="GTD3" s="74"/>
      <c r="GTE3" s="74"/>
      <c r="GTF3" s="74"/>
      <c r="GTG3" s="74"/>
      <c r="GTH3" s="74"/>
      <c r="GTI3" s="74"/>
      <c r="GTJ3" s="74"/>
      <c r="GTK3" s="74"/>
      <c r="GTL3" s="74"/>
      <c r="GTM3" s="74"/>
      <c r="GTN3" s="74"/>
      <c r="GTO3" s="74"/>
      <c r="GTP3" s="74"/>
      <c r="GTQ3" s="74"/>
      <c r="GTR3" s="74"/>
      <c r="GTS3" s="74"/>
      <c r="GTT3" s="74"/>
      <c r="GTU3" s="74"/>
      <c r="GTV3" s="74"/>
      <c r="GTW3" s="74"/>
      <c r="GTX3" s="74"/>
      <c r="GTY3" s="74"/>
      <c r="GTZ3" s="74"/>
      <c r="GUA3" s="74"/>
      <c r="GUB3" s="74"/>
      <c r="GUC3" s="74"/>
      <c r="GUD3" s="74"/>
      <c r="GUE3" s="74"/>
      <c r="GUF3" s="74"/>
      <c r="GUG3" s="74"/>
      <c r="GUH3" s="74"/>
      <c r="GUI3" s="74"/>
      <c r="GUJ3" s="74"/>
      <c r="GUK3" s="74"/>
      <c r="GUL3" s="74"/>
      <c r="GUM3" s="74"/>
      <c r="GUN3" s="74"/>
      <c r="GUO3" s="74"/>
      <c r="GUP3" s="74"/>
      <c r="GUQ3" s="74"/>
      <c r="GUR3" s="74"/>
      <c r="GUS3" s="74"/>
      <c r="GUT3" s="74"/>
      <c r="GUU3" s="74"/>
      <c r="GUV3" s="74"/>
      <c r="GUW3" s="74"/>
      <c r="GUX3" s="74"/>
      <c r="GUY3" s="74"/>
      <c r="GUZ3" s="74"/>
      <c r="GVA3" s="74"/>
      <c r="GVB3" s="74"/>
      <c r="GVC3" s="74"/>
      <c r="GVD3" s="74"/>
      <c r="GVE3" s="74"/>
      <c r="GVF3" s="74"/>
      <c r="GVG3" s="74"/>
      <c r="GVH3" s="74"/>
      <c r="GVI3" s="74"/>
      <c r="GVJ3" s="74"/>
      <c r="GVK3" s="74"/>
      <c r="GVL3" s="74"/>
      <c r="GVM3" s="74"/>
      <c r="GVN3" s="74"/>
      <c r="GVO3" s="74"/>
      <c r="GVP3" s="74"/>
      <c r="GVQ3" s="74"/>
      <c r="GVR3" s="74"/>
      <c r="GVS3" s="74"/>
      <c r="GVT3" s="74"/>
      <c r="GVU3" s="74"/>
      <c r="GVV3" s="74"/>
      <c r="GVW3" s="74"/>
      <c r="GVX3" s="74"/>
      <c r="GVY3" s="74"/>
      <c r="GVZ3" s="74"/>
      <c r="GWA3" s="74"/>
      <c r="GWB3" s="74"/>
      <c r="GWC3" s="74"/>
      <c r="GWD3" s="74"/>
      <c r="GWE3" s="74"/>
      <c r="GWF3" s="74"/>
      <c r="GWG3" s="74"/>
      <c r="GWH3" s="74"/>
      <c r="GWI3" s="74"/>
      <c r="GWJ3" s="74"/>
      <c r="GWK3" s="74"/>
      <c r="GWL3" s="74"/>
      <c r="GWM3" s="74"/>
      <c r="GWN3" s="74"/>
      <c r="GWO3" s="74"/>
      <c r="GWP3" s="74"/>
      <c r="GWQ3" s="74"/>
      <c r="GWR3" s="74"/>
      <c r="GWS3" s="74"/>
      <c r="GWT3" s="74"/>
      <c r="GWU3" s="74"/>
      <c r="GWV3" s="74"/>
      <c r="GWW3" s="74"/>
      <c r="GWX3" s="74"/>
      <c r="GWY3" s="74"/>
      <c r="GWZ3" s="74"/>
      <c r="GXA3" s="74"/>
      <c r="GXB3" s="74"/>
      <c r="GXC3" s="74"/>
      <c r="GXD3" s="74"/>
      <c r="GXE3" s="74"/>
      <c r="GXF3" s="74"/>
      <c r="GXG3" s="74"/>
      <c r="GXH3" s="74"/>
      <c r="GXI3" s="74"/>
      <c r="GXJ3" s="74"/>
      <c r="GXK3" s="74"/>
      <c r="GXL3" s="74"/>
      <c r="GXM3" s="74"/>
      <c r="GXN3" s="74"/>
      <c r="GXO3" s="74"/>
      <c r="GXP3" s="74"/>
      <c r="GXQ3" s="74"/>
      <c r="GXR3" s="74"/>
      <c r="GXS3" s="74"/>
      <c r="GXT3" s="74"/>
      <c r="GXU3" s="74"/>
      <c r="GXV3" s="74"/>
      <c r="GXW3" s="74"/>
      <c r="GXX3" s="74"/>
      <c r="GXY3" s="74"/>
      <c r="GXZ3" s="74"/>
      <c r="GYA3" s="74"/>
      <c r="GYB3" s="74"/>
      <c r="GYC3" s="74"/>
      <c r="GYD3" s="74"/>
      <c r="GYE3" s="74"/>
      <c r="GYF3" s="74"/>
      <c r="GYG3" s="74"/>
      <c r="GYH3" s="74"/>
      <c r="GYI3" s="74"/>
      <c r="GYJ3" s="74"/>
      <c r="GYK3" s="74"/>
      <c r="GYL3" s="74"/>
      <c r="GYM3" s="74"/>
      <c r="GYN3" s="74"/>
      <c r="GYO3" s="74"/>
      <c r="GYP3" s="74"/>
      <c r="GYQ3" s="74"/>
      <c r="GYR3" s="74"/>
      <c r="GYS3" s="74"/>
      <c r="GYT3" s="74"/>
      <c r="GYU3" s="74"/>
      <c r="GYV3" s="74"/>
      <c r="GYW3" s="74"/>
      <c r="GYX3" s="74"/>
      <c r="GYY3" s="74"/>
      <c r="GYZ3" s="74"/>
      <c r="GZA3" s="74"/>
      <c r="GZB3" s="74"/>
      <c r="GZC3" s="74"/>
      <c r="GZD3" s="74"/>
      <c r="GZE3" s="74"/>
      <c r="GZF3" s="74"/>
      <c r="GZG3" s="74"/>
      <c r="GZH3" s="74"/>
      <c r="GZI3" s="74"/>
      <c r="GZJ3" s="74"/>
      <c r="GZK3" s="74"/>
      <c r="GZL3" s="74"/>
      <c r="GZM3" s="74"/>
      <c r="GZN3" s="74"/>
      <c r="GZO3" s="74"/>
      <c r="GZP3" s="74"/>
      <c r="GZQ3" s="74"/>
      <c r="GZR3" s="74"/>
      <c r="GZS3" s="74"/>
      <c r="GZT3" s="74"/>
      <c r="GZU3" s="74"/>
      <c r="GZV3" s="74"/>
      <c r="GZW3" s="74"/>
      <c r="GZX3" s="74"/>
      <c r="GZY3" s="74"/>
      <c r="GZZ3" s="74"/>
      <c r="HAA3" s="74"/>
      <c r="HAB3" s="74"/>
      <c r="HAC3" s="74"/>
      <c r="HAD3" s="74"/>
      <c r="HAE3" s="74"/>
      <c r="HAF3" s="74"/>
      <c r="HAG3" s="74"/>
      <c r="HAH3" s="74"/>
      <c r="HAI3" s="74"/>
      <c r="HAJ3" s="74"/>
      <c r="HAK3" s="74"/>
      <c r="HAL3" s="74"/>
      <c r="HAM3" s="74"/>
      <c r="HAN3" s="74"/>
      <c r="HAO3" s="74"/>
      <c r="HAP3" s="74"/>
      <c r="HAQ3" s="74"/>
      <c r="HAR3" s="74"/>
      <c r="HAS3" s="74"/>
      <c r="HAT3" s="74"/>
      <c r="HAU3" s="74"/>
      <c r="HAV3" s="74"/>
      <c r="HAW3" s="74"/>
      <c r="HAX3" s="74"/>
      <c r="HAY3" s="74"/>
      <c r="HAZ3" s="74"/>
      <c r="HBA3" s="74"/>
      <c r="HBB3" s="74"/>
      <c r="HBC3" s="74"/>
      <c r="HBD3" s="74"/>
      <c r="HBE3" s="74"/>
      <c r="HBF3" s="74"/>
      <c r="HBG3" s="74"/>
      <c r="HBH3" s="74"/>
      <c r="HBI3" s="74"/>
      <c r="HBJ3" s="74"/>
      <c r="HBK3" s="74"/>
      <c r="HBL3" s="74"/>
      <c r="HBM3" s="74"/>
      <c r="HBN3" s="74"/>
      <c r="HBO3" s="74"/>
      <c r="HBP3" s="74"/>
      <c r="HBQ3" s="74"/>
      <c r="HBR3" s="74"/>
      <c r="HBS3" s="74"/>
      <c r="HBT3" s="74"/>
      <c r="HBU3" s="74"/>
      <c r="HBV3" s="74"/>
      <c r="HBW3" s="74"/>
      <c r="HBX3" s="74"/>
      <c r="HBY3" s="74"/>
      <c r="HBZ3" s="74"/>
      <c r="HCA3" s="74"/>
      <c r="HCB3" s="74"/>
      <c r="HCC3" s="74"/>
      <c r="HCD3" s="74"/>
      <c r="HCE3" s="74"/>
      <c r="HCF3" s="74"/>
      <c r="HCG3" s="74"/>
      <c r="HCH3" s="74"/>
      <c r="HCI3" s="74"/>
      <c r="HCJ3" s="74"/>
      <c r="HCK3" s="74"/>
      <c r="HCL3" s="74"/>
      <c r="HCM3" s="74"/>
      <c r="HCN3" s="74"/>
      <c r="HCO3" s="74"/>
      <c r="HCP3" s="74"/>
      <c r="HCQ3" s="74"/>
      <c r="HCR3" s="74"/>
      <c r="HCS3" s="74"/>
      <c r="HCT3" s="74"/>
      <c r="HCU3" s="74"/>
      <c r="HCV3" s="74"/>
      <c r="HCW3" s="74"/>
      <c r="HCX3" s="74"/>
      <c r="HCY3" s="74"/>
      <c r="HCZ3" s="74"/>
      <c r="HDA3" s="74"/>
      <c r="HDB3" s="74"/>
      <c r="HDC3" s="74"/>
      <c r="HDD3" s="74"/>
      <c r="HDE3" s="74"/>
      <c r="HDF3" s="74"/>
      <c r="HDG3" s="74"/>
      <c r="HDH3" s="74"/>
      <c r="HDI3" s="74"/>
      <c r="HDJ3" s="74"/>
      <c r="HDK3" s="74"/>
      <c r="HDL3" s="74"/>
      <c r="HDM3" s="74"/>
      <c r="HDN3" s="74"/>
      <c r="HDO3" s="74"/>
      <c r="HDP3" s="74"/>
      <c r="HDQ3" s="74"/>
      <c r="HDR3" s="74"/>
      <c r="HDS3" s="74"/>
      <c r="HDT3" s="74"/>
      <c r="HDU3" s="74"/>
      <c r="HDV3" s="74"/>
      <c r="HDW3" s="74"/>
      <c r="HDX3" s="74"/>
      <c r="HDY3" s="74"/>
      <c r="HDZ3" s="74"/>
      <c r="HEA3" s="74"/>
      <c r="HEB3" s="74"/>
      <c r="HEC3" s="74"/>
      <c r="HED3" s="74"/>
      <c r="HEE3" s="74"/>
      <c r="HEF3" s="74"/>
      <c r="HEG3" s="74"/>
      <c r="HEH3" s="74"/>
      <c r="HEI3" s="74"/>
      <c r="HEJ3" s="74"/>
      <c r="HEK3" s="74"/>
      <c r="HEL3" s="74"/>
      <c r="HEM3" s="74"/>
      <c r="HEN3" s="74"/>
      <c r="HEO3" s="74"/>
      <c r="HEP3" s="74"/>
      <c r="HEQ3" s="74"/>
      <c r="HER3" s="74"/>
      <c r="HES3" s="74"/>
      <c r="HET3" s="74"/>
      <c r="HEU3" s="74"/>
      <c r="HEV3" s="74"/>
      <c r="HEW3" s="74"/>
      <c r="HEX3" s="74"/>
      <c r="HEY3" s="74"/>
      <c r="HEZ3" s="74"/>
      <c r="HFA3" s="74"/>
      <c r="HFB3" s="74"/>
      <c r="HFC3" s="74"/>
      <c r="HFD3" s="74"/>
      <c r="HFE3" s="74"/>
      <c r="HFF3" s="74"/>
      <c r="HFG3" s="74"/>
      <c r="HFH3" s="74"/>
      <c r="HFI3" s="74"/>
      <c r="HFJ3" s="74"/>
      <c r="HFK3" s="74"/>
      <c r="HFL3" s="74"/>
      <c r="HFM3" s="74"/>
      <c r="HFN3" s="74"/>
      <c r="HFO3" s="74"/>
      <c r="HFP3" s="74"/>
      <c r="HFQ3" s="74"/>
      <c r="HFR3" s="74"/>
      <c r="HFS3" s="74"/>
      <c r="HFT3" s="74"/>
      <c r="HFU3" s="74"/>
      <c r="HFV3" s="74"/>
      <c r="HFW3" s="74"/>
      <c r="HFX3" s="74"/>
      <c r="HFY3" s="74"/>
      <c r="HFZ3" s="74"/>
      <c r="HGA3" s="74"/>
      <c r="HGB3" s="74"/>
      <c r="HGC3" s="74"/>
      <c r="HGD3" s="74"/>
      <c r="HGE3" s="74"/>
      <c r="HGF3" s="74"/>
      <c r="HGG3" s="74"/>
      <c r="HGH3" s="74"/>
      <c r="HGI3" s="74"/>
      <c r="HGJ3" s="74"/>
      <c r="HGK3" s="74"/>
      <c r="HGL3" s="74"/>
      <c r="HGM3" s="74"/>
      <c r="HGN3" s="74"/>
      <c r="HGO3" s="74"/>
      <c r="HGP3" s="74"/>
      <c r="HGQ3" s="74"/>
      <c r="HGR3" s="74"/>
      <c r="HGS3" s="74"/>
      <c r="HGT3" s="74"/>
      <c r="HGU3" s="74"/>
      <c r="HGV3" s="74"/>
      <c r="HGW3" s="74"/>
      <c r="HGX3" s="74"/>
      <c r="HGY3" s="74"/>
      <c r="HGZ3" s="74"/>
      <c r="HHA3" s="74"/>
      <c r="HHB3" s="74"/>
      <c r="HHC3" s="74"/>
      <c r="HHD3" s="74"/>
      <c r="HHE3" s="74"/>
      <c r="HHF3" s="74"/>
      <c r="HHG3" s="74"/>
      <c r="HHH3" s="74"/>
      <c r="HHI3" s="74"/>
      <c r="HHJ3" s="74"/>
      <c r="HHK3" s="74"/>
      <c r="HHL3" s="74"/>
      <c r="HHM3" s="74"/>
      <c r="HHN3" s="74"/>
      <c r="HHO3" s="74"/>
      <c r="HHP3" s="74"/>
      <c r="HHQ3" s="74"/>
      <c r="HHR3" s="74"/>
      <c r="HHS3" s="74"/>
      <c r="HHT3" s="74"/>
      <c r="HHU3" s="74"/>
      <c r="HHV3" s="74"/>
      <c r="HHW3" s="74"/>
      <c r="HHX3" s="74"/>
      <c r="HHY3" s="74"/>
      <c r="HHZ3" s="74"/>
      <c r="HIA3" s="74"/>
      <c r="HIB3" s="74"/>
      <c r="HIC3" s="74"/>
      <c r="HID3" s="74"/>
      <c r="HIE3" s="74"/>
      <c r="HIF3" s="74"/>
      <c r="HIG3" s="74"/>
      <c r="HIH3" s="74"/>
      <c r="HII3" s="74"/>
      <c r="HIJ3" s="74"/>
      <c r="HIK3" s="74"/>
      <c r="HIL3" s="74"/>
      <c r="HIM3" s="74"/>
      <c r="HIN3" s="74"/>
      <c r="HIO3" s="74"/>
      <c r="HIP3" s="74"/>
      <c r="HIQ3" s="74"/>
      <c r="HIR3" s="74"/>
      <c r="HIS3" s="74"/>
      <c r="HIT3" s="74"/>
      <c r="HIU3" s="74"/>
      <c r="HIV3" s="74"/>
      <c r="HIW3" s="74"/>
      <c r="HIX3" s="74"/>
      <c r="HIY3" s="74"/>
      <c r="HIZ3" s="74"/>
      <c r="HJA3" s="74"/>
      <c r="HJB3" s="74"/>
      <c r="HJC3" s="74"/>
      <c r="HJD3" s="74"/>
      <c r="HJE3" s="74"/>
      <c r="HJF3" s="74"/>
      <c r="HJG3" s="74"/>
      <c r="HJH3" s="74"/>
      <c r="HJI3" s="74"/>
      <c r="HJJ3" s="74"/>
      <c r="HJK3" s="74"/>
      <c r="HJL3" s="74"/>
      <c r="HJM3" s="74"/>
      <c r="HJN3" s="74"/>
      <c r="HJO3" s="74"/>
      <c r="HJP3" s="74"/>
      <c r="HJQ3" s="74"/>
      <c r="HJR3" s="74"/>
      <c r="HJS3" s="74"/>
      <c r="HJT3" s="74"/>
      <c r="HJU3" s="74"/>
      <c r="HJV3" s="74"/>
      <c r="HJW3" s="74"/>
      <c r="HJX3" s="74"/>
      <c r="HJY3" s="74"/>
      <c r="HJZ3" s="74"/>
      <c r="HKA3" s="74"/>
      <c r="HKB3" s="74"/>
      <c r="HKC3" s="74"/>
      <c r="HKD3" s="74"/>
      <c r="HKE3" s="74"/>
      <c r="HKF3" s="74"/>
      <c r="HKG3" s="74"/>
      <c r="HKH3" s="74"/>
      <c r="HKI3" s="74"/>
      <c r="HKJ3" s="74"/>
      <c r="HKK3" s="74"/>
      <c r="HKL3" s="74"/>
      <c r="HKM3" s="74"/>
      <c r="HKN3" s="74"/>
      <c r="HKO3" s="74"/>
      <c r="HKP3" s="74"/>
      <c r="HKQ3" s="74"/>
      <c r="HKR3" s="74"/>
      <c r="HKS3" s="74"/>
      <c r="HKT3" s="74"/>
      <c r="HKU3" s="74"/>
      <c r="HKV3" s="74"/>
      <c r="HKW3" s="74"/>
      <c r="HKX3" s="74"/>
      <c r="HKY3" s="74"/>
      <c r="HKZ3" s="74"/>
      <c r="HLA3" s="74"/>
      <c r="HLB3" s="74"/>
      <c r="HLC3" s="74"/>
      <c r="HLD3" s="74"/>
      <c r="HLE3" s="74"/>
      <c r="HLF3" s="74"/>
      <c r="HLG3" s="74"/>
      <c r="HLH3" s="74"/>
      <c r="HLI3" s="74"/>
      <c r="HLJ3" s="74"/>
      <c r="HLK3" s="74"/>
      <c r="HLL3" s="74"/>
      <c r="HLM3" s="74"/>
      <c r="HLN3" s="74"/>
      <c r="HLO3" s="74"/>
      <c r="HLP3" s="74"/>
      <c r="HLQ3" s="74"/>
      <c r="HLR3" s="74"/>
      <c r="HLS3" s="74"/>
      <c r="HLT3" s="74"/>
      <c r="HLU3" s="74"/>
      <c r="HLV3" s="74"/>
      <c r="HLW3" s="74"/>
      <c r="HLX3" s="74"/>
      <c r="HLY3" s="74"/>
      <c r="HLZ3" s="74"/>
      <c r="HMA3" s="74"/>
      <c r="HMB3" s="74"/>
      <c r="HMC3" s="74"/>
      <c r="HMD3" s="74"/>
      <c r="HME3" s="74"/>
      <c r="HMF3" s="74"/>
      <c r="HMG3" s="74"/>
      <c r="HMH3" s="74"/>
      <c r="HMI3" s="74"/>
      <c r="HMJ3" s="74"/>
      <c r="HMK3" s="74"/>
      <c r="HML3" s="74"/>
      <c r="HMM3" s="74"/>
      <c r="HMN3" s="74"/>
      <c r="HMO3" s="74"/>
      <c r="HMP3" s="74"/>
      <c r="HMQ3" s="74"/>
      <c r="HMR3" s="74"/>
      <c r="HMS3" s="74"/>
      <c r="HMT3" s="74"/>
      <c r="HMU3" s="74"/>
      <c r="HMV3" s="74"/>
      <c r="HMW3" s="74"/>
      <c r="HMX3" s="74"/>
      <c r="HMY3" s="74"/>
      <c r="HMZ3" s="74"/>
      <c r="HNA3" s="74"/>
      <c r="HNB3" s="74"/>
      <c r="HNC3" s="74"/>
      <c r="HND3" s="74"/>
      <c r="HNE3" s="74"/>
      <c r="HNF3" s="74"/>
      <c r="HNG3" s="74"/>
      <c r="HNH3" s="74"/>
      <c r="HNI3" s="74"/>
      <c r="HNJ3" s="74"/>
      <c r="HNK3" s="74"/>
      <c r="HNL3" s="74"/>
      <c r="HNM3" s="74"/>
      <c r="HNN3" s="74"/>
      <c r="HNO3" s="74"/>
      <c r="HNP3" s="74"/>
      <c r="HNQ3" s="74"/>
      <c r="HNR3" s="74"/>
      <c r="HNS3" s="74"/>
      <c r="HNT3" s="74"/>
      <c r="HNU3" s="74"/>
      <c r="HNV3" s="74"/>
      <c r="HNW3" s="74"/>
      <c r="HNX3" s="74"/>
      <c r="HNY3" s="74"/>
      <c r="HNZ3" s="74"/>
      <c r="HOA3" s="74"/>
      <c r="HOB3" s="74"/>
      <c r="HOC3" s="74"/>
      <c r="HOD3" s="74"/>
      <c r="HOE3" s="74"/>
      <c r="HOF3" s="74"/>
      <c r="HOG3" s="74"/>
      <c r="HOH3" s="74"/>
      <c r="HOI3" s="74"/>
      <c r="HOJ3" s="74"/>
      <c r="HOK3" s="74"/>
      <c r="HOL3" s="74"/>
      <c r="HOM3" s="74"/>
      <c r="HON3" s="74"/>
      <c r="HOO3" s="74"/>
      <c r="HOP3" s="74"/>
      <c r="HOQ3" s="74"/>
      <c r="HOR3" s="74"/>
      <c r="HOS3" s="74"/>
      <c r="HOT3" s="74"/>
      <c r="HOU3" s="74"/>
      <c r="HOV3" s="74"/>
      <c r="HOW3" s="74"/>
      <c r="HOX3" s="74"/>
      <c r="HOY3" s="74"/>
      <c r="HOZ3" s="74"/>
      <c r="HPA3" s="74"/>
      <c r="HPB3" s="74"/>
      <c r="HPC3" s="74"/>
      <c r="HPD3" s="74"/>
      <c r="HPE3" s="74"/>
      <c r="HPF3" s="74"/>
      <c r="HPG3" s="74"/>
      <c r="HPH3" s="74"/>
      <c r="HPI3" s="74"/>
      <c r="HPJ3" s="74"/>
      <c r="HPK3" s="74"/>
      <c r="HPL3" s="74"/>
      <c r="HPM3" s="74"/>
      <c r="HPN3" s="74"/>
      <c r="HPO3" s="74"/>
      <c r="HPP3" s="74"/>
      <c r="HPQ3" s="74"/>
      <c r="HPR3" s="74"/>
      <c r="HPS3" s="74"/>
      <c r="HPT3" s="74"/>
      <c r="HPU3" s="74"/>
      <c r="HPV3" s="74"/>
      <c r="HPW3" s="74"/>
      <c r="HPX3" s="74"/>
      <c r="HPY3" s="74"/>
      <c r="HPZ3" s="74"/>
      <c r="HQA3" s="74"/>
      <c r="HQB3" s="74"/>
      <c r="HQC3" s="74"/>
      <c r="HQD3" s="74"/>
      <c r="HQE3" s="74"/>
      <c r="HQF3" s="74"/>
      <c r="HQG3" s="74"/>
      <c r="HQH3" s="74"/>
      <c r="HQI3" s="74"/>
      <c r="HQJ3" s="74"/>
      <c r="HQK3" s="74"/>
      <c r="HQL3" s="74"/>
      <c r="HQM3" s="74"/>
      <c r="HQN3" s="74"/>
      <c r="HQO3" s="74"/>
      <c r="HQP3" s="74"/>
      <c r="HQQ3" s="74"/>
      <c r="HQR3" s="74"/>
      <c r="HQS3" s="74"/>
      <c r="HQT3" s="74"/>
      <c r="HQU3" s="74"/>
      <c r="HQV3" s="74"/>
      <c r="HQW3" s="74"/>
      <c r="HQX3" s="74"/>
      <c r="HQY3" s="74"/>
      <c r="HQZ3" s="74"/>
      <c r="HRA3" s="74"/>
      <c r="HRB3" s="74"/>
      <c r="HRC3" s="74"/>
      <c r="HRD3" s="74"/>
      <c r="HRE3" s="74"/>
      <c r="HRF3" s="74"/>
      <c r="HRG3" s="74"/>
      <c r="HRH3" s="74"/>
      <c r="HRI3" s="74"/>
      <c r="HRJ3" s="74"/>
      <c r="HRK3" s="74"/>
      <c r="HRL3" s="74"/>
      <c r="HRM3" s="74"/>
      <c r="HRN3" s="74"/>
      <c r="HRO3" s="74"/>
      <c r="HRP3" s="74"/>
      <c r="HRQ3" s="74"/>
      <c r="HRR3" s="74"/>
      <c r="HRS3" s="74"/>
      <c r="HRT3" s="74"/>
      <c r="HRU3" s="74"/>
      <c r="HRV3" s="74"/>
      <c r="HRW3" s="74"/>
      <c r="HRX3" s="74"/>
      <c r="HRY3" s="74"/>
      <c r="HRZ3" s="74"/>
      <c r="HSA3" s="74"/>
      <c r="HSB3" s="74"/>
      <c r="HSC3" s="74"/>
      <c r="HSD3" s="74"/>
      <c r="HSE3" s="74"/>
      <c r="HSF3" s="74"/>
      <c r="HSG3" s="74"/>
      <c r="HSH3" s="74"/>
      <c r="HSI3" s="74"/>
      <c r="HSJ3" s="74"/>
      <c r="HSK3" s="74"/>
      <c r="HSL3" s="74"/>
      <c r="HSM3" s="74"/>
      <c r="HSN3" s="74"/>
      <c r="HSO3" s="74"/>
      <c r="HSP3" s="74"/>
      <c r="HSQ3" s="74"/>
      <c r="HSR3" s="74"/>
      <c r="HSS3" s="74"/>
      <c r="HST3" s="74"/>
      <c r="HSU3" s="74"/>
      <c r="HSV3" s="74"/>
      <c r="HSW3" s="74"/>
      <c r="HSX3" s="74"/>
      <c r="HSY3" s="74"/>
      <c r="HSZ3" s="74"/>
      <c r="HTA3" s="74"/>
      <c r="HTB3" s="74"/>
      <c r="HTC3" s="74"/>
      <c r="HTD3" s="74"/>
      <c r="HTE3" s="74"/>
      <c r="HTF3" s="74"/>
      <c r="HTG3" s="74"/>
      <c r="HTH3" s="74"/>
      <c r="HTI3" s="74"/>
      <c r="HTJ3" s="74"/>
      <c r="HTK3" s="74"/>
      <c r="HTL3" s="74"/>
      <c r="HTM3" s="74"/>
      <c r="HTN3" s="74"/>
      <c r="HTO3" s="74"/>
      <c r="HTP3" s="74"/>
      <c r="HTQ3" s="74"/>
      <c r="HTR3" s="74"/>
      <c r="HTS3" s="74"/>
      <c r="HTT3" s="74"/>
      <c r="HTU3" s="74"/>
      <c r="HTV3" s="74"/>
      <c r="HTW3" s="74"/>
      <c r="HTX3" s="74"/>
      <c r="HTY3" s="74"/>
      <c r="HTZ3" s="74"/>
      <c r="HUA3" s="74"/>
      <c r="HUB3" s="74"/>
      <c r="HUC3" s="74"/>
      <c r="HUD3" s="74"/>
      <c r="HUE3" s="74"/>
      <c r="HUF3" s="74"/>
      <c r="HUG3" s="74"/>
      <c r="HUH3" s="74"/>
      <c r="HUI3" s="74"/>
      <c r="HUJ3" s="74"/>
      <c r="HUK3" s="74"/>
      <c r="HUL3" s="74"/>
      <c r="HUM3" s="74"/>
      <c r="HUN3" s="74"/>
      <c r="HUO3" s="74"/>
      <c r="HUP3" s="74"/>
      <c r="HUQ3" s="74"/>
      <c r="HUR3" s="74"/>
      <c r="HUS3" s="74"/>
      <c r="HUT3" s="74"/>
      <c r="HUU3" s="74"/>
      <c r="HUV3" s="74"/>
      <c r="HUW3" s="74"/>
      <c r="HUX3" s="74"/>
      <c r="HUY3" s="74"/>
      <c r="HUZ3" s="74"/>
      <c r="HVA3" s="74"/>
      <c r="HVB3" s="74"/>
      <c r="HVC3" s="74"/>
      <c r="HVD3" s="74"/>
      <c r="HVE3" s="74"/>
      <c r="HVF3" s="74"/>
      <c r="HVG3" s="74"/>
      <c r="HVH3" s="74"/>
      <c r="HVI3" s="74"/>
      <c r="HVJ3" s="74"/>
      <c r="HVK3" s="74"/>
      <c r="HVL3" s="74"/>
      <c r="HVM3" s="74"/>
      <c r="HVN3" s="74"/>
      <c r="HVO3" s="74"/>
      <c r="HVP3" s="74"/>
      <c r="HVQ3" s="74"/>
      <c r="HVR3" s="74"/>
      <c r="HVS3" s="74"/>
      <c r="HVT3" s="74"/>
      <c r="HVU3" s="74"/>
      <c r="HVV3" s="74"/>
      <c r="HVW3" s="74"/>
      <c r="HVX3" s="74"/>
      <c r="HVY3" s="74"/>
      <c r="HVZ3" s="74"/>
      <c r="HWA3" s="74"/>
      <c r="HWB3" s="74"/>
      <c r="HWC3" s="74"/>
      <c r="HWD3" s="74"/>
      <c r="HWE3" s="74"/>
      <c r="HWF3" s="74"/>
      <c r="HWG3" s="74"/>
      <c r="HWH3" s="74"/>
      <c r="HWI3" s="74"/>
      <c r="HWJ3" s="74"/>
      <c r="HWK3" s="74"/>
      <c r="HWL3" s="74"/>
      <c r="HWM3" s="74"/>
      <c r="HWN3" s="74"/>
      <c r="HWO3" s="74"/>
      <c r="HWP3" s="74"/>
      <c r="HWQ3" s="74"/>
      <c r="HWR3" s="74"/>
      <c r="HWS3" s="74"/>
      <c r="HWT3" s="74"/>
      <c r="HWU3" s="74"/>
      <c r="HWV3" s="74"/>
      <c r="HWW3" s="74"/>
      <c r="HWX3" s="74"/>
      <c r="HWY3" s="74"/>
      <c r="HWZ3" s="74"/>
      <c r="HXA3" s="74"/>
      <c r="HXB3" s="74"/>
      <c r="HXC3" s="74"/>
      <c r="HXD3" s="74"/>
      <c r="HXE3" s="74"/>
      <c r="HXF3" s="74"/>
      <c r="HXG3" s="74"/>
      <c r="HXH3" s="74"/>
      <c r="HXI3" s="74"/>
      <c r="HXJ3" s="74"/>
      <c r="HXK3" s="74"/>
      <c r="HXL3" s="74"/>
      <c r="HXM3" s="74"/>
      <c r="HXN3" s="74"/>
      <c r="HXO3" s="74"/>
      <c r="HXP3" s="74"/>
      <c r="HXQ3" s="74"/>
      <c r="HXR3" s="74"/>
      <c r="HXS3" s="74"/>
      <c r="HXT3" s="74"/>
      <c r="HXU3" s="74"/>
      <c r="HXV3" s="74"/>
      <c r="HXW3" s="74"/>
      <c r="HXX3" s="74"/>
      <c r="HXY3" s="74"/>
      <c r="HXZ3" s="74"/>
      <c r="HYA3" s="74"/>
      <c r="HYB3" s="74"/>
      <c r="HYC3" s="74"/>
      <c r="HYD3" s="74"/>
      <c r="HYE3" s="74"/>
      <c r="HYF3" s="74"/>
      <c r="HYG3" s="74"/>
      <c r="HYH3" s="74"/>
      <c r="HYI3" s="74"/>
      <c r="HYJ3" s="74"/>
      <c r="HYK3" s="74"/>
      <c r="HYL3" s="74"/>
      <c r="HYM3" s="74"/>
      <c r="HYN3" s="74"/>
      <c r="HYO3" s="74"/>
      <c r="HYP3" s="74"/>
      <c r="HYQ3" s="74"/>
      <c r="HYR3" s="74"/>
      <c r="HYS3" s="74"/>
      <c r="HYT3" s="74"/>
      <c r="HYU3" s="74"/>
      <c r="HYV3" s="74"/>
      <c r="HYW3" s="74"/>
      <c r="HYX3" s="74"/>
      <c r="HYY3" s="74"/>
      <c r="HYZ3" s="74"/>
      <c r="HZA3" s="74"/>
      <c r="HZB3" s="74"/>
      <c r="HZC3" s="74"/>
      <c r="HZD3" s="74"/>
      <c r="HZE3" s="74"/>
      <c r="HZF3" s="74"/>
      <c r="HZG3" s="74"/>
      <c r="HZH3" s="74"/>
      <c r="HZI3" s="74"/>
      <c r="HZJ3" s="74"/>
      <c r="HZK3" s="74"/>
      <c r="HZL3" s="74"/>
      <c r="HZM3" s="74"/>
      <c r="HZN3" s="74"/>
      <c r="HZO3" s="74"/>
      <c r="HZP3" s="74"/>
      <c r="HZQ3" s="74"/>
      <c r="HZR3" s="74"/>
      <c r="HZS3" s="74"/>
      <c r="HZT3" s="74"/>
      <c r="HZU3" s="74"/>
      <c r="HZV3" s="74"/>
      <c r="HZW3" s="74"/>
      <c r="HZX3" s="74"/>
      <c r="HZY3" s="74"/>
      <c r="HZZ3" s="74"/>
      <c r="IAA3" s="74"/>
      <c r="IAB3" s="74"/>
      <c r="IAC3" s="74"/>
      <c r="IAD3" s="74"/>
      <c r="IAE3" s="74"/>
      <c r="IAF3" s="74"/>
      <c r="IAG3" s="74"/>
      <c r="IAH3" s="74"/>
      <c r="IAI3" s="74"/>
      <c r="IAJ3" s="74"/>
      <c r="IAK3" s="74"/>
      <c r="IAL3" s="74"/>
      <c r="IAM3" s="74"/>
      <c r="IAN3" s="74"/>
      <c r="IAO3" s="74"/>
      <c r="IAP3" s="74"/>
      <c r="IAQ3" s="74"/>
      <c r="IAR3" s="74"/>
      <c r="IAS3" s="74"/>
      <c r="IAT3" s="74"/>
      <c r="IAU3" s="74"/>
      <c r="IAV3" s="74"/>
      <c r="IAW3" s="74"/>
      <c r="IAX3" s="74"/>
      <c r="IAY3" s="74"/>
      <c r="IAZ3" s="74"/>
      <c r="IBA3" s="74"/>
      <c r="IBB3" s="74"/>
      <c r="IBC3" s="74"/>
      <c r="IBD3" s="74"/>
      <c r="IBE3" s="74"/>
      <c r="IBF3" s="74"/>
      <c r="IBG3" s="74"/>
      <c r="IBH3" s="74"/>
      <c r="IBI3" s="74"/>
      <c r="IBJ3" s="74"/>
      <c r="IBK3" s="74"/>
      <c r="IBL3" s="74"/>
      <c r="IBM3" s="74"/>
      <c r="IBN3" s="74"/>
      <c r="IBO3" s="74"/>
      <c r="IBP3" s="74"/>
      <c r="IBQ3" s="74"/>
      <c r="IBR3" s="74"/>
      <c r="IBS3" s="74"/>
      <c r="IBT3" s="74"/>
      <c r="IBU3" s="74"/>
      <c r="IBV3" s="74"/>
      <c r="IBW3" s="74"/>
      <c r="IBX3" s="74"/>
      <c r="IBY3" s="74"/>
      <c r="IBZ3" s="74"/>
      <c r="ICA3" s="74"/>
      <c r="ICB3" s="74"/>
      <c r="ICC3" s="74"/>
      <c r="ICD3" s="74"/>
      <c r="ICE3" s="74"/>
      <c r="ICF3" s="74"/>
      <c r="ICG3" s="74"/>
      <c r="ICH3" s="74"/>
      <c r="ICI3" s="74"/>
      <c r="ICJ3" s="74"/>
      <c r="ICK3" s="74"/>
      <c r="ICL3" s="74"/>
      <c r="ICM3" s="74"/>
      <c r="ICN3" s="74"/>
      <c r="ICO3" s="74"/>
      <c r="ICP3" s="74"/>
      <c r="ICQ3" s="74"/>
      <c r="ICR3" s="74"/>
      <c r="ICS3" s="74"/>
      <c r="ICT3" s="74"/>
      <c r="ICU3" s="74"/>
      <c r="ICV3" s="74"/>
      <c r="ICW3" s="74"/>
      <c r="ICX3" s="74"/>
      <c r="ICY3" s="74"/>
      <c r="ICZ3" s="74"/>
      <c r="IDA3" s="74"/>
      <c r="IDB3" s="74"/>
      <c r="IDC3" s="74"/>
      <c r="IDD3" s="74"/>
      <c r="IDE3" s="74"/>
      <c r="IDF3" s="74"/>
      <c r="IDG3" s="74"/>
      <c r="IDH3" s="74"/>
      <c r="IDI3" s="74"/>
      <c r="IDJ3" s="74"/>
      <c r="IDK3" s="74"/>
      <c r="IDL3" s="74"/>
      <c r="IDM3" s="74"/>
      <c r="IDN3" s="74"/>
      <c r="IDO3" s="74"/>
      <c r="IDP3" s="74"/>
      <c r="IDQ3" s="74"/>
      <c r="IDR3" s="74"/>
      <c r="IDS3" s="74"/>
      <c r="IDT3" s="74"/>
      <c r="IDU3" s="74"/>
      <c r="IDV3" s="74"/>
      <c r="IDW3" s="74"/>
      <c r="IDX3" s="74"/>
      <c r="IDY3" s="74"/>
      <c r="IDZ3" s="74"/>
      <c r="IEA3" s="74"/>
      <c r="IEB3" s="74"/>
      <c r="IEC3" s="74"/>
      <c r="IED3" s="74"/>
      <c r="IEE3" s="74"/>
      <c r="IEF3" s="74"/>
      <c r="IEG3" s="74"/>
      <c r="IEH3" s="74"/>
      <c r="IEI3" s="74"/>
      <c r="IEJ3" s="74"/>
      <c r="IEK3" s="74"/>
      <c r="IEL3" s="74"/>
      <c r="IEM3" s="74"/>
      <c r="IEN3" s="74"/>
      <c r="IEO3" s="74"/>
      <c r="IEP3" s="74"/>
      <c r="IEQ3" s="74"/>
      <c r="IER3" s="74"/>
      <c r="IES3" s="74"/>
      <c r="IET3" s="74"/>
      <c r="IEU3" s="74"/>
      <c r="IEV3" s="74"/>
      <c r="IEW3" s="74"/>
      <c r="IEX3" s="74"/>
      <c r="IEY3" s="74"/>
      <c r="IEZ3" s="74"/>
      <c r="IFA3" s="74"/>
      <c r="IFB3" s="74"/>
      <c r="IFC3" s="74"/>
      <c r="IFD3" s="74"/>
      <c r="IFE3" s="74"/>
      <c r="IFF3" s="74"/>
      <c r="IFG3" s="74"/>
      <c r="IFH3" s="74"/>
      <c r="IFI3" s="74"/>
      <c r="IFJ3" s="74"/>
      <c r="IFK3" s="74"/>
      <c r="IFL3" s="74"/>
      <c r="IFM3" s="74"/>
      <c r="IFN3" s="74"/>
      <c r="IFO3" s="74"/>
      <c r="IFP3" s="74"/>
      <c r="IFQ3" s="74"/>
      <c r="IFR3" s="74"/>
      <c r="IFS3" s="74"/>
      <c r="IFT3" s="74"/>
      <c r="IFU3" s="74"/>
      <c r="IFV3" s="74"/>
      <c r="IFW3" s="74"/>
      <c r="IFX3" s="74"/>
      <c r="IFY3" s="74"/>
      <c r="IFZ3" s="74"/>
      <c r="IGA3" s="74"/>
      <c r="IGB3" s="74"/>
      <c r="IGC3" s="74"/>
      <c r="IGD3" s="74"/>
      <c r="IGE3" s="74"/>
      <c r="IGF3" s="74"/>
      <c r="IGG3" s="74"/>
      <c r="IGH3" s="74"/>
      <c r="IGI3" s="74"/>
      <c r="IGJ3" s="74"/>
      <c r="IGK3" s="74"/>
      <c r="IGL3" s="74"/>
      <c r="IGM3" s="74"/>
      <c r="IGN3" s="74"/>
      <c r="IGO3" s="74"/>
      <c r="IGP3" s="74"/>
      <c r="IGQ3" s="74"/>
      <c r="IGR3" s="74"/>
      <c r="IGS3" s="74"/>
      <c r="IGT3" s="74"/>
      <c r="IGU3" s="74"/>
      <c r="IGV3" s="74"/>
      <c r="IGW3" s="74"/>
      <c r="IGX3" s="74"/>
      <c r="IGY3" s="74"/>
      <c r="IGZ3" s="74"/>
      <c r="IHA3" s="74"/>
      <c r="IHB3" s="74"/>
      <c r="IHC3" s="74"/>
      <c r="IHD3" s="74"/>
      <c r="IHE3" s="74"/>
      <c r="IHF3" s="74"/>
      <c r="IHG3" s="74"/>
      <c r="IHH3" s="74"/>
      <c r="IHI3" s="74"/>
      <c r="IHJ3" s="74"/>
      <c r="IHK3" s="74"/>
      <c r="IHL3" s="74"/>
      <c r="IHM3" s="74"/>
      <c r="IHN3" s="74"/>
      <c r="IHO3" s="74"/>
      <c r="IHP3" s="74"/>
      <c r="IHQ3" s="74"/>
      <c r="IHR3" s="74"/>
      <c r="IHS3" s="74"/>
      <c r="IHT3" s="74"/>
      <c r="IHU3" s="74"/>
      <c r="IHV3" s="74"/>
      <c r="IHW3" s="74"/>
      <c r="IHX3" s="74"/>
      <c r="IHY3" s="74"/>
      <c r="IHZ3" s="74"/>
      <c r="IIA3" s="74"/>
      <c r="IIB3" s="74"/>
      <c r="IIC3" s="74"/>
      <c r="IID3" s="74"/>
      <c r="IIE3" s="74"/>
      <c r="IIF3" s="74"/>
      <c r="IIG3" s="74"/>
      <c r="IIH3" s="74"/>
      <c r="III3" s="74"/>
      <c r="IIJ3" s="74"/>
      <c r="IIK3" s="74"/>
      <c r="IIL3" s="74"/>
      <c r="IIM3" s="74"/>
      <c r="IIN3" s="74"/>
      <c r="IIO3" s="74"/>
      <c r="IIP3" s="74"/>
      <c r="IIQ3" s="74"/>
      <c r="IIR3" s="74"/>
      <c r="IIS3" s="74"/>
      <c r="IIT3" s="74"/>
      <c r="IIU3" s="74"/>
      <c r="IIV3" s="74"/>
      <c r="IIW3" s="74"/>
      <c r="IIX3" s="74"/>
      <c r="IIY3" s="74"/>
      <c r="IIZ3" s="74"/>
      <c r="IJA3" s="74"/>
      <c r="IJB3" s="74"/>
      <c r="IJC3" s="74"/>
      <c r="IJD3" s="74"/>
      <c r="IJE3" s="74"/>
      <c r="IJF3" s="74"/>
      <c r="IJG3" s="74"/>
      <c r="IJH3" s="74"/>
      <c r="IJI3" s="74"/>
      <c r="IJJ3" s="74"/>
      <c r="IJK3" s="74"/>
      <c r="IJL3" s="74"/>
      <c r="IJM3" s="74"/>
      <c r="IJN3" s="74"/>
      <c r="IJO3" s="74"/>
      <c r="IJP3" s="74"/>
      <c r="IJQ3" s="74"/>
      <c r="IJR3" s="74"/>
      <c r="IJS3" s="74"/>
      <c r="IJT3" s="74"/>
      <c r="IJU3" s="74"/>
      <c r="IJV3" s="74"/>
      <c r="IJW3" s="74"/>
      <c r="IJX3" s="74"/>
      <c r="IJY3" s="74"/>
      <c r="IJZ3" s="74"/>
      <c r="IKA3" s="74"/>
      <c r="IKB3" s="74"/>
      <c r="IKC3" s="74"/>
      <c r="IKD3" s="74"/>
      <c r="IKE3" s="74"/>
      <c r="IKF3" s="74"/>
      <c r="IKG3" s="74"/>
      <c r="IKH3" s="74"/>
      <c r="IKI3" s="74"/>
      <c r="IKJ3" s="74"/>
      <c r="IKK3" s="74"/>
      <c r="IKL3" s="74"/>
      <c r="IKM3" s="74"/>
      <c r="IKN3" s="74"/>
      <c r="IKO3" s="74"/>
      <c r="IKP3" s="74"/>
      <c r="IKQ3" s="74"/>
      <c r="IKR3" s="74"/>
      <c r="IKS3" s="74"/>
      <c r="IKT3" s="74"/>
      <c r="IKU3" s="74"/>
      <c r="IKV3" s="74"/>
      <c r="IKW3" s="74"/>
      <c r="IKX3" s="74"/>
      <c r="IKY3" s="74"/>
      <c r="IKZ3" s="74"/>
      <c r="ILA3" s="74"/>
      <c r="ILB3" s="74"/>
      <c r="ILC3" s="74"/>
      <c r="ILD3" s="74"/>
      <c r="ILE3" s="74"/>
      <c r="ILF3" s="74"/>
      <c r="ILG3" s="74"/>
      <c r="ILH3" s="74"/>
      <c r="ILI3" s="74"/>
      <c r="ILJ3" s="74"/>
      <c r="ILK3" s="74"/>
      <c r="ILL3" s="74"/>
      <c r="ILM3" s="74"/>
      <c r="ILN3" s="74"/>
      <c r="ILO3" s="74"/>
      <c r="ILP3" s="74"/>
      <c r="ILQ3" s="74"/>
      <c r="ILR3" s="74"/>
      <c r="ILS3" s="74"/>
      <c r="ILT3" s="74"/>
      <c r="ILU3" s="74"/>
      <c r="ILV3" s="74"/>
      <c r="ILW3" s="74"/>
      <c r="ILX3" s="74"/>
      <c r="ILY3" s="74"/>
      <c r="ILZ3" s="74"/>
      <c r="IMA3" s="74"/>
      <c r="IMB3" s="74"/>
      <c r="IMC3" s="74"/>
      <c r="IMD3" s="74"/>
      <c r="IME3" s="74"/>
      <c r="IMF3" s="74"/>
      <c r="IMG3" s="74"/>
      <c r="IMH3" s="74"/>
      <c r="IMI3" s="74"/>
      <c r="IMJ3" s="74"/>
      <c r="IMK3" s="74"/>
      <c r="IML3" s="74"/>
      <c r="IMM3" s="74"/>
      <c r="IMN3" s="74"/>
      <c r="IMO3" s="74"/>
      <c r="IMP3" s="74"/>
      <c r="IMQ3" s="74"/>
      <c r="IMR3" s="74"/>
      <c r="IMS3" s="74"/>
      <c r="IMT3" s="74"/>
      <c r="IMU3" s="74"/>
      <c r="IMV3" s="74"/>
      <c r="IMW3" s="74"/>
      <c r="IMX3" s="74"/>
      <c r="IMY3" s="74"/>
      <c r="IMZ3" s="74"/>
      <c r="INA3" s="74"/>
      <c r="INB3" s="74"/>
      <c r="INC3" s="74"/>
      <c r="IND3" s="74"/>
      <c r="INE3" s="74"/>
      <c r="INF3" s="74"/>
      <c r="ING3" s="74"/>
      <c r="INH3" s="74"/>
      <c r="INI3" s="74"/>
      <c r="INJ3" s="74"/>
      <c r="INK3" s="74"/>
      <c r="INL3" s="74"/>
      <c r="INM3" s="74"/>
      <c r="INN3" s="74"/>
      <c r="INO3" s="74"/>
      <c r="INP3" s="74"/>
      <c r="INQ3" s="74"/>
      <c r="INR3" s="74"/>
      <c r="INS3" s="74"/>
      <c r="INT3" s="74"/>
      <c r="INU3" s="74"/>
      <c r="INV3" s="74"/>
      <c r="INW3" s="74"/>
      <c r="INX3" s="74"/>
      <c r="INY3" s="74"/>
      <c r="INZ3" s="74"/>
      <c r="IOA3" s="74"/>
      <c r="IOB3" s="74"/>
      <c r="IOC3" s="74"/>
      <c r="IOD3" s="74"/>
      <c r="IOE3" s="74"/>
      <c r="IOF3" s="74"/>
      <c r="IOG3" s="74"/>
      <c r="IOH3" s="74"/>
      <c r="IOI3" s="74"/>
      <c r="IOJ3" s="74"/>
      <c r="IOK3" s="74"/>
      <c r="IOL3" s="74"/>
      <c r="IOM3" s="74"/>
      <c r="ION3" s="74"/>
      <c r="IOO3" s="74"/>
      <c r="IOP3" s="74"/>
      <c r="IOQ3" s="74"/>
      <c r="IOR3" s="74"/>
      <c r="IOS3" s="74"/>
      <c r="IOT3" s="74"/>
      <c r="IOU3" s="74"/>
      <c r="IOV3" s="74"/>
      <c r="IOW3" s="74"/>
      <c r="IOX3" s="74"/>
      <c r="IOY3" s="74"/>
      <c r="IOZ3" s="74"/>
      <c r="IPA3" s="74"/>
      <c r="IPB3" s="74"/>
      <c r="IPC3" s="74"/>
      <c r="IPD3" s="74"/>
      <c r="IPE3" s="74"/>
      <c r="IPF3" s="74"/>
      <c r="IPG3" s="74"/>
      <c r="IPH3" s="74"/>
      <c r="IPI3" s="74"/>
      <c r="IPJ3" s="74"/>
      <c r="IPK3" s="74"/>
      <c r="IPL3" s="74"/>
      <c r="IPM3" s="74"/>
      <c r="IPN3" s="74"/>
      <c r="IPO3" s="74"/>
      <c r="IPP3" s="74"/>
      <c r="IPQ3" s="74"/>
      <c r="IPR3" s="74"/>
      <c r="IPS3" s="74"/>
      <c r="IPT3" s="74"/>
      <c r="IPU3" s="74"/>
      <c r="IPV3" s="74"/>
      <c r="IPW3" s="74"/>
      <c r="IPX3" s="74"/>
      <c r="IPY3" s="74"/>
      <c r="IPZ3" s="74"/>
      <c r="IQA3" s="74"/>
      <c r="IQB3" s="74"/>
      <c r="IQC3" s="74"/>
      <c r="IQD3" s="74"/>
      <c r="IQE3" s="74"/>
      <c r="IQF3" s="74"/>
      <c r="IQG3" s="74"/>
      <c r="IQH3" s="74"/>
      <c r="IQI3" s="74"/>
      <c r="IQJ3" s="74"/>
      <c r="IQK3" s="74"/>
      <c r="IQL3" s="74"/>
      <c r="IQM3" s="74"/>
      <c r="IQN3" s="74"/>
      <c r="IQO3" s="74"/>
      <c r="IQP3" s="74"/>
      <c r="IQQ3" s="74"/>
      <c r="IQR3" s="74"/>
      <c r="IQS3" s="74"/>
      <c r="IQT3" s="74"/>
      <c r="IQU3" s="74"/>
      <c r="IQV3" s="74"/>
      <c r="IQW3" s="74"/>
      <c r="IQX3" s="74"/>
      <c r="IQY3" s="74"/>
      <c r="IQZ3" s="74"/>
      <c r="IRA3" s="74"/>
      <c r="IRB3" s="74"/>
      <c r="IRC3" s="74"/>
      <c r="IRD3" s="74"/>
      <c r="IRE3" s="74"/>
      <c r="IRF3" s="74"/>
      <c r="IRG3" s="74"/>
      <c r="IRH3" s="74"/>
      <c r="IRI3" s="74"/>
      <c r="IRJ3" s="74"/>
      <c r="IRK3" s="74"/>
      <c r="IRL3" s="74"/>
      <c r="IRM3" s="74"/>
      <c r="IRN3" s="74"/>
      <c r="IRO3" s="74"/>
      <c r="IRP3" s="74"/>
      <c r="IRQ3" s="74"/>
      <c r="IRR3" s="74"/>
      <c r="IRS3" s="74"/>
      <c r="IRT3" s="74"/>
      <c r="IRU3" s="74"/>
      <c r="IRV3" s="74"/>
      <c r="IRW3" s="74"/>
      <c r="IRX3" s="74"/>
      <c r="IRY3" s="74"/>
      <c r="IRZ3" s="74"/>
      <c r="ISA3" s="74"/>
      <c r="ISB3" s="74"/>
      <c r="ISC3" s="74"/>
      <c r="ISD3" s="74"/>
      <c r="ISE3" s="74"/>
      <c r="ISF3" s="74"/>
      <c r="ISG3" s="74"/>
      <c r="ISH3" s="74"/>
      <c r="ISI3" s="74"/>
      <c r="ISJ3" s="74"/>
      <c r="ISK3" s="74"/>
      <c r="ISL3" s="74"/>
      <c r="ISM3" s="74"/>
      <c r="ISN3" s="74"/>
      <c r="ISO3" s="74"/>
      <c r="ISP3" s="74"/>
      <c r="ISQ3" s="74"/>
      <c r="ISR3" s="74"/>
      <c r="ISS3" s="74"/>
      <c r="IST3" s="74"/>
      <c r="ISU3" s="74"/>
      <c r="ISV3" s="74"/>
      <c r="ISW3" s="74"/>
      <c r="ISX3" s="74"/>
      <c r="ISY3" s="74"/>
      <c r="ISZ3" s="74"/>
      <c r="ITA3" s="74"/>
      <c r="ITB3" s="74"/>
      <c r="ITC3" s="74"/>
      <c r="ITD3" s="74"/>
      <c r="ITE3" s="74"/>
      <c r="ITF3" s="74"/>
      <c r="ITG3" s="74"/>
      <c r="ITH3" s="74"/>
      <c r="ITI3" s="74"/>
      <c r="ITJ3" s="74"/>
      <c r="ITK3" s="74"/>
      <c r="ITL3" s="74"/>
      <c r="ITM3" s="74"/>
      <c r="ITN3" s="74"/>
      <c r="ITO3" s="74"/>
      <c r="ITP3" s="74"/>
      <c r="ITQ3" s="74"/>
      <c r="ITR3" s="74"/>
      <c r="ITS3" s="74"/>
      <c r="ITT3" s="74"/>
      <c r="ITU3" s="74"/>
      <c r="ITV3" s="74"/>
      <c r="ITW3" s="74"/>
      <c r="ITX3" s="74"/>
      <c r="ITY3" s="74"/>
      <c r="ITZ3" s="74"/>
      <c r="IUA3" s="74"/>
      <c r="IUB3" s="74"/>
      <c r="IUC3" s="74"/>
      <c r="IUD3" s="74"/>
      <c r="IUE3" s="74"/>
      <c r="IUF3" s="74"/>
      <c r="IUG3" s="74"/>
      <c r="IUH3" s="74"/>
      <c r="IUI3" s="74"/>
      <c r="IUJ3" s="74"/>
      <c r="IUK3" s="74"/>
      <c r="IUL3" s="74"/>
      <c r="IUM3" s="74"/>
      <c r="IUN3" s="74"/>
      <c r="IUO3" s="74"/>
      <c r="IUP3" s="74"/>
      <c r="IUQ3" s="74"/>
      <c r="IUR3" s="74"/>
      <c r="IUS3" s="74"/>
      <c r="IUT3" s="74"/>
      <c r="IUU3" s="74"/>
      <c r="IUV3" s="74"/>
      <c r="IUW3" s="74"/>
      <c r="IUX3" s="74"/>
      <c r="IUY3" s="74"/>
      <c r="IUZ3" s="74"/>
      <c r="IVA3" s="74"/>
      <c r="IVB3" s="74"/>
      <c r="IVC3" s="74"/>
      <c r="IVD3" s="74"/>
      <c r="IVE3" s="74"/>
      <c r="IVF3" s="74"/>
      <c r="IVG3" s="74"/>
      <c r="IVH3" s="74"/>
      <c r="IVI3" s="74"/>
      <c r="IVJ3" s="74"/>
      <c r="IVK3" s="74"/>
      <c r="IVL3" s="74"/>
      <c r="IVM3" s="74"/>
      <c r="IVN3" s="74"/>
      <c r="IVO3" s="74"/>
      <c r="IVP3" s="74"/>
      <c r="IVQ3" s="74"/>
      <c r="IVR3" s="74"/>
      <c r="IVS3" s="74"/>
      <c r="IVT3" s="74"/>
      <c r="IVU3" s="74"/>
      <c r="IVV3" s="74"/>
      <c r="IVW3" s="74"/>
      <c r="IVX3" s="74"/>
      <c r="IVY3" s="74"/>
      <c r="IVZ3" s="74"/>
      <c r="IWA3" s="74"/>
      <c r="IWB3" s="74"/>
      <c r="IWC3" s="74"/>
      <c r="IWD3" s="74"/>
      <c r="IWE3" s="74"/>
      <c r="IWF3" s="74"/>
      <c r="IWG3" s="74"/>
      <c r="IWH3" s="74"/>
      <c r="IWI3" s="74"/>
      <c r="IWJ3" s="74"/>
      <c r="IWK3" s="74"/>
      <c r="IWL3" s="74"/>
      <c r="IWM3" s="74"/>
      <c r="IWN3" s="74"/>
      <c r="IWO3" s="74"/>
      <c r="IWP3" s="74"/>
      <c r="IWQ3" s="74"/>
      <c r="IWR3" s="74"/>
      <c r="IWS3" s="74"/>
      <c r="IWT3" s="74"/>
      <c r="IWU3" s="74"/>
      <c r="IWV3" s="74"/>
      <c r="IWW3" s="74"/>
      <c r="IWX3" s="74"/>
      <c r="IWY3" s="74"/>
      <c r="IWZ3" s="74"/>
      <c r="IXA3" s="74"/>
      <c r="IXB3" s="74"/>
      <c r="IXC3" s="74"/>
      <c r="IXD3" s="74"/>
      <c r="IXE3" s="74"/>
      <c r="IXF3" s="74"/>
      <c r="IXG3" s="74"/>
      <c r="IXH3" s="74"/>
      <c r="IXI3" s="74"/>
      <c r="IXJ3" s="74"/>
      <c r="IXK3" s="74"/>
      <c r="IXL3" s="74"/>
      <c r="IXM3" s="74"/>
      <c r="IXN3" s="74"/>
      <c r="IXO3" s="74"/>
      <c r="IXP3" s="74"/>
      <c r="IXQ3" s="74"/>
      <c r="IXR3" s="74"/>
      <c r="IXS3" s="74"/>
      <c r="IXT3" s="74"/>
      <c r="IXU3" s="74"/>
      <c r="IXV3" s="74"/>
      <c r="IXW3" s="74"/>
      <c r="IXX3" s="74"/>
      <c r="IXY3" s="74"/>
      <c r="IXZ3" s="74"/>
      <c r="IYA3" s="74"/>
      <c r="IYB3" s="74"/>
      <c r="IYC3" s="74"/>
      <c r="IYD3" s="74"/>
      <c r="IYE3" s="74"/>
      <c r="IYF3" s="74"/>
      <c r="IYG3" s="74"/>
      <c r="IYH3" s="74"/>
      <c r="IYI3" s="74"/>
      <c r="IYJ3" s="74"/>
      <c r="IYK3" s="74"/>
      <c r="IYL3" s="74"/>
      <c r="IYM3" s="74"/>
      <c r="IYN3" s="74"/>
      <c r="IYO3" s="74"/>
      <c r="IYP3" s="74"/>
      <c r="IYQ3" s="74"/>
      <c r="IYR3" s="74"/>
      <c r="IYS3" s="74"/>
      <c r="IYT3" s="74"/>
      <c r="IYU3" s="74"/>
      <c r="IYV3" s="74"/>
      <c r="IYW3" s="74"/>
      <c r="IYX3" s="74"/>
      <c r="IYY3" s="74"/>
      <c r="IYZ3" s="74"/>
      <c r="IZA3" s="74"/>
      <c r="IZB3" s="74"/>
      <c r="IZC3" s="74"/>
      <c r="IZD3" s="74"/>
      <c r="IZE3" s="74"/>
      <c r="IZF3" s="74"/>
      <c r="IZG3" s="74"/>
      <c r="IZH3" s="74"/>
      <c r="IZI3" s="74"/>
      <c r="IZJ3" s="74"/>
      <c r="IZK3" s="74"/>
      <c r="IZL3" s="74"/>
      <c r="IZM3" s="74"/>
      <c r="IZN3" s="74"/>
      <c r="IZO3" s="74"/>
      <c r="IZP3" s="74"/>
      <c r="IZQ3" s="74"/>
      <c r="IZR3" s="74"/>
      <c r="IZS3" s="74"/>
      <c r="IZT3" s="74"/>
      <c r="IZU3" s="74"/>
      <c r="IZV3" s="74"/>
      <c r="IZW3" s="74"/>
      <c r="IZX3" s="74"/>
      <c r="IZY3" s="74"/>
      <c r="IZZ3" s="74"/>
      <c r="JAA3" s="74"/>
      <c r="JAB3" s="74"/>
      <c r="JAC3" s="74"/>
      <c r="JAD3" s="74"/>
      <c r="JAE3" s="74"/>
      <c r="JAF3" s="74"/>
      <c r="JAG3" s="74"/>
      <c r="JAH3" s="74"/>
      <c r="JAI3" s="74"/>
      <c r="JAJ3" s="74"/>
      <c r="JAK3" s="74"/>
      <c r="JAL3" s="74"/>
      <c r="JAM3" s="74"/>
      <c r="JAN3" s="74"/>
      <c r="JAO3" s="74"/>
      <c r="JAP3" s="74"/>
      <c r="JAQ3" s="74"/>
      <c r="JAR3" s="74"/>
      <c r="JAS3" s="74"/>
      <c r="JAT3" s="74"/>
      <c r="JAU3" s="74"/>
      <c r="JAV3" s="74"/>
      <c r="JAW3" s="74"/>
      <c r="JAX3" s="74"/>
      <c r="JAY3" s="74"/>
      <c r="JAZ3" s="74"/>
      <c r="JBA3" s="74"/>
      <c r="JBB3" s="74"/>
      <c r="JBC3" s="74"/>
      <c r="JBD3" s="74"/>
      <c r="JBE3" s="74"/>
      <c r="JBF3" s="74"/>
      <c r="JBG3" s="74"/>
      <c r="JBH3" s="74"/>
      <c r="JBI3" s="74"/>
      <c r="JBJ3" s="74"/>
      <c r="JBK3" s="74"/>
      <c r="JBL3" s="74"/>
      <c r="JBM3" s="74"/>
      <c r="JBN3" s="74"/>
      <c r="JBO3" s="74"/>
      <c r="JBP3" s="74"/>
      <c r="JBQ3" s="74"/>
      <c r="JBR3" s="74"/>
      <c r="JBS3" s="74"/>
      <c r="JBT3" s="74"/>
      <c r="JBU3" s="74"/>
      <c r="JBV3" s="74"/>
      <c r="JBW3" s="74"/>
      <c r="JBX3" s="74"/>
      <c r="JBY3" s="74"/>
      <c r="JBZ3" s="74"/>
      <c r="JCA3" s="74"/>
      <c r="JCB3" s="74"/>
      <c r="JCC3" s="74"/>
      <c r="JCD3" s="74"/>
      <c r="JCE3" s="74"/>
      <c r="JCF3" s="74"/>
      <c r="JCG3" s="74"/>
      <c r="JCH3" s="74"/>
      <c r="JCI3" s="74"/>
      <c r="JCJ3" s="74"/>
      <c r="JCK3" s="74"/>
      <c r="JCL3" s="74"/>
      <c r="JCM3" s="74"/>
      <c r="JCN3" s="74"/>
      <c r="JCO3" s="74"/>
      <c r="JCP3" s="74"/>
      <c r="JCQ3" s="74"/>
      <c r="JCR3" s="74"/>
      <c r="JCS3" s="74"/>
      <c r="JCT3" s="74"/>
      <c r="JCU3" s="74"/>
      <c r="JCV3" s="74"/>
      <c r="JCW3" s="74"/>
      <c r="JCX3" s="74"/>
      <c r="JCY3" s="74"/>
      <c r="JCZ3" s="74"/>
      <c r="JDA3" s="74"/>
      <c r="JDB3" s="74"/>
      <c r="JDC3" s="74"/>
      <c r="JDD3" s="74"/>
      <c r="JDE3" s="74"/>
      <c r="JDF3" s="74"/>
      <c r="JDG3" s="74"/>
      <c r="JDH3" s="74"/>
      <c r="JDI3" s="74"/>
      <c r="JDJ3" s="74"/>
      <c r="JDK3" s="74"/>
      <c r="JDL3" s="74"/>
      <c r="JDM3" s="74"/>
      <c r="JDN3" s="74"/>
      <c r="JDO3" s="74"/>
      <c r="JDP3" s="74"/>
      <c r="JDQ3" s="74"/>
      <c r="JDR3" s="74"/>
      <c r="JDS3" s="74"/>
      <c r="JDT3" s="74"/>
      <c r="JDU3" s="74"/>
      <c r="JDV3" s="74"/>
      <c r="JDW3" s="74"/>
      <c r="JDX3" s="74"/>
      <c r="JDY3" s="74"/>
      <c r="JDZ3" s="74"/>
      <c r="JEA3" s="74"/>
      <c r="JEB3" s="74"/>
      <c r="JEC3" s="74"/>
      <c r="JED3" s="74"/>
      <c r="JEE3" s="74"/>
      <c r="JEF3" s="74"/>
      <c r="JEG3" s="74"/>
      <c r="JEH3" s="74"/>
      <c r="JEI3" s="74"/>
      <c r="JEJ3" s="74"/>
      <c r="JEK3" s="74"/>
      <c r="JEL3" s="74"/>
      <c r="JEM3" s="74"/>
      <c r="JEN3" s="74"/>
      <c r="JEO3" s="74"/>
      <c r="JEP3" s="74"/>
      <c r="JEQ3" s="74"/>
      <c r="JER3" s="74"/>
      <c r="JES3" s="74"/>
      <c r="JET3" s="74"/>
      <c r="JEU3" s="74"/>
      <c r="JEV3" s="74"/>
      <c r="JEW3" s="74"/>
      <c r="JEX3" s="74"/>
      <c r="JEY3" s="74"/>
      <c r="JEZ3" s="74"/>
      <c r="JFA3" s="74"/>
      <c r="JFB3" s="74"/>
      <c r="JFC3" s="74"/>
      <c r="JFD3" s="74"/>
      <c r="JFE3" s="74"/>
      <c r="JFF3" s="74"/>
      <c r="JFG3" s="74"/>
      <c r="JFH3" s="74"/>
      <c r="JFI3" s="74"/>
      <c r="JFJ3" s="74"/>
      <c r="JFK3" s="74"/>
      <c r="JFL3" s="74"/>
      <c r="JFM3" s="74"/>
      <c r="JFN3" s="74"/>
      <c r="JFO3" s="74"/>
      <c r="JFP3" s="74"/>
      <c r="JFQ3" s="74"/>
      <c r="JFR3" s="74"/>
      <c r="JFS3" s="74"/>
      <c r="JFT3" s="74"/>
      <c r="JFU3" s="74"/>
      <c r="JFV3" s="74"/>
      <c r="JFW3" s="74"/>
      <c r="JFX3" s="74"/>
      <c r="JFY3" s="74"/>
      <c r="JFZ3" s="74"/>
      <c r="JGA3" s="74"/>
      <c r="JGB3" s="74"/>
      <c r="JGC3" s="74"/>
      <c r="JGD3" s="74"/>
      <c r="JGE3" s="74"/>
      <c r="JGF3" s="74"/>
      <c r="JGG3" s="74"/>
      <c r="JGH3" s="74"/>
      <c r="JGI3" s="74"/>
      <c r="JGJ3" s="74"/>
      <c r="JGK3" s="74"/>
      <c r="JGL3" s="74"/>
      <c r="JGM3" s="74"/>
      <c r="JGN3" s="74"/>
      <c r="JGO3" s="74"/>
      <c r="JGP3" s="74"/>
      <c r="JGQ3" s="74"/>
      <c r="JGR3" s="74"/>
      <c r="JGS3" s="74"/>
      <c r="JGT3" s="74"/>
      <c r="JGU3" s="74"/>
      <c r="JGV3" s="74"/>
      <c r="JGW3" s="74"/>
      <c r="JGX3" s="74"/>
      <c r="JGY3" s="74"/>
      <c r="JGZ3" s="74"/>
      <c r="JHA3" s="74"/>
      <c r="JHB3" s="74"/>
      <c r="JHC3" s="74"/>
      <c r="JHD3" s="74"/>
      <c r="JHE3" s="74"/>
      <c r="JHF3" s="74"/>
      <c r="JHG3" s="74"/>
      <c r="JHH3" s="74"/>
      <c r="JHI3" s="74"/>
      <c r="JHJ3" s="74"/>
      <c r="JHK3" s="74"/>
      <c r="JHL3" s="74"/>
      <c r="JHM3" s="74"/>
      <c r="JHN3" s="74"/>
      <c r="JHO3" s="74"/>
      <c r="JHP3" s="74"/>
      <c r="JHQ3" s="74"/>
      <c r="JHR3" s="74"/>
      <c r="JHS3" s="74"/>
      <c r="JHT3" s="74"/>
      <c r="JHU3" s="74"/>
      <c r="JHV3" s="74"/>
      <c r="JHW3" s="74"/>
      <c r="JHX3" s="74"/>
      <c r="JHY3" s="74"/>
      <c r="JHZ3" s="74"/>
      <c r="JIA3" s="74"/>
      <c r="JIB3" s="74"/>
      <c r="JIC3" s="74"/>
      <c r="JID3" s="74"/>
      <c r="JIE3" s="74"/>
      <c r="JIF3" s="74"/>
      <c r="JIG3" s="74"/>
      <c r="JIH3" s="74"/>
      <c r="JII3" s="74"/>
      <c r="JIJ3" s="74"/>
      <c r="JIK3" s="74"/>
      <c r="JIL3" s="74"/>
      <c r="JIM3" s="74"/>
      <c r="JIN3" s="74"/>
      <c r="JIO3" s="74"/>
      <c r="JIP3" s="74"/>
      <c r="JIQ3" s="74"/>
      <c r="JIR3" s="74"/>
      <c r="JIS3" s="74"/>
      <c r="JIT3" s="74"/>
      <c r="JIU3" s="74"/>
      <c r="JIV3" s="74"/>
      <c r="JIW3" s="74"/>
      <c r="JIX3" s="74"/>
      <c r="JIY3" s="74"/>
      <c r="JIZ3" s="74"/>
      <c r="JJA3" s="74"/>
      <c r="JJB3" s="74"/>
      <c r="JJC3" s="74"/>
      <c r="JJD3" s="74"/>
      <c r="JJE3" s="74"/>
      <c r="JJF3" s="74"/>
      <c r="JJG3" s="74"/>
      <c r="JJH3" s="74"/>
      <c r="JJI3" s="74"/>
      <c r="JJJ3" s="74"/>
      <c r="JJK3" s="74"/>
      <c r="JJL3" s="74"/>
      <c r="JJM3" s="74"/>
      <c r="JJN3" s="74"/>
      <c r="JJO3" s="74"/>
      <c r="JJP3" s="74"/>
      <c r="JJQ3" s="74"/>
      <c r="JJR3" s="74"/>
      <c r="JJS3" s="74"/>
      <c r="JJT3" s="74"/>
      <c r="JJU3" s="74"/>
      <c r="JJV3" s="74"/>
      <c r="JJW3" s="74"/>
      <c r="JJX3" s="74"/>
      <c r="JJY3" s="74"/>
      <c r="JJZ3" s="74"/>
      <c r="JKA3" s="74"/>
      <c r="JKB3" s="74"/>
      <c r="JKC3" s="74"/>
      <c r="JKD3" s="74"/>
      <c r="JKE3" s="74"/>
      <c r="JKF3" s="74"/>
      <c r="JKG3" s="74"/>
      <c r="JKH3" s="74"/>
      <c r="JKI3" s="74"/>
      <c r="JKJ3" s="74"/>
      <c r="JKK3" s="74"/>
      <c r="JKL3" s="74"/>
      <c r="JKM3" s="74"/>
      <c r="JKN3" s="74"/>
      <c r="JKO3" s="74"/>
      <c r="JKP3" s="74"/>
      <c r="JKQ3" s="74"/>
      <c r="JKR3" s="74"/>
      <c r="JKS3" s="74"/>
      <c r="JKT3" s="74"/>
      <c r="JKU3" s="74"/>
      <c r="JKV3" s="74"/>
      <c r="JKW3" s="74"/>
      <c r="JKX3" s="74"/>
      <c r="JKY3" s="74"/>
      <c r="JKZ3" s="74"/>
      <c r="JLA3" s="74"/>
      <c r="JLB3" s="74"/>
      <c r="JLC3" s="74"/>
      <c r="JLD3" s="74"/>
      <c r="JLE3" s="74"/>
      <c r="JLF3" s="74"/>
      <c r="JLG3" s="74"/>
      <c r="JLH3" s="74"/>
      <c r="JLI3" s="74"/>
      <c r="JLJ3" s="74"/>
      <c r="JLK3" s="74"/>
      <c r="JLL3" s="74"/>
      <c r="JLM3" s="74"/>
      <c r="JLN3" s="74"/>
      <c r="JLO3" s="74"/>
      <c r="JLP3" s="74"/>
      <c r="JLQ3" s="74"/>
      <c r="JLR3" s="74"/>
      <c r="JLS3" s="74"/>
      <c r="JLT3" s="74"/>
      <c r="JLU3" s="74"/>
      <c r="JLV3" s="74"/>
      <c r="JLW3" s="74"/>
      <c r="JLX3" s="74"/>
      <c r="JLY3" s="74"/>
      <c r="JLZ3" s="74"/>
      <c r="JMA3" s="74"/>
      <c r="JMB3" s="74"/>
      <c r="JMC3" s="74"/>
      <c r="JMD3" s="74"/>
      <c r="JME3" s="74"/>
      <c r="JMF3" s="74"/>
      <c r="JMG3" s="74"/>
      <c r="JMH3" s="74"/>
      <c r="JMI3" s="74"/>
      <c r="JMJ3" s="74"/>
      <c r="JMK3" s="74"/>
      <c r="JML3" s="74"/>
      <c r="JMM3" s="74"/>
      <c r="JMN3" s="74"/>
      <c r="JMO3" s="74"/>
      <c r="JMP3" s="74"/>
      <c r="JMQ3" s="74"/>
      <c r="JMR3" s="74"/>
      <c r="JMS3" s="74"/>
      <c r="JMT3" s="74"/>
      <c r="JMU3" s="74"/>
      <c r="JMV3" s="74"/>
      <c r="JMW3" s="74"/>
      <c r="JMX3" s="74"/>
      <c r="JMY3" s="74"/>
      <c r="JMZ3" s="74"/>
      <c r="JNA3" s="74"/>
      <c r="JNB3" s="74"/>
      <c r="JNC3" s="74"/>
      <c r="JND3" s="74"/>
      <c r="JNE3" s="74"/>
      <c r="JNF3" s="74"/>
      <c r="JNG3" s="74"/>
      <c r="JNH3" s="74"/>
      <c r="JNI3" s="74"/>
      <c r="JNJ3" s="74"/>
      <c r="JNK3" s="74"/>
      <c r="JNL3" s="74"/>
      <c r="JNM3" s="74"/>
      <c r="JNN3" s="74"/>
      <c r="JNO3" s="74"/>
      <c r="JNP3" s="74"/>
      <c r="JNQ3" s="74"/>
      <c r="JNR3" s="74"/>
      <c r="JNS3" s="74"/>
      <c r="JNT3" s="74"/>
      <c r="JNU3" s="74"/>
      <c r="JNV3" s="74"/>
      <c r="JNW3" s="74"/>
      <c r="JNX3" s="74"/>
      <c r="JNY3" s="74"/>
      <c r="JNZ3" s="74"/>
      <c r="JOA3" s="74"/>
      <c r="JOB3" s="74"/>
      <c r="JOC3" s="74"/>
      <c r="JOD3" s="74"/>
      <c r="JOE3" s="74"/>
      <c r="JOF3" s="74"/>
      <c r="JOG3" s="74"/>
      <c r="JOH3" s="74"/>
      <c r="JOI3" s="74"/>
      <c r="JOJ3" s="74"/>
      <c r="JOK3" s="74"/>
      <c r="JOL3" s="74"/>
      <c r="JOM3" s="74"/>
      <c r="JON3" s="74"/>
      <c r="JOO3" s="74"/>
      <c r="JOP3" s="74"/>
      <c r="JOQ3" s="74"/>
      <c r="JOR3" s="74"/>
      <c r="JOS3" s="74"/>
      <c r="JOT3" s="74"/>
      <c r="JOU3" s="74"/>
      <c r="JOV3" s="74"/>
      <c r="JOW3" s="74"/>
      <c r="JOX3" s="74"/>
      <c r="JOY3" s="74"/>
      <c r="JOZ3" s="74"/>
      <c r="JPA3" s="74"/>
      <c r="JPB3" s="74"/>
      <c r="JPC3" s="74"/>
      <c r="JPD3" s="74"/>
      <c r="JPE3" s="74"/>
      <c r="JPF3" s="74"/>
      <c r="JPG3" s="74"/>
      <c r="JPH3" s="74"/>
      <c r="JPI3" s="74"/>
      <c r="JPJ3" s="74"/>
      <c r="JPK3" s="74"/>
      <c r="JPL3" s="74"/>
      <c r="JPM3" s="74"/>
      <c r="JPN3" s="74"/>
      <c r="JPO3" s="74"/>
      <c r="JPP3" s="74"/>
      <c r="JPQ3" s="74"/>
      <c r="JPR3" s="74"/>
      <c r="JPS3" s="74"/>
      <c r="JPT3" s="74"/>
      <c r="JPU3" s="74"/>
      <c r="JPV3" s="74"/>
      <c r="JPW3" s="74"/>
      <c r="JPX3" s="74"/>
      <c r="JPY3" s="74"/>
      <c r="JPZ3" s="74"/>
      <c r="JQA3" s="74"/>
      <c r="JQB3" s="74"/>
      <c r="JQC3" s="74"/>
      <c r="JQD3" s="74"/>
      <c r="JQE3" s="74"/>
      <c r="JQF3" s="74"/>
      <c r="JQG3" s="74"/>
      <c r="JQH3" s="74"/>
      <c r="JQI3" s="74"/>
      <c r="JQJ3" s="74"/>
      <c r="JQK3" s="74"/>
      <c r="JQL3" s="74"/>
      <c r="JQM3" s="74"/>
      <c r="JQN3" s="74"/>
      <c r="JQO3" s="74"/>
      <c r="JQP3" s="74"/>
      <c r="JQQ3" s="74"/>
      <c r="JQR3" s="74"/>
      <c r="JQS3" s="74"/>
      <c r="JQT3" s="74"/>
      <c r="JQU3" s="74"/>
      <c r="JQV3" s="74"/>
      <c r="JQW3" s="74"/>
      <c r="JQX3" s="74"/>
      <c r="JQY3" s="74"/>
      <c r="JQZ3" s="74"/>
      <c r="JRA3" s="74"/>
      <c r="JRB3" s="74"/>
      <c r="JRC3" s="74"/>
      <c r="JRD3" s="74"/>
      <c r="JRE3" s="74"/>
      <c r="JRF3" s="74"/>
      <c r="JRG3" s="74"/>
      <c r="JRH3" s="74"/>
      <c r="JRI3" s="74"/>
      <c r="JRJ3" s="74"/>
      <c r="JRK3" s="74"/>
      <c r="JRL3" s="74"/>
      <c r="JRM3" s="74"/>
      <c r="JRN3" s="74"/>
      <c r="JRO3" s="74"/>
      <c r="JRP3" s="74"/>
      <c r="JRQ3" s="74"/>
      <c r="JRR3" s="74"/>
      <c r="JRS3" s="74"/>
      <c r="JRT3" s="74"/>
      <c r="JRU3" s="74"/>
      <c r="JRV3" s="74"/>
      <c r="JRW3" s="74"/>
      <c r="JRX3" s="74"/>
      <c r="JRY3" s="74"/>
      <c r="JRZ3" s="74"/>
      <c r="JSA3" s="74"/>
      <c r="JSB3" s="74"/>
      <c r="JSC3" s="74"/>
      <c r="JSD3" s="74"/>
      <c r="JSE3" s="74"/>
      <c r="JSF3" s="74"/>
      <c r="JSG3" s="74"/>
      <c r="JSH3" s="74"/>
      <c r="JSI3" s="74"/>
      <c r="JSJ3" s="74"/>
      <c r="JSK3" s="74"/>
      <c r="JSL3" s="74"/>
      <c r="JSM3" s="74"/>
      <c r="JSN3" s="74"/>
      <c r="JSO3" s="74"/>
      <c r="JSP3" s="74"/>
      <c r="JSQ3" s="74"/>
      <c r="JSR3" s="74"/>
      <c r="JSS3" s="74"/>
      <c r="JST3" s="74"/>
      <c r="JSU3" s="74"/>
      <c r="JSV3" s="74"/>
      <c r="JSW3" s="74"/>
      <c r="JSX3" s="74"/>
      <c r="JSY3" s="74"/>
      <c r="JSZ3" s="74"/>
      <c r="JTA3" s="74"/>
      <c r="JTB3" s="74"/>
      <c r="JTC3" s="74"/>
      <c r="JTD3" s="74"/>
      <c r="JTE3" s="74"/>
      <c r="JTF3" s="74"/>
      <c r="JTG3" s="74"/>
      <c r="JTH3" s="74"/>
      <c r="JTI3" s="74"/>
      <c r="JTJ3" s="74"/>
      <c r="JTK3" s="74"/>
      <c r="JTL3" s="74"/>
      <c r="JTM3" s="74"/>
      <c r="JTN3" s="74"/>
      <c r="JTO3" s="74"/>
      <c r="JTP3" s="74"/>
      <c r="JTQ3" s="74"/>
      <c r="JTR3" s="74"/>
      <c r="JTS3" s="74"/>
      <c r="JTT3" s="74"/>
      <c r="JTU3" s="74"/>
      <c r="JTV3" s="74"/>
      <c r="JTW3" s="74"/>
      <c r="JTX3" s="74"/>
      <c r="JTY3" s="74"/>
      <c r="JTZ3" s="74"/>
      <c r="JUA3" s="74"/>
      <c r="JUB3" s="74"/>
      <c r="JUC3" s="74"/>
      <c r="JUD3" s="74"/>
      <c r="JUE3" s="74"/>
      <c r="JUF3" s="74"/>
      <c r="JUG3" s="74"/>
      <c r="JUH3" s="74"/>
      <c r="JUI3" s="74"/>
      <c r="JUJ3" s="74"/>
      <c r="JUK3" s="74"/>
      <c r="JUL3" s="74"/>
      <c r="JUM3" s="74"/>
      <c r="JUN3" s="74"/>
      <c r="JUO3" s="74"/>
      <c r="JUP3" s="74"/>
      <c r="JUQ3" s="74"/>
      <c r="JUR3" s="74"/>
      <c r="JUS3" s="74"/>
      <c r="JUT3" s="74"/>
      <c r="JUU3" s="74"/>
      <c r="JUV3" s="74"/>
      <c r="JUW3" s="74"/>
      <c r="JUX3" s="74"/>
      <c r="JUY3" s="74"/>
      <c r="JUZ3" s="74"/>
      <c r="JVA3" s="74"/>
      <c r="JVB3" s="74"/>
      <c r="JVC3" s="74"/>
      <c r="JVD3" s="74"/>
      <c r="JVE3" s="74"/>
      <c r="JVF3" s="74"/>
      <c r="JVG3" s="74"/>
      <c r="JVH3" s="74"/>
      <c r="JVI3" s="74"/>
      <c r="JVJ3" s="74"/>
      <c r="JVK3" s="74"/>
      <c r="JVL3" s="74"/>
      <c r="JVM3" s="74"/>
      <c r="JVN3" s="74"/>
      <c r="JVO3" s="74"/>
      <c r="JVP3" s="74"/>
      <c r="JVQ3" s="74"/>
      <c r="JVR3" s="74"/>
      <c r="JVS3" s="74"/>
      <c r="JVT3" s="74"/>
      <c r="JVU3" s="74"/>
      <c r="JVV3" s="74"/>
      <c r="JVW3" s="74"/>
      <c r="JVX3" s="74"/>
      <c r="JVY3" s="74"/>
      <c r="JVZ3" s="74"/>
      <c r="JWA3" s="74"/>
      <c r="JWB3" s="74"/>
      <c r="JWC3" s="74"/>
      <c r="JWD3" s="74"/>
      <c r="JWE3" s="74"/>
      <c r="JWF3" s="74"/>
      <c r="JWG3" s="74"/>
      <c r="JWH3" s="74"/>
      <c r="JWI3" s="74"/>
      <c r="JWJ3" s="74"/>
      <c r="JWK3" s="74"/>
      <c r="JWL3" s="74"/>
      <c r="JWM3" s="74"/>
      <c r="JWN3" s="74"/>
      <c r="JWO3" s="74"/>
      <c r="JWP3" s="74"/>
      <c r="JWQ3" s="74"/>
      <c r="JWR3" s="74"/>
      <c r="JWS3" s="74"/>
      <c r="JWT3" s="74"/>
      <c r="JWU3" s="74"/>
      <c r="JWV3" s="74"/>
      <c r="JWW3" s="74"/>
      <c r="JWX3" s="74"/>
      <c r="JWY3" s="74"/>
      <c r="JWZ3" s="74"/>
      <c r="JXA3" s="74"/>
      <c r="JXB3" s="74"/>
      <c r="JXC3" s="74"/>
      <c r="JXD3" s="74"/>
      <c r="JXE3" s="74"/>
      <c r="JXF3" s="74"/>
      <c r="JXG3" s="74"/>
      <c r="JXH3" s="74"/>
      <c r="JXI3" s="74"/>
      <c r="JXJ3" s="74"/>
      <c r="JXK3" s="74"/>
      <c r="JXL3" s="74"/>
      <c r="JXM3" s="74"/>
      <c r="JXN3" s="74"/>
      <c r="JXO3" s="74"/>
      <c r="JXP3" s="74"/>
      <c r="JXQ3" s="74"/>
      <c r="JXR3" s="74"/>
      <c r="JXS3" s="74"/>
      <c r="JXT3" s="74"/>
      <c r="JXU3" s="74"/>
      <c r="JXV3" s="74"/>
      <c r="JXW3" s="74"/>
      <c r="JXX3" s="74"/>
      <c r="JXY3" s="74"/>
      <c r="JXZ3" s="74"/>
      <c r="JYA3" s="74"/>
      <c r="JYB3" s="74"/>
      <c r="JYC3" s="74"/>
      <c r="JYD3" s="74"/>
      <c r="JYE3" s="74"/>
      <c r="JYF3" s="74"/>
      <c r="JYG3" s="74"/>
      <c r="JYH3" s="74"/>
      <c r="JYI3" s="74"/>
      <c r="JYJ3" s="74"/>
      <c r="JYK3" s="74"/>
      <c r="JYL3" s="74"/>
      <c r="JYM3" s="74"/>
      <c r="JYN3" s="74"/>
      <c r="JYO3" s="74"/>
      <c r="JYP3" s="74"/>
      <c r="JYQ3" s="74"/>
      <c r="JYR3" s="74"/>
      <c r="JYS3" s="74"/>
      <c r="JYT3" s="74"/>
      <c r="JYU3" s="74"/>
      <c r="JYV3" s="74"/>
      <c r="JYW3" s="74"/>
      <c r="JYX3" s="74"/>
      <c r="JYY3" s="74"/>
      <c r="JYZ3" s="74"/>
      <c r="JZA3" s="74"/>
      <c r="JZB3" s="74"/>
      <c r="JZC3" s="74"/>
      <c r="JZD3" s="74"/>
      <c r="JZE3" s="74"/>
      <c r="JZF3" s="74"/>
      <c r="JZG3" s="74"/>
      <c r="JZH3" s="74"/>
      <c r="JZI3" s="74"/>
      <c r="JZJ3" s="74"/>
      <c r="JZK3" s="74"/>
      <c r="JZL3" s="74"/>
      <c r="JZM3" s="74"/>
      <c r="JZN3" s="74"/>
      <c r="JZO3" s="74"/>
      <c r="JZP3" s="74"/>
      <c r="JZQ3" s="74"/>
      <c r="JZR3" s="74"/>
      <c r="JZS3" s="74"/>
      <c r="JZT3" s="74"/>
      <c r="JZU3" s="74"/>
      <c r="JZV3" s="74"/>
      <c r="JZW3" s="74"/>
      <c r="JZX3" s="74"/>
      <c r="JZY3" s="74"/>
      <c r="JZZ3" s="74"/>
      <c r="KAA3" s="74"/>
      <c r="KAB3" s="74"/>
      <c r="KAC3" s="74"/>
      <c r="KAD3" s="74"/>
      <c r="KAE3" s="74"/>
      <c r="KAF3" s="74"/>
      <c r="KAG3" s="74"/>
      <c r="KAH3" s="74"/>
      <c r="KAI3" s="74"/>
      <c r="KAJ3" s="74"/>
      <c r="KAK3" s="74"/>
      <c r="KAL3" s="74"/>
      <c r="KAM3" s="74"/>
      <c r="KAN3" s="74"/>
      <c r="KAO3" s="74"/>
      <c r="KAP3" s="74"/>
      <c r="KAQ3" s="74"/>
      <c r="KAR3" s="74"/>
      <c r="KAS3" s="74"/>
      <c r="KAT3" s="74"/>
      <c r="KAU3" s="74"/>
      <c r="KAV3" s="74"/>
      <c r="KAW3" s="74"/>
      <c r="KAX3" s="74"/>
      <c r="KAY3" s="74"/>
      <c r="KAZ3" s="74"/>
      <c r="KBA3" s="74"/>
      <c r="KBB3" s="74"/>
      <c r="KBC3" s="74"/>
      <c r="KBD3" s="74"/>
      <c r="KBE3" s="74"/>
      <c r="KBF3" s="74"/>
      <c r="KBG3" s="74"/>
      <c r="KBH3" s="74"/>
      <c r="KBI3" s="74"/>
      <c r="KBJ3" s="74"/>
      <c r="KBK3" s="74"/>
      <c r="KBL3" s="74"/>
      <c r="KBM3" s="74"/>
      <c r="KBN3" s="74"/>
      <c r="KBO3" s="74"/>
      <c r="KBP3" s="74"/>
      <c r="KBQ3" s="74"/>
      <c r="KBR3" s="74"/>
      <c r="KBS3" s="74"/>
      <c r="KBT3" s="74"/>
      <c r="KBU3" s="74"/>
      <c r="KBV3" s="74"/>
      <c r="KBW3" s="74"/>
      <c r="KBX3" s="74"/>
      <c r="KBY3" s="74"/>
      <c r="KBZ3" s="74"/>
      <c r="KCA3" s="74"/>
      <c r="KCB3" s="74"/>
      <c r="KCC3" s="74"/>
      <c r="KCD3" s="74"/>
      <c r="KCE3" s="74"/>
      <c r="KCF3" s="74"/>
      <c r="KCG3" s="74"/>
      <c r="KCH3" s="74"/>
      <c r="KCI3" s="74"/>
      <c r="KCJ3" s="74"/>
      <c r="KCK3" s="74"/>
      <c r="KCL3" s="74"/>
      <c r="KCM3" s="74"/>
      <c r="KCN3" s="74"/>
      <c r="KCO3" s="74"/>
      <c r="KCP3" s="74"/>
      <c r="KCQ3" s="74"/>
      <c r="KCR3" s="74"/>
      <c r="KCS3" s="74"/>
      <c r="KCT3" s="74"/>
      <c r="KCU3" s="74"/>
      <c r="KCV3" s="74"/>
      <c r="KCW3" s="74"/>
      <c r="KCX3" s="74"/>
      <c r="KCY3" s="74"/>
      <c r="KCZ3" s="74"/>
      <c r="KDA3" s="74"/>
      <c r="KDB3" s="74"/>
      <c r="KDC3" s="74"/>
      <c r="KDD3" s="74"/>
      <c r="KDE3" s="74"/>
      <c r="KDF3" s="74"/>
      <c r="KDG3" s="74"/>
      <c r="KDH3" s="74"/>
      <c r="KDI3" s="74"/>
      <c r="KDJ3" s="74"/>
      <c r="KDK3" s="74"/>
      <c r="KDL3" s="74"/>
      <c r="KDM3" s="74"/>
      <c r="KDN3" s="74"/>
      <c r="KDO3" s="74"/>
      <c r="KDP3" s="74"/>
      <c r="KDQ3" s="74"/>
      <c r="KDR3" s="74"/>
      <c r="KDS3" s="74"/>
      <c r="KDT3" s="74"/>
      <c r="KDU3" s="74"/>
      <c r="KDV3" s="74"/>
      <c r="KDW3" s="74"/>
      <c r="KDX3" s="74"/>
      <c r="KDY3" s="74"/>
      <c r="KDZ3" s="74"/>
      <c r="KEA3" s="74"/>
      <c r="KEB3" s="74"/>
      <c r="KEC3" s="74"/>
      <c r="KED3" s="74"/>
      <c r="KEE3" s="74"/>
      <c r="KEF3" s="74"/>
      <c r="KEG3" s="74"/>
      <c r="KEH3" s="74"/>
      <c r="KEI3" s="74"/>
      <c r="KEJ3" s="74"/>
      <c r="KEK3" s="74"/>
      <c r="KEL3" s="74"/>
      <c r="KEM3" s="74"/>
      <c r="KEN3" s="74"/>
      <c r="KEO3" s="74"/>
      <c r="KEP3" s="74"/>
      <c r="KEQ3" s="74"/>
      <c r="KER3" s="74"/>
      <c r="KES3" s="74"/>
      <c r="KET3" s="74"/>
      <c r="KEU3" s="74"/>
      <c r="KEV3" s="74"/>
      <c r="KEW3" s="74"/>
      <c r="KEX3" s="74"/>
      <c r="KEY3" s="74"/>
      <c r="KEZ3" s="74"/>
      <c r="KFA3" s="74"/>
      <c r="KFB3" s="74"/>
      <c r="KFC3" s="74"/>
      <c r="KFD3" s="74"/>
      <c r="KFE3" s="74"/>
      <c r="KFF3" s="74"/>
      <c r="KFG3" s="74"/>
      <c r="KFH3" s="74"/>
      <c r="KFI3" s="74"/>
      <c r="KFJ3" s="74"/>
      <c r="KFK3" s="74"/>
      <c r="KFL3" s="74"/>
      <c r="KFM3" s="74"/>
      <c r="KFN3" s="74"/>
      <c r="KFO3" s="74"/>
      <c r="KFP3" s="74"/>
      <c r="KFQ3" s="74"/>
      <c r="KFR3" s="74"/>
      <c r="KFS3" s="74"/>
      <c r="KFT3" s="74"/>
      <c r="KFU3" s="74"/>
      <c r="KFV3" s="74"/>
      <c r="KFW3" s="74"/>
      <c r="KFX3" s="74"/>
      <c r="KFY3" s="74"/>
      <c r="KFZ3" s="74"/>
      <c r="KGA3" s="74"/>
      <c r="KGB3" s="74"/>
      <c r="KGC3" s="74"/>
      <c r="KGD3" s="74"/>
      <c r="KGE3" s="74"/>
      <c r="KGF3" s="74"/>
      <c r="KGG3" s="74"/>
      <c r="KGH3" s="74"/>
      <c r="KGI3" s="74"/>
      <c r="KGJ3" s="74"/>
      <c r="KGK3" s="74"/>
      <c r="KGL3" s="74"/>
      <c r="KGM3" s="74"/>
      <c r="KGN3" s="74"/>
      <c r="KGO3" s="74"/>
      <c r="KGP3" s="74"/>
      <c r="KGQ3" s="74"/>
      <c r="KGR3" s="74"/>
      <c r="KGS3" s="74"/>
      <c r="KGT3" s="74"/>
      <c r="KGU3" s="74"/>
      <c r="KGV3" s="74"/>
      <c r="KGW3" s="74"/>
      <c r="KGX3" s="74"/>
      <c r="KGY3" s="74"/>
      <c r="KGZ3" s="74"/>
      <c r="KHA3" s="74"/>
      <c r="KHB3" s="74"/>
      <c r="KHC3" s="74"/>
      <c r="KHD3" s="74"/>
      <c r="KHE3" s="74"/>
      <c r="KHF3" s="74"/>
      <c r="KHG3" s="74"/>
      <c r="KHH3" s="74"/>
      <c r="KHI3" s="74"/>
      <c r="KHJ3" s="74"/>
      <c r="KHK3" s="74"/>
      <c r="KHL3" s="74"/>
      <c r="KHM3" s="74"/>
      <c r="KHN3" s="74"/>
      <c r="KHO3" s="74"/>
      <c r="KHP3" s="74"/>
      <c r="KHQ3" s="74"/>
      <c r="KHR3" s="74"/>
      <c r="KHS3" s="74"/>
      <c r="KHT3" s="74"/>
      <c r="KHU3" s="74"/>
      <c r="KHV3" s="74"/>
      <c r="KHW3" s="74"/>
      <c r="KHX3" s="74"/>
      <c r="KHY3" s="74"/>
      <c r="KHZ3" s="74"/>
      <c r="KIA3" s="74"/>
      <c r="KIB3" s="74"/>
      <c r="KIC3" s="74"/>
      <c r="KID3" s="74"/>
      <c r="KIE3" s="74"/>
      <c r="KIF3" s="74"/>
      <c r="KIG3" s="74"/>
      <c r="KIH3" s="74"/>
      <c r="KII3" s="74"/>
      <c r="KIJ3" s="74"/>
      <c r="KIK3" s="74"/>
      <c r="KIL3" s="74"/>
      <c r="KIM3" s="74"/>
      <c r="KIN3" s="74"/>
      <c r="KIO3" s="74"/>
      <c r="KIP3" s="74"/>
      <c r="KIQ3" s="74"/>
      <c r="KIR3" s="74"/>
      <c r="KIS3" s="74"/>
      <c r="KIT3" s="74"/>
      <c r="KIU3" s="74"/>
      <c r="KIV3" s="74"/>
      <c r="KIW3" s="74"/>
      <c r="KIX3" s="74"/>
      <c r="KIY3" s="74"/>
      <c r="KIZ3" s="74"/>
      <c r="KJA3" s="74"/>
      <c r="KJB3" s="74"/>
      <c r="KJC3" s="74"/>
      <c r="KJD3" s="74"/>
      <c r="KJE3" s="74"/>
      <c r="KJF3" s="74"/>
      <c r="KJG3" s="74"/>
      <c r="KJH3" s="74"/>
      <c r="KJI3" s="74"/>
      <c r="KJJ3" s="74"/>
      <c r="KJK3" s="74"/>
      <c r="KJL3" s="74"/>
      <c r="KJM3" s="74"/>
      <c r="KJN3" s="74"/>
      <c r="KJO3" s="74"/>
      <c r="KJP3" s="74"/>
      <c r="KJQ3" s="74"/>
      <c r="KJR3" s="74"/>
      <c r="KJS3" s="74"/>
      <c r="KJT3" s="74"/>
      <c r="KJU3" s="74"/>
      <c r="KJV3" s="74"/>
      <c r="KJW3" s="74"/>
      <c r="KJX3" s="74"/>
      <c r="KJY3" s="74"/>
      <c r="KJZ3" s="74"/>
      <c r="KKA3" s="74"/>
      <c r="KKB3" s="74"/>
      <c r="KKC3" s="74"/>
      <c r="KKD3" s="74"/>
      <c r="KKE3" s="74"/>
      <c r="KKF3" s="74"/>
      <c r="KKG3" s="74"/>
      <c r="KKH3" s="74"/>
      <c r="KKI3" s="74"/>
      <c r="KKJ3" s="74"/>
      <c r="KKK3" s="74"/>
      <c r="KKL3" s="74"/>
      <c r="KKM3" s="74"/>
      <c r="KKN3" s="74"/>
      <c r="KKO3" s="74"/>
      <c r="KKP3" s="74"/>
      <c r="KKQ3" s="74"/>
      <c r="KKR3" s="74"/>
      <c r="KKS3" s="74"/>
      <c r="KKT3" s="74"/>
      <c r="KKU3" s="74"/>
      <c r="KKV3" s="74"/>
      <c r="KKW3" s="74"/>
      <c r="KKX3" s="74"/>
      <c r="KKY3" s="74"/>
      <c r="KKZ3" s="74"/>
      <c r="KLA3" s="74"/>
      <c r="KLB3" s="74"/>
      <c r="KLC3" s="74"/>
      <c r="KLD3" s="74"/>
      <c r="KLE3" s="74"/>
      <c r="KLF3" s="74"/>
      <c r="KLG3" s="74"/>
      <c r="KLH3" s="74"/>
      <c r="KLI3" s="74"/>
      <c r="KLJ3" s="74"/>
      <c r="KLK3" s="74"/>
      <c r="KLL3" s="74"/>
      <c r="KLM3" s="74"/>
      <c r="KLN3" s="74"/>
      <c r="KLO3" s="74"/>
      <c r="KLP3" s="74"/>
      <c r="KLQ3" s="74"/>
      <c r="KLR3" s="74"/>
      <c r="KLS3" s="74"/>
      <c r="KLT3" s="74"/>
      <c r="KLU3" s="74"/>
      <c r="KLV3" s="74"/>
      <c r="KLW3" s="74"/>
      <c r="KLX3" s="74"/>
      <c r="KLY3" s="74"/>
      <c r="KLZ3" s="74"/>
      <c r="KMA3" s="74"/>
      <c r="KMB3" s="74"/>
      <c r="KMC3" s="74"/>
      <c r="KMD3" s="74"/>
      <c r="KME3" s="74"/>
      <c r="KMF3" s="74"/>
      <c r="KMG3" s="74"/>
      <c r="KMH3" s="74"/>
      <c r="KMI3" s="74"/>
      <c r="KMJ3" s="74"/>
      <c r="KMK3" s="74"/>
      <c r="KML3" s="74"/>
      <c r="KMM3" s="74"/>
      <c r="KMN3" s="74"/>
      <c r="KMO3" s="74"/>
      <c r="KMP3" s="74"/>
      <c r="KMQ3" s="74"/>
      <c r="KMR3" s="74"/>
      <c r="KMS3" s="74"/>
      <c r="KMT3" s="74"/>
      <c r="KMU3" s="74"/>
      <c r="KMV3" s="74"/>
      <c r="KMW3" s="74"/>
      <c r="KMX3" s="74"/>
      <c r="KMY3" s="74"/>
      <c r="KMZ3" s="74"/>
      <c r="KNA3" s="74"/>
      <c r="KNB3" s="74"/>
      <c r="KNC3" s="74"/>
      <c r="KND3" s="74"/>
      <c r="KNE3" s="74"/>
      <c r="KNF3" s="74"/>
      <c r="KNG3" s="74"/>
      <c r="KNH3" s="74"/>
      <c r="KNI3" s="74"/>
      <c r="KNJ3" s="74"/>
      <c r="KNK3" s="74"/>
      <c r="KNL3" s="74"/>
      <c r="KNM3" s="74"/>
      <c r="KNN3" s="74"/>
      <c r="KNO3" s="74"/>
      <c r="KNP3" s="74"/>
      <c r="KNQ3" s="74"/>
      <c r="KNR3" s="74"/>
      <c r="KNS3" s="74"/>
      <c r="KNT3" s="74"/>
      <c r="KNU3" s="74"/>
      <c r="KNV3" s="74"/>
      <c r="KNW3" s="74"/>
      <c r="KNX3" s="74"/>
      <c r="KNY3" s="74"/>
      <c r="KNZ3" s="74"/>
      <c r="KOA3" s="74"/>
      <c r="KOB3" s="74"/>
      <c r="KOC3" s="74"/>
      <c r="KOD3" s="74"/>
      <c r="KOE3" s="74"/>
      <c r="KOF3" s="74"/>
      <c r="KOG3" s="74"/>
      <c r="KOH3" s="74"/>
      <c r="KOI3" s="74"/>
      <c r="KOJ3" s="74"/>
      <c r="KOK3" s="74"/>
      <c r="KOL3" s="74"/>
      <c r="KOM3" s="74"/>
      <c r="KON3" s="74"/>
      <c r="KOO3" s="74"/>
      <c r="KOP3" s="74"/>
      <c r="KOQ3" s="74"/>
      <c r="KOR3" s="74"/>
      <c r="KOS3" s="74"/>
      <c r="KOT3" s="74"/>
      <c r="KOU3" s="74"/>
      <c r="KOV3" s="74"/>
      <c r="KOW3" s="74"/>
      <c r="KOX3" s="74"/>
      <c r="KOY3" s="74"/>
      <c r="KOZ3" s="74"/>
      <c r="KPA3" s="74"/>
      <c r="KPB3" s="74"/>
      <c r="KPC3" s="74"/>
      <c r="KPD3" s="74"/>
      <c r="KPE3" s="74"/>
      <c r="KPF3" s="74"/>
      <c r="KPG3" s="74"/>
      <c r="KPH3" s="74"/>
      <c r="KPI3" s="74"/>
      <c r="KPJ3" s="74"/>
      <c r="KPK3" s="74"/>
      <c r="KPL3" s="74"/>
      <c r="KPM3" s="74"/>
      <c r="KPN3" s="74"/>
      <c r="KPO3" s="74"/>
      <c r="KPP3" s="74"/>
      <c r="KPQ3" s="74"/>
      <c r="KPR3" s="74"/>
      <c r="KPS3" s="74"/>
      <c r="KPT3" s="74"/>
      <c r="KPU3" s="74"/>
      <c r="KPV3" s="74"/>
      <c r="KPW3" s="74"/>
      <c r="KPX3" s="74"/>
      <c r="KPY3" s="74"/>
      <c r="KPZ3" s="74"/>
      <c r="KQA3" s="74"/>
      <c r="KQB3" s="74"/>
      <c r="KQC3" s="74"/>
      <c r="KQD3" s="74"/>
      <c r="KQE3" s="74"/>
      <c r="KQF3" s="74"/>
      <c r="KQG3" s="74"/>
      <c r="KQH3" s="74"/>
      <c r="KQI3" s="74"/>
      <c r="KQJ3" s="74"/>
      <c r="KQK3" s="74"/>
      <c r="KQL3" s="74"/>
      <c r="KQM3" s="74"/>
      <c r="KQN3" s="74"/>
      <c r="KQO3" s="74"/>
      <c r="KQP3" s="74"/>
      <c r="KQQ3" s="74"/>
      <c r="KQR3" s="74"/>
      <c r="KQS3" s="74"/>
      <c r="KQT3" s="74"/>
      <c r="KQU3" s="74"/>
      <c r="KQV3" s="74"/>
      <c r="KQW3" s="74"/>
      <c r="KQX3" s="74"/>
      <c r="KQY3" s="74"/>
      <c r="KQZ3" s="74"/>
      <c r="KRA3" s="74"/>
      <c r="KRB3" s="74"/>
      <c r="KRC3" s="74"/>
      <c r="KRD3" s="74"/>
      <c r="KRE3" s="74"/>
      <c r="KRF3" s="74"/>
      <c r="KRG3" s="74"/>
      <c r="KRH3" s="74"/>
      <c r="KRI3" s="74"/>
      <c r="KRJ3" s="74"/>
      <c r="KRK3" s="74"/>
      <c r="KRL3" s="74"/>
      <c r="KRM3" s="74"/>
      <c r="KRN3" s="74"/>
      <c r="KRO3" s="74"/>
      <c r="KRP3" s="74"/>
      <c r="KRQ3" s="74"/>
      <c r="KRR3" s="74"/>
      <c r="KRS3" s="74"/>
      <c r="KRT3" s="74"/>
      <c r="KRU3" s="74"/>
      <c r="KRV3" s="74"/>
      <c r="KRW3" s="74"/>
      <c r="KRX3" s="74"/>
      <c r="KRY3" s="74"/>
      <c r="KRZ3" s="74"/>
      <c r="KSA3" s="74"/>
      <c r="KSB3" s="74"/>
      <c r="KSC3" s="74"/>
      <c r="KSD3" s="74"/>
      <c r="KSE3" s="74"/>
      <c r="KSF3" s="74"/>
      <c r="KSG3" s="74"/>
      <c r="KSH3" s="74"/>
      <c r="KSI3" s="74"/>
      <c r="KSJ3" s="74"/>
      <c r="KSK3" s="74"/>
      <c r="KSL3" s="74"/>
      <c r="KSM3" s="74"/>
      <c r="KSN3" s="74"/>
      <c r="KSO3" s="74"/>
      <c r="KSP3" s="74"/>
      <c r="KSQ3" s="74"/>
      <c r="KSR3" s="74"/>
      <c r="KSS3" s="74"/>
      <c r="KST3" s="74"/>
      <c r="KSU3" s="74"/>
      <c r="KSV3" s="74"/>
      <c r="KSW3" s="74"/>
      <c r="KSX3" s="74"/>
      <c r="KSY3" s="74"/>
      <c r="KSZ3" s="74"/>
      <c r="KTA3" s="74"/>
      <c r="KTB3" s="74"/>
      <c r="KTC3" s="74"/>
      <c r="KTD3" s="74"/>
      <c r="KTE3" s="74"/>
      <c r="KTF3" s="74"/>
      <c r="KTG3" s="74"/>
      <c r="KTH3" s="74"/>
      <c r="KTI3" s="74"/>
      <c r="KTJ3" s="74"/>
      <c r="KTK3" s="74"/>
      <c r="KTL3" s="74"/>
      <c r="KTM3" s="74"/>
      <c r="KTN3" s="74"/>
      <c r="KTO3" s="74"/>
      <c r="KTP3" s="74"/>
      <c r="KTQ3" s="74"/>
      <c r="KTR3" s="74"/>
      <c r="KTS3" s="74"/>
      <c r="KTT3" s="74"/>
      <c r="KTU3" s="74"/>
      <c r="KTV3" s="74"/>
      <c r="KTW3" s="74"/>
      <c r="KTX3" s="74"/>
      <c r="KTY3" s="74"/>
      <c r="KTZ3" s="74"/>
      <c r="KUA3" s="74"/>
      <c r="KUB3" s="74"/>
      <c r="KUC3" s="74"/>
      <c r="KUD3" s="74"/>
      <c r="KUE3" s="74"/>
      <c r="KUF3" s="74"/>
      <c r="KUG3" s="74"/>
      <c r="KUH3" s="74"/>
      <c r="KUI3" s="74"/>
      <c r="KUJ3" s="74"/>
      <c r="KUK3" s="74"/>
      <c r="KUL3" s="74"/>
      <c r="KUM3" s="74"/>
      <c r="KUN3" s="74"/>
      <c r="KUO3" s="74"/>
      <c r="KUP3" s="74"/>
      <c r="KUQ3" s="74"/>
      <c r="KUR3" s="74"/>
      <c r="KUS3" s="74"/>
      <c r="KUT3" s="74"/>
      <c r="KUU3" s="74"/>
      <c r="KUV3" s="74"/>
      <c r="KUW3" s="74"/>
      <c r="KUX3" s="74"/>
      <c r="KUY3" s="74"/>
      <c r="KUZ3" s="74"/>
      <c r="KVA3" s="74"/>
      <c r="KVB3" s="74"/>
      <c r="KVC3" s="74"/>
      <c r="KVD3" s="74"/>
      <c r="KVE3" s="74"/>
      <c r="KVF3" s="74"/>
      <c r="KVG3" s="74"/>
      <c r="KVH3" s="74"/>
      <c r="KVI3" s="74"/>
      <c r="KVJ3" s="74"/>
      <c r="KVK3" s="74"/>
      <c r="KVL3" s="74"/>
      <c r="KVM3" s="74"/>
      <c r="KVN3" s="74"/>
      <c r="KVO3" s="74"/>
      <c r="KVP3" s="74"/>
      <c r="KVQ3" s="74"/>
      <c r="KVR3" s="74"/>
      <c r="KVS3" s="74"/>
      <c r="KVT3" s="74"/>
      <c r="KVU3" s="74"/>
      <c r="KVV3" s="74"/>
      <c r="KVW3" s="74"/>
      <c r="KVX3" s="74"/>
      <c r="KVY3" s="74"/>
      <c r="KVZ3" s="74"/>
      <c r="KWA3" s="74"/>
      <c r="KWB3" s="74"/>
      <c r="KWC3" s="74"/>
      <c r="KWD3" s="74"/>
      <c r="KWE3" s="74"/>
      <c r="KWF3" s="74"/>
      <c r="KWG3" s="74"/>
      <c r="KWH3" s="74"/>
      <c r="KWI3" s="74"/>
      <c r="KWJ3" s="74"/>
      <c r="KWK3" s="74"/>
      <c r="KWL3" s="74"/>
      <c r="KWM3" s="74"/>
      <c r="KWN3" s="74"/>
      <c r="KWO3" s="74"/>
      <c r="KWP3" s="74"/>
      <c r="KWQ3" s="74"/>
      <c r="KWR3" s="74"/>
      <c r="KWS3" s="74"/>
      <c r="KWT3" s="74"/>
      <c r="KWU3" s="74"/>
      <c r="KWV3" s="74"/>
      <c r="KWW3" s="74"/>
      <c r="KWX3" s="74"/>
      <c r="KWY3" s="74"/>
      <c r="KWZ3" s="74"/>
      <c r="KXA3" s="74"/>
      <c r="KXB3" s="74"/>
      <c r="KXC3" s="74"/>
      <c r="KXD3" s="74"/>
      <c r="KXE3" s="74"/>
      <c r="KXF3" s="74"/>
      <c r="KXG3" s="74"/>
      <c r="KXH3" s="74"/>
      <c r="KXI3" s="74"/>
      <c r="KXJ3" s="74"/>
      <c r="KXK3" s="74"/>
      <c r="KXL3" s="74"/>
      <c r="KXM3" s="74"/>
      <c r="KXN3" s="74"/>
      <c r="KXO3" s="74"/>
      <c r="KXP3" s="74"/>
      <c r="KXQ3" s="74"/>
      <c r="KXR3" s="74"/>
      <c r="KXS3" s="74"/>
      <c r="KXT3" s="74"/>
      <c r="KXU3" s="74"/>
      <c r="KXV3" s="74"/>
      <c r="KXW3" s="74"/>
      <c r="KXX3" s="74"/>
      <c r="KXY3" s="74"/>
      <c r="KXZ3" s="74"/>
      <c r="KYA3" s="74"/>
      <c r="KYB3" s="74"/>
      <c r="KYC3" s="74"/>
      <c r="KYD3" s="74"/>
      <c r="KYE3" s="74"/>
      <c r="KYF3" s="74"/>
      <c r="KYG3" s="74"/>
      <c r="KYH3" s="74"/>
      <c r="KYI3" s="74"/>
      <c r="KYJ3" s="74"/>
      <c r="KYK3" s="74"/>
      <c r="KYL3" s="74"/>
      <c r="KYM3" s="74"/>
      <c r="KYN3" s="74"/>
      <c r="KYO3" s="74"/>
      <c r="KYP3" s="74"/>
      <c r="KYQ3" s="74"/>
      <c r="KYR3" s="74"/>
      <c r="KYS3" s="74"/>
      <c r="KYT3" s="74"/>
      <c r="KYU3" s="74"/>
      <c r="KYV3" s="74"/>
      <c r="KYW3" s="74"/>
      <c r="KYX3" s="74"/>
      <c r="KYY3" s="74"/>
      <c r="KYZ3" s="74"/>
      <c r="KZA3" s="74"/>
      <c r="KZB3" s="74"/>
      <c r="KZC3" s="74"/>
      <c r="KZD3" s="74"/>
      <c r="KZE3" s="74"/>
      <c r="KZF3" s="74"/>
      <c r="KZG3" s="74"/>
      <c r="KZH3" s="74"/>
      <c r="KZI3" s="74"/>
      <c r="KZJ3" s="74"/>
      <c r="KZK3" s="74"/>
      <c r="KZL3" s="74"/>
      <c r="KZM3" s="74"/>
      <c r="KZN3" s="74"/>
      <c r="KZO3" s="74"/>
      <c r="KZP3" s="74"/>
      <c r="KZQ3" s="74"/>
      <c r="KZR3" s="74"/>
      <c r="KZS3" s="74"/>
      <c r="KZT3" s="74"/>
      <c r="KZU3" s="74"/>
      <c r="KZV3" s="74"/>
      <c r="KZW3" s="74"/>
      <c r="KZX3" s="74"/>
      <c r="KZY3" s="74"/>
      <c r="KZZ3" s="74"/>
      <c r="LAA3" s="74"/>
      <c r="LAB3" s="74"/>
      <c r="LAC3" s="74"/>
      <c r="LAD3" s="74"/>
      <c r="LAE3" s="74"/>
      <c r="LAF3" s="74"/>
      <c r="LAG3" s="74"/>
      <c r="LAH3" s="74"/>
      <c r="LAI3" s="74"/>
      <c r="LAJ3" s="74"/>
      <c r="LAK3" s="74"/>
      <c r="LAL3" s="74"/>
      <c r="LAM3" s="74"/>
      <c r="LAN3" s="74"/>
      <c r="LAO3" s="74"/>
      <c r="LAP3" s="74"/>
      <c r="LAQ3" s="74"/>
      <c r="LAR3" s="74"/>
      <c r="LAS3" s="74"/>
      <c r="LAT3" s="74"/>
      <c r="LAU3" s="74"/>
      <c r="LAV3" s="74"/>
      <c r="LAW3" s="74"/>
      <c r="LAX3" s="74"/>
      <c r="LAY3" s="74"/>
      <c r="LAZ3" s="74"/>
      <c r="LBA3" s="74"/>
      <c r="LBB3" s="74"/>
      <c r="LBC3" s="74"/>
      <c r="LBD3" s="74"/>
      <c r="LBE3" s="74"/>
      <c r="LBF3" s="74"/>
      <c r="LBG3" s="74"/>
      <c r="LBH3" s="74"/>
      <c r="LBI3" s="74"/>
      <c r="LBJ3" s="74"/>
      <c r="LBK3" s="74"/>
      <c r="LBL3" s="74"/>
      <c r="LBM3" s="74"/>
      <c r="LBN3" s="74"/>
      <c r="LBO3" s="74"/>
      <c r="LBP3" s="74"/>
      <c r="LBQ3" s="74"/>
      <c r="LBR3" s="74"/>
      <c r="LBS3" s="74"/>
      <c r="LBT3" s="74"/>
      <c r="LBU3" s="74"/>
      <c r="LBV3" s="74"/>
      <c r="LBW3" s="74"/>
      <c r="LBX3" s="74"/>
      <c r="LBY3" s="74"/>
      <c r="LBZ3" s="74"/>
      <c r="LCA3" s="74"/>
      <c r="LCB3" s="74"/>
      <c r="LCC3" s="74"/>
      <c r="LCD3" s="74"/>
      <c r="LCE3" s="74"/>
      <c r="LCF3" s="74"/>
      <c r="LCG3" s="74"/>
      <c r="LCH3" s="74"/>
      <c r="LCI3" s="74"/>
      <c r="LCJ3" s="74"/>
      <c r="LCK3" s="74"/>
      <c r="LCL3" s="74"/>
      <c r="LCM3" s="74"/>
      <c r="LCN3" s="74"/>
      <c r="LCO3" s="74"/>
      <c r="LCP3" s="74"/>
      <c r="LCQ3" s="74"/>
      <c r="LCR3" s="74"/>
      <c r="LCS3" s="74"/>
      <c r="LCT3" s="74"/>
      <c r="LCU3" s="74"/>
      <c r="LCV3" s="74"/>
      <c r="LCW3" s="74"/>
      <c r="LCX3" s="74"/>
      <c r="LCY3" s="74"/>
      <c r="LCZ3" s="74"/>
      <c r="LDA3" s="74"/>
      <c r="LDB3" s="74"/>
      <c r="LDC3" s="74"/>
      <c r="LDD3" s="74"/>
      <c r="LDE3" s="74"/>
      <c r="LDF3" s="74"/>
      <c r="LDG3" s="74"/>
      <c r="LDH3" s="74"/>
      <c r="LDI3" s="74"/>
      <c r="LDJ3" s="74"/>
      <c r="LDK3" s="74"/>
      <c r="LDL3" s="74"/>
      <c r="LDM3" s="74"/>
      <c r="LDN3" s="74"/>
      <c r="LDO3" s="74"/>
      <c r="LDP3" s="74"/>
      <c r="LDQ3" s="74"/>
      <c r="LDR3" s="74"/>
      <c r="LDS3" s="74"/>
      <c r="LDT3" s="74"/>
      <c r="LDU3" s="74"/>
      <c r="LDV3" s="74"/>
      <c r="LDW3" s="74"/>
      <c r="LDX3" s="74"/>
      <c r="LDY3" s="74"/>
      <c r="LDZ3" s="74"/>
      <c r="LEA3" s="74"/>
      <c r="LEB3" s="74"/>
      <c r="LEC3" s="74"/>
      <c r="LED3" s="74"/>
      <c r="LEE3" s="74"/>
      <c r="LEF3" s="74"/>
      <c r="LEG3" s="74"/>
      <c r="LEH3" s="74"/>
      <c r="LEI3" s="74"/>
      <c r="LEJ3" s="74"/>
      <c r="LEK3" s="74"/>
      <c r="LEL3" s="74"/>
      <c r="LEM3" s="74"/>
      <c r="LEN3" s="74"/>
      <c r="LEO3" s="74"/>
      <c r="LEP3" s="74"/>
      <c r="LEQ3" s="74"/>
      <c r="LER3" s="74"/>
      <c r="LES3" s="74"/>
      <c r="LET3" s="74"/>
      <c r="LEU3" s="74"/>
      <c r="LEV3" s="74"/>
      <c r="LEW3" s="74"/>
      <c r="LEX3" s="74"/>
      <c r="LEY3" s="74"/>
      <c r="LEZ3" s="74"/>
      <c r="LFA3" s="74"/>
      <c r="LFB3" s="74"/>
      <c r="LFC3" s="74"/>
      <c r="LFD3" s="74"/>
      <c r="LFE3" s="74"/>
      <c r="LFF3" s="74"/>
      <c r="LFG3" s="74"/>
      <c r="LFH3" s="74"/>
      <c r="LFI3" s="74"/>
      <c r="LFJ3" s="74"/>
      <c r="LFK3" s="74"/>
      <c r="LFL3" s="74"/>
      <c r="LFM3" s="74"/>
      <c r="LFN3" s="74"/>
      <c r="LFO3" s="74"/>
      <c r="LFP3" s="74"/>
      <c r="LFQ3" s="74"/>
      <c r="LFR3" s="74"/>
      <c r="LFS3" s="74"/>
      <c r="LFT3" s="74"/>
      <c r="LFU3" s="74"/>
      <c r="LFV3" s="74"/>
      <c r="LFW3" s="74"/>
      <c r="LFX3" s="74"/>
      <c r="LFY3" s="74"/>
      <c r="LFZ3" s="74"/>
      <c r="LGA3" s="74"/>
      <c r="LGB3" s="74"/>
      <c r="LGC3" s="74"/>
      <c r="LGD3" s="74"/>
      <c r="LGE3" s="74"/>
      <c r="LGF3" s="74"/>
      <c r="LGG3" s="74"/>
      <c r="LGH3" s="74"/>
      <c r="LGI3" s="74"/>
      <c r="LGJ3" s="74"/>
      <c r="LGK3" s="74"/>
      <c r="LGL3" s="74"/>
      <c r="LGM3" s="74"/>
      <c r="LGN3" s="74"/>
      <c r="LGO3" s="74"/>
      <c r="LGP3" s="74"/>
      <c r="LGQ3" s="74"/>
      <c r="LGR3" s="74"/>
      <c r="LGS3" s="74"/>
      <c r="LGT3" s="74"/>
      <c r="LGU3" s="74"/>
      <c r="LGV3" s="74"/>
      <c r="LGW3" s="74"/>
      <c r="LGX3" s="74"/>
      <c r="LGY3" s="74"/>
      <c r="LGZ3" s="74"/>
      <c r="LHA3" s="74"/>
      <c r="LHB3" s="74"/>
      <c r="LHC3" s="74"/>
      <c r="LHD3" s="74"/>
      <c r="LHE3" s="74"/>
      <c r="LHF3" s="74"/>
      <c r="LHG3" s="74"/>
      <c r="LHH3" s="74"/>
      <c r="LHI3" s="74"/>
      <c r="LHJ3" s="74"/>
      <c r="LHK3" s="74"/>
      <c r="LHL3" s="74"/>
      <c r="LHM3" s="74"/>
      <c r="LHN3" s="74"/>
      <c r="LHO3" s="74"/>
      <c r="LHP3" s="74"/>
      <c r="LHQ3" s="74"/>
      <c r="LHR3" s="74"/>
      <c r="LHS3" s="74"/>
      <c r="LHT3" s="74"/>
      <c r="LHU3" s="74"/>
      <c r="LHV3" s="74"/>
      <c r="LHW3" s="74"/>
      <c r="LHX3" s="74"/>
      <c r="LHY3" s="74"/>
      <c r="LHZ3" s="74"/>
      <c r="LIA3" s="74"/>
      <c r="LIB3" s="74"/>
      <c r="LIC3" s="74"/>
      <c r="LID3" s="74"/>
      <c r="LIE3" s="74"/>
      <c r="LIF3" s="74"/>
      <c r="LIG3" s="74"/>
      <c r="LIH3" s="74"/>
      <c r="LII3" s="74"/>
      <c r="LIJ3" s="74"/>
      <c r="LIK3" s="74"/>
      <c r="LIL3" s="74"/>
      <c r="LIM3" s="74"/>
      <c r="LIN3" s="74"/>
      <c r="LIO3" s="74"/>
      <c r="LIP3" s="74"/>
      <c r="LIQ3" s="74"/>
      <c r="LIR3" s="74"/>
      <c r="LIS3" s="74"/>
      <c r="LIT3" s="74"/>
      <c r="LIU3" s="74"/>
      <c r="LIV3" s="74"/>
      <c r="LIW3" s="74"/>
      <c r="LIX3" s="74"/>
      <c r="LIY3" s="74"/>
      <c r="LIZ3" s="74"/>
      <c r="LJA3" s="74"/>
      <c r="LJB3" s="74"/>
      <c r="LJC3" s="74"/>
      <c r="LJD3" s="74"/>
      <c r="LJE3" s="74"/>
      <c r="LJF3" s="74"/>
      <c r="LJG3" s="74"/>
      <c r="LJH3" s="74"/>
      <c r="LJI3" s="74"/>
      <c r="LJJ3" s="74"/>
      <c r="LJK3" s="74"/>
      <c r="LJL3" s="74"/>
      <c r="LJM3" s="74"/>
      <c r="LJN3" s="74"/>
      <c r="LJO3" s="74"/>
      <c r="LJP3" s="74"/>
      <c r="LJQ3" s="74"/>
      <c r="LJR3" s="74"/>
      <c r="LJS3" s="74"/>
      <c r="LJT3" s="74"/>
      <c r="LJU3" s="74"/>
      <c r="LJV3" s="74"/>
      <c r="LJW3" s="74"/>
      <c r="LJX3" s="74"/>
      <c r="LJY3" s="74"/>
      <c r="LJZ3" s="74"/>
      <c r="LKA3" s="74"/>
      <c r="LKB3" s="74"/>
      <c r="LKC3" s="74"/>
      <c r="LKD3" s="74"/>
      <c r="LKE3" s="74"/>
      <c r="LKF3" s="74"/>
      <c r="LKG3" s="74"/>
      <c r="LKH3" s="74"/>
      <c r="LKI3" s="74"/>
      <c r="LKJ3" s="74"/>
      <c r="LKK3" s="74"/>
      <c r="LKL3" s="74"/>
      <c r="LKM3" s="74"/>
      <c r="LKN3" s="74"/>
      <c r="LKO3" s="74"/>
      <c r="LKP3" s="74"/>
      <c r="LKQ3" s="74"/>
      <c r="LKR3" s="74"/>
      <c r="LKS3" s="74"/>
      <c r="LKT3" s="74"/>
      <c r="LKU3" s="74"/>
      <c r="LKV3" s="74"/>
      <c r="LKW3" s="74"/>
      <c r="LKX3" s="74"/>
      <c r="LKY3" s="74"/>
      <c r="LKZ3" s="74"/>
      <c r="LLA3" s="74"/>
      <c r="LLB3" s="74"/>
      <c r="LLC3" s="74"/>
      <c r="LLD3" s="74"/>
      <c r="LLE3" s="74"/>
      <c r="LLF3" s="74"/>
      <c r="LLG3" s="74"/>
      <c r="LLH3" s="74"/>
      <c r="LLI3" s="74"/>
      <c r="LLJ3" s="74"/>
      <c r="LLK3" s="74"/>
      <c r="LLL3" s="74"/>
      <c r="LLM3" s="74"/>
      <c r="LLN3" s="74"/>
      <c r="LLO3" s="74"/>
      <c r="LLP3" s="74"/>
      <c r="LLQ3" s="74"/>
      <c r="LLR3" s="74"/>
      <c r="LLS3" s="74"/>
      <c r="LLT3" s="74"/>
      <c r="LLU3" s="74"/>
      <c r="LLV3" s="74"/>
      <c r="LLW3" s="74"/>
      <c r="LLX3" s="74"/>
      <c r="LLY3" s="74"/>
      <c r="LLZ3" s="74"/>
      <c r="LMA3" s="74"/>
      <c r="LMB3" s="74"/>
      <c r="LMC3" s="74"/>
      <c r="LMD3" s="74"/>
      <c r="LME3" s="74"/>
      <c r="LMF3" s="74"/>
      <c r="LMG3" s="74"/>
      <c r="LMH3" s="74"/>
      <c r="LMI3" s="74"/>
      <c r="LMJ3" s="74"/>
      <c r="LMK3" s="74"/>
      <c r="LML3" s="74"/>
      <c r="LMM3" s="74"/>
      <c r="LMN3" s="74"/>
      <c r="LMO3" s="74"/>
      <c r="LMP3" s="74"/>
      <c r="LMQ3" s="74"/>
      <c r="LMR3" s="74"/>
      <c r="LMS3" s="74"/>
      <c r="LMT3" s="74"/>
      <c r="LMU3" s="74"/>
      <c r="LMV3" s="74"/>
      <c r="LMW3" s="74"/>
      <c r="LMX3" s="74"/>
      <c r="LMY3" s="74"/>
      <c r="LMZ3" s="74"/>
      <c r="LNA3" s="74"/>
      <c r="LNB3" s="74"/>
      <c r="LNC3" s="74"/>
      <c r="LND3" s="74"/>
      <c r="LNE3" s="74"/>
      <c r="LNF3" s="74"/>
      <c r="LNG3" s="74"/>
      <c r="LNH3" s="74"/>
      <c r="LNI3" s="74"/>
      <c r="LNJ3" s="74"/>
      <c r="LNK3" s="74"/>
      <c r="LNL3" s="74"/>
      <c r="LNM3" s="74"/>
      <c r="LNN3" s="74"/>
      <c r="LNO3" s="74"/>
      <c r="LNP3" s="74"/>
      <c r="LNQ3" s="74"/>
      <c r="LNR3" s="74"/>
      <c r="LNS3" s="74"/>
      <c r="LNT3" s="74"/>
      <c r="LNU3" s="74"/>
      <c r="LNV3" s="74"/>
      <c r="LNW3" s="74"/>
      <c r="LNX3" s="74"/>
      <c r="LNY3" s="74"/>
      <c r="LNZ3" s="74"/>
      <c r="LOA3" s="74"/>
      <c r="LOB3" s="74"/>
      <c r="LOC3" s="74"/>
      <c r="LOD3" s="74"/>
      <c r="LOE3" s="74"/>
      <c r="LOF3" s="74"/>
      <c r="LOG3" s="74"/>
      <c r="LOH3" s="74"/>
      <c r="LOI3" s="74"/>
      <c r="LOJ3" s="74"/>
      <c r="LOK3" s="74"/>
      <c r="LOL3" s="74"/>
      <c r="LOM3" s="74"/>
      <c r="LON3" s="74"/>
      <c r="LOO3" s="74"/>
      <c r="LOP3" s="74"/>
      <c r="LOQ3" s="74"/>
      <c r="LOR3" s="74"/>
      <c r="LOS3" s="74"/>
      <c r="LOT3" s="74"/>
      <c r="LOU3" s="74"/>
      <c r="LOV3" s="74"/>
      <c r="LOW3" s="74"/>
      <c r="LOX3" s="74"/>
      <c r="LOY3" s="74"/>
      <c r="LOZ3" s="74"/>
      <c r="LPA3" s="74"/>
      <c r="LPB3" s="74"/>
      <c r="LPC3" s="74"/>
      <c r="LPD3" s="74"/>
      <c r="LPE3" s="74"/>
      <c r="LPF3" s="74"/>
      <c r="LPG3" s="74"/>
      <c r="LPH3" s="74"/>
      <c r="LPI3" s="74"/>
      <c r="LPJ3" s="74"/>
      <c r="LPK3" s="74"/>
      <c r="LPL3" s="74"/>
      <c r="LPM3" s="74"/>
      <c r="LPN3" s="74"/>
      <c r="LPO3" s="74"/>
      <c r="LPP3" s="74"/>
      <c r="LPQ3" s="74"/>
      <c r="LPR3" s="74"/>
      <c r="LPS3" s="74"/>
      <c r="LPT3" s="74"/>
      <c r="LPU3" s="74"/>
      <c r="LPV3" s="74"/>
      <c r="LPW3" s="74"/>
      <c r="LPX3" s="74"/>
      <c r="LPY3" s="74"/>
      <c r="LPZ3" s="74"/>
      <c r="LQA3" s="74"/>
      <c r="LQB3" s="74"/>
      <c r="LQC3" s="74"/>
      <c r="LQD3" s="74"/>
      <c r="LQE3" s="74"/>
      <c r="LQF3" s="74"/>
      <c r="LQG3" s="74"/>
      <c r="LQH3" s="74"/>
      <c r="LQI3" s="74"/>
      <c r="LQJ3" s="74"/>
      <c r="LQK3" s="74"/>
      <c r="LQL3" s="74"/>
      <c r="LQM3" s="74"/>
      <c r="LQN3" s="74"/>
      <c r="LQO3" s="74"/>
      <c r="LQP3" s="74"/>
      <c r="LQQ3" s="74"/>
      <c r="LQR3" s="74"/>
      <c r="LQS3" s="74"/>
      <c r="LQT3" s="74"/>
      <c r="LQU3" s="74"/>
      <c r="LQV3" s="74"/>
      <c r="LQW3" s="74"/>
      <c r="LQX3" s="74"/>
      <c r="LQY3" s="74"/>
      <c r="LQZ3" s="74"/>
      <c r="LRA3" s="74"/>
      <c r="LRB3" s="74"/>
      <c r="LRC3" s="74"/>
      <c r="LRD3" s="74"/>
      <c r="LRE3" s="74"/>
      <c r="LRF3" s="74"/>
      <c r="LRG3" s="74"/>
      <c r="LRH3" s="74"/>
      <c r="LRI3" s="74"/>
      <c r="LRJ3" s="74"/>
      <c r="LRK3" s="74"/>
      <c r="LRL3" s="74"/>
      <c r="LRM3" s="74"/>
      <c r="LRN3" s="74"/>
      <c r="LRO3" s="74"/>
      <c r="LRP3" s="74"/>
      <c r="LRQ3" s="74"/>
      <c r="LRR3" s="74"/>
      <c r="LRS3" s="74"/>
      <c r="LRT3" s="74"/>
      <c r="LRU3" s="74"/>
      <c r="LRV3" s="74"/>
      <c r="LRW3" s="74"/>
      <c r="LRX3" s="74"/>
      <c r="LRY3" s="74"/>
      <c r="LRZ3" s="74"/>
      <c r="LSA3" s="74"/>
      <c r="LSB3" s="74"/>
      <c r="LSC3" s="74"/>
      <c r="LSD3" s="74"/>
      <c r="LSE3" s="74"/>
      <c r="LSF3" s="74"/>
      <c r="LSG3" s="74"/>
      <c r="LSH3" s="74"/>
      <c r="LSI3" s="74"/>
      <c r="LSJ3" s="74"/>
      <c r="LSK3" s="74"/>
      <c r="LSL3" s="74"/>
      <c r="LSM3" s="74"/>
      <c r="LSN3" s="74"/>
      <c r="LSO3" s="74"/>
      <c r="LSP3" s="74"/>
      <c r="LSQ3" s="74"/>
      <c r="LSR3" s="74"/>
      <c r="LSS3" s="74"/>
      <c r="LST3" s="74"/>
      <c r="LSU3" s="74"/>
      <c r="LSV3" s="74"/>
      <c r="LSW3" s="74"/>
      <c r="LSX3" s="74"/>
      <c r="LSY3" s="74"/>
      <c r="LSZ3" s="74"/>
      <c r="LTA3" s="74"/>
      <c r="LTB3" s="74"/>
      <c r="LTC3" s="74"/>
      <c r="LTD3" s="74"/>
      <c r="LTE3" s="74"/>
      <c r="LTF3" s="74"/>
      <c r="LTG3" s="74"/>
      <c r="LTH3" s="74"/>
      <c r="LTI3" s="74"/>
      <c r="LTJ3" s="74"/>
      <c r="LTK3" s="74"/>
      <c r="LTL3" s="74"/>
      <c r="LTM3" s="74"/>
      <c r="LTN3" s="74"/>
      <c r="LTO3" s="74"/>
      <c r="LTP3" s="74"/>
      <c r="LTQ3" s="74"/>
      <c r="LTR3" s="74"/>
      <c r="LTS3" s="74"/>
      <c r="LTT3" s="74"/>
      <c r="LTU3" s="74"/>
      <c r="LTV3" s="74"/>
      <c r="LTW3" s="74"/>
      <c r="LTX3" s="74"/>
      <c r="LTY3" s="74"/>
      <c r="LTZ3" s="74"/>
      <c r="LUA3" s="74"/>
      <c r="LUB3" s="74"/>
      <c r="LUC3" s="74"/>
      <c r="LUD3" s="74"/>
      <c r="LUE3" s="74"/>
      <c r="LUF3" s="74"/>
      <c r="LUG3" s="74"/>
      <c r="LUH3" s="74"/>
      <c r="LUI3" s="74"/>
      <c r="LUJ3" s="74"/>
      <c r="LUK3" s="74"/>
      <c r="LUL3" s="74"/>
      <c r="LUM3" s="74"/>
      <c r="LUN3" s="74"/>
      <c r="LUO3" s="74"/>
      <c r="LUP3" s="74"/>
      <c r="LUQ3" s="74"/>
      <c r="LUR3" s="74"/>
      <c r="LUS3" s="74"/>
      <c r="LUT3" s="74"/>
      <c r="LUU3" s="74"/>
      <c r="LUV3" s="74"/>
      <c r="LUW3" s="74"/>
      <c r="LUX3" s="74"/>
      <c r="LUY3" s="74"/>
      <c r="LUZ3" s="74"/>
      <c r="LVA3" s="74"/>
      <c r="LVB3" s="74"/>
      <c r="LVC3" s="74"/>
      <c r="LVD3" s="74"/>
      <c r="LVE3" s="74"/>
      <c r="LVF3" s="74"/>
      <c r="LVG3" s="74"/>
      <c r="LVH3" s="74"/>
      <c r="LVI3" s="74"/>
      <c r="LVJ3" s="74"/>
      <c r="LVK3" s="74"/>
      <c r="LVL3" s="74"/>
      <c r="LVM3" s="74"/>
      <c r="LVN3" s="74"/>
      <c r="LVO3" s="74"/>
      <c r="LVP3" s="74"/>
      <c r="LVQ3" s="74"/>
      <c r="LVR3" s="74"/>
      <c r="LVS3" s="74"/>
      <c r="LVT3" s="74"/>
      <c r="LVU3" s="74"/>
      <c r="LVV3" s="74"/>
      <c r="LVW3" s="74"/>
      <c r="LVX3" s="74"/>
      <c r="LVY3" s="74"/>
      <c r="LVZ3" s="74"/>
      <c r="LWA3" s="74"/>
      <c r="LWB3" s="74"/>
      <c r="LWC3" s="74"/>
      <c r="LWD3" s="74"/>
      <c r="LWE3" s="74"/>
      <c r="LWF3" s="74"/>
      <c r="LWG3" s="74"/>
      <c r="LWH3" s="74"/>
      <c r="LWI3" s="74"/>
      <c r="LWJ3" s="74"/>
      <c r="LWK3" s="74"/>
      <c r="LWL3" s="74"/>
      <c r="LWM3" s="74"/>
      <c r="LWN3" s="74"/>
      <c r="LWO3" s="74"/>
      <c r="LWP3" s="74"/>
      <c r="LWQ3" s="74"/>
      <c r="LWR3" s="74"/>
      <c r="LWS3" s="74"/>
      <c r="LWT3" s="74"/>
      <c r="LWU3" s="74"/>
      <c r="LWV3" s="74"/>
      <c r="LWW3" s="74"/>
      <c r="LWX3" s="74"/>
      <c r="LWY3" s="74"/>
      <c r="LWZ3" s="74"/>
      <c r="LXA3" s="74"/>
      <c r="LXB3" s="74"/>
      <c r="LXC3" s="74"/>
      <c r="LXD3" s="74"/>
      <c r="LXE3" s="74"/>
      <c r="LXF3" s="74"/>
      <c r="LXG3" s="74"/>
      <c r="LXH3" s="74"/>
      <c r="LXI3" s="74"/>
      <c r="LXJ3" s="74"/>
      <c r="LXK3" s="74"/>
      <c r="LXL3" s="74"/>
      <c r="LXM3" s="74"/>
      <c r="LXN3" s="74"/>
      <c r="LXO3" s="74"/>
      <c r="LXP3" s="74"/>
      <c r="LXQ3" s="74"/>
      <c r="LXR3" s="74"/>
      <c r="LXS3" s="74"/>
      <c r="LXT3" s="74"/>
      <c r="LXU3" s="74"/>
      <c r="LXV3" s="74"/>
      <c r="LXW3" s="74"/>
      <c r="LXX3" s="74"/>
      <c r="LXY3" s="74"/>
      <c r="LXZ3" s="74"/>
      <c r="LYA3" s="74"/>
      <c r="LYB3" s="74"/>
      <c r="LYC3" s="74"/>
      <c r="LYD3" s="74"/>
      <c r="LYE3" s="74"/>
      <c r="LYF3" s="74"/>
      <c r="LYG3" s="74"/>
      <c r="LYH3" s="74"/>
      <c r="LYI3" s="74"/>
      <c r="LYJ3" s="74"/>
      <c r="LYK3" s="74"/>
      <c r="LYL3" s="74"/>
      <c r="LYM3" s="74"/>
      <c r="LYN3" s="74"/>
      <c r="LYO3" s="74"/>
      <c r="LYP3" s="74"/>
      <c r="LYQ3" s="74"/>
      <c r="LYR3" s="74"/>
      <c r="LYS3" s="74"/>
      <c r="LYT3" s="74"/>
      <c r="LYU3" s="74"/>
      <c r="LYV3" s="74"/>
      <c r="LYW3" s="74"/>
      <c r="LYX3" s="74"/>
      <c r="LYY3" s="74"/>
      <c r="LYZ3" s="74"/>
      <c r="LZA3" s="74"/>
      <c r="LZB3" s="74"/>
      <c r="LZC3" s="74"/>
      <c r="LZD3" s="74"/>
      <c r="LZE3" s="74"/>
      <c r="LZF3" s="74"/>
      <c r="LZG3" s="74"/>
      <c r="LZH3" s="74"/>
      <c r="LZI3" s="74"/>
      <c r="LZJ3" s="74"/>
      <c r="LZK3" s="74"/>
      <c r="LZL3" s="74"/>
      <c r="LZM3" s="74"/>
      <c r="LZN3" s="74"/>
      <c r="LZO3" s="74"/>
      <c r="LZP3" s="74"/>
      <c r="LZQ3" s="74"/>
      <c r="LZR3" s="74"/>
      <c r="LZS3" s="74"/>
      <c r="LZT3" s="74"/>
      <c r="LZU3" s="74"/>
      <c r="LZV3" s="74"/>
      <c r="LZW3" s="74"/>
      <c r="LZX3" s="74"/>
      <c r="LZY3" s="74"/>
      <c r="LZZ3" s="74"/>
      <c r="MAA3" s="74"/>
      <c r="MAB3" s="74"/>
      <c r="MAC3" s="74"/>
      <c r="MAD3" s="74"/>
      <c r="MAE3" s="74"/>
      <c r="MAF3" s="74"/>
      <c r="MAG3" s="74"/>
      <c r="MAH3" s="74"/>
      <c r="MAI3" s="74"/>
      <c r="MAJ3" s="74"/>
      <c r="MAK3" s="74"/>
      <c r="MAL3" s="74"/>
      <c r="MAM3" s="74"/>
      <c r="MAN3" s="74"/>
      <c r="MAO3" s="74"/>
      <c r="MAP3" s="74"/>
      <c r="MAQ3" s="74"/>
      <c r="MAR3" s="74"/>
      <c r="MAS3" s="74"/>
      <c r="MAT3" s="74"/>
      <c r="MAU3" s="74"/>
      <c r="MAV3" s="74"/>
      <c r="MAW3" s="74"/>
      <c r="MAX3" s="74"/>
      <c r="MAY3" s="74"/>
      <c r="MAZ3" s="74"/>
      <c r="MBA3" s="74"/>
      <c r="MBB3" s="74"/>
      <c r="MBC3" s="74"/>
      <c r="MBD3" s="74"/>
      <c r="MBE3" s="74"/>
      <c r="MBF3" s="74"/>
      <c r="MBG3" s="74"/>
      <c r="MBH3" s="74"/>
      <c r="MBI3" s="74"/>
      <c r="MBJ3" s="74"/>
      <c r="MBK3" s="74"/>
      <c r="MBL3" s="74"/>
      <c r="MBM3" s="74"/>
      <c r="MBN3" s="74"/>
      <c r="MBO3" s="74"/>
      <c r="MBP3" s="74"/>
      <c r="MBQ3" s="74"/>
      <c r="MBR3" s="74"/>
      <c r="MBS3" s="74"/>
      <c r="MBT3" s="74"/>
      <c r="MBU3" s="74"/>
      <c r="MBV3" s="74"/>
      <c r="MBW3" s="74"/>
      <c r="MBX3" s="74"/>
      <c r="MBY3" s="74"/>
      <c r="MBZ3" s="74"/>
      <c r="MCA3" s="74"/>
      <c r="MCB3" s="74"/>
      <c r="MCC3" s="74"/>
      <c r="MCD3" s="74"/>
      <c r="MCE3" s="74"/>
      <c r="MCF3" s="74"/>
      <c r="MCG3" s="74"/>
      <c r="MCH3" s="74"/>
      <c r="MCI3" s="74"/>
      <c r="MCJ3" s="74"/>
      <c r="MCK3" s="74"/>
      <c r="MCL3" s="74"/>
      <c r="MCM3" s="74"/>
      <c r="MCN3" s="74"/>
      <c r="MCO3" s="74"/>
      <c r="MCP3" s="74"/>
      <c r="MCQ3" s="74"/>
      <c r="MCR3" s="74"/>
      <c r="MCS3" s="74"/>
      <c r="MCT3" s="74"/>
      <c r="MCU3" s="74"/>
      <c r="MCV3" s="74"/>
      <c r="MCW3" s="74"/>
      <c r="MCX3" s="74"/>
      <c r="MCY3" s="74"/>
      <c r="MCZ3" s="74"/>
      <c r="MDA3" s="74"/>
      <c r="MDB3" s="74"/>
      <c r="MDC3" s="74"/>
      <c r="MDD3" s="74"/>
      <c r="MDE3" s="74"/>
      <c r="MDF3" s="74"/>
      <c r="MDG3" s="74"/>
      <c r="MDH3" s="74"/>
      <c r="MDI3" s="74"/>
      <c r="MDJ3" s="74"/>
      <c r="MDK3" s="74"/>
      <c r="MDL3" s="74"/>
      <c r="MDM3" s="74"/>
      <c r="MDN3" s="74"/>
      <c r="MDO3" s="74"/>
      <c r="MDP3" s="74"/>
      <c r="MDQ3" s="74"/>
      <c r="MDR3" s="74"/>
      <c r="MDS3" s="74"/>
      <c r="MDT3" s="74"/>
      <c r="MDU3" s="74"/>
      <c r="MDV3" s="74"/>
      <c r="MDW3" s="74"/>
      <c r="MDX3" s="74"/>
      <c r="MDY3" s="74"/>
      <c r="MDZ3" s="74"/>
      <c r="MEA3" s="74"/>
      <c r="MEB3" s="74"/>
      <c r="MEC3" s="74"/>
      <c r="MED3" s="74"/>
      <c r="MEE3" s="74"/>
      <c r="MEF3" s="74"/>
      <c r="MEG3" s="74"/>
      <c r="MEH3" s="74"/>
      <c r="MEI3" s="74"/>
      <c r="MEJ3" s="74"/>
      <c r="MEK3" s="74"/>
      <c r="MEL3" s="74"/>
      <c r="MEM3" s="74"/>
      <c r="MEN3" s="74"/>
      <c r="MEO3" s="74"/>
      <c r="MEP3" s="74"/>
      <c r="MEQ3" s="74"/>
      <c r="MER3" s="74"/>
      <c r="MES3" s="74"/>
      <c r="MET3" s="74"/>
      <c r="MEU3" s="74"/>
      <c r="MEV3" s="74"/>
      <c r="MEW3" s="74"/>
      <c r="MEX3" s="74"/>
      <c r="MEY3" s="74"/>
      <c r="MEZ3" s="74"/>
      <c r="MFA3" s="74"/>
      <c r="MFB3" s="74"/>
      <c r="MFC3" s="74"/>
      <c r="MFD3" s="74"/>
      <c r="MFE3" s="74"/>
      <c r="MFF3" s="74"/>
      <c r="MFG3" s="74"/>
      <c r="MFH3" s="74"/>
      <c r="MFI3" s="74"/>
      <c r="MFJ3" s="74"/>
      <c r="MFK3" s="74"/>
      <c r="MFL3" s="74"/>
      <c r="MFM3" s="74"/>
      <c r="MFN3" s="74"/>
      <c r="MFO3" s="74"/>
      <c r="MFP3" s="74"/>
      <c r="MFQ3" s="74"/>
      <c r="MFR3" s="74"/>
      <c r="MFS3" s="74"/>
      <c r="MFT3" s="74"/>
      <c r="MFU3" s="74"/>
      <c r="MFV3" s="74"/>
      <c r="MFW3" s="74"/>
      <c r="MFX3" s="74"/>
      <c r="MFY3" s="74"/>
      <c r="MFZ3" s="74"/>
      <c r="MGA3" s="74"/>
      <c r="MGB3" s="74"/>
      <c r="MGC3" s="74"/>
      <c r="MGD3" s="74"/>
      <c r="MGE3" s="74"/>
      <c r="MGF3" s="74"/>
      <c r="MGG3" s="74"/>
      <c r="MGH3" s="74"/>
      <c r="MGI3" s="74"/>
      <c r="MGJ3" s="74"/>
      <c r="MGK3" s="74"/>
      <c r="MGL3" s="74"/>
      <c r="MGM3" s="74"/>
      <c r="MGN3" s="74"/>
      <c r="MGO3" s="74"/>
      <c r="MGP3" s="74"/>
      <c r="MGQ3" s="74"/>
      <c r="MGR3" s="74"/>
      <c r="MGS3" s="74"/>
      <c r="MGT3" s="74"/>
      <c r="MGU3" s="74"/>
      <c r="MGV3" s="74"/>
      <c r="MGW3" s="74"/>
      <c r="MGX3" s="74"/>
      <c r="MGY3" s="74"/>
      <c r="MGZ3" s="74"/>
      <c r="MHA3" s="74"/>
      <c r="MHB3" s="74"/>
      <c r="MHC3" s="74"/>
      <c r="MHD3" s="74"/>
      <c r="MHE3" s="74"/>
      <c r="MHF3" s="74"/>
      <c r="MHG3" s="74"/>
      <c r="MHH3" s="74"/>
      <c r="MHI3" s="74"/>
      <c r="MHJ3" s="74"/>
      <c r="MHK3" s="74"/>
      <c r="MHL3" s="74"/>
      <c r="MHM3" s="74"/>
      <c r="MHN3" s="74"/>
      <c r="MHO3" s="74"/>
      <c r="MHP3" s="74"/>
      <c r="MHQ3" s="74"/>
      <c r="MHR3" s="74"/>
      <c r="MHS3" s="74"/>
      <c r="MHT3" s="74"/>
      <c r="MHU3" s="74"/>
      <c r="MHV3" s="74"/>
      <c r="MHW3" s="74"/>
      <c r="MHX3" s="74"/>
      <c r="MHY3" s="74"/>
      <c r="MHZ3" s="74"/>
      <c r="MIA3" s="74"/>
      <c r="MIB3" s="74"/>
      <c r="MIC3" s="74"/>
      <c r="MID3" s="74"/>
      <c r="MIE3" s="74"/>
      <c r="MIF3" s="74"/>
      <c r="MIG3" s="74"/>
      <c r="MIH3" s="74"/>
      <c r="MII3" s="74"/>
      <c r="MIJ3" s="74"/>
      <c r="MIK3" s="74"/>
      <c r="MIL3" s="74"/>
      <c r="MIM3" s="74"/>
      <c r="MIN3" s="74"/>
      <c r="MIO3" s="74"/>
      <c r="MIP3" s="74"/>
      <c r="MIQ3" s="74"/>
      <c r="MIR3" s="74"/>
      <c r="MIS3" s="74"/>
      <c r="MIT3" s="74"/>
      <c r="MIU3" s="74"/>
      <c r="MIV3" s="74"/>
      <c r="MIW3" s="74"/>
      <c r="MIX3" s="74"/>
      <c r="MIY3" s="74"/>
      <c r="MIZ3" s="74"/>
      <c r="MJA3" s="74"/>
      <c r="MJB3" s="74"/>
      <c r="MJC3" s="74"/>
      <c r="MJD3" s="74"/>
      <c r="MJE3" s="74"/>
      <c r="MJF3" s="74"/>
      <c r="MJG3" s="74"/>
      <c r="MJH3" s="74"/>
      <c r="MJI3" s="74"/>
      <c r="MJJ3" s="74"/>
      <c r="MJK3" s="74"/>
      <c r="MJL3" s="74"/>
      <c r="MJM3" s="74"/>
      <c r="MJN3" s="74"/>
      <c r="MJO3" s="74"/>
      <c r="MJP3" s="74"/>
      <c r="MJQ3" s="74"/>
      <c r="MJR3" s="74"/>
      <c r="MJS3" s="74"/>
      <c r="MJT3" s="74"/>
      <c r="MJU3" s="74"/>
      <c r="MJV3" s="74"/>
      <c r="MJW3" s="74"/>
      <c r="MJX3" s="74"/>
      <c r="MJY3" s="74"/>
      <c r="MJZ3" s="74"/>
      <c r="MKA3" s="74"/>
      <c r="MKB3" s="74"/>
      <c r="MKC3" s="74"/>
      <c r="MKD3" s="74"/>
      <c r="MKE3" s="74"/>
      <c r="MKF3" s="74"/>
      <c r="MKG3" s="74"/>
      <c r="MKH3" s="74"/>
      <c r="MKI3" s="74"/>
      <c r="MKJ3" s="74"/>
      <c r="MKK3" s="74"/>
      <c r="MKL3" s="74"/>
      <c r="MKM3" s="74"/>
      <c r="MKN3" s="74"/>
      <c r="MKO3" s="74"/>
      <c r="MKP3" s="74"/>
      <c r="MKQ3" s="74"/>
      <c r="MKR3" s="74"/>
      <c r="MKS3" s="74"/>
      <c r="MKT3" s="74"/>
      <c r="MKU3" s="74"/>
      <c r="MKV3" s="74"/>
      <c r="MKW3" s="74"/>
      <c r="MKX3" s="74"/>
      <c r="MKY3" s="74"/>
      <c r="MKZ3" s="74"/>
      <c r="MLA3" s="74"/>
      <c r="MLB3" s="74"/>
      <c r="MLC3" s="74"/>
      <c r="MLD3" s="74"/>
      <c r="MLE3" s="74"/>
      <c r="MLF3" s="74"/>
      <c r="MLG3" s="74"/>
      <c r="MLH3" s="74"/>
      <c r="MLI3" s="74"/>
      <c r="MLJ3" s="74"/>
      <c r="MLK3" s="74"/>
      <c r="MLL3" s="74"/>
      <c r="MLM3" s="74"/>
      <c r="MLN3" s="74"/>
      <c r="MLO3" s="74"/>
      <c r="MLP3" s="74"/>
      <c r="MLQ3" s="74"/>
      <c r="MLR3" s="74"/>
      <c r="MLS3" s="74"/>
      <c r="MLT3" s="74"/>
      <c r="MLU3" s="74"/>
      <c r="MLV3" s="74"/>
      <c r="MLW3" s="74"/>
      <c r="MLX3" s="74"/>
      <c r="MLY3" s="74"/>
      <c r="MLZ3" s="74"/>
      <c r="MMA3" s="74"/>
      <c r="MMB3" s="74"/>
      <c r="MMC3" s="74"/>
      <c r="MMD3" s="74"/>
      <c r="MME3" s="74"/>
      <c r="MMF3" s="74"/>
      <c r="MMG3" s="74"/>
      <c r="MMH3" s="74"/>
      <c r="MMI3" s="74"/>
      <c r="MMJ3" s="74"/>
      <c r="MMK3" s="74"/>
      <c r="MML3" s="74"/>
      <c r="MMM3" s="74"/>
      <c r="MMN3" s="74"/>
      <c r="MMO3" s="74"/>
      <c r="MMP3" s="74"/>
      <c r="MMQ3" s="74"/>
      <c r="MMR3" s="74"/>
      <c r="MMS3" s="74"/>
      <c r="MMT3" s="74"/>
      <c r="MMU3" s="74"/>
      <c r="MMV3" s="74"/>
      <c r="MMW3" s="74"/>
      <c r="MMX3" s="74"/>
      <c r="MMY3" s="74"/>
      <c r="MMZ3" s="74"/>
      <c r="MNA3" s="74"/>
      <c r="MNB3" s="74"/>
      <c r="MNC3" s="74"/>
      <c r="MND3" s="74"/>
      <c r="MNE3" s="74"/>
      <c r="MNF3" s="74"/>
      <c r="MNG3" s="74"/>
      <c r="MNH3" s="74"/>
      <c r="MNI3" s="74"/>
      <c r="MNJ3" s="74"/>
      <c r="MNK3" s="74"/>
      <c r="MNL3" s="74"/>
      <c r="MNM3" s="74"/>
      <c r="MNN3" s="74"/>
      <c r="MNO3" s="74"/>
      <c r="MNP3" s="74"/>
      <c r="MNQ3" s="74"/>
      <c r="MNR3" s="74"/>
      <c r="MNS3" s="74"/>
      <c r="MNT3" s="74"/>
      <c r="MNU3" s="74"/>
      <c r="MNV3" s="74"/>
      <c r="MNW3" s="74"/>
      <c r="MNX3" s="74"/>
      <c r="MNY3" s="74"/>
      <c r="MNZ3" s="74"/>
      <c r="MOA3" s="74"/>
      <c r="MOB3" s="74"/>
      <c r="MOC3" s="74"/>
      <c r="MOD3" s="74"/>
      <c r="MOE3" s="74"/>
      <c r="MOF3" s="74"/>
      <c r="MOG3" s="74"/>
      <c r="MOH3" s="74"/>
      <c r="MOI3" s="74"/>
      <c r="MOJ3" s="74"/>
      <c r="MOK3" s="74"/>
      <c r="MOL3" s="74"/>
      <c r="MOM3" s="74"/>
      <c r="MON3" s="74"/>
      <c r="MOO3" s="74"/>
      <c r="MOP3" s="74"/>
      <c r="MOQ3" s="74"/>
      <c r="MOR3" s="74"/>
      <c r="MOS3" s="74"/>
      <c r="MOT3" s="74"/>
      <c r="MOU3" s="74"/>
      <c r="MOV3" s="74"/>
      <c r="MOW3" s="74"/>
      <c r="MOX3" s="74"/>
      <c r="MOY3" s="74"/>
      <c r="MOZ3" s="74"/>
      <c r="MPA3" s="74"/>
      <c r="MPB3" s="74"/>
      <c r="MPC3" s="74"/>
      <c r="MPD3" s="74"/>
      <c r="MPE3" s="74"/>
      <c r="MPF3" s="74"/>
      <c r="MPG3" s="74"/>
      <c r="MPH3" s="74"/>
      <c r="MPI3" s="74"/>
      <c r="MPJ3" s="74"/>
      <c r="MPK3" s="74"/>
      <c r="MPL3" s="74"/>
      <c r="MPM3" s="74"/>
      <c r="MPN3" s="74"/>
      <c r="MPO3" s="74"/>
      <c r="MPP3" s="74"/>
      <c r="MPQ3" s="74"/>
      <c r="MPR3" s="74"/>
      <c r="MPS3" s="74"/>
      <c r="MPT3" s="74"/>
      <c r="MPU3" s="74"/>
      <c r="MPV3" s="74"/>
      <c r="MPW3" s="74"/>
      <c r="MPX3" s="74"/>
      <c r="MPY3" s="74"/>
      <c r="MPZ3" s="74"/>
      <c r="MQA3" s="74"/>
      <c r="MQB3" s="74"/>
      <c r="MQC3" s="74"/>
      <c r="MQD3" s="74"/>
      <c r="MQE3" s="74"/>
      <c r="MQF3" s="74"/>
      <c r="MQG3" s="74"/>
      <c r="MQH3" s="74"/>
      <c r="MQI3" s="74"/>
      <c r="MQJ3" s="74"/>
      <c r="MQK3" s="74"/>
      <c r="MQL3" s="74"/>
      <c r="MQM3" s="74"/>
      <c r="MQN3" s="74"/>
      <c r="MQO3" s="74"/>
      <c r="MQP3" s="74"/>
      <c r="MQQ3" s="74"/>
      <c r="MQR3" s="74"/>
      <c r="MQS3" s="74"/>
      <c r="MQT3" s="74"/>
      <c r="MQU3" s="74"/>
      <c r="MQV3" s="74"/>
      <c r="MQW3" s="74"/>
      <c r="MQX3" s="74"/>
      <c r="MQY3" s="74"/>
      <c r="MQZ3" s="74"/>
      <c r="MRA3" s="74"/>
      <c r="MRB3" s="74"/>
      <c r="MRC3" s="74"/>
      <c r="MRD3" s="74"/>
      <c r="MRE3" s="74"/>
      <c r="MRF3" s="74"/>
      <c r="MRG3" s="74"/>
      <c r="MRH3" s="74"/>
      <c r="MRI3" s="74"/>
      <c r="MRJ3" s="74"/>
      <c r="MRK3" s="74"/>
      <c r="MRL3" s="74"/>
      <c r="MRM3" s="74"/>
      <c r="MRN3" s="74"/>
      <c r="MRO3" s="74"/>
      <c r="MRP3" s="74"/>
      <c r="MRQ3" s="74"/>
      <c r="MRR3" s="74"/>
      <c r="MRS3" s="74"/>
      <c r="MRT3" s="74"/>
      <c r="MRU3" s="74"/>
      <c r="MRV3" s="74"/>
      <c r="MRW3" s="74"/>
      <c r="MRX3" s="74"/>
      <c r="MRY3" s="74"/>
      <c r="MRZ3" s="74"/>
      <c r="MSA3" s="74"/>
      <c r="MSB3" s="74"/>
      <c r="MSC3" s="74"/>
      <c r="MSD3" s="74"/>
      <c r="MSE3" s="74"/>
      <c r="MSF3" s="74"/>
      <c r="MSG3" s="74"/>
      <c r="MSH3" s="74"/>
      <c r="MSI3" s="74"/>
      <c r="MSJ3" s="74"/>
      <c r="MSK3" s="74"/>
      <c r="MSL3" s="74"/>
      <c r="MSM3" s="74"/>
      <c r="MSN3" s="74"/>
      <c r="MSO3" s="74"/>
      <c r="MSP3" s="74"/>
      <c r="MSQ3" s="74"/>
      <c r="MSR3" s="74"/>
      <c r="MSS3" s="74"/>
      <c r="MST3" s="74"/>
      <c r="MSU3" s="74"/>
      <c r="MSV3" s="74"/>
      <c r="MSW3" s="74"/>
      <c r="MSX3" s="74"/>
      <c r="MSY3" s="74"/>
      <c r="MSZ3" s="74"/>
      <c r="MTA3" s="74"/>
      <c r="MTB3" s="74"/>
      <c r="MTC3" s="74"/>
      <c r="MTD3" s="74"/>
      <c r="MTE3" s="74"/>
      <c r="MTF3" s="74"/>
      <c r="MTG3" s="74"/>
      <c r="MTH3" s="74"/>
      <c r="MTI3" s="74"/>
      <c r="MTJ3" s="74"/>
      <c r="MTK3" s="74"/>
      <c r="MTL3" s="74"/>
      <c r="MTM3" s="74"/>
      <c r="MTN3" s="74"/>
      <c r="MTO3" s="74"/>
      <c r="MTP3" s="74"/>
      <c r="MTQ3" s="74"/>
      <c r="MTR3" s="74"/>
      <c r="MTS3" s="74"/>
      <c r="MTT3" s="74"/>
      <c r="MTU3" s="74"/>
      <c r="MTV3" s="74"/>
      <c r="MTW3" s="74"/>
      <c r="MTX3" s="74"/>
      <c r="MTY3" s="74"/>
      <c r="MTZ3" s="74"/>
      <c r="MUA3" s="74"/>
      <c r="MUB3" s="74"/>
      <c r="MUC3" s="74"/>
      <c r="MUD3" s="74"/>
      <c r="MUE3" s="74"/>
      <c r="MUF3" s="74"/>
      <c r="MUG3" s="74"/>
      <c r="MUH3" s="74"/>
      <c r="MUI3" s="74"/>
      <c r="MUJ3" s="74"/>
      <c r="MUK3" s="74"/>
      <c r="MUL3" s="74"/>
      <c r="MUM3" s="74"/>
      <c r="MUN3" s="74"/>
      <c r="MUO3" s="74"/>
      <c r="MUP3" s="74"/>
      <c r="MUQ3" s="74"/>
      <c r="MUR3" s="74"/>
      <c r="MUS3" s="74"/>
      <c r="MUT3" s="74"/>
      <c r="MUU3" s="74"/>
      <c r="MUV3" s="74"/>
      <c r="MUW3" s="74"/>
      <c r="MUX3" s="74"/>
      <c r="MUY3" s="74"/>
      <c r="MUZ3" s="74"/>
      <c r="MVA3" s="74"/>
      <c r="MVB3" s="74"/>
      <c r="MVC3" s="74"/>
      <c r="MVD3" s="74"/>
      <c r="MVE3" s="74"/>
      <c r="MVF3" s="74"/>
      <c r="MVG3" s="74"/>
      <c r="MVH3" s="74"/>
      <c r="MVI3" s="74"/>
      <c r="MVJ3" s="74"/>
      <c r="MVK3" s="74"/>
      <c r="MVL3" s="74"/>
      <c r="MVM3" s="74"/>
      <c r="MVN3" s="74"/>
      <c r="MVO3" s="74"/>
      <c r="MVP3" s="74"/>
      <c r="MVQ3" s="74"/>
      <c r="MVR3" s="74"/>
      <c r="MVS3" s="74"/>
      <c r="MVT3" s="74"/>
      <c r="MVU3" s="74"/>
      <c r="MVV3" s="74"/>
      <c r="MVW3" s="74"/>
      <c r="MVX3" s="74"/>
      <c r="MVY3" s="74"/>
      <c r="MVZ3" s="74"/>
      <c r="MWA3" s="74"/>
      <c r="MWB3" s="74"/>
      <c r="MWC3" s="74"/>
      <c r="MWD3" s="74"/>
      <c r="MWE3" s="74"/>
      <c r="MWF3" s="74"/>
      <c r="MWG3" s="74"/>
      <c r="MWH3" s="74"/>
      <c r="MWI3" s="74"/>
      <c r="MWJ3" s="74"/>
      <c r="MWK3" s="74"/>
      <c r="MWL3" s="74"/>
      <c r="MWM3" s="74"/>
      <c r="MWN3" s="74"/>
      <c r="MWO3" s="74"/>
      <c r="MWP3" s="74"/>
      <c r="MWQ3" s="74"/>
      <c r="MWR3" s="74"/>
      <c r="MWS3" s="74"/>
      <c r="MWT3" s="74"/>
      <c r="MWU3" s="74"/>
      <c r="MWV3" s="74"/>
      <c r="MWW3" s="74"/>
      <c r="MWX3" s="74"/>
      <c r="MWY3" s="74"/>
      <c r="MWZ3" s="74"/>
      <c r="MXA3" s="74"/>
      <c r="MXB3" s="74"/>
      <c r="MXC3" s="74"/>
      <c r="MXD3" s="74"/>
      <c r="MXE3" s="74"/>
      <c r="MXF3" s="74"/>
      <c r="MXG3" s="74"/>
      <c r="MXH3" s="74"/>
      <c r="MXI3" s="74"/>
      <c r="MXJ3" s="74"/>
      <c r="MXK3" s="74"/>
      <c r="MXL3" s="74"/>
      <c r="MXM3" s="74"/>
      <c r="MXN3" s="74"/>
      <c r="MXO3" s="74"/>
      <c r="MXP3" s="74"/>
      <c r="MXQ3" s="74"/>
      <c r="MXR3" s="74"/>
      <c r="MXS3" s="74"/>
      <c r="MXT3" s="74"/>
      <c r="MXU3" s="74"/>
      <c r="MXV3" s="74"/>
      <c r="MXW3" s="74"/>
      <c r="MXX3" s="74"/>
      <c r="MXY3" s="74"/>
      <c r="MXZ3" s="74"/>
      <c r="MYA3" s="74"/>
      <c r="MYB3" s="74"/>
      <c r="MYC3" s="74"/>
      <c r="MYD3" s="74"/>
      <c r="MYE3" s="74"/>
      <c r="MYF3" s="74"/>
      <c r="MYG3" s="74"/>
      <c r="MYH3" s="74"/>
      <c r="MYI3" s="74"/>
      <c r="MYJ3" s="74"/>
      <c r="MYK3" s="74"/>
      <c r="MYL3" s="74"/>
      <c r="MYM3" s="74"/>
      <c r="MYN3" s="74"/>
      <c r="MYO3" s="74"/>
      <c r="MYP3" s="74"/>
      <c r="MYQ3" s="74"/>
      <c r="MYR3" s="74"/>
      <c r="MYS3" s="74"/>
      <c r="MYT3" s="74"/>
      <c r="MYU3" s="74"/>
      <c r="MYV3" s="74"/>
      <c r="MYW3" s="74"/>
      <c r="MYX3" s="74"/>
      <c r="MYY3" s="74"/>
      <c r="MYZ3" s="74"/>
      <c r="MZA3" s="74"/>
      <c r="MZB3" s="74"/>
      <c r="MZC3" s="74"/>
      <c r="MZD3" s="74"/>
      <c r="MZE3" s="74"/>
      <c r="MZF3" s="74"/>
      <c r="MZG3" s="74"/>
      <c r="MZH3" s="74"/>
      <c r="MZI3" s="74"/>
      <c r="MZJ3" s="74"/>
      <c r="MZK3" s="74"/>
      <c r="MZL3" s="74"/>
      <c r="MZM3" s="74"/>
      <c r="MZN3" s="74"/>
      <c r="MZO3" s="74"/>
      <c r="MZP3" s="74"/>
      <c r="MZQ3" s="74"/>
      <c r="MZR3" s="74"/>
      <c r="MZS3" s="74"/>
      <c r="MZT3" s="74"/>
      <c r="MZU3" s="74"/>
      <c r="MZV3" s="74"/>
      <c r="MZW3" s="74"/>
      <c r="MZX3" s="74"/>
      <c r="MZY3" s="74"/>
      <c r="MZZ3" s="74"/>
      <c r="NAA3" s="74"/>
      <c r="NAB3" s="74"/>
      <c r="NAC3" s="74"/>
      <c r="NAD3" s="74"/>
      <c r="NAE3" s="74"/>
      <c r="NAF3" s="74"/>
      <c r="NAG3" s="74"/>
      <c r="NAH3" s="74"/>
      <c r="NAI3" s="74"/>
      <c r="NAJ3" s="74"/>
      <c r="NAK3" s="74"/>
      <c r="NAL3" s="74"/>
      <c r="NAM3" s="74"/>
      <c r="NAN3" s="74"/>
      <c r="NAO3" s="74"/>
      <c r="NAP3" s="74"/>
      <c r="NAQ3" s="74"/>
      <c r="NAR3" s="74"/>
      <c r="NAS3" s="74"/>
      <c r="NAT3" s="74"/>
      <c r="NAU3" s="74"/>
      <c r="NAV3" s="74"/>
      <c r="NAW3" s="74"/>
      <c r="NAX3" s="74"/>
      <c r="NAY3" s="74"/>
      <c r="NAZ3" s="74"/>
      <c r="NBA3" s="74"/>
      <c r="NBB3" s="74"/>
      <c r="NBC3" s="74"/>
      <c r="NBD3" s="74"/>
      <c r="NBE3" s="74"/>
      <c r="NBF3" s="74"/>
      <c r="NBG3" s="74"/>
      <c r="NBH3" s="74"/>
      <c r="NBI3" s="74"/>
      <c r="NBJ3" s="74"/>
      <c r="NBK3" s="74"/>
      <c r="NBL3" s="74"/>
      <c r="NBM3" s="74"/>
      <c r="NBN3" s="74"/>
      <c r="NBO3" s="74"/>
      <c r="NBP3" s="74"/>
      <c r="NBQ3" s="74"/>
      <c r="NBR3" s="74"/>
      <c r="NBS3" s="74"/>
      <c r="NBT3" s="74"/>
      <c r="NBU3" s="74"/>
      <c r="NBV3" s="74"/>
      <c r="NBW3" s="74"/>
      <c r="NBX3" s="74"/>
      <c r="NBY3" s="74"/>
      <c r="NBZ3" s="74"/>
      <c r="NCA3" s="74"/>
      <c r="NCB3" s="74"/>
      <c r="NCC3" s="74"/>
      <c r="NCD3" s="74"/>
      <c r="NCE3" s="74"/>
      <c r="NCF3" s="74"/>
      <c r="NCG3" s="74"/>
      <c r="NCH3" s="74"/>
      <c r="NCI3" s="74"/>
      <c r="NCJ3" s="74"/>
      <c r="NCK3" s="74"/>
      <c r="NCL3" s="74"/>
      <c r="NCM3" s="74"/>
      <c r="NCN3" s="74"/>
      <c r="NCO3" s="74"/>
      <c r="NCP3" s="74"/>
      <c r="NCQ3" s="74"/>
      <c r="NCR3" s="74"/>
      <c r="NCS3" s="74"/>
      <c r="NCT3" s="74"/>
      <c r="NCU3" s="74"/>
      <c r="NCV3" s="74"/>
      <c r="NCW3" s="74"/>
      <c r="NCX3" s="74"/>
      <c r="NCY3" s="74"/>
      <c r="NCZ3" s="74"/>
      <c r="NDA3" s="74"/>
      <c r="NDB3" s="74"/>
      <c r="NDC3" s="74"/>
      <c r="NDD3" s="74"/>
      <c r="NDE3" s="74"/>
      <c r="NDF3" s="74"/>
      <c r="NDG3" s="74"/>
      <c r="NDH3" s="74"/>
      <c r="NDI3" s="74"/>
      <c r="NDJ3" s="74"/>
      <c r="NDK3" s="74"/>
      <c r="NDL3" s="74"/>
      <c r="NDM3" s="74"/>
      <c r="NDN3" s="74"/>
      <c r="NDO3" s="74"/>
      <c r="NDP3" s="74"/>
      <c r="NDQ3" s="74"/>
      <c r="NDR3" s="74"/>
      <c r="NDS3" s="74"/>
      <c r="NDT3" s="74"/>
      <c r="NDU3" s="74"/>
      <c r="NDV3" s="74"/>
      <c r="NDW3" s="74"/>
      <c r="NDX3" s="74"/>
      <c r="NDY3" s="74"/>
      <c r="NDZ3" s="74"/>
      <c r="NEA3" s="74"/>
      <c r="NEB3" s="74"/>
      <c r="NEC3" s="74"/>
      <c r="NED3" s="74"/>
      <c r="NEE3" s="74"/>
      <c r="NEF3" s="74"/>
      <c r="NEG3" s="74"/>
      <c r="NEH3" s="74"/>
      <c r="NEI3" s="74"/>
      <c r="NEJ3" s="74"/>
      <c r="NEK3" s="74"/>
      <c r="NEL3" s="74"/>
      <c r="NEM3" s="74"/>
      <c r="NEN3" s="74"/>
      <c r="NEO3" s="74"/>
      <c r="NEP3" s="74"/>
      <c r="NEQ3" s="74"/>
      <c r="NER3" s="74"/>
      <c r="NES3" s="74"/>
      <c r="NET3" s="74"/>
      <c r="NEU3" s="74"/>
      <c r="NEV3" s="74"/>
      <c r="NEW3" s="74"/>
      <c r="NEX3" s="74"/>
      <c r="NEY3" s="74"/>
      <c r="NEZ3" s="74"/>
      <c r="NFA3" s="74"/>
      <c r="NFB3" s="74"/>
      <c r="NFC3" s="74"/>
      <c r="NFD3" s="74"/>
      <c r="NFE3" s="74"/>
      <c r="NFF3" s="74"/>
      <c r="NFG3" s="74"/>
      <c r="NFH3" s="74"/>
      <c r="NFI3" s="74"/>
      <c r="NFJ3" s="74"/>
      <c r="NFK3" s="74"/>
      <c r="NFL3" s="74"/>
      <c r="NFM3" s="74"/>
      <c r="NFN3" s="74"/>
      <c r="NFO3" s="74"/>
      <c r="NFP3" s="74"/>
      <c r="NFQ3" s="74"/>
      <c r="NFR3" s="74"/>
      <c r="NFS3" s="74"/>
      <c r="NFT3" s="74"/>
      <c r="NFU3" s="74"/>
      <c r="NFV3" s="74"/>
      <c r="NFW3" s="74"/>
      <c r="NFX3" s="74"/>
      <c r="NFY3" s="74"/>
      <c r="NFZ3" s="74"/>
      <c r="NGA3" s="74"/>
      <c r="NGB3" s="74"/>
      <c r="NGC3" s="74"/>
      <c r="NGD3" s="74"/>
      <c r="NGE3" s="74"/>
      <c r="NGF3" s="74"/>
      <c r="NGG3" s="74"/>
      <c r="NGH3" s="74"/>
      <c r="NGI3" s="74"/>
      <c r="NGJ3" s="74"/>
      <c r="NGK3" s="74"/>
      <c r="NGL3" s="74"/>
      <c r="NGM3" s="74"/>
      <c r="NGN3" s="74"/>
      <c r="NGO3" s="74"/>
      <c r="NGP3" s="74"/>
      <c r="NGQ3" s="74"/>
      <c r="NGR3" s="74"/>
      <c r="NGS3" s="74"/>
      <c r="NGT3" s="74"/>
      <c r="NGU3" s="74"/>
      <c r="NGV3" s="74"/>
      <c r="NGW3" s="74"/>
      <c r="NGX3" s="74"/>
      <c r="NGY3" s="74"/>
      <c r="NGZ3" s="74"/>
      <c r="NHA3" s="74"/>
      <c r="NHB3" s="74"/>
      <c r="NHC3" s="74"/>
      <c r="NHD3" s="74"/>
      <c r="NHE3" s="74"/>
      <c r="NHF3" s="74"/>
      <c r="NHG3" s="74"/>
      <c r="NHH3" s="74"/>
      <c r="NHI3" s="74"/>
      <c r="NHJ3" s="74"/>
      <c r="NHK3" s="74"/>
      <c r="NHL3" s="74"/>
      <c r="NHM3" s="74"/>
      <c r="NHN3" s="74"/>
      <c r="NHO3" s="74"/>
      <c r="NHP3" s="74"/>
      <c r="NHQ3" s="74"/>
      <c r="NHR3" s="74"/>
      <c r="NHS3" s="74"/>
      <c r="NHT3" s="74"/>
      <c r="NHU3" s="74"/>
      <c r="NHV3" s="74"/>
      <c r="NHW3" s="74"/>
      <c r="NHX3" s="74"/>
      <c r="NHY3" s="74"/>
      <c r="NHZ3" s="74"/>
      <c r="NIA3" s="74"/>
      <c r="NIB3" s="74"/>
      <c r="NIC3" s="74"/>
      <c r="NID3" s="74"/>
      <c r="NIE3" s="74"/>
      <c r="NIF3" s="74"/>
      <c r="NIG3" s="74"/>
      <c r="NIH3" s="74"/>
      <c r="NII3" s="74"/>
      <c r="NIJ3" s="74"/>
      <c r="NIK3" s="74"/>
      <c r="NIL3" s="74"/>
      <c r="NIM3" s="74"/>
      <c r="NIN3" s="74"/>
      <c r="NIO3" s="74"/>
      <c r="NIP3" s="74"/>
      <c r="NIQ3" s="74"/>
      <c r="NIR3" s="74"/>
      <c r="NIS3" s="74"/>
      <c r="NIT3" s="74"/>
      <c r="NIU3" s="74"/>
      <c r="NIV3" s="74"/>
      <c r="NIW3" s="74"/>
      <c r="NIX3" s="74"/>
      <c r="NIY3" s="74"/>
      <c r="NIZ3" s="74"/>
      <c r="NJA3" s="74"/>
      <c r="NJB3" s="74"/>
      <c r="NJC3" s="74"/>
      <c r="NJD3" s="74"/>
      <c r="NJE3" s="74"/>
      <c r="NJF3" s="74"/>
      <c r="NJG3" s="74"/>
      <c r="NJH3" s="74"/>
      <c r="NJI3" s="74"/>
      <c r="NJJ3" s="74"/>
      <c r="NJK3" s="74"/>
      <c r="NJL3" s="74"/>
      <c r="NJM3" s="74"/>
      <c r="NJN3" s="74"/>
      <c r="NJO3" s="74"/>
      <c r="NJP3" s="74"/>
      <c r="NJQ3" s="74"/>
      <c r="NJR3" s="74"/>
      <c r="NJS3" s="74"/>
      <c r="NJT3" s="74"/>
      <c r="NJU3" s="74"/>
      <c r="NJV3" s="74"/>
      <c r="NJW3" s="74"/>
      <c r="NJX3" s="74"/>
      <c r="NJY3" s="74"/>
      <c r="NJZ3" s="74"/>
      <c r="NKA3" s="74"/>
      <c r="NKB3" s="74"/>
      <c r="NKC3" s="74"/>
      <c r="NKD3" s="74"/>
      <c r="NKE3" s="74"/>
      <c r="NKF3" s="74"/>
      <c r="NKG3" s="74"/>
      <c r="NKH3" s="74"/>
      <c r="NKI3" s="74"/>
      <c r="NKJ3" s="74"/>
      <c r="NKK3" s="74"/>
      <c r="NKL3" s="74"/>
      <c r="NKM3" s="74"/>
      <c r="NKN3" s="74"/>
      <c r="NKO3" s="74"/>
      <c r="NKP3" s="74"/>
      <c r="NKQ3" s="74"/>
      <c r="NKR3" s="74"/>
      <c r="NKS3" s="74"/>
      <c r="NKT3" s="74"/>
      <c r="NKU3" s="74"/>
      <c r="NKV3" s="74"/>
      <c r="NKW3" s="74"/>
      <c r="NKX3" s="74"/>
      <c r="NKY3" s="74"/>
      <c r="NKZ3" s="74"/>
      <c r="NLA3" s="74"/>
      <c r="NLB3" s="74"/>
      <c r="NLC3" s="74"/>
      <c r="NLD3" s="74"/>
      <c r="NLE3" s="74"/>
      <c r="NLF3" s="74"/>
      <c r="NLG3" s="74"/>
      <c r="NLH3" s="74"/>
      <c r="NLI3" s="74"/>
      <c r="NLJ3" s="74"/>
      <c r="NLK3" s="74"/>
      <c r="NLL3" s="74"/>
      <c r="NLM3" s="74"/>
      <c r="NLN3" s="74"/>
      <c r="NLO3" s="74"/>
      <c r="NLP3" s="74"/>
      <c r="NLQ3" s="74"/>
      <c r="NLR3" s="74"/>
      <c r="NLS3" s="74"/>
      <c r="NLT3" s="74"/>
      <c r="NLU3" s="74"/>
      <c r="NLV3" s="74"/>
      <c r="NLW3" s="74"/>
      <c r="NLX3" s="74"/>
      <c r="NLY3" s="74"/>
      <c r="NLZ3" s="74"/>
      <c r="NMA3" s="74"/>
      <c r="NMB3" s="74"/>
      <c r="NMC3" s="74"/>
      <c r="NMD3" s="74"/>
      <c r="NME3" s="74"/>
      <c r="NMF3" s="74"/>
      <c r="NMG3" s="74"/>
      <c r="NMH3" s="74"/>
      <c r="NMI3" s="74"/>
      <c r="NMJ3" s="74"/>
      <c r="NMK3" s="74"/>
      <c r="NML3" s="74"/>
      <c r="NMM3" s="74"/>
      <c r="NMN3" s="74"/>
      <c r="NMO3" s="74"/>
      <c r="NMP3" s="74"/>
      <c r="NMQ3" s="74"/>
      <c r="NMR3" s="74"/>
      <c r="NMS3" s="74"/>
      <c r="NMT3" s="74"/>
      <c r="NMU3" s="74"/>
      <c r="NMV3" s="74"/>
      <c r="NMW3" s="74"/>
      <c r="NMX3" s="74"/>
      <c r="NMY3" s="74"/>
      <c r="NMZ3" s="74"/>
      <c r="NNA3" s="74"/>
      <c r="NNB3" s="74"/>
      <c r="NNC3" s="74"/>
      <c r="NND3" s="74"/>
      <c r="NNE3" s="74"/>
      <c r="NNF3" s="74"/>
      <c r="NNG3" s="74"/>
      <c r="NNH3" s="74"/>
      <c r="NNI3" s="74"/>
      <c r="NNJ3" s="74"/>
      <c r="NNK3" s="74"/>
      <c r="NNL3" s="74"/>
      <c r="NNM3" s="74"/>
      <c r="NNN3" s="74"/>
      <c r="NNO3" s="74"/>
      <c r="NNP3" s="74"/>
      <c r="NNQ3" s="74"/>
      <c r="NNR3" s="74"/>
      <c r="NNS3" s="74"/>
      <c r="NNT3" s="74"/>
      <c r="NNU3" s="74"/>
      <c r="NNV3" s="74"/>
      <c r="NNW3" s="74"/>
      <c r="NNX3" s="74"/>
      <c r="NNY3" s="74"/>
      <c r="NNZ3" s="74"/>
      <c r="NOA3" s="74"/>
      <c r="NOB3" s="74"/>
      <c r="NOC3" s="74"/>
      <c r="NOD3" s="74"/>
      <c r="NOE3" s="74"/>
      <c r="NOF3" s="74"/>
      <c r="NOG3" s="74"/>
      <c r="NOH3" s="74"/>
      <c r="NOI3" s="74"/>
      <c r="NOJ3" s="74"/>
      <c r="NOK3" s="74"/>
      <c r="NOL3" s="74"/>
      <c r="NOM3" s="74"/>
      <c r="NON3" s="74"/>
      <c r="NOO3" s="74"/>
      <c r="NOP3" s="74"/>
      <c r="NOQ3" s="74"/>
      <c r="NOR3" s="74"/>
      <c r="NOS3" s="74"/>
      <c r="NOT3" s="74"/>
      <c r="NOU3" s="74"/>
      <c r="NOV3" s="74"/>
      <c r="NOW3" s="74"/>
      <c r="NOX3" s="74"/>
      <c r="NOY3" s="74"/>
      <c r="NOZ3" s="74"/>
      <c r="NPA3" s="74"/>
      <c r="NPB3" s="74"/>
      <c r="NPC3" s="74"/>
      <c r="NPD3" s="74"/>
      <c r="NPE3" s="74"/>
      <c r="NPF3" s="74"/>
      <c r="NPG3" s="74"/>
      <c r="NPH3" s="74"/>
      <c r="NPI3" s="74"/>
      <c r="NPJ3" s="74"/>
      <c r="NPK3" s="74"/>
      <c r="NPL3" s="74"/>
      <c r="NPM3" s="74"/>
      <c r="NPN3" s="74"/>
      <c r="NPO3" s="74"/>
      <c r="NPP3" s="74"/>
      <c r="NPQ3" s="74"/>
      <c r="NPR3" s="74"/>
      <c r="NPS3" s="74"/>
      <c r="NPT3" s="74"/>
      <c r="NPU3" s="74"/>
      <c r="NPV3" s="74"/>
      <c r="NPW3" s="74"/>
      <c r="NPX3" s="74"/>
      <c r="NPY3" s="74"/>
      <c r="NPZ3" s="74"/>
      <c r="NQA3" s="74"/>
      <c r="NQB3" s="74"/>
      <c r="NQC3" s="74"/>
      <c r="NQD3" s="74"/>
      <c r="NQE3" s="74"/>
      <c r="NQF3" s="74"/>
      <c r="NQG3" s="74"/>
      <c r="NQH3" s="74"/>
      <c r="NQI3" s="74"/>
      <c r="NQJ3" s="74"/>
      <c r="NQK3" s="74"/>
      <c r="NQL3" s="74"/>
      <c r="NQM3" s="74"/>
      <c r="NQN3" s="74"/>
      <c r="NQO3" s="74"/>
      <c r="NQP3" s="74"/>
      <c r="NQQ3" s="74"/>
      <c r="NQR3" s="74"/>
      <c r="NQS3" s="74"/>
      <c r="NQT3" s="74"/>
      <c r="NQU3" s="74"/>
      <c r="NQV3" s="74"/>
      <c r="NQW3" s="74"/>
      <c r="NQX3" s="74"/>
      <c r="NQY3" s="74"/>
      <c r="NQZ3" s="74"/>
      <c r="NRA3" s="74"/>
      <c r="NRB3" s="74"/>
      <c r="NRC3" s="74"/>
      <c r="NRD3" s="74"/>
      <c r="NRE3" s="74"/>
      <c r="NRF3" s="74"/>
      <c r="NRG3" s="74"/>
      <c r="NRH3" s="74"/>
      <c r="NRI3" s="74"/>
      <c r="NRJ3" s="74"/>
      <c r="NRK3" s="74"/>
      <c r="NRL3" s="74"/>
      <c r="NRM3" s="74"/>
      <c r="NRN3" s="74"/>
      <c r="NRO3" s="74"/>
      <c r="NRP3" s="74"/>
      <c r="NRQ3" s="74"/>
      <c r="NRR3" s="74"/>
      <c r="NRS3" s="74"/>
      <c r="NRT3" s="74"/>
      <c r="NRU3" s="74"/>
      <c r="NRV3" s="74"/>
      <c r="NRW3" s="74"/>
      <c r="NRX3" s="74"/>
      <c r="NRY3" s="74"/>
      <c r="NRZ3" s="74"/>
      <c r="NSA3" s="74"/>
      <c r="NSB3" s="74"/>
      <c r="NSC3" s="74"/>
      <c r="NSD3" s="74"/>
      <c r="NSE3" s="74"/>
      <c r="NSF3" s="74"/>
      <c r="NSG3" s="74"/>
      <c r="NSH3" s="74"/>
      <c r="NSI3" s="74"/>
      <c r="NSJ3" s="74"/>
      <c r="NSK3" s="74"/>
      <c r="NSL3" s="74"/>
      <c r="NSM3" s="74"/>
      <c r="NSN3" s="74"/>
      <c r="NSO3" s="74"/>
      <c r="NSP3" s="74"/>
      <c r="NSQ3" s="74"/>
      <c r="NSR3" s="74"/>
      <c r="NSS3" s="74"/>
      <c r="NST3" s="74"/>
      <c r="NSU3" s="74"/>
      <c r="NSV3" s="74"/>
      <c r="NSW3" s="74"/>
      <c r="NSX3" s="74"/>
      <c r="NSY3" s="74"/>
      <c r="NSZ3" s="74"/>
      <c r="NTA3" s="74"/>
      <c r="NTB3" s="74"/>
      <c r="NTC3" s="74"/>
      <c r="NTD3" s="74"/>
      <c r="NTE3" s="74"/>
      <c r="NTF3" s="74"/>
      <c r="NTG3" s="74"/>
      <c r="NTH3" s="74"/>
      <c r="NTI3" s="74"/>
      <c r="NTJ3" s="74"/>
      <c r="NTK3" s="74"/>
      <c r="NTL3" s="74"/>
      <c r="NTM3" s="74"/>
      <c r="NTN3" s="74"/>
      <c r="NTO3" s="74"/>
      <c r="NTP3" s="74"/>
      <c r="NTQ3" s="74"/>
      <c r="NTR3" s="74"/>
      <c r="NTS3" s="74"/>
      <c r="NTT3" s="74"/>
      <c r="NTU3" s="74"/>
      <c r="NTV3" s="74"/>
      <c r="NTW3" s="74"/>
      <c r="NTX3" s="74"/>
      <c r="NTY3" s="74"/>
      <c r="NTZ3" s="74"/>
      <c r="NUA3" s="74"/>
      <c r="NUB3" s="74"/>
      <c r="NUC3" s="74"/>
      <c r="NUD3" s="74"/>
      <c r="NUE3" s="74"/>
      <c r="NUF3" s="74"/>
      <c r="NUG3" s="74"/>
      <c r="NUH3" s="74"/>
      <c r="NUI3" s="74"/>
      <c r="NUJ3" s="74"/>
      <c r="NUK3" s="74"/>
      <c r="NUL3" s="74"/>
      <c r="NUM3" s="74"/>
      <c r="NUN3" s="74"/>
      <c r="NUO3" s="74"/>
      <c r="NUP3" s="74"/>
      <c r="NUQ3" s="74"/>
      <c r="NUR3" s="74"/>
      <c r="NUS3" s="74"/>
      <c r="NUT3" s="74"/>
      <c r="NUU3" s="74"/>
      <c r="NUV3" s="74"/>
      <c r="NUW3" s="74"/>
      <c r="NUX3" s="74"/>
      <c r="NUY3" s="74"/>
      <c r="NUZ3" s="74"/>
      <c r="NVA3" s="74"/>
      <c r="NVB3" s="74"/>
      <c r="NVC3" s="74"/>
      <c r="NVD3" s="74"/>
      <c r="NVE3" s="74"/>
      <c r="NVF3" s="74"/>
      <c r="NVG3" s="74"/>
      <c r="NVH3" s="74"/>
      <c r="NVI3" s="74"/>
      <c r="NVJ3" s="74"/>
      <c r="NVK3" s="74"/>
      <c r="NVL3" s="74"/>
      <c r="NVM3" s="74"/>
      <c r="NVN3" s="74"/>
      <c r="NVO3" s="74"/>
      <c r="NVP3" s="74"/>
      <c r="NVQ3" s="74"/>
      <c r="NVR3" s="74"/>
      <c r="NVS3" s="74"/>
      <c r="NVT3" s="74"/>
      <c r="NVU3" s="74"/>
      <c r="NVV3" s="74"/>
      <c r="NVW3" s="74"/>
      <c r="NVX3" s="74"/>
      <c r="NVY3" s="74"/>
      <c r="NVZ3" s="74"/>
      <c r="NWA3" s="74"/>
      <c r="NWB3" s="74"/>
      <c r="NWC3" s="74"/>
      <c r="NWD3" s="74"/>
      <c r="NWE3" s="74"/>
      <c r="NWF3" s="74"/>
      <c r="NWG3" s="74"/>
      <c r="NWH3" s="74"/>
      <c r="NWI3" s="74"/>
      <c r="NWJ3" s="74"/>
      <c r="NWK3" s="74"/>
      <c r="NWL3" s="74"/>
      <c r="NWM3" s="74"/>
      <c r="NWN3" s="74"/>
      <c r="NWO3" s="74"/>
      <c r="NWP3" s="74"/>
      <c r="NWQ3" s="74"/>
      <c r="NWR3" s="74"/>
      <c r="NWS3" s="74"/>
      <c r="NWT3" s="74"/>
      <c r="NWU3" s="74"/>
      <c r="NWV3" s="74"/>
      <c r="NWW3" s="74"/>
      <c r="NWX3" s="74"/>
      <c r="NWY3" s="74"/>
      <c r="NWZ3" s="74"/>
      <c r="NXA3" s="74"/>
      <c r="NXB3" s="74"/>
      <c r="NXC3" s="74"/>
      <c r="NXD3" s="74"/>
      <c r="NXE3" s="74"/>
      <c r="NXF3" s="74"/>
      <c r="NXG3" s="74"/>
      <c r="NXH3" s="74"/>
      <c r="NXI3" s="74"/>
      <c r="NXJ3" s="74"/>
      <c r="NXK3" s="74"/>
      <c r="NXL3" s="74"/>
      <c r="NXM3" s="74"/>
      <c r="NXN3" s="74"/>
      <c r="NXO3" s="74"/>
      <c r="NXP3" s="74"/>
      <c r="NXQ3" s="74"/>
      <c r="NXR3" s="74"/>
      <c r="NXS3" s="74"/>
      <c r="NXT3" s="74"/>
      <c r="NXU3" s="74"/>
      <c r="NXV3" s="74"/>
      <c r="NXW3" s="74"/>
      <c r="NXX3" s="74"/>
      <c r="NXY3" s="74"/>
      <c r="NXZ3" s="74"/>
      <c r="NYA3" s="74"/>
      <c r="NYB3" s="74"/>
      <c r="NYC3" s="74"/>
      <c r="NYD3" s="74"/>
      <c r="NYE3" s="74"/>
      <c r="NYF3" s="74"/>
      <c r="NYG3" s="74"/>
      <c r="NYH3" s="74"/>
      <c r="NYI3" s="74"/>
      <c r="NYJ3" s="74"/>
      <c r="NYK3" s="74"/>
      <c r="NYL3" s="74"/>
      <c r="NYM3" s="74"/>
      <c r="NYN3" s="74"/>
      <c r="NYO3" s="74"/>
      <c r="NYP3" s="74"/>
      <c r="NYQ3" s="74"/>
      <c r="NYR3" s="74"/>
      <c r="NYS3" s="74"/>
      <c r="NYT3" s="74"/>
      <c r="NYU3" s="74"/>
      <c r="NYV3" s="74"/>
      <c r="NYW3" s="74"/>
      <c r="NYX3" s="74"/>
      <c r="NYY3" s="74"/>
      <c r="NYZ3" s="74"/>
      <c r="NZA3" s="74"/>
      <c r="NZB3" s="74"/>
      <c r="NZC3" s="74"/>
      <c r="NZD3" s="74"/>
      <c r="NZE3" s="74"/>
      <c r="NZF3" s="74"/>
      <c r="NZG3" s="74"/>
      <c r="NZH3" s="74"/>
      <c r="NZI3" s="74"/>
      <c r="NZJ3" s="74"/>
      <c r="NZK3" s="74"/>
      <c r="NZL3" s="74"/>
      <c r="NZM3" s="74"/>
      <c r="NZN3" s="74"/>
      <c r="NZO3" s="74"/>
      <c r="NZP3" s="74"/>
      <c r="NZQ3" s="74"/>
      <c r="NZR3" s="74"/>
      <c r="NZS3" s="74"/>
      <c r="NZT3" s="74"/>
      <c r="NZU3" s="74"/>
      <c r="NZV3" s="74"/>
      <c r="NZW3" s="74"/>
      <c r="NZX3" s="74"/>
      <c r="NZY3" s="74"/>
      <c r="NZZ3" s="74"/>
      <c r="OAA3" s="74"/>
      <c r="OAB3" s="74"/>
      <c r="OAC3" s="74"/>
      <c r="OAD3" s="74"/>
      <c r="OAE3" s="74"/>
      <c r="OAF3" s="74"/>
      <c r="OAG3" s="74"/>
      <c r="OAH3" s="74"/>
      <c r="OAI3" s="74"/>
      <c r="OAJ3" s="74"/>
      <c r="OAK3" s="74"/>
      <c r="OAL3" s="74"/>
      <c r="OAM3" s="74"/>
      <c r="OAN3" s="74"/>
      <c r="OAO3" s="74"/>
      <c r="OAP3" s="74"/>
      <c r="OAQ3" s="74"/>
      <c r="OAR3" s="74"/>
      <c r="OAS3" s="74"/>
      <c r="OAT3" s="74"/>
      <c r="OAU3" s="74"/>
      <c r="OAV3" s="74"/>
      <c r="OAW3" s="74"/>
      <c r="OAX3" s="74"/>
      <c r="OAY3" s="74"/>
      <c r="OAZ3" s="74"/>
      <c r="OBA3" s="74"/>
      <c r="OBB3" s="74"/>
      <c r="OBC3" s="74"/>
      <c r="OBD3" s="74"/>
      <c r="OBE3" s="74"/>
      <c r="OBF3" s="74"/>
      <c r="OBG3" s="74"/>
      <c r="OBH3" s="74"/>
      <c r="OBI3" s="74"/>
      <c r="OBJ3" s="74"/>
      <c r="OBK3" s="74"/>
      <c r="OBL3" s="74"/>
      <c r="OBM3" s="74"/>
      <c r="OBN3" s="74"/>
      <c r="OBO3" s="74"/>
      <c r="OBP3" s="74"/>
      <c r="OBQ3" s="74"/>
      <c r="OBR3" s="74"/>
      <c r="OBS3" s="74"/>
      <c r="OBT3" s="74"/>
      <c r="OBU3" s="74"/>
      <c r="OBV3" s="74"/>
      <c r="OBW3" s="74"/>
      <c r="OBX3" s="74"/>
      <c r="OBY3" s="74"/>
      <c r="OBZ3" s="74"/>
      <c r="OCA3" s="74"/>
      <c r="OCB3" s="74"/>
      <c r="OCC3" s="74"/>
      <c r="OCD3" s="74"/>
      <c r="OCE3" s="74"/>
      <c r="OCF3" s="74"/>
      <c r="OCG3" s="74"/>
      <c r="OCH3" s="74"/>
      <c r="OCI3" s="74"/>
      <c r="OCJ3" s="74"/>
      <c r="OCK3" s="74"/>
      <c r="OCL3" s="74"/>
      <c r="OCM3" s="74"/>
      <c r="OCN3" s="74"/>
      <c r="OCO3" s="74"/>
      <c r="OCP3" s="74"/>
      <c r="OCQ3" s="74"/>
      <c r="OCR3" s="74"/>
      <c r="OCS3" s="74"/>
      <c r="OCT3" s="74"/>
      <c r="OCU3" s="74"/>
      <c r="OCV3" s="74"/>
      <c r="OCW3" s="74"/>
      <c r="OCX3" s="74"/>
      <c r="OCY3" s="74"/>
      <c r="OCZ3" s="74"/>
      <c r="ODA3" s="74"/>
      <c r="ODB3" s="74"/>
      <c r="ODC3" s="74"/>
      <c r="ODD3" s="74"/>
      <c r="ODE3" s="74"/>
      <c r="ODF3" s="74"/>
      <c r="ODG3" s="74"/>
      <c r="ODH3" s="74"/>
      <c r="ODI3" s="74"/>
      <c r="ODJ3" s="74"/>
      <c r="ODK3" s="74"/>
      <c r="ODL3" s="74"/>
      <c r="ODM3" s="74"/>
      <c r="ODN3" s="74"/>
      <c r="ODO3" s="74"/>
      <c r="ODP3" s="74"/>
      <c r="ODQ3" s="74"/>
      <c r="ODR3" s="74"/>
      <c r="ODS3" s="74"/>
      <c r="ODT3" s="74"/>
      <c r="ODU3" s="74"/>
      <c r="ODV3" s="74"/>
      <c r="ODW3" s="74"/>
      <c r="ODX3" s="74"/>
      <c r="ODY3" s="74"/>
      <c r="ODZ3" s="74"/>
      <c r="OEA3" s="74"/>
      <c r="OEB3" s="74"/>
      <c r="OEC3" s="74"/>
      <c r="OED3" s="74"/>
      <c r="OEE3" s="74"/>
      <c r="OEF3" s="74"/>
      <c r="OEG3" s="74"/>
      <c r="OEH3" s="74"/>
      <c r="OEI3" s="74"/>
      <c r="OEJ3" s="74"/>
      <c r="OEK3" s="74"/>
      <c r="OEL3" s="74"/>
      <c r="OEM3" s="74"/>
      <c r="OEN3" s="74"/>
      <c r="OEO3" s="74"/>
      <c r="OEP3" s="74"/>
      <c r="OEQ3" s="74"/>
      <c r="OER3" s="74"/>
      <c r="OES3" s="74"/>
      <c r="OET3" s="74"/>
      <c r="OEU3" s="74"/>
      <c r="OEV3" s="74"/>
      <c r="OEW3" s="74"/>
      <c r="OEX3" s="74"/>
      <c r="OEY3" s="74"/>
      <c r="OEZ3" s="74"/>
      <c r="OFA3" s="74"/>
      <c r="OFB3" s="74"/>
      <c r="OFC3" s="74"/>
      <c r="OFD3" s="74"/>
      <c r="OFE3" s="74"/>
      <c r="OFF3" s="74"/>
      <c r="OFG3" s="74"/>
      <c r="OFH3" s="74"/>
      <c r="OFI3" s="74"/>
      <c r="OFJ3" s="74"/>
      <c r="OFK3" s="74"/>
      <c r="OFL3" s="74"/>
      <c r="OFM3" s="74"/>
      <c r="OFN3" s="74"/>
      <c r="OFO3" s="74"/>
      <c r="OFP3" s="74"/>
      <c r="OFQ3" s="74"/>
      <c r="OFR3" s="74"/>
      <c r="OFS3" s="74"/>
      <c r="OFT3" s="74"/>
      <c r="OFU3" s="74"/>
      <c r="OFV3" s="74"/>
      <c r="OFW3" s="74"/>
      <c r="OFX3" s="74"/>
      <c r="OFY3" s="74"/>
      <c r="OFZ3" s="74"/>
      <c r="OGA3" s="74"/>
      <c r="OGB3" s="74"/>
      <c r="OGC3" s="74"/>
      <c r="OGD3" s="74"/>
      <c r="OGE3" s="74"/>
      <c r="OGF3" s="74"/>
      <c r="OGG3" s="74"/>
      <c r="OGH3" s="74"/>
      <c r="OGI3" s="74"/>
      <c r="OGJ3" s="74"/>
      <c r="OGK3" s="74"/>
      <c r="OGL3" s="74"/>
      <c r="OGM3" s="74"/>
      <c r="OGN3" s="74"/>
      <c r="OGO3" s="74"/>
      <c r="OGP3" s="74"/>
      <c r="OGQ3" s="74"/>
      <c r="OGR3" s="74"/>
      <c r="OGS3" s="74"/>
      <c r="OGT3" s="74"/>
      <c r="OGU3" s="74"/>
      <c r="OGV3" s="74"/>
      <c r="OGW3" s="74"/>
      <c r="OGX3" s="74"/>
      <c r="OGY3" s="74"/>
      <c r="OGZ3" s="74"/>
      <c r="OHA3" s="74"/>
      <c r="OHB3" s="74"/>
      <c r="OHC3" s="74"/>
      <c r="OHD3" s="74"/>
      <c r="OHE3" s="74"/>
      <c r="OHF3" s="74"/>
      <c r="OHG3" s="74"/>
      <c r="OHH3" s="74"/>
      <c r="OHI3" s="74"/>
      <c r="OHJ3" s="74"/>
      <c r="OHK3" s="74"/>
      <c r="OHL3" s="74"/>
      <c r="OHM3" s="74"/>
      <c r="OHN3" s="74"/>
      <c r="OHO3" s="74"/>
      <c r="OHP3" s="74"/>
      <c r="OHQ3" s="74"/>
      <c r="OHR3" s="74"/>
      <c r="OHS3" s="74"/>
      <c r="OHT3" s="74"/>
      <c r="OHU3" s="74"/>
      <c r="OHV3" s="74"/>
      <c r="OHW3" s="74"/>
      <c r="OHX3" s="74"/>
      <c r="OHY3" s="74"/>
      <c r="OHZ3" s="74"/>
      <c r="OIA3" s="74"/>
      <c r="OIB3" s="74"/>
      <c r="OIC3" s="74"/>
      <c r="OID3" s="74"/>
      <c r="OIE3" s="74"/>
      <c r="OIF3" s="74"/>
      <c r="OIG3" s="74"/>
      <c r="OIH3" s="74"/>
      <c r="OII3" s="74"/>
      <c r="OIJ3" s="74"/>
      <c r="OIK3" s="74"/>
      <c r="OIL3" s="74"/>
      <c r="OIM3" s="74"/>
      <c r="OIN3" s="74"/>
      <c r="OIO3" s="74"/>
      <c r="OIP3" s="74"/>
      <c r="OIQ3" s="74"/>
      <c r="OIR3" s="74"/>
      <c r="OIS3" s="74"/>
      <c r="OIT3" s="74"/>
      <c r="OIU3" s="74"/>
      <c r="OIV3" s="74"/>
      <c r="OIW3" s="74"/>
      <c r="OIX3" s="74"/>
      <c r="OIY3" s="74"/>
      <c r="OIZ3" s="74"/>
      <c r="OJA3" s="74"/>
      <c r="OJB3" s="74"/>
      <c r="OJC3" s="74"/>
      <c r="OJD3" s="74"/>
      <c r="OJE3" s="74"/>
      <c r="OJF3" s="74"/>
      <c r="OJG3" s="74"/>
      <c r="OJH3" s="74"/>
      <c r="OJI3" s="74"/>
      <c r="OJJ3" s="74"/>
      <c r="OJK3" s="74"/>
      <c r="OJL3" s="74"/>
      <c r="OJM3" s="74"/>
      <c r="OJN3" s="74"/>
      <c r="OJO3" s="74"/>
      <c r="OJP3" s="74"/>
      <c r="OJQ3" s="74"/>
      <c r="OJR3" s="74"/>
      <c r="OJS3" s="74"/>
      <c r="OJT3" s="74"/>
      <c r="OJU3" s="74"/>
      <c r="OJV3" s="74"/>
      <c r="OJW3" s="74"/>
      <c r="OJX3" s="74"/>
      <c r="OJY3" s="74"/>
      <c r="OJZ3" s="74"/>
      <c r="OKA3" s="74"/>
      <c r="OKB3" s="74"/>
      <c r="OKC3" s="74"/>
      <c r="OKD3" s="74"/>
      <c r="OKE3" s="74"/>
      <c r="OKF3" s="74"/>
      <c r="OKG3" s="74"/>
      <c r="OKH3" s="74"/>
      <c r="OKI3" s="74"/>
      <c r="OKJ3" s="74"/>
      <c r="OKK3" s="74"/>
      <c r="OKL3" s="74"/>
      <c r="OKM3" s="74"/>
      <c r="OKN3" s="74"/>
      <c r="OKO3" s="74"/>
      <c r="OKP3" s="74"/>
      <c r="OKQ3" s="74"/>
      <c r="OKR3" s="74"/>
      <c r="OKS3" s="74"/>
      <c r="OKT3" s="74"/>
      <c r="OKU3" s="74"/>
      <c r="OKV3" s="74"/>
      <c r="OKW3" s="74"/>
      <c r="OKX3" s="74"/>
      <c r="OKY3" s="74"/>
      <c r="OKZ3" s="74"/>
      <c r="OLA3" s="74"/>
      <c r="OLB3" s="74"/>
      <c r="OLC3" s="74"/>
      <c r="OLD3" s="74"/>
      <c r="OLE3" s="74"/>
      <c r="OLF3" s="74"/>
      <c r="OLG3" s="74"/>
      <c r="OLH3" s="74"/>
      <c r="OLI3" s="74"/>
      <c r="OLJ3" s="74"/>
      <c r="OLK3" s="74"/>
      <c r="OLL3" s="74"/>
      <c r="OLM3" s="74"/>
      <c r="OLN3" s="74"/>
      <c r="OLO3" s="74"/>
      <c r="OLP3" s="74"/>
      <c r="OLQ3" s="74"/>
      <c r="OLR3" s="74"/>
      <c r="OLS3" s="74"/>
      <c r="OLT3" s="74"/>
      <c r="OLU3" s="74"/>
      <c r="OLV3" s="74"/>
      <c r="OLW3" s="74"/>
      <c r="OLX3" s="74"/>
      <c r="OLY3" s="74"/>
      <c r="OLZ3" s="74"/>
      <c r="OMA3" s="74"/>
      <c r="OMB3" s="74"/>
      <c r="OMC3" s="74"/>
      <c r="OMD3" s="74"/>
      <c r="OME3" s="74"/>
      <c r="OMF3" s="74"/>
      <c r="OMG3" s="74"/>
      <c r="OMH3" s="74"/>
      <c r="OMI3" s="74"/>
      <c r="OMJ3" s="74"/>
      <c r="OMK3" s="74"/>
      <c r="OML3" s="74"/>
      <c r="OMM3" s="74"/>
      <c r="OMN3" s="74"/>
      <c r="OMO3" s="74"/>
      <c r="OMP3" s="74"/>
      <c r="OMQ3" s="74"/>
      <c r="OMR3" s="74"/>
      <c r="OMS3" s="74"/>
      <c r="OMT3" s="74"/>
      <c r="OMU3" s="74"/>
      <c r="OMV3" s="74"/>
      <c r="OMW3" s="74"/>
      <c r="OMX3" s="74"/>
      <c r="OMY3" s="74"/>
      <c r="OMZ3" s="74"/>
      <c r="ONA3" s="74"/>
      <c r="ONB3" s="74"/>
      <c r="ONC3" s="74"/>
      <c r="OND3" s="74"/>
      <c r="ONE3" s="74"/>
      <c r="ONF3" s="74"/>
      <c r="ONG3" s="74"/>
      <c r="ONH3" s="74"/>
      <c r="ONI3" s="74"/>
      <c r="ONJ3" s="74"/>
      <c r="ONK3" s="74"/>
      <c r="ONL3" s="74"/>
      <c r="ONM3" s="74"/>
      <c r="ONN3" s="74"/>
      <c r="ONO3" s="74"/>
      <c r="ONP3" s="74"/>
      <c r="ONQ3" s="74"/>
      <c r="ONR3" s="74"/>
      <c r="ONS3" s="74"/>
      <c r="ONT3" s="74"/>
      <c r="ONU3" s="74"/>
      <c r="ONV3" s="74"/>
      <c r="ONW3" s="74"/>
      <c r="ONX3" s="74"/>
      <c r="ONY3" s="74"/>
      <c r="ONZ3" s="74"/>
      <c r="OOA3" s="74"/>
      <c r="OOB3" s="74"/>
      <c r="OOC3" s="74"/>
      <c r="OOD3" s="74"/>
      <c r="OOE3" s="74"/>
      <c r="OOF3" s="74"/>
      <c r="OOG3" s="74"/>
      <c r="OOH3" s="74"/>
      <c r="OOI3" s="74"/>
      <c r="OOJ3" s="74"/>
      <c r="OOK3" s="74"/>
      <c r="OOL3" s="74"/>
      <c r="OOM3" s="74"/>
      <c r="OON3" s="74"/>
      <c r="OOO3" s="74"/>
      <c r="OOP3" s="74"/>
      <c r="OOQ3" s="74"/>
      <c r="OOR3" s="74"/>
      <c r="OOS3" s="74"/>
      <c r="OOT3" s="74"/>
      <c r="OOU3" s="74"/>
      <c r="OOV3" s="74"/>
      <c r="OOW3" s="74"/>
      <c r="OOX3" s="74"/>
      <c r="OOY3" s="74"/>
      <c r="OOZ3" s="74"/>
      <c r="OPA3" s="74"/>
      <c r="OPB3" s="74"/>
      <c r="OPC3" s="74"/>
      <c r="OPD3" s="74"/>
      <c r="OPE3" s="74"/>
      <c r="OPF3" s="74"/>
      <c r="OPG3" s="74"/>
      <c r="OPH3" s="74"/>
      <c r="OPI3" s="74"/>
      <c r="OPJ3" s="74"/>
      <c r="OPK3" s="74"/>
      <c r="OPL3" s="74"/>
      <c r="OPM3" s="74"/>
      <c r="OPN3" s="74"/>
      <c r="OPO3" s="74"/>
      <c r="OPP3" s="74"/>
      <c r="OPQ3" s="74"/>
      <c r="OPR3" s="74"/>
      <c r="OPS3" s="74"/>
      <c r="OPT3" s="74"/>
      <c r="OPU3" s="74"/>
      <c r="OPV3" s="74"/>
      <c r="OPW3" s="74"/>
      <c r="OPX3" s="74"/>
      <c r="OPY3" s="74"/>
      <c r="OPZ3" s="74"/>
      <c r="OQA3" s="74"/>
      <c r="OQB3" s="74"/>
      <c r="OQC3" s="74"/>
      <c r="OQD3" s="74"/>
      <c r="OQE3" s="74"/>
      <c r="OQF3" s="74"/>
      <c r="OQG3" s="74"/>
      <c r="OQH3" s="74"/>
      <c r="OQI3" s="74"/>
      <c r="OQJ3" s="74"/>
      <c r="OQK3" s="74"/>
      <c r="OQL3" s="74"/>
      <c r="OQM3" s="74"/>
      <c r="OQN3" s="74"/>
      <c r="OQO3" s="74"/>
      <c r="OQP3" s="74"/>
      <c r="OQQ3" s="74"/>
      <c r="OQR3" s="74"/>
      <c r="OQS3" s="74"/>
      <c r="OQT3" s="74"/>
      <c r="OQU3" s="74"/>
      <c r="OQV3" s="74"/>
      <c r="OQW3" s="74"/>
      <c r="OQX3" s="74"/>
      <c r="OQY3" s="74"/>
      <c r="OQZ3" s="74"/>
      <c r="ORA3" s="74"/>
      <c r="ORB3" s="74"/>
      <c r="ORC3" s="74"/>
      <c r="ORD3" s="74"/>
      <c r="ORE3" s="74"/>
      <c r="ORF3" s="74"/>
      <c r="ORG3" s="74"/>
      <c r="ORH3" s="74"/>
      <c r="ORI3" s="74"/>
      <c r="ORJ3" s="74"/>
      <c r="ORK3" s="74"/>
      <c r="ORL3" s="74"/>
      <c r="ORM3" s="74"/>
      <c r="ORN3" s="74"/>
      <c r="ORO3" s="74"/>
      <c r="ORP3" s="74"/>
      <c r="ORQ3" s="74"/>
      <c r="ORR3" s="74"/>
      <c r="ORS3" s="74"/>
      <c r="ORT3" s="74"/>
      <c r="ORU3" s="74"/>
      <c r="ORV3" s="74"/>
      <c r="ORW3" s="74"/>
      <c r="ORX3" s="74"/>
      <c r="ORY3" s="74"/>
      <c r="ORZ3" s="74"/>
      <c r="OSA3" s="74"/>
      <c r="OSB3" s="74"/>
      <c r="OSC3" s="74"/>
      <c r="OSD3" s="74"/>
      <c r="OSE3" s="74"/>
      <c r="OSF3" s="74"/>
      <c r="OSG3" s="74"/>
      <c r="OSH3" s="74"/>
      <c r="OSI3" s="74"/>
      <c r="OSJ3" s="74"/>
      <c r="OSK3" s="74"/>
      <c r="OSL3" s="74"/>
      <c r="OSM3" s="74"/>
      <c r="OSN3" s="74"/>
      <c r="OSO3" s="74"/>
      <c r="OSP3" s="74"/>
      <c r="OSQ3" s="74"/>
      <c r="OSR3" s="74"/>
      <c r="OSS3" s="74"/>
      <c r="OST3" s="74"/>
      <c r="OSU3" s="74"/>
      <c r="OSV3" s="74"/>
      <c r="OSW3" s="74"/>
      <c r="OSX3" s="74"/>
      <c r="OSY3" s="74"/>
      <c r="OSZ3" s="74"/>
      <c r="OTA3" s="74"/>
      <c r="OTB3" s="74"/>
      <c r="OTC3" s="74"/>
      <c r="OTD3" s="74"/>
      <c r="OTE3" s="74"/>
      <c r="OTF3" s="74"/>
      <c r="OTG3" s="74"/>
      <c r="OTH3" s="74"/>
      <c r="OTI3" s="74"/>
      <c r="OTJ3" s="74"/>
      <c r="OTK3" s="74"/>
      <c r="OTL3" s="74"/>
      <c r="OTM3" s="74"/>
      <c r="OTN3" s="74"/>
      <c r="OTO3" s="74"/>
      <c r="OTP3" s="74"/>
      <c r="OTQ3" s="74"/>
      <c r="OTR3" s="74"/>
      <c r="OTS3" s="74"/>
      <c r="OTT3" s="74"/>
      <c r="OTU3" s="74"/>
      <c r="OTV3" s="74"/>
      <c r="OTW3" s="74"/>
      <c r="OTX3" s="74"/>
      <c r="OTY3" s="74"/>
      <c r="OTZ3" s="74"/>
      <c r="OUA3" s="74"/>
      <c r="OUB3" s="74"/>
      <c r="OUC3" s="74"/>
      <c r="OUD3" s="74"/>
      <c r="OUE3" s="74"/>
      <c r="OUF3" s="74"/>
      <c r="OUG3" s="74"/>
      <c r="OUH3" s="74"/>
      <c r="OUI3" s="74"/>
      <c r="OUJ3" s="74"/>
      <c r="OUK3" s="74"/>
      <c r="OUL3" s="74"/>
      <c r="OUM3" s="74"/>
      <c r="OUN3" s="74"/>
      <c r="OUO3" s="74"/>
      <c r="OUP3" s="74"/>
      <c r="OUQ3" s="74"/>
      <c r="OUR3" s="74"/>
      <c r="OUS3" s="74"/>
      <c r="OUT3" s="74"/>
      <c r="OUU3" s="74"/>
      <c r="OUV3" s="74"/>
      <c r="OUW3" s="74"/>
      <c r="OUX3" s="74"/>
      <c r="OUY3" s="74"/>
      <c r="OUZ3" s="74"/>
      <c r="OVA3" s="74"/>
      <c r="OVB3" s="74"/>
      <c r="OVC3" s="74"/>
      <c r="OVD3" s="74"/>
      <c r="OVE3" s="74"/>
      <c r="OVF3" s="74"/>
      <c r="OVG3" s="74"/>
      <c r="OVH3" s="74"/>
      <c r="OVI3" s="74"/>
      <c r="OVJ3" s="74"/>
      <c r="OVK3" s="74"/>
      <c r="OVL3" s="74"/>
      <c r="OVM3" s="74"/>
      <c r="OVN3" s="74"/>
      <c r="OVO3" s="74"/>
      <c r="OVP3" s="74"/>
      <c r="OVQ3" s="74"/>
      <c r="OVR3" s="74"/>
      <c r="OVS3" s="74"/>
      <c r="OVT3" s="74"/>
      <c r="OVU3" s="74"/>
      <c r="OVV3" s="74"/>
      <c r="OVW3" s="74"/>
      <c r="OVX3" s="74"/>
      <c r="OVY3" s="74"/>
      <c r="OVZ3" s="74"/>
      <c r="OWA3" s="74"/>
      <c r="OWB3" s="74"/>
      <c r="OWC3" s="74"/>
      <c r="OWD3" s="74"/>
      <c r="OWE3" s="74"/>
      <c r="OWF3" s="74"/>
      <c r="OWG3" s="74"/>
      <c r="OWH3" s="74"/>
      <c r="OWI3" s="74"/>
      <c r="OWJ3" s="74"/>
      <c r="OWK3" s="74"/>
      <c r="OWL3" s="74"/>
      <c r="OWM3" s="74"/>
      <c r="OWN3" s="74"/>
      <c r="OWO3" s="74"/>
      <c r="OWP3" s="74"/>
      <c r="OWQ3" s="74"/>
      <c r="OWR3" s="74"/>
      <c r="OWS3" s="74"/>
      <c r="OWT3" s="74"/>
      <c r="OWU3" s="74"/>
      <c r="OWV3" s="74"/>
      <c r="OWW3" s="74"/>
      <c r="OWX3" s="74"/>
      <c r="OWY3" s="74"/>
      <c r="OWZ3" s="74"/>
      <c r="OXA3" s="74"/>
      <c r="OXB3" s="74"/>
      <c r="OXC3" s="74"/>
      <c r="OXD3" s="74"/>
      <c r="OXE3" s="74"/>
      <c r="OXF3" s="74"/>
      <c r="OXG3" s="74"/>
      <c r="OXH3" s="74"/>
      <c r="OXI3" s="74"/>
      <c r="OXJ3" s="74"/>
      <c r="OXK3" s="74"/>
      <c r="OXL3" s="74"/>
      <c r="OXM3" s="74"/>
      <c r="OXN3" s="74"/>
      <c r="OXO3" s="74"/>
      <c r="OXP3" s="74"/>
      <c r="OXQ3" s="74"/>
      <c r="OXR3" s="74"/>
      <c r="OXS3" s="74"/>
      <c r="OXT3" s="74"/>
      <c r="OXU3" s="74"/>
      <c r="OXV3" s="74"/>
      <c r="OXW3" s="74"/>
      <c r="OXX3" s="74"/>
      <c r="OXY3" s="74"/>
      <c r="OXZ3" s="74"/>
      <c r="OYA3" s="74"/>
      <c r="OYB3" s="74"/>
      <c r="OYC3" s="74"/>
      <c r="OYD3" s="74"/>
      <c r="OYE3" s="74"/>
      <c r="OYF3" s="74"/>
      <c r="OYG3" s="74"/>
      <c r="OYH3" s="74"/>
      <c r="OYI3" s="74"/>
      <c r="OYJ3" s="74"/>
      <c r="OYK3" s="74"/>
      <c r="OYL3" s="74"/>
      <c r="OYM3" s="74"/>
      <c r="OYN3" s="74"/>
      <c r="OYO3" s="74"/>
      <c r="OYP3" s="74"/>
      <c r="OYQ3" s="74"/>
      <c r="OYR3" s="74"/>
      <c r="OYS3" s="74"/>
      <c r="OYT3" s="74"/>
      <c r="OYU3" s="74"/>
      <c r="OYV3" s="74"/>
      <c r="OYW3" s="74"/>
      <c r="OYX3" s="74"/>
      <c r="OYY3" s="74"/>
      <c r="OYZ3" s="74"/>
      <c r="OZA3" s="74"/>
      <c r="OZB3" s="74"/>
      <c r="OZC3" s="74"/>
      <c r="OZD3" s="74"/>
      <c r="OZE3" s="74"/>
      <c r="OZF3" s="74"/>
      <c r="OZG3" s="74"/>
      <c r="OZH3" s="74"/>
      <c r="OZI3" s="74"/>
      <c r="OZJ3" s="74"/>
      <c r="OZK3" s="74"/>
      <c r="OZL3" s="74"/>
      <c r="OZM3" s="74"/>
      <c r="OZN3" s="74"/>
      <c r="OZO3" s="74"/>
      <c r="OZP3" s="74"/>
      <c r="OZQ3" s="74"/>
      <c r="OZR3" s="74"/>
      <c r="OZS3" s="74"/>
      <c r="OZT3" s="74"/>
      <c r="OZU3" s="74"/>
      <c r="OZV3" s="74"/>
      <c r="OZW3" s="74"/>
      <c r="OZX3" s="74"/>
      <c r="OZY3" s="74"/>
      <c r="OZZ3" s="74"/>
      <c r="PAA3" s="74"/>
      <c r="PAB3" s="74"/>
      <c r="PAC3" s="74"/>
      <c r="PAD3" s="74"/>
      <c r="PAE3" s="74"/>
      <c r="PAF3" s="74"/>
      <c r="PAG3" s="74"/>
      <c r="PAH3" s="74"/>
      <c r="PAI3" s="74"/>
      <c r="PAJ3" s="74"/>
      <c r="PAK3" s="74"/>
      <c r="PAL3" s="74"/>
      <c r="PAM3" s="74"/>
      <c r="PAN3" s="74"/>
      <c r="PAO3" s="74"/>
      <c r="PAP3" s="74"/>
      <c r="PAQ3" s="74"/>
      <c r="PAR3" s="74"/>
      <c r="PAS3" s="74"/>
      <c r="PAT3" s="74"/>
      <c r="PAU3" s="74"/>
      <c r="PAV3" s="74"/>
      <c r="PAW3" s="74"/>
      <c r="PAX3" s="74"/>
      <c r="PAY3" s="74"/>
      <c r="PAZ3" s="74"/>
      <c r="PBA3" s="74"/>
      <c r="PBB3" s="74"/>
      <c r="PBC3" s="74"/>
      <c r="PBD3" s="74"/>
      <c r="PBE3" s="74"/>
      <c r="PBF3" s="74"/>
      <c r="PBG3" s="74"/>
      <c r="PBH3" s="74"/>
      <c r="PBI3" s="74"/>
      <c r="PBJ3" s="74"/>
      <c r="PBK3" s="74"/>
      <c r="PBL3" s="74"/>
      <c r="PBM3" s="74"/>
      <c r="PBN3" s="74"/>
      <c r="PBO3" s="74"/>
      <c r="PBP3" s="74"/>
      <c r="PBQ3" s="74"/>
      <c r="PBR3" s="74"/>
      <c r="PBS3" s="74"/>
      <c r="PBT3" s="74"/>
      <c r="PBU3" s="74"/>
      <c r="PBV3" s="74"/>
      <c r="PBW3" s="74"/>
      <c r="PBX3" s="74"/>
      <c r="PBY3" s="74"/>
      <c r="PBZ3" s="74"/>
      <c r="PCA3" s="74"/>
      <c r="PCB3" s="74"/>
      <c r="PCC3" s="74"/>
      <c r="PCD3" s="74"/>
      <c r="PCE3" s="74"/>
      <c r="PCF3" s="74"/>
      <c r="PCG3" s="74"/>
      <c r="PCH3" s="74"/>
      <c r="PCI3" s="74"/>
      <c r="PCJ3" s="74"/>
      <c r="PCK3" s="74"/>
      <c r="PCL3" s="74"/>
      <c r="PCM3" s="74"/>
      <c r="PCN3" s="74"/>
      <c r="PCO3" s="74"/>
      <c r="PCP3" s="74"/>
      <c r="PCQ3" s="74"/>
      <c r="PCR3" s="74"/>
      <c r="PCS3" s="74"/>
      <c r="PCT3" s="74"/>
      <c r="PCU3" s="74"/>
      <c r="PCV3" s="74"/>
      <c r="PCW3" s="74"/>
      <c r="PCX3" s="74"/>
      <c r="PCY3" s="74"/>
      <c r="PCZ3" s="74"/>
      <c r="PDA3" s="74"/>
      <c r="PDB3" s="74"/>
      <c r="PDC3" s="74"/>
      <c r="PDD3" s="74"/>
      <c r="PDE3" s="74"/>
      <c r="PDF3" s="74"/>
      <c r="PDG3" s="74"/>
      <c r="PDH3" s="74"/>
      <c r="PDI3" s="74"/>
      <c r="PDJ3" s="74"/>
      <c r="PDK3" s="74"/>
      <c r="PDL3" s="74"/>
      <c r="PDM3" s="74"/>
      <c r="PDN3" s="74"/>
      <c r="PDO3" s="74"/>
      <c r="PDP3" s="74"/>
      <c r="PDQ3" s="74"/>
      <c r="PDR3" s="74"/>
      <c r="PDS3" s="74"/>
      <c r="PDT3" s="74"/>
      <c r="PDU3" s="74"/>
      <c r="PDV3" s="74"/>
      <c r="PDW3" s="74"/>
      <c r="PDX3" s="74"/>
      <c r="PDY3" s="74"/>
      <c r="PDZ3" s="74"/>
      <c r="PEA3" s="74"/>
      <c r="PEB3" s="74"/>
      <c r="PEC3" s="74"/>
      <c r="PED3" s="74"/>
      <c r="PEE3" s="74"/>
      <c r="PEF3" s="74"/>
      <c r="PEG3" s="74"/>
      <c r="PEH3" s="74"/>
      <c r="PEI3" s="74"/>
      <c r="PEJ3" s="74"/>
      <c r="PEK3" s="74"/>
      <c r="PEL3" s="74"/>
      <c r="PEM3" s="74"/>
      <c r="PEN3" s="74"/>
      <c r="PEO3" s="74"/>
      <c r="PEP3" s="74"/>
      <c r="PEQ3" s="74"/>
      <c r="PER3" s="74"/>
      <c r="PES3" s="74"/>
      <c r="PET3" s="74"/>
      <c r="PEU3" s="74"/>
      <c r="PEV3" s="74"/>
      <c r="PEW3" s="74"/>
      <c r="PEX3" s="74"/>
      <c r="PEY3" s="74"/>
      <c r="PEZ3" s="74"/>
      <c r="PFA3" s="74"/>
      <c r="PFB3" s="74"/>
      <c r="PFC3" s="74"/>
      <c r="PFD3" s="74"/>
      <c r="PFE3" s="74"/>
      <c r="PFF3" s="74"/>
      <c r="PFG3" s="74"/>
      <c r="PFH3" s="74"/>
      <c r="PFI3" s="74"/>
      <c r="PFJ3" s="74"/>
      <c r="PFK3" s="74"/>
      <c r="PFL3" s="74"/>
      <c r="PFM3" s="74"/>
      <c r="PFN3" s="74"/>
      <c r="PFO3" s="74"/>
      <c r="PFP3" s="74"/>
      <c r="PFQ3" s="74"/>
      <c r="PFR3" s="74"/>
      <c r="PFS3" s="74"/>
      <c r="PFT3" s="74"/>
      <c r="PFU3" s="74"/>
      <c r="PFV3" s="74"/>
      <c r="PFW3" s="74"/>
      <c r="PFX3" s="74"/>
      <c r="PFY3" s="74"/>
      <c r="PFZ3" s="74"/>
      <c r="PGA3" s="74"/>
      <c r="PGB3" s="74"/>
      <c r="PGC3" s="74"/>
      <c r="PGD3" s="74"/>
      <c r="PGE3" s="74"/>
      <c r="PGF3" s="74"/>
      <c r="PGG3" s="74"/>
      <c r="PGH3" s="74"/>
      <c r="PGI3" s="74"/>
      <c r="PGJ3" s="74"/>
      <c r="PGK3" s="74"/>
      <c r="PGL3" s="74"/>
      <c r="PGM3" s="74"/>
      <c r="PGN3" s="74"/>
      <c r="PGO3" s="74"/>
      <c r="PGP3" s="74"/>
      <c r="PGQ3" s="74"/>
      <c r="PGR3" s="74"/>
      <c r="PGS3" s="74"/>
      <c r="PGT3" s="74"/>
      <c r="PGU3" s="74"/>
      <c r="PGV3" s="74"/>
      <c r="PGW3" s="74"/>
      <c r="PGX3" s="74"/>
      <c r="PGY3" s="74"/>
      <c r="PGZ3" s="74"/>
      <c r="PHA3" s="74"/>
      <c r="PHB3" s="74"/>
      <c r="PHC3" s="74"/>
      <c r="PHD3" s="74"/>
      <c r="PHE3" s="74"/>
      <c r="PHF3" s="74"/>
      <c r="PHG3" s="74"/>
      <c r="PHH3" s="74"/>
      <c r="PHI3" s="74"/>
      <c r="PHJ3" s="74"/>
      <c r="PHK3" s="74"/>
      <c r="PHL3" s="74"/>
      <c r="PHM3" s="74"/>
      <c r="PHN3" s="74"/>
      <c r="PHO3" s="74"/>
      <c r="PHP3" s="74"/>
      <c r="PHQ3" s="74"/>
      <c r="PHR3" s="74"/>
      <c r="PHS3" s="74"/>
      <c r="PHT3" s="74"/>
      <c r="PHU3" s="74"/>
      <c r="PHV3" s="74"/>
      <c r="PHW3" s="74"/>
      <c r="PHX3" s="74"/>
      <c r="PHY3" s="74"/>
      <c r="PHZ3" s="74"/>
      <c r="PIA3" s="74"/>
      <c r="PIB3" s="74"/>
      <c r="PIC3" s="74"/>
      <c r="PID3" s="74"/>
      <c r="PIE3" s="74"/>
      <c r="PIF3" s="74"/>
      <c r="PIG3" s="74"/>
      <c r="PIH3" s="74"/>
      <c r="PII3" s="74"/>
      <c r="PIJ3" s="74"/>
      <c r="PIK3" s="74"/>
      <c r="PIL3" s="74"/>
      <c r="PIM3" s="74"/>
      <c r="PIN3" s="74"/>
      <c r="PIO3" s="74"/>
      <c r="PIP3" s="74"/>
      <c r="PIQ3" s="74"/>
      <c r="PIR3" s="74"/>
      <c r="PIS3" s="74"/>
      <c r="PIT3" s="74"/>
      <c r="PIU3" s="74"/>
      <c r="PIV3" s="74"/>
      <c r="PIW3" s="74"/>
      <c r="PIX3" s="74"/>
      <c r="PIY3" s="74"/>
      <c r="PIZ3" s="74"/>
      <c r="PJA3" s="74"/>
      <c r="PJB3" s="74"/>
      <c r="PJC3" s="74"/>
      <c r="PJD3" s="74"/>
      <c r="PJE3" s="74"/>
      <c r="PJF3" s="74"/>
      <c r="PJG3" s="74"/>
      <c r="PJH3" s="74"/>
      <c r="PJI3" s="74"/>
      <c r="PJJ3" s="74"/>
      <c r="PJK3" s="74"/>
      <c r="PJL3" s="74"/>
      <c r="PJM3" s="74"/>
      <c r="PJN3" s="74"/>
      <c r="PJO3" s="74"/>
      <c r="PJP3" s="74"/>
      <c r="PJQ3" s="74"/>
      <c r="PJR3" s="74"/>
      <c r="PJS3" s="74"/>
      <c r="PJT3" s="74"/>
      <c r="PJU3" s="74"/>
      <c r="PJV3" s="74"/>
      <c r="PJW3" s="74"/>
      <c r="PJX3" s="74"/>
      <c r="PJY3" s="74"/>
      <c r="PJZ3" s="74"/>
      <c r="PKA3" s="74"/>
      <c r="PKB3" s="74"/>
      <c r="PKC3" s="74"/>
      <c r="PKD3" s="74"/>
      <c r="PKE3" s="74"/>
      <c r="PKF3" s="74"/>
      <c r="PKG3" s="74"/>
      <c r="PKH3" s="74"/>
      <c r="PKI3" s="74"/>
      <c r="PKJ3" s="74"/>
      <c r="PKK3" s="74"/>
      <c r="PKL3" s="74"/>
      <c r="PKM3" s="74"/>
      <c r="PKN3" s="74"/>
      <c r="PKO3" s="74"/>
      <c r="PKP3" s="74"/>
      <c r="PKQ3" s="74"/>
      <c r="PKR3" s="74"/>
      <c r="PKS3" s="74"/>
      <c r="PKT3" s="74"/>
      <c r="PKU3" s="74"/>
      <c r="PKV3" s="74"/>
      <c r="PKW3" s="74"/>
      <c r="PKX3" s="74"/>
      <c r="PKY3" s="74"/>
      <c r="PKZ3" s="74"/>
      <c r="PLA3" s="74"/>
      <c r="PLB3" s="74"/>
      <c r="PLC3" s="74"/>
      <c r="PLD3" s="74"/>
      <c r="PLE3" s="74"/>
      <c r="PLF3" s="74"/>
      <c r="PLG3" s="74"/>
      <c r="PLH3" s="74"/>
      <c r="PLI3" s="74"/>
      <c r="PLJ3" s="74"/>
      <c r="PLK3" s="74"/>
      <c r="PLL3" s="74"/>
      <c r="PLM3" s="74"/>
      <c r="PLN3" s="74"/>
      <c r="PLO3" s="74"/>
      <c r="PLP3" s="74"/>
      <c r="PLQ3" s="74"/>
      <c r="PLR3" s="74"/>
      <c r="PLS3" s="74"/>
      <c r="PLT3" s="74"/>
      <c r="PLU3" s="74"/>
      <c r="PLV3" s="74"/>
      <c r="PLW3" s="74"/>
      <c r="PLX3" s="74"/>
      <c r="PLY3" s="74"/>
      <c r="PLZ3" s="74"/>
      <c r="PMA3" s="74"/>
      <c r="PMB3" s="74"/>
      <c r="PMC3" s="74"/>
      <c r="PMD3" s="74"/>
      <c r="PME3" s="74"/>
      <c r="PMF3" s="74"/>
      <c r="PMG3" s="74"/>
      <c r="PMH3" s="74"/>
      <c r="PMI3" s="74"/>
      <c r="PMJ3" s="74"/>
      <c r="PMK3" s="74"/>
      <c r="PML3" s="74"/>
      <c r="PMM3" s="74"/>
      <c r="PMN3" s="74"/>
      <c r="PMO3" s="74"/>
      <c r="PMP3" s="74"/>
      <c r="PMQ3" s="74"/>
      <c r="PMR3" s="74"/>
      <c r="PMS3" s="74"/>
      <c r="PMT3" s="74"/>
      <c r="PMU3" s="74"/>
      <c r="PMV3" s="74"/>
      <c r="PMW3" s="74"/>
      <c r="PMX3" s="74"/>
      <c r="PMY3" s="74"/>
      <c r="PMZ3" s="74"/>
      <c r="PNA3" s="74"/>
      <c r="PNB3" s="74"/>
      <c r="PNC3" s="74"/>
      <c r="PND3" s="74"/>
      <c r="PNE3" s="74"/>
      <c r="PNF3" s="74"/>
      <c r="PNG3" s="74"/>
      <c r="PNH3" s="74"/>
      <c r="PNI3" s="74"/>
      <c r="PNJ3" s="74"/>
      <c r="PNK3" s="74"/>
      <c r="PNL3" s="74"/>
      <c r="PNM3" s="74"/>
      <c r="PNN3" s="74"/>
      <c r="PNO3" s="74"/>
      <c r="PNP3" s="74"/>
      <c r="PNQ3" s="74"/>
      <c r="PNR3" s="74"/>
      <c r="PNS3" s="74"/>
      <c r="PNT3" s="74"/>
      <c r="PNU3" s="74"/>
      <c r="PNV3" s="74"/>
      <c r="PNW3" s="74"/>
      <c r="PNX3" s="74"/>
      <c r="PNY3" s="74"/>
      <c r="PNZ3" s="74"/>
      <c r="POA3" s="74"/>
      <c r="POB3" s="74"/>
      <c r="POC3" s="74"/>
      <c r="POD3" s="74"/>
      <c r="POE3" s="74"/>
      <c r="POF3" s="74"/>
      <c r="POG3" s="74"/>
      <c r="POH3" s="74"/>
      <c r="POI3" s="74"/>
      <c r="POJ3" s="74"/>
      <c r="POK3" s="74"/>
      <c r="POL3" s="74"/>
      <c r="POM3" s="74"/>
      <c r="PON3" s="74"/>
      <c r="POO3" s="74"/>
      <c r="POP3" s="74"/>
      <c r="POQ3" s="74"/>
      <c r="POR3" s="74"/>
      <c r="POS3" s="74"/>
      <c r="POT3" s="74"/>
      <c r="POU3" s="74"/>
      <c r="POV3" s="74"/>
      <c r="POW3" s="74"/>
      <c r="POX3" s="74"/>
      <c r="POY3" s="74"/>
      <c r="POZ3" s="74"/>
      <c r="PPA3" s="74"/>
      <c r="PPB3" s="74"/>
      <c r="PPC3" s="74"/>
      <c r="PPD3" s="74"/>
      <c r="PPE3" s="74"/>
      <c r="PPF3" s="74"/>
      <c r="PPG3" s="74"/>
      <c r="PPH3" s="74"/>
      <c r="PPI3" s="74"/>
      <c r="PPJ3" s="74"/>
      <c r="PPK3" s="74"/>
      <c r="PPL3" s="74"/>
      <c r="PPM3" s="74"/>
      <c r="PPN3" s="74"/>
      <c r="PPO3" s="74"/>
      <c r="PPP3" s="74"/>
      <c r="PPQ3" s="74"/>
      <c r="PPR3" s="74"/>
      <c r="PPS3" s="74"/>
      <c r="PPT3" s="74"/>
      <c r="PPU3" s="74"/>
      <c r="PPV3" s="74"/>
      <c r="PPW3" s="74"/>
      <c r="PPX3" s="74"/>
      <c r="PPY3" s="74"/>
      <c r="PPZ3" s="74"/>
      <c r="PQA3" s="74"/>
      <c r="PQB3" s="74"/>
      <c r="PQC3" s="74"/>
      <c r="PQD3" s="74"/>
      <c r="PQE3" s="74"/>
      <c r="PQF3" s="74"/>
      <c r="PQG3" s="74"/>
      <c r="PQH3" s="74"/>
      <c r="PQI3" s="74"/>
      <c r="PQJ3" s="74"/>
      <c r="PQK3" s="74"/>
      <c r="PQL3" s="74"/>
      <c r="PQM3" s="74"/>
      <c r="PQN3" s="74"/>
      <c r="PQO3" s="74"/>
      <c r="PQP3" s="74"/>
      <c r="PQQ3" s="74"/>
      <c r="PQR3" s="74"/>
      <c r="PQS3" s="74"/>
      <c r="PQT3" s="74"/>
      <c r="PQU3" s="74"/>
      <c r="PQV3" s="74"/>
      <c r="PQW3" s="74"/>
      <c r="PQX3" s="74"/>
      <c r="PQY3" s="74"/>
      <c r="PQZ3" s="74"/>
      <c r="PRA3" s="74"/>
      <c r="PRB3" s="74"/>
      <c r="PRC3" s="74"/>
      <c r="PRD3" s="74"/>
      <c r="PRE3" s="74"/>
      <c r="PRF3" s="74"/>
      <c r="PRG3" s="74"/>
      <c r="PRH3" s="74"/>
      <c r="PRI3" s="74"/>
      <c r="PRJ3" s="74"/>
      <c r="PRK3" s="74"/>
      <c r="PRL3" s="74"/>
      <c r="PRM3" s="74"/>
      <c r="PRN3" s="74"/>
      <c r="PRO3" s="74"/>
      <c r="PRP3" s="74"/>
      <c r="PRQ3" s="74"/>
      <c r="PRR3" s="74"/>
      <c r="PRS3" s="74"/>
      <c r="PRT3" s="74"/>
      <c r="PRU3" s="74"/>
      <c r="PRV3" s="74"/>
      <c r="PRW3" s="74"/>
      <c r="PRX3" s="74"/>
      <c r="PRY3" s="74"/>
      <c r="PRZ3" s="74"/>
      <c r="PSA3" s="74"/>
      <c r="PSB3" s="74"/>
      <c r="PSC3" s="74"/>
      <c r="PSD3" s="74"/>
      <c r="PSE3" s="74"/>
      <c r="PSF3" s="74"/>
      <c r="PSG3" s="74"/>
      <c r="PSH3" s="74"/>
      <c r="PSI3" s="74"/>
      <c r="PSJ3" s="74"/>
      <c r="PSK3" s="74"/>
      <c r="PSL3" s="74"/>
      <c r="PSM3" s="74"/>
      <c r="PSN3" s="74"/>
      <c r="PSO3" s="74"/>
      <c r="PSP3" s="74"/>
      <c r="PSQ3" s="74"/>
      <c r="PSR3" s="74"/>
      <c r="PSS3" s="74"/>
      <c r="PST3" s="74"/>
      <c r="PSU3" s="74"/>
      <c r="PSV3" s="74"/>
      <c r="PSW3" s="74"/>
      <c r="PSX3" s="74"/>
      <c r="PSY3" s="74"/>
      <c r="PSZ3" s="74"/>
      <c r="PTA3" s="74"/>
      <c r="PTB3" s="74"/>
      <c r="PTC3" s="74"/>
      <c r="PTD3" s="74"/>
      <c r="PTE3" s="74"/>
      <c r="PTF3" s="74"/>
      <c r="PTG3" s="74"/>
      <c r="PTH3" s="74"/>
      <c r="PTI3" s="74"/>
      <c r="PTJ3" s="74"/>
      <c r="PTK3" s="74"/>
      <c r="PTL3" s="74"/>
      <c r="PTM3" s="74"/>
      <c r="PTN3" s="74"/>
      <c r="PTO3" s="74"/>
      <c r="PTP3" s="74"/>
      <c r="PTQ3" s="74"/>
      <c r="PTR3" s="74"/>
      <c r="PTS3" s="74"/>
      <c r="PTT3" s="74"/>
      <c r="PTU3" s="74"/>
      <c r="PTV3" s="74"/>
      <c r="PTW3" s="74"/>
      <c r="PTX3" s="74"/>
      <c r="PTY3" s="74"/>
      <c r="PTZ3" s="74"/>
      <c r="PUA3" s="74"/>
      <c r="PUB3" s="74"/>
      <c r="PUC3" s="74"/>
      <c r="PUD3" s="74"/>
      <c r="PUE3" s="74"/>
      <c r="PUF3" s="74"/>
      <c r="PUG3" s="74"/>
      <c r="PUH3" s="74"/>
      <c r="PUI3" s="74"/>
      <c r="PUJ3" s="74"/>
      <c r="PUK3" s="74"/>
      <c r="PUL3" s="74"/>
      <c r="PUM3" s="74"/>
      <c r="PUN3" s="74"/>
      <c r="PUO3" s="74"/>
      <c r="PUP3" s="74"/>
      <c r="PUQ3" s="74"/>
      <c r="PUR3" s="74"/>
      <c r="PUS3" s="74"/>
      <c r="PUT3" s="74"/>
      <c r="PUU3" s="74"/>
      <c r="PUV3" s="74"/>
      <c r="PUW3" s="74"/>
      <c r="PUX3" s="74"/>
      <c r="PUY3" s="74"/>
      <c r="PUZ3" s="74"/>
      <c r="PVA3" s="74"/>
      <c r="PVB3" s="74"/>
      <c r="PVC3" s="74"/>
      <c r="PVD3" s="74"/>
      <c r="PVE3" s="74"/>
      <c r="PVF3" s="74"/>
      <c r="PVG3" s="74"/>
      <c r="PVH3" s="74"/>
      <c r="PVI3" s="74"/>
      <c r="PVJ3" s="74"/>
      <c r="PVK3" s="74"/>
      <c r="PVL3" s="74"/>
      <c r="PVM3" s="74"/>
      <c r="PVN3" s="74"/>
      <c r="PVO3" s="74"/>
      <c r="PVP3" s="74"/>
      <c r="PVQ3" s="74"/>
      <c r="PVR3" s="74"/>
      <c r="PVS3" s="74"/>
      <c r="PVT3" s="74"/>
      <c r="PVU3" s="74"/>
      <c r="PVV3" s="74"/>
      <c r="PVW3" s="74"/>
      <c r="PVX3" s="74"/>
      <c r="PVY3" s="74"/>
      <c r="PVZ3" s="74"/>
      <c r="PWA3" s="74"/>
      <c r="PWB3" s="74"/>
      <c r="PWC3" s="74"/>
      <c r="PWD3" s="74"/>
      <c r="PWE3" s="74"/>
      <c r="PWF3" s="74"/>
      <c r="PWG3" s="74"/>
      <c r="PWH3" s="74"/>
      <c r="PWI3" s="74"/>
      <c r="PWJ3" s="74"/>
      <c r="PWK3" s="74"/>
      <c r="PWL3" s="74"/>
      <c r="PWM3" s="74"/>
      <c r="PWN3" s="74"/>
      <c r="PWO3" s="74"/>
      <c r="PWP3" s="74"/>
      <c r="PWQ3" s="74"/>
      <c r="PWR3" s="74"/>
      <c r="PWS3" s="74"/>
      <c r="PWT3" s="74"/>
      <c r="PWU3" s="74"/>
      <c r="PWV3" s="74"/>
      <c r="PWW3" s="74"/>
      <c r="PWX3" s="74"/>
      <c r="PWY3" s="74"/>
      <c r="PWZ3" s="74"/>
      <c r="PXA3" s="74"/>
      <c r="PXB3" s="74"/>
      <c r="PXC3" s="74"/>
      <c r="PXD3" s="74"/>
      <c r="PXE3" s="74"/>
      <c r="PXF3" s="74"/>
      <c r="PXG3" s="74"/>
      <c r="PXH3" s="74"/>
      <c r="PXI3" s="74"/>
      <c r="PXJ3" s="74"/>
      <c r="PXK3" s="74"/>
      <c r="PXL3" s="74"/>
      <c r="PXM3" s="74"/>
      <c r="PXN3" s="74"/>
      <c r="PXO3" s="74"/>
      <c r="PXP3" s="74"/>
      <c r="PXQ3" s="74"/>
      <c r="PXR3" s="74"/>
      <c r="PXS3" s="74"/>
      <c r="PXT3" s="74"/>
      <c r="PXU3" s="74"/>
      <c r="PXV3" s="74"/>
      <c r="PXW3" s="74"/>
      <c r="PXX3" s="74"/>
      <c r="PXY3" s="74"/>
      <c r="PXZ3" s="74"/>
      <c r="PYA3" s="74"/>
      <c r="PYB3" s="74"/>
      <c r="PYC3" s="74"/>
      <c r="PYD3" s="74"/>
      <c r="PYE3" s="74"/>
      <c r="PYF3" s="74"/>
      <c r="PYG3" s="74"/>
      <c r="PYH3" s="74"/>
      <c r="PYI3" s="74"/>
      <c r="PYJ3" s="74"/>
      <c r="PYK3" s="74"/>
      <c r="PYL3" s="74"/>
      <c r="PYM3" s="74"/>
      <c r="PYN3" s="74"/>
      <c r="PYO3" s="74"/>
      <c r="PYP3" s="74"/>
      <c r="PYQ3" s="74"/>
      <c r="PYR3" s="74"/>
      <c r="PYS3" s="74"/>
      <c r="PYT3" s="74"/>
      <c r="PYU3" s="74"/>
      <c r="PYV3" s="74"/>
      <c r="PYW3" s="74"/>
      <c r="PYX3" s="74"/>
      <c r="PYY3" s="74"/>
      <c r="PYZ3" s="74"/>
      <c r="PZA3" s="74"/>
      <c r="PZB3" s="74"/>
      <c r="PZC3" s="74"/>
      <c r="PZD3" s="74"/>
      <c r="PZE3" s="74"/>
      <c r="PZF3" s="74"/>
      <c r="PZG3" s="74"/>
      <c r="PZH3" s="74"/>
      <c r="PZI3" s="74"/>
      <c r="PZJ3" s="74"/>
      <c r="PZK3" s="74"/>
      <c r="PZL3" s="74"/>
      <c r="PZM3" s="74"/>
      <c r="PZN3" s="74"/>
      <c r="PZO3" s="74"/>
      <c r="PZP3" s="74"/>
      <c r="PZQ3" s="74"/>
      <c r="PZR3" s="74"/>
      <c r="PZS3" s="74"/>
      <c r="PZT3" s="74"/>
      <c r="PZU3" s="74"/>
      <c r="PZV3" s="74"/>
      <c r="PZW3" s="74"/>
      <c r="PZX3" s="74"/>
      <c r="PZY3" s="74"/>
      <c r="PZZ3" s="74"/>
      <c r="QAA3" s="74"/>
      <c r="QAB3" s="74"/>
      <c r="QAC3" s="74"/>
      <c r="QAD3" s="74"/>
      <c r="QAE3" s="74"/>
      <c r="QAF3" s="74"/>
      <c r="QAG3" s="74"/>
      <c r="QAH3" s="74"/>
      <c r="QAI3" s="74"/>
      <c r="QAJ3" s="74"/>
      <c r="QAK3" s="74"/>
      <c r="QAL3" s="74"/>
      <c r="QAM3" s="74"/>
      <c r="QAN3" s="74"/>
      <c r="QAO3" s="74"/>
      <c r="QAP3" s="74"/>
      <c r="QAQ3" s="74"/>
      <c r="QAR3" s="74"/>
      <c r="QAS3" s="74"/>
      <c r="QAT3" s="74"/>
      <c r="QAU3" s="74"/>
      <c r="QAV3" s="74"/>
      <c r="QAW3" s="74"/>
      <c r="QAX3" s="74"/>
      <c r="QAY3" s="74"/>
      <c r="QAZ3" s="74"/>
      <c r="QBA3" s="74"/>
      <c r="QBB3" s="74"/>
      <c r="QBC3" s="74"/>
      <c r="QBD3" s="74"/>
      <c r="QBE3" s="74"/>
      <c r="QBF3" s="74"/>
      <c r="QBG3" s="74"/>
      <c r="QBH3" s="74"/>
      <c r="QBI3" s="74"/>
      <c r="QBJ3" s="74"/>
      <c r="QBK3" s="74"/>
      <c r="QBL3" s="74"/>
      <c r="QBM3" s="74"/>
      <c r="QBN3" s="74"/>
      <c r="QBO3" s="74"/>
      <c r="QBP3" s="74"/>
      <c r="QBQ3" s="74"/>
      <c r="QBR3" s="74"/>
      <c r="QBS3" s="74"/>
      <c r="QBT3" s="74"/>
      <c r="QBU3" s="74"/>
      <c r="QBV3" s="74"/>
      <c r="QBW3" s="74"/>
      <c r="QBX3" s="74"/>
      <c r="QBY3" s="74"/>
      <c r="QBZ3" s="74"/>
      <c r="QCA3" s="74"/>
      <c r="QCB3" s="74"/>
      <c r="QCC3" s="74"/>
      <c r="QCD3" s="74"/>
      <c r="QCE3" s="74"/>
      <c r="QCF3" s="74"/>
      <c r="QCG3" s="74"/>
      <c r="QCH3" s="74"/>
      <c r="QCI3" s="74"/>
      <c r="QCJ3" s="74"/>
      <c r="QCK3" s="74"/>
      <c r="QCL3" s="74"/>
      <c r="QCM3" s="74"/>
      <c r="QCN3" s="74"/>
      <c r="QCO3" s="74"/>
      <c r="QCP3" s="74"/>
      <c r="QCQ3" s="74"/>
      <c r="QCR3" s="74"/>
      <c r="QCS3" s="74"/>
      <c r="QCT3" s="74"/>
      <c r="QCU3" s="74"/>
      <c r="QCV3" s="74"/>
      <c r="QCW3" s="74"/>
      <c r="QCX3" s="74"/>
      <c r="QCY3" s="74"/>
      <c r="QCZ3" s="74"/>
      <c r="QDA3" s="74"/>
      <c r="QDB3" s="74"/>
      <c r="QDC3" s="74"/>
      <c r="QDD3" s="74"/>
      <c r="QDE3" s="74"/>
      <c r="QDF3" s="74"/>
      <c r="QDG3" s="74"/>
      <c r="QDH3" s="74"/>
      <c r="QDI3" s="74"/>
      <c r="QDJ3" s="74"/>
      <c r="QDK3" s="74"/>
      <c r="QDL3" s="74"/>
      <c r="QDM3" s="74"/>
      <c r="QDN3" s="74"/>
      <c r="QDO3" s="74"/>
      <c r="QDP3" s="74"/>
      <c r="QDQ3" s="74"/>
      <c r="QDR3" s="74"/>
      <c r="QDS3" s="74"/>
      <c r="QDT3" s="74"/>
      <c r="QDU3" s="74"/>
      <c r="QDV3" s="74"/>
      <c r="QDW3" s="74"/>
      <c r="QDX3" s="74"/>
      <c r="QDY3" s="74"/>
      <c r="QDZ3" s="74"/>
      <c r="QEA3" s="74"/>
      <c r="QEB3" s="74"/>
      <c r="QEC3" s="74"/>
      <c r="QED3" s="74"/>
      <c r="QEE3" s="74"/>
      <c r="QEF3" s="74"/>
      <c r="QEG3" s="74"/>
      <c r="QEH3" s="74"/>
      <c r="QEI3" s="74"/>
      <c r="QEJ3" s="74"/>
      <c r="QEK3" s="74"/>
      <c r="QEL3" s="74"/>
      <c r="QEM3" s="74"/>
      <c r="QEN3" s="74"/>
      <c r="QEO3" s="74"/>
      <c r="QEP3" s="74"/>
      <c r="QEQ3" s="74"/>
      <c r="QER3" s="74"/>
      <c r="QES3" s="74"/>
      <c r="QET3" s="74"/>
      <c r="QEU3" s="74"/>
      <c r="QEV3" s="74"/>
      <c r="QEW3" s="74"/>
      <c r="QEX3" s="74"/>
      <c r="QEY3" s="74"/>
      <c r="QEZ3" s="74"/>
      <c r="QFA3" s="74"/>
      <c r="QFB3" s="74"/>
      <c r="QFC3" s="74"/>
      <c r="QFD3" s="74"/>
      <c r="QFE3" s="74"/>
      <c r="QFF3" s="74"/>
      <c r="QFG3" s="74"/>
      <c r="QFH3" s="74"/>
      <c r="QFI3" s="74"/>
      <c r="QFJ3" s="74"/>
      <c r="QFK3" s="74"/>
      <c r="QFL3" s="74"/>
      <c r="QFM3" s="74"/>
      <c r="QFN3" s="74"/>
      <c r="QFO3" s="74"/>
      <c r="QFP3" s="74"/>
      <c r="QFQ3" s="74"/>
      <c r="QFR3" s="74"/>
      <c r="QFS3" s="74"/>
      <c r="QFT3" s="74"/>
      <c r="QFU3" s="74"/>
      <c r="QFV3" s="74"/>
      <c r="QFW3" s="74"/>
      <c r="QFX3" s="74"/>
      <c r="QFY3" s="74"/>
      <c r="QFZ3" s="74"/>
      <c r="QGA3" s="74"/>
      <c r="QGB3" s="74"/>
      <c r="QGC3" s="74"/>
      <c r="QGD3" s="74"/>
      <c r="QGE3" s="74"/>
      <c r="QGF3" s="74"/>
      <c r="QGG3" s="74"/>
      <c r="QGH3" s="74"/>
      <c r="QGI3" s="74"/>
      <c r="QGJ3" s="74"/>
      <c r="QGK3" s="74"/>
      <c r="QGL3" s="74"/>
      <c r="QGM3" s="74"/>
      <c r="QGN3" s="74"/>
      <c r="QGO3" s="74"/>
      <c r="QGP3" s="74"/>
      <c r="QGQ3" s="74"/>
      <c r="QGR3" s="74"/>
      <c r="QGS3" s="74"/>
      <c r="QGT3" s="74"/>
      <c r="QGU3" s="74"/>
      <c r="QGV3" s="74"/>
      <c r="QGW3" s="74"/>
      <c r="QGX3" s="74"/>
      <c r="QGY3" s="74"/>
      <c r="QGZ3" s="74"/>
      <c r="QHA3" s="74"/>
      <c r="QHB3" s="74"/>
      <c r="QHC3" s="74"/>
      <c r="QHD3" s="74"/>
      <c r="QHE3" s="74"/>
      <c r="QHF3" s="74"/>
      <c r="QHG3" s="74"/>
      <c r="QHH3" s="74"/>
      <c r="QHI3" s="74"/>
      <c r="QHJ3" s="74"/>
      <c r="QHK3" s="74"/>
      <c r="QHL3" s="74"/>
      <c r="QHM3" s="74"/>
      <c r="QHN3" s="74"/>
      <c r="QHO3" s="74"/>
      <c r="QHP3" s="74"/>
      <c r="QHQ3" s="74"/>
      <c r="QHR3" s="74"/>
      <c r="QHS3" s="74"/>
      <c r="QHT3" s="74"/>
      <c r="QHU3" s="74"/>
      <c r="QHV3" s="74"/>
      <c r="QHW3" s="74"/>
      <c r="QHX3" s="74"/>
      <c r="QHY3" s="74"/>
      <c r="QHZ3" s="74"/>
      <c r="QIA3" s="74"/>
      <c r="QIB3" s="74"/>
      <c r="QIC3" s="74"/>
      <c r="QID3" s="74"/>
      <c r="QIE3" s="74"/>
      <c r="QIF3" s="74"/>
      <c r="QIG3" s="74"/>
      <c r="QIH3" s="74"/>
      <c r="QII3" s="74"/>
      <c r="QIJ3" s="74"/>
      <c r="QIK3" s="74"/>
      <c r="QIL3" s="74"/>
      <c r="QIM3" s="74"/>
      <c r="QIN3" s="74"/>
      <c r="QIO3" s="74"/>
      <c r="QIP3" s="74"/>
      <c r="QIQ3" s="74"/>
      <c r="QIR3" s="74"/>
      <c r="QIS3" s="74"/>
      <c r="QIT3" s="74"/>
      <c r="QIU3" s="74"/>
      <c r="QIV3" s="74"/>
      <c r="QIW3" s="74"/>
      <c r="QIX3" s="74"/>
      <c r="QIY3" s="74"/>
      <c r="QIZ3" s="74"/>
      <c r="QJA3" s="74"/>
      <c r="QJB3" s="74"/>
      <c r="QJC3" s="74"/>
      <c r="QJD3" s="74"/>
      <c r="QJE3" s="74"/>
      <c r="QJF3" s="74"/>
      <c r="QJG3" s="74"/>
      <c r="QJH3" s="74"/>
      <c r="QJI3" s="74"/>
      <c r="QJJ3" s="74"/>
      <c r="QJK3" s="74"/>
      <c r="QJL3" s="74"/>
      <c r="QJM3" s="74"/>
      <c r="QJN3" s="74"/>
      <c r="QJO3" s="74"/>
      <c r="QJP3" s="74"/>
      <c r="QJQ3" s="74"/>
      <c r="QJR3" s="74"/>
      <c r="QJS3" s="74"/>
      <c r="QJT3" s="74"/>
      <c r="QJU3" s="74"/>
      <c r="QJV3" s="74"/>
      <c r="QJW3" s="74"/>
      <c r="QJX3" s="74"/>
      <c r="QJY3" s="74"/>
      <c r="QJZ3" s="74"/>
      <c r="QKA3" s="74"/>
      <c r="QKB3" s="74"/>
      <c r="QKC3" s="74"/>
      <c r="QKD3" s="74"/>
      <c r="QKE3" s="74"/>
      <c r="QKF3" s="74"/>
      <c r="QKG3" s="74"/>
      <c r="QKH3" s="74"/>
      <c r="QKI3" s="74"/>
      <c r="QKJ3" s="74"/>
      <c r="QKK3" s="74"/>
      <c r="QKL3" s="74"/>
      <c r="QKM3" s="74"/>
      <c r="QKN3" s="74"/>
      <c r="QKO3" s="74"/>
      <c r="QKP3" s="74"/>
      <c r="QKQ3" s="74"/>
      <c r="QKR3" s="74"/>
      <c r="QKS3" s="74"/>
      <c r="QKT3" s="74"/>
      <c r="QKU3" s="74"/>
      <c r="QKV3" s="74"/>
      <c r="QKW3" s="74"/>
      <c r="QKX3" s="74"/>
      <c r="QKY3" s="74"/>
      <c r="QKZ3" s="74"/>
      <c r="QLA3" s="74"/>
      <c r="QLB3" s="74"/>
      <c r="QLC3" s="74"/>
      <c r="QLD3" s="74"/>
      <c r="QLE3" s="74"/>
      <c r="QLF3" s="74"/>
      <c r="QLG3" s="74"/>
      <c r="QLH3" s="74"/>
      <c r="QLI3" s="74"/>
      <c r="QLJ3" s="74"/>
      <c r="QLK3" s="74"/>
      <c r="QLL3" s="74"/>
      <c r="QLM3" s="74"/>
      <c r="QLN3" s="74"/>
      <c r="QLO3" s="74"/>
      <c r="QLP3" s="74"/>
      <c r="QLQ3" s="74"/>
      <c r="QLR3" s="74"/>
      <c r="QLS3" s="74"/>
      <c r="QLT3" s="74"/>
      <c r="QLU3" s="74"/>
      <c r="QLV3" s="74"/>
      <c r="QLW3" s="74"/>
      <c r="QLX3" s="74"/>
      <c r="QLY3" s="74"/>
      <c r="QLZ3" s="74"/>
      <c r="QMA3" s="74"/>
      <c r="QMB3" s="74"/>
      <c r="QMC3" s="74"/>
      <c r="QMD3" s="74"/>
      <c r="QME3" s="74"/>
      <c r="QMF3" s="74"/>
      <c r="QMG3" s="74"/>
      <c r="QMH3" s="74"/>
      <c r="QMI3" s="74"/>
      <c r="QMJ3" s="74"/>
      <c r="QMK3" s="74"/>
      <c r="QML3" s="74"/>
      <c r="QMM3" s="74"/>
      <c r="QMN3" s="74"/>
      <c r="QMO3" s="74"/>
      <c r="QMP3" s="74"/>
      <c r="QMQ3" s="74"/>
      <c r="QMR3" s="74"/>
      <c r="QMS3" s="74"/>
      <c r="QMT3" s="74"/>
      <c r="QMU3" s="74"/>
      <c r="QMV3" s="74"/>
      <c r="QMW3" s="74"/>
      <c r="QMX3" s="74"/>
      <c r="QMY3" s="74"/>
      <c r="QMZ3" s="74"/>
      <c r="QNA3" s="74"/>
      <c r="QNB3" s="74"/>
      <c r="QNC3" s="74"/>
      <c r="QND3" s="74"/>
      <c r="QNE3" s="74"/>
      <c r="QNF3" s="74"/>
      <c r="QNG3" s="74"/>
      <c r="QNH3" s="74"/>
      <c r="QNI3" s="74"/>
      <c r="QNJ3" s="74"/>
      <c r="QNK3" s="74"/>
      <c r="QNL3" s="74"/>
      <c r="QNM3" s="74"/>
      <c r="QNN3" s="74"/>
      <c r="QNO3" s="74"/>
      <c r="QNP3" s="74"/>
      <c r="QNQ3" s="74"/>
      <c r="QNR3" s="74"/>
      <c r="QNS3" s="74"/>
      <c r="QNT3" s="74"/>
      <c r="QNU3" s="74"/>
      <c r="QNV3" s="74"/>
      <c r="QNW3" s="74"/>
      <c r="QNX3" s="74"/>
      <c r="QNY3" s="74"/>
      <c r="QNZ3" s="74"/>
      <c r="QOA3" s="74"/>
      <c r="QOB3" s="74"/>
      <c r="QOC3" s="74"/>
      <c r="QOD3" s="74"/>
      <c r="QOE3" s="74"/>
      <c r="QOF3" s="74"/>
      <c r="QOG3" s="74"/>
      <c r="QOH3" s="74"/>
      <c r="QOI3" s="74"/>
      <c r="QOJ3" s="74"/>
      <c r="QOK3" s="74"/>
      <c r="QOL3" s="74"/>
      <c r="QOM3" s="74"/>
      <c r="QON3" s="74"/>
      <c r="QOO3" s="74"/>
      <c r="QOP3" s="74"/>
      <c r="QOQ3" s="74"/>
      <c r="QOR3" s="74"/>
      <c r="QOS3" s="74"/>
      <c r="QOT3" s="74"/>
      <c r="QOU3" s="74"/>
      <c r="QOV3" s="74"/>
      <c r="QOW3" s="74"/>
      <c r="QOX3" s="74"/>
      <c r="QOY3" s="74"/>
      <c r="QOZ3" s="74"/>
      <c r="QPA3" s="74"/>
      <c r="QPB3" s="74"/>
      <c r="QPC3" s="74"/>
      <c r="QPD3" s="74"/>
      <c r="QPE3" s="74"/>
      <c r="QPF3" s="74"/>
      <c r="QPG3" s="74"/>
      <c r="QPH3" s="74"/>
      <c r="QPI3" s="74"/>
      <c r="QPJ3" s="74"/>
      <c r="QPK3" s="74"/>
      <c r="QPL3" s="74"/>
      <c r="QPM3" s="74"/>
      <c r="QPN3" s="74"/>
      <c r="QPO3" s="74"/>
      <c r="QPP3" s="74"/>
      <c r="QPQ3" s="74"/>
      <c r="QPR3" s="74"/>
      <c r="QPS3" s="74"/>
      <c r="QPT3" s="74"/>
      <c r="QPU3" s="74"/>
      <c r="QPV3" s="74"/>
      <c r="QPW3" s="74"/>
      <c r="QPX3" s="74"/>
      <c r="QPY3" s="74"/>
      <c r="QPZ3" s="74"/>
      <c r="QQA3" s="74"/>
      <c r="QQB3" s="74"/>
      <c r="QQC3" s="74"/>
      <c r="QQD3" s="74"/>
      <c r="QQE3" s="74"/>
      <c r="QQF3" s="74"/>
      <c r="QQG3" s="74"/>
      <c r="QQH3" s="74"/>
      <c r="QQI3" s="74"/>
      <c r="QQJ3" s="74"/>
      <c r="QQK3" s="74"/>
      <c r="QQL3" s="74"/>
      <c r="QQM3" s="74"/>
      <c r="QQN3" s="74"/>
      <c r="QQO3" s="74"/>
      <c r="QQP3" s="74"/>
      <c r="QQQ3" s="74"/>
      <c r="QQR3" s="74"/>
      <c r="QQS3" s="74"/>
      <c r="QQT3" s="74"/>
      <c r="QQU3" s="74"/>
      <c r="QQV3" s="74"/>
      <c r="QQW3" s="74"/>
      <c r="QQX3" s="74"/>
      <c r="QQY3" s="74"/>
      <c r="QQZ3" s="74"/>
      <c r="QRA3" s="74"/>
      <c r="QRB3" s="74"/>
      <c r="QRC3" s="74"/>
      <c r="QRD3" s="74"/>
      <c r="QRE3" s="74"/>
      <c r="QRF3" s="74"/>
      <c r="QRG3" s="74"/>
      <c r="QRH3" s="74"/>
      <c r="QRI3" s="74"/>
      <c r="QRJ3" s="74"/>
      <c r="QRK3" s="74"/>
      <c r="QRL3" s="74"/>
      <c r="QRM3" s="74"/>
      <c r="QRN3" s="74"/>
      <c r="QRO3" s="74"/>
      <c r="QRP3" s="74"/>
      <c r="QRQ3" s="74"/>
      <c r="QRR3" s="74"/>
      <c r="QRS3" s="74"/>
      <c r="QRT3" s="74"/>
      <c r="QRU3" s="74"/>
      <c r="QRV3" s="74"/>
      <c r="QRW3" s="74"/>
      <c r="QRX3" s="74"/>
      <c r="QRY3" s="74"/>
      <c r="QRZ3" s="74"/>
      <c r="QSA3" s="74"/>
      <c r="QSB3" s="74"/>
      <c r="QSC3" s="74"/>
      <c r="QSD3" s="74"/>
      <c r="QSE3" s="74"/>
      <c r="QSF3" s="74"/>
      <c r="QSG3" s="74"/>
      <c r="QSH3" s="74"/>
      <c r="QSI3" s="74"/>
      <c r="QSJ3" s="74"/>
      <c r="QSK3" s="74"/>
      <c r="QSL3" s="74"/>
      <c r="QSM3" s="74"/>
      <c r="QSN3" s="74"/>
      <c r="QSO3" s="74"/>
      <c r="QSP3" s="74"/>
      <c r="QSQ3" s="74"/>
      <c r="QSR3" s="74"/>
      <c r="QSS3" s="74"/>
      <c r="QST3" s="74"/>
      <c r="QSU3" s="74"/>
      <c r="QSV3" s="74"/>
      <c r="QSW3" s="74"/>
      <c r="QSX3" s="74"/>
      <c r="QSY3" s="74"/>
      <c r="QSZ3" s="74"/>
      <c r="QTA3" s="74"/>
      <c r="QTB3" s="74"/>
      <c r="QTC3" s="74"/>
      <c r="QTD3" s="74"/>
      <c r="QTE3" s="74"/>
      <c r="QTF3" s="74"/>
      <c r="QTG3" s="74"/>
      <c r="QTH3" s="74"/>
      <c r="QTI3" s="74"/>
      <c r="QTJ3" s="74"/>
      <c r="QTK3" s="74"/>
      <c r="QTL3" s="74"/>
      <c r="QTM3" s="74"/>
      <c r="QTN3" s="74"/>
      <c r="QTO3" s="74"/>
      <c r="QTP3" s="74"/>
      <c r="QTQ3" s="74"/>
      <c r="QTR3" s="74"/>
      <c r="QTS3" s="74"/>
      <c r="QTT3" s="74"/>
      <c r="QTU3" s="74"/>
      <c r="QTV3" s="74"/>
      <c r="QTW3" s="74"/>
      <c r="QTX3" s="74"/>
      <c r="QTY3" s="74"/>
      <c r="QTZ3" s="74"/>
      <c r="QUA3" s="74"/>
      <c r="QUB3" s="74"/>
      <c r="QUC3" s="74"/>
      <c r="QUD3" s="74"/>
      <c r="QUE3" s="74"/>
      <c r="QUF3" s="74"/>
      <c r="QUG3" s="74"/>
      <c r="QUH3" s="74"/>
      <c r="QUI3" s="74"/>
      <c r="QUJ3" s="74"/>
      <c r="QUK3" s="74"/>
      <c r="QUL3" s="74"/>
      <c r="QUM3" s="74"/>
      <c r="QUN3" s="74"/>
      <c r="QUO3" s="74"/>
      <c r="QUP3" s="74"/>
      <c r="QUQ3" s="74"/>
      <c r="QUR3" s="74"/>
      <c r="QUS3" s="74"/>
      <c r="QUT3" s="74"/>
      <c r="QUU3" s="74"/>
      <c r="QUV3" s="74"/>
      <c r="QUW3" s="74"/>
      <c r="QUX3" s="74"/>
      <c r="QUY3" s="74"/>
      <c r="QUZ3" s="74"/>
      <c r="QVA3" s="74"/>
      <c r="QVB3" s="74"/>
      <c r="QVC3" s="74"/>
      <c r="QVD3" s="74"/>
      <c r="QVE3" s="74"/>
      <c r="QVF3" s="74"/>
      <c r="QVG3" s="74"/>
      <c r="QVH3" s="74"/>
      <c r="QVI3" s="74"/>
      <c r="QVJ3" s="74"/>
      <c r="QVK3" s="74"/>
      <c r="QVL3" s="74"/>
      <c r="QVM3" s="74"/>
      <c r="QVN3" s="74"/>
      <c r="QVO3" s="74"/>
      <c r="QVP3" s="74"/>
      <c r="QVQ3" s="74"/>
      <c r="QVR3" s="74"/>
      <c r="QVS3" s="74"/>
      <c r="QVT3" s="74"/>
      <c r="QVU3" s="74"/>
      <c r="QVV3" s="74"/>
      <c r="QVW3" s="74"/>
      <c r="QVX3" s="74"/>
      <c r="QVY3" s="74"/>
      <c r="QVZ3" s="74"/>
      <c r="QWA3" s="74"/>
      <c r="QWB3" s="74"/>
      <c r="QWC3" s="74"/>
      <c r="QWD3" s="74"/>
      <c r="QWE3" s="74"/>
      <c r="QWF3" s="74"/>
      <c r="QWG3" s="74"/>
      <c r="QWH3" s="74"/>
      <c r="QWI3" s="74"/>
      <c r="QWJ3" s="74"/>
      <c r="QWK3" s="74"/>
      <c r="QWL3" s="74"/>
      <c r="QWM3" s="74"/>
      <c r="QWN3" s="74"/>
      <c r="QWO3" s="74"/>
      <c r="QWP3" s="74"/>
      <c r="QWQ3" s="74"/>
      <c r="QWR3" s="74"/>
      <c r="QWS3" s="74"/>
      <c r="QWT3" s="74"/>
      <c r="QWU3" s="74"/>
      <c r="QWV3" s="74"/>
      <c r="QWW3" s="74"/>
      <c r="QWX3" s="74"/>
      <c r="QWY3" s="74"/>
      <c r="QWZ3" s="74"/>
      <c r="QXA3" s="74"/>
      <c r="QXB3" s="74"/>
      <c r="QXC3" s="74"/>
      <c r="QXD3" s="74"/>
      <c r="QXE3" s="74"/>
      <c r="QXF3" s="74"/>
      <c r="QXG3" s="74"/>
      <c r="QXH3" s="74"/>
      <c r="QXI3" s="74"/>
      <c r="QXJ3" s="74"/>
      <c r="QXK3" s="74"/>
      <c r="QXL3" s="74"/>
      <c r="QXM3" s="74"/>
      <c r="QXN3" s="74"/>
      <c r="QXO3" s="74"/>
      <c r="QXP3" s="74"/>
      <c r="QXQ3" s="74"/>
      <c r="QXR3" s="74"/>
      <c r="QXS3" s="74"/>
      <c r="QXT3" s="74"/>
      <c r="QXU3" s="74"/>
      <c r="QXV3" s="74"/>
      <c r="QXW3" s="74"/>
      <c r="QXX3" s="74"/>
      <c r="QXY3" s="74"/>
      <c r="QXZ3" s="74"/>
      <c r="QYA3" s="74"/>
      <c r="QYB3" s="74"/>
      <c r="QYC3" s="74"/>
      <c r="QYD3" s="74"/>
      <c r="QYE3" s="74"/>
      <c r="QYF3" s="74"/>
      <c r="QYG3" s="74"/>
      <c r="QYH3" s="74"/>
      <c r="QYI3" s="74"/>
      <c r="QYJ3" s="74"/>
      <c r="QYK3" s="74"/>
      <c r="QYL3" s="74"/>
      <c r="QYM3" s="74"/>
      <c r="QYN3" s="74"/>
      <c r="QYO3" s="74"/>
      <c r="QYP3" s="74"/>
      <c r="QYQ3" s="74"/>
      <c r="QYR3" s="74"/>
      <c r="QYS3" s="74"/>
      <c r="QYT3" s="74"/>
      <c r="QYU3" s="74"/>
      <c r="QYV3" s="74"/>
      <c r="QYW3" s="74"/>
      <c r="QYX3" s="74"/>
      <c r="QYY3" s="74"/>
      <c r="QYZ3" s="74"/>
      <c r="QZA3" s="74"/>
      <c r="QZB3" s="74"/>
      <c r="QZC3" s="74"/>
      <c r="QZD3" s="74"/>
      <c r="QZE3" s="74"/>
      <c r="QZF3" s="74"/>
      <c r="QZG3" s="74"/>
      <c r="QZH3" s="74"/>
      <c r="QZI3" s="74"/>
      <c r="QZJ3" s="74"/>
      <c r="QZK3" s="74"/>
      <c r="QZL3" s="74"/>
      <c r="QZM3" s="74"/>
      <c r="QZN3" s="74"/>
      <c r="QZO3" s="74"/>
      <c r="QZP3" s="74"/>
      <c r="QZQ3" s="74"/>
      <c r="QZR3" s="74"/>
      <c r="QZS3" s="74"/>
      <c r="QZT3" s="74"/>
      <c r="QZU3" s="74"/>
      <c r="QZV3" s="74"/>
      <c r="QZW3" s="74"/>
      <c r="QZX3" s="74"/>
      <c r="QZY3" s="74"/>
      <c r="QZZ3" s="74"/>
      <c r="RAA3" s="74"/>
      <c r="RAB3" s="74"/>
      <c r="RAC3" s="74"/>
      <c r="RAD3" s="74"/>
      <c r="RAE3" s="74"/>
      <c r="RAF3" s="74"/>
      <c r="RAG3" s="74"/>
      <c r="RAH3" s="74"/>
      <c r="RAI3" s="74"/>
      <c r="RAJ3" s="74"/>
      <c r="RAK3" s="74"/>
      <c r="RAL3" s="74"/>
      <c r="RAM3" s="74"/>
      <c r="RAN3" s="74"/>
      <c r="RAO3" s="74"/>
      <c r="RAP3" s="74"/>
      <c r="RAQ3" s="74"/>
      <c r="RAR3" s="74"/>
      <c r="RAS3" s="74"/>
      <c r="RAT3" s="74"/>
      <c r="RAU3" s="74"/>
      <c r="RAV3" s="74"/>
      <c r="RAW3" s="74"/>
      <c r="RAX3" s="74"/>
      <c r="RAY3" s="74"/>
      <c r="RAZ3" s="74"/>
      <c r="RBA3" s="74"/>
      <c r="RBB3" s="74"/>
      <c r="RBC3" s="74"/>
      <c r="RBD3" s="74"/>
      <c r="RBE3" s="74"/>
      <c r="RBF3" s="74"/>
      <c r="RBG3" s="74"/>
      <c r="RBH3" s="74"/>
      <c r="RBI3" s="74"/>
      <c r="RBJ3" s="74"/>
      <c r="RBK3" s="74"/>
      <c r="RBL3" s="74"/>
      <c r="RBM3" s="74"/>
      <c r="RBN3" s="74"/>
      <c r="RBO3" s="74"/>
      <c r="RBP3" s="74"/>
      <c r="RBQ3" s="74"/>
      <c r="RBR3" s="74"/>
      <c r="RBS3" s="74"/>
      <c r="RBT3" s="74"/>
      <c r="RBU3" s="74"/>
      <c r="RBV3" s="74"/>
      <c r="RBW3" s="74"/>
      <c r="RBX3" s="74"/>
      <c r="RBY3" s="74"/>
      <c r="RBZ3" s="74"/>
      <c r="RCA3" s="74"/>
      <c r="RCB3" s="74"/>
      <c r="RCC3" s="74"/>
      <c r="RCD3" s="74"/>
      <c r="RCE3" s="74"/>
      <c r="RCF3" s="74"/>
      <c r="RCG3" s="74"/>
      <c r="RCH3" s="74"/>
      <c r="RCI3" s="74"/>
      <c r="RCJ3" s="74"/>
      <c r="RCK3" s="74"/>
      <c r="RCL3" s="74"/>
      <c r="RCM3" s="74"/>
      <c r="RCN3" s="74"/>
      <c r="RCO3" s="74"/>
      <c r="RCP3" s="74"/>
      <c r="RCQ3" s="74"/>
      <c r="RCR3" s="74"/>
      <c r="RCS3" s="74"/>
      <c r="RCT3" s="74"/>
      <c r="RCU3" s="74"/>
      <c r="RCV3" s="74"/>
      <c r="RCW3" s="74"/>
      <c r="RCX3" s="74"/>
      <c r="RCY3" s="74"/>
      <c r="RCZ3" s="74"/>
      <c r="RDA3" s="74"/>
      <c r="RDB3" s="74"/>
      <c r="RDC3" s="74"/>
      <c r="RDD3" s="74"/>
      <c r="RDE3" s="74"/>
      <c r="RDF3" s="74"/>
      <c r="RDG3" s="74"/>
      <c r="RDH3" s="74"/>
      <c r="RDI3" s="74"/>
      <c r="RDJ3" s="74"/>
      <c r="RDK3" s="74"/>
      <c r="RDL3" s="74"/>
      <c r="RDM3" s="74"/>
      <c r="RDN3" s="74"/>
      <c r="RDO3" s="74"/>
      <c r="RDP3" s="74"/>
      <c r="RDQ3" s="74"/>
      <c r="RDR3" s="74"/>
      <c r="RDS3" s="74"/>
      <c r="RDT3" s="74"/>
      <c r="RDU3" s="74"/>
      <c r="RDV3" s="74"/>
      <c r="RDW3" s="74"/>
      <c r="RDX3" s="74"/>
      <c r="RDY3" s="74"/>
      <c r="RDZ3" s="74"/>
      <c r="REA3" s="74"/>
      <c r="REB3" s="74"/>
      <c r="REC3" s="74"/>
      <c r="RED3" s="74"/>
      <c r="REE3" s="74"/>
      <c r="REF3" s="74"/>
      <c r="REG3" s="74"/>
      <c r="REH3" s="74"/>
      <c r="REI3" s="74"/>
      <c r="REJ3" s="74"/>
      <c r="REK3" s="74"/>
      <c r="REL3" s="74"/>
      <c r="REM3" s="74"/>
      <c r="REN3" s="74"/>
      <c r="REO3" s="74"/>
      <c r="REP3" s="74"/>
      <c r="REQ3" s="74"/>
      <c r="RER3" s="74"/>
      <c r="RES3" s="74"/>
      <c r="RET3" s="74"/>
      <c r="REU3" s="74"/>
      <c r="REV3" s="74"/>
      <c r="REW3" s="74"/>
      <c r="REX3" s="74"/>
      <c r="REY3" s="74"/>
      <c r="REZ3" s="74"/>
      <c r="RFA3" s="74"/>
      <c r="RFB3" s="74"/>
      <c r="RFC3" s="74"/>
      <c r="RFD3" s="74"/>
      <c r="RFE3" s="74"/>
      <c r="RFF3" s="74"/>
      <c r="RFG3" s="74"/>
      <c r="RFH3" s="74"/>
      <c r="RFI3" s="74"/>
      <c r="RFJ3" s="74"/>
      <c r="RFK3" s="74"/>
      <c r="RFL3" s="74"/>
      <c r="RFM3" s="74"/>
      <c r="RFN3" s="74"/>
      <c r="RFO3" s="74"/>
      <c r="RFP3" s="74"/>
      <c r="RFQ3" s="74"/>
      <c r="RFR3" s="74"/>
      <c r="RFS3" s="74"/>
      <c r="RFT3" s="74"/>
      <c r="RFU3" s="74"/>
      <c r="RFV3" s="74"/>
      <c r="RFW3" s="74"/>
      <c r="RFX3" s="74"/>
      <c r="RFY3" s="74"/>
      <c r="RFZ3" s="74"/>
      <c r="RGA3" s="74"/>
      <c r="RGB3" s="74"/>
      <c r="RGC3" s="74"/>
      <c r="RGD3" s="74"/>
      <c r="RGE3" s="74"/>
      <c r="RGF3" s="74"/>
      <c r="RGG3" s="74"/>
      <c r="RGH3" s="74"/>
      <c r="RGI3" s="74"/>
      <c r="RGJ3" s="74"/>
      <c r="RGK3" s="74"/>
      <c r="RGL3" s="74"/>
      <c r="RGM3" s="74"/>
      <c r="RGN3" s="74"/>
      <c r="RGO3" s="74"/>
      <c r="RGP3" s="74"/>
      <c r="RGQ3" s="74"/>
      <c r="RGR3" s="74"/>
      <c r="RGS3" s="74"/>
      <c r="RGT3" s="74"/>
      <c r="RGU3" s="74"/>
      <c r="RGV3" s="74"/>
      <c r="RGW3" s="74"/>
      <c r="RGX3" s="74"/>
      <c r="RGY3" s="74"/>
      <c r="RGZ3" s="74"/>
      <c r="RHA3" s="74"/>
      <c r="RHB3" s="74"/>
      <c r="RHC3" s="74"/>
      <c r="RHD3" s="74"/>
      <c r="RHE3" s="74"/>
      <c r="RHF3" s="74"/>
      <c r="RHG3" s="74"/>
      <c r="RHH3" s="74"/>
      <c r="RHI3" s="74"/>
      <c r="RHJ3" s="74"/>
      <c r="RHK3" s="74"/>
      <c r="RHL3" s="74"/>
      <c r="RHM3" s="74"/>
      <c r="RHN3" s="74"/>
      <c r="RHO3" s="74"/>
      <c r="RHP3" s="74"/>
      <c r="RHQ3" s="74"/>
      <c r="RHR3" s="74"/>
      <c r="RHS3" s="74"/>
      <c r="RHT3" s="74"/>
      <c r="RHU3" s="74"/>
      <c r="RHV3" s="74"/>
      <c r="RHW3" s="74"/>
      <c r="RHX3" s="74"/>
      <c r="RHY3" s="74"/>
      <c r="RHZ3" s="74"/>
      <c r="RIA3" s="74"/>
      <c r="RIB3" s="74"/>
      <c r="RIC3" s="74"/>
      <c r="RID3" s="74"/>
      <c r="RIE3" s="74"/>
      <c r="RIF3" s="74"/>
      <c r="RIG3" s="74"/>
      <c r="RIH3" s="74"/>
      <c r="RII3" s="74"/>
      <c r="RIJ3" s="74"/>
      <c r="RIK3" s="74"/>
      <c r="RIL3" s="74"/>
      <c r="RIM3" s="74"/>
      <c r="RIN3" s="74"/>
      <c r="RIO3" s="74"/>
      <c r="RIP3" s="74"/>
      <c r="RIQ3" s="74"/>
      <c r="RIR3" s="74"/>
      <c r="RIS3" s="74"/>
      <c r="RIT3" s="74"/>
      <c r="RIU3" s="74"/>
      <c r="RIV3" s="74"/>
      <c r="RIW3" s="74"/>
      <c r="RIX3" s="74"/>
      <c r="RIY3" s="74"/>
      <c r="RIZ3" s="74"/>
      <c r="RJA3" s="74"/>
      <c r="RJB3" s="74"/>
      <c r="RJC3" s="74"/>
      <c r="RJD3" s="74"/>
      <c r="RJE3" s="74"/>
      <c r="RJF3" s="74"/>
      <c r="RJG3" s="74"/>
      <c r="RJH3" s="74"/>
      <c r="RJI3" s="74"/>
      <c r="RJJ3" s="74"/>
      <c r="RJK3" s="74"/>
      <c r="RJL3" s="74"/>
      <c r="RJM3" s="74"/>
      <c r="RJN3" s="74"/>
      <c r="RJO3" s="74"/>
      <c r="RJP3" s="74"/>
      <c r="RJQ3" s="74"/>
      <c r="RJR3" s="74"/>
      <c r="RJS3" s="74"/>
      <c r="RJT3" s="74"/>
      <c r="RJU3" s="74"/>
      <c r="RJV3" s="74"/>
      <c r="RJW3" s="74"/>
      <c r="RJX3" s="74"/>
      <c r="RJY3" s="74"/>
      <c r="RJZ3" s="74"/>
      <c r="RKA3" s="74"/>
      <c r="RKB3" s="74"/>
      <c r="RKC3" s="74"/>
      <c r="RKD3" s="74"/>
      <c r="RKE3" s="74"/>
      <c r="RKF3" s="74"/>
      <c r="RKG3" s="74"/>
      <c r="RKH3" s="74"/>
      <c r="RKI3" s="74"/>
      <c r="RKJ3" s="74"/>
      <c r="RKK3" s="74"/>
      <c r="RKL3" s="74"/>
      <c r="RKM3" s="74"/>
      <c r="RKN3" s="74"/>
      <c r="RKO3" s="74"/>
      <c r="RKP3" s="74"/>
      <c r="RKQ3" s="74"/>
      <c r="RKR3" s="74"/>
      <c r="RKS3" s="74"/>
      <c r="RKT3" s="74"/>
      <c r="RKU3" s="74"/>
      <c r="RKV3" s="74"/>
      <c r="RKW3" s="74"/>
      <c r="RKX3" s="74"/>
      <c r="RKY3" s="74"/>
      <c r="RKZ3" s="74"/>
      <c r="RLA3" s="74"/>
      <c r="RLB3" s="74"/>
      <c r="RLC3" s="74"/>
      <c r="RLD3" s="74"/>
      <c r="RLE3" s="74"/>
      <c r="RLF3" s="74"/>
      <c r="RLG3" s="74"/>
      <c r="RLH3" s="74"/>
      <c r="RLI3" s="74"/>
      <c r="RLJ3" s="74"/>
      <c r="RLK3" s="74"/>
      <c r="RLL3" s="74"/>
      <c r="RLM3" s="74"/>
      <c r="RLN3" s="74"/>
      <c r="RLO3" s="74"/>
      <c r="RLP3" s="74"/>
      <c r="RLQ3" s="74"/>
      <c r="RLR3" s="74"/>
      <c r="RLS3" s="74"/>
      <c r="RLT3" s="74"/>
      <c r="RLU3" s="74"/>
      <c r="RLV3" s="74"/>
      <c r="RLW3" s="74"/>
      <c r="RLX3" s="74"/>
      <c r="RLY3" s="74"/>
      <c r="RLZ3" s="74"/>
      <c r="RMA3" s="74"/>
      <c r="RMB3" s="74"/>
      <c r="RMC3" s="74"/>
      <c r="RMD3" s="74"/>
      <c r="RME3" s="74"/>
      <c r="RMF3" s="74"/>
      <c r="RMG3" s="74"/>
      <c r="RMH3" s="74"/>
      <c r="RMI3" s="74"/>
      <c r="RMJ3" s="74"/>
      <c r="RMK3" s="74"/>
      <c r="RML3" s="74"/>
      <c r="RMM3" s="74"/>
      <c r="RMN3" s="74"/>
      <c r="RMO3" s="74"/>
      <c r="RMP3" s="74"/>
      <c r="RMQ3" s="74"/>
      <c r="RMR3" s="74"/>
      <c r="RMS3" s="74"/>
      <c r="RMT3" s="74"/>
      <c r="RMU3" s="74"/>
      <c r="RMV3" s="74"/>
      <c r="RMW3" s="74"/>
      <c r="RMX3" s="74"/>
      <c r="RMY3" s="74"/>
      <c r="RMZ3" s="74"/>
      <c r="RNA3" s="74"/>
      <c r="RNB3" s="74"/>
      <c r="RNC3" s="74"/>
      <c r="RND3" s="74"/>
      <c r="RNE3" s="74"/>
      <c r="RNF3" s="74"/>
      <c r="RNG3" s="74"/>
      <c r="RNH3" s="74"/>
      <c r="RNI3" s="74"/>
      <c r="RNJ3" s="74"/>
      <c r="RNK3" s="74"/>
      <c r="RNL3" s="74"/>
      <c r="RNM3" s="74"/>
      <c r="RNN3" s="74"/>
      <c r="RNO3" s="74"/>
      <c r="RNP3" s="74"/>
      <c r="RNQ3" s="74"/>
      <c r="RNR3" s="74"/>
      <c r="RNS3" s="74"/>
      <c r="RNT3" s="74"/>
      <c r="RNU3" s="74"/>
      <c r="RNV3" s="74"/>
      <c r="RNW3" s="74"/>
      <c r="RNX3" s="74"/>
      <c r="RNY3" s="74"/>
      <c r="RNZ3" s="74"/>
      <c r="ROA3" s="74"/>
      <c r="ROB3" s="74"/>
      <c r="ROC3" s="74"/>
      <c r="ROD3" s="74"/>
      <c r="ROE3" s="74"/>
      <c r="ROF3" s="74"/>
      <c r="ROG3" s="74"/>
      <c r="ROH3" s="74"/>
      <c r="ROI3" s="74"/>
      <c r="ROJ3" s="74"/>
      <c r="ROK3" s="74"/>
      <c r="ROL3" s="74"/>
      <c r="ROM3" s="74"/>
      <c r="RON3" s="74"/>
      <c r="ROO3" s="74"/>
      <c r="ROP3" s="74"/>
      <c r="ROQ3" s="74"/>
      <c r="ROR3" s="74"/>
      <c r="ROS3" s="74"/>
      <c r="ROT3" s="74"/>
      <c r="ROU3" s="74"/>
      <c r="ROV3" s="74"/>
      <c r="ROW3" s="74"/>
      <c r="ROX3" s="74"/>
      <c r="ROY3" s="74"/>
      <c r="ROZ3" s="74"/>
      <c r="RPA3" s="74"/>
      <c r="RPB3" s="74"/>
      <c r="RPC3" s="74"/>
      <c r="RPD3" s="74"/>
      <c r="RPE3" s="74"/>
      <c r="RPF3" s="74"/>
      <c r="RPG3" s="74"/>
      <c r="RPH3" s="74"/>
      <c r="RPI3" s="74"/>
      <c r="RPJ3" s="74"/>
      <c r="RPK3" s="74"/>
      <c r="RPL3" s="74"/>
      <c r="RPM3" s="74"/>
      <c r="RPN3" s="74"/>
      <c r="RPO3" s="74"/>
      <c r="RPP3" s="74"/>
      <c r="RPQ3" s="74"/>
      <c r="RPR3" s="74"/>
      <c r="RPS3" s="74"/>
      <c r="RPT3" s="74"/>
      <c r="RPU3" s="74"/>
      <c r="RPV3" s="74"/>
      <c r="RPW3" s="74"/>
      <c r="RPX3" s="74"/>
      <c r="RPY3" s="74"/>
      <c r="RPZ3" s="74"/>
      <c r="RQA3" s="74"/>
      <c r="RQB3" s="74"/>
      <c r="RQC3" s="74"/>
      <c r="RQD3" s="74"/>
      <c r="RQE3" s="74"/>
      <c r="RQF3" s="74"/>
      <c r="RQG3" s="74"/>
      <c r="RQH3" s="74"/>
      <c r="RQI3" s="74"/>
      <c r="RQJ3" s="74"/>
      <c r="RQK3" s="74"/>
      <c r="RQL3" s="74"/>
      <c r="RQM3" s="74"/>
      <c r="RQN3" s="74"/>
      <c r="RQO3" s="74"/>
      <c r="RQP3" s="74"/>
      <c r="RQQ3" s="74"/>
      <c r="RQR3" s="74"/>
      <c r="RQS3" s="74"/>
      <c r="RQT3" s="74"/>
      <c r="RQU3" s="74"/>
      <c r="RQV3" s="74"/>
      <c r="RQW3" s="74"/>
      <c r="RQX3" s="74"/>
      <c r="RQY3" s="74"/>
      <c r="RQZ3" s="74"/>
      <c r="RRA3" s="74"/>
      <c r="RRB3" s="74"/>
      <c r="RRC3" s="74"/>
      <c r="RRD3" s="74"/>
      <c r="RRE3" s="74"/>
      <c r="RRF3" s="74"/>
      <c r="RRG3" s="74"/>
      <c r="RRH3" s="74"/>
      <c r="RRI3" s="74"/>
      <c r="RRJ3" s="74"/>
      <c r="RRK3" s="74"/>
      <c r="RRL3" s="74"/>
      <c r="RRM3" s="74"/>
      <c r="RRN3" s="74"/>
      <c r="RRO3" s="74"/>
      <c r="RRP3" s="74"/>
      <c r="RRQ3" s="74"/>
      <c r="RRR3" s="74"/>
      <c r="RRS3" s="74"/>
      <c r="RRT3" s="74"/>
      <c r="RRU3" s="74"/>
      <c r="RRV3" s="74"/>
      <c r="RRW3" s="74"/>
      <c r="RRX3" s="74"/>
      <c r="RRY3" s="74"/>
      <c r="RRZ3" s="74"/>
      <c r="RSA3" s="74"/>
      <c r="RSB3" s="74"/>
      <c r="RSC3" s="74"/>
      <c r="RSD3" s="74"/>
      <c r="RSE3" s="74"/>
      <c r="RSF3" s="74"/>
      <c r="RSG3" s="74"/>
      <c r="RSH3" s="74"/>
      <c r="RSI3" s="74"/>
      <c r="RSJ3" s="74"/>
      <c r="RSK3" s="74"/>
      <c r="RSL3" s="74"/>
      <c r="RSM3" s="74"/>
      <c r="RSN3" s="74"/>
      <c r="RSO3" s="74"/>
      <c r="RSP3" s="74"/>
      <c r="RSQ3" s="74"/>
      <c r="RSR3" s="74"/>
      <c r="RSS3" s="74"/>
      <c r="RST3" s="74"/>
      <c r="RSU3" s="74"/>
      <c r="RSV3" s="74"/>
      <c r="RSW3" s="74"/>
      <c r="RSX3" s="74"/>
      <c r="RSY3" s="74"/>
      <c r="RSZ3" s="74"/>
      <c r="RTA3" s="74"/>
      <c r="RTB3" s="74"/>
      <c r="RTC3" s="74"/>
      <c r="RTD3" s="74"/>
      <c r="RTE3" s="74"/>
      <c r="RTF3" s="74"/>
      <c r="RTG3" s="74"/>
      <c r="RTH3" s="74"/>
      <c r="RTI3" s="74"/>
      <c r="RTJ3" s="74"/>
      <c r="RTK3" s="74"/>
      <c r="RTL3" s="74"/>
      <c r="RTM3" s="74"/>
      <c r="RTN3" s="74"/>
      <c r="RTO3" s="74"/>
      <c r="RTP3" s="74"/>
      <c r="RTQ3" s="74"/>
      <c r="RTR3" s="74"/>
      <c r="RTS3" s="74"/>
      <c r="RTT3" s="74"/>
      <c r="RTU3" s="74"/>
      <c r="RTV3" s="74"/>
      <c r="RTW3" s="74"/>
      <c r="RTX3" s="74"/>
      <c r="RTY3" s="74"/>
      <c r="RTZ3" s="74"/>
      <c r="RUA3" s="74"/>
      <c r="RUB3" s="74"/>
      <c r="RUC3" s="74"/>
      <c r="RUD3" s="74"/>
      <c r="RUE3" s="74"/>
      <c r="RUF3" s="74"/>
      <c r="RUG3" s="74"/>
      <c r="RUH3" s="74"/>
      <c r="RUI3" s="74"/>
      <c r="RUJ3" s="74"/>
      <c r="RUK3" s="74"/>
      <c r="RUL3" s="74"/>
      <c r="RUM3" s="74"/>
      <c r="RUN3" s="74"/>
      <c r="RUO3" s="74"/>
      <c r="RUP3" s="74"/>
      <c r="RUQ3" s="74"/>
      <c r="RUR3" s="74"/>
      <c r="RUS3" s="74"/>
      <c r="RUT3" s="74"/>
      <c r="RUU3" s="74"/>
      <c r="RUV3" s="74"/>
      <c r="RUW3" s="74"/>
      <c r="RUX3" s="74"/>
      <c r="RUY3" s="74"/>
      <c r="RUZ3" s="74"/>
      <c r="RVA3" s="74"/>
      <c r="RVB3" s="74"/>
      <c r="RVC3" s="74"/>
      <c r="RVD3" s="74"/>
      <c r="RVE3" s="74"/>
      <c r="RVF3" s="74"/>
      <c r="RVG3" s="74"/>
      <c r="RVH3" s="74"/>
      <c r="RVI3" s="74"/>
      <c r="RVJ3" s="74"/>
      <c r="RVK3" s="74"/>
      <c r="RVL3" s="74"/>
      <c r="RVM3" s="74"/>
      <c r="RVN3" s="74"/>
      <c r="RVO3" s="74"/>
      <c r="RVP3" s="74"/>
      <c r="RVQ3" s="74"/>
      <c r="RVR3" s="74"/>
      <c r="RVS3" s="74"/>
      <c r="RVT3" s="74"/>
      <c r="RVU3" s="74"/>
      <c r="RVV3" s="74"/>
      <c r="RVW3" s="74"/>
      <c r="RVX3" s="74"/>
      <c r="RVY3" s="74"/>
      <c r="RVZ3" s="74"/>
      <c r="RWA3" s="74"/>
      <c r="RWB3" s="74"/>
      <c r="RWC3" s="74"/>
      <c r="RWD3" s="74"/>
      <c r="RWE3" s="74"/>
      <c r="RWF3" s="74"/>
      <c r="RWG3" s="74"/>
      <c r="RWH3" s="74"/>
      <c r="RWI3" s="74"/>
      <c r="RWJ3" s="74"/>
      <c r="RWK3" s="74"/>
      <c r="RWL3" s="74"/>
      <c r="RWM3" s="74"/>
      <c r="RWN3" s="74"/>
      <c r="RWO3" s="74"/>
      <c r="RWP3" s="74"/>
      <c r="RWQ3" s="74"/>
      <c r="RWR3" s="74"/>
      <c r="RWS3" s="74"/>
      <c r="RWT3" s="74"/>
      <c r="RWU3" s="74"/>
      <c r="RWV3" s="74"/>
      <c r="RWW3" s="74"/>
      <c r="RWX3" s="74"/>
      <c r="RWY3" s="74"/>
      <c r="RWZ3" s="74"/>
      <c r="RXA3" s="74"/>
      <c r="RXB3" s="74"/>
      <c r="RXC3" s="74"/>
      <c r="RXD3" s="74"/>
      <c r="RXE3" s="74"/>
      <c r="RXF3" s="74"/>
      <c r="RXG3" s="74"/>
      <c r="RXH3" s="74"/>
      <c r="RXI3" s="74"/>
      <c r="RXJ3" s="74"/>
      <c r="RXK3" s="74"/>
      <c r="RXL3" s="74"/>
      <c r="RXM3" s="74"/>
      <c r="RXN3" s="74"/>
      <c r="RXO3" s="74"/>
      <c r="RXP3" s="74"/>
      <c r="RXQ3" s="74"/>
      <c r="RXR3" s="74"/>
      <c r="RXS3" s="74"/>
      <c r="RXT3" s="74"/>
      <c r="RXU3" s="74"/>
      <c r="RXV3" s="74"/>
      <c r="RXW3" s="74"/>
      <c r="RXX3" s="74"/>
      <c r="RXY3" s="74"/>
      <c r="RXZ3" s="74"/>
      <c r="RYA3" s="74"/>
      <c r="RYB3" s="74"/>
      <c r="RYC3" s="74"/>
      <c r="RYD3" s="74"/>
      <c r="RYE3" s="74"/>
      <c r="RYF3" s="74"/>
      <c r="RYG3" s="74"/>
      <c r="RYH3" s="74"/>
      <c r="RYI3" s="74"/>
      <c r="RYJ3" s="74"/>
      <c r="RYK3" s="74"/>
      <c r="RYL3" s="74"/>
      <c r="RYM3" s="74"/>
      <c r="RYN3" s="74"/>
      <c r="RYO3" s="74"/>
      <c r="RYP3" s="74"/>
      <c r="RYQ3" s="74"/>
      <c r="RYR3" s="74"/>
      <c r="RYS3" s="74"/>
      <c r="RYT3" s="74"/>
      <c r="RYU3" s="74"/>
      <c r="RYV3" s="74"/>
      <c r="RYW3" s="74"/>
      <c r="RYX3" s="74"/>
      <c r="RYY3" s="74"/>
      <c r="RYZ3" s="74"/>
      <c r="RZA3" s="74"/>
      <c r="RZB3" s="74"/>
      <c r="RZC3" s="74"/>
      <c r="RZD3" s="74"/>
      <c r="RZE3" s="74"/>
      <c r="RZF3" s="74"/>
      <c r="RZG3" s="74"/>
      <c r="RZH3" s="74"/>
      <c r="RZI3" s="74"/>
      <c r="RZJ3" s="74"/>
      <c r="RZK3" s="74"/>
      <c r="RZL3" s="74"/>
      <c r="RZM3" s="74"/>
      <c r="RZN3" s="74"/>
      <c r="RZO3" s="74"/>
      <c r="RZP3" s="74"/>
      <c r="RZQ3" s="74"/>
      <c r="RZR3" s="74"/>
      <c r="RZS3" s="74"/>
      <c r="RZT3" s="74"/>
      <c r="RZU3" s="74"/>
      <c r="RZV3" s="74"/>
      <c r="RZW3" s="74"/>
      <c r="RZX3" s="74"/>
      <c r="RZY3" s="74"/>
      <c r="RZZ3" s="74"/>
      <c r="SAA3" s="74"/>
      <c r="SAB3" s="74"/>
      <c r="SAC3" s="74"/>
      <c r="SAD3" s="74"/>
      <c r="SAE3" s="74"/>
      <c r="SAF3" s="74"/>
      <c r="SAG3" s="74"/>
      <c r="SAH3" s="74"/>
      <c r="SAI3" s="74"/>
      <c r="SAJ3" s="74"/>
      <c r="SAK3" s="74"/>
      <c r="SAL3" s="74"/>
      <c r="SAM3" s="74"/>
      <c r="SAN3" s="74"/>
      <c r="SAO3" s="74"/>
      <c r="SAP3" s="74"/>
      <c r="SAQ3" s="74"/>
      <c r="SAR3" s="74"/>
      <c r="SAS3" s="74"/>
      <c r="SAT3" s="74"/>
      <c r="SAU3" s="74"/>
      <c r="SAV3" s="74"/>
      <c r="SAW3" s="74"/>
      <c r="SAX3" s="74"/>
      <c r="SAY3" s="74"/>
      <c r="SAZ3" s="74"/>
      <c r="SBA3" s="74"/>
      <c r="SBB3" s="74"/>
      <c r="SBC3" s="74"/>
      <c r="SBD3" s="74"/>
      <c r="SBE3" s="74"/>
      <c r="SBF3" s="74"/>
      <c r="SBG3" s="74"/>
      <c r="SBH3" s="74"/>
      <c r="SBI3" s="74"/>
      <c r="SBJ3" s="74"/>
      <c r="SBK3" s="74"/>
      <c r="SBL3" s="74"/>
      <c r="SBM3" s="74"/>
      <c r="SBN3" s="74"/>
      <c r="SBO3" s="74"/>
      <c r="SBP3" s="74"/>
      <c r="SBQ3" s="74"/>
      <c r="SBR3" s="74"/>
      <c r="SBS3" s="74"/>
      <c r="SBT3" s="74"/>
      <c r="SBU3" s="74"/>
      <c r="SBV3" s="74"/>
      <c r="SBW3" s="74"/>
      <c r="SBX3" s="74"/>
      <c r="SBY3" s="74"/>
      <c r="SBZ3" s="74"/>
      <c r="SCA3" s="74"/>
      <c r="SCB3" s="74"/>
      <c r="SCC3" s="74"/>
      <c r="SCD3" s="74"/>
      <c r="SCE3" s="74"/>
      <c r="SCF3" s="74"/>
      <c r="SCG3" s="74"/>
      <c r="SCH3" s="74"/>
      <c r="SCI3" s="74"/>
      <c r="SCJ3" s="74"/>
      <c r="SCK3" s="74"/>
      <c r="SCL3" s="74"/>
      <c r="SCM3" s="74"/>
      <c r="SCN3" s="74"/>
      <c r="SCO3" s="74"/>
      <c r="SCP3" s="74"/>
      <c r="SCQ3" s="74"/>
      <c r="SCR3" s="74"/>
      <c r="SCS3" s="74"/>
      <c r="SCT3" s="74"/>
      <c r="SCU3" s="74"/>
      <c r="SCV3" s="74"/>
      <c r="SCW3" s="74"/>
      <c r="SCX3" s="74"/>
      <c r="SCY3" s="74"/>
      <c r="SCZ3" s="74"/>
      <c r="SDA3" s="74"/>
      <c r="SDB3" s="74"/>
      <c r="SDC3" s="74"/>
      <c r="SDD3" s="74"/>
      <c r="SDE3" s="74"/>
      <c r="SDF3" s="74"/>
      <c r="SDG3" s="74"/>
      <c r="SDH3" s="74"/>
      <c r="SDI3" s="74"/>
      <c r="SDJ3" s="74"/>
      <c r="SDK3" s="74"/>
      <c r="SDL3" s="74"/>
      <c r="SDM3" s="74"/>
      <c r="SDN3" s="74"/>
      <c r="SDO3" s="74"/>
      <c r="SDP3" s="74"/>
      <c r="SDQ3" s="74"/>
      <c r="SDR3" s="74"/>
      <c r="SDS3" s="74"/>
      <c r="SDT3" s="74"/>
      <c r="SDU3" s="74"/>
      <c r="SDV3" s="74"/>
      <c r="SDW3" s="74"/>
      <c r="SDX3" s="74"/>
      <c r="SDY3" s="74"/>
      <c r="SDZ3" s="74"/>
      <c r="SEA3" s="74"/>
      <c r="SEB3" s="74"/>
      <c r="SEC3" s="74"/>
      <c r="SED3" s="74"/>
      <c r="SEE3" s="74"/>
      <c r="SEF3" s="74"/>
      <c r="SEG3" s="74"/>
      <c r="SEH3" s="74"/>
      <c r="SEI3" s="74"/>
      <c r="SEJ3" s="74"/>
      <c r="SEK3" s="74"/>
      <c r="SEL3" s="74"/>
      <c r="SEM3" s="74"/>
      <c r="SEN3" s="74"/>
      <c r="SEO3" s="74"/>
      <c r="SEP3" s="74"/>
      <c r="SEQ3" s="74"/>
      <c r="SER3" s="74"/>
      <c r="SES3" s="74"/>
      <c r="SET3" s="74"/>
      <c r="SEU3" s="74"/>
      <c r="SEV3" s="74"/>
      <c r="SEW3" s="74"/>
      <c r="SEX3" s="74"/>
      <c r="SEY3" s="74"/>
      <c r="SEZ3" s="74"/>
      <c r="SFA3" s="74"/>
      <c r="SFB3" s="74"/>
      <c r="SFC3" s="74"/>
      <c r="SFD3" s="74"/>
      <c r="SFE3" s="74"/>
      <c r="SFF3" s="74"/>
      <c r="SFG3" s="74"/>
      <c r="SFH3" s="74"/>
      <c r="SFI3" s="74"/>
      <c r="SFJ3" s="74"/>
      <c r="SFK3" s="74"/>
      <c r="SFL3" s="74"/>
      <c r="SFM3" s="74"/>
      <c r="SFN3" s="74"/>
      <c r="SFO3" s="74"/>
      <c r="SFP3" s="74"/>
      <c r="SFQ3" s="74"/>
      <c r="SFR3" s="74"/>
      <c r="SFS3" s="74"/>
      <c r="SFT3" s="74"/>
      <c r="SFU3" s="74"/>
      <c r="SFV3" s="74"/>
      <c r="SFW3" s="74"/>
      <c r="SFX3" s="74"/>
      <c r="SFY3" s="74"/>
      <c r="SFZ3" s="74"/>
      <c r="SGA3" s="74"/>
      <c r="SGB3" s="74"/>
      <c r="SGC3" s="74"/>
      <c r="SGD3" s="74"/>
      <c r="SGE3" s="74"/>
      <c r="SGF3" s="74"/>
      <c r="SGG3" s="74"/>
      <c r="SGH3" s="74"/>
      <c r="SGI3" s="74"/>
      <c r="SGJ3" s="74"/>
      <c r="SGK3" s="74"/>
      <c r="SGL3" s="74"/>
      <c r="SGM3" s="74"/>
      <c r="SGN3" s="74"/>
      <c r="SGO3" s="74"/>
      <c r="SGP3" s="74"/>
      <c r="SGQ3" s="74"/>
      <c r="SGR3" s="74"/>
      <c r="SGS3" s="74"/>
      <c r="SGT3" s="74"/>
      <c r="SGU3" s="74"/>
      <c r="SGV3" s="74"/>
      <c r="SGW3" s="74"/>
      <c r="SGX3" s="74"/>
      <c r="SGY3" s="74"/>
      <c r="SGZ3" s="74"/>
      <c r="SHA3" s="74"/>
      <c r="SHB3" s="74"/>
      <c r="SHC3" s="74"/>
      <c r="SHD3" s="74"/>
      <c r="SHE3" s="74"/>
      <c r="SHF3" s="74"/>
      <c r="SHG3" s="74"/>
      <c r="SHH3" s="74"/>
      <c r="SHI3" s="74"/>
      <c r="SHJ3" s="74"/>
      <c r="SHK3" s="74"/>
      <c r="SHL3" s="74"/>
      <c r="SHM3" s="74"/>
      <c r="SHN3" s="74"/>
      <c r="SHO3" s="74"/>
      <c r="SHP3" s="74"/>
      <c r="SHQ3" s="74"/>
      <c r="SHR3" s="74"/>
      <c r="SHS3" s="74"/>
      <c r="SHT3" s="74"/>
      <c r="SHU3" s="74"/>
      <c r="SHV3" s="74"/>
      <c r="SHW3" s="74"/>
      <c r="SHX3" s="74"/>
      <c r="SHY3" s="74"/>
      <c r="SHZ3" s="74"/>
      <c r="SIA3" s="74"/>
      <c r="SIB3" s="74"/>
      <c r="SIC3" s="74"/>
      <c r="SID3" s="74"/>
      <c r="SIE3" s="74"/>
      <c r="SIF3" s="74"/>
      <c r="SIG3" s="74"/>
      <c r="SIH3" s="74"/>
      <c r="SII3" s="74"/>
      <c r="SIJ3" s="74"/>
      <c r="SIK3" s="74"/>
      <c r="SIL3" s="74"/>
      <c r="SIM3" s="74"/>
      <c r="SIN3" s="74"/>
      <c r="SIO3" s="74"/>
      <c r="SIP3" s="74"/>
      <c r="SIQ3" s="74"/>
      <c r="SIR3" s="74"/>
      <c r="SIS3" s="74"/>
      <c r="SIT3" s="74"/>
      <c r="SIU3" s="74"/>
      <c r="SIV3" s="74"/>
      <c r="SIW3" s="74"/>
      <c r="SIX3" s="74"/>
      <c r="SIY3" s="74"/>
      <c r="SIZ3" s="74"/>
      <c r="SJA3" s="74"/>
      <c r="SJB3" s="74"/>
      <c r="SJC3" s="74"/>
      <c r="SJD3" s="74"/>
      <c r="SJE3" s="74"/>
      <c r="SJF3" s="74"/>
      <c r="SJG3" s="74"/>
      <c r="SJH3" s="74"/>
      <c r="SJI3" s="74"/>
      <c r="SJJ3" s="74"/>
      <c r="SJK3" s="74"/>
      <c r="SJL3" s="74"/>
      <c r="SJM3" s="74"/>
      <c r="SJN3" s="74"/>
      <c r="SJO3" s="74"/>
      <c r="SJP3" s="74"/>
      <c r="SJQ3" s="74"/>
      <c r="SJR3" s="74"/>
      <c r="SJS3" s="74"/>
      <c r="SJT3" s="74"/>
      <c r="SJU3" s="74"/>
      <c r="SJV3" s="74"/>
      <c r="SJW3" s="74"/>
      <c r="SJX3" s="74"/>
      <c r="SJY3" s="74"/>
      <c r="SJZ3" s="74"/>
      <c r="SKA3" s="74"/>
      <c r="SKB3" s="74"/>
      <c r="SKC3" s="74"/>
      <c r="SKD3" s="74"/>
      <c r="SKE3" s="74"/>
      <c r="SKF3" s="74"/>
      <c r="SKG3" s="74"/>
      <c r="SKH3" s="74"/>
      <c r="SKI3" s="74"/>
      <c r="SKJ3" s="74"/>
      <c r="SKK3" s="74"/>
      <c r="SKL3" s="74"/>
      <c r="SKM3" s="74"/>
      <c r="SKN3" s="74"/>
      <c r="SKO3" s="74"/>
      <c r="SKP3" s="74"/>
      <c r="SKQ3" s="74"/>
      <c r="SKR3" s="74"/>
      <c r="SKS3" s="74"/>
      <c r="SKT3" s="74"/>
      <c r="SKU3" s="74"/>
      <c r="SKV3" s="74"/>
      <c r="SKW3" s="74"/>
      <c r="SKX3" s="74"/>
      <c r="SKY3" s="74"/>
      <c r="SKZ3" s="74"/>
      <c r="SLA3" s="74"/>
      <c r="SLB3" s="74"/>
      <c r="SLC3" s="74"/>
      <c r="SLD3" s="74"/>
      <c r="SLE3" s="74"/>
      <c r="SLF3" s="74"/>
      <c r="SLG3" s="74"/>
      <c r="SLH3" s="74"/>
      <c r="SLI3" s="74"/>
      <c r="SLJ3" s="74"/>
      <c r="SLK3" s="74"/>
      <c r="SLL3" s="74"/>
      <c r="SLM3" s="74"/>
      <c r="SLN3" s="74"/>
      <c r="SLO3" s="74"/>
      <c r="SLP3" s="74"/>
      <c r="SLQ3" s="74"/>
      <c r="SLR3" s="74"/>
      <c r="SLS3" s="74"/>
      <c r="SLT3" s="74"/>
      <c r="SLU3" s="74"/>
      <c r="SLV3" s="74"/>
      <c r="SLW3" s="74"/>
      <c r="SLX3" s="74"/>
      <c r="SLY3" s="74"/>
      <c r="SLZ3" s="74"/>
      <c r="SMA3" s="74"/>
      <c r="SMB3" s="74"/>
      <c r="SMC3" s="74"/>
      <c r="SMD3" s="74"/>
      <c r="SME3" s="74"/>
      <c r="SMF3" s="74"/>
      <c r="SMG3" s="74"/>
      <c r="SMH3" s="74"/>
      <c r="SMI3" s="74"/>
      <c r="SMJ3" s="74"/>
      <c r="SMK3" s="74"/>
      <c r="SML3" s="74"/>
      <c r="SMM3" s="74"/>
      <c r="SMN3" s="74"/>
      <c r="SMO3" s="74"/>
      <c r="SMP3" s="74"/>
      <c r="SMQ3" s="74"/>
      <c r="SMR3" s="74"/>
      <c r="SMS3" s="74"/>
      <c r="SMT3" s="74"/>
      <c r="SMU3" s="74"/>
      <c r="SMV3" s="74"/>
      <c r="SMW3" s="74"/>
      <c r="SMX3" s="74"/>
      <c r="SMY3" s="74"/>
      <c r="SMZ3" s="74"/>
      <c r="SNA3" s="74"/>
      <c r="SNB3" s="74"/>
      <c r="SNC3" s="74"/>
      <c r="SND3" s="74"/>
      <c r="SNE3" s="74"/>
      <c r="SNF3" s="74"/>
      <c r="SNG3" s="74"/>
      <c r="SNH3" s="74"/>
      <c r="SNI3" s="74"/>
      <c r="SNJ3" s="74"/>
      <c r="SNK3" s="74"/>
      <c r="SNL3" s="74"/>
      <c r="SNM3" s="74"/>
      <c r="SNN3" s="74"/>
      <c r="SNO3" s="74"/>
      <c r="SNP3" s="74"/>
      <c r="SNQ3" s="74"/>
      <c r="SNR3" s="74"/>
      <c r="SNS3" s="74"/>
      <c r="SNT3" s="74"/>
      <c r="SNU3" s="74"/>
      <c r="SNV3" s="74"/>
      <c r="SNW3" s="74"/>
      <c r="SNX3" s="74"/>
      <c r="SNY3" s="74"/>
      <c r="SNZ3" s="74"/>
      <c r="SOA3" s="74"/>
      <c r="SOB3" s="74"/>
      <c r="SOC3" s="74"/>
      <c r="SOD3" s="74"/>
      <c r="SOE3" s="74"/>
      <c r="SOF3" s="74"/>
      <c r="SOG3" s="74"/>
      <c r="SOH3" s="74"/>
      <c r="SOI3" s="74"/>
      <c r="SOJ3" s="74"/>
      <c r="SOK3" s="74"/>
      <c r="SOL3" s="74"/>
      <c r="SOM3" s="74"/>
      <c r="SON3" s="74"/>
      <c r="SOO3" s="74"/>
      <c r="SOP3" s="74"/>
      <c r="SOQ3" s="74"/>
      <c r="SOR3" s="74"/>
      <c r="SOS3" s="74"/>
      <c r="SOT3" s="74"/>
      <c r="SOU3" s="74"/>
      <c r="SOV3" s="74"/>
      <c r="SOW3" s="74"/>
      <c r="SOX3" s="74"/>
      <c r="SOY3" s="74"/>
      <c r="SOZ3" s="74"/>
      <c r="SPA3" s="74"/>
      <c r="SPB3" s="74"/>
      <c r="SPC3" s="74"/>
      <c r="SPD3" s="74"/>
      <c r="SPE3" s="74"/>
      <c r="SPF3" s="74"/>
      <c r="SPG3" s="74"/>
      <c r="SPH3" s="74"/>
      <c r="SPI3" s="74"/>
      <c r="SPJ3" s="74"/>
      <c r="SPK3" s="74"/>
      <c r="SPL3" s="74"/>
      <c r="SPM3" s="74"/>
      <c r="SPN3" s="74"/>
      <c r="SPO3" s="74"/>
      <c r="SPP3" s="74"/>
      <c r="SPQ3" s="74"/>
      <c r="SPR3" s="74"/>
      <c r="SPS3" s="74"/>
      <c r="SPT3" s="74"/>
      <c r="SPU3" s="74"/>
      <c r="SPV3" s="74"/>
      <c r="SPW3" s="74"/>
      <c r="SPX3" s="74"/>
      <c r="SPY3" s="74"/>
      <c r="SPZ3" s="74"/>
      <c r="SQA3" s="74"/>
      <c r="SQB3" s="74"/>
      <c r="SQC3" s="74"/>
      <c r="SQD3" s="74"/>
      <c r="SQE3" s="74"/>
      <c r="SQF3" s="74"/>
      <c r="SQG3" s="74"/>
      <c r="SQH3" s="74"/>
      <c r="SQI3" s="74"/>
      <c r="SQJ3" s="74"/>
      <c r="SQK3" s="74"/>
      <c r="SQL3" s="74"/>
      <c r="SQM3" s="74"/>
      <c r="SQN3" s="74"/>
      <c r="SQO3" s="74"/>
      <c r="SQP3" s="74"/>
      <c r="SQQ3" s="74"/>
      <c r="SQR3" s="74"/>
      <c r="SQS3" s="74"/>
      <c r="SQT3" s="74"/>
      <c r="SQU3" s="74"/>
      <c r="SQV3" s="74"/>
      <c r="SQW3" s="74"/>
      <c r="SQX3" s="74"/>
      <c r="SQY3" s="74"/>
      <c r="SQZ3" s="74"/>
      <c r="SRA3" s="74"/>
      <c r="SRB3" s="74"/>
      <c r="SRC3" s="74"/>
      <c r="SRD3" s="74"/>
      <c r="SRE3" s="74"/>
      <c r="SRF3" s="74"/>
      <c r="SRG3" s="74"/>
      <c r="SRH3" s="74"/>
      <c r="SRI3" s="74"/>
      <c r="SRJ3" s="74"/>
      <c r="SRK3" s="74"/>
      <c r="SRL3" s="74"/>
      <c r="SRM3" s="74"/>
      <c r="SRN3" s="74"/>
      <c r="SRO3" s="74"/>
      <c r="SRP3" s="74"/>
      <c r="SRQ3" s="74"/>
      <c r="SRR3" s="74"/>
      <c r="SRS3" s="74"/>
      <c r="SRT3" s="74"/>
      <c r="SRU3" s="74"/>
      <c r="SRV3" s="74"/>
      <c r="SRW3" s="74"/>
      <c r="SRX3" s="74"/>
      <c r="SRY3" s="74"/>
      <c r="SRZ3" s="74"/>
      <c r="SSA3" s="74"/>
      <c r="SSB3" s="74"/>
      <c r="SSC3" s="74"/>
      <c r="SSD3" s="74"/>
      <c r="SSE3" s="74"/>
      <c r="SSF3" s="74"/>
      <c r="SSG3" s="74"/>
      <c r="SSH3" s="74"/>
      <c r="SSI3" s="74"/>
      <c r="SSJ3" s="74"/>
      <c r="SSK3" s="74"/>
      <c r="SSL3" s="74"/>
      <c r="SSM3" s="74"/>
      <c r="SSN3" s="74"/>
      <c r="SSO3" s="74"/>
      <c r="SSP3" s="74"/>
      <c r="SSQ3" s="74"/>
      <c r="SSR3" s="74"/>
      <c r="SSS3" s="74"/>
      <c r="SST3" s="74"/>
      <c r="SSU3" s="74"/>
      <c r="SSV3" s="74"/>
      <c r="SSW3" s="74"/>
      <c r="SSX3" s="74"/>
      <c r="SSY3" s="74"/>
      <c r="SSZ3" s="74"/>
      <c r="STA3" s="74"/>
      <c r="STB3" s="74"/>
      <c r="STC3" s="74"/>
      <c r="STD3" s="74"/>
      <c r="STE3" s="74"/>
      <c r="STF3" s="74"/>
      <c r="STG3" s="74"/>
      <c r="STH3" s="74"/>
      <c r="STI3" s="74"/>
      <c r="STJ3" s="74"/>
      <c r="STK3" s="74"/>
      <c r="STL3" s="74"/>
      <c r="STM3" s="74"/>
      <c r="STN3" s="74"/>
      <c r="STO3" s="74"/>
      <c r="STP3" s="74"/>
      <c r="STQ3" s="74"/>
      <c r="STR3" s="74"/>
      <c r="STS3" s="74"/>
      <c r="STT3" s="74"/>
      <c r="STU3" s="74"/>
      <c r="STV3" s="74"/>
      <c r="STW3" s="74"/>
      <c r="STX3" s="74"/>
      <c r="STY3" s="74"/>
      <c r="STZ3" s="74"/>
      <c r="SUA3" s="74"/>
      <c r="SUB3" s="74"/>
      <c r="SUC3" s="74"/>
      <c r="SUD3" s="74"/>
      <c r="SUE3" s="74"/>
      <c r="SUF3" s="74"/>
      <c r="SUG3" s="74"/>
      <c r="SUH3" s="74"/>
      <c r="SUI3" s="74"/>
      <c r="SUJ3" s="74"/>
      <c r="SUK3" s="74"/>
      <c r="SUL3" s="74"/>
      <c r="SUM3" s="74"/>
      <c r="SUN3" s="74"/>
      <c r="SUO3" s="74"/>
      <c r="SUP3" s="74"/>
      <c r="SUQ3" s="74"/>
      <c r="SUR3" s="74"/>
      <c r="SUS3" s="74"/>
      <c r="SUT3" s="74"/>
      <c r="SUU3" s="74"/>
      <c r="SUV3" s="74"/>
      <c r="SUW3" s="74"/>
      <c r="SUX3" s="74"/>
      <c r="SUY3" s="74"/>
      <c r="SUZ3" s="74"/>
      <c r="SVA3" s="74"/>
      <c r="SVB3" s="74"/>
      <c r="SVC3" s="74"/>
      <c r="SVD3" s="74"/>
      <c r="SVE3" s="74"/>
      <c r="SVF3" s="74"/>
      <c r="SVG3" s="74"/>
      <c r="SVH3" s="74"/>
      <c r="SVI3" s="74"/>
      <c r="SVJ3" s="74"/>
      <c r="SVK3" s="74"/>
      <c r="SVL3" s="74"/>
      <c r="SVM3" s="74"/>
      <c r="SVN3" s="74"/>
      <c r="SVO3" s="74"/>
      <c r="SVP3" s="74"/>
      <c r="SVQ3" s="74"/>
      <c r="SVR3" s="74"/>
      <c r="SVS3" s="74"/>
      <c r="SVT3" s="74"/>
      <c r="SVU3" s="74"/>
      <c r="SVV3" s="74"/>
      <c r="SVW3" s="74"/>
      <c r="SVX3" s="74"/>
      <c r="SVY3" s="74"/>
      <c r="SVZ3" s="74"/>
      <c r="SWA3" s="74"/>
      <c r="SWB3" s="74"/>
      <c r="SWC3" s="74"/>
      <c r="SWD3" s="74"/>
      <c r="SWE3" s="74"/>
      <c r="SWF3" s="74"/>
      <c r="SWG3" s="74"/>
      <c r="SWH3" s="74"/>
      <c r="SWI3" s="74"/>
      <c r="SWJ3" s="74"/>
      <c r="SWK3" s="74"/>
      <c r="SWL3" s="74"/>
      <c r="SWM3" s="74"/>
      <c r="SWN3" s="74"/>
      <c r="SWO3" s="74"/>
      <c r="SWP3" s="74"/>
      <c r="SWQ3" s="74"/>
      <c r="SWR3" s="74"/>
      <c r="SWS3" s="74"/>
      <c r="SWT3" s="74"/>
      <c r="SWU3" s="74"/>
      <c r="SWV3" s="74"/>
      <c r="SWW3" s="74"/>
      <c r="SWX3" s="74"/>
      <c r="SWY3" s="74"/>
      <c r="SWZ3" s="74"/>
      <c r="SXA3" s="74"/>
      <c r="SXB3" s="74"/>
      <c r="SXC3" s="74"/>
      <c r="SXD3" s="74"/>
      <c r="SXE3" s="74"/>
      <c r="SXF3" s="74"/>
      <c r="SXG3" s="74"/>
      <c r="SXH3" s="74"/>
      <c r="SXI3" s="74"/>
      <c r="SXJ3" s="74"/>
      <c r="SXK3" s="74"/>
      <c r="SXL3" s="74"/>
      <c r="SXM3" s="74"/>
      <c r="SXN3" s="74"/>
      <c r="SXO3" s="74"/>
      <c r="SXP3" s="74"/>
      <c r="SXQ3" s="74"/>
      <c r="SXR3" s="74"/>
      <c r="SXS3" s="74"/>
      <c r="SXT3" s="74"/>
      <c r="SXU3" s="74"/>
      <c r="SXV3" s="74"/>
      <c r="SXW3" s="74"/>
      <c r="SXX3" s="74"/>
      <c r="SXY3" s="74"/>
      <c r="SXZ3" s="74"/>
      <c r="SYA3" s="74"/>
      <c r="SYB3" s="74"/>
      <c r="SYC3" s="74"/>
      <c r="SYD3" s="74"/>
      <c r="SYE3" s="74"/>
      <c r="SYF3" s="74"/>
      <c r="SYG3" s="74"/>
      <c r="SYH3" s="74"/>
      <c r="SYI3" s="74"/>
      <c r="SYJ3" s="74"/>
      <c r="SYK3" s="74"/>
      <c r="SYL3" s="74"/>
      <c r="SYM3" s="74"/>
      <c r="SYN3" s="74"/>
      <c r="SYO3" s="74"/>
      <c r="SYP3" s="74"/>
      <c r="SYQ3" s="74"/>
      <c r="SYR3" s="74"/>
      <c r="SYS3" s="74"/>
      <c r="SYT3" s="74"/>
      <c r="SYU3" s="74"/>
      <c r="SYV3" s="74"/>
      <c r="SYW3" s="74"/>
      <c r="SYX3" s="74"/>
      <c r="SYY3" s="74"/>
      <c r="SYZ3" s="74"/>
      <c r="SZA3" s="74"/>
      <c r="SZB3" s="74"/>
      <c r="SZC3" s="74"/>
      <c r="SZD3" s="74"/>
      <c r="SZE3" s="74"/>
      <c r="SZF3" s="74"/>
      <c r="SZG3" s="74"/>
      <c r="SZH3" s="74"/>
      <c r="SZI3" s="74"/>
      <c r="SZJ3" s="74"/>
      <c r="SZK3" s="74"/>
      <c r="SZL3" s="74"/>
      <c r="SZM3" s="74"/>
      <c r="SZN3" s="74"/>
      <c r="SZO3" s="74"/>
      <c r="SZP3" s="74"/>
      <c r="SZQ3" s="74"/>
      <c r="SZR3" s="74"/>
      <c r="SZS3" s="74"/>
      <c r="SZT3" s="74"/>
      <c r="SZU3" s="74"/>
      <c r="SZV3" s="74"/>
      <c r="SZW3" s="74"/>
      <c r="SZX3" s="74"/>
      <c r="SZY3" s="74"/>
      <c r="SZZ3" s="74"/>
      <c r="TAA3" s="74"/>
      <c r="TAB3" s="74"/>
      <c r="TAC3" s="74"/>
      <c r="TAD3" s="74"/>
      <c r="TAE3" s="74"/>
      <c r="TAF3" s="74"/>
      <c r="TAG3" s="74"/>
      <c r="TAH3" s="74"/>
      <c r="TAI3" s="74"/>
      <c r="TAJ3" s="74"/>
      <c r="TAK3" s="74"/>
      <c r="TAL3" s="74"/>
      <c r="TAM3" s="74"/>
      <c r="TAN3" s="74"/>
      <c r="TAO3" s="74"/>
      <c r="TAP3" s="74"/>
      <c r="TAQ3" s="74"/>
      <c r="TAR3" s="74"/>
      <c r="TAS3" s="74"/>
      <c r="TAT3" s="74"/>
      <c r="TAU3" s="74"/>
      <c r="TAV3" s="74"/>
      <c r="TAW3" s="74"/>
      <c r="TAX3" s="74"/>
      <c r="TAY3" s="74"/>
      <c r="TAZ3" s="74"/>
      <c r="TBA3" s="74"/>
      <c r="TBB3" s="74"/>
      <c r="TBC3" s="74"/>
      <c r="TBD3" s="74"/>
      <c r="TBE3" s="74"/>
      <c r="TBF3" s="74"/>
      <c r="TBG3" s="74"/>
      <c r="TBH3" s="74"/>
      <c r="TBI3" s="74"/>
      <c r="TBJ3" s="74"/>
      <c r="TBK3" s="74"/>
      <c r="TBL3" s="74"/>
      <c r="TBM3" s="74"/>
      <c r="TBN3" s="74"/>
      <c r="TBO3" s="74"/>
      <c r="TBP3" s="74"/>
      <c r="TBQ3" s="74"/>
      <c r="TBR3" s="74"/>
      <c r="TBS3" s="74"/>
      <c r="TBT3" s="74"/>
      <c r="TBU3" s="74"/>
      <c r="TBV3" s="74"/>
      <c r="TBW3" s="74"/>
      <c r="TBX3" s="74"/>
      <c r="TBY3" s="74"/>
      <c r="TBZ3" s="74"/>
      <c r="TCA3" s="74"/>
      <c r="TCB3" s="74"/>
      <c r="TCC3" s="74"/>
      <c r="TCD3" s="74"/>
      <c r="TCE3" s="74"/>
      <c r="TCF3" s="74"/>
      <c r="TCG3" s="74"/>
      <c r="TCH3" s="74"/>
      <c r="TCI3" s="74"/>
      <c r="TCJ3" s="74"/>
      <c r="TCK3" s="74"/>
      <c r="TCL3" s="74"/>
      <c r="TCM3" s="74"/>
      <c r="TCN3" s="74"/>
      <c r="TCO3" s="74"/>
      <c r="TCP3" s="74"/>
      <c r="TCQ3" s="74"/>
      <c r="TCR3" s="74"/>
      <c r="TCS3" s="74"/>
      <c r="TCT3" s="74"/>
      <c r="TCU3" s="74"/>
      <c r="TCV3" s="74"/>
      <c r="TCW3" s="74"/>
      <c r="TCX3" s="74"/>
      <c r="TCY3" s="74"/>
      <c r="TCZ3" s="74"/>
      <c r="TDA3" s="74"/>
      <c r="TDB3" s="74"/>
      <c r="TDC3" s="74"/>
      <c r="TDD3" s="74"/>
      <c r="TDE3" s="74"/>
      <c r="TDF3" s="74"/>
      <c r="TDG3" s="74"/>
      <c r="TDH3" s="74"/>
      <c r="TDI3" s="74"/>
      <c r="TDJ3" s="74"/>
      <c r="TDK3" s="74"/>
      <c r="TDL3" s="74"/>
      <c r="TDM3" s="74"/>
      <c r="TDN3" s="74"/>
      <c r="TDO3" s="74"/>
      <c r="TDP3" s="74"/>
      <c r="TDQ3" s="74"/>
      <c r="TDR3" s="74"/>
      <c r="TDS3" s="74"/>
      <c r="TDT3" s="74"/>
      <c r="TDU3" s="74"/>
      <c r="TDV3" s="74"/>
      <c r="TDW3" s="74"/>
      <c r="TDX3" s="74"/>
      <c r="TDY3" s="74"/>
      <c r="TDZ3" s="74"/>
      <c r="TEA3" s="74"/>
      <c r="TEB3" s="74"/>
      <c r="TEC3" s="74"/>
      <c r="TED3" s="74"/>
      <c r="TEE3" s="74"/>
      <c r="TEF3" s="74"/>
      <c r="TEG3" s="74"/>
      <c r="TEH3" s="74"/>
      <c r="TEI3" s="74"/>
      <c r="TEJ3" s="74"/>
      <c r="TEK3" s="74"/>
      <c r="TEL3" s="74"/>
      <c r="TEM3" s="74"/>
      <c r="TEN3" s="74"/>
      <c r="TEO3" s="74"/>
      <c r="TEP3" s="74"/>
      <c r="TEQ3" s="74"/>
      <c r="TER3" s="74"/>
      <c r="TES3" s="74"/>
      <c r="TET3" s="74"/>
      <c r="TEU3" s="74"/>
      <c r="TEV3" s="74"/>
      <c r="TEW3" s="74"/>
      <c r="TEX3" s="74"/>
      <c r="TEY3" s="74"/>
      <c r="TEZ3" s="74"/>
      <c r="TFA3" s="74"/>
      <c r="TFB3" s="74"/>
      <c r="TFC3" s="74"/>
      <c r="TFD3" s="74"/>
      <c r="TFE3" s="74"/>
      <c r="TFF3" s="74"/>
      <c r="TFG3" s="74"/>
      <c r="TFH3" s="74"/>
      <c r="TFI3" s="74"/>
      <c r="TFJ3" s="74"/>
      <c r="TFK3" s="74"/>
      <c r="TFL3" s="74"/>
      <c r="TFM3" s="74"/>
      <c r="TFN3" s="74"/>
      <c r="TFO3" s="74"/>
      <c r="TFP3" s="74"/>
      <c r="TFQ3" s="74"/>
      <c r="TFR3" s="74"/>
      <c r="TFS3" s="74"/>
      <c r="TFT3" s="74"/>
      <c r="TFU3" s="74"/>
      <c r="TFV3" s="74"/>
      <c r="TFW3" s="74"/>
      <c r="TFX3" s="74"/>
      <c r="TFY3" s="74"/>
      <c r="TFZ3" s="74"/>
      <c r="TGA3" s="74"/>
      <c r="TGB3" s="74"/>
      <c r="TGC3" s="74"/>
      <c r="TGD3" s="74"/>
      <c r="TGE3" s="74"/>
      <c r="TGF3" s="74"/>
      <c r="TGG3" s="74"/>
      <c r="TGH3" s="74"/>
      <c r="TGI3" s="74"/>
      <c r="TGJ3" s="74"/>
      <c r="TGK3" s="74"/>
      <c r="TGL3" s="74"/>
      <c r="TGM3" s="74"/>
      <c r="TGN3" s="74"/>
      <c r="TGO3" s="74"/>
      <c r="TGP3" s="74"/>
      <c r="TGQ3" s="74"/>
      <c r="TGR3" s="74"/>
      <c r="TGS3" s="74"/>
      <c r="TGT3" s="74"/>
      <c r="TGU3" s="74"/>
      <c r="TGV3" s="74"/>
      <c r="TGW3" s="74"/>
      <c r="TGX3" s="74"/>
      <c r="TGY3" s="74"/>
      <c r="TGZ3" s="74"/>
      <c r="THA3" s="74"/>
      <c r="THB3" s="74"/>
      <c r="THC3" s="74"/>
      <c r="THD3" s="74"/>
      <c r="THE3" s="74"/>
      <c r="THF3" s="74"/>
      <c r="THG3" s="74"/>
      <c r="THH3" s="74"/>
      <c r="THI3" s="74"/>
      <c r="THJ3" s="74"/>
      <c r="THK3" s="74"/>
      <c r="THL3" s="74"/>
      <c r="THM3" s="74"/>
      <c r="THN3" s="74"/>
      <c r="THO3" s="74"/>
      <c r="THP3" s="74"/>
      <c r="THQ3" s="74"/>
      <c r="THR3" s="74"/>
      <c r="THS3" s="74"/>
      <c r="THT3" s="74"/>
      <c r="THU3" s="74"/>
      <c r="THV3" s="74"/>
      <c r="THW3" s="74"/>
      <c r="THX3" s="74"/>
      <c r="THY3" s="74"/>
      <c r="THZ3" s="74"/>
      <c r="TIA3" s="74"/>
      <c r="TIB3" s="74"/>
      <c r="TIC3" s="74"/>
      <c r="TID3" s="74"/>
      <c r="TIE3" s="74"/>
      <c r="TIF3" s="74"/>
      <c r="TIG3" s="74"/>
      <c r="TIH3" s="74"/>
      <c r="TII3" s="74"/>
      <c r="TIJ3" s="74"/>
      <c r="TIK3" s="74"/>
      <c r="TIL3" s="74"/>
      <c r="TIM3" s="74"/>
      <c r="TIN3" s="74"/>
      <c r="TIO3" s="74"/>
      <c r="TIP3" s="74"/>
      <c r="TIQ3" s="74"/>
      <c r="TIR3" s="74"/>
      <c r="TIS3" s="74"/>
      <c r="TIT3" s="74"/>
      <c r="TIU3" s="74"/>
      <c r="TIV3" s="74"/>
      <c r="TIW3" s="74"/>
      <c r="TIX3" s="74"/>
      <c r="TIY3" s="74"/>
      <c r="TIZ3" s="74"/>
      <c r="TJA3" s="74"/>
      <c r="TJB3" s="74"/>
      <c r="TJC3" s="74"/>
      <c r="TJD3" s="74"/>
      <c r="TJE3" s="74"/>
      <c r="TJF3" s="74"/>
      <c r="TJG3" s="74"/>
      <c r="TJH3" s="74"/>
      <c r="TJI3" s="74"/>
      <c r="TJJ3" s="74"/>
      <c r="TJK3" s="74"/>
      <c r="TJL3" s="74"/>
      <c r="TJM3" s="74"/>
      <c r="TJN3" s="74"/>
      <c r="TJO3" s="74"/>
      <c r="TJP3" s="74"/>
      <c r="TJQ3" s="74"/>
      <c r="TJR3" s="74"/>
      <c r="TJS3" s="74"/>
      <c r="TJT3" s="74"/>
      <c r="TJU3" s="74"/>
      <c r="TJV3" s="74"/>
      <c r="TJW3" s="74"/>
      <c r="TJX3" s="74"/>
      <c r="TJY3" s="74"/>
      <c r="TJZ3" s="74"/>
      <c r="TKA3" s="74"/>
      <c r="TKB3" s="74"/>
      <c r="TKC3" s="74"/>
      <c r="TKD3" s="74"/>
      <c r="TKE3" s="74"/>
      <c r="TKF3" s="74"/>
      <c r="TKG3" s="74"/>
      <c r="TKH3" s="74"/>
      <c r="TKI3" s="74"/>
      <c r="TKJ3" s="74"/>
      <c r="TKK3" s="74"/>
      <c r="TKL3" s="74"/>
      <c r="TKM3" s="74"/>
      <c r="TKN3" s="74"/>
      <c r="TKO3" s="74"/>
      <c r="TKP3" s="74"/>
      <c r="TKQ3" s="74"/>
      <c r="TKR3" s="74"/>
      <c r="TKS3" s="74"/>
      <c r="TKT3" s="74"/>
      <c r="TKU3" s="74"/>
      <c r="TKV3" s="74"/>
      <c r="TKW3" s="74"/>
      <c r="TKX3" s="74"/>
      <c r="TKY3" s="74"/>
      <c r="TKZ3" s="74"/>
      <c r="TLA3" s="74"/>
      <c r="TLB3" s="74"/>
      <c r="TLC3" s="74"/>
      <c r="TLD3" s="74"/>
      <c r="TLE3" s="74"/>
      <c r="TLF3" s="74"/>
      <c r="TLG3" s="74"/>
      <c r="TLH3" s="74"/>
      <c r="TLI3" s="74"/>
      <c r="TLJ3" s="74"/>
      <c r="TLK3" s="74"/>
      <c r="TLL3" s="74"/>
      <c r="TLM3" s="74"/>
      <c r="TLN3" s="74"/>
      <c r="TLO3" s="74"/>
      <c r="TLP3" s="74"/>
      <c r="TLQ3" s="74"/>
      <c r="TLR3" s="74"/>
      <c r="TLS3" s="74"/>
      <c r="TLT3" s="74"/>
      <c r="TLU3" s="74"/>
      <c r="TLV3" s="74"/>
      <c r="TLW3" s="74"/>
      <c r="TLX3" s="74"/>
      <c r="TLY3" s="74"/>
      <c r="TLZ3" s="74"/>
      <c r="TMA3" s="74"/>
      <c r="TMB3" s="74"/>
      <c r="TMC3" s="74"/>
      <c r="TMD3" s="74"/>
      <c r="TME3" s="74"/>
      <c r="TMF3" s="74"/>
      <c r="TMG3" s="74"/>
      <c r="TMH3" s="74"/>
      <c r="TMI3" s="74"/>
      <c r="TMJ3" s="74"/>
      <c r="TMK3" s="74"/>
      <c r="TML3" s="74"/>
      <c r="TMM3" s="74"/>
      <c r="TMN3" s="74"/>
      <c r="TMO3" s="74"/>
      <c r="TMP3" s="74"/>
      <c r="TMQ3" s="74"/>
      <c r="TMR3" s="74"/>
      <c r="TMS3" s="74"/>
      <c r="TMT3" s="74"/>
      <c r="TMU3" s="74"/>
      <c r="TMV3" s="74"/>
      <c r="TMW3" s="74"/>
      <c r="TMX3" s="74"/>
      <c r="TMY3" s="74"/>
      <c r="TMZ3" s="74"/>
      <c r="TNA3" s="74"/>
      <c r="TNB3" s="74"/>
      <c r="TNC3" s="74"/>
      <c r="TND3" s="74"/>
      <c r="TNE3" s="74"/>
      <c r="TNF3" s="74"/>
      <c r="TNG3" s="74"/>
      <c r="TNH3" s="74"/>
      <c r="TNI3" s="74"/>
      <c r="TNJ3" s="74"/>
      <c r="TNK3" s="74"/>
      <c r="TNL3" s="74"/>
      <c r="TNM3" s="74"/>
      <c r="TNN3" s="74"/>
      <c r="TNO3" s="74"/>
      <c r="TNP3" s="74"/>
      <c r="TNQ3" s="74"/>
      <c r="TNR3" s="74"/>
      <c r="TNS3" s="74"/>
      <c r="TNT3" s="74"/>
      <c r="TNU3" s="74"/>
      <c r="TNV3" s="74"/>
      <c r="TNW3" s="74"/>
      <c r="TNX3" s="74"/>
      <c r="TNY3" s="74"/>
      <c r="TNZ3" s="74"/>
      <c r="TOA3" s="74"/>
      <c r="TOB3" s="74"/>
      <c r="TOC3" s="74"/>
      <c r="TOD3" s="74"/>
      <c r="TOE3" s="74"/>
      <c r="TOF3" s="74"/>
      <c r="TOG3" s="74"/>
      <c r="TOH3" s="74"/>
      <c r="TOI3" s="74"/>
      <c r="TOJ3" s="74"/>
      <c r="TOK3" s="74"/>
      <c r="TOL3" s="74"/>
      <c r="TOM3" s="74"/>
      <c r="TON3" s="74"/>
      <c r="TOO3" s="74"/>
      <c r="TOP3" s="74"/>
      <c r="TOQ3" s="74"/>
      <c r="TOR3" s="74"/>
      <c r="TOS3" s="74"/>
      <c r="TOT3" s="74"/>
      <c r="TOU3" s="74"/>
      <c r="TOV3" s="74"/>
      <c r="TOW3" s="74"/>
      <c r="TOX3" s="74"/>
      <c r="TOY3" s="74"/>
      <c r="TOZ3" s="74"/>
      <c r="TPA3" s="74"/>
      <c r="TPB3" s="74"/>
      <c r="TPC3" s="74"/>
      <c r="TPD3" s="74"/>
      <c r="TPE3" s="74"/>
      <c r="TPF3" s="74"/>
      <c r="TPG3" s="74"/>
      <c r="TPH3" s="74"/>
      <c r="TPI3" s="74"/>
      <c r="TPJ3" s="74"/>
      <c r="TPK3" s="74"/>
      <c r="TPL3" s="74"/>
      <c r="TPM3" s="74"/>
      <c r="TPN3" s="74"/>
      <c r="TPO3" s="74"/>
      <c r="TPP3" s="74"/>
      <c r="TPQ3" s="74"/>
      <c r="TPR3" s="74"/>
      <c r="TPS3" s="74"/>
      <c r="TPT3" s="74"/>
      <c r="TPU3" s="74"/>
      <c r="TPV3" s="74"/>
      <c r="TPW3" s="74"/>
      <c r="TPX3" s="74"/>
      <c r="TPY3" s="74"/>
      <c r="TPZ3" s="74"/>
      <c r="TQA3" s="74"/>
      <c r="TQB3" s="74"/>
      <c r="TQC3" s="74"/>
      <c r="TQD3" s="74"/>
      <c r="TQE3" s="74"/>
      <c r="TQF3" s="74"/>
      <c r="TQG3" s="74"/>
      <c r="TQH3" s="74"/>
      <c r="TQI3" s="74"/>
      <c r="TQJ3" s="74"/>
      <c r="TQK3" s="74"/>
      <c r="TQL3" s="74"/>
      <c r="TQM3" s="74"/>
      <c r="TQN3" s="74"/>
      <c r="TQO3" s="74"/>
      <c r="TQP3" s="74"/>
      <c r="TQQ3" s="74"/>
      <c r="TQR3" s="74"/>
      <c r="TQS3" s="74"/>
      <c r="TQT3" s="74"/>
      <c r="TQU3" s="74"/>
      <c r="TQV3" s="74"/>
      <c r="TQW3" s="74"/>
      <c r="TQX3" s="74"/>
      <c r="TQY3" s="74"/>
      <c r="TQZ3" s="74"/>
      <c r="TRA3" s="74"/>
      <c r="TRB3" s="74"/>
      <c r="TRC3" s="74"/>
      <c r="TRD3" s="74"/>
      <c r="TRE3" s="74"/>
      <c r="TRF3" s="74"/>
      <c r="TRG3" s="74"/>
      <c r="TRH3" s="74"/>
      <c r="TRI3" s="74"/>
      <c r="TRJ3" s="74"/>
      <c r="TRK3" s="74"/>
      <c r="TRL3" s="74"/>
      <c r="TRM3" s="74"/>
      <c r="TRN3" s="74"/>
      <c r="TRO3" s="74"/>
      <c r="TRP3" s="74"/>
      <c r="TRQ3" s="74"/>
      <c r="TRR3" s="74"/>
      <c r="TRS3" s="74"/>
      <c r="TRT3" s="74"/>
      <c r="TRU3" s="74"/>
      <c r="TRV3" s="74"/>
      <c r="TRW3" s="74"/>
      <c r="TRX3" s="74"/>
      <c r="TRY3" s="74"/>
      <c r="TRZ3" s="74"/>
      <c r="TSA3" s="74"/>
      <c r="TSB3" s="74"/>
      <c r="TSC3" s="74"/>
      <c r="TSD3" s="74"/>
      <c r="TSE3" s="74"/>
      <c r="TSF3" s="74"/>
      <c r="TSG3" s="74"/>
      <c r="TSH3" s="74"/>
      <c r="TSI3" s="74"/>
      <c r="TSJ3" s="74"/>
      <c r="TSK3" s="74"/>
      <c r="TSL3" s="74"/>
      <c r="TSM3" s="74"/>
      <c r="TSN3" s="74"/>
      <c r="TSO3" s="74"/>
      <c r="TSP3" s="74"/>
      <c r="TSQ3" s="74"/>
      <c r="TSR3" s="74"/>
      <c r="TSS3" s="74"/>
      <c r="TST3" s="74"/>
      <c r="TSU3" s="74"/>
      <c r="TSV3" s="74"/>
      <c r="TSW3" s="74"/>
      <c r="TSX3" s="74"/>
      <c r="TSY3" s="74"/>
      <c r="TSZ3" s="74"/>
      <c r="TTA3" s="74"/>
      <c r="TTB3" s="74"/>
      <c r="TTC3" s="74"/>
      <c r="TTD3" s="74"/>
      <c r="TTE3" s="74"/>
      <c r="TTF3" s="74"/>
      <c r="TTG3" s="74"/>
      <c r="TTH3" s="74"/>
      <c r="TTI3" s="74"/>
      <c r="TTJ3" s="74"/>
      <c r="TTK3" s="74"/>
      <c r="TTL3" s="74"/>
      <c r="TTM3" s="74"/>
      <c r="TTN3" s="74"/>
      <c r="TTO3" s="74"/>
      <c r="TTP3" s="74"/>
      <c r="TTQ3" s="74"/>
      <c r="TTR3" s="74"/>
      <c r="TTS3" s="74"/>
      <c r="TTT3" s="74"/>
      <c r="TTU3" s="74"/>
      <c r="TTV3" s="74"/>
      <c r="TTW3" s="74"/>
      <c r="TTX3" s="74"/>
      <c r="TTY3" s="74"/>
      <c r="TTZ3" s="74"/>
      <c r="TUA3" s="74"/>
      <c r="TUB3" s="74"/>
      <c r="TUC3" s="74"/>
      <c r="TUD3" s="74"/>
      <c r="TUE3" s="74"/>
      <c r="TUF3" s="74"/>
      <c r="TUG3" s="74"/>
      <c r="TUH3" s="74"/>
      <c r="TUI3" s="74"/>
      <c r="TUJ3" s="74"/>
      <c r="TUK3" s="74"/>
      <c r="TUL3" s="74"/>
      <c r="TUM3" s="74"/>
      <c r="TUN3" s="74"/>
      <c r="TUO3" s="74"/>
      <c r="TUP3" s="74"/>
      <c r="TUQ3" s="74"/>
      <c r="TUR3" s="74"/>
      <c r="TUS3" s="74"/>
      <c r="TUT3" s="74"/>
      <c r="TUU3" s="74"/>
      <c r="TUV3" s="74"/>
      <c r="TUW3" s="74"/>
      <c r="TUX3" s="74"/>
      <c r="TUY3" s="74"/>
      <c r="TUZ3" s="74"/>
      <c r="TVA3" s="74"/>
      <c r="TVB3" s="74"/>
      <c r="TVC3" s="74"/>
      <c r="TVD3" s="74"/>
      <c r="TVE3" s="74"/>
      <c r="TVF3" s="74"/>
      <c r="TVG3" s="74"/>
      <c r="TVH3" s="74"/>
      <c r="TVI3" s="74"/>
      <c r="TVJ3" s="74"/>
      <c r="TVK3" s="74"/>
      <c r="TVL3" s="74"/>
      <c r="TVM3" s="74"/>
      <c r="TVN3" s="74"/>
      <c r="TVO3" s="74"/>
      <c r="TVP3" s="74"/>
      <c r="TVQ3" s="74"/>
      <c r="TVR3" s="74"/>
      <c r="TVS3" s="74"/>
      <c r="TVT3" s="74"/>
      <c r="TVU3" s="74"/>
      <c r="TVV3" s="74"/>
      <c r="TVW3" s="74"/>
      <c r="TVX3" s="74"/>
      <c r="TVY3" s="74"/>
      <c r="TVZ3" s="74"/>
      <c r="TWA3" s="74"/>
      <c r="TWB3" s="74"/>
      <c r="TWC3" s="74"/>
      <c r="TWD3" s="74"/>
      <c r="TWE3" s="74"/>
      <c r="TWF3" s="74"/>
      <c r="TWG3" s="74"/>
      <c r="TWH3" s="74"/>
      <c r="TWI3" s="74"/>
      <c r="TWJ3" s="74"/>
      <c r="TWK3" s="74"/>
      <c r="TWL3" s="74"/>
      <c r="TWM3" s="74"/>
      <c r="TWN3" s="74"/>
      <c r="TWO3" s="74"/>
      <c r="TWP3" s="74"/>
      <c r="TWQ3" s="74"/>
      <c r="TWR3" s="74"/>
      <c r="TWS3" s="74"/>
      <c r="TWT3" s="74"/>
      <c r="TWU3" s="74"/>
      <c r="TWV3" s="74"/>
      <c r="TWW3" s="74"/>
      <c r="TWX3" s="74"/>
      <c r="TWY3" s="74"/>
      <c r="TWZ3" s="74"/>
      <c r="TXA3" s="74"/>
      <c r="TXB3" s="74"/>
      <c r="TXC3" s="74"/>
      <c r="TXD3" s="74"/>
      <c r="TXE3" s="74"/>
      <c r="TXF3" s="74"/>
      <c r="TXG3" s="74"/>
      <c r="TXH3" s="74"/>
      <c r="TXI3" s="74"/>
      <c r="TXJ3" s="74"/>
      <c r="TXK3" s="74"/>
      <c r="TXL3" s="74"/>
      <c r="TXM3" s="74"/>
      <c r="TXN3" s="74"/>
      <c r="TXO3" s="74"/>
      <c r="TXP3" s="74"/>
      <c r="TXQ3" s="74"/>
      <c r="TXR3" s="74"/>
      <c r="TXS3" s="74"/>
      <c r="TXT3" s="74"/>
      <c r="TXU3" s="74"/>
      <c r="TXV3" s="74"/>
      <c r="TXW3" s="74"/>
      <c r="TXX3" s="74"/>
      <c r="TXY3" s="74"/>
      <c r="TXZ3" s="74"/>
      <c r="TYA3" s="74"/>
      <c r="TYB3" s="74"/>
      <c r="TYC3" s="74"/>
      <c r="TYD3" s="74"/>
      <c r="TYE3" s="74"/>
      <c r="TYF3" s="74"/>
      <c r="TYG3" s="74"/>
      <c r="TYH3" s="74"/>
      <c r="TYI3" s="74"/>
      <c r="TYJ3" s="74"/>
      <c r="TYK3" s="74"/>
      <c r="TYL3" s="74"/>
      <c r="TYM3" s="74"/>
      <c r="TYN3" s="74"/>
      <c r="TYO3" s="74"/>
      <c r="TYP3" s="74"/>
      <c r="TYQ3" s="74"/>
      <c r="TYR3" s="74"/>
      <c r="TYS3" s="74"/>
      <c r="TYT3" s="74"/>
      <c r="TYU3" s="74"/>
      <c r="TYV3" s="74"/>
      <c r="TYW3" s="74"/>
      <c r="TYX3" s="74"/>
      <c r="TYY3" s="74"/>
      <c r="TYZ3" s="74"/>
      <c r="TZA3" s="74"/>
      <c r="TZB3" s="74"/>
      <c r="TZC3" s="74"/>
      <c r="TZD3" s="74"/>
      <c r="TZE3" s="74"/>
      <c r="TZF3" s="74"/>
      <c r="TZG3" s="74"/>
      <c r="TZH3" s="74"/>
      <c r="TZI3" s="74"/>
      <c r="TZJ3" s="74"/>
      <c r="TZK3" s="74"/>
      <c r="TZL3" s="74"/>
      <c r="TZM3" s="74"/>
      <c r="TZN3" s="74"/>
      <c r="TZO3" s="74"/>
      <c r="TZP3" s="74"/>
      <c r="TZQ3" s="74"/>
      <c r="TZR3" s="74"/>
      <c r="TZS3" s="74"/>
      <c r="TZT3" s="74"/>
      <c r="TZU3" s="74"/>
      <c r="TZV3" s="74"/>
      <c r="TZW3" s="74"/>
      <c r="TZX3" s="74"/>
      <c r="TZY3" s="74"/>
      <c r="TZZ3" s="74"/>
      <c r="UAA3" s="74"/>
      <c r="UAB3" s="74"/>
      <c r="UAC3" s="74"/>
      <c r="UAD3" s="74"/>
      <c r="UAE3" s="74"/>
      <c r="UAF3" s="74"/>
      <c r="UAG3" s="74"/>
      <c r="UAH3" s="74"/>
      <c r="UAI3" s="74"/>
      <c r="UAJ3" s="74"/>
      <c r="UAK3" s="74"/>
      <c r="UAL3" s="74"/>
      <c r="UAM3" s="74"/>
      <c r="UAN3" s="74"/>
      <c r="UAO3" s="74"/>
      <c r="UAP3" s="74"/>
      <c r="UAQ3" s="74"/>
      <c r="UAR3" s="74"/>
      <c r="UAS3" s="74"/>
      <c r="UAT3" s="74"/>
      <c r="UAU3" s="74"/>
      <c r="UAV3" s="74"/>
      <c r="UAW3" s="74"/>
      <c r="UAX3" s="74"/>
      <c r="UAY3" s="74"/>
      <c r="UAZ3" s="74"/>
      <c r="UBA3" s="74"/>
      <c r="UBB3" s="74"/>
      <c r="UBC3" s="74"/>
      <c r="UBD3" s="74"/>
      <c r="UBE3" s="74"/>
      <c r="UBF3" s="74"/>
      <c r="UBG3" s="74"/>
      <c r="UBH3" s="74"/>
      <c r="UBI3" s="74"/>
      <c r="UBJ3" s="74"/>
      <c r="UBK3" s="74"/>
      <c r="UBL3" s="74"/>
      <c r="UBM3" s="74"/>
      <c r="UBN3" s="74"/>
      <c r="UBO3" s="74"/>
      <c r="UBP3" s="74"/>
      <c r="UBQ3" s="74"/>
      <c r="UBR3" s="74"/>
      <c r="UBS3" s="74"/>
      <c r="UBT3" s="74"/>
      <c r="UBU3" s="74"/>
      <c r="UBV3" s="74"/>
      <c r="UBW3" s="74"/>
      <c r="UBX3" s="74"/>
      <c r="UBY3" s="74"/>
      <c r="UBZ3" s="74"/>
      <c r="UCA3" s="74"/>
      <c r="UCB3" s="74"/>
      <c r="UCC3" s="74"/>
      <c r="UCD3" s="74"/>
      <c r="UCE3" s="74"/>
      <c r="UCF3" s="74"/>
      <c r="UCG3" s="74"/>
      <c r="UCH3" s="74"/>
      <c r="UCI3" s="74"/>
      <c r="UCJ3" s="74"/>
      <c r="UCK3" s="74"/>
      <c r="UCL3" s="74"/>
      <c r="UCM3" s="74"/>
      <c r="UCN3" s="74"/>
      <c r="UCO3" s="74"/>
      <c r="UCP3" s="74"/>
      <c r="UCQ3" s="74"/>
      <c r="UCR3" s="74"/>
      <c r="UCS3" s="74"/>
      <c r="UCT3" s="74"/>
      <c r="UCU3" s="74"/>
      <c r="UCV3" s="74"/>
      <c r="UCW3" s="74"/>
      <c r="UCX3" s="74"/>
      <c r="UCY3" s="74"/>
      <c r="UCZ3" s="74"/>
      <c r="UDA3" s="74"/>
      <c r="UDB3" s="74"/>
      <c r="UDC3" s="74"/>
      <c r="UDD3" s="74"/>
      <c r="UDE3" s="74"/>
      <c r="UDF3" s="74"/>
      <c r="UDG3" s="74"/>
      <c r="UDH3" s="74"/>
      <c r="UDI3" s="74"/>
      <c r="UDJ3" s="74"/>
      <c r="UDK3" s="74"/>
      <c r="UDL3" s="74"/>
      <c r="UDM3" s="74"/>
      <c r="UDN3" s="74"/>
      <c r="UDO3" s="74"/>
      <c r="UDP3" s="74"/>
      <c r="UDQ3" s="74"/>
      <c r="UDR3" s="74"/>
      <c r="UDS3" s="74"/>
      <c r="UDT3" s="74"/>
      <c r="UDU3" s="74"/>
      <c r="UDV3" s="74"/>
      <c r="UDW3" s="74"/>
      <c r="UDX3" s="74"/>
      <c r="UDY3" s="74"/>
      <c r="UDZ3" s="74"/>
      <c r="UEA3" s="74"/>
      <c r="UEB3" s="74"/>
      <c r="UEC3" s="74"/>
      <c r="UED3" s="74"/>
      <c r="UEE3" s="74"/>
      <c r="UEF3" s="74"/>
      <c r="UEG3" s="74"/>
      <c r="UEH3" s="74"/>
      <c r="UEI3" s="74"/>
      <c r="UEJ3" s="74"/>
      <c r="UEK3" s="74"/>
      <c r="UEL3" s="74"/>
      <c r="UEM3" s="74"/>
      <c r="UEN3" s="74"/>
      <c r="UEO3" s="74"/>
      <c r="UEP3" s="74"/>
      <c r="UEQ3" s="74"/>
      <c r="UER3" s="74"/>
      <c r="UES3" s="74"/>
      <c r="UET3" s="74"/>
      <c r="UEU3" s="74"/>
      <c r="UEV3" s="74"/>
      <c r="UEW3" s="74"/>
      <c r="UEX3" s="74"/>
      <c r="UEY3" s="74"/>
      <c r="UEZ3" s="74"/>
      <c r="UFA3" s="74"/>
      <c r="UFB3" s="74"/>
      <c r="UFC3" s="74"/>
      <c r="UFD3" s="74"/>
      <c r="UFE3" s="74"/>
      <c r="UFF3" s="74"/>
      <c r="UFG3" s="74"/>
      <c r="UFH3" s="74"/>
      <c r="UFI3" s="74"/>
      <c r="UFJ3" s="74"/>
      <c r="UFK3" s="74"/>
      <c r="UFL3" s="74"/>
      <c r="UFM3" s="74"/>
      <c r="UFN3" s="74"/>
      <c r="UFO3" s="74"/>
      <c r="UFP3" s="74"/>
      <c r="UFQ3" s="74"/>
      <c r="UFR3" s="74"/>
      <c r="UFS3" s="74"/>
      <c r="UFT3" s="74"/>
      <c r="UFU3" s="74"/>
      <c r="UFV3" s="74"/>
      <c r="UFW3" s="74"/>
      <c r="UFX3" s="74"/>
      <c r="UFY3" s="74"/>
      <c r="UFZ3" s="74"/>
      <c r="UGA3" s="74"/>
      <c r="UGB3" s="74"/>
      <c r="UGC3" s="74"/>
      <c r="UGD3" s="74"/>
      <c r="UGE3" s="74"/>
      <c r="UGF3" s="74"/>
      <c r="UGG3" s="74"/>
      <c r="UGH3" s="74"/>
      <c r="UGI3" s="74"/>
      <c r="UGJ3" s="74"/>
      <c r="UGK3" s="74"/>
      <c r="UGL3" s="74"/>
      <c r="UGM3" s="74"/>
      <c r="UGN3" s="74"/>
      <c r="UGO3" s="74"/>
      <c r="UGP3" s="74"/>
      <c r="UGQ3" s="74"/>
      <c r="UGR3" s="74"/>
      <c r="UGS3" s="74"/>
      <c r="UGT3" s="74"/>
      <c r="UGU3" s="74"/>
      <c r="UGV3" s="74"/>
      <c r="UGW3" s="74"/>
      <c r="UGX3" s="74"/>
      <c r="UGY3" s="74"/>
      <c r="UGZ3" s="74"/>
      <c r="UHA3" s="74"/>
      <c r="UHB3" s="74"/>
      <c r="UHC3" s="74"/>
      <c r="UHD3" s="74"/>
      <c r="UHE3" s="74"/>
      <c r="UHF3" s="74"/>
      <c r="UHG3" s="74"/>
      <c r="UHH3" s="74"/>
      <c r="UHI3" s="74"/>
      <c r="UHJ3" s="74"/>
      <c r="UHK3" s="74"/>
      <c r="UHL3" s="74"/>
      <c r="UHM3" s="74"/>
      <c r="UHN3" s="74"/>
      <c r="UHO3" s="74"/>
      <c r="UHP3" s="74"/>
      <c r="UHQ3" s="74"/>
      <c r="UHR3" s="74"/>
      <c r="UHS3" s="74"/>
      <c r="UHT3" s="74"/>
      <c r="UHU3" s="74"/>
      <c r="UHV3" s="74"/>
      <c r="UHW3" s="74"/>
      <c r="UHX3" s="74"/>
      <c r="UHY3" s="74"/>
      <c r="UHZ3" s="74"/>
      <c r="UIA3" s="74"/>
      <c r="UIB3" s="74"/>
      <c r="UIC3" s="74"/>
      <c r="UID3" s="74"/>
      <c r="UIE3" s="74"/>
      <c r="UIF3" s="74"/>
      <c r="UIG3" s="74"/>
      <c r="UIH3" s="74"/>
      <c r="UII3" s="74"/>
      <c r="UIJ3" s="74"/>
      <c r="UIK3" s="74"/>
      <c r="UIL3" s="74"/>
      <c r="UIM3" s="74"/>
      <c r="UIN3" s="74"/>
      <c r="UIO3" s="74"/>
      <c r="UIP3" s="74"/>
      <c r="UIQ3" s="74"/>
      <c r="UIR3" s="74"/>
      <c r="UIS3" s="74"/>
      <c r="UIT3" s="74"/>
      <c r="UIU3" s="74"/>
      <c r="UIV3" s="74"/>
      <c r="UIW3" s="74"/>
      <c r="UIX3" s="74"/>
      <c r="UIY3" s="74"/>
      <c r="UIZ3" s="74"/>
      <c r="UJA3" s="74"/>
      <c r="UJB3" s="74"/>
      <c r="UJC3" s="74"/>
      <c r="UJD3" s="74"/>
      <c r="UJE3" s="74"/>
      <c r="UJF3" s="74"/>
      <c r="UJG3" s="74"/>
      <c r="UJH3" s="74"/>
      <c r="UJI3" s="74"/>
      <c r="UJJ3" s="74"/>
      <c r="UJK3" s="74"/>
      <c r="UJL3" s="74"/>
      <c r="UJM3" s="74"/>
      <c r="UJN3" s="74"/>
      <c r="UJO3" s="74"/>
      <c r="UJP3" s="74"/>
      <c r="UJQ3" s="74"/>
      <c r="UJR3" s="74"/>
      <c r="UJS3" s="74"/>
      <c r="UJT3" s="74"/>
      <c r="UJU3" s="74"/>
      <c r="UJV3" s="74"/>
      <c r="UJW3" s="74"/>
      <c r="UJX3" s="74"/>
      <c r="UJY3" s="74"/>
      <c r="UJZ3" s="74"/>
      <c r="UKA3" s="74"/>
      <c r="UKB3" s="74"/>
      <c r="UKC3" s="74"/>
      <c r="UKD3" s="74"/>
      <c r="UKE3" s="74"/>
      <c r="UKF3" s="74"/>
      <c r="UKG3" s="74"/>
      <c r="UKH3" s="74"/>
      <c r="UKI3" s="74"/>
      <c r="UKJ3" s="74"/>
      <c r="UKK3" s="74"/>
      <c r="UKL3" s="74"/>
      <c r="UKM3" s="74"/>
      <c r="UKN3" s="74"/>
      <c r="UKO3" s="74"/>
      <c r="UKP3" s="74"/>
      <c r="UKQ3" s="74"/>
      <c r="UKR3" s="74"/>
      <c r="UKS3" s="74"/>
      <c r="UKT3" s="74"/>
      <c r="UKU3" s="74"/>
      <c r="UKV3" s="74"/>
      <c r="UKW3" s="74"/>
      <c r="UKX3" s="74"/>
      <c r="UKY3" s="74"/>
      <c r="UKZ3" s="74"/>
      <c r="ULA3" s="74"/>
      <c r="ULB3" s="74"/>
      <c r="ULC3" s="74"/>
      <c r="ULD3" s="74"/>
      <c r="ULE3" s="74"/>
      <c r="ULF3" s="74"/>
      <c r="ULG3" s="74"/>
      <c r="ULH3" s="74"/>
      <c r="ULI3" s="74"/>
      <c r="ULJ3" s="74"/>
      <c r="ULK3" s="74"/>
      <c r="ULL3" s="74"/>
      <c r="ULM3" s="74"/>
      <c r="ULN3" s="74"/>
      <c r="ULO3" s="74"/>
      <c r="ULP3" s="74"/>
      <c r="ULQ3" s="74"/>
      <c r="ULR3" s="74"/>
      <c r="ULS3" s="74"/>
      <c r="ULT3" s="74"/>
      <c r="ULU3" s="74"/>
      <c r="ULV3" s="74"/>
      <c r="ULW3" s="74"/>
      <c r="ULX3" s="74"/>
      <c r="ULY3" s="74"/>
      <c r="ULZ3" s="74"/>
      <c r="UMA3" s="74"/>
      <c r="UMB3" s="74"/>
      <c r="UMC3" s="74"/>
      <c r="UMD3" s="74"/>
      <c r="UME3" s="74"/>
      <c r="UMF3" s="74"/>
      <c r="UMG3" s="74"/>
      <c r="UMH3" s="74"/>
      <c r="UMI3" s="74"/>
      <c r="UMJ3" s="74"/>
      <c r="UMK3" s="74"/>
      <c r="UML3" s="74"/>
      <c r="UMM3" s="74"/>
      <c r="UMN3" s="74"/>
      <c r="UMO3" s="74"/>
      <c r="UMP3" s="74"/>
      <c r="UMQ3" s="74"/>
      <c r="UMR3" s="74"/>
      <c r="UMS3" s="74"/>
      <c r="UMT3" s="74"/>
      <c r="UMU3" s="74"/>
      <c r="UMV3" s="74"/>
      <c r="UMW3" s="74"/>
      <c r="UMX3" s="74"/>
      <c r="UMY3" s="74"/>
      <c r="UMZ3" s="74"/>
      <c r="UNA3" s="74"/>
      <c r="UNB3" s="74"/>
      <c r="UNC3" s="74"/>
      <c r="UND3" s="74"/>
      <c r="UNE3" s="74"/>
      <c r="UNF3" s="74"/>
      <c r="UNG3" s="74"/>
      <c r="UNH3" s="74"/>
      <c r="UNI3" s="74"/>
      <c r="UNJ3" s="74"/>
      <c r="UNK3" s="74"/>
      <c r="UNL3" s="74"/>
      <c r="UNM3" s="74"/>
      <c r="UNN3" s="74"/>
      <c r="UNO3" s="74"/>
      <c r="UNP3" s="74"/>
      <c r="UNQ3" s="74"/>
      <c r="UNR3" s="74"/>
      <c r="UNS3" s="74"/>
      <c r="UNT3" s="74"/>
      <c r="UNU3" s="74"/>
      <c r="UNV3" s="74"/>
      <c r="UNW3" s="74"/>
      <c r="UNX3" s="74"/>
      <c r="UNY3" s="74"/>
      <c r="UNZ3" s="74"/>
      <c r="UOA3" s="74"/>
      <c r="UOB3" s="74"/>
      <c r="UOC3" s="74"/>
      <c r="UOD3" s="74"/>
      <c r="UOE3" s="74"/>
      <c r="UOF3" s="74"/>
      <c r="UOG3" s="74"/>
      <c r="UOH3" s="74"/>
      <c r="UOI3" s="74"/>
      <c r="UOJ3" s="74"/>
      <c r="UOK3" s="74"/>
      <c r="UOL3" s="74"/>
      <c r="UOM3" s="74"/>
      <c r="UON3" s="74"/>
      <c r="UOO3" s="74"/>
      <c r="UOP3" s="74"/>
      <c r="UOQ3" s="74"/>
      <c r="UOR3" s="74"/>
      <c r="UOS3" s="74"/>
      <c r="UOT3" s="74"/>
      <c r="UOU3" s="74"/>
      <c r="UOV3" s="74"/>
      <c r="UOW3" s="74"/>
      <c r="UOX3" s="74"/>
      <c r="UOY3" s="74"/>
      <c r="UOZ3" s="74"/>
      <c r="UPA3" s="74"/>
      <c r="UPB3" s="74"/>
      <c r="UPC3" s="74"/>
      <c r="UPD3" s="74"/>
      <c r="UPE3" s="74"/>
      <c r="UPF3" s="74"/>
      <c r="UPG3" s="74"/>
      <c r="UPH3" s="74"/>
      <c r="UPI3" s="74"/>
      <c r="UPJ3" s="74"/>
      <c r="UPK3" s="74"/>
      <c r="UPL3" s="74"/>
      <c r="UPM3" s="74"/>
      <c r="UPN3" s="74"/>
      <c r="UPO3" s="74"/>
      <c r="UPP3" s="74"/>
      <c r="UPQ3" s="74"/>
      <c r="UPR3" s="74"/>
      <c r="UPS3" s="74"/>
      <c r="UPT3" s="74"/>
      <c r="UPU3" s="74"/>
      <c r="UPV3" s="74"/>
      <c r="UPW3" s="74"/>
      <c r="UPX3" s="74"/>
      <c r="UPY3" s="74"/>
      <c r="UPZ3" s="74"/>
      <c r="UQA3" s="74"/>
      <c r="UQB3" s="74"/>
      <c r="UQC3" s="74"/>
      <c r="UQD3" s="74"/>
      <c r="UQE3" s="74"/>
      <c r="UQF3" s="74"/>
      <c r="UQG3" s="74"/>
      <c r="UQH3" s="74"/>
      <c r="UQI3" s="74"/>
      <c r="UQJ3" s="74"/>
      <c r="UQK3" s="74"/>
      <c r="UQL3" s="74"/>
      <c r="UQM3" s="74"/>
      <c r="UQN3" s="74"/>
      <c r="UQO3" s="74"/>
      <c r="UQP3" s="74"/>
      <c r="UQQ3" s="74"/>
      <c r="UQR3" s="74"/>
      <c r="UQS3" s="74"/>
      <c r="UQT3" s="74"/>
      <c r="UQU3" s="74"/>
      <c r="UQV3" s="74"/>
      <c r="UQW3" s="74"/>
      <c r="UQX3" s="74"/>
      <c r="UQY3" s="74"/>
      <c r="UQZ3" s="74"/>
      <c r="URA3" s="74"/>
      <c r="URB3" s="74"/>
      <c r="URC3" s="74"/>
      <c r="URD3" s="74"/>
      <c r="URE3" s="74"/>
      <c r="URF3" s="74"/>
      <c r="URG3" s="74"/>
      <c r="URH3" s="74"/>
      <c r="URI3" s="74"/>
      <c r="URJ3" s="74"/>
      <c r="URK3" s="74"/>
      <c r="URL3" s="74"/>
      <c r="URM3" s="74"/>
      <c r="URN3" s="74"/>
      <c r="URO3" s="74"/>
      <c r="URP3" s="74"/>
      <c r="URQ3" s="74"/>
      <c r="URR3" s="74"/>
      <c r="URS3" s="74"/>
      <c r="URT3" s="74"/>
      <c r="URU3" s="74"/>
      <c r="URV3" s="74"/>
      <c r="URW3" s="74"/>
      <c r="URX3" s="74"/>
      <c r="URY3" s="74"/>
      <c r="URZ3" s="74"/>
      <c r="USA3" s="74"/>
      <c r="USB3" s="74"/>
      <c r="USC3" s="74"/>
      <c r="USD3" s="74"/>
      <c r="USE3" s="74"/>
      <c r="USF3" s="74"/>
      <c r="USG3" s="74"/>
      <c r="USH3" s="74"/>
      <c r="USI3" s="74"/>
      <c r="USJ3" s="74"/>
      <c r="USK3" s="74"/>
      <c r="USL3" s="74"/>
      <c r="USM3" s="74"/>
      <c r="USN3" s="74"/>
      <c r="USO3" s="74"/>
      <c r="USP3" s="74"/>
      <c r="USQ3" s="74"/>
      <c r="USR3" s="74"/>
      <c r="USS3" s="74"/>
      <c r="UST3" s="74"/>
      <c r="USU3" s="74"/>
      <c r="USV3" s="74"/>
      <c r="USW3" s="74"/>
      <c r="USX3" s="74"/>
      <c r="USY3" s="74"/>
      <c r="USZ3" s="74"/>
      <c r="UTA3" s="74"/>
      <c r="UTB3" s="74"/>
      <c r="UTC3" s="74"/>
      <c r="UTD3" s="74"/>
      <c r="UTE3" s="74"/>
      <c r="UTF3" s="74"/>
      <c r="UTG3" s="74"/>
      <c r="UTH3" s="74"/>
      <c r="UTI3" s="74"/>
      <c r="UTJ3" s="74"/>
      <c r="UTK3" s="74"/>
      <c r="UTL3" s="74"/>
      <c r="UTM3" s="74"/>
      <c r="UTN3" s="74"/>
      <c r="UTO3" s="74"/>
      <c r="UTP3" s="74"/>
      <c r="UTQ3" s="74"/>
      <c r="UTR3" s="74"/>
      <c r="UTS3" s="74"/>
      <c r="UTT3" s="74"/>
      <c r="UTU3" s="74"/>
      <c r="UTV3" s="74"/>
      <c r="UTW3" s="74"/>
      <c r="UTX3" s="74"/>
      <c r="UTY3" s="74"/>
      <c r="UTZ3" s="74"/>
      <c r="UUA3" s="74"/>
      <c r="UUB3" s="74"/>
      <c r="UUC3" s="74"/>
      <c r="UUD3" s="74"/>
      <c r="UUE3" s="74"/>
      <c r="UUF3" s="74"/>
      <c r="UUG3" s="74"/>
      <c r="UUH3" s="74"/>
      <c r="UUI3" s="74"/>
      <c r="UUJ3" s="74"/>
      <c r="UUK3" s="74"/>
      <c r="UUL3" s="74"/>
      <c r="UUM3" s="74"/>
      <c r="UUN3" s="74"/>
      <c r="UUO3" s="74"/>
      <c r="UUP3" s="74"/>
      <c r="UUQ3" s="74"/>
      <c r="UUR3" s="74"/>
      <c r="UUS3" s="74"/>
      <c r="UUT3" s="74"/>
      <c r="UUU3" s="74"/>
      <c r="UUV3" s="74"/>
      <c r="UUW3" s="74"/>
      <c r="UUX3" s="74"/>
      <c r="UUY3" s="74"/>
      <c r="UUZ3" s="74"/>
      <c r="UVA3" s="74"/>
      <c r="UVB3" s="74"/>
      <c r="UVC3" s="74"/>
      <c r="UVD3" s="74"/>
      <c r="UVE3" s="74"/>
      <c r="UVF3" s="74"/>
      <c r="UVG3" s="74"/>
      <c r="UVH3" s="74"/>
      <c r="UVI3" s="74"/>
      <c r="UVJ3" s="74"/>
      <c r="UVK3" s="74"/>
      <c r="UVL3" s="74"/>
      <c r="UVM3" s="74"/>
      <c r="UVN3" s="74"/>
      <c r="UVO3" s="74"/>
      <c r="UVP3" s="74"/>
      <c r="UVQ3" s="74"/>
      <c r="UVR3" s="74"/>
      <c r="UVS3" s="74"/>
      <c r="UVT3" s="74"/>
      <c r="UVU3" s="74"/>
      <c r="UVV3" s="74"/>
      <c r="UVW3" s="74"/>
      <c r="UVX3" s="74"/>
      <c r="UVY3" s="74"/>
      <c r="UVZ3" s="74"/>
      <c r="UWA3" s="74"/>
      <c r="UWB3" s="74"/>
      <c r="UWC3" s="74"/>
      <c r="UWD3" s="74"/>
      <c r="UWE3" s="74"/>
      <c r="UWF3" s="74"/>
      <c r="UWG3" s="74"/>
      <c r="UWH3" s="74"/>
      <c r="UWI3" s="74"/>
      <c r="UWJ3" s="74"/>
      <c r="UWK3" s="74"/>
      <c r="UWL3" s="74"/>
      <c r="UWM3" s="74"/>
      <c r="UWN3" s="74"/>
      <c r="UWO3" s="74"/>
      <c r="UWP3" s="74"/>
      <c r="UWQ3" s="74"/>
      <c r="UWR3" s="74"/>
      <c r="UWS3" s="74"/>
      <c r="UWT3" s="74"/>
      <c r="UWU3" s="74"/>
      <c r="UWV3" s="74"/>
      <c r="UWW3" s="74"/>
      <c r="UWX3" s="74"/>
      <c r="UWY3" s="74"/>
      <c r="UWZ3" s="74"/>
      <c r="UXA3" s="74"/>
      <c r="UXB3" s="74"/>
      <c r="UXC3" s="74"/>
      <c r="UXD3" s="74"/>
      <c r="UXE3" s="74"/>
      <c r="UXF3" s="74"/>
      <c r="UXG3" s="74"/>
      <c r="UXH3" s="74"/>
      <c r="UXI3" s="74"/>
      <c r="UXJ3" s="74"/>
      <c r="UXK3" s="74"/>
      <c r="UXL3" s="74"/>
      <c r="UXM3" s="74"/>
      <c r="UXN3" s="74"/>
      <c r="UXO3" s="74"/>
      <c r="UXP3" s="74"/>
      <c r="UXQ3" s="74"/>
      <c r="UXR3" s="74"/>
      <c r="UXS3" s="74"/>
      <c r="UXT3" s="74"/>
      <c r="UXU3" s="74"/>
      <c r="UXV3" s="74"/>
      <c r="UXW3" s="74"/>
      <c r="UXX3" s="74"/>
      <c r="UXY3" s="74"/>
      <c r="UXZ3" s="74"/>
      <c r="UYA3" s="74"/>
      <c r="UYB3" s="74"/>
      <c r="UYC3" s="74"/>
      <c r="UYD3" s="74"/>
      <c r="UYE3" s="74"/>
      <c r="UYF3" s="74"/>
      <c r="UYG3" s="74"/>
      <c r="UYH3" s="74"/>
      <c r="UYI3" s="74"/>
      <c r="UYJ3" s="74"/>
      <c r="UYK3" s="74"/>
      <c r="UYL3" s="74"/>
      <c r="UYM3" s="74"/>
      <c r="UYN3" s="74"/>
      <c r="UYO3" s="74"/>
      <c r="UYP3" s="74"/>
      <c r="UYQ3" s="74"/>
      <c r="UYR3" s="74"/>
      <c r="UYS3" s="74"/>
      <c r="UYT3" s="74"/>
      <c r="UYU3" s="74"/>
      <c r="UYV3" s="74"/>
      <c r="UYW3" s="74"/>
      <c r="UYX3" s="74"/>
      <c r="UYY3" s="74"/>
      <c r="UYZ3" s="74"/>
      <c r="UZA3" s="74"/>
      <c r="UZB3" s="74"/>
      <c r="UZC3" s="74"/>
      <c r="UZD3" s="74"/>
      <c r="UZE3" s="74"/>
      <c r="UZF3" s="74"/>
      <c r="UZG3" s="74"/>
      <c r="UZH3" s="74"/>
      <c r="UZI3" s="74"/>
      <c r="UZJ3" s="74"/>
      <c r="UZK3" s="74"/>
      <c r="UZL3" s="74"/>
      <c r="UZM3" s="74"/>
      <c r="UZN3" s="74"/>
      <c r="UZO3" s="74"/>
      <c r="UZP3" s="74"/>
      <c r="UZQ3" s="74"/>
      <c r="UZR3" s="74"/>
      <c r="UZS3" s="74"/>
      <c r="UZT3" s="74"/>
      <c r="UZU3" s="74"/>
      <c r="UZV3" s="74"/>
      <c r="UZW3" s="74"/>
      <c r="UZX3" s="74"/>
      <c r="UZY3" s="74"/>
      <c r="UZZ3" s="74"/>
      <c r="VAA3" s="74"/>
      <c r="VAB3" s="74"/>
      <c r="VAC3" s="74"/>
      <c r="VAD3" s="74"/>
      <c r="VAE3" s="74"/>
      <c r="VAF3" s="74"/>
      <c r="VAG3" s="74"/>
      <c r="VAH3" s="74"/>
      <c r="VAI3" s="74"/>
      <c r="VAJ3" s="74"/>
      <c r="VAK3" s="74"/>
      <c r="VAL3" s="74"/>
      <c r="VAM3" s="74"/>
      <c r="VAN3" s="74"/>
      <c r="VAO3" s="74"/>
      <c r="VAP3" s="74"/>
      <c r="VAQ3" s="74"/>
      <c r="VAR3" s="74"/>
      <c r="VAS3" s="74"/>
      <c r="VAT3" s="74"/>
      <c r="VAU3" s="74"/>
      <c r="VAV3" s="74"/>
      <c r="VAW3" s="74"/>
      <c r="VAX3" s="74"/>
      <c r="VAY3" s="74"/>
      <c r="VAZ3" s="74"/>
      <c r="VBA3" s="74"/>
      <c r="VBB3" s="74"/>
      <c r="VBC3" s="74"/>
      <c r="VBD3" s="74"/>
      <c r="VBE3" s="74"/>
      <c r="VBF3" s="74"/>
      <c r="VBG3" s="74"/>
      <c r="VBH3" s="74"/>
      <c r="VBI3" s="74"/>
      <c r="VBJ3" s="74"/>
      <c r="VBK3" s="74"/>
      <c r="VBL3" s="74"/>
      <c r="VBM3" s="74"/>
      <c r="VBN3" s="74"/>
      <c r="VBO3" s="74"/>
      <c r="VBP3" s="74"/>
      <c r="VBQ3" s="74"/>
      <c r="VBR3" s="74"/>
      <c r="VBS3" s="74"/>
      <c r="VBT3" s="74"/>
      <c r="VBU3" s="74"/>
      <c r="VBV3" s="74"/>
      <c r="VBW3" s="74"/>
      <c r="VBX3" s="74"/>
      <c r="VBY3" s="74"/>
      <c r="VBZ3" s="74"/>
      <c r="VCA3" s="74"/>
      <c r="VCB3" s="74"/>
      <c r="VCC3" s="74"/>
      <c r="VCD3" s="74"/>
      <c r="VCE3" s="74"/>
      <c r="VCF3" s="74"/>
      <c r="VCG3" s="74"/>
      <c r="VCH3" s="74"/>
      <c r="VCI3" s="74"/>
      <c r="VCJ3" s="74"/>
      <c r="VCK3" s="74"/>
      <c r="VCL3" s="74"/>
      <c r="VCM3" s="74"/>
      <c r="VCN3" s="74"/>
      <c r="VCO3" s="74"/>
      <c r="VCP3" s="74"/>
      <c r="VCQ3" s="74"/>
      <c r="VCR3" s="74"/>
      <c r="VCS3" s="74"/>
      <c r="VCT3" s="74"/>
      <c r="VCU3" s="74"/>
      <c r="VCV3" s="74"/>
      <c r="VCW3" s="74"/>
      <c r="VCX3" s="74"/>
      <c r="VCY3" s="74"/>
      <c r="VCZ3" s="74"/>
      <c r="VDA3" s="74"/>
      <c r="VDB3" s="74"/>
      <c r="VDC3" s="74"/>
      <c r="VDD3" s="74"/>
      <c r="VDE3" s="74"/>
      <c r="VDF3" s="74"/>
      <c r="VDG3" s="74"/>
      <c r="VDH3" s="74"/>
      <c r="VDI3" s="74"/>
      <c r="VDJ3" s="74"/>
      <c r="VDK3" s="74"/>
      <c r="VDL3" s="74"/>
      <c r="VDM3" s="74"/>
      <c r="VDN3" s="74"/>
      <c r="VDO3" s="74"/>
      <c r="VDP3" s="74"/>
      <c r="VDQ3" s="74"/>
      <c r="VDR3" s="74"/>
      <c r="VDS3" s="74"/>
      <c r="VDT3" s="74"/>
      <c r="VDU3" s="74"/>
      <c r="VDV3" s="74"/>
      <c r="VDW3" s="74"/>
      <c r="VDX3" s="74"/>
      <c r="VDY3" s="74"/>
      <c r="VDZ3" s="74"/>
      <c r="VEA3" s="74"/>
      <c r="VEB3" s="74"/>
      <c r="VEC3" s="74"/>
      <c r="VED3" s="74"/>
      <c r="VEE3" s="74"/>
      <c r="VEF3" s="74"/>
      <c r="VEG3" s="74"/>
      <c r="VEH3" s="74"/>
      <c r="VEI3" s="74"/>
      <c r="VEJ3" s="74"/>
      <c r="VEK3" s="74"/>
      <c r="VEL3" s="74"/>
      <c r="VEM3" s="74"/>
      <c r="VEN3" s="74"/>
      <c r="VEO3" s="74"/>
      <c r="VEP3" s="74"/>
      <c r="VEQ3" s="74"/>
      <c r="VER3" s="74"/>
      <c r="VES3" s="74"/>
      <c r="VET3" s="74"/>
      <c r="VEU3" s="74"/>
      <c r="VEV3" s="74"/>
      <c r="VEW3" s="74"/>
      <c r="VEX3" s="74"/>
      <c r="VEY3" s="74"/>
      <c r="VEZ3" s="74"/>
      <c r="VFA3" s="74"/>
      <c r="VFB3" s="74"/>
      <c r="VFC3" s="74"/>
      <c r="VFD3" s="74"/>
      <c r="VFE3" s="74"/>
      <c r="VFF3" s="74"/>
      <c r="VFG3" s="74"/>
      <c r="VFH3" s="74"/>
      <c r="VFI3" s="74"/>
      <c r="VFJ3" s="74"/>
      <c r="VFK3" s="74"/>
      <c r="VFL3" s="74"/>
      <c r="VFM3" s="74"/>
      <c r="VFN3" s="74"/>
      <c r="VFO3" s="74"/>
      <c r="VFP3" s="74"/>
      <c r="VFQ3" s="74"/>
      <c r="VFR3" s="74"/>
      <c r="VFS3" s="74"/>
      <c r="VFT3" s="74"/>
      <c r="VFU3" s="74"/>
      <c r="VFV3" s="74"/>
      <c r="VFW3" s="74"/>
      <c r="VFX3" s="74"/>
      <c r="VFY3" s="74"/>
      <c r="VFZ3" s="74"/>
      <c r="VGA3" s="74"/>
      <c r="VGB3" s="74"/>
      <c r="VGC3" s="74"/>
      <c r="VGD3" s="74"/>
      <c r="VGE3" s="74"/>
      <c r="VGF3" s="74"/>
      <c r="VGG3" s="74"/>
      <c r="VGH3" s="74"/>
      <c r="VGI3" s="74"/>
      <c r="VGJ3" s="74"/>
      <c r="VGK3" s="74"/>
      <c r="VGL3" s="74"/>
      <c r="VGM3" s="74"/>
      <c r="VGN3" s="74"/>
      <c r="VGO3" s="74"/>
      <c r="VGP3" s="74"/>
      <c r="VGQ3" s="74"/>
      <c r="VGR3" s="74"/>
      <c r="VGS3" s="74"/>
      <c r="VGT3" s="74"/>
      <c r="VGU3" s="74"/>
      <c r="VGV3" s="74"/>
      <c r="VGW3" s="74"/>
      <c r="VGX3" s="74"/>
      <c r="VGY3" s="74"/>
      <c r="VGZ3" s="74"/>
      <c r="VHA3" s="74"/>
      <c r="VHB3" s="74"/>
      <c r="VHC3" s="74"/>
      <c r="VHD3" s="74"/>
      <c r="VHE3" s="74"/>
      <c r="VHF3" s="74"/>
      <c r="VHG3" s="74"/>
      <c r="VHH3" s="74"/>
      <c r="VHI3" s="74"/>
      <c r="VHJ3" s="74"/>
      <c r="VHK3" s="74"/>
      <c r="VHL3" s="74"/>
      <c r="VHM3" s="74"/>
      <c r="VHN3" s="74"/>
      <c r="VHO3" s="74"/>
      <c r="VHP3" s="74"/>
      <c r="VHQ3" s="74"/>
      <c r="VHR3" s="74"/>
      <c r="VHS3" s="74"/>
      <c r="VHT3" s="74"/>
      <c r="VHU3" s="74"/>
      <c r="VHV3" s="74"/>
      <c r="VHW3" s="74"/>
      <c r="VHX3" s="74"/>
      <c r="VHY3" s="74"/>
      <c r="VHZ3" s="74"/>
      <c r="VIA3" s="74"/>
      <c r="VIB3" s="74"/>
      <c r="VIC3" s="74"/>
      <c r="VID3" s="74"/>
      <c r="VIE3" s="74"/>
      <c r="VIF3" s="74"/>
      <c r="VIG3" s="74"/>
      <c r="VIH3" s="74"/>
      <c r="VII3" s="74"/>
      <c r="VIJ3" s="74"/>
      <c r="VIK3" s="74"/>
      <c r="VIL3" s="74"/>
      <c r="VIM3" s="74"/>
      <c r="VIN3" s="74"/>
      <c r="VIO3" s="74"/>
      <c r="VIP3" s="74"/>
      <c r="VIQ3" s="74"/>
      <c r="VIR3" s="74"/>
      <c r="VIS3" s="74"/>
      <c r="VIT3" s="74"/>
      <c r="VIU3" s="74"/>
      <c r="VIV3" s="74"/>
      <c r="VIW3" s="74"/>
      <c r="VIX3" s="74"/>
      <c r="VIY3" s="74"/>
      <c r="VIZ3" s="74"/>
      <c r="VJA3" s="74"/>
      <c r="VJB3" s="74"/>
      <c r="VJC3" s="74"/>
      <c r="VJD3" s="74"/>
      <c r="VJE3" s="74"/>
      <c r="VJF3" s="74"/>
      <c r="VJG3" s="74"/>
      <c r="VJH3" s="74"/>
      <c r="VJI3" s="74"/>
      <c r="VJJ3" s="74"/>
      <c r="VJK3" s="74"/>
      <c r="VJL3" s="74"/>
      <c r="VJM3" s="74"/>
      <c r="VJN3" s="74"/>
      <c r="VJO3" s="74"/>
      <c r="VJP3" s="74"/>
      <c r="VJQ3" s="74"/>
      <c r="VJR3" s="74"/>
      <c r="VJS3" s="74"/>
      <c r="VJT3" s="74"/>
      <c r="VJU3" s="74"/>
      <c r="VJV3" s="74"/>
      <c r="VJW3" s="74"/>
      <c r="VJX3" s="74"/>
      <c r="VJY3" s="74"/>
      <c r="VJZ3" s="74"/>
      <c r="VKA3" s="74"/>
      <c r="VKB3" s="74"/>
      <c r="VKC3" s="74"/>
      <c r="VKD3" s="74"/>
      <c r="VKE3" s="74"/>
      <c r="VKF3" s="74"/>
      <c r="VKG3" s="74"/>
      <c r="VKH3" s="74"/>
      <c r="VKI3" s="74"/>
      <c r="VKJ3" s="74"/>
      <c r="VKK3" s="74"/>
      <c r="VKL3" s="74"/>
      <c r="VKM3" s="74"/>
      <c r="VKN3" s="74"/>
      <c r="VKO3" s="74"/>
      <c r="VKP3" s="74"/>
      <c r="VKQ3" s="74"/>
      <c r="VKR3" s="74"/>
      <c r="VKS3" s="74"/>
      <c r="VKT3" s="74"/>
      <c r="VKU3" s="74"/>
      <c r="VKV3" s="74"/>
      <c r="VKW3" s="74"/>
      <c r="VKX3" s="74"/>
      <c r="VKY3" s="74"/>
      <c r="VKZ3" s="74"/>
      <c r="VLA3" s="74"/>
      <c r="VLB3" s="74"/>
      <c r="VLC3" s="74"/>
      <c r="VLD3" s="74"/>
      <c r="VLE3" s="74"/>
      <c r="VLF3" s="74"/>
      <c r="VLG3" s="74"/>
      <c r="VLH3" s="74"/>
      <c r="VLI3" s="74"/>
      <c r="VLJ3" s="74"/>
      <c r="VLK3" s="74"/>
      <c r="VLL3" s="74"/>
      <c r="VLM3" s="74"/>
      <c r="VLN3" s="74"/>
      <c r="VLO3" s="74"/>
      <c r="VLP3" s="74"/>
      <c r="VLQ3" s="74"/>
      <c r="VLR3" s="74"/>
      <c r="VLS3" s="74"/>
      <c r="VLT3" s="74"/>
      <c r="VLU3" s="74"/>
      <c r="VLV3" s="74"/>
      <c r="VLW3" s="74"/>
      <c r="VLX3" s="74"/>
      <c r="VLY3" s="74"/>
      <c r="VLZ3" s="74"/>
      <c r="VMA3" s="74"/>
      <c r="VMB3" s="74"/>
      <c r="VMC3" s="74"/>
      <c r="VMD3" s="74"/>
      <c r="VME3" s="74"/>
      <c r="VMF3" s="74"/>
      <c r="VMG3" s="74"/>
      <c r="VMH3" s="74"/>
      <c r="VMI3" s="74"/>
      <c r="VMJ3" s="74"/>
      <c r="VMK3" s="74"/>
      <c r="VML3" s="74"/>
      <c r="VMM3" s="74"/>
      <c r="VMN3" s="74"/>
      <c r="VMO3" s="74"/>
      <c r="VMP3" s="74"/>
      <c r="VMQ3" s="74"/>
      <c r="VMR3" s="74"/>
      <c r="VMS3" s="74"/>
      <c r="VMT3" s="74"/>
      <c r="VMU3" s="74"/>
      <c r="VMV3" s="74"/>
      <c r="VMW3" s="74"/>
      <c r="VMX3" s="74"/>
      <c r="VMY3" s="74"/>
      <c r="VMZ3" s="74"/>
      <c r="VNA3" s="74"/>
      <c r="VNB3" s="74"/>
      <c r="VNC3" s="74"/>
      <c r="VND3" s="74"/>
      <c r="VNE3" s="74"/>
      <c r="VNF3" s="74"/>
      <c r="VNG3" s="74"/>
      <c r="VNH3" s="74"/>
      <c r="VNI3" s="74"/>
      <c r="VNJ3" s="74"/>
      <c r="VNK3" s="74"/>
      <c r="VNL3" s="74"/>
      <c r="VNM3" s="74"/>
      <c r="VNN3" s="74"/>
      <c r="VNO3" s="74"/>
      <c r="VNP3" s="74"/>
      <c r="VNQ3" s="74"/>
      <c r="VNR3" s="74"/>
      <c r="VNS3" s="74"/>
      <c r="VNT3" s="74"/>
      <c r="VNU3" s="74"/>
      <c r="VNV3" s="74"/>
      <c r="VNW3" s="74"/>
      <c r="VNX3" s="74"/>
      <c r="VNY3" s="74"/>
      <c r="VNZ3" s="74"/>
      <c r="VOA3" s="74"/>
      <c r="VOB3" s="74"/>
      <c r="VOC3" s="74"/>
      <c r="VOD3" s="74"/>
      <c r="VOE3" s="74"/>
      <c r="VOF3" s="74"/>
      <c r="VOG3" s="74"/>
      <c r="VOH3" s="74"/>
      <c r="VOI3" s="74"/>
      <c r="VOJ3" s="74"/>
      <c r="VOK3" s="74"/>
      <c r="VOL3" s="74"/>
      <c r="VOM3" s="74"/>
      <c r="VON3" s="74"/>
      <c r="VOO3" s="74"/>
      <c r="VOP3" s="74"/>
      <c r="VOQ3" s="74"/>
      <c r="VOR3" s="74"/>
      <c r="VOS3" s="74"/>
      <c r="VOT3" s="74"/>
      <c r="VOU3" s="74"/>
      <c r="VOV3" s="74"/>
      <c r="VOW3" s="74"/>
      <c r="VOX3" s="74"/>
      <c r="VOY3" s="74"/>
      <c r="VOZ3" s="74"/>
      <c r="VPA3" s="74"/>
      <c r="VPB3" s="74"/>
      <c r="VPC3" s="74"/>
      <c r="VPD3" s="74"/>
      <c r="VPE3" s="74"/>
      <c r="VPF3" s="74"/>
      <c r="VPG3" s="74"/>
      <c r="VPH3" s="74"/>
      <c r="VPI3" s="74"/>
      <c r="VPJ3" s="74"/>
      <c r="VPK3" s="74"/>
      <c r="VPL3" s="74"/>
      <c r="VPM3" s="74"/>
      <c r="VPN3" s="74"/>
      <c r="VPO3" s="74"/>
      <c r="VPP3" s="74"/>
      <c r="VPQ3" s="74"/>
      <c r="VPR3" s="74"/>
      <c r="VPS3" s="74"/>
      <c r="VPT3" s="74"/>
      <c r="VPU3" s="74"/>
      <c r="VPV3" s="74"/>
      <c r="VPW3" s="74"/>
      <c r="VPX3" s="74"/>
      <c r="VPY3" s="74"/>
      <c r="VPZ3" s="74"/>
      <c r="VQA3" s="74"/>
      <c r="VQB3" s="74"/>
      <c r="VQC3" s="74"/>
      <c r="VQD3" s="74"/>
      <c r="VQE3" s="74"/>
      <c r="VQF3" s="74"/>
      <c r="VQG3" s="74"/>
      <c r="VQH3" s="74"/>
      <c r="VQI3" s="74"/>
      <c r="VQJ3" s="74"/>
      <c r="VQK3" s="74"/>
      <c r="VQL3" s="74"/>
      <c r="VQM3" s="74"/>
      <c r="VQN3" s="74"/>
      <c r="VQO3" s="74"/>
      <c r="VQP3" s="74"/>
      <c r="VQQ3" s="74"/>
      <c r="VQR3" s="74"/>
      <c r="VQS3" s="74"/>
      <c r="VQT3" s="74"/>
      <c r="VQU3" s="74"/>
      <c r="VQV3" s="74"/>
      <c r="VQW3" s="74"/>
      <c r="VQX3" s="74"/>
      <c r="VQY3" s="74"/>
      <c r="VQZ3" s="74"/>
      <c r="VRA3" s="74"/>
      <c r="VRB3" s="74"/>
      <c r="VRC3" s="74"/>
      <c r="VRD3" s="74"/>
      <c r="VRE3" s="74"/>
      <c r="VRF3" s="74"/>
      <c r="VRG3" s="74"/>
      <c r="VRH3" s="74"/>
      <c r="VRI3" s="74"/>
      <c r="VRJ3" s="74"/>
      <c r="VRK3" s="74"/>
      <c r="VRL3" s="74"/>
      <c r="VRM3" s="74"/>
      <c r="VRN3" s="74"/>
      <c r="VRO3" s="74"/>
      <c r="VRP3" s="74"/>
      <c r="VRQ3" s="74"/>
      <c r="VRR3" s="74"/>
      <c r="VRS3" s="74"/>
      <c r="VRT3" s="74"/>
      <c r="VRU3" s="74"/>
      <c r="VRV3" s="74"/>
      <c r="VRW3" s="74"/>
      <c r="VRX3" s="74"/>
      <c r="VRY3" s="74"/>
      <c r="VRZ3" s="74"/>
      <c r="VSA3" s="74"/>
      <c r="VSB3" s="74"/>
      <c r="VSC3" s="74"/>
      <c r="VSD3" s="74"/>
      <c r="VSE3" s="74"/>
      <c r="VSF3" s="74"/>
      <c r="VSG3" s="74"/>
      <c r="VSH3" s="74"/>
      <c r="VSI3" s="74"/>
      <c r="VSJ3" s="74"/>
      <c r="VSK3" s="74"/>
      <c r="VSL3" s="74"/>
      <c r="VSM3" s="74"/>
      <c r="VSN3" s="74"/>
      <c r="VSO3" s="74"/>
      <c r="VSP3" s="74"/>
      <c r="VSQ3" s="74"/>
      <c r="VSR3" s="74"/>
      <c r="VSS3" s="74"/>
      <c r="VST3" s="74"/>
      <c r="VSU3" s="74"/>
      <c r="VSV3" s="74"/>
      <c r="VSW3" s="74"/>
      <c r="VSX3" s="74"/>
      <c r="VSY3" s="74"/>
      <c r="VSZ3" s="74"/>
      <c r="VTA3" s="74"/>
      <c r="VTB3" s="74"/>
      <c r="VTC3" s="74"/>
      <c r="VTD3" s="74"/>
      <c r="VTE3" s="74"/>
      <c r="VTF3" s="74"/>
      <c r="VTG3" s="74"/>
      <c r="VTH3" s="74"/>
      <c r="VTI3" s="74"/>
      <c r="VTJ3" s="74"/>
      <c r="VTK3" s="74"/>
      <c r="VTL3" s="74"/>
      <c r="VTM3" s="74"/>
      <c r="VTN3" s="74"/>
      <c r="VTO3" s="74"/>
      <c r="VTP3" s="74"/>
      <c r="VTQ3" s="74"/>
      <c r="VTR3" s="74"/>
      <c r="VTS3" s="74"/>
      <c r="VTT3" s="74"/>
      <c r="VTU3" s="74"/>
      <c r="VTV3" s="74"/>
      <c r="VTW3" s="74"/>
      <c r="VTX3" s="74"/>
      <c r="VTY3" s="74"/>
      <c r="VTZ3" s="74"/>
      <c r="VUA3" s="74"/>
      <c r="VUB3" s="74"/>
      <c r="VUC3" s="74"/>
      <c r="VUD3" s="74"/>
      <c r="VUE3" s="74"/>
      <c r="VUF3" s="74"/>
      <c r="VUG3" s="74"/>
      <c r="VUH3" s="74"/>
      <c r="VUI3" s="74"/>
      <c r="VUJ3" s="74"/>
      <c r="VUK3" s="74"/>
      <c r="VUL3" s="74"/>
      <c r="VUM3" s="74"/>
      <c r="VUN3" s="74"/>
      <c r="VUO3" s="74"/>
      <c r="VUP3" s="74"/>
      <c r="VUQ3" s="74"/>
      <c r="VUR3" s="74"/>
      <c r="VUS3" s="74"/>
      <c r="VUT3" s="74"/>
      <c r="VUU3" s="74"/>
      <c r="VUV3" s="74"/>
      <c r="VUW3" s="74"/>
      <c r="VUX3" s="74"/>
      <c r="VUY3" s="74"/>
      <c r="VUZ3" s="74"/>
      <c r="VVA3" s="74"/>
      <c r="VVB3" s="74"/>
      <c r="VVC3" s="74"/>
      <c r="VVD3" s="74"/>
      <c r="VVE3" s="74"/>
      <c r="VVF3" s="74"/>
      <c r="VVG3" s="74"/>
      <c r="VVH3" s="74"/>
      <c r="VVI3" s="74"/>
      <c r="VVJ3" s="74"/>
      <c r="VVK3" s="74"/>
      <c r="VVL3" s="74"/>
      <c r="VVM3" s="74"/>
      <c r="VVN3" s="74"/>
      <c r="VVO3" s="74"/>
      <c r="VVP3" s="74"/>
      <c r="VVQ3" s="74"/>
      <c r="VVR3" s="74"/>
      <c r="VVS3" s="74"/>
      <c r="VVT3" s="74"/>
      <c r="VVU3" s="74"/>
      <c r="VVV3" s="74"/>
      <c r="VVW3" s="74"/>
      <c r="VVX3" s="74"/>
      <c r="VVY3" s="74"/>
      <c r="VVZ3" s="74"/>
      <c r="VWA3" s="74"/>
      <c r="VWB3" s="74"/>
      <c r="VWC3" s="74"/>
      <c r="VWD3" s="74"/>
      <c r="VWE3" s="74"/>
      <c r="VWF3" s="74"/>
      <c r="VWG3" s="74"/>
      <c r="VWH3" s="74"/>
      <c r="VWI3" s="74"/>
      <c r="VWJ3" s="74"/>
      <c r="VWK3" s="74"/>
      <c r="VWL3" s="74"/>
      <c r="VWM3" s="74"/>
      <c r="VWN3" s="74"/>
      <c r="VWO3" s="74"/>
      <c r="VWP3" s="74"/>
      <c r="VWQ3" s="74"/>
      <c r="VWR3" s="74"/>
      <c r="VWS3" s="74"/>
      <c r="VWT3" s="74"/>
      <c r="VWU3" s="74"/>
      <c r="VWV3" s="74"/>
      <c r="VWW3" s="74"/>
      <c r="VWX3" s="74"/>
      <c r="VWY3" s="74"/>
      <c r="VWZ3" s="74"/>
      <c r="VXA3" s="74"/>
      <c r="VXB3" s="74"/>
      <c r="VXC3" s="74"/>
      <c r="VXD3" s="74"/>
      <c r="VXE3" s="74"/>
      <c r="VXF3" s="74"/>
      <c r="VXG3" s="74"/>
      <c r="VXH3" s="74"/>
      <c r="VXI3" s="74"/>
      <c r="VXJ3" s="74"/>
      <c r="VXK3" s="74"/>
      <c r="VXL3" s="74"/>
      <c r="VXM3" s="74"/>
      <c r="VXN3" s="74"/>
      <c r="VXO3" s="74"/>
      <c r="VXP3" s="74"/>
      <c r="VXQ3" s="74"/>
      <c r="VXR3" s="74"/>
      <c r="VXS3" s="74"/>
      <c r="VXT3" s="74"/>
      <c r="VXU3" s="74"/>
      <c r="VXV3" s="74"/>
      <c r="VXW3" s="74"/>
      <c r="VXX3" s="74"/>
      <c r="VXY3" s="74"/>
      <c r="VXZ3" s="74"/>
      <c r="VYA3" s="74"/>
      <c r="VYB3" s="74"/>
      <c r="VYC3" s="74"/>
      <c r="VYD3" s="74"/>
      <c r="VYE3" s="74"/>
      <c r="VYF3" s="74"/>
      <c r="VYG3" s="74"/>
      <c r="VYH3" s="74"/>
      <c r="VYI3" s="74"/>
      <c r="VYJ3" s="74"/>
      <c r="VYK3" s="74"/>
      <c r="VYL3" s="74"/>
      <c r="VYM3" s="74"/>
      <c r="VYN3" s="74"/>
      <c r="VYO3" s="74"/>
      <c r="VYP3" s="74"/>
      <c r="VYQ3" s="74"/>
      <c r="VYR3" s="74"/>
      <c r="VYS3" s="74"/>
      <c r="VYT3" s="74"/>
      <c r="VYU3" s="74"/>
      <c r="VYV3" s="74"/>
      <c r="VYW3" s="74"/>
      <c r="VYX3" s="74"/>
      <c r="VYY3" s="74"/>
      <c r="VYZ3" s="74"/>
      <c r="VZA3" s="74"/>
      <c r="VZB3" s="74"/>
      <c r="VZC3" s="74"/>
      <c r="VZD3" s="74"/>
      <c r="VZE3" s="74"/>
      <c r="VZF3" s="74"/>
      <c r="VZG3" s="74"/>
      <c r="VZH3" s="74"/>
      <c r="VZI3" s="74"/>
      <c r="VZJ3" s="74"/>
      <c r="VZK3" s="74"/>
      <c r="VZL3" s="74"/>
      <c r="VZM3" s="74"/>
      <c r="VZN3" s="74"/>
      <c r="VZO3" s="74"/>
      <c r="VZP3" s="74"/>
      <c r="VZQ3" s="74"/>
      <c r="VZR3" s="74"/>
      <c r="VZS3" s="74"/>
      <c r="VZT3" s="74"/>
      <c r="VZU3" s="74"/>
      <c r="VZV3" s="74"/>
      <c r="VZW3" s="74"/>
      <c r="VZX3" s="74"/>
      <c r="VZY3" s="74"/>
      <c r="VZZ3" s="74"/>
      <c r="WAA3" s="74"/>
      <c r="WAB3" s="74"/>
      <c r="WAC3" s="74"/>
      <c r="WAD3" s="74"/>
      <c r="WAE3" s="74"/>
      <c r="WAF3" s="74"/>
      <c r="WAG3" s="74"/>
      <c r="WAH3" s="74"/>
      <c r="WAI3" s="74"/>
      <c r="WAJ3" s="74"/>
      <c r="WAK3" s="74"/>
      <c r="WAL3" s="74"/>
      <c r="WAM3" s="74"/>
      <c r="WAN3" s="74"/>
      <c r="WAO3" s="74"/>
      <c r="WAP3" s="74"/>
      <c r="WAQ3" s="74"/>
      <c r="WAR3" s="74"/>
      <c r="WAS3" s="74"/>
      <c r="WAT3" s="74"/>
      <c r="WAU3" s="74"/>
      <c r="WAV3" s="74"/>
      <c r="WAW3" s="74"/>
      <c r="WAX3" s="74"/>
      <c r="WAY3" s="74"/>
      <c r="WAZ3" s="74"/>
      <c r="WBA3" s="74"/>
      <c r="WBB3" s="74"/>
      <c r="WBC3" s="74"/>
      <c r="WBD3" s="74"/>
      <c r="WBE3" s="74"/>
      <c r="WBF3" s="74"/>
      <c r="WBG3" s="74"/>
      <c r="WBH3" s="74"/>
      <c r="WBI3" s="74"/>
      <c r="WBJ3" s="74"/>
      <c r="WBK3" s="74"/>
      <c r="WBL3" s="74"/>
      <c r="WBM3" s="74"/>
      <c r="WBN3" s="74"/>
      <c r="WBO3" s="74"/>
      <c r="WBP3" s="74"/>
      <c r="WBQ3" s="74"/>
      <c r="WBR3" s="74"/>
      <c r="WBS3" s="74"/>
      <c r="WBT3" s="74"/>
      <c r="WBU3" s="74"/>
      <c r="WBV3" s="74"/>
      <c r="WBW3" s="74"/>
      <c r="WBX3" s="74"/>
      <c r="WBY3" s="74"/>
      <c r="WBZ3" s="74"/>
      <c r="WCA3" s="74"/>
      <c r="WCB3" s="74"/>
      <c r="WCC3" s="74"/>
      <c r="WCD3" s="74"/>
      <c r="WCE3" s="74"/>
      <c r="WCF3" s="74"/>
      <c r="WCG3" s="74"/>
      <c r="WCH3" s="74"/>
      <c r="WCI3" s="74"/>
      <c r="WCJ3" s="74"/>
      <c r="WCK3" s="74"/>
      <c r="WCL3" s="74"/>
      <c r="WCM3" s="74"/>
      <c r="WCN3" s="74"/>
      <c r="WCO3" s="74"/>
      <c r="WCP3" s="74"/>
      <c r="WCQ3" s="74"/>
      <c r="WCR3" s="74"/>
      <c r="WCS3" s="74"/>
      <c r="WCT3" s="74"/>
      <c r="WCU3" s="74"/>
      <c r="WCV3" s="74"/>
      <c r="WCW3" s="74"/>
      <c r="WCX3" s="74"/>
      <c r="WCY3" s="74"/>
      <c r="WCZ3" s="74"/>
      <c r="WDA3" s="74"/>
      <c r="WDB3" s="74"/>
      <c r="WDC3" s="74"/>
      <c r="WDD3" s="74"/>
      <c r="WDE3" s="74"/>
      <c r="WDF3" s="74"/>
      <c r="WDG3" s="74"/>
      <c r="WDH3" s="74"/>
      <c r="WDI3" s="74"/>
      <c r="WDJ3" s="74"/>
      <c r="WDK3" s="74"/>
      <c r="WDL3" s="74"/>
      <c r="WDM3" s="74"/>
      <c r="WDN3" s="74"/>
      <c r="WDO3" s="74"/>
      <c r="WDP3" s="74"/>
      <c r="WDQ3" s="74"/>
      <c r="WDR3" s="74"/>
      <c r="WDS3" s="74"/>
      <c r="WDT3" s="74"/>
      <c r="WDU3" s="74"/>
      <c r="WDV3" s="74"/>
      <c r="WDW3" s="74"/>
      <c r="WDX3" s="74"/>
      <c r="WDY3" s="74"/>
      <c r="WDZ3" s="74"/>
      <c r="WEA3" s="74"/>
      <c r="WEB3" s="74"/>
      <c r="WEC3" s="74"/>
      <c r="WED3" s="74"/>
      <c r="WEE3" s="74"/>
      <c r="WEF3" s="74"/>
      <c r="WEG3" s="74"/>
      <c r="WEH3" s="74"/>
      <c r="WEI3" s="74"/>
      <c r="WEJ3" s="74"/>
      <c r="WEK3" s="74"/>
      <c r="WEL3" s="74"/>
      <c r="WEM3" s="74"/>
      <c r="WEN3" s="74"/>
      <c r="WEO3" s="74"/>
      <c r="WEP3" s="74"/>
      <c r="WEQ3" s="74"/>
      <c r="WER3" s="74"/>
      <c r="WES3" s="74"/>
      <c r="WET3" s="74"/>
      <c r="WEU3" s="74"/>
      <c r="WEV3" s="74"/>
      <c r="WEW3" s="74"/>
      <c r="WEX3" s="74"/>
      <c r="WEY3" s="74"/>
      <c r="WEZ3" s="74"/>
      <c r="WFA3" s="74"/>
      <c r="WFB3" s="74"/>
      <c r="WFC3" s="74"/>
      <c r="WFD3" s="74"/>
      <c r="WFE3" s="74"/>
      <c r="WFF3" s="74"/>
      <c r="WFG3" s="74"/>
      <c r="WFH3" s="74"/>
      <c r="WFI3" s="74"/>
      <c r="WFJ3" s="74"/>
      <c r="WFK3" s="74"/>
      <c r="WFL3" s="74"/>
      <c r="WFM3" s="74"/>
      <c r="WFN3" s="74"/>
      <c r="WFO3" s="74"/>
      <c r="WFP3" s="74"/>
      <c r="WFQ3" s="74"/>
      <c r="WFR3" s="74"/>
      <c r="WFS3" s="74"/>
      <c r="WFT3" s="74"/>
      <c r="WFU3" s="74"/>
      <c r="WFV3" s="74"/>
      <c r="WFW3" s="74"/>
      <c r="WFX3" s="74"/>
      <c r="WFY3" s="74"/>
      <c r="WFZ3" s="74"/>
      <c r="WGA3" s="74"/>
      <c r="WGB3" s="74"/>
      <c r="WGC3" s="74"/>
      <c r="WGD3" s="74"/>
      <c r="WGE3" s="74"/>
      <c r="WGF3" s="74"/>
      <c r="WGG3" s="74"/>
      <c r="WGH3" s="74"/>
      <c r="WGI3" s="74"/>
      <c r="WGJ3" s="74"/>
      <c r="WGK3" s="74"/>
      <c r="WGL3" s="74"/>
      <c r="WGM3" s="74"/>
      <c r="WGN3" s="74"/>
      <c r="WGO3" s="74"/>
      <c r="WGP3" s="74"/>
      <c r="WGQ3" s="74"/>
      <c r="WGR3" s="74"/>
      <c r="WGS3" s="74"/>
      <c r="WGT3" s="74"/>
      <c r="WGU3" s="74"/>
      <c r="WGV3" s="74"/>
      <c r="WGW3" s="74"/>
      <c r="WGX3" s="74"/>
      <c r="WGY3" s="74"/>
      <c r="WGZ3" s="74"/>
      <c r="WHA3" s="74"/>
      <c r="WHB3" s="74"/>
      <c r="WHC3" s="74"/>
      <c r="WHD3" s="74"/>
      <c r="WHE3" s="74"/>
      <c r="WHF3" s="74"/>
      <c r="WHG3" s="74"/>
      <c r="WHH3" s="74"/>
      <c r="WHI3" s="74"/>
      <c r="WHJ3" s="74"/>
      <c r="WHK3" s="74"/>
      <c r="WHL3" s="74"/>
      <c r="WHM3" s="74"/>
      <c r="WHN3" s="74"/>
      <c r="WHO3" s="74"/>
      <c r="WHP3" s="74"/>
      <c r="WHQ3" s="74"/>
      <c r="WHR3" s="74"/>
      <c r="WHS3" s="74"/>
      <c r="WHT3" s="74"/>
      <c r="WHU3" s="74"/>
      <c r="WHV3" s="74"/>
      <c r="WHW3" s="74"/>
      <c r="WHX3" s="74"/>
      <c r="WHY3" s="74"/>
      <c r="WHZ3" s="74"/>
      <c r="WIA3" s="74"/>
      <c r="WIB3" s="74"/>
      <c r="WIC3" s="74"/>
      <c r="WID3" s="74"/>
      <c r="WIE3" s="74"/>
      <c r="WIF3" s="74"/>
      <c r="WIG3" s="74"/>
      <c r="WIH3" s="74"/>
      <c r="WII3" s="74"/>
      <c r="WIJ3" s="74"/>
      <c r="WIK3" s="74"/>
      <c r="WIL3" s="74"/>
      <c r="WIM3" s="74"/>
      <c r="WIN3" s="74"/>
      <c r="WIO3" s="74"/>
      <c r="WIP3" s="74"/>
      <c r="WIQ3" s="74"/>
      <c r="WIR3" s="74"/>
      <c r="WIS3" s="74"/>
      <c r="WIT3" s="74"/>
      <c r="WIU3" s="74"/>
      <c r="WIV3" s="74"/>
      <c r="WIW3" s="74"/>
      <c r="WIX3" s="74"/>
      <c r="WIY3" s="74"/>
      <c r="WIZ3" s="74"/>
      <c r="WJA3" s="74"/>
      <c r="WJB3" s="74"/>
      <c r="WJC3" s="74"/>
      <c r="WJD3" s="74"/>
      <c r="WJE3" s="74"/>
      <c r="WJF3" s="74"/>
      <c r="WJG3" s="74"/>
      <c r="WJH3" s="74"/>
      <c r="WJI3" s="74"/>
      <c r="WJJ3" s="74"/>
      <c r="WJK3" s="74"/>
      <c r="WJL3" s="74"/>
      <c r="WJM3" s="74"/>
      <c r="WJN3" s="74"/>
      <c r="WJO3" s="74"/>
      <c r="WJP3" s="74"/>
      <c r="WJQ3" s="74"/>
      <c r="WJR3" s="74"/>
      <c r="WJS3" s="74"/>
      <c r="WJT3" s="74"/>
      <c r="WJU3" s="74"/>
      <c r="WJV3" s="74"/>
      <c r="WJW3" s="74"/>
      <c r="WJX3" s="74"/>
      <c r="WJY3" s="74"/>
      <c r="WJZ3" s="74"/>
      <c r="WKA3" s="74"/>
      <c r="WKB3" s="74"/>
      <c r="WKC3" s="74"/>
      <c r="WKD3" s="74"/>
      <c r="WKE3" s="74"/>
      <c r="WKF3" s="74"/>
      <c r="WKG3" s="74"/>
      <c r="WKH3" s="74"/>
      <c r="WKI3" s="74"/>
      <c r="WKJ3" s="74"/>
      <c r="WKK3" s="74"/>
      <c r="WKL3" s="74"/>
      <c r="WKM3" s="74"/>
      <c r="WKN3" s="74"/>
      <c r="WKO3" s="74"/>
      <c r="WKP3" s="74"/>
      <c r="WKQ3" s="74"/>
      <c r="WKR3" s="74"/>
      <c r="WKS3" s="74"/>
      <c r="WKT3" s="74"/>
      <c r="WKU3" s="74"/>
      <c r="WKV3" s="74"/>
      <c r="WKW3" s="74"/>
      <c r="WKX3" s="74"/>
      <c r="WKY3" s="74"/>
      <c r="WKZ3" s="74"/>
      <c r="WLA3" s="74"/>
      <c r="WLB3" s="74"/>
      <c r="WLC3" s="74"/>
      <c r="WLD3" s="74"/>
      <c r="WLE3" s="74"/>
      <c r="WLF3" s="74"/>
      <c r="WLG3" s="74"/>
      <c r="WLH3" s="74"/>
      <c r="WLI3" s="74"/>
      <c r="WLJ3" s="74"/>
      <c r="WLK3" s="74"/>
      <c r="WLL3" s="74"/>
      <c r="WLM3" s="74"/>
      <c r="WLN3" s="74"/>
      <c r="WLO3" s="74"/>
      <c r="WLP3" s="74"/>
      <c r="WLQ3" s="74"/>
      <c r="WLR3" s="74"/>
      <c r="WLS3" s="74"/>
      <c r="WLT3" s="74"/>
      <c r="WLU3" s="74"/>
      <c r="WLV3" s="74"/>
      <c r="WLW3" s="74"/>
      <c r="WLX3" s="74"/>
      <c r="WLY3" s="74"/>
      <c r="WLZ3" s="74"/>
      <c r="WMA3" s="74"/>
      <c r="WMB3" s="74"/>
      <c r="WMC3" s="74"/>
      <c r="WMD3" s="74"/>
      <c r="WME3" s="74"/>
      <c r="WMF3" s="74"/>
      <c r="WMG3" s="74"/>
      <c r="WMH3" s="74"/>
      <c r="WMI3" s="74"/>
      <c r="WMJ3" s="74"/>
      <c r="WMK3" s="74"/>
      <c r="WML3" s="74"/>
      <c r="WMM3" s="74"/>
      <c r="WMN3" s="74"/>
      <c r="WMO3" s="74"/>
      <c r="WMP3" s="74"/>
      <c r="WMQ3" s="74"/>
      <c r="WMR3" s="74"/>
      <c r="WMS3" s="74"/>
      <c r="WMT3" s="74"/>
      <c r="WMU3" s="74"/>
      <c r="WMV3" s="74"/>
      <c r="WMW3" s="74"/>
      <c r="WMX3" s="74"/>
      <c r="WMY3" s="74"/>
      <c r="WMZ3" s="74"/>
      <c r="WNA3" s="74"/>
      <c r="WNB3" s="74"/>
      <c r="WNC3" s="74"/>
      <c r="WND3" s="74"/>
      <c r="WNE3" s="74"/>
      <c r="WNF3" s="74"/>
      <c r="WNG3" s="74"/>
      <c r="WNH3" s="74"/>
      <c r="WNI3" s="74"/>
      <c r="WNJ3" s="74"/>
      <c r="WNK3" s="74"/>
      <c r="WNL3" s="74"/>
      <c r="WNM3" s="74"/>
      <c r="WNN3" s="74"/>
      <c r="WNO3" s="74"/>
      <c r="WNP3" s="74"/>
      <c r="WNQ3" s="74"/>
      <c r="WNR3" s="74"/>
      <c r="WNS3" s="74"/>
      <c r="WNT3" s="74"/>
      <c r="WNU3" s="74"/>
      <c r="WNV3" s="74"/>
      <c r="WNW3" s="74"/>
      <c r="WNX3" s="74"/>
      <c r="WNY3" s="74"/>
      <c r="WNZ3" s="74"/>
      <c r="WOA3" s="74"/>
      <c r="WOB3" s="74"/>
      <c r="WOC3" s="74"/>
      <c r="WOD3" s="74"/>
      <c r="WOE3" s="74"/>
      <c r="WOF3" s="74"/>
      <c r="WOG3" s="74"/>
      <c r="WOH3" s="74"/>
      <c r="WOI3" s="74"/>
      <c r="WOJ3" s="74"/>
      <c r="WOK3" s="74"/>
      <c r="WOL3" s="74"/>
      <c r="WOM3" s="74"/>
      <c r="WON3" s="74"/>
      <c r="WOO3" s="74"/>
      <c r="WOP3" s="74"/>
      <c r="WOQ3" s="74"/>
      <c r="WOR3" s="74"/>
      <c r="WOS3" s="74"/>
      <c r="WOT3" s="74"/>
      <c r="WOU3" s="74"/>
      <c r="WOV3" s="74"/>
      <c r="WOW3" s="74"/>
      <c r="WOX3" s="74"/>
      <c r="WOY3" s="74"/>
      <c r="WOZ3" s="74"/>
      <c r="WPA3" s="74"/>
      <c r="WPB3" s="74"/>
      <c r="WPC3" s="74"/>
      <c r="WPD3" s="74"/>
      <c r="WPE3" s="74"/>
      <c r="WPF3" s="74"/>
      <c r="WPG3" s="74"/>
      <c r="WPH3" s="74"/>
      <c r="WPI3" s="74"/>
      <c r="WPJ3" s="74"/>
      <c r="WPK3" s="74"/>
      <c r="WPL3" s="74"/>
      <c r="WPM3" s="74"/>
      <c r="WPN3" s="74"/>
      <c r="WPO3" s="74"/>
      <c r="WPP3" s="74"/>
      <c r="WPQ3" s="74"/>
      <c r="WPR3" s="74"/>
      <c r="WPS3" s="74"/>
      <c r="WPT3" s="74"/>
      <c r="WPU3" s="74"/>
      <c r="WPV3" s="74"/>
      <c r="WPW3" s="74"/>
      <c r="WPX3" s="74"/>
      <c r="WPY3" s="74"/>
      <c r="WPZ3" s="74"/>
      <c r="WQA3" s="74"/>
      <c r="WQB3" s="74"/>
      <c r="WQC3" s="74"/>
      <c r="WQD3" s="74"/>
      <c r="WQE3" s="74"/>
      <c r="WQF3" s="74"/>
      <c r="WQG3" s="74"/>
      <c r="WQH3" s="74"/>
      <c r="WQI3" s="74"/>
      <c r="WQJ3" s="74"/>
      <c r="WQK3" s="74"/>
      <c r="WQL3" s="74"/>
      <c r="WQM3" s="74"/>
      <c r="WQN3" s="74"/>
      <c r="WQO3" s="74"/>
      <c r="WQP3" s="74"/>
      <c r="WQQ3" s="74"/>
      <c r="WQR3" s="74"/>
      <c r="WQS3" s="74"/>
      <c r="WQT3" s="74"/>
      <c r="WQU3" s="74"/>
      <c r="WQV3" s="74"/>
      <c r="WQW3" s="74"/>
      <c r="WQX3" s="74"/>
      <c r="WQY3" s="74"/>
      <c r="WQZ3" s="74"/>
      <c r="WRA3" s="74"/>
      <c r="WRB3" s="74"/>
      <c r="WRC3" s="74"/>
      <c r="WRD3" s="74"/>
      <c r="WRE3" s="74"/>
      <c r="WRF3" s="74"/>
      <c r="WRG3" s="74"/>
      <c r="WRH3" s="74"/>
      <c r="WRI3" s="74"/>
      <c r="WRJ3" s="74"/>
      <c r="WRK3" s="74"/>
      <c r="WRL3" s="74"/>
      <c r="WRM3" s="74"/>
      <c r="WRN3" s="74"/>
      <c r="WRO3" s="74"/>
      <c r="WRP3" s="74"/>
      <c r="WRQ3" s="74"/>
      <c r="WRR3" s="74"/>
      <c r="WRS3" s="74"/>
      <c r="WRT3" s="74"/>
      <c r="WRU3" s="74"/>
      <c r="WRV3" s="74"/>
      <c r="WRW3" s="74"/>
      <c r="WRX3" s="74"/>
      <c r="WRY3" s="74"/>
      <c r="WRZ3" s="74"/>
      <c r="WSA3" s="74"/>
      <c r="WSB3" s="74"/>
      <c r="WSC3" s="74"/>
      <c r="WSD3" s="74"/>
      <c r="WSE3" s="74"/>
      <c r="WSF3" s="74"/>
      <c r="WSG3" s="74"/>
      <c r="WSH3" s="74"/>
      <c r="WSI3" s="74"/>
      <c r="WSJ3" s="74"/>
      <c r="WSK3" s="74"/>
      <c r="WSL3" s="74"/>
      <c r="WSM3" s="74"/>
      <c r="WSN3" s="74"/>
      <c r="WSO3" s="74"/>
      <c r="WSP3" s="74"/>
      <c r="WSQ3" s="74"/>
      <c r="WSR3" s="74"/>
      <c r="WSS3" s="74"/>
      <c r="WST3" s="74"/>
      <c r="WSU3" s="74"/>
      <c r="WSV3" s="74"/>
      <c r="WSW3" s="74"/>
      <c r="WSX3" s="74"/>
      <c r="WSY3" s="74"/>
      <c r="WSZ3" s="74"/>
      <c r="WTA3" s="74"/>
      <c r="WTB3" s="74"/>
      <c r="WTC3" s="74"/>
      <c r="WTD3" s="74"/>
      <c r="WTE3" s="74"/>
      <c r="WTF3" s="74"/>
      <c r="WTG3" s="74"/>
      <c r="WTH3" s="74"/>
      <c r="WTI3" s="74"/>
      <c r="WTJ3" s="74"/>
      <c r="WTK3" s="74"/>
      <c r="WTL3" s="74"/>
      <c r="WTM3" s="74"/>
      <c r="WTN3" s="74"/>
      <c r="WTO3" s="74"/>
      <c r="WTP3" s="74"/>
      <c r="WTQ3" s="74"/>
      <c r="WTR3" s="74"/>
      <c r="WTS3" s="74"/>
      <c r="WTT3" s="74"/>
      <c r="WTU3" s="74"/>
      <c r="WTV3" s="74"/>
      <c r="WTW3" s="74"/>
      <c r="WTX3" s="74"/>
      <c r="WTY3" s="74"/>
      <c r="WTZ3" s="74"/>
      <c r="WUA3" s="74"/>
      <c r="WUB3" s="74"/>
      <c r="WUC3" s="74"/>
      <c r="WUD3" s="74"/>
      <c r="WUE3" s="74"/>
      <c r="WUF3" s="74"/>
      <c r="WUG3" s="74"/>
      <c r="WUH3" s="74"/>
      <c r="WUI3" s="74"/>
      <c r="WUJ3" s="74"/>
      <c r="WUK3" s="74"/>
      <c r="WUL3" s="74"/>
      <c r="WUM3" s="74"/>
      <c r="WUN3" s="74"/>
      <c r="WUO3" s="74"/>
      <c r="WUP3" s="74"/>
      <c r="WUQ3" s="74"/>
      <c r="WUR3" s="74"/>
      <c r="WUS3" s="74"/>
      <c r="WUT3" s="74"/>
      <c r="WUU3" s="74"/>
      <c r="WUV3" s="74"/>
      <c r="WUW3" s="74"/>
      <c r="WUX3" s="74"/>
      <c r="WUY3" s="74"/>
      <c r="WUZ3" s="74"/>
      <c r="WVA3" s="74"/>
      <c r="WVB3" s="74"/>
      <c r="WVC3" s="74"/>
      <c r="WVD3" s="74"/>
      <c r="WVE3" s="74"/>
      <c r="WVF3" s="74"/>
      <c r="WVG3" s="74"/>
      <c r="WVH3" s="74"/>
      <c r="WVI3" s="74"/>
      <c r="WVJ3" s="74"/>
      <c r="WVK3" s="74"/>
      <c r="WVL3" s="74"/>
      <c r="WVM3" s="74"/>
      <c r="WVN3" s="74"/>
      <c r="WVO3" s="74"/>
      <c r="WVP3" s="74"/>
      <c r="WVQ3" s="74"/>
      <c r="WVR3" s="74"/>
      <c r="WVS3" s="74"/>
      <c r="WVT3" s="74"/>
      <c r="WVU3" s="74"/>
      <c r="WVV3" s="74"/>
      <c r="WVW3" s="74"/>
      <c r="WVX3" s="74"/>
      <c r="WVY3" s="74"/>
      <c r="WVZ3" s="74"/>
      <c r="WWA3" s="74"/>
      <c r="WWB3" s="74"/>
      <c r="WWC3" s="74"/>
      <c r="WWD3" s="74"/>
      <c r="WWE3" s="74"/>
      <c r="WWF3" s="74"/>
      <c r="WWG3" s="74"/>
      <c r="WWH3" s="74"/>
      <c r="WWI3" s="74"/>
      <c r="WWJ3" s="74"/>
      <c r="WWK3" s="74"/>
      <c r="WWL3" s="74"/>
      <c r="WWM3" s="74"/>
      <c r="WWN3" s="74"/>
      <c r="WWO3" s="74"/>
      <c r="WWP3" s="74"/>
      <c r="WWQ3" s="74"/>
      <c r="WWR3" s="74"/>
      <c r="WWS3" s="74"/>
      <c r="WWT3" s="74"/>
      <c r="WWU3" s="74"/>
      <c r="WWV3" s="74"/>
      <c r="WWW3" s="74"/>
      <c r="WWX3" s="74"/>
      <c r="WWY3" s="74"/>
      <c r="WWZ3" s="74"/>
      <c r="WXA3" s="74"/>
      <c r="WXB3" s="74"/>
      <c r="WXC3" s="74"/>
      <c r="WXD3" s="74"/>
      <c r="WXE3" s="74"/>
      <c r="WXF3" s="74"/>
      <c r="WXG3" s="74"/>
      <c r="WXH3" s="74"/>
      <c r="WXI3" s="74"/>
      <c r="WXJ3" s="74"/>
      <c r="WXK3" s="74"/>
      <c r="WXL3" s="74"/>
      <c r="WXM3" s="74"/>
      <c r="WXN3" s="74"/>
      <c r="WXO3" s="74"/>
      <c r="WXP3" s="74"/>
      <c r="WXQ3" s="74"/>
      <c r="WXR3" s="74"/>
      <c r="WXS3" s="74"/>
      <c r="WXT3" s="74"/>
      <c r="WXU3" s="74"/>
      <c r="WXV3" s="74"/>
      <c r="WXW3" s="74"/>
      <c r="WXX3" s="74"/>
      <c r="WXY3" s="74"/>
      <c r="WXZ3" s="74"/>
      <c r="WYA3" s="74"/>
      <c r="WYB3" s="74"/>
      <c r="WYC3" s="74"/>
      <c r="WYD3" s="74"/>
      <c r="WYE3" s="74"/>
      <c r="WYF3" s="74"/>
      <c r="WYG3" s="74"/>
      <c r="WYH3" s="74"/>
      <c r="WYI3" s="74"/>
      <c r="WYJ3" s="74"/>
      <c r="WYK3" s="74"/>
      <c r="WYL3" s="74"/>
      <c r="WYM3" s="74"/>
      <c r="WYN3" s="74"/>
      <c r="WYO3" s="74"/>
      <c r="WYP3" s="74"/>
      <c r="WYQ3" s="74"/>
      <c r="WYR3" s="74"/>
      <c r="WYS3" s="74"/>
      <c r="WYT3" s="74"/>
      <c r="WYU3" s="74"/>
      <c r="WYV3" s="74"/>
      <c r="WYW3" s="74"/>
      <c r="WYX3" s="74"/>
      <c r="WYY3" s="74"/>
      <c r="WYZ3" s="74"/>
      <c r="WZA3" s="74"/>
      <c r="WZB3" s="74"/>
      <c r="WZC3" s="74"/>
      <c r="WZD3" s="74"/>
      <c r="WZE3" s="74"/>
      <c r="WZF3" s="74"/>
      <c r="WZG3" s="74"/>
      <c r="WZH3" s="74"/>
      <c r="WZI3" s="74"/>
      <c r="WZJ3" s="74"/>
      <c r="WZK3" s="74"/>
      <c r="WZL3" s="74"/>
      <c r="WZM3" s="74"/>
      <c r="WZN3" s="74"/>
      <c r="WZO3" s="74"/>
      <c r="WZP3" s="74"/>
      <c r="WZQ3" s="74"/>
      <c r="WZR3" s="74"/>
      <c r="WZS3" s="74"/>
      <c r="WZT3" s="74"/>
      <c r="WZU3" s="74"/>
      <c r="WZV3" s="74"/>
      <c r="WZW3" s="74"/>
      <c r="WZX3" s="74"/>
      <c r="WZY3" s="74"/>
      <c r="WZZ3" s="74"/>
      <c r="XAA3" s="74"/>
      <c r="XAB3" s="74"/>
      <c r="XAC3" s="74"/>
      <c r="XAD3" s="74"/>
      <c r="XAE3" s="74"/>
      <c r="XAF3" s="74"/>
      <c r="XAG3" s="74"/>
      <c r="XAH3" s="74"/>
      <c r="XAI3" s="74"/>
      <c r="XAJ3" s="74"/>
      <c r="XAK3" s="74"/>
      <c r="XAL3" s="74"/>
      <c r="XAM3" s="74"/>
      <c r="XAN3" s="74"/>
      <c r="XAO3" s="74"/>
      <c r="XAP3" s="74"/>
      <c r="XAQ3" s="74"/>
      <c r="XAR3" s="74"/>
      <c r="XAS3" s="74"/>
      <c r="XAT3" s="74"/>
      <c r="XAU3" s="74"/>
      <c r="XAV3" s="74"/>
      <c r="XAW3" s="74"/>
      <c r="XAX3" s="74"/>
      <c r="XAY3" s="74"/>
      <c r="XAZ3" s="74"/>
      <c r="XBA3" s="74"/>
      <c r="XBB3" s="74"/>
      <c r="XBC3" s="74"/>
      <c r="XBD3" s="74"/>
      <c r="XBE3" s="74"/>
      <c r="XBF3" s="74"/>
      <c r="XBG3" s="74"/>
      <c r="XBH3" s="74"/>
      <c r="XBI3" s="74"/>
      <c r="XBJ3" s="74"/>
      <c r="XBK3" s="74"/>
      <c r="XBL3" s="74"/>
      <c r="XBM3" s="74"/>
      <c r="XBN3" s="74"/>
      <c r="XBO3" s="74"/>
      <c r="XBP3" s="74"/>
      <c r="XBQ3" s="74"/>
      <c r="XBR3" s="74"/>
      <c r="XBS3" s="74"/>
      <c r="XBT3" s="74"/>
      <c r="XBU3" s="74"/>
      <c r="XBV3" s="74"/>
      <c r="XBW3" s="74"/>
      <c r="XBX3" s="74"/>
      <c r="XBY3" s="74"/>
      <c r="XBZ3" s="74"/>
      <c r="XCA3" s="74"/>
      <c r="XCB3" s="74"/>
      <c r="XCC3" s="74"/>
      <c r="XCD3" s="74"/>
      <c r="XCE3" s="74"/>
      <c r="XCF3" s="74"/>
      <c r="XCG3" s="74"/>
      <c r="XCH3" s="74"/>
      <c r="XCI3" s="74"/>
      <c r="XCJ3" s="74"/>
      <c r="XCK3" s="74"/>
      <c r="XCL3" s="74"/>
      <c r="XCM3" s="74"/>
      <c r="XCN3" s="74"/>
      <c r="XCO3" s="74"/>
      <c r="XCP3" s="74"/>
      <c r="XCQ3" s="74"/>
      <c r="XCR3" s="74"/>
      <c r="XCS3" s="74"/>
      <c r="XCT3" s="74"/>
      <c r="XCU3" s="74"/>
      <c r="XCV3" s="74"/>
      <c r="XCW3" s="74"/>
      <c r="XCX3" s="74"/>
      <c r="XCY3" s="74"/>
      <c r="XCZ3" s="74"/>
      <c r="XDA3" s="74"/>
      <c r="XDB3" s="74"/>
      <c r="XDC3" s="74"/>
      <c r="XDD3" s="74"/>
      <c r="XDE3" s="74"/>
      <c r="XDF3" s="74"/>
      <c r="XDG3" s="74"/>
      <c r="XDH3" s="74"/>
      <c r="XDI3" s="74"/>
      <c r="XDJ3" s="74"/>
      <c r="XDK3" s="74"/>
      <c r="XDL3" s="74"/>
      <c r="XDM3" s="74"/>
      <c r="XDN3" s="74"/>
      <c r="XDO3" s="74"/>
      <c r="XDP3" s="74"/>
      <c r="XDQ3" s="74"/>
      <c r="XDR3" s="74"/>
      <c r="XDS3" s="74"/>
      <c r="XDT3" s="74"/>
      <c r="XDU3" s="74"/>
      <c r="XDV3" s="74"/>
      <c r="XDW3" s="74"/>
      <c r="XDX3" s="74"/>
      <c r="XDY3" s="74"/>
      <c r="XDZ3" s="74"/>
      <c r="XEA3" s="74"/>
      <c r="XEB3" s="74"/>
      <c r="XEC3" s="74"/>
      <c r="XED3" s="74"/>
      <c r="XEE3" s="74"/>
      <c r="XEF3" s="74"/>
      <c r="XEG3" s="74"/>
      <c r="XEH3" s="74"/>
      <c r="XEI3" s="74"/>
      <c r="XEJ3" s="74"/>
      <c r="XEK3" s="74"/>
      <c r="XEL3" s="74"/>
      <c r="XEM3" s="74"/>
      <c r="XEN3" s="74"/>
      <c r="XEO3" s="74"/>
      <c r="XEP3" s="74"/>
      <c r="XEQ3" s="74"/>
      <c r="XER3" s="74"/>
      <c r="XES3" s="74"/>
      <c r="XET3" s="74"/>
      <c r="XEU3" s="74"/>
      <c r="XEV3" s="74"/>
      <c r="XEW3" s="74"/>
      <c r="XEX3" s="74"/>
      <c r="XEY3" s="74"/>
      <c r="XEZ3" s="74"/>
      <c r="XFA3" s="74"/>
      <c r="XFB3" s="74"/>
      <c r="XFC3" s="74"/>
    </row>
    <row r="4" spans="1:16383" customFormat="1" x14ac:dyDescent="0.25">
      <c r="A4" s="73"/>
      <c r="B4" s="74"/>
      <c r="C4" s="74"/>
      <c r="D4" s="75"/>
      <c r="E4" s="75"/>
      <c r="F4" s="75"/>
      <c r="G4" s="76"/>
      <c r="H4" s="74"/>
      <c r="I4" s="74"/>
      <c r="J4" s="74"/>
      <c r="K4" s="77"/>
      <c r="L4" s="78"/>
      <c r="M4" s="82"/>
      <c r="N4" s="79"/>
      <c r="O4" s="79"/>
      <c r="P4" s="79"/>
      <c r="Q4" s="79"/>
      <c r="R4" s="79"/>
      <c r="S4" s="78"/>
      <c r="T4" s="79"/>
      <c r="U4" s="79"/>
      <c r="V4" s="79"/>
      <c r="W4" s="79"/>
      <c r="X4" s="79"/>
      <c r="Y4" s="74"/>
      <c r="Z4" s="74"/>
      <c r="AA4" s="181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4"/>
      <c r="DE4" s="74"/>
      <c r="DF4" s="74"/>
      <c r="DG4" s="74"/>
      <c r="DH4" s="74"/>
      <c r="DI4" s="74"/>
      <c r="DJ4" s="74"/>
      <c r="DK4" s="74"/>
      <c r="DL4" s="74"/>
      <c r="DM4" s="74"/>
      <c r="DN4" s="74"/>
      <c r="DO4" s="74"/>
      <c r="DP4" s="74"/>
      <c r="DQ4" s="74"/>
      <c r="DR4" s="74"/>
      <c r="DS4" s="74"/>
      <c r="DT4" s="74"/>
      <c r="DU4" s="74"/>
      <c r="DV4" s="74"/>
      <c r="DW4" s="74"/>
      <c r="DX4" s="74"/>
      <c r="DY4" s="74"/>
      <c r="DZ4" s="74"/>
      <c r="EA4" s="74"/>
      <c r="EB4" s="74"/>
      <c r="EC4" s="74"/>
      <c r="ED4" s="74"/>
      <c r="EE4" s="74"/>
      <c r="EF4" s="74"/>
      <c r="EG4" s="74"/>
      <c r="EH4" s="74"/>
      <c r="EI4" s="74"/>
      <c r="EJ4" s="74"/>
      <c r="EK4" s="74"/>
      <c r="EL4" s="74"/>
      <c r="EM4" s="74"/>
      <c r="EN4" s="74"/>
      <c r="EO4" s="74"/>
      <c r="EP4" s="74"/>
      <c r="EQ4" s="74"/>
      <c r="ER4" s="74"/>
      <c r="ES4" s="74"/>
      <c r="ET4" s="74"/>
      <c r="EU4" s="74"/>
      <c r="EV4" s="74"/>
      <c r="EW4" s="74"/>
      <c r="EX4" s="74"/>
      <c r="EY4" s="74"/>
      <c r="EZ4" s="74"/>
      <c r="FA4" s="74"/>
      <c r="FB4" s="74"/>
      <c r="FC4" s="74"/>
      <c r="FD4" s="74"/>
      <c r="FE4" s="74"/>
      <c r="FF4" s="74"/>
      <c r="FG4" s="74"/>
      <c r="FH4" s="74"/>
      <c r="FI4" s="74"/>
      <c r="FJ4" s="74"/>
      <c r="FK4" s="74"/>
      <c r="FL4" s="74"/>
      <c r="FM4" s="74"/>
      <c r="FN4" s="74"/>
      <c r="FO4" s="74"/>
      <c r="FP4" s="74"/>
      <c r="FQ4" s="74"/>
      <c r="FR4" s="74"/>
      <c r="FS4" s="74"/>
      <c r="FT4" s="74"/>
      <c r="FU4" s="74"/>
      <c r="FV4" s="74"/>
      <c r="FW4" s="74"/>
      <c r="FX4" s="74"/>
      <c r="FY4" s="74"/>
      <c r="FZ4" s="74"/>
      <c r="GA4" s="74"/>
      <c r="GB4" s="74"/>
      <c r="GC4" s="74"/>
      <c r="GD4" s="74"/>
      <c r="GE4" s="74"/>
      <c r="GF4" s="74"/>
      <c r="GG4" s="74"/>
      <c r="GH4" s="74"/>
      <c r="GI4" s="74"/>
      <c r="GJ4" s="74"/>
      <c r="GK4" s="74"/>
      <c r="GL4" s="74"/>
      <c r="GM4" s="74"/>
      <c r="GN4" s="74"/>
      <c r="GO4" s="74"/>
      <c r="GP4" s="74"/>
      <c r="GQ4" s="74"/>
      <c r="GR4" s="74"/>
      <c r="GS4" s="74"/>
      <c r="GT4" s="74"/>
      <c r="GU4" s="74"/>
      <c r="GV4" s="74"/>
      <c r="GW4" s="74"/>
      <c r="GX4" s="74"/>
      <c r="GY4" s="74"/>
      <c r="GZ4" s="74"/>
      <c r="HA4" s="74"/>
      <c r="HB4" s="74"/>
      <c r="HC4" s="74"/>
      <c r="HD4" s="74"/>
      <c r="HE4" s="74"/>
      <c r="HF4" s="74"/>
      <c r="HG4" s="74"/>
      <c r="HH4" s="74"/>
      <c r="HI4" s="74"/>
      <c r="HJ4" s="74"/>
      <c r="HK4" s="74"/>
      <c r="HL4" s="74"/>
      <c r="HM4" s="74"/>
      <c r="HN4" s="74"/>
      <c r="HO4" s="74"/>
      <c r="HP4" s="74"/>
      <c r="HQ4" s="74"/>
      <c r="HR4" s="74"/>
      <c r="HS4" s="74"/>
      <c r="HT4" s="74"/>
      <c r="HU4" s="74"/>
      <c r="HV4" s="74"/>
      <c r="HW4" s="74"/>
      <c r="HX4" s="74"/>
      <c r="HY4" s="74"/>
      <c r="HZ4" s="74"/>
      <c r="IA4" s="74"/>
      <c r="IB4" s="74"/>
      <c r="IC4" s="74"/>
      <c r="ID4" s="74"/>
      <c r="IE4" s="74"/>
      <c r="IF4" s="74"/>
      <c r="IG4" s="74"/>
      <c r="IH4" s="74"/>
      <c r="II4" s="74"/>
      <c r="IJ4" s="74"/>
      <c r="IK4" s="74"/>
      <c r="IL4" s="74"/>
      <c r="IM4" s="74"/>
      <c r="IN4" s="74"/>
      <c r="IO4" s="74"/>
      <c r="IP4" s="74"/>
      <c r="IQ4" s="74"/>
      <c r="IR4" s="74"/>
      <c r="IS4" s="74"/>
      <c r="IT4" s="74"/>
      <c r="IU4" s="74"/>
      <c r="IV4" s="74"/>
      <c r="IW4" s="74"/>
      <c r="IX4" s="74"/>
      <c r="IY4" s="74"/>
      <c r="IZ4" s="74"/>
      <c r="JA4" s="74"/>
      <c r="JB4" s="74"/>
      <c r="JC4" s="74"/>
      <c r="JD4" s="74"/>
      <c r="JE4" s="74"/>
      <c r="JF4" s="74"/>
      <c r="JG4" s="74"/>
      <c r="JH4" s="74"/>
      <c r="JI4" s="74"/>
      <c r="JJ4" s="74"/>
      <c r="JK4" s="74"/>
      <c r="JL4" s="74"/>
      <c r="JM4" s="74"/>
      <c r="JN4" s="74"/>
      <c r="JO4" s="74"/>
      <c r="JP4" s="74"/>
      <c r="JQ4" s="74"/>
      <c r="JR4" s="74"/>
      <c r="JS4" s="74"/>
      <c r="JT4" s="74"/>
      <c r="JU4" s="74"/>
      <c r="JV4" s="74"/>
      <c r="JW4" s="74"/>
      <c r="JX4" s="74"/>
      <c r="JY4" s="74"/>
      <c r="JZ4" s="74"/>
      <c r="KA4" s="74"/>
      <c r="KB4" s="74"/>
      <c r="KC4" s="74"/>
      <c r="KD4" s="74"/>
      <c r="KE4" s="74"/>
      <c r="KF4" s="74"/>
      <c r="KG4" s="74"/>
      <c r="KH4" s="74"/>
      <c r="KI4" s="74"/>
      <c r="KJ4" s="74"/>
      <c r="KK4" s="74"/>
      <c r="KL4" s="74"/>
      <c r="KM4" s="74"/>
      <c r="KN4" s="74"/>
      <c r="KO4" s="74"/>
      <c r="KP4" s="74"/>
      <c r="KQ4" s="74"/>
      <c r="KR4" s="74"/>
      <c r="KS4" s="74"/>
      <c r="KT4" s="74"/>
      <c r="KU4" s="74"/>
      <c r="KV4" s="74"/>
      <c r="KW4" s="74"/>
      <c r="KX4" s="74"/>
      <c r="KY4" s="74"/>
      <c r="KZ4" s="74"/>
      <c r="LA4" s="74"/>
      <c r="LB4" s="74"/>
      <c r="LC4" s="74"/>
      <c r="LD4" s="74"/>
      <c r="LE4" s="74"/>
      <c r="LF4" s="74"/>
      <c r="LG4" s="74"/>
      <c r="LH4" s="74"/>
      <c r="LI4" s="74"/>
      <c r="LJ4" s="74"/>
      <c r="LK4" s="74"/>
      <c r="LL4" s="74"/>
      <c r="LM4" s="74"/>
      <c r="LN4" s="74"/>
      <c r="LO4" s="74"/>
      <c r="LP4" s="74"/>
      <c r="LQ4" s="74"/>
      <c r="LR4" s="74"/>
      <c r="LS4" s="74"/>
      <c r="LT4" s="74"/>
      <c r="LU4" s="74"/>
      <c r="LV4" s="74"/>
      <c r="LW4" s="74"/>
      <c r="LX4" s="74"/>
      <c r="LY4" s="74"/>
      <c r="LZ4" s="74"/>
      <c r="MA4" s="74"/>
      <c r="MB4" s="74"/>
      <c r="MC4" s="74"/>
      <c r="MD4" s="74"/>
      <c r="ME4" s="74"/>
      <c r="MF4" s="74"/>
      <c r="MG4" s="74"/>
      <c r="MH4" s="74"/>
      <c r="MI4" s="74"/>
      <c r="MJ4" s="74"/>
      <c r="MK4" s="74"/>
      <c r="ML4" s="74"/>
      <c r="MM4" s="74"/>
      <c r="MN4" s="74"/>
      <c r="MO4" s="74"/>
      <c r="MP4" s="74"/>
      <c r="MQ4" s="74"/>
      <c r="MR4" s="74"/>
      <c r="MS4" s="74"/>
      <c r="MT4" s="74"/>
      <c r="MU4" s="74"/>
      <c r="MV4" s="74"/>
      <c r="MW4" s="74"/>
      <c r="MX4" s="74"/>
      <c r="MY4" s="74"/>
      <c r="MZ4" s="74"/>
      <c r="NA4" s="74"/>
      <c r="NB4" s="74"/>
      <c r="NC4" s="74"/>
      <c r="ND4" s="74"/>
      <c r="NE4" s="74"/>
      <c r="NF4" s="74"/>
      <c r="NG4" s="74"/>
      <c r="NH4" s="74"/>
      <c r="NI4" s="74"/>
      <c r="NJ4" s="74"/>
      <c r="NK4" s="74"/>
      <c r="NL4" s="74"/>
      <c r="NM4" s="74"/>
      <c r="NN4" s="74"/>
      <c r="NO4" s="74"/>
      <c r="NP4" s="74"/>
      <c r="NQ4" s="74"/>
      <c r="NR4" s="74"/>
      <c r="NS4" s="74"/>
      <c r="NT4" s="74"/>
      <c r="NU4" s="74"/>
      <c r="NV4" s="74"/>
      <c r="NW4" s="74"/>
      <c r="NX4" s="74"/>
      <c r="NY4" s="74"/>
      <c r="NZ4" s="74"/>
      <c r="OA4" s="74"/>
      <c r="OB4" s="74"/>
      <c r="OC4" s="74"/>
      <c r="OD4" s="74"/>
      <c r="OE4" s="74"/>
      <c r="OF4" s="74"/>
      <c r="OG4" s="74"/>
      <c r="OH4" s="74"/>
      <c r="OI4" s="74"/>
      <c r="OJ4" s="74"/>
      <c r="OK4" s="74"/>
      <c r="OL4" s="74"/>
      <c r="OM4" s="74"/>
      <c r="ON4" s="74"/>
      <c r="OO4" s="74"/>
      <c r="OP4" s="74"/>
      <c r="OQ4" s="74"/>
      <c r="OR4" s="74"/>
      <c r="OS4" s="74"/>
      <c r="OT4" s="74"/>
      <c r="OU4" s="74"/>
      <c r="OV4" s="74"/>
      <c r="OW4" s="74"/>
      <c r="OX4" s="74"/>
      <c r="OY4" s="74"/>
      <c r="OZ4" s="74"/>
      <c r="PA4" s="74"/>
      <c r="PB4" s="74"/>
      <c r="PC4" s="74"/>
      <c r="PD4" s="74"/>
      <c r="PE4" s="74"/>
      <c r="PF4" s="74"/>
      <c r="PG4" s="74"/>
      <c r="PH4" s="74"/>
      <c r="PI4" s="74"/>
      <c r="PJ4" s="74"/>
      <c r="PK4" s="74"/>
      <c r="PL4" s="74"/>
      <c r="PM4" s="74"/>
      <c r="PN4" s="74"/>
      <c r="PO4" s="74"/>
      <c r="PP4" s="74"/>
      <c r="PQ4" s="74"/>
      <c r="PR4" s="74"/>
      <c r="PS4" s="74"/>
      <c r="PT4" s="74"/>
      <c r="PU4" s="74"/>
      <c r="PV4" s="74"/>
      <c r="PW4" s="74"/>
      <c r="PX4" s="74"/>
      <c r="PY4" s="74"/>
      <c r="PZ4" s="74"/>
      <c r="QA4" s="74"/>
      <c r="QB4" s="74"/>
      <c r="QC4" s="74"/>
      <c r="QD4" s="74"/>
      <c r="QE4" s="74"/>
      <c r="QF4" s="74"/>
      <c r="QG4" s="74"/>
      <c r="QH4" s="74"/>
      <c r="QI4" s="74"/>
      <c r="QJ4" s="74"/>
      <c r="QK4" s="74"/>
      <c r="QL4" s="74"/>
      <c r="QM4" s="74"/>
      <c r="QN4" s="74"/>
      <c r="QO4" s="74"/>
      <c r="QP4" s="74"/>
      <c r="QQ4" s="74"/>
      <c r="QR4" s="74"/>
      <c r="QS4" s="74"/>
      <c r="QT4" s="74"/>
      <c r="QU4" s="74"/>
      <c r="QV4" s="74"/>
      <c r="QW4" s="74"/>
      <c r="QX4" s="74"/>
      <c r="QY4" s="74"/>
      <c r="QZ4" s="74"/>
      <c r="RA4" s="74"/>
      <c r="RB4" s="74"/>
      <c r="RC4" s="74"/>
      <c r="RD4" s="74"/>
      <c r="RE4" s="74"/>
      <c r="RF4" s="74"/>
      <c r="RG4" s="74"/>
      <c r="RH4" s="74"/>
      <c r="RI4" s="74"/>
      <c r="RJ4" s="74"/>
      <c r="RK4" s="74"/>
      <c r="RL4" s="74"/>
      <c r="RM4" s="74"/>
      <c r="RN4" s="74"/>
      <c r="RO4" s="74"/>
      <c r="RP4" s="74"/>
      <c r="RQ4" s="74"/>
      <c r="RR4" s="74"/>
      <c r="RS4" s="74"/>
      <c r="RT4" s="74"/>
      <c r="RU4" s="74"/>
      <c r="RV4" s="74"/>
      <c r="RW4" s="74"/>
      <c r="RX4" s="74"/>
      <c r="RY4" s="74"/>
      <c r="RZ4" s="74"/>
      <c r="SA4" s="74"/>
      <c r="SB4" s="74"/>
      <c r="SC4" s="74"/>
      <c r="SD4" s="74"/>
      <c r="SE4" s="74"/>
      <c r="SF4" s="74"/>
      <c r="SG4" s="74"/>
      <c r="SH4" s="74"/>
      <c r="SI4" s="74"/>
      <c r="SJ4" s="74"/>
      <c r="SK4" s="74"/>
      <c r="SL4" s="74"/>
      <c r="SM4" s="74"/>
      <c r="SN4" s="74"/>
      <c r="SO4" s="74"/>
      <c r="SP4" s="74"/>
      <c r="SQ4" s="74"/>
      <c r="SR4" s="74"/>
      <c r="SS4" s="74"/>
      <c r="ST4" s="74"/>
      <c r="SU4" s="74"/>
      <c r="SV4" s="74"/>
      <c r="SW4" s="74"/>
      <c r="SX4" s="74"/>
      <c r="SY4" s="74"/>
      <c r="SZ4" s="74"/>
      <c r="TA4" s="74"/>
      <c r="TB4" s="74"/>
      <c r="TC4" s="74"/>
      <c r="TD4" s="74"/>
      <c r="TE4" s="74"/>
      <c r="TF4" s="74"/>
      <c r="TG4" s="74"/>
      <c r="TH4" s="74"/>
      <c r="TI4" s="74"/>
      <c r="TJ4" s="74"/>
      <c r="TK4" s="74"/>
      <c r="TL4" s="74"/>
      <c r="TM4" s="74"/>
      <c r="TN4" s="74"/>
      <c r="TO4" s="74"/>
      <c r="TP4" s="74"/>
      <c r="TQ4" s="74"/>
      <c r="TR4" s="74"/>
      <c r="TS4" s="74"/>
      <c r="TT4" s="74"/>
      <c r="TU4" s="74"/>
      <c r="TV4" s="74"/>
      <c r="TW4" s="74"/>
      <c r="TX4" s="74"/>
      <c r="TY4" s="74"/>
      <c r="TZ4" s="74"/>
      <c r="UA4" s="74"/>
      <c r="UB4" s="74"/>
      <c r="UC4" s="74"/>
      <c r="UD4" s="74"/>
      <c r="UE4" s="74"/>
      <c r="UF4" s="74"/>
      <c r="UG4" s="74"/>
      <c r="UH4" s="74"/>
      <c r="UI4" s="74"/>
      <c r="UJ4" s="74"/>
      <c r="UK4" s="74"/>
      <c r="UL4" s="74"/>
      <c r="UM4" s="74"/>
      <c r="UN4" s="74"/>
      <c r="UO4" s="74"/>
      <c r="UP4" s="74"/>
      <c r="UQ4" s="74"/>
      <c r="UR4" s="74"/>
      <c r="US4" s="74"/>
      <c r="UT4" s="74"/>
      <c r="UU4" s="74"/>
      <c r="UV4" s="74"/>
      <c r="UW4" s="74"/>
      <c r="UX4" s="74"/>
      <c r="UY4" s="74"/>
      <c r="UZ4" s="74"/>
      <c r="VA4" s="74"/>
      <c r="VB4" s="74"/>
      <c r="VC4" s="74"/>
      <c r="VD4" s="74"/>
      <c r="VE4" s="74"/>
      <c r="VF4" s="74"/>
      <c r="VG4" s="74"/>
      <c r="VH4" s="74"/>
      <c r="VI4" s="74"/>
      <c r="VJ4" s="74"/>
      <c r="VK4" s="74"/>
      <c r="VL4" s="74"/>
      <c r="VM4" s="74"/>
      <c r="VN4" s="74"/>
      <c r="VO4" s="74"/>
      <c r="VP4" s="74"/>
      <c r="VQ4" s="74"/>
      <c r="VR4" s="74"/>
      <c r="VS4" s="74"/>
      <c r="VT4" s="74"/>
      <c r="VU4" s="74"/>
      <c r="VV4" s="74"/>
      <c r="VW4" s="74"/>
      <c r="VX4" s="74"/>
      <c r="VY4" s="74"/>
      <c r="VZ4" s="74"/>
      <c r="WA4" s="74"/>
      <c r="WB4" s="74"/>
      <c r="WC4" s="74"/>
      <c r="WD4" s="74"/>
      <c r="WE4" s="74"/>
      <c r="WF4" s="74"/>
      <c r="WG4" s="74"/>
      <c r="WH4" s="74"/>
      <c r="WI4" s="74"/>
      <c r="WJ4" s="74"/>
      <c r="WK4" s="74"/>
      <c r="WL4" s="74"/>
      <c r="WM4" s="74"/>
      <c r="WN4" s="74"/>
      <c r="WO4" s="74"/>
      <c r="WP4" s="74"/>
      <c r="WQ4" s="74"/>
      <c r="WR4" s="74"/>
      <c r="WS4" s="74"/>
      <c r="WT4" s="74"/>
      <c r="WU4" s="74"/>
      <c r="WV4" s="74"/>
      <c r="WW4" s="74"/>
      <c r="WX4" s="74"/>
      <c r="WY4" s="74"/>
      <c r="WZ4" s="74"/>
      <c r="XA4" s="74"/>
      <c r="XB4" s="74"/>
      <c r="XC4" s="74"/>
      <c r="XD4" s="74"/>
      <c r="XE4" s="74"/>
      <c r="XF4" s="74"/>
      <c r="XG4" s="74"/>
      <c r="XH4" s="74"/>
      <c r="XI4" s="74"/>
      <c r="XJ4" s="74"/>
      <c r="XK4" s="74"/>
      <c r="XL4" s="74"/>
      <c r="XM4" s="74"/>
      <c r="XN4" s="74"/>
      <c r="XO4" s="74"/>
      <c r="XP4" s="74"/>
      <c r="XQ4" s="74"/>
      <c r="XR4" s="74"/>
      <c r="XS4" s="74"/>
      <c r="XT4" s="74"/>
      <c r="XU4" s="74"/>
      <c r="XV4" s="74"/>
      <c r="XW4" s="74"/>
      <c r="XX4" s="74"/>
      <c r="XY4" s="74"/>
      <c r="XZ4" s="74"/>
      <c r="YA4" s="74"/>
      <c r="YB4" s="74"/>
      <c r="YC4" s="74"/>
      <c r="YD4" s="74"/>
      <c r="YE4" s="74"/>
      <c r="YF4" s="74"/>
      <c r="YG4" s="74"/>
      <c r="YH4" s="74"/>
      <c r="YI4" s="74"/>
      <c r="YJ4" s="74"/>
      <c r="YK4" s="74"/>
      <c r="YL4" s="74"/>
      <c r="YM4" s="74"/>
      <c r="YN4" s="74"/>
      <c r="YO4" s="74"/>
      <c r="YP4" s="74"/>
      <c r="YQ4" s="74"/>
      <c r="YR4" s="74"/>
      <c r="YS4" s="74"/>
      <c r="YT4" s="74"/>
      <c r="YU4" s="74"/>
      <c r="YV4" s="74"/>
      <c r="YW4" s="74"/>
      <c r="YX4" s="74"/>
      <c r="YY4" s="74"/>
      <c r="YZ4" s="74"/>
      <c r="ZA4" s="74"/>
      <c r="ZB4" s="74"/>
      <c r="ZC4" s="74"/>
      <c r="ZD4" s="74"/>
      <c r="ZE4" s="74"/>
      <c r="ZF4" s="74"/>
      <c r="ZG4" s="74"/>
      <c r="ZH4" s="74"/>
      <c r="ZI4" s="74"/>
      <c r="ZJ4" s="74"/>
      <c r="ZK4" s="74"/>
      <c r="ZL4" s="74"/>
      <c r="ZM4" s="74"/>
      <c r="ZN4" s="74"/>
      <c r="ZO4" s="74"/>
      <c r="ZP4" s="74"/>
      <c r="ZQ4" s="74"/>
      <c r="ZR4" s="74"/>
      <c r="ZS4" s="74"/>
      <c r="ZT4" s="74"/>
      <c r="ZU4" s="74"/>
      <c r="ZV4" s="74"/>
      <c r="ZW4" s="74"/>
      <c r="ZX4" s="74"/>
      <c r="ZY4" s="74"/>
      <c r="ZZ4" s="74"/>
      <c r="AAA4" s="74"/>
      <c r="AAB4" s="74"/>
      <c r="AAC4" s="74"/>
      <c r="AAD4" s="74"/>
      <c r="AAE4" s="74"/>
      <c r="AAF4" s="74"/>
      <c r="AAG4" s="74"/>
      <c r="AAH4" s="74"/>
      <c r="AAI4" s="74"/>
      <c r="AAJ4" s="74"/>
      <c r="AAK4" s="74"/>
      <c r="AAL4" s="74"/>
      <c r="AAM4" s="74"/>
      <c r="AAN4" s="74"/>
      <c r="AAO4" s="74"/>
      <c r="AAP4" s="74"/>
      <c r="AAQ4" s="74"/>
      <c r="AAR4" s="74"/>
      <c r="AAS4" s="74"/>
      <c r="AAT4" s="74"/>
      <c r="AAU4" s="74"/>
      <c r="AAV4" s="74"/>
      <c r="AAW4" s="74"/>
      <c r="AAX4" s="74"/>
      <c r="AAY4" s="74"/>
      <c r="AAZ4" s="74"/>
      <c r="ABA4" s="74"/>
      <c r="ABB4" s="74"/>
      <c r="ABC4" s="74"/>
      <c r="ABD4" s="74"/>
      <c r="ABE4" s="74"/>
      <c r="ABF4" s="74"/>
      <c r="ABG4" s="74"/>
      <c r="ABH4" s="74"/>
      <c r="ABI4" s="74"/>
      <c r="ABJ4" s="74"/>
      <c r="ABK4" s="74"/>
      <c r="ABL4" s="74"/>
      <c r="ABM4" s="74"/>
      <c r="ABN4" s="74"/>
      <c r="ABO4" s="74"/>
      <c r="ABP4" s="74"/>
      <c r="ABQ4" s="74"/>
      <c r="ABR4" s="74"/>
      <c r="ABS4" s="74"/>
      <c r="ABT4" s="74"/>
      <c r="ABU4" s="74"/>
      <c r="ABV4" s="74"/>
      <c r="ABW4" s="74"/>
      <c r="ABX4" s="74"/>
      <c r="ABY4" s="74"/>
      <c r="ABZ4" s="74"/>
      <c r="ACA4" s="74"/>
      <c r="ACB4" s="74"/>
      <c r="ACC4" s="74"/>
      <c r="ACD4" s="74"/>
      <c r="ACE4" s="74"/>
      <c r="ACF4" s="74"/>
      <c r="ACG4" s="74"/>
      <c r="ACH4" s="74"/>
      <c r="ACI4" s="74"/>
      <c r="ACJ4" s="74"/>
      <c r="ACK4" s="74"/>
      <c r="ACL4" s="74"/>
      <c r="ACM4" s="74"/>
      <c r="ACN4" s="74"/>
      <c r="ACO4" s="74"/>
      <c r="ACP4" s="74"/>
      <c r="ACQ4" s="74"/>
      <c r="ACR4" s="74"/>
      <c r="ACS4" s="74"/>
      <c r="ACT4" s="74"/>
      <c r="ACU4" s="74"/>
      <c r="ACV4" s="74"/>
      <c r="ACW4" s="74"/>
      <c r="ACX4" s="74"/>
      <c r="ACY4" s="74"/>
      <c r="ACZ4" s="74"/>
      <c r="ADA4" s="74"/>
      <c r="ADB4" s="74"/>
      <c r="ADC4" s="74"/>
      <c r="ADD4" s="74"/>
      <c r="ADE4" s="74"/>
      <c r="ADF4" s="74"/>
      <c r="ADG4" s="74"/>
      <c r="ADH4" s="74"/>
      <c r="ADI4" s="74"/>
      <c r="ADJ4" s="74"/>
      <c r="ADK4" s="74"/>
      <c r="ADL4" s="74"/>
      <c r="ADM4" s="74"/>
      <c r="ADN4" s="74"/>
      <c r="ADO4" s="74"/>
      <c r="ADP4" s="74"/>
      <c r="ADQ4" s="74"/>
      <c r="ADR4" s="74"/>
      <c r="ADS4" s="74"/>
      <c r="ADT4" s="74"/>
      <c r="ADU4" s="74"/>
      <c r="ADV4" s="74"/>
      <c r="ADW4" s="74"/>
      <c r="ADX4" s="74"/>
      <c r="ADY4" s="74"/>
      <c r="ADZ4" s="74"/>
      <c r="AEA4" s="74"/>
      <c r="AEB4" s="74"/>
      <c r="AEC4" s="74"/>
      <c r="AED4" s="74"/>
      <c r="AEE4" s="74"/>
      <c r="AEF4" s="74"/>
      <c r="AEG4" s="74"/>
      <c r="AEH4" s="74"/>
      <c r="AEI4" s="74"/>
      <c r="AEJ4" s="74"/>
      <c r="AEK4" s="74"/>
      <c r="AEL4" s="74"/>
      <c r="AEM4" s="74"/>
      <c r="AEN4" s="74"/>
      <c r="AEO4" s="74"/>
      <c r="AEP4" s="74"/>
      <c r="AEQ4" s="74"/>
      <c r="AER4" s="74"/>
      <c r="AES4" s="74"/>
      <c r="AET4" s="74"/>
      <c r="AEU4" s="74"/>
      <c r="AEV4" s="74"/>
      <c r="AEW4" s="74"/>
      <c r="AEX4" s="74"/>
      <c r="AEY4" s="74"/>
      <c r="AEZ4" s="74"/>
      <c r="AFA4" s="74"/>
      <c r="AFB4" s="74"/>
      <c r="AFC4" s="74"/>
      <c r="AFD4" s="74"/>
      <c r="AFE4" s="74"/>
      <c r="AFF4" s="74"/>
      <c r="AFG4" s="74"/>
      <c r="AFH4" s="74"/>
      <c r="AFI4" s="74"/>
      <c r="AFJ4" s="74"/>
      <c r="AFK4" s="74"/>
      <c r="AFL4" s="74"/>
      <c r="AFM4" s="74"/>
      <c r="AFN4" s="74"/>
      <c r="AFO4" s="74"/>
      <c r="AFP4" s="74"/>
      <c r="AFQ4" s="74"/>
      <c r="AFR4" s="74"/>
      <c r="AFS4" s="74"/>
      <c r="AFT4" s="74"/>
      <c r="AFU4" s="74"/>
      <c r="AFV4" s="74"/>
      <c r="AFW4" s="74"/>
      <c r="AFX4" s="74"/>
      <c r="AFY4" s="74"/>
      <c r="AFZ4" s="74"/>
      <c r="AGA4" s="74"/>
      <c r="AGB4" s="74"/>
      <c r="AGC4" s="74"/>
      <c r="AGD4" s="74"/>
      <c r="AGE4" s="74"/>
      <c r="AGF4" s="74"/>
      <c r="AGG4" s="74"/>
      <c r="AGH4" s="74"/>
      <c r="AGI4" s="74"/>
      <c r="AGJ4" s="74"/>
      <c r="AGK4" s="74"/>
      <c r="AGL4" s="74"/>
      <c r="AGM4" s="74"/>
      <c r="AGN4" s="74"/>
      <c r="AGO4" s="74"/>
      <c r="AGP4" s="74"/>
      <c r="AGQ4" s="74"/>
      <c r="AGR4" s="74"/>
      <c r="AGS4" s="74"/>
      <c r="AGT4" s="74"/>
      <c r="AGU4" s="74"/>
      <c r="AGV4" s="74"/>
      <c r="AGW4" s="74"/>
      <c r="AGX4" s="74"/>
      <c r="AGY4" s="74"/>
      <c r="AGZ4" s="74"/>
      <c r="AHA4" s="74"/>
      <c r="AHB4" s="74"/>
      <c r="AHC4" s="74"/>
      <c r="AHD4" s="74"/>
      <c r="AHE4" s="74"/>
      <c r="AHF4" s="74"/>
      <c r="AHG4" s="74"/>
      <c r="AHH4" s="74"/>
      <c r="AHI4" s="74"/>
      <c r="AHJ4" s="74"/>
      <c r="AHK4" s="74"/>
      <c r="AHL4" s="74"/>
      <c r="AHM4" s="74"/>
      <c r="AHN4" s="74"/>
      <c r="AHO4" s="74"/>
      <c r="AHP4" s="74"/>
      <c r="AHQ4" s="74"/>
      <c r="AHR4" s="74"/>
      <c r="AHS4" s="74"/>
      <c r="AHT4" s="74"/>
      <c r="AHU4" s="74"/>
      <c r="AHV4" s="74"/>
      <c r="AHW4" s="74"/>
      <c r="AHX4" s="74"/>
      <c r="AHY4" s="74"/>
      <c r="AHZ4" s="74"/>
      <c r="AIA4" s="74"/>
      <c r="AIB4" s="74"/>
      <c r="AIC4" s="74"/>
      <c r="AID4" s="74"/>
      <c r="AIE4" s="74"/>
      <c r="AIF4" s="74"/>
      <c r="AIG4" s="74"/>
      <c r="AIH4" s="74"/>
      <c r="AII4" s="74"/>
      <c r="AIJ4" s="74"/>
      <c r="AIK4" s="74"/>
      <c r="AIL4" s="74"/>
      <c r="AIM4" s="74"/>
      <c r="AIN4" s="74"/>
      <c r="AIO4" s="74"/>
      <c r="AIP4" s="74"/>
      <c r="AIQ4" s="74"/>
      <c r="AIR4" s="74"/>
      <c r="AIS4" s="74"/>
      <c r="AIT4" s="74"/>
      <c r="AIU4" s="74"/>
      <c r="AIV4" s="74"/>
      <c r="AIW4" s="74"/>
      <c r="AIX4" s="74"/>
      <c r="AIY4" s="74"/>
      <c r="AIZ4" s="74"/>
      <c r="AJA4" s="74"/>
      <c r="AJB4" s="74"/>
      <c r="AJC4" s="74"/>
      <c r="AJD4" s="74"/>
      <c r="AJE4" s="74"/>
      <c r="AJF4" s="74"/>
      <c r="AJG4" s="74"/>
      <c r="AJH4" s="74"/>
      <c r="AJI4" s="74"/>
      <c r="AJJ4" s="74"/>
      <c r="AJK4" s="74"/>
      <c r="AJL4" s="74"/>
      <c r="AJM4" s="74"/>
      <c r="AJN4" s="74"/>
      <c r="AJO4" s="74"/>
      <c r="AJP4" s="74"/>
      <c r="AJQ4" s="74"/>
      <c r="AJR4" s="74"/>
      <c r="AJS4" s="74"/>
      <c r="AJT4" s="74"/>
      <c r="AJU4" s="74"/>
      <c r="AJV4" s="74"/>
      <c r="AJW4" s="74"/>
      <c r="AJX4" s="74"/>
      <c r="AJY4" s="74"/>
      <c r="AJZ4" s="74"/>
      <c r="AKA4" s="74"/>
      <c r="AKB4" s="74"/>
      <c r="AKC4" s="74"/>
      <c r="AKD4" s="74"/>
      <c r="AKE4" s="74"/>
      <c r="AKF4" s="74"/>
      <c r="AKG4" s="74"/>
      <c r="AKH4" s="74"/>
      <c r="AKI4" s="74"/>
      <c r="AKJ4" s="74"/>
      <c r="AKK4" s="74"/>
      <c r="AKL4" s="74"/>
      <c r="AKM4" s="74"/>
      <c r="AKN4" s="74"/>
      <c r="AKO4" s="74"/>
      <c r="AKP4" s="74"/>
      <c r="AKQ4" s="74"/>
      <c r="AKR4" s="74"/>
      <c r="AKS4" s="74"/>
      <c r="AKT4" s="74"/>
      <c r="AKU4" s="74"/>
      <c r="AKV4" s="74"/>
      <c r="AKW4" s="74"/>
      <c r="AKX4" s="74"/>
      <c r="AKY4" s="74"/>
      <c r="AKZ4" s="74"/>
      <c r="ALA4" s="74"/>
      <c r="ALB4" s="74"/>
      <c r="ALC4" s="74"/>
      <c r="ALD4" s="74"/>
      <c r="ALE4" s="74"/>
      <c r="ALF4" s="74"/>
      <c r="ALG4" s="74"/>
      <c r="ALH4" s="74"/>
      <c r="ALI4" s="74"/>
      <c r="ALJ4" s="74"/>
      <c r="ALK4" s="74"/>
      <c r="ALL4" s="74"/>
      <c r="ALM4" s="74"/>
      <c r="ALN4" s="74"/>
      <c r="ALO4" s="74"/>
      <c r="ALP4" s="74"/>
      <c r="ALQ4" s="74"/>
      <c r="ALR4" s="74"/>
      <c r="ALS4" s="74"/>
      <c r="ALT4" s="74"/>
      <c r="ALU4" s="74"/>
      <c r="ALV4" s="74"/>
      <c r="ALW4" s="74"/>
      <c r="ALX4" s="74"/>
      <c r="ALY4" s="74"/>
      <c r="ALZ4" s="74"/>
      <c r="AMA4" s="74"/>
      <c r="AMB4" s="74"/>
      <c r="AMC4" s="74"/>
      <c r="AMD4" s="74"/>
      <c r="AME4" s="74"/>
      <c r="AMF4" s="74"/>
      <c r="AMG4" s="74"/>
      <c r="AMH4" s="74"/>
      <c r="AMI4" s="74"/>
      <c r="AMJ4" s="74"/>
      <c r="AMK4" s="74"/>
      <c r="AML4" s="74"/>
      <c r="AMM4" s="74"/>
      <c r="AMN4" s="74"/>
      <c r="AMO4" s="74"/>
      <c r="AMP4" s="74"/>
      <c r="AMQ4" s="74"/>
      <c r="AMR4" s="74"/>
      <c r="AMS4" s="74"/>
      <c r="AMT4" s="74"/>
      <c r="AMU4" s="74"/>
      <c r="AMV4" s="74"/>
      <c r="AMW4" s="74"/>
      <c r="AMX4" s="74"/>
      <c r="AMY4" s="74"/>
      <c r="AMZ4" s="74"/>
      <c r="ANA4" s="74"/>
      <c r="ANB4" s="74"/>
      <c r="ANC4" s="74"/>
      <c r="AND4" s="74"/>
      <c r="ANE4" s="74"/>
      <c r="ANF4" s="74"/>
      <c r="ANG4" s="74"/>
      <c r="ANH4" s="74"/>
      <c r="ANI4" s="74"/>
      <c r="ANJ4" s="74"/>
      <c r="ANK4" s="74"/>
      <c r="ANL4" s="74"/>
      <c r="ANM4" s="74"/>
      <c r="ANN4" s="74"/>
      <c r="ANO4" s="74"/>
      <c r="ANP4" s="74"/>
      <c r="ANQ4" s="74"/>
      <c r="ANR4" s="74"/>
      <c r="ANS4" s="74"/>
      <c r="ANT4" s="74"/>
      <c r="ANU4" s="74"/>
      <c r="ANV4" s="74"/>
      <c r="ANW4" s="74"/>
      <c r="ANX4" s="74"/>
      <c r="ANY4" s="74"/>
      <c r="ANZ4" s="74"/>
      <c r="AOA4" s="74"/>
      <c r="AOB4" s="74"/>
      <c r="AOC4" s="74"/>
      <c r="AOD4" s="74"/>
      <c r="AOE4" s="74"/>
      <c r="AOF4" s="74"/>
      <c r="AOG4" s="74"/>
      <c r="AOH4" s="74"/>
      <c r="AOI4" s="74"/>
      <c r="AOJ4" s="74"/>
      <c r="AOK4" s="74"/>
      <c r="AOL4" s="74"/>
      <c r="AOM4" s="74"/>
      <c r="AON4" s="74"/>
      <c r="AOO4" s="74"/>
      <c r="AOP4" s="74"/>
      <c r="AOQ4" s="74"/>
      <c r="AOR4" s="74"/>
      <c r="AOS4" s="74"/>
      <c r="AOT4" s="74"/>
      <c r="AOU4" s="74"/>
      <c r="AOV4" s="74"/>
      <c r="AOW4" s="74"/>
      <c r="AOX4" s="74"/>
      <c r="AOY4" s="74"/>
      <c r="AOZ4" s="74"/>
      <c r="APA4" s="74"/>
      <c r="APB4" s="74"/>
      <c r="APC4" s="74"/>
      <c r="APD4" s="74"/>
      <c r="APE4" s="74"/>
      <c r="APF4" s="74"/>
      <c r="APG4" s="74"/>
      <c r="APH4" s="74"/>
      <c r="API4" s="74"/>
      <c r="APJ4" s="74"/>
      <c r="APK4" s="74"/>
      <c r="APL4" s="74"/>
      <c r="APM4" s="74"/>
      <c r="APN4" s="74"/>
      <c r="APO4" s="74"/>
      <c r="APP4" s="74"/>
      <c r="APQ4" s="74"/>
      <c r="APR4" s="74"/>
      <c r="APS4" s="74"/>
      <c r="APT4" s="74"/>
      <c r="APU4" s="74"/>
      <c r="APV4" s="74"/>
      <c r="APW4" s="74"/>
      <c r="APX4" s="74"/>
      <c r="APY4" s="74"/>
      <c r="APZ4" s="74"/>
      <c r="AQA4" s="74"/>
      <c r="AQB4" s="74"/>
      <c r="AQC4" s="74"/>
      <c r="AQD4" s="74"/>
      <c r="AQE4" s="74"/>
      <c r="AQF4" s="74"/>
      <c r="AQG4" s="74"/>
      <c r="AQH4" s="74"/>
      <c r="AQI4" s="74"/>
      <c r="AQJ4" s="74"/>
      <c r="AQK4" s="74"/>
      <c r="AQL4" s="74"/>
      <c r="AQM4" s="74"/>
      <c r="AQN4" s="74"/>
      <c r="AQO4" s="74"/>
      <c r="AQP4" s="74"/>
      <c r="AQQ4" s="74"/>
      <c r="AQR4" s="74"/>
      <c r="AQS4" s="74"/>
      <c r="AQT4" s="74"/>
      <c r="AQU4" s="74"/>
      <c r="AQV4" s="74"/>
      <c r="AQW4" s="74"/>
      <c r="AQX4" s="74"/>
      <c r="AQY4" s="74"/>
      <c r="AQZ4" s="74"/>
      <c r="ARA4" s="74"/>
      <c r="ARB4" s="74"/>
      <c r="ARC4" s="74"/>
      <c r="ARD4" s="74"/>
      <c r="ARE4" s="74"/>
      <c r="ARF4" s="74"/>
      <c r="ARG4" s="74"/>
      <c r="ARH4" s="74"/>
      <c r="ARI4" s="74"/>
      <c r="ARJ4" s="74"/>
      <c r="ARK4" s="74"/>
      <c r="ARL4" s="74"/>
      <c r="ARM4" s="74"/>
      <c r="ARN4" s="74"/>
      <c r="ARO4" s="74"/>
      <c r="ARP4" s="74"/>
      <c r="ARQ4" s="74"/>
      <c r="ARR4" s="74"/>
      <c r="ARS4" s="74"/>
      <c r="ART4" s="74"/>
      <c r="ARU4" s="74"/>
      <c r="ARV4" s="74"/>
      <c r="ARW4" s="74"/>
      <c r="ARX4" s="74"/>
      <c r="ARY4" s="74"/>
      <c r="ARZ4" s="74"/>
      <c r="ASA4" s="74"/>
      <c r="ASB4" s="74"/>
      <c r="ASC4" s="74"/>
      <c r="ASD4" s="74"/>
      <c r="ASE4" s="74"/>
      <c r="ASF4" s="74"/>
      <c r="ASG4" s="74"/>
      <c r="ASH4" s="74"/>
      <c r="ASI4" s="74"/>
      <c r="ASJ4" s="74"/>
      <c r="ASK4" s="74"/>
      <c r="ASL4" s="74"/>
      <c r="ASM4" s="74"/>
      <c r="ASN4" s="74"/>
      <c r="ASO4" s="74"/>
      <c r="ASP4" s="74"/>
      <c r="ASQ4" s="74"/>
      <c r="ASR4" s="74"/>
      <c r="ASS4" s="74"/>
      <c r="AST4" s="74"/>
      <c r="ASU4" s="74"/>
      <c r="ASV4" s="74"/>
      <c r="ASW4" s="74"/>
      <c r="ASX4" s="74"/>
      <c r="ASY4" s="74"/>
      <c r="ASZ4" s="74"/>
      <c r="ATA4" s="74"/>
      <c r="ATB4" s="74"/>
      <c r="ATC4" s="74"/>
      <c r="ATD4" s="74"/>
      <c r="ATE4" s="74"/>
      <c r="ATF4" s="74"/>
      <c r="ATG4" s="74"/>
      <c r="ATH4" s="74"/>
      <c r="ATI4" s="74"/>
      <c r="ATJ4" s="74"/>
      <c r="ATK4" s="74"/>
      <c r="ATL4" s="74"/>
      <c r="ATM4" s="74"/>
      <c r="ATN4" s="74"/>
      <c r="ATO4" s="74"/>
      <c r="ATP4" s="74"/>
      <c r="ATQ4" s="74"/>
      <c r="ATR4" s="74"/>
      <c r="ATS4" s="74"/>
      <c r="ATT4" s="74"/>
      <c r="ATU4" s="74"/>
      <c r="ATV4" s="74"/>
      <c r="ATW4" s="74"/>
      <c r="ATX4" s="74"/>
      <c r="ATY4" s="74"/>
      <c r="ATZ4" s="74"/>
      <c r="AUA4" s="74"/>
      <c r="AUB4" s="74"/>
      <c r="AUC4" s="74"/>
      <c r="AUD4" s="74"/>
      <c r="AUE4" s="74"/>
      <c r="AUF4" s="74"/>
      <c r="AUG4" s="74"/>
      <c r="AUH4" s="74"/>
      <c r="AUI4" s="74"/>
      <c r="AUJ4" s="74"/>
      <c r="AUK4" s="74"/>
      <c r="AUL4" s="74"/>
      <c r="AUM4" s="74"/>
      <c r="AUN4" s="74"/>
      <c r="AUO4" s="74"/>
      <c r="AUP4" s="74"/>
      <c r="AUQ4" s="74"/>
      <c r="AUR4" s="74"/>
      <c r="AUS4" s="74"/>
      <c r="AUT4" s="74"/>
      <c r="AUU4" s="74"/>
      <c r="AUV4" s="74"/>
      <c r="AUW4" s="74"/>
      <c r="AUX4" s="74"/>
      <c r="AUY4" s="74"/>
      <c r="AUZ4" s="74"/>
      <c r="AVA4" s="74"/>
      <c r="AVB4" s="74"/>
      <c r="AVC4" s="74"/>
      <c r="AVD4" s="74"/>
      <c r="AVE4" s="74"/>
      <c r="AVF4" s="74"/>
      <c r="AVG4" s="74"/>
      <c r="AVH4" s="74"/>
      <c r="AVI4" s="74"/>
      <c r="AVJ4" s="74"/>
      <c r="AVK4" s="74"/>
      <c r="AVL4" s="74"/>
      <c r="AVM4" s="74"/>
      <c r="AVN4" s="74"/>
      <c r="AVO4" s="74"/>
      <c r="AVP4" s="74"/>
      <c r="AVQ4" s="74"/>
      <c r="AVR4" s="74"/>
      <c r="AVS4" s="74"/>
      <c r="AVT4" s="74"/>
      <c r="AVU4" s="74"/>
      <c r="AVV4" s="74"/>
      <c r="AVW4" s="74"/>
      <c r="AVX4" s="74"/>
      <c r="AVY4" s="74"/>
      <c r="AVZ4" s="74"/>
      <c r="AWA4" s="74"/>
      <c r="AWB4" s="74"/>
      <c r="AWC4" s="74"/>
      <c r="AWD4" s="74"/>
      <c r="AWE4" s="74"/>
      <c r="AWF4" s="74"/>
      <c r="AWG4" s="74"/>
      <c r="AWH4" s="74"/>
      <c r="AWI4" s="74"/>
      <c r="AWJ4" s="74"/>
      <c r="AWK4" s="74"/>
      <c r="AWL4" s="74"/>
      <c r="AWM4" s="74"/>
      <c r="AWN4" s="74"/>
      <c r="AWO4" s="74"/>
      <c r="AWP4" s="74"/>
      <c r="AWQ4" s="74"/>
      <c r="AWR4" s="74"/>
      <c r="AWS4" s="74"/>
      <c r="AWT4" s="74"/>
      <c r="AWU4" s="74"/>
      <c r="AWV4" s="74"/>
      <c r="AWW4" s="74"/>
      <c r="AWX4" s="74"/>
      <c r="AWY4" s="74"/>
      <c r="AWZ4" s="74"/>
      <c r="AXA4" s="74"/>
      <c r="AXB4" s="74"/>
      <c r="AXC4" s="74"/>
      <c r="AXD4" s="74"/>
      <c r="AXE4" s="74"/>
      <c r="AXF4" s="74"/>
      <c r="AXG4" s="74"/>
      <c r="AXH4" s="74"/>
      <c r="AXI4" s="74"/>
      <c r="AXJ4" s="74"/>
      <c r="AXK4" s="74"/>
      <c r="AXL4" s="74"/>
      <c r="AXM4" s="74"/>
      <c r="AXN4" s="74"/>
      <c r="AXO4" s="74"/>
      <c r="AXP4" s="74"/>
      <c r="AXQ4" s="74"/>
      <c r="AXR4" s="74"/>
      <c r="AXS4" s="74"/>
      <c r="AXT4" s="74"/>
      <c r="AXU4" s="74"/>
      <c r="AXV4" s="74"/>
      <c r="AXW4" s="74"/>
      <c r="AXX4" s="74"/>
      <c r="AXY4" s="74"/>
      <c r="AXZ4" s="74"/>
      <c r="AYA4" s="74"/>
      <c r="AYB4" s="74"/>
      <c r="AYC4" s="74"/>
      <c r="AYD4" s="74"/>
      <c r="AYE4" s="74"/>
      <c r="AYF4" s="74"/>
      <c r="AYG4" s="74"/>
      <c r="AYH4" s="74"/>
      <c r="AYI4" s="74"/>
      <c r="AYJ4" s="74"/>
      <c r="AYK4" s="74"/>
      <c r="AYL4" s="74"/>
      <c r="AYM4" s="74"/>
      <c r="AYN4" s="74"/>
      <c r="AYO4" s="74"/>
      <c r="AYP4" s="74"/>
      <c r="AYQ4" s="74"/>
      <c r="AYR4" s="74"/>
      <c r="AYS4" s="74"/>
      <c r="AYT4" s="74"/>
      <c r="AYU4" s="74"/>
      <c r="AYV4" s="74"/>
      <c r="AYW4" s="74"/>
      <c r="AYX4" s="74"/>
      <c r="AYY4" s="74"/>
      <c r="AYZ4" s="74"/>
      <c r="AZA4" s="74"/>
      <c r="AZB4" s="74"/>
      <c r="AZC4" s="74"/>
      <c r="AZD4" s="74"/>
      <c r="AZE4" s="74"/>
      <c r="AZF4" s="74"/>
      <c r="AZG4" s="74"/>
      <c r="AZH4" s="74"/>
      <c r="AZI4" s="74"/>
      <c r="AZJ4" s="74"/>
      <c r="AZK4" s="74"/>
      <c r="AZL4" s="74"/>
      <c r="AZM4" s="74"/>
      <c r="AZN4" s="74"/>
      <c r="AZO4" s="74"/>
      <c r="AZP4" s="74"/>
      <c r="AZQ4" s="74"/>
      <c r="AZR4" s="74"/>
      <c r="AZS4" s="74"/>
      <c r="AZT4" s="74"/>
      <c r="AZU4" s="74"/>
      <c r="AZV4" s="74"/>
      <c r="AZW4" s="74"/>
      <c r="AZX4" s="74"/>
      <c r="AZY4" s="74"/>
      <c r="AZZ4" s="74"/>
      <c r="BAA4" s="74"/>
      <c r="BAB4" s="74"/>
      <c r="BAC4" s="74"/>
      <c r="BAD4" s="74"/>
      <c r="BAE4" s="74"/>
      <c r="BAF4" s="74"/>
      <c r="BAG4" s="74"/>
      <c r="BAH4" s="74"/>
      <c r="BAI4" s="74"/>
      <c r="BAJ4" s="74"/>
      <c r="BAK4" s="74"/>
      <c r="BAL4" s="74"/>
      <c r="BAM4" s="74"/>
      <c r="BAN4" s="74"/>
      <c r="BAO4" s="74"/>
      <c r="BAP4" s="74"/>
      <c r="BAQ4" s="74"/>
      <c r="BAR4" s="74"/>
      <c r="BAS4" s="74"/>
      <c r="BAT4" s="74"/>
      <c r="BAU4" s="74"/>
      <c r="BAV4" s="74"/>
      <c r="BAW4" s="74"/>
      <c r="BAX4" s="74"/>
      <c r="BAY4" s="74"/>
      <c r="BAZ4" s="74"/>
      <c r="BBA4" s="74"/>
      <c r="BBB4" s="74"/>
      <c r="BBC4" s="74"/>
      <c r="BBD4" s="74"/>
      <c r="BBE4" s="74"/>
      <c r="BBF4" s="74"/>
      <c r="BBG4" s="74"/>
      <c r="BBH4" s="74"/>
      <c r="BBI4" s="74"/>
      <c r="BBJ4" s="74"/>
      <c r="BBK4" s="74"/>
      <c r="BBL4" s="74"/>
      <c r="BBM4" s="74"/>
      <c r="BBN4" s="74"/>
      <c r="BBO4" s="74"/>
      <c r="BBP4" s="74"/>
      <c r="BBQ4" s="74"/>
      <c r="BBR4" s="74"/>
      <c r="BBS4" s="74"/>
      <c r="BBT4" s="74"/>
      <c r="BBU4" s="74"/>
      <c r="BBV4" s="74"/>
      <c r="BBW4" s="74"/>
      <c r="BBX4" s="74"/>
      <c r="BBY4" s="74"/>
      <c r="BBZ4" s="74"/>
      <c r="BCA4" s="74"/>
      <c r="BCB4" s="74"/>
      <c r="BCC4" s="74"/>
      <c r="BCD4" s="74"/>
      <c r="BCE4" s="74"/>
      <c r="BCF4" s="74"/>
      <c r="BCG4" s="74"/>
      <c r="BCH4" s="74"/>
      <c r="BCI4" s="74"/>
      <c r="BCJ4" s="74"/>
      <c r="BCK4" s="74"/>
      <c r="BCL4" s="74"/>
      <c r="BCM4" s="74"/>
      <c r="BCN4" s="74"/>
      <c r="BCO4" s="74"/>
      <c r="BCP4" s="74"/>
      <c r="BCQ4" s="74"/>
      <c r="BCR4" s="74"/>
      <c r="BCS4" s="74"/>
      <c r="BCT4" s="74"/>
      <c r="BCU4" s="74"/>
      <c r="BCV4" s="74"/>
      <c r="BCW4" s="74"/>
      <c r="BCX4" s="74"/>
      <c r="BCY4" s="74"/>
      <c r="BCZ4" s="74"/>
      <c r="BDA4" s="74"/>
      <c r="BDB4" s="74"/>
      <c r="BDC4" s="74"/>
      <c r="BDD4" s="74"/>
      <c r="BDE4" s="74"/>
      <c r="BDF4" s="74"/>
      <c r="BDG4" s="74"/>
      <c r="BDH4" s="74"/>
      <c r="BDI4" s="74"/>
      <c r="BDJ4" s="74"/>
      <c r="BDK4" s="74"/>
      <c r="BDL4" s="74"/>
      <c r="BDM4" s="74"/>
      <c r="BDN4" s="74"/>
      <c r="BDO4" s="74"/>
      <c r="BDP4" s="74"/>
      <c r="BDQ4" s="74"/>
      <c r="BDR4" s="74"/>
      <c r="BDS4" s="74"/>
      <c r="BDT4" s="74"/>
      <c r="BDU4" s="74"/>
      <c r="BDV4" s="74"/>
      <c r="BDW4" s="74"/>
      <c r="BDX4" s="74"/>
      <c r="BDY4" s="74"/>
      <c r="BDZ4" s="74"/>
      <c r="BEA4" s="74"/>
      <c r="BEB4" s="74"/>
      <c r="BEC4" s="74"/>
      <c r="BED4" s="74"/>
      <c r="BEE4" s="74"/>
      <c r="BEF4" s="74"/>
      <c r="BEG4" s="74"/>
      <c r="BEH4" s="74"/>
      <c r="BEI4" s="74"/>
      <c r="BEJ4" s="74"/>
      <c r="BEK4" s="74"/>
      <c r="BEL4" s="74"/>
      <c r="BEM4" s="74"/>
      <c r="BEN4" s="74"/>
      <c r="BEO4" s="74"/>
      <c r="BEP4" s="74"/>
      <c r="BEQ4" s="74"/>
      <c r="BER4" s="74"/>
      <c r="BES4" s="74"/>
      <c r="BET4" s="74"/>
      <c r="BEU4" s="74"/>
      <c r="BEV4" s="74"/>
      <c r="BEW4" s="74"/>
      <c r="BEX4" s="74"/>
      <c r="BEY4" s="74"/>
      <c r="BEZ4" s="74"/>
      <c r="BFA4" s="74"/>
      <c r="BFB4" s="74"/>
      <c r="BFC4" s="74"/>
      <c r="BFD4" s="74"/>
      <c r="BFE4" s="74"/>
      <c r="BFF4" s="74"/>
      <c r="BFG4" s="74"/>
      <c r="BFH4" s="74"/>
      <c r="BFI4" s="74"/>
      <c r="BFJ4" s="74"/>
      <c r="BFK4" s="74"/>
      <c r="BFL4" s="74"/>
      <c r="BFM4" s="74"/>
      <c r="BFN4" s="74"/>
      <c r="BFO4" s="74"/>
      <c r="BFP4" s="74"/>
      <c r="BFQ4" s="74"/>
      <c r="BFR4" s="74"/>
      <c r="BFS4" s="74"/>
      <c r="BFT4" s="74"/>
      <c r="BFU4" s="74"/>
      <c r="BFV4" s="74"/>
      <c r="BFW4" s="74"/>
      <c r="BFX4" s="74"/>
      <c r="BFY4" s="74"/>
      <c r="BFZ4" s="74"/>
      <c r="BGA4" s="74"/>
      <c r="BGB4" s="74"/>
      <c r="BGC4" s="74"/>
      <c r="BGD4" s="74"/>
      <c r="BGE4" s="74"/>
      <c r="BGF4" s="74"/>
      <c r="BGG4" s="74"/>
      <c r="BGH4" s="74"/>
      <c r="BGI4" s="74"/>
      <c r="BGJ4" s="74"/>
      <c r="BGK4" s="74"/>
      <c r="BGL4" s="74"/>
      <c r="BGM4" s="74"/>
      <c r="BGN4" s="74"/>
      <c r="BGO4" s="74"/>
      <c r="BGP4" s="74"/>
      <c r="BGQ4" s="74"/>
      <c r="BGR4" s="74"/>
      <c r="BGS4" s="74"/>
      <c r="BGT4" s="74"/>
      <c r="BGU4" s="74"/>
      <c r="BGV4" s="74"/>
      <c r="BGW4" s="74"/>
      <c r="BGX4" s="74"/>
      <c r="BGY4" s="74"/>
      <c r="BGZ4" s="74"/>
      <c r="BHA4" s="74"/>
      <c r="BHB4" s="74"/>
      <c r="BHC4" s="74"/>
      <c r="BHD4" s="74"/>
      <c r="BHE4" s="74"/>
      <c r="BHF4" s="74"/>
      <c r="BHG4" s="74"/>
      <c r="BHH4" s="74"/>
      <c r="BHI4" s="74"/>
      <c r="BHJ4" s="74"/>
      <c r="BHK4" s="74"/>
      <c r="BHL4" s="74"/>
      <c r="BHM4" s="74"/>
      <c r="BHN4" s="74"/>
      <c r="BHO4" s="74"/>
      <c r="BHP4" s="74"/>
      <c r="BHQ4" s="74"/>
      <c r="BHR4" s="74"/>
      <c r="BHS4" s="74"/>
      <c r="BHT4" s="74"/>
      <c r="BHU4" s="74"/>
      <c r="BHV4" s="74"/>
      <c r="BHW4" s="74"/>
      <c r="BHX4" s="74"/>
      <c r="BHY4" s="74"/>
      <c r="BHZ4" s="74"/>
      <c r="BIA4" s="74"/>
      <c r="BIB4" s="74"/>
      <c r="BIC4" s="74"/>
      <c r="BID4" s="74"/>
      <c r="BIE4" s="74"/>
      <c r="BIF4" s="74"/>
      <c r="BIG4" s="74"/>
      <c r="BIH4" s="74"/>
      <c r="BII4" s="74"/>
      <c r="BIJ4" s="74"/>
      <c r="BIK4" s="74"/>
      <c r="BIL4" s="74"/>
      <c r="BIM4" s="74"/>
      <c r="BIN4" s="74"/>
      <c r="BIO4" s="74"/>
      <c r="BIP4" s="74"/>
      <c r="BIQ4" s="74"/>
      <c r="BIR4" s="74"/>
      <c r="BIS4" s="74"/>
      <c r="BIT4" s="74"/>
      <c r="BIU4" s="74"/>
      <c r="BIV4" s="74"/>
      <c r="BIW4" s="74"/>
      <c r="BIX4" s="74"/>
      <c r="BIY4" s="74"/>
      <c r="BIZ4" s="74"/>
      <c r="BJA4" s="74"/>
      <c r="BJB4" s="74"/>
      <c r="BJC4" s="74"/>
      <c r="BJD4" s="74"/>
      <c r="BJE4" s="74"/>
      <c r="BJF4" s="74"/>
      <c r="BJG4" s="74"/>
      <c r="BJH4" s="74"/>
      <c r="BJI4" s="74"/>
      <c r="BJJ4" s="74"/>
      <c r="BJK4" s="74"/>
      <c r="BJL4" s="74"/>
      <c r="BJM4" s="74"/>
      <c r="BJN4" s="74"/>
      <c r="BJO4" s="74"/>
      <c r="BJP4" s="74"/>
      <c r="BJQ4" s="74"/>
      <c r="BJR4" s="74"/>
      <c r="BJS4" s="74"/>
      <c r="BJT4" s="74"/>
      <c r="BJU4" s="74"/>
      <c r="BJV4" s="74"/>
      <c r="BJW4" s="74"/>
      <c r="BJX4" s="74"/>
      <c r="BJY4" s="74"/>
      <c r="BJZ4" s="74"/>
      <c r="BKA4" s="74"/>
      <c r="BKB4" s="74"/>
      <c r="BKC4" s="74"/>
      <c r="BKD4" s="74"/>
      <c r="BKE4" s="74"/>
      <c r="BKF4" s="74"/>
      <c r="BKG4" s="74"/>
      <c r="BKH4" s="74"/>
      <c r="BKI4" s="74"/>
      <c r="BKJ4" s="74"/>
      <c r="BKK4" s="74"/>
      <c r="BKL4" s="74"/>
      <c r="BKM4" s="74"/>
      <c r="BKN4" s="74"/>
      <c r="BKO4" s="74"/>
      <c r="BKP4" s="74"/>
      <c r="BKQ4" s="74"/>
      <c r="BKR4" s="74"/>
      <c r="BKS4" s="74"/>
      <c r="BKT4" s="74"/>
      <c r="BKU4" s="74"/>
      <c r="BKV4" s="74"/>
      <c r="BKW4" s="74"/>
      <c r="BKX4" s="74"/>
      <c r="BKY4" s="74"/>
      <c r="BKZ4" s="74"/>
      <c r="BLA4" s="74"/>
      <c r="BLB4" s="74"/>
      <c r="BLC4" s="74"/>
      <c r="BLD4" s="74"/>
      <c r="BLE4" s="74"/>
      <c r="BLF4" s="74"/>
      <c r="BLG4" s="74"/>
      <c r="BLH4" s="74"/>
      <c r="BLI4" s="74"/>
      <c r="BLJ4" s="74"/>
      <c r="BLK4" s="74"/>
      <c r="BLL4" s="74"/>
      <c r="BLM4" s="74"/>
      <c r="BLN4" s="74"/>
      <c r="BLO4" s="74"/>
      <c r="BLP4" s="74"/>
      <c r="BLQ4" s="74"/>
      <c r="BLR4" s="74"/>
      <c r="BLS4" s="74"/>
      <c r="BLT4" s="74"/>
      <c r="BLU4" s="74"/>
      <c r="BLV4" s="74"/>
      <c r="BLW4" s="74"/>
      <c r="BLX4" s="74"/>
      <c r="BLY4" s="74"/>
      <c r="BLZ4" s="74"/>
      <c r="BMA4" s="74"/>
      <c r="BMB4" s="74"/>
      <c r="BMC4" s="74"/>
      <c r="BMD4" s="74"/>
      <c r="BME4" s="74"/>
      <c r="BMF4" s="74"/>
      <c r="BMG4" s="74"/>
      <c r="BMH4" s="74"/>
      <c r="BMI4" s="74"/>
      <c r="BMJ4" s="74"/>
      <c r="BMK4" s="74"/>
      <c r="BML4" s="74"/>
      <c r="BMM4" s="74"/>
      <c r="BMN4" s="74"/>
      <c r="BMO4" s="74"/>
      <c r="BMP4" s="74"/>
      <c r="BMQ4" s="74"/>
      <c r="BMR4" s="74"/>
      <c r="BMS4" s="74"/>
      <c r="BMT4" s="74"/>
      <c r="BMU4" s="74"/>
      <c r="BMV4" s="74"/>
      <c r="BMW4" s="74"/>
      <c r="BMX4" s="74"/>
      <c r="BMY4" s="74"/>
      <c r="BMZ4" s="74"/>
      <c r="BNA4" s="74"/>
      <c r="BNB4" s="74"/>
      <c r="BNC4" s="74"/>
      <c r="BND4" s="74"/>
      <c r="BNE4" s="74"/>
      <c r="BNF4" s="74"/>
      <c r="BNG4" s="74"/>
      <c r="BNH4" s="74"/>
      <c r="BNI4" s="74"/>
      <c r="BNJ4" s="74"/>
      <c r="BNK4" s="74"/>
      <c r="BNL4" s="74"/>
      <c r="BNM4" s="74"/>
      <c r="BNN4" s="74"/>
      <c r="BNO4" s="74"/>
      <c r="BNP4" s="74"/>
      <c r="BNQ4" s="74"/>
      <c r="BNR4" s="74"/>
      <c r="BNS4" s="74"/>
      <c r="BNT4" s="74"/>
      <c r="BNU4" s="74"/>
      <c r="BNV4" s="74"/>
      <c r="BNW4" s="74"/>
      <c r="BNX4" s="74"/>
      <c r="BNY4" s="74"/>
      <c r="BNZ4" s="74"/>
      <c r="BOA4" s="74"/>
      <c r="BOB4" s="74"/>
      <c r="BOC4" s="74"/>
      <c r="BOD4" s="74"/>
      <c r="BOE4" s="74"/>
      <c r="BOF4" s="74"/>
      <c r="BOG4" s="74"/>
      <c r="BOH4" s="74"/>
      <c r="BOI4" s="74"/>
      <c r="BOJ4" s="74"/>
      <c r="BOK4" s="74"/>
      <c r="BOL4" s="74"/>
      <c r="BOM4" s="74"/>
      <c r="BON4" s="74"/>
      <c r="BOO4" s="74"/>
      <c r="BOP4" s="74"/>
      <c r="BOQ4" s="74"/>
      <c r="BOR4" s="74"/>
      <c r="BOS4" s="74"/>
      <c r="BOT4" s="74"/>
      <c r="BOU4" s="74"/>
      <c r="BOV4" s="74"/>
      <c r="BOW4" s="74"/>
      <c r="BOX4" s="74"/>
      <c r="BOY4" s="74"/>
      <c r="BOZ4" s="74"/>
      <c r="BPA4" s="74"/>
      <c r="BPB4" s="74"/>
      <c r="BPC4" s="74"/>
      <c r="BPD4" s="74"/>
      <c r="BPE4" s="74"/>
      <c r="BPF4" s="74"/>
      <c r="BPG4" s="74"/>
      <c r="BPH4" s="74"/>
      <c r="BPI4" s="74"/>
      <c r="BPJ4" s="74"/>
      <c r="BPK4" s="74"/>
      <c r="BPL4" s="74"/>
      <c r="BPM4" s="74"/>
      <c r="BPN4" s="74"/>
      <c r="BPO4" s="74"/>
      <c r="BPP4" s="74"/>
      <c r="BPQ4" s="74"/>
      <c r="BPR4" s="74"/>
      <c r="BPS4" s="74"/>
      <c r="BPT4" s="74"/>
      <c r="BPU4" s="74"/>
      <c r="BPV4" s="74"/>
      <c r="BPW4" s="74"/>
      <c r="BPX4" s="74"/>
      <c r="BPY4" s="74"/>
      <c r="BPZ4" s="74"/>
      <c r="BQA4" s="74"/>
      <c r="BQB4" s="74"/>
      <c r="BQC4" s="74"/>
      <c r="BQD4" s="74"/>
      <c r="BQE4" s="74"/>
      <c r="BQF4" s="74"/>
      <c r="BQG4" s="74"/>
      <c r="BQH4" s="74"/>
      <c r="BQI4" s="74"/>
      <c r="BQJ4" s="74"/>
      <c r="BQK4" s="74"/>
      <c r="BQL4" s="74"/>
      <c r="BQM4" s="74"/>
      <c r="BQN4" s="74"/>
      <c r="BQO4" s="74"/>
      <c r="BQP4" s="74"/>
      <c r="BQQ4" s="74"/>
      <c r="BQR4" s="74"/>
      <c r="BQS4" s="74"/>
      <c r="BQT4" s="74"/>
      <c r="BQU4" s="74"/>
      <c r="BQV4" s="74"/>
      <c r="BQW4" s="74"/>
      <c r="BQX4" s="74"/>
      <c r="BQY4" s="74"/>
      <c r="BQZ4" s="74"/>
      <c r="BRA4" s="74"/>
      <c r="BRB4" s="74"/>
      <c r="BRC4" s="74"/>
      <c r="BRD4" s="74"/>
      <c r="BRE4" s="74"/>
      <c r="BRF4" s="74"/>
      <c r="BRG4" s="74"/>
      <c r="BRH4" s="74"/>
      <c r="BRI4" s="74"/>
      <c r="BRJ4" s="74"/>
      <c r="BRK4" s="74"/>
      <c r="BRL4" s="74"/>
      <c r="BRM4" s="74"/>
      <c r="BRN4" s="74"/>
      <c r="BRO4" s="74"/>
      <c r="BRP4" s="74"/>
      <c r="BRQ4" s="74"/>
      <c r="BRR4" s="74"/>
      <c r="BRS4" s="74"/>
      <c r="BRT4" s="74"/>
      <c r="BRU4" s="74"/>
      <c r="BRV4" s="74"/>
      <c r="BRW4" s="74"/>
      <c r="BRX4" s="74"/>
      <c r="BRY4" s="74"/>
      <c r="BRZ4" s="74"/>
      <c r="BSA4" s="74"/>
      <c r="BSB4" s="74"/>
      <c r="BSC4" s="74"/>
      <c r="BSD4" s="74"/>
      <c r="BSE4" s="74"/>
      <c r="BSF4" s="74"/>
      <c r="BSG4" s="74"/>
      <c r="BSH4" s="74"/>
      <c r="BSI4" s="74"/>
      <c r="BSJ4" s="74"/>
      <c r="BSK4" s="74"/>
      <c r="BSL4" s="74"/>
      <c r="BSM4" s="74"/>
      <c r="BSN4" s="74"/>
      <c r="BSO4" s="74"/>
      <c r="BSP4" s="74"/>
      <c r="BSQ4" s="74"/>
      <c r="BSR4" s="74"/>
      <c r="BSS4" s="74"/>
      <c r="BST4" s="74"/>
      <c r="BSU4" s="74"/>
      <c r="BSV4" s="74"/>
      <c r="BSW4" s="74"/>
      <c r="BSX4" s="74"/>
      <c r="BSY4" s="74"/>
      <c r="BSZ4" s="74"/>
      <c r="BTA4" s="74"/>
      <c r="BTB4" s="74"/>
      <c r="BTC4" s="74"/>
      <c r="BTD4" s="74"/>
      <c r="BTE4" s="74"/>
      <c r="BTF4" s="74"/>
      <c r="BTG4" s="74"/>
      <c r="BTH4" s="74"/>
      <c r="BTI4" s="74"/>
      <c r="BTJ4" s="74"/>
      <c r="BTK4" s="74"/>
      <c r="BTL4" s="74"/>
      <c r="BTM4" s="74"/>
      <c r="BTN4" s="74"/>
      <c r="BTO4" s="74"/>
      <c r="BTP4" s="74"/>
      <c r="BTQ4" s="74"/>
      <c r="BTR4" s="74"/>
      <c r="BTS4" s="74"/>
      <c r="BTT4" s="74"/>
      <c r="BTU4" s="74"/>
      <c r="BTV4" s="74"/>
      <c r="BTW4" s="74"/>
      <c r="BTX4" s="74"/>
      <c r="BTY4" s="74"/>
      <c r="BTZ4" s="74"/>
      <c r="BUA4" s="74"/>
      <c r="BUB4" s="74"/>
      <c r="BUC4" s="74"/>
      <c r="BUD4" s="74"/>
      <c r="BUE4" s="74"/>
      <c r="BUF4" s="74"/>
      <c r="BUG4" s="74"/>
      <c r="BUH4" s="74"/>
      <c r="BUI4" s="74"/>
      <c r="BUJ4" s="74"/>
      <c r="BUK4" s="74"/>
      <c r="BUL4" s="74"/>
      <c r="BUM4" s="74"/>
      <c r="BUN4" s="74"/>
      <c r="BUO4" s="74"/>
      <c r="BUP4" s="74"/>
      <c r="BUQ4" s="74"/>
      <c r="BUR4" s="74"/>
      <c r="BUS4" s="74"/>
      <c r="BUT4" s="74"/>
      <c r="BUU4" s="74"/>
      <c r="BUV4" s="74"/>
      <c r="BUW4" s="74"/>
      <c r="BUX4" s="74"/>
      <c r="BUY4" s="74"/>
      <c r="BUZ4" s="74"/>
      <c r="BVA4" s="74"/>
      <c r="BVB4" s="74"/>
      <c r="BVC4" s="74"/>
      <c r="BVD4" s="74"/>
      <c r="BVE4" s="74"/>
      <c r="BVF4" s="74"/>
      <c r="BVG4" s="74"/>
      <c r="BVH4" s="74"/>
      <c r="BVI4" s="74"/>
      <c r="BVJ4" s="74"/>
      <c r="BVK4" s="74"/>
      <c r="BVL4" s="74"/>
      <c r="BVM4" s="74"/>
      <c r="BVN4" s="74"/>
      <c r="BVO4" s="74"/>
      <c r="BVP4" s="74"/>
      <c r="BVQ4" s="74"/>
      <c r="BVR4" s="74"/>
      <c r="BVS4" s="74"/>
      <c r="BVT4" s="74"/>
      <c r="BVU4" s="74"/>
      <c r="BVV4" s="74"/>
      <c r="BVW4" s="74"/>
      <c r="BVX4" s="74"/>
      <c r="BVY4" s="74"/>
      <c r="BVZ4" s="74"/>
      <c r="BWA4" s="74"/>
      <c r="BWB4" s="74"/>
      <c r="BWC4" s="74"/>
      <c r="BWD4" s="74"/>
      <c r="BWE4" s="74"/>
      <c r="BWF4" s="74"/>
      <c r="BWG4" s="74"/>
      <c r="BWH4" s="74"/>
      <c r="BWI4" s="74"/>
      <c r="BWJ4" s="74"/>
      <c r="BWK4" s="74"/>
      <c r="BWL4" s="74"/>
      <c r="BWM4" s="74"/>
      <c r="BWN4" s="74"/>
      <c r="BWO4" s="74"/>
      <c r="BWP4" s="74"/>
      <c r="BWQ4" s="74"/>
      <c r="BWR4" s="74"/>
      <c r="BWS4" s="74"/>
      <c r="BWT4" s="74"/>
      <c r="BWU4" s="74"/>
      <c r="BWV4" s="74"/>
      <c r="BWW4" s="74"/>
      <c r="BWX4" s="74"/>
      <c r="BWY4" s="74"/>
      <c r="BWZ4" s="74"/>
      <c r="BXA4" s="74"/>
      <c r="BXB4" s="74"/>
      <c r="BXC4" s="74"/>
      <c r="BXD4" s="74"/>
      <c r="BXE4" s="74"/>
      <c r="BXF4" s="74"/>
      <c r="BXG4" s="74"/>
      <c r="BXH4" s="74"/>
      <c r="BXI4" s="74"/>
      <c r="BXJ4" s="74"/>
      <c r="BXK4" s="74"/>
      <c r="BXL4" s="74"/>
      <c r="BXM4" s="74"/>
      <c r="BXN4" s="74"/>
      <c r="BXO4" s="74"/>
      <c r="BXP4" s="74"/>
      <c r="BXQ4" s="74"/>
      <c r="BXR4" s="74"/>
      <c r="BXS4" s="74"/>
      <c r="BXT4" s="74"/>
      <c r="BXU4" s="74"/>
      <c r="BXV4" s="74"/>
      <c r="BXW4" s="74"/>
      <c r="BXX4" s="74"/>
      <c r="BXY4" s="74"/>
      <c r="BXZ4" s="74"/>
      <c r="BYA4" s="74"/>
      <c r="BYB4" s="74"/>
      <c r="BYC4" s="74"/>
      <c r="BYD4" s="74"/>
      <c r="BYE4" s="74"/>
      <c r="BYF4" s="74"/>
      <c r="BYG4" s="74"/>
      <c r="BYH4" s="74"/>
      <c r="BYI4" s="74"/>
      <c r="BYJ4" s="74"/>
      <c r="BYK4" s="74"/>
      <c r="BYL4" s="74"/>
      <c r="BYM4" s="74"/>
      <c r="BYN4" s="74"/>
      <c r="BYO4" s="74"/>
      <c r="BYP4" s="74"/>
      <c r="BYQ4" s="74"/>
      <c r="BYR4" s="74"/>
      <c r="BYS4" s="74"/>
      <c r="BYT4" s="74"/>
      <c r="BYU4" s="74"/>
      <c r="BYV4" s="74"/>
      <c r="BYW4" s="74"/>
      <c r="BYX4" s="74"/>
      <c r="BYY4" s="74"/>
      <c r="BYZ4" s="74"/>
      <c r="BZA4" s="74"/>
      <c r="BZB4" s="74"/>
      <c r="BZC4" s="74"/>
      <c r="BZD4" s="74"/>
      <c r="BZE4" s="74"/>
      <c r="BZF4" s="74"/>
      <c r="BZG4" s="74"/>
      <c r="BZH4" s="74"/>
      <c r="BZI4" s="74"/>
      <c r="BZJ4" s="74"/>
      <c r="BZK4" s="74"/>
      <c r="BZL4" s="74"/>
      <c r="BZM4" s="74"/>
      <c r="BZN4" s="74"/>
      <c r="BZO4" s="74"/>
      <c r="BZP4" s="74"/>
      <c r="BZQ4" s="74"/>
      <c r="BZR4" s="74"/>
      <c r="BZS4" s="74"/>
      <c r="BZT4" s="74"/>
      <c r="BZU4" s="74"/>
      <c r="BZV4" s="74"/>
      <c r="BZW4" s="74"/>
      <c r="BZX4" s="74"/>
      <c r="BZY4" s="74"/>
      <c r="BZZ4" s="74"/>
      <c r="CAA4" s="74"/>
      <c r="CAB4" s="74"/>
      <c r="CAC4" s="74"/>
      <c r="CAD4" s="74"/>
      <c r="CAE4" s="74"/>
      <c r="CAF4" s="74"/>
      <c r="CAG4" s="74"/>
      <c r="CAH4" s="74"/>
      <c r="CAI4" s="74"/>
      <c r="CAJ4" s="74"/>
      <c r="CAK4" s="74"/>
      <c r="CAL4" s="74"/>
      <c r="CAM4" s="74"/>
      <c r="CAN4" s="74"/>
      <c r="CAO4" s="74"/>
      <c r="CAP4" s="74"/>
      <c r="CAQ4" s="74"/>
      <c r="CAR4" s="74"/>
      <c r="CAS4" s="74"/>
      <c r="CAT4" s="74"/>
      <c r="CAU4" s="74"/>
      <c r="CAV4" s="74"/>
      <c r="CAW4" s="74"/>
      <c r="CAX4" s="74"/>
      <c r="CAY4" s="74"/>
      <c r="CAZ4" s="74"/>
      <c r="CBA4" s="74"/>
      <c r="CBB4" s="74"/>
      <c r="CBC4" s="74"/>
      <c r="CBD4" s="74"/>
      <c r="CBE4" s="74"/>
      <c r="CBF4" s="74"/>
      <c r="CBG4" s="74"/>
      <c r="CBH4" s="74"/>
      <c r="CBI4" s="74"/>
      <c r="CBJ4" s="74"/>
      <c r="CBK4" s="74"/>
      <c r="CBL4" s="74"/>
      <c r="CBM4" s="74"/>
      <c r="CBN4" s="74"/>
      <c r="CBO4" s="74"/>
      <c r="CBP4" s="74"/>
      <c r="CBQ4" s="74"/>
      <c r="CBR4" s="74"/>
      <c r="CBS4" s="74"/>
      <c r="CBT4" s="74"/>
      <c r="CBU4" s="74"/>
      <c r="CBV4" s="74"/>
      <c r="CBW4" s="74"/>
      <c r="CBX4" s="74"/>
      <c r="CBY4" s="74"/>
      <c r="CBZ4" s="74"/>
      <c r="CCA4" s="74"/>
      <c r="CCB4" s="74"/>
      <c r="CCC4" s="74"/>
      <c r="CCD4" s="74"/>
      <c r="CCE4" s="74"/>
      <c r="CCF4" s="74"/>
      <c r="CCG4" s="74"/>
      <c r="CCH4" s="74"/>
      <c r="CCI4" s="74"/>
      <c r="CCJ4" s="74"/>
      <c r="CCK4" s="74"/>
      <c r="CCL4" s="74"/>
      <c r="CCM4" s="74"/>
      <c r="CCN4" s="74"/>
      <c r="CCO4" s="74"/>
      <c r="CCP4" s="74"/>
      <c r="CCQ4" s="74"/>
      <c r="CCR4" s="74"/>
      <c r="CCS4" s="74"/>
      <c r="CCT4" s="74"/>
      <c r="CCU4" s="74"/>
      <c r="CCV4" s="74"/>
      <c r="CCW4" s="74"/>
      <c r="CCX4" s="74"/>
      <c r="CCY4" s="74"/>
      <c r="CCZ4" s="74"/>
      <c r="CDA4" s="74"/>
      <c r="CDB4" s="74"/>
      <c r="CDC4" s="74"/>
      <c r="CDD4" s="74"/>
      <c r="CDE4" s="74"/>
      <c r="CDF4" s="74"/>
      <c r="CDG4" s="74"/>
      <c r="CDH4" s="74"/>
      <c r="CDI4" s="74"/>
      <c r="CDJ4" s="74"/>
      <c r="CDK4" s="74"/>
      <c r="CDL4" s="74"/>
      <c r="CDM4" s="74"/>
      <c r="CDN4" s="74"/>
      <c r="CDO4" s="74"/>
      <c r="CDP4" s="74"/>
      <c r="CDQ4" s="74"/>
      <c r="CDR4" s="74"/>
      <c r="CDS4" s="74"/>
      <c r="CDT4" s="74"/>
      <c r="CDU4" s="74"/>
      <c r="CDV4" s="74"/>
      <c r="CDW4" s="74"/>
      <c r="CDX4" s="74"/>
      <c r="CDY4" s="74"/>
      <c r="CDZ4" s="74"/>
      <c r="CEA4" s="74"/>
      <c r="CEB4" s="74"/>
      <c r="CEC4" s="74"/>
      <c r="CED4" s="74"/>
      <c r="CEE4" s="74"/>
      <c r="CEF4" s="74"/>
      <c r="CEG4" s="74"/>
      <c r="CEH4" s="74"/>
      <c r="CEI4" s="74"/>
      <c r="CEJ4" s="74"/>
      <c r="CEK4" s="74"/>
      <c r="CEL4" s="74"/>
      <c r="CEM4" s="74"/>
      <c r="CEN4" s="74"/>
      <c r="CEO4" s="74"/>
      <c r="CEP4" s="74"/>
      <c r="CEQ4" s="74"/>
      <c r="CER4" s="74"/>
      <c r="CES4" s="74"/>
      <c r="CET4" s="74"/>
      <c r="CEU4" s="74"/>
      <c r="CEV4" s="74"/>
      <c r="CEW4" s="74"/>
      <c r="CEX4" s="74"/>
      <c r="CEY4" s="74"/>
      <c r="CEZ4" s="74"/>
      <c r="CFA4" s="74"/>
      <c r="CFB4" s="74"/>
      <c r="CFC4" s="74"/>
      <c r="CFD4" s="74"/>
      <c r="CFE4" s="74"/>
      <c r="CFF4" s="74"/>
      <c r="CFG4" s="74"/>
      <c r="CFH4" s="74"/>
      <c r="CFI4" s="74"/>
      <c r="CFJ4" s="74"/>
      <c r="CFK4" s="74"/>
      <c r="CFL4" s="74"/>
      <c r="CFM4" s="74"/>
      <c r="CFN4" s="74"/>
      <c r="CFO4" s="74"/>
      <c r="CFP4" s="74"/>
      <c r="CFQ4" s="74"/>
      <c r="CFR4" s="74"/>
      <c r="CFS4" s="74"/>
      <c r="CFT4" s="74"/>
      <c r="CFU4" s="74"/>
      <c r="CFV4" s="74"/>
      <c r="CFW4" s="74"/>
      <c r="CFX4" s="74"/>
      <c r="CFY4" s="74"/>
      <c r="CFZ4" s="74"/>
      <c r="CGA4" s="74"/>
      <c r="CGB4" s="74"/>
      <c r="CGC4" s="74"/>
      <c r="CGD4" s="74"/>
      <c r="CGE4" s="74"/>
      <c r="CGF4" s="74"/>
      <c r="CGG4" s="74"/>
      <c r="CGH4" s="74"/>
      <c r="CGI4" s="74"/>
      <c r="CGJ4" s="74"/>
      <c r="CGK4" s="74"/>
      <c r="CGL4" s="74"/>
      <c r="CGM4" s="74"/>
      <c r="CGN4" s="74"/>
      <c r="CGO4" s="74"/>
      <c r="CGP4" s="74"/>
      <c r="CGQ4" s="74"/>
      <c r="CGR4" s="74"/>
      <c r="CGS4" s="74"/>
      <c r="CGT4" s="74"/>
      <c r="CGU4" s="74"/>
      <c r="CGV4" s="74"/>
      <c r="CGW4" s="74"/>
      <c r="CGX4" s="74"/>
      <c r="CGY4" s="74"/>
      <c r="CGZ4" s="74"/>
      <c r="CHA4" s="74"/>
      <c r="CHB4" s="74"/>
      <c r="CHC4" s="74"/>
      <c r="CHD4" s="74"/>
      <c r="CHE4" s="74"/>
      <c r="CHF4" s="74"/>
      <c r="CHG4" s="74"/>
      <c r="CHH4" s="74"/>
      <c r="CHI4" s="74"/>
      <c r="CHJ4" s="74"/>
      <c r="CHK4" s="74"/>
      <c r="CHL4" s="74"/>
      <c r="CHM4" s="74"/>
      <c r="CHN4" s="74"/>
      <c r="CHO4" s="74"/>
      <c r="CHP4" s="74"/>
      <c r="CHQ4" s="74"/>
      <c r="CHR4" s="74"/>
      <c r="CHS4" s="74"/>
      <c r="CHT4" s="74"/>
      <c r="CHU4" s="74"/>
      <c r="CHV4" s="74"/>
      <c r="CHW4" s="74"/>
      <c r="CHX4" s="74"/>
      <c r="CHY4" s="74"/>
      <c r="CHZ4" s="74"/>
      <c r="CIA4" s="74"/>
      <c r="CIB4" s="74"/>
      <c r="CIC4" s="74"/>
      <c r="CID4" s="74"/>
      <c r="CIE4" s="74"/>
      <c r="CIF4" s="74"/>
      <c r="CIG4" s="74"/>
      <c r="CIH4" s="74"/>
      <c r="CII4" s="74"/>
      <c r="CIJ4" s="74"/>
      <c r="CIK4" s="74"/>
      <c r="CIL4" s="74"/>
      <c r="CIM4" s="74"/>
      <c r="CIN4" s="74"/>
      <c r="CIO4" s="74"/>
      <c r="CIP4" s="74"/>
      <c r="CIQ4" s="74"/>
      <c r="CIR4" s="74"/>
      <c r="CIS4" s="74"/>
      <c r="CIT4" s="74"/>
      <c r="CIU4" s="74"/>
      <c r="CIV4" s="74"/>
      <c r="CIW4" s="74"/>
      <c r="CIX4" s="74"/>
      <c r="CIY4" s="74"/>
      <c r="CIZ4" s="74"/>
      <c r="CJA4" s="74"/>
      <c r="CJB4" s="74"/>
      <c r="CJC4" s="74"/>
      <c r="CJD4" s="74"/>
      <c r="CJE4" s="74"/>
      <c r="CJF4" s="74"/>
      <c r="CJG4" s="74"/>
      <c r="CJH4" s="74"/>
      <c r="CJI4" s="74"/>
      <c r="CJJ4" s="74"/>
      <c r="CJK4" s="74"/>
      <c r="CJL4" s="74"/>
      <c r="CJM4" s="74"/>
      <c r="CJN4" s="74"/>
      <c r="CJO4" s="74"/>
      <c r="CJP4" s="74"/>
      <c r="CJQ4" s="74"/>
      <c r="CJR4" s="74"/>
      <c r="CJS4" s="74"/>
      <c r="CJT4" s="74"/>
      <c r="CJU4" s="74"/>
      <c r="CJV4" s="74"/>
      <c r="CJW4" s="74"/>
      <c r="CJX4" s="74"/>
      <c r="CJY4" s="74"/>
      <c r="CJZ4" s="74"/>
      <c r="CKA4" s="74"/>
      <c r="CKB4" s="74"/>
      <c r="CKC4" s="74"/>
      <c r="CKD4" s="74"/>
      <c r="CKE4" s="74"/>
      <c r="CKF4" s="74"/>
      <c r="CKG4" s="74"/>
      <c r="CKH4" s="74"/>
      <c r="CKI4" s="74"/>
      <c r="CKJ4" s="74"/>
      <c r="CKK4" s="74"/>
      <c r="CKL4" s="74"/>
      <c r="CKM4" s="74"/>
      <c r="CKN4" s="74"/>
      <c r="CKO4" s="74"/>
      <c r="CKP4" s="74"/>
      <c r="CKQ4" s="74"/>
      <c r="CKR4" s="74"/>
      <c r="CKS4" s="74"/>
      <c r="CKT4" s="74"/>
      <c r="CKU4" s="74"/>
      <c r="CKV4" s="74"/>
      <c r="CKW4" s="74"/>
      <c r="CKX4" s="74"/>
      <c r="CKY4" s="74"/>
      <c r="CKZ4" s="74"/>
      <c r="CLA4" s="74"/>
      <c r="CLB4" s="74"/>
      <c r="CLC4" s="74"/>
      <c r="CLD4" s="74"/>
      <c r="CLE4" s="74"/>
      <c r="CLF4" s="74"/>
      <c r="CLG4" s="74"/>
      <c r="CLH4" s="74"/>
      <c r="CLI4" s="74"/>
      <c r="CLJ4" s="74"/>
      <c r="CLK4" s="74"/>
      <c r="CLL4" s="74"/>
      <c r="CLM4" s="74"/>
      <c r="CLN4" s="74"/>
      <c r="CLO4" s="74"/>
      <c r="CLP4" s="74"/>
      <c r="CLQ4" s="74"/>
      <c r="CLR4" s="74"/>
      <c r="CLS4" s="74"/>
      <c r="CLT4" s="74"/>
      <c r="CLU4" s="74"/>
      <c r="CLV4" s="74"/>
      <c r="CLW4" s="74"/>
      <c r="CLX4" s="74"/>
      <c r="CLY4" s="74"/>
      <c r="CLZ4" s="74"/>
      <c r="CMA4" s="74"/>
      <c r="CMB4" s="74"/>
      <c r="CMC4" s="74"/>
      <c r="CMD4" s="74"/>
      <c r="CME4" s="74"/>
      <c r="CMF4" s="74"/>
      <c r="CMG4" s="74"/>
      <c r="CMH4" s="74"/>
      <c r="CMI4" s="74"/>
      <c r="CMJ4" s="74"/>
      <c r="CMK4" s="74"/>
      <c r="CML4" s="74"/>
      <c r="CMM4" s="74"/>
      <c r="CMN4" s="74"/>
      <c r="CMO4" s="74"/>
      <c r="CMP4" s="74"/>
      <c r="CMQ4" s="74"/>
      <c r="CMR4" s="74"/>
      <c r="CMS4" s="74"/>
      <c r="CMT4" s="74"/>
      <c r="CMU4" s="74"/>
      <c r="CMV4" s="74"/>
      <c r="CMW4" s="74"/>
      <c r="CMX4" s="74"/>
      <c r="CMY4" s="74"/>
      <c r="CMZ4" s="74"/>
      <c r="CNA4" s="74"/>
      <c r="CNB4" s="74"/>
      <c r="CNC4" s="74"/>
      <c r="CND4" s="74"/>
      <c r="CNE4" s="74"/>
      <c r="CNF4" s="74"/>
      <c r="CNG4" s="74"/>
      <c r="CNH4" s="74"/>
      <c r="CNI4" s="74"/>
      <c r="CNJ4" s="74"/>
      <c r="CNK4" s="74"/>
      <c r="CNL4" s="74"/>
      <c r="CNM4" s="74"/>
      <c r="CNN4" s="74"/>
      <c r="CNO4" s="74"/>
      <c r="CNP4" s="74"/>
      <c r="CNQ4" s="74"/>
      <c r="CNR4" s="74"/>
      <c r="CNS4" s="74"/>
      <c r="CNT4" s="74"/>
      <c r="CNU4" s="74"/>
      <c r="CNV4" s="74"/>
      <c r="CNW4" s="74"/>
      <c r="CNX4" s="74"/>
      <c r="CNY4" s="74"/>
      <c r="CNZ4" s="74"/>
      <c r="COA4" s="74"/>
      <c r="COB4" s="74"/>
      <c r="COC4" s="74"/>
      <c r="COD4" s="74"/>
      <c r="COE4" s="74"/>
      <c r="COF4" s="74"/>
      <c r="COG4" s="74"/>
      <c r="COH4" s="74"/>
      <c r="COI4" s="74"/>
      <c r="COJ4" s="74"/>
      <c r="COK4" s="74"/>
      <c r="COL4" s="74"/>
      <c r="COM4" s="74"/>
      <c r="CON4" s="74"/>
      <c r="COO4" s="74"/>
      <c r="COP4" s="74"/>
      <c r="COQ4" s="74"/>
      <c r="COR4" s="74"/>
      <c r="COS4" s="74"/>
      <c r="COT4" s="74"/>
      <c r="COU4" s="74"/>
      <c r="COV4" s="74"/>
      <c r="COW4" s="74"/>
      <c r="COX4" s="74"/>
      <c r="COY4" s="74"/>
      <c r="COZ4" s="74"/>
      <c r="CPA4" s="74"/>
      <c r="CPB4" s="74"/>
      <c r="CPC4" s="74"/>
      <c r="CPD4" s="74"/>
      <c r="CPE4" s="74"/>
      <c r="CPF4" s="74"/>
      <c r="CPG4" s="74"/>
      <c r="CPH4" s="74"/>
      <c r="CPI4" s="74"/>
      <c r="CPJ4" s="74"/>
      <c r="CPK4" s="74"/>
      <c r="CPL4" s="74"/>
      <c r="CPM4" s="74"/>
      <c r="CPN4" s="74"/>
      <c r="CPO4" s="74"/>
      <c r="CPP4" s="74"/>
      <c r="CPQ4" s="74"/>
      <c r="CPR4" s="74"/>
      <c r="CPS4" s="74"/>
      <c r="CPT4" s="74"/>
      <c r="CPU4" s="74"/>
      <c r="CPV4" s="74"/>
      <c r="CPW4" s="74"/>
      <c r="CPX4" s="74"/>
      <c r="CPY4" s="74"/>
      <c r="CPZ4" s="74"/>
      <c r="CQA4" s="74"/>
      <c r="CQB4" s="74"/>
      <c r="CQC4" s="74"/>
      <c r="CQD4" s="74"/>
      <c r="CQE4" s="74"/>
      <c r="CQF4" s="74"/>
      <c r="CQG4" s="74"/>
      <c r="CQH4" s="74"/>
      <c r="CQI4" s="74"/>
      <c r="CQJ4" s="74"/>
      <c r="CQK4" s="74"/>
      <c r="CQL4" s="74"/>
      <c r="CQM4" s="74"/>
      <c r="CQN4" s="74"/>
      <c r="CQO4" s="74"/>
      <c r="CQP4" s="74"/>
      <c r="CQQ4" s="74"/>
      <c r="CQR4" s="74"/>
      <c r="CQS4" s="74"/>
      <c r="CQT4" s="74"/>
      <c r="CQU4" s="74"/>
      <c r="CQV4" s="74"/>
      <c r="CQW4" s="74"/>
      <c r="CQX4" s="74"/>
      <c r="CQY4" s="74"/>
      <c r="CQZ4" s="74"/>
      <c r="CRA4" s="74"/>
      <c r="CRB4" s="74"/>
      <c r="CRC4" s="74"/>
      <c r="CRD4" s="74"/>
      <c r="CRE4" s="74"/>
      <c r="CRF4" s="74"/>
      <c r="CRG4" s="74"/>
      <c r="CRH4" s="74"/>
      <c r="CRI4" s="74"/>
      <c r="CRJ4" s="74"/>
      <c r="CRK4" s="74"/>
      <c r="CRL4" s="74"/>
      <c r="CRM4" s="74"/>
      <c r="CRN4" s="74"/>
      <c r="CRO4" s="74"/>
      <c r="CRP4" s="74"/>
      <c r="CRQ4" s="74"/>
      <c r="CRR4" s="74"/>
      <c r="CRS4" s="74"/>
      <c r="CRT4" s="74"/>
      <c r="CRU4" s="74"/>
      <c r="CRV4" s="74"/>
      <c r="CRW4" s="74"/>
      <c r="CRX4" s="74"/>
      <c r="CRY4" s="74"/>
      <c r="CRZ4" s="74"/>
      <c r="CSA4" s="74"/>
      <c r="CSB4" s="74"/>
      <c r="CSC4" s="74"/>
      <c r="CSD4" s="74"/>
      <c r="CSE4" s="74"/>
      <c r="CSF4" s="74"/>
      <c r="CSG4" s="74"/>
      <c r="CSH4" s="74"/>
      <c r="CSI4" s="74"/>
      <c r="CSJ4" s="74"/>
      <c r="CSK4" s="74"/>
      <c r="CSL4" s="74"/>
      <c r="CSM4" s="74"/>
      <c r="CSN4" s="74"/>
      <c r="CSO4" s="74"/>
      <c r="CSP4" s="74"/>
      <c r="CSQ4" s="74"/>
      <c r="CSR4" s="74"/>
      <c r="CSS4" s="74"/>
      <c r="CST4" s="74"/>
      <c r="CSU4" s="74"/>
      <c r="CSV4" s="74"/>
      <c r="CSW4" s="74"/>
      <c r="CSX4" s="74"/>
      <c r="CSY4" s="74"/>
      <c r="CSZ4" s="74"/>
      <c r="CTA4" s="74"/>
      <c r="CTB4" s="74"/>
      <c r="CTC4" s="74"/>
      <c r="CTD4" s="74"/>
      <c r="CTE4" s="74"/>
      <c r="CTF4" s="74"/>
      <c r="CTG4" s="74"/>
      <c r="CTH4" s="74"/>
      <c r="CTI4" s="74"/>
      <c r="CTJ4" s="74"/>
      <c r="CTK4" s="74"/>
      <c r="CTL4" s="74"/>
      <c r="CTM4" s="74"/>
      <c r="CTN4" s="74"/>
      <c r="CTO4" s="74"/>
      <c r="CTP4" s="74"/>
      <c r="CTQ4" s="74"/>
      <c r="CTR4" s="74"/>
      <c r="CTS4" s="74"/>
      <c r="CTT4" s="74"/>
      <c r="CTU4" s="74"/>
      <c r="CTV4" s="74"/>
      <c r="CTW4" s="74"/>
      <c r="CTX4" s="74"/>
      <c r="CTY4" s="74"/>
      <c r="CTZ4" s="74"/>
      <c r="CUA4" s="74"/>
      <c r="CUB4" s="74"/>
      <c r="CUC4" s="74"/>
      <c r="CUD4" s="74"/>
      <c r="CUE4" s="74"/>
      <c r="CUF4" s="74"/>
      <c r="CUG4" s="74"/>
      <c r="CUH4" s="74"/>
      <c r="CUI4" s="74"/>
      <c r="CUJ4" s="74"/>
      <c r="CUK4" s="74"/>
      <c r="CUL4" s="74"/>
      <c r="CUM4" s="74"/>
      <c r="CUN4" s="74"/>
      <c r="CUO4" s="74"/>
      <c r="CUP4" s="74"/>
      <c r="CUQ4" s="74"/>
      <c r="CUR4" s="74"/>
      <c r="CUS4" s="74"/>
      <c r="CUT4" s="74"/>
      <c r="CUU4" s="74"/>
      <c r="CUV4" s="74"/>
      <c r="CUW4" s="74"/>
      <c r="CUX4" s="74"/>
      <c r="CUY4" s="74"/>
      <c r="CUZ4" s="74"/>
      <c r="CVA4" s="74"/>
      <c r="CVB4" s="74"/>
      <c r="CVC4" s="74"/>
      <c r="CVD4" s="74"/>
      <c r="CVE4" s="74"/>
      <c r="CVF4" s="74"/>
      <c r="CVG4" s="74"/>
      <c r="CVH4" s="74"/>
      <c r="CVI4" s="74"/>
      <c r="CVJ4" s="74"/>
      <c r="CVK4" s="74"/>
      <c r="CVL4" s="74"/>
      <c r="CVM4" s="74"/>
      <c r="CVN4" s="74"/>
      <c r="CVO4" s="74"/>
      <c r="CVP4" s="74"/>
      <c r="CVQ4" s="74"/>
      <c r="CVR4" s="74"/>
      <c r="CVS4" s="74"/>
      <c r="CVT4" s="74"/>
      <c r="CVU4" s="74"/>
      <c r="CVV4" s="74"/>
      <c r="CVW4" s="74"/>
      <c r="CVX4" s="74"/>
      <c r="CVY4" s="74"/>
      <c r="CVZ4" s="74"/>
      <c r="CWA4" s="74"/>
      <c r="CWB4" s="74"/>
      <c r="CWC4" s="74"/>
      <c r="CWD4" s="74"/>
      <c r="CWE4" s="74"/>
      <c r="CWF4" s="74"/>
      <c r="CWG4" s="74"/>
      <c r="CWH4" s="74"/>
      <c r="CWI4" s="74"/>
      <c r="CWJ4" s="74"/>
      <c r="CWK4" s="74"/>
      <c r="CWL4" s="74"/>
      <c r="CWM4" s="74"/>
      <c r="CWN4" s="74"/>
      <c r="CWO4" s="74"/>
      <c r="CWP4" s="74"/>
      <c r="CWQ4" s="74"/>
      <c r="CWR4" s="74"/>
      <c r="CWS4" s="74"/>
      <c r="CWT4" s="74"/>
      <c r="CWU4" s="74"/>
      <c r="CWV4" s="74"/>
      <c r="CWW4" s="74"/>
      <c r="CWX4" s="74"/>
      <c r="CWY4" s="74"/>
      <c r="CWZ4" s="74"/>
      <c r="CXA4" s="74"/>
      <c r="CXB4" s="74"/>
      <c r="CXC4" s="74"/>
      <c r="CXD4" s="74"/>
      <c r="CXE4" s="74"/>
      <c r="CXF4" s="74"/>
      <c r="CXG4" s="74"/>
      <c r="CXH4" s="74"/>
      <c r="CXI4" s="74"/>
      <c r="CXJ4" s="74"/>
      <c r="CXK4" s="74"/>
      <c r="CXL4" s="74"/>
      <c r="CXM4" s="74"/>
      <c r="CXN4" s="74"/>
      <c r="CXO4" s="74"/>
      <c r="CXP4" s="74"/>
      <c r="CXQ4" s="74"/>
      <c r="CXR4" s="74"/>
      <c r="CXS4" s="74"/>
      <c r="CXT4" s="74"/>
      <c r="CXU4" s="74"/>
      <c r="CXV4" s="74"/>
      <c r="CXW4" s="74"/>
      <c r="CXX4" s="74"/>
      <c r="CXY4" s="74"/>
      <c r="CXZ4" s="74"/>
      <c r="CYA4" s="74"/>
      <c r="CYB4" s="74"/>
      <c r="CYC4" s="74"/>
      <c r="CYD4" s="74"/>
      <c r="CYE4" s="74"/>
      <c r="CYF4" s="74"/>
      <c r="CYG4" s="74"/>
      <c r="CYH4" s="74"/>
      <c r="CYI4" s="74"/>
      <c r="CYJ4" s="74"/>
      <c r="CYK4" s="74"/>
      <c r="CYL4" s="74"/>
      <c r="CYM4" s="74"/>
      <c r="CYN4" s="74"/>
      <c r="CYO4" s="74"/>
      <c r="CYP4" s="74"/>
      <c r="CYQ4" s="74"/>
      <c r="CYR4" s="74"/>
      <c r="CYS4" s="74"/>
      <c r="CYT4" s="74"/>
      <c r="CYU4" s="74"/>
      <c r="CYV4" s="74"/>
      <c r="CYW4" s="74"/>
      <c r="CYX4" s="74"/>
      <c r="CYY4" s="74"/>
      <c r="CYZ4" s="74"/>
      <c r="CZA4" s="74"/>
      <c r="CZB4" s="74"/>
      <c r="CZC4" s="74"/>
      <c r="CZD4" s="74"/>
      <c r="CZE4" s="74"/>
      <c r="CZF4" s="74"/>
      <c r="CZG4" s="74"/>
      <c r="CZH4" s="74"/>
      <c r="CZI4" s="74"/>
      <c r="CZJ4" s="74"/>
      <c r="CZK4" s="74"/>
      <c r="CZL4" s="74"/>
      <c r="CZM4" s="74"/>
      <c r="CZN4" s="74"/>
      <c r="CZO4" s="74"/>
      <c r="CZP4" s="74"/>
      <c r="CZQ4" s="74"/>
      <c r="CZR4" s="74"/>
      <c r="CZS4" s="74"/>
      <c r="CZT4" s="74"/>
      <c r="CZU4" s="74"/>
      <c r="CZV4" s="74"/>
      <c r="CZW4" s="74"/>
      <c r="CZX4" s="74"/>
      <c r="CZY4" s="74"/>
      <c r="CZZ4" s="74"/>
      <c r="DAA4" s="74"/>
      <c r="DAB4" s="74"/>
      <c r="DAC4" s="74"/>
      <c r="DAD4" s="74"/>
      <c r="DAE4" s="74"/>
      <c r="DAF4" s="74"/>
      <c r="DAG4" s="74"/>
      <c r="DAH4" s="74"/>
      <c r="DAI4" s="74"/>
      <c r="DAJ4" s="74"/>
      <c r="DAK4" s="74"/>
      <c r="DAL4" s="74"/>
      <c r="DAM4" s="74"/>
      <c r="DAN4" s="74"/>
      <c r="DAO4" s="74"/>
      <c r="DAP4" s="74"/>
      <c r="DAQ4" s="74"/>
      <c r="DAR4" s="74"/>
      <c r="DAS4" s="74"/>
      <c r="DAT4" s="74"/>
      <c r="DAU4" s="74"/>
      <c r="DAV4" s="74"/>
      <c r="DAW4" s="74"/>
      <c r="DAX4" s="74"/>
      <c r="DAY4" s="74"/>
      <c r="DAZ4" s="74"/>
      <c r="DBA4" s="74"/>
      <c r="DBB4" s="74"/>
      <c r="DBC4" s="74"/>
      <c r="DBD4" s="74"/>
      <c r="DBE4" s="74"/>
      <c r="DBF4" s="74"/>
      <c r="DBG4" s="74"/>
      <c r="DBH4" s="74"/>
      <c r="DBI4" s="74"/>
      <c r="DBJ4" s="74"/>
      <c r="DBK4" s="74"/>
      <c r="DBL4" s="74"/>
      <c r="DBM4" s="74"/>
      <c r="DBN4" s="74"/>
      <c r="DBO4" s="74"/>
      <c r="DBP4" s="74"/>
      <c r="DBQ4" s="74"/>
      <c r="DBR4" s="74"/>
      <c r="DBS4" s="74"/>
      <c r="DBT4" s="74"/>
      <c r="DBU4" s="74"/>
      <c r="DBV4" s="74"/>
      <c r="DBW4" s="74"/>
      <c r="DBX4" s="74"/>
      <c r="DBY4" s="74"/>
      <c r="DBZ4" s="74"/>
      <c r="DCA4" s="74"/>
      <c r="DCB4" s="74"/>
      <c r="DCC4" s="74"/>
      <c r="DCD4" s="74"/>
      <c r="DCE4" s="74"/>
      <c r="DCF4" s="74"/>
      <c r="DCG4" s="74"/>
      <c r="DCH4" s="74"/>
      <c r="DCI4" s="74"/>
      <c r="DCJ4" s="74"/>
      <c r="DCK4" s="74"/>
      <c r="DCL4" s="74"/>
      <c r="DCM4" s="74"/>
      <c r="DCN4" s="74"/>
      <c r="DCO4" s="74"/>
      <c r="DCP4" s="74"/>
      <c r="DCQ4" s="74"/>
      <c r="DCR4" s="74"/>
      <c r="DCS4" s="74"/>
      <c r="DCT4" s="74"/>
      <c r="DCU4" s="74"/>
      <c r="DCV4" s="74"/>
      <c r="DCW4" s="74"/>
      <c r="DCX4" s="74"/>
      <c r="DCY4" s="74"/>
      <c r="DCZ4" s="74"/>
      <c r="DDA4" s="74"/>
      <c r="DDB4" s="74"/>
      <c r="DDC4" s="74"/>
      <c r="DDD4" s="74"/>
      <c r="DDE4" s="74"/>
      <c r="DDF4" s="74"/>
      <c r="DDG4" s="74"/>
      <c r="DDH4" s="74"/>
      <c r="DDI4" s="74"/>
      <c r="DDJ4" s="74"/>
      <c r="DDK4" s="74"/>
      <c r="DDL4" s="74"/>
      <c r="DDM4" s="74"/>
      <c r="DDN4" s="74"/>
      <c r="DDO4" s="74"/>
      <c r="DDP4" s="74"/>
      <c r="DDQ4" s="74"/>
      <c r="DDR4" s="74"/>
      <c r="DDS4" s="74"/>
      <c r="DDT4" s="74"/>
      <c r="DDU4" s="74"/>
      <c r="DDV4" s="74"/>
      <c r="DDW4" s="74"/>
      <c r="DDX4" s="74"/>
      <c r="DDY4" s="74"/>
      <c r="DDZ4" s="74"/>
      <c r="DEA4" s="74"/>
      <c r="DEB4" s="74"/>
      <c r="DEC4" s="74"/>
      <c r="DED4" s="74"/>
      <c r="DEE4" s="74"/>
      <c r="DEF4" s="74"/>
      <c r="DEG4" s="74"/>
      <c r="DEH4" s="74"/>
      <c r="DEI4" s="74"/>
      <c r="DEJ4" s="74"/>
      <c r="DEK4" s="74"/>
      <c r="DEL4" s="74"/>
      <c r="DEM4" s="74"/>
      <c r="DEN4" s="74"/>
      <c r="DEO4" s="74"/>
      <c r="DEP4" s="74"/>
      <c r="DEQ4" s="74"/>
      <c r="DER4" s="74"/>
      <c r="DES4" s="74"/>
      <c r="DET4" s="74"/>
      <c r="DEU4" s="74"/>
      <c r="DEV4" s="74"/>
      <c r="DEW4" s="74"/>
      <c r="DEX4" s="74"/>
      <c r="DEY4" s="74"/>
      <c r="DEZ4" s="74"/>
      <c r="DFA4" s="74"/>
      <c r="DFB4" s="74"/>
      <c r="DFC4" s="74"/>
      <c r="DFD4" s="74"/>
      <c r="DFE4" s="74"/>
      <c r="DFF4" s="74"/>
      <c r="DFG4" s="74"/>
      <c r="DFH4" s="74"/>
      <c r="DFI4" s="74"/>
      <c r="DFJ4" s="74"/>
      <c r="DFK4" s="74"/>
      <c r="DFL4" s="74"/>
      <c r="DFM4" s="74"/>
      <c r="DFN4" s="74"/>
      <c r="DFO4" s="74"/>
      <c r="DFP4" s="74"/>
      <c r="DFQ4" s="74"/>
      <c r="DFR4" s="74"/>
      <c r="DFS4" s="74"/>
      <c r="DFT4" s="74"/>
      <c r="DFU4" s="74"/>
      <c r="DFV4" s="74"/>
      <c r="DFW4" s="74"/>
      <c r="DFX4" s="74"/>
      <c r="DFY4" s="74"/>
      <c r="DFZ4" s="74"/>
      <c r="DGA4" s="74"/>
      <c r="DGB4" s="74"/>
      <c r="DGC4" s="74"/>
      <c r="DGD4" s="74"/>
      <c r="DGE4" s="74"/>
      <c r="DGF4" s="74"/>
      <c r="DGG4" s="74"/>
      <c r="DGH4" s="74"/>
      <c r="DGI4" s="74"/>
      <c r="DGJ4" s="74"/>
      <c r="DGK4" s="74"/>
      <c r="DGL4" s="74"/>
      <c r="DGM4" s="74"/>
      <c r="DGN4" s="74"/>
      <c r="DGO4" s="74"/>
      <c r="DGP4" s="74"/>
      <c r="DGQ4" s="74"/>
      <c r="DGR4" s="74"/>
      <c r="DGS4" s="74"/>
      <c r="DGT4" s="74"/>
      <c r="DGU4" s="74"/>
      <c r="DGV4" s="74"/>
      <c r="DGW4" s="74"/>
      <c r="DGX4" s="74"/>
      <c r="DGY4" s="74"/>
      <c r="DGZ4" s="74"/>
      <c r="DHA4" s="74"/>
      <c r="DHB4" s="74"/>
      <c r="DHC4" s="74"/>
      <c r="DHD4" s="74"/>
      <c r="DHE4" s="74"/>
      <c r="DHF4" s="74"/>
      <c r="DHG4" s="74"/>
      <c r="DHH4" s="74"/>
      <c r="DHI4" s="74"/>
      <c r="DHJ4" s="74"/>
      <c r="DHK4" s="74"/>
      <c r="DHL4" s="74"/>
      <c r="DHM4" s="74"/>
      <c r="DHN4" s="74"/>
      <c r="DHO4" s="74"/>
      <c r="DHP4" s="74"/>
      <c r="DHQ4" s="74"/>
      <c r="DHR4" s="74"/>
      <c r="DHS4" s="74"/>
      <c r="DHT4" s="74"/>
      <c r="DHU4" s="74"/>
      <c r="DHV4" s="74"/>
      <c r="DHW4" s="74"/>
      <c r="DHX4" s="74"/>
      <c r="DHY4" s="74"/>
      <c r="DHZ4" s="74"/>
      <c r="DIA4" s="74"/>
      <c r="DIB4" s="74"/>
      <c r="DIC4" s="74"/>
      <c r="DID4" s="74"/>
      <c r="DIE4" s="74"/>
      <c r="DIF4" s="74"/>
      <c r="DIG4" s="74"/>
      <c r="DIH4" s="74"/>
      <c r="DII4" s="74"/>
      <c r="DIJ4" s="74"/>
      <c r="DIK4" s="74"/>
      <c r="DIL4" s="74"/>
      <c r="DIM4" s="74"/>
      <c r="DIN4" s="74"/>
      <c r="DIO4" s="74"/>
      <c r="DIP4" s="74"/>
      <c r="DIQ4" s="74"/>
      <c r="DIR4" s="74"/>
      <c r="DIS4" s="74"/>
      <c r="DIT4" s="74"/>
      <c r="DIU4" s="74"/>
      <c r="DIV4" s="74"/>
      <c r="DIW4" s="74"/>
      <c r="DIX4" s="74"/>
      <c r="DIY4" s="74"/>
      <c r="DIZ4" s="74"/>
      <c r="DJA4" s="74"/>
      <c r="DJB4" s="74"/>
      <c r="DJC4" s="74"/>
      <c r="DJD4" s="74"/>
      <c r="DJE4" s="74"/>
      <c r="DJF4" s="74"/>
      <c r="DJG4" s="74"/>
      <c r="DJH4" s="74"/>
      <c r="DJI4" s="74"/>
      <c r="DJJ4" s="74"/>
      <c r="DJK4" s="74"/>
      <c r="DJL4" s="74"/>
      <c r="DJM4" s="74"/>
      <c r="DJN4" s="74"/>
      <c r="DJO4" s="74"/>
      <c r="DJP4" s="74"/>
      <c r="DJQ4" s="74"/>
      <c r="DJR4" s="74"/>
      <c r="DJS4" s="74"/>
      <c r="DJT4" s="74"/>
      <c r="DJU4" s="74"/>
      <c r="DJV4" s="74"/>
      <c r="DJW4" s="74"/>
      <c r="DJX4" s="74"/>
      <c r="DJY4" s="74"/>
      <c r="DJZ4" s="74"/>
      <c r="DKA4" s="74"/>
      <c r="DKB4" s="74"/>
      <c r="DKC4" s="74"/>
      <c r="DKD4" s="74"/>
      <c r="DKE4" s="74"/>
      <c r="DKF4" s="74"/>
      <c r="DKG4" s="74"/>
      <c r="DKH4" s="74"/>
      <c r="DKI4" s="74"/>
      <c r="DKJ4" s="74"/>
      <c r="DKK4" s="74"/>
      <c r="DKL4" s="74"/>
      <c r="DKM4" s="74"/>
      <c r="DKN4" s="74"/>
      <c r="DKO4" s="74"/>
      <c r="DKP4" s="74"/>
      <c r="DKQ4" s="74"/>
      <c r="DKR4" s="74"/>
      <c r="DKS4" s="74"/>
      <c r="DKT4" s="74"/>
      <c r="DKU4" s="74"/>
      <c r="DKV4" s="74"/>
      <c r="DKW4" s="74"/>
      <c r="DKX4" s="74"/>
      <c r="DKY4" s="74"/>
      <c r="DKZ4" s="74"/>
      <c r="DLA4" s="74"/>
      <c r="DLB4" s="74"/>
      <c r="DLC4" s="74"/>
      <c r="DLD4" s="74"/>
      <c r="DLE4" s="74"/>
      <c r="DLF4" s="74"/>
      <c r="DLG4" s="74"/>
      <c r="DLH4" s="74"/>
      <c r="DLI4" s="74"/>
      <c r="DLJ4" s="74"/>
      <c r="DLK4" s="74"/>
      <c r="DLL4" s="74"/>
      <c r="DLM4" s="74"/>
      <c r="DLN4" s="74"/>
      <c r="DLO4" s="74"/>
      <c r="DLP4" s="74"/>
      <c r="DLQ4" s="74"/>
      <c r="DLR4" s="74"/>
      <c r="DLS4" s="74"/>
      <c r="DLT4" s="74"/>
      <c r="DLU4" s="74"/>
      <c r="DLV4" s="74"/>
      <c r="DLW4" s="74"/>
      <c r="DLX4" s="74"/>
      <c r="DLY4" s="74"/>
      <c r="DLZ4" s="74"/>
      <c r="DMA4" s="74"/>
      <c r="DMB4" s="74"/>
      <c r="DMC4" s="74"/>
      <c r="DMD4" s="74"/>
      <c r="DME4" s="74"/>
      <c r="DMF4" s="74"/>
      <c r="DMG4" s="74"/>
      <c r="DMH4" s="74"/>
      <c r="DMI4" s="74"/>
      <c r="DMJ4" s="74"/>
      <c r="DMK4" s="74"/>
      <c r="DML4" s="74"/>
      <c r="DMM4" s="74"/>
      <c r="DMN4" s="74"/>
      <c r="DMO4" s="74"/>
      <c r="DMP4" s="74"/>
      <c r="DMQ4" s="74"/>
      <c r="DMR4" s="74"/>
      <c r="DMS4" s="74"/>
      <c r="DMT4" s="74"/>
      <c r="DMU4" s="74"/>
      <c r="DMV4" s="74"/>
      <c r="DMW4" s="74"/>
      <c r="DMX4" s="74"/>
      <c r="DMY4" s="74"/>
      <c r="DMZ4" s="74"/>
      <c r="DNA4" s="74"/>
      <c r="DNB4" s="74"/>
      <c r="DNC4" s="74"/>
      <c r="DND4" s="74"/>
      <c r="DNE4" s="74"/>
      <c r="DNF4" s="74"/>
      <c r="DNG4" s="74"/>
      <c r="DNH4" s="74"/>
      <c r="DNI4" s="74"/>
      <c r="DNJ4" s="74"/>
      <c r="DNK4" s="74"/>
      <c r="DNL4" s="74"/>
      <c r="DNM4" s="74"/>
      <c r="DNN4" s="74"/>
      <c r="DNO4" s="74"/>
      <c r="DNP4" s="74"/>
      <c r="DNQ4" s="74"/>
      <c r="DNR4" s="74"/>
      <c r="DNS4" s="74"/>
      <c r="DNT4" s="74"/>
      <c r="DNU4" s="74"/>
      <c r="DNV4" s="74"/>
      <c r="DNW4" s="74"/>
      <c r="DNX4" s="74"/>
      <c r="DNY4" s="74"/>
      <c r="DNZ4" s="74"/>
      <c r="DOA4" s="74"/>
      <c r="DOB4" s="74"/>
      <c r="DOC4" s="74"/>
      <c r="DOD4" s="74"/>
      <c r="DOE4" s="74"/>
      <c r="DOF4" s="74"/>
      <c r="DOG4" s="74"/>
      <c r="DOH4" s="74"/>
      <c r="DOI4" s="74"/>
      <c r="DOJ4" s="74"/>
      <c r="DOK4" s="74"/>
      <c r="DOL4" s="74"/>
      <c r="DOM4" s="74"/>
      <c r="DON4" s="74"/>
      <c r="DOO4" s="74"/>
      <c r="DOP4" s="74"/>
      <c r="DOQ4" s="74"/>
      <c r="DOR4" s="74"/>
      <c r="DOS4" s="74"/>
      <c r="DOT4" s="74"/>
      <c r="DOU4" s="74"/>
      <c r="DOV4" s="74"/>
      <c r="DOW4" s="74"/>
      <c r="DOX4" s="74"/>
      <c r="DOY4" s="74"/>
      <c r="DOZ4" s="74"/>
      <c r="DPA4" s="74"/>
      <c r="DPB4" s="74"/>
      <c r="DPC4" s="74"/>
      <c r="DPD4" s="74"/>
      <c r="DPE4" s="74"/>
      <c r="DPF4" s="74"/>
      <c r="DPG4" s="74"/>
      <c r="DPH4" s="74"/>
      <c r="DPI4" s="74"/>
      <c r="DPJ4" s="74"/>
      <c r="DPK4" s="74"/>
      <c r="DPL4" s="74"/>
      <c r="DPM4" s="74"/>
      <c r="DPN4" s="74"/>
      <c r="DPO4" s="74"/>
      <c r="DPP4" s="74"/>
      <c r="DPQ4" s="74"/>
      <c r="DPR4" s="74"/>
      <c r="DPS4" s="74"/>
      <c r="DPT4" s="74"/>
      <c r="DPU4" s="74"/>
      <c r="DPV4" s="74"/>
      <c r="DPW4" s="74"/>
      <c r="DPX4" s="74"/>
      <c r="DPY4" s="74"/>
      <c r="DPZ4" s="74"/>
      <c r="DQA4" s="74"/>
      <c r="DQB4" s="74"/>
      <c r="DQC4" s="74"/>
      <c r="DQD4" s="74"/>
      <c r="DQE4" s="74"/>
      <c r="DQF4" s="74"/>
      <c r="DQG4" s="74"/>
      <c r="DQH4" s="74"/>
      <c r="DQI4" s="74"/>
      <c r="DQJ4" s="74"/>
      <c r="DQK4" s="74"/>
      <c r="DQL4" s="74"/>
      <c r="DQM4" s="74"/>
      <c r="DQN4" s="74"/>
      <c r="DQO4" s="74"/>
      <c r="DQP4" s="74"/>
      <c r="DQQ4" s="74"/>
      <c r="DQR4" s="74"/>
      <c r="DQS4" s="74"/>
      <c r="DQT4" s="74"/>
      <c r="DQU4" s="74"/>
      <c r="DQV4" s="74"/>
      <c r="DQW4" s="74"/>
      <c r="DQX4" s="74"/>
      <c r="DQY4" s="74"/>
      <c r="DQZ4" s="74"/>
      <c r="DRA4" s="74"/>
      <c r="DRB4" s="74"/>
      <c r="DRC4" s="74"/>
      <c r="DRD4" s="74"/>
      <c r="DRE4" s="74"/>
      <c r="DRF4" s="74"/>
      <c r="DRG4" s="74"/>
      <c r="DRH4" s="74"/>
      <c r="DRI4" s="74"/>
      <c r="DRJ4" s="74"/>
      <c r="DRK4" s="74"/>
      <c r="DRL4" s="74"/>
      <c r="DRM4" s="74"/>
      <c r="DRN4" s="74"/>
      <c r="DRO4" s="74"/>
      <c r="DRP4" s="74"/>
      <c r="DRQ4" s="74"/>
      <c r="DRR4" s="74"/>
      <c r="DRS4" s="74"/>
      <c r="DRT4" s="74"/>
      <c r="DRU4" s="74"/>
      <c r="DRV4" s="74"/>
      <c r="DRW4" s="74"/>
      <c r="DRX4" s="74"/>
      <c r="DRY4" s="74"/>
      <c r="DRZ4" s="74"/>
      <c r="DSA4" s="74"/>
      <c r="DSB4" s="74"/>
      <c r="DSC4" s="74"/>
      <c r="DSD4" s="74"/>
      <c r="DSE4" s="74"/>
      <c r="DSF4" s="74"/>
      <c r="DSG4" s="74"/>
      <c r="DSH4" s="74"/>
      <c r="DSI4" s="74"/>
      <c r="DSJ4" s="74"/>
      <c r="DSK4" s="74"/>
      <c r="DSL4" s="74"/>
      <c r="DSM4" s="74"/>
      <c r="DSN4" s="74"/>
      <c r="DSO4" s="74"/>
      <c r="DSP4" s="74"/>
      <c r="DSQ4" s="74"/>
      <c r="DSR4" s="74"/>
      <c r="DSS4" s="74"/>
      <c r="DST4" s="74"/>
      <c r="DSU4" s="74"/>
      <c r="DSV4" s="74"/>
      <c r="DSW4" s="74"/>
      <c r="DSX4" s="74"/>
      <c r="DSY4" s="74"/>
      <c r="DSZ4" s="74"/>
      <c r="DTA4" s="74"/>
      <c r="DTB4" s="74"/>
      <c r="DTC4" s="74"/>
      <c r="DTD4" s="74"/>
      <c r="DTE4" s="74"/>
      <c r="DTF4" s="74"/>
      <c r="DTG4" s="74"/>
      <c r="DTH4" s="74"/>
      <c r="DTI4" s="74"/>
      <c r="DTJ4" s="74"/>
      <c r="DTK4" s="74"/>
      <c r="DTL4" s="74"/>
      <c r="DTM4" s="74"/>
      <c r="DTN4" s="74"/>
      <c r="DTO4" s="74"/>
      <c r="DTP4" s="74"/>
      <c r="DTQ4" s="74"/>
      <c r="DTR4" s="74"/>
      <c r="DTS4" s="74"/>
      <c r="DTT4" s="74"/>
      <c r="DTU4" s="74"/>
      <c r="DTV4" s="74"/>
      <c r="DTW4" s="74"/>
      <c r="DTX4" s="74"/>
      <c r="DTY4" s="74"/>
      <c r="DTZ4" s="74"/>
      <c r="DUA4" s="74"/>
      <c r="DUB4" s="74"/>
      <c r="DUC4" s="74"/>
      <c r="DUD4" s="74"/>
      <c r="DUE4" s="74"/>
      <c r="DUF4" s="74"/>
      <c r="DUG4" s="74"/>
      <c r="DUH4" s="74"/>
      <c r="DUI4" s="74"/>
      <c r="DUJ4" s="74"/>
      <c r="DUK4" s="74"/>
      <c r="DUL4" s="74"/>
      <c r="DUM4" s="74"/>
      <c r="DUN4" s="74"/>
      <c r="DUO4" s="74"/>
      <c r="DUP4" s="74"/>
      <c r="DUQ4" s="74"/>
      <c r="DUR4" s="74"/>
      <c r="DUS4" s="74"/>
      <c r="DUT4" s="74"/>
      <c r="DUU4" s="74"/>
      <c r="DUV4" s="74"/>
      <c r="DUW4" s="74"/>
      <c r="DUX4" s="74"/>
      <c r="DUY4" s="74"/>
      <c r="DUZ4" s="74"/>
      <c r="DVA4" s="74"/>
      <c r="DVB4" s="74"/>
      <c r="DVC4" s="74"/>
      <c r="DVD4" s="74"/>
      <c r="DVE4" s="74"/>
      <c r="DVF4" s="74"/>
      <c r="DVG4" s="74"/>
      <c r="DVH4" s="74"/>
      <c r="DVI4" s="74"/>
      <c r="DVJ4" s="74"/>
      <c r="DVK4" s="74"/>
      <c r="DVL4" s="74"/>
      <c r="DVM4" s="74"/>
      <c r="DVN4" s="74"/>
      <c r="DVO4" s="74"/>
      <c r="DVP4" s="74"/>
      <c r="DVQ4" s="74"/>
      <c r="DVR4" s="74"/>
      <c r="DVS4" s="74"/>
      <c r="DVT4" s="74"/>
      <c r="DVU4" s="74"/>
      <c r="DVV4" s="74"/>
      <c r="DVW4" s="74"/>
      <c r="DVX4" s="74"/>
      <c r="DVY4" s="74"/>
      <c r="DVZ4" s="74"/>
      <c r="DWA4" s="74"/>
      <c r="DWB4" s="74"/>
      <c r="DWC4" s="74"/>
      <c r="DWD4" s="74"/>
      <c r="DWE4" s="74"/>
      <c r="DWF4" s="74"/>
      <c r="DWG4" s="74"/>
      <c r="DWH4" s="74"/>
      <c r="DWI4" s="74"/>
      <c r="DWJ4" s="74"/>
      <c r="DWK4" s="74"/>
      <c r="DWL4" s="74"/>
      <c r="DWM4" s="74"/>
      <c r="DWN4" s="74"/>
      <c r="DWO4" s="74"/>
      <c r="DWP4" s="74"/>
      <c r="DWQ4" s="74"/>
      <c r="DWR4" s="74"/>
      <c r="DWS4" s="74"/>
      <c r="DWT4" s="74"/>
      <c r="DWU4" s="74"/>
      <c r="DWV4" s="74"/>
      <c r="DWW4" s="74"/>
      <c r="DWX4" s="74"/>
      <c r="DWY4" s="74"/>
      <c r="DWZ4" s="74"/>
      <c r="DXA4" s="74"/>
      <c r="DXB4" s="74"/>
      <c r="DXC4" s="74"/>
      <c r="DXD4" s="74"/>
      <c r="DXE4" s="74"/>
      <c r="DXF4" s="74"/>
      <c r="DXG4" s="74"/>
      <c r="DXH4" s="74"/>
      <c r="DXI4" s="74"/>
      <c r="DXJ4" s="74"/>
      <c r="DXK4" s="74"/>
      <c r="DXL4" s="74"/>
      <c r="DXM4" s="74"/>
      <c r="DXN4" s="74"/>
      <c r="DXO4" s="74"/>
      <c r="DXP4" s="74"/>
      <c r="DXQ4" s="74"/>
      <c r="DXR4" s="74"/>
      <c r="DXS4" s="74"/>
      <c r="DXT4" s="74"/>
      <c r="DXU4" s="74"/>
      <c r="DXV4" s="74"/>
      <c r="DXW4" s="74"/>
      <c r="DXX4" s="74"/>
      <c r="DXY4" s="74"/>
      <c r="DXZ4" s="74"/>
      <c r="DYA4" s="74"/>
      <c r="DYB4" s="74"/>
      <c r="DYC4" s="74"/>
      <c r="DYD4" s="74"/>
      <c r="DYE4" s="74"/>
      <c r="DYF4" s="74"/>
      <c r="DYG4" s="74"/>
      <c r="DYH4" s="74"/>
      <c r="DYI4" s="74"/>
      <c r="DYJ4" s="74"/>
      <c r="DYK4" s="74"/>
      <c r="DYL4" s="74"/>
      <c r="DYM4" s="74"/>
      <c r="DYN4" s="74"/>
      <c r="DYO4" s="74"/>
      <c r="DYP4" s="74"/>
      <c r="DYQ4" s="74"/>
      <c r="DYR4" s="74"/>
      <c r="DYS4" s="74"/>
      <c r="DYT4" s="74"/>
      <c r="DYU4" s="74"/>
      <c r="DYV4" s="74"/>
      <c r="DYW4" s="74"/>
      <c r="DYX4" s="74"/>
      <c r="DYY4" s="74"/>
      <c r="DYZ4" s="74"/>
      <c r="DZA4" s="74"/>
      <c r="DZB4" s="74"/>
      <c r="DZC4" s="74"/>
      <c r="DZD4" s="74"/>
      <c r="DZE4" s="74"/>
      <c r="DZF4" s="74"/>
      <c r="DZG4" s="74"/>
      <c r="DZH4" s="74"/>
      <c r="DZI4" s="74"/>
      <c r="DZJ4" s="74"/>
      <c r="DZK4" s="74"/>
      <c r="DZL4" s="74"/>
      <c r="DZM4" s="74"/>
      <c r="DZN4" s="74"/>
      <c r="DZO4" s="74"/>
      <c r="DZP4" s="74"/>
      <c r="DZQ4" s="74"/>
      <c r="DZR4" s="74"/>
      <c r="DZS4" s="74"/>
      <c r="DZT4" s="74"/>
      <c r="DZU4" s="74"/>
      <c r="DZV4" s="74"/>
      <c r="DZW4" s="74"/>
      <c r="DZX4" s="74"/>
      <c r="DZY4" s="74"/>
      <c r="DZZ4" s="74"/>
      <c r="EAA4" s="74"/>
      <c r="EAB4" s="74"/>
      <c r="EAC4" s="74"/>
      <c r="EAD4" s="74"/>
      <c r="EAE4" s="74"/>
      <c r="EAF4" s="74"/>
      <c r="EAG4" s="74"/>
      <c r="EAH4" s="74"/>
      <c r="EAI4" s="74"/>
      <c r="EAJ4" s="74"/>
      <c r="EAK4" s="74"/>
      <c r="EAL4" s="74"/>
      <c r="EAM4" s="74"/>
      <c r="EAN4" s="74"/>
      <c r="EAO4" s="74"/>
      <c r="EAP4" s="74"/>
      <c r="EAQ4" s="74"/>
      <c r="EAR4" s="74"/>
      <c r="EAS4" s="74"/>
      <c r="EAT4" s="74"/>
      <c r="EAU4" s="74"/>
      <c r="EAV4" s="74"/>
      <c r="EAW4" s="74"/>
      <c r="EAX4" s="74"/>
      <c r="EAY4" s="74"/>
      <c r="EAZ4" s="74"/>
      <c r="EBA4" s="74"/>
      <c r="EBB4" s="74"/>
      <c r="EBC4" s="74"/>
      <c r="EBD4" s="74"/>
      <c r="EBE4" s="74"/>
      <c r="EBF4" s="74"/>
      <c r="EBG4" s="74"/>
      <c r="EBH4" s="74"/>
      <c r="EBI4" s="74"/>
      <c r="EBJ4" s="74"/>
      <c r="EBK4" s="74"/>
      <c r="EBL4" s="74"/>
      <c r="EBM4" s="74"/>
      <c r="EBN4" s="74"/>
      <c r="EBO4" s="74"/>
      <c r="EBP4" s="74"/>
      <c r="EBQ4" s="74"/>
      <c r="EBR4" s="74"/>
      <c r="EBS4" s="74"/>
      <c r="EBT4" s="74"/>
      <c r="EBU4" s="74"/>
      <c r="EBV4" s="74"/>
      <c r="EBW4" s="74"/>
      <c r="EBX4" s="74"/>
      <c r="EBY4" s="74"/>
      <c r="EBZ4" s="74"/>
      <c r="ECA4" s="74"/>
      <c r="ECB4" s="74"/>
      <c r="ECC4" s="74"/>
      <c r="ECD4" s="74"/>
      <c r="ECE4" s="74"/>
      <c r="ECF4" s="74"/>
      <c r="ECG4" s="74"/>
      <c r="ECH4" s="74"/>
      <c r="ECI4" s="74"/>
      <c r="ECJ4" s="74"/>
      <c r="ECK4" s="74"/>
      <c r="ECL4" s="74"/>
      <c r="ECM4" s="74"/>
      <c r="ECN4" s="74"/>
      <c r="ECO4" s="74"/>
      <c r="ECP4" s="74"/>
      <c r="ECQ4" s="74"/>
      <c r="ECR4" s="74"/>
      <c r="ECS4" s="74"/>
      <c r="ECT4" s="74"/>
      <c r="ECU4" s="74"/>
      <c r="ECV4" s="74"/>
      <c r="ECW4" s="74"/>
      <c r="ECX4" s="74"/>
      <c r="ECY4" s="74"/>
      <c r="ECZ4" s="74"/>
      <c r="EDA4" s="74"/>
      <c r="EDB4" s="74"/>
      <c r="EDC4" s="74"/>
      <c r="EDD4" s="74"/>
      <c r="EDE4" s="74"/>
      <c r="EDF4" s="74"/>
      <c r="EDG4" s="74"/>
      <c r="EDH4" s="74"/>
      <c r="EDI4" s="74"/>
      <c r="EDJ4" s="74"/>
      <c r="EDK4" s="74"/>
      <c r="EDL4" s="74"/>
      <c r="EDM4" s="74"/>
      <c r="EDN4" s="74"/>
      <c r="EDO4" s="74"/>
      <c r="EDP4" s="74"/>
      <c r="EDQ4" s="74"/>
      <c r="EDR4" s="74"/>
      <c r="EDS4" s="74"/>
      <c r="EDT4" s="74"/>
      <c r="EDU4" s="74"/>
      <c r="EDV4" s="74"/>
      <c r="EDW4" s="74"/>
      <c r="EDX4" s="74"/>
      <c r="EDY4" s="74"/>
      <c r="EDZ4" s="74"/>
      <c r="EEA4" s="74"/>
      <c r="EEB4" s="74"/>
      <c r="EEC4" s="74"/>
      <c r="EED4" s="74"/>
      <c r="EEE4" s="74"/>
      <c r="EEF4" s="74"/>
      <c r="EEG4" s="74"/>
      <c r="EEH4" s="74"/>
      <c r="EEI4" s="74"/>
      <c r="EEJ4" s="74"/>
      <c r="EEK4" s="74"/>
      <c r="EEL4" s="74"/>
      <c r="EEM4" s="74"/>
      <c r="EEN4" s="74"/>
      <c r="EEO4" s="74"/>
      <c r="EEP4" s="74"/>
      <c r="EEQ4" s="74"/>
      <c r="EER4" s="74"/>
      <c r="EES4" s="74"/>
      <c r="EET4" s="74"/>
      <c r="EEU4" s="74"/>
      <c r="EEV4" s="74"/>
      <c r="EEW4" s="74"/>
      <c r="EEX4" s="74"/>
      <c r="EEY4" s="74"/>
      <c r="EEZ4" s="74"/>
      <c r="EFA4" s="74"/>
      <c r="EFB4" s="74"/>
      <c r="EFC4" s="74"/>
      <c r="EFD4" s="74"/>
      <c r="EFE4" s="74"/>
      <c r="EFF4" s="74"/>
      <c r="EFG4" s="74"/>
      <c r="EFH4" s="74"/>
      <c r="EFI4" s="74"/>
      <c r="EFJ4" s="74"/>
      <c r="EFK4" s="74"/>
      <c r="EFL4" s="74"/>
      <c r="EFM4" s="74"/>
      <c r="EFN4" s="74"/>
      <c r="EFO4" s="74"/>
      <c r="EFP4" s="74"/>
      <c r="EFQ4" s="74"/>
      <c r="EFR4" s="74"/>
      <c r="EFS4" s="74"/>
      <c r="EFT4" s="74"/>
      <c r="EFU4" s="74"/>
      <c r="EFV4" s="74"/>
      <c r="EFW4" s="74"/>
      <c r="EFX4" s="74"/>
      <c r="EFY4" s="74"/>
      <c r="EFZ4" s="74"/>
      <c r="EGA4" s="74"/>
      <c r="EGB4" s="74"/>
      <c r="EGC4" s="74"/>
      <c r="EGD4" s="74"/>
      <c r="EGE4" s="74"/>
      <c r="EGF4" s="74"/>
      <c r="EGG4" s="74"/>
      <c r="EGH4" s="74"/>
      <c r="EGI4" s="74"/>
      <c r="EGJ4" s="74"/>
      <c r="EGK4" s="74"/>
      <c r="EGL4" s="74"/>
      <c r="EGM4" s="74"/>
      <c r="EGN4" s="74"/>
      <c r="EGO4" s="74"/>
      <c r="EGP4" s="74"/>
      <c r="EGQ4" s="74"/>
      <c r="EGR4" s="74"/>
      <c r="EGS4" s="74"/>
      <c r="EGT4" s="74"/>
      <c r="EGU4" s="74"/>
      <c r="EGV4" s="74"/>
      <c r="EGW4" s="74"/>
      <c r="EGX4" s="74"/>
      <c r="EGY4" s="74"/>
      <c r="EGZ4" s="74"/>
      <c r="EHA4" s="74"/>
      <c r="EHB4" s="74"/>
      <c r="EHC4" s="74"/>
      <c r="EHD4" s="74"/>
      <c r="EHE4" s="74"/>
      <c r="EHF4" s="74"/>
      <c r="EHG4" s="74"/>
      <c r="EHH4" s="74"/>
      <c r="EHI4" s="74"/>
      <c r="EHJ4" s="74"/>
      <c r="EHK4" s="74"/>
      <c r="EHL4" s="74"/>
      <c r="EHM4" s="74"/>
      <c r="EHN4" s="74"/>
      <c r="EHO4" s="74"/>
      <c r="EHP4" s="74"/>
      <c r="EHQ4" s="74"/>
      <c r="EHR4" s="74"/>
      <c r="EHS4" s="74"/>
      <c r="EHT4" s="74"/>
      <c r="EHU4" s="74"/>
      <c r="EHV4" s="74"/>
      <c r="EHW4" s="74"/>
      <c r="EHX4" s="74"/>
      <c r="EHY4" s="74"/>
      <c r="EHZ4" s="74"/>
      <c r="EIA4" s="74"/>
      <c r="EIB4" s="74"/>
      <c r="EIC4" s="74"/>
      <c r="EID4" s="74"/>
      <c r="EIE4" s="74"/>
      <c r="EIF4" s="74"/>
      <c r="EIG4" s="74"/>
      <c r="EIH4" s="74"/>
      <c r="EII4" s="74"/>
      <c r="EIJ4" s="74"/>
      <c r="EIK4" s="74"/>
      <c r="EIL4" s="74"/>
      <c r="EIM4" s="74"/>
      <c r="EIN4" s="74"/>
      <c r="EIO4" s="74"/>
      <c r="EIP4" s="74"/>
      <c r="EIQ4" s="74"/>
      <c r="EIR4" s="74"/>
      <c r="EIS4" s="74"/>
      <c r="EIT4" s="74"/>
      <c r="EIU4" s="74"/>
      <c r="EIV4" s="74"/>
      <c r="EIW4" s="74"/>
      <c r="EIX4" s="74"/>
      <c r="EIY4" s="74"/>
      <c r="EIZ4" s="74"/>
      <c r="EJA4" s="74"/>
      <c r="EJB4" s="74"/>
      <c r="EJC4" s="74"/>
      <c r="EJD4" s="74"/>
      <c r="EJE4" s="74"/>
      <c r="EJF4" s="74"/>
      <c r="EJG4" s="74"/>
      <c r="EJH4" s="74"/>
      <c r="EJI4" s="74"/>
      <c r="EJJ4" s="74"/>
      <c r="EJK4" s="74"/>
      <c r="EJL4" s="74"/>
      <c r="EJM4" s="74"/>
      <c r="EJN4" s="74"/>
      <c r="EJO4" s="74"/>
      <c r="EJP4" s="74"/>
      <c r="EJQ4" s="74"/>
      <c r="EJR4" s="74"/>
      <c r="EJS4" s="74"/>
      <c r="EJT4" s="74"/>
      <c r="EJU4" s="74"/>
      <c r="EJV4" s="74"/>
      <c r="EJW4" s="74"/>
      <c r="EJX4" s="74"/>
      <c r="EJY4" s="74"/>
      <c r="EJZ4" s="74"/>
      <c r="EKA4" s="74"/>
      <c r="EKB4" s="74"/>
      <c r="EKC4" s="74"/>
      <c r="EKD4" s="74"/>
      <c r="EKE4" s="74"/>
      <c r="EKF4" s="74"/>
      <c r="EKG4" s="74"/>
      <c r="EKH4" s="74"/>
      <c r="EKI4" s="74"/>
      <c r="EKJ4" s="74"/>
      <c r="EKK4" s="74"/>
      <c r="EKL4" s="74"/>
      <c r="EKM4" s="74"/>
      <c r="EKN4" s="74"/>
      <c r="EKO4" s="74"/>
      <c r="EKP4" s="74"/>
      <c r="EKQ4" s="74"/>
      <c r="EKR4" s="74"/>
      <c r="EKS4" s="74"/>
      <c r="EKT4" s="74"/>
      <c r="EKU4" s="74"/>
      <c r="EKV4" s="74"/>
      <c r="EKW4" s="74"/>
      <c r="EKX4" s="74"/>
      <c r="EKY4" s="74"/>
      <c r="EKZ4" s="74"/>
      <c r="ELA4" s="74"/>
      <c r="ELB4" s="74"/>
      <c r="ELC4" s="74"/>
      <c r="ELD4" s="74"/>
      <c r="ELE4" s="74"/>
      <c r="ELF4" s="74"/>
      <c r="ELG4" s="74"/>
      <c r="ELH4" s="74"/>
      <c r="ELI4" s="74"/>
      <c r="ELJ4" s="74"/>
      <c r="ELK4" s="74"/>
      <c r="ELL4" s="74"/>
      <c r="ELM4" s="74"/>
      <c r="ELN4" s="74"/>
      <c r="ELO4" s="74"/>
      <c r="ELP4" s="74"/>
      <c r="ELQ4" s="74"/>
      <c r="ELR4" s="74"/>
      <c r="ELS4" s="74"/>
      <c r="ELT4" s="74"/>
      <c r="ELU4" s="74"/>
      <c r="ELV4" s="74"/>
      <c r="ELW4" s="74"/>
      <c r="ELX4" s="74"/>
      <c r="ELY4" s="74"/>
      <c r="ELZ4" s="74"/>
      <c r="EMA4" s="74"/>
      <c r="EMB4" s="74"/>
      <c r="EMC4" s="74"/>
      <c r="EMD4" s="74"/>
      <c r="EME4" s="74"/>
      <c r="EMF4" s="74"/>
      <c r="EMG4" s="74"/>
      <c r="EMH4" s="74"/>
      <c r="EMI4" s="74"/>
      <c r="EMJ4" s="74"/>
      <c r="EMK4" s="74"/>
      <c r="EML4" s="74"/>
      <c r="EMM4" s="74"/>
      <c r="EMN4" s="74"/>
      <c r="EMO4" s="74"/>
      <c r="EMP4" s="74"/>
      <c r="EMQ4" s="74"/>
      <c r="EMR4" s="74"/>
      <c r="EMS4" s="74"/>
      <c r="EMT4" s="74"/>
      <c r="EMU4" s="74"/>
      <c r="EMV4" s="74"/>
      <c r="EMW4" s="74"/>
      <c r="EMX4" s="74"/>
      <c r="EMY4" s="74"/>
      <c r="EMZ4" s="74"/>
      <c r="ENA4" s="74"/>
      <c r="ENB4" s="74"/>
      <c r="ENC4" s="74"/>
      <c r="END4" s="74"/>
      <c r="ENE4" s="74"/>
      <c r="ENF4" s="74"/>
      <c r="ENG4" s="74"/>
      <c r="ENH4" s="74"/>
      <c r="ENI4" s="74"/>
      <c r="ENJ4" s="74"/>
      <c r="ENK4" s="74"/>
      <c r="ENL4" s="74"/>
      <c r="ENM4" s="74"/>
      <c r="ENN4" s="74"/>
      <c r="ENO4" s="74"/>
      <c r="ENP4" s="74"/>
      <c r="ENQ4" s="74"/>
      <c r="ENR4" s="74"/>
      <c r="ENS4" s="74"/>
      <c r="ENT4" s="74"/>
      <c r="ENU4" s="74"/>
      <c r="ENV4" s="74"/>
      <c r="ENW4" s="74"/>
      <c r="ENX4" s="74"/>
      <c r="ENY4" s="74"/>
      <c r="ENZ4" s="74"/>
      <c r="EOA4" s="74"/>
      <c r="EOB4" s="74"/>
      <c r="EOC4" s="74"/>
      <c r="EOD4" s="74"/>
      <c r="EOE4" s="74"/>
      <c r="EOF4" s="74"/>
      <c r="EOG4" s="74"/>
      <c r="EOH4" s="74"/>
      <c r="EOI4" s="74"/>
      <c r="EOJ4" s="74"/>
      <c r="EOK4" s="74"/>
      <c r="EOL4" s="74"/>
      <c r="EOM4" s="74"/>
      <c r="EON4" s="74"/>
      <c r="EOO4" s="74"/>
      <c r="EOP4" s="74"/>
      <c r="EOQ4" s="74"/>
      <c r="EOR4" s="74"/>
      <c r="EOS4" s="74"/>
      <c r="EOT4" s="74"/>
      <c r="EOU4" s="74"/>
      <c r="EOV4" s="74"/>
      <c r="EOW4" s="74"/>
      <c r="EOX4" s="74"/>
      <c r="EOY4" s="74"/>
      <c r="EOZ4" s="74"/>
      <c r="EPA4" s="74"/>
      <c r="EPB4" s="74"/>
      <c r="EPC4" s="74"/>
      <c r="EPD4" s="74"/>
      <c r="EPE4" s="74"/>
      <c r="EPF4" s="74"/>
      <c r="EPG4" s="74"/>
      <c r="EPH4" s="74"/>
      <c r="EPI4" s="74"/>
      <c r="EPJ4" s="74"/>
      <c r="EPK4" s="74"/>
      <c r="EPL4" s="74"/>
      <c r="EPM4" s="74"/>
      <c r="EPN4" s="74"/>
      <c r="EPO4" s="74"/>
      <c r="EPP4" s="74"/>
      <c r="EPQ4" s="74"/>
      <c r="EPR4" s="74"/>
      <c r="EPS4" s="74"/>
      <c r="EPT4" s="74"/>
      <c r="EPU4" s="74"/>
      <c r="EPV4" s="74"/>
      <c r="EPW4" s="74"/>
      <c r="EPX4" s="74"/>
      <c r="EPY4" s="74"/>
      <c r="EPZ4" s="74"/>
      <c r="EQA4" s="74"/>
      <c r="EQB4" s="74"/>
      <c r="EQC4" s="74"/>
      <c r="EQD4" s="74"/>
      <c r="EQE4" s="74"/>
      <c r="EQF4" s="74"/>
      <c r="EQG4" s="74"/>
      <c r="EQH4" s="74"/>
      <c r="EQI4" s="74"/>
      <c r="EQJ4" s="74"/>
      <c r="EQK4" s="74"/>
      <c r="EQL4" s="74"/>
      <c r="EQM4" s="74"/>
      <c r="EQN4" s="74"/>
      <c r="EQO4" s="74"/>
      <c r="EQP4" s="74"/>
      <c r="EQQ4" s="74"/>
      <c r="EQR4" s="74"/>
      <c r="EQS4" s="74"/>
      <c r="EQT4" s="74"/>
      <c r="EQU4" s="74"/>
      <c r="EQV4" s="74"/>
      <c r="EQW4" s="74"/>
      <c r="EQX4" s="74"/>
      <c r="EQY4" s="74"/>
      <c r="EQZ4" s="74"/>
      <c r="ERA4" s="74"/>
      <c r="ERB4" s="74"/>
      <c r="ERC4" s="74"/>
      <c r="ERD4" s="74"/>
      <c r="ERE4" s="74"/>
      <c r="ERF4" s="74"/>
      <c r="ERG4" s="74"/>
      <c r="ERH4" s="74"/>
      <c r="ERI4" s="74"/>
      <c r="ERJ4" s="74"/>
      <c r="ERK4" s="74"/>
      <c r="ERL4" s="74"/>
      <c r="ERM4" s="74"/>
      <c r="ERN4" s="74"/>
      <c r="ERO4" s="74"/>
      <c r="ERP4" s="74"/>
      <c r="ERQ4" s="74"/>
      <c r="ERR4" s="74"/>
      <c r="ERS4" s="74"/>
      <c r="ERT4" s="74"/>
      <c r="ERU4" s="74"/>
      <c r="ERV4" s="74"/>
      <c r="ERW4" s="74"/>
      <c r="ERX4" s="74"/>
      <c r="ERY4" s="74"/>
      <c r="ERZ4" s="74"/>
      <c r="ESA4" s="74"/>
      <c r="ESB4" s="74"/>
      <c r="ESC4" s="74"/>
      <c r="ESD4" s="74"/>
      <c r="ESE4" s="74"/>
      <c r="ESF4" s="74"/>
      <c r="ESG4" s="74"/>
      <c r="ESH4" s="74"/>
      <c r="ESI4" s="74"/>
      <c r="ESJ4" s="74"/>
      <c r="ESK4" s="74"/>
      <c r="ESL4" s="74"/>
      <c r="ESM4" s="74"/>
      <c r="ESN4" s="74"/>
      <c r="ESO4" s="74"/>
      <c r="ESP4" s="74"/>
      <c r="ESQ4" s="74"/>
      <c r="ESR4" s="74"/>
      <c r="ESS4" s="74"/>
      <c r="EST4" s="74"/>
      <c r="ESU4" s="74"/>
      <c r="ESV4" s="74"/>
      <c r="ESW4" s="74"/>
      <c r="ESX4" s="74"/>
      <c r="ESY4" s="74"/>
      <c r="ESZ4" s="74"/>
      <c r="ETA4" s="74"/>
      <c r="ETB4" s="74"/>
      <c r="ETC4" s="74"/>
      <c r="ETD4" s="74"/>
      <c r="ETE4" s="74"/>
      <c r="ETF4" s="74"/>
      <c r="ETG4" s="74"/>
      <c r="ETH4" s="74"/>
      <c r="ETI4" s="74"/>
      <c r="ETJ4" s="74"/>
      <c r="ETK4" s="74"/>
      <c r="ETL4" s="74"/>
      <c r="ETM4" s="74"/>
      <c r="ETN4" s="74"/>
      <c r="ETO4" s="74"/>
      <c r="ETP4" s="74"/>
      <c r="ETQ4" s="74"/>
      <c r="ETR4" s="74"/>
      <c r="ETS4" s="74"/>
      <c r="ETT4" s="74"/>
      <c r="ETU4" s="74"/>
      <c r="ETV4" s="74"/>
      <c r="ETW4" s="74"/>
      <c r="ETX4" s="74"/>
      <c r="ETY4" s="74"/>
      <c r="ETZ4" s="74"/>
      <c r="EUA4" s="74"/>
      <c r="EUB4" s="74"/>
      <c r="EUC4" s="74"/>
      <c r="EUD4" s="74"/>
      <c r="EUE4" s="74"/>
      <c r="EUF4" s="74"/>
      <c r="EUG4" s="74"/>
      <c r="EUH4" s="74"/>
      <c r="EUI4" s="74"/>
      <c r="EUJ4" s="74"/>
      <c r="EUK4" s="74"/>
      <c r="EUL4" s="74"/>
      <c r="EUM4" s="74"/>
      <c r="EUN4" s="74"/>
      <c r="EUO4" s="74"/>
      <c r="EUP4" s="74"/>
      <c r="EUQ4" s="74"/>
      <c r="EUR4" s="74"/>
      <c r="EUS4" s="74"/>
      <c r="EUT4" s="74"/>
      <c r="EUU4" s="74"/>
      <c r="EUV4" s="74"/>
      <c r="EUW4" s="74"/>
      <c r="EUX4" s="74"/>
      <c r="EUY4" s="74"/>
      <c r="EUZ4" s="74"/>
      <c r="EVA4" s="74"/>
      <c r="EVB4" s="74"/>
      <c r="EVC4" s="74"/>
      <c r="EVD4" s="74"/>
      <c r="EVE4" s="74"/>
      <c r="EVF4" s="74"/>
      <c r="EVG4" s="74"/>
      <c r="EVH4" s="74"/>
      <c r="EVI4" s="74"/>
      <c r="EVJ4" s="74"/>
      <c r="EVK4" s="74"/>
      <c r="EVL4" s="74"/>
      <c r="EVM4" s="74"/>
      <c r="EVN4" s="74"/>
      <c r="EVO4" s="74"/>
      <c r="EVP4" s="74"/>
      <c r="EVQ4" s="74"/>
      <c r="EVR4" s="74"/>
      <c r="EVS4" s="74"/>
      <c r="EVT4" s="74"/>
      <c r="EVU4" s="74"/>
      <c r="EVV4" s="74"/>
      <c r="EVW4" s="74"/>
      <c r="EVX4" s="74"/>
      <c r="EVY4" s="74"/>
      <c r="EVZ4" s="74"/>
      <c r="EWA4" s="74"/>
      <c r="EWB4" s="74"/>
      <c r="EWC4" s="74"/>
      <c r="EWD4" s="74"/>
      <c r="EWE4" s="74"/>
      <c r="EWF4" s="74"/>
      <c r="EWG4" s="74"/>
      <c r="EWH4" s="74"/>
      <c r="EWI4" s="74"/>
      <c r="EWJ4" s="74"/>
      <c r="EWK4" s="74"/>
      <c r="EWL4" s="74"/>
      <c r="EWM4" s="74"/>
      <c r="EWN4" s="74"/>
      <c r="EWO4" s="74"/>
      <c r="EWP4" s="74"/>
      <c r="EWQ4" s="74"/>
      <c r="EWR4" s="74"/>
      <c r="EWS4" s="74"/>
      <c r="EWT4" s="74"/>
      <c r="EWU4" s="74"/>
      <c r="EWV4" s="74"/>
      <c r="EWW4" s="74"/>
      <c r="EWX4" s="74"/>
      <c r="EWY4" s="74"/>
      <c r="EWZ4" s="74"/>
      <c r="EXA4" s="74"/>
      <c r="EXB4" s="74"/>
      <c r="EXC4" s="74"/>
      <c r="EXD4" s="74"/>
      <c r="EXE4" s="74"/>
      <c r="EXF4" s="74"/>
      <c r="EXG4" s="74"/>
      <c r="EXH4" s="74"/>
      <c r="EXI4" s="74"/>
      <c r="EXJ4" s="74"/>
      <c r="EXK4" s="74"/>
      <c r="EXL4" s="74"/>
      <c r="EXM4" s="74"/>
      <c r="EXN4" s="74"/>
      <c r="EXO4" s="74"/>
      <c r="EXP4" s="74"/>
      <c r="EXQ4" s="74"/>
      <c r="EXR4" s="74"/>
      <c r="EXS4" s="74"/>
      <c r="EXT4" s="74"/>
      <c r="EXU4" s="74"/>
      <c r="EXV4" s="74"/>
      <c r="EXW4" s="74"/>
      <c r="EXX4" s="74"/>
      <c r="EXY4" s="74"/>
      <c r="EXZ4" s="74"/>
      <c r="EYA4" s="74"/>
      <c r="EYB4" s="74"/>
      <c r="EYC4" s="74"/>
      <c r="EYD4" s="74"/>
      <c r="EYE4" s="74"/>
      <c r="EYF4" s="74"/>
      <c r="EYG4" s="74"/>
      <c r="EYH4" s="74"/>
      <c r="EYI4" s="74"/>
      <c r="EYJ4" s="74"/>
      <c r="EYK4" s="74"/>
      <c r="EYL4" s="74"/>
      <c r="EYM4" s="74"/>
      <c r="EYN4" s="74"/>
      <c r="EYO4" s="74"/>
      <c r="EYP4" s="74"/>
      <c r="EYQ4" s="74"/>
      <c r="EYR4" s="74"/>
      <c r="EYS4" s="74"/>
      <c r="EYT4" s="74"/>
      <c r="EYU4" s="74"/>
      <c r="EYV4" s="74"/>
      <c r="EYW4" s="74"/>
      <c r="EYX4" s="74"/>
      <c r="EYY4" s="74"/>
      <c r="EYZ4" s="74"/>
      <c r="EZA4" s="74"/>
      <c r="EZB4" s="74"/>
      <c r="EZC4" s="74"/>
      <c r="EZD4" s="74"/>
      <c r="EZE4" s="74"/>
      <c r="EZF4" s="74"/>
      <c r="EZG4" s="74"/>
      <c r="EZH4" s="74"/>
      <c r="EZI4" s="74"/>
      <c r="EZJ4" s="74"/>
      <c r="EZK4" s="74"/>
      <c r="EZL4" s="74"/>
      <c r="EZM4" s="74"/>
      <c r="EZN4" s="74"/>
      <c r="EZO4" s="74"/>
      <c r="EZP4" s="74"/>
      <c r="EZQ4" s="74"/>
      <c r="EZR4" s="74"/>
      <c r="EZS4" s="74"/>
      <c r="EZT4" s="74"/>
      <c r="EZU4" s="74"/>
      <c r="EZV4" s="74"/>
      <c r="EZW4" s="74"/>
      <c r="EZX4" s="74"/>
      <c r="EZY4" s="74"/>
      <c r="EZZ4" s="74"/>
      <c r="FAA4" s="74"/>
      <c r="FAB4" s="74"/>
      <c r="FAC4" s="74"/>
      <c r="FAD4" s="74"/>
      <c r="FAE4" s="74"/>
      <c r="FAF4" s="74"/>
      <c r="FAG4" s="74"/>
      <c r="FAH4" s="74"/>
      <c r="FAI4" s="74"/>
      <c r="FAJ4" s="74"/>
      <c r="FAK4" s="74"/>
      <c r="FAL4" s="74"/>
      <c r="FAM4" s="74"/>
      <c r="FAN4" s="74"/>
      <c r="FAO4" s="74"/>
      <c r="FAP4" s="74"/>
      <c r="FAQ4" s="74"/>
      <c r="FAR4" s="74"/>
      <c r="FAS4" s="74"/>
      <c r="FAT4" s="74"/>
      <c r="FAU4" s="74"/>
      <c r="FAV4" s="74"/>
      <c r="FAW4" s="74"/>
      <c r="FAX4" s="74"/>
      <c r="FAY4" s="74"/>
      <c r="FAZ4" s="74"/>
      <c r="FBA4" s="74"/>
      <c r="FBB4" s="74"/>
      <c r="FBC4" s="74"/>
      <c r="FBD4" s="74"/>
      <c r="FBE4" s="74"/>
      <c r="FBF4" s="74"/>
      <c r="FBG4" s="74"/>
      <c r="FBH4" s="74"/>
      <c r="FBI4" s="74"/>
      <c r="FBJ4" s="74"/>
      <c r="FBK4" s="74"/>
      <c r="FBL4" s="74"/>
      <c r="FBM4" s="74"/>
      <c r="FBN4" s="74"/>
      <c r="FBO4" s="74"/>
      <c r="FBP4" s="74"/>
      <c r="FBQ4" s="74"/>
      <c r="FBR4" s="74"/>
      <c r="FBS4" s="74"/>
      <c r="FBT4" s="74"/>
      <c r="FBU4" s="74"/>
      <c r="FBV4" s="74"/>
      <c r="FBW4" s="74"/>
      <c r="FBX4" s="74"/>
      <c r="FBY4" s="74"/>
      <c r="FBZ4" s="74"/>
      <c r="FCA4" s="74"/>
      <c r="FCB4" s="74"/>
      <c r="FCC4" s="74"/>
      <c r="FCD4" s="74"/>
      <c r="FCE4" s="74"/>
      <c r="FCF4" s="74"/>
      <c r="FCG4" s="74"/>
      <c r="FCH4" s="74"/>
      <c r="FCI4" s="74"/>
      <c r="FCJ4" s="74"/>
      <c r="FCK4" s="74"/>
      <c r="FCL4" s="74"/>
      <c r="FCM4" s="74"/>
      <c r="FCN4" s="74"/>
      <c r="FCO4" s="74"/>
      <c r="FCP4" s="74"/>
      <c r="FCQ4" s="74"/>
      <c r="FCR4" s="74"/>
      <c r="FCS4" s="74"/>
      <c r="FCT4" s="74"/>
      <c r="FCU4" s="74"/>
      <c r="FCV4" s="74"/>
      <c r="FCW4" s="74"/>
      <c r="FCX4" s="74"/>
      <c r="FCY4" s="74"/>
      <c r="FCZ4" s="74"/>
      <c r="FDA4" s="74"/>
      <c r="FDB4" s="74"/>
      <c r="FDC4" s="74"/>
      <c r="FDD4" s="74"/>
      <c r="FDE4" s="74"/>
      <c r="FDF4" s="74"/>
      <c r="FDG4" s="74"/>
      <c r="FDH4" s="74"/>
      <c r="FDI4" s="74"/>
      <c r="FDJ4" s="74"/>
      <c r="FDK4" s="74"/>
      <c r="FDL4" s="74"/>
      <c r="FDM4" s="74"/>
      <c r="FDN4" s="74"/>
      <c r="FDO4" s="74"/>
      <c r="FDP4" s="74"/>
      <c r="FDQ4" s="74"/>
      <c r="FDR4" s="74"/>
      <c r="FDS4" s="74"/>
      <c r="FDT4" s="74"/>
      <c r="FDU4" s="74"/>
      <c r="FDV4" s="74"/>
      <c r="FDW4" s="74"/>
      <c r="FDX4" s="74"/>
      <c r="FDY4" s="74"/>
      <c r="FDZ4" s="74"/>
      <c r="FEA4" s="74"/>
      <c r="FEB4" s="74"/>
      <c r="FEC4" s="74"/>
      <c r="FED4" s="74"/>
      <c r="FEE4" s="74"/>
      <c r="FEF4" s="74"/>
      <c r="FEG4" s="74"/>
      <c r="FEH4" s="74"/>
      <c r="FEI4" s="74"/>
      <c r="FEJ4" s="74"/>
      <c r="FEK4" s="74"/>
      <c r="FEL4" s="74"/>
      <c r="FEM4" s="74"/>
      <c r="FEN4" s="74"/>
      <c r="FEO4" s="74"/>
      <c r="FEP4" s="74"/>
      <c r="FEQ4" s="74"/>
      <c r="FER4" s="74"/>
      <c r="FES4" s="74"/>
      <c r="FET4" s="74"/>
      <c r="FEU4" s="74"/>
      <c r="FEV4" s="74"/>
      <c r="FEW4" s="74"/>
      <c r="FEX4" s="74"/>
      <c r="FEY4" s="74"/>
      <c r="FEZ4" s="74"/>
      <c r="FFA4" s="74"/>
      <c r="FFB4" s="74"/>
      <c r="FFC4" s="74"/>
      <c r="FFD4" s="74"/>
      <c r="FFE4" s="74"/>
      <c r="FFF4" s="74"/>
      <c r="FFG4" s="74"/>
      <c r="FFH4" s="74"/>
      <c r="FFI4" s="74"/>
      <c r="FFJ4" s="74"/>
      <c r="FFK4" s="74"/>
      <c r="FFL4" s="74"/>
      <c r="FFM4" s="74"/>
      <c r="FFN4" s="74"/>
      <c r="FFO4" s="74"/>
      <c r="FFP4" s="74"/>
      <c r="FFQ4" s="74"/>
      <c r="FFR4" s="74"/>
      <c r="FFS4" s="74"/>
      <c r="FFT4" s="74"/>
      <c r="FFU4" s="74"/>
      <c r="FFV4" s="74"/>
      <c r="FFW4" s="74"/>
      <c r="FFX4" s="74"/>
      <c r="FFY4" s="74"/>
      <c r="FFZ4" s="74"/>
      <c r="FGA4" s="74"/>
      <c r="FGB4" s="74"/>
      <c r="FGC4" s="74"/>
      <c r="FGD4" s="74"/>
      <c r="FGE4" s="74"/>
      <c r="FGF4" s="74"/>
      <c r="FGG4" s="74"/>
      <c r="FGH4" s="74"/>
      <c r="FGI4" s="74"/>
      <c r="FGJ4" s="74"/>
      <c r="FGK4" s="74"/>
      <c r="FGL4" s="74"/>
      <c r="FGM4" s="74"/>
      <c r="FGN4" s="74"/>
      <c r="FGO4" s="74"/>
      <c r="FGP4" s="74"/>
      <c r="FGQ4" s="74"/>
      <c r="FGR4" s="74"/>
      <c r="FGS4" s="74"/>
      <c r="FGT4" s="74"/>
      <c r="FGU4" s="74"/>
      <c r="FGV4" s="74"/>
      <c r="FGW4" s="74"/>
      <c r="FGX4" s="74"/>
      <c r="FGY4" s="74"/>
      <c r="FGZ4" s="74"/>
      <c r="FHA4" s="74"/>
      <c r="FHB4" s="74"/>
      <c r="FHC4" s="74"/>
      <c r="FHD4" s="74"/>
      <c r="FHE4" s="74"/>
      <c r="FHF4" s="74"/>
      <c r="FHG4" s="74"/>
      <c r="FHH4" s="74"/>
      <c r="FHI4" s="74"/>
      <c r="FHJ4" s="74"/>
      <c r="FHK4" s="74"/>
      <c r="FHL4" s="74"/>
      <c r="FHM4" s="74"/>
      <c r="FHN4" s="74"/>
      <c r="FHO4" s="74"/>
      <c r="FHP4" s="74"/>
      <c r="FHQ4" s="74"/>
      <c r="FHR4" s="74"/>
      <c r="FHS4" s="74"/>
      <c r="FHT4" s="74"/>
      <c r="FHU4" s="74"/>
      <c r="FHV4" s="74"/>
      <c r="FHW4" s="74"/>
      <c r="FHX4" s="74"/>
      <c r="FHY4" s="74"/>
      <c r="FHZ4" s="74"/>
      <c r="FIA4" s="74"/>
      <c r="FIB4" s="74"/>
      <c r="FIC4" s="74"/>
      <c r="FID4" s="74"/>
      <c r="FIE4" s="74"/>
      <c r="FIF4" s="74"/>
      <c r="FIG4" s="74"/>
      <c r="FIH4" s="74"/>
      <c r="FII4" s="74"/>
      <c r="FIJ4" s="74"/>
      <c r="FIK4" s="74"/>
      <c r="FIL4" s="74"/>
      <c r="FIM4" s="74"/>
      <c r="FIN4" s="74"/>
      <c r="FIO4" s="74"/>
      <c r="FIP4" s="74"/>
      <c r="FIQ4" s="74"/>
      <c r="FIR4" s="74"/>
      <c r="FIS4" s="74"/>
      <c r="FIT4" s="74"/>
      <c r="FIU4" s="74"/>
      <c r="FIV4" s="74"/>
      <c r="FIW4" s="74"/>
      <c r="FIX4" s="74"/>
      <c r="FIY4" s="74"/>
      <c r="FIZ4" s="74"/>
      <c r="FJA4" s="74"/>
      <c r="FJB4" s="74"/>
      <c r="FJC4" s="74"/>
      <c r="FJD4" s="74"/>
      <c r="FJE4" s="74"/>
      <c r="FJF4" s="74"/>
      <c r="FJG4" s="74"/>
      <c r="FJH4" s="74"/>
      <c r="FJI4" s="74"/>
      <c r="FJJ4" s="74"/>
      <c r="FJK4" s="74"/>
      <c r="FJL4" s="74"/>
      <c r="FJM4" s="74"/>
      <c r="FJN4" s="74"/>
      <c r="FJO4" s="74"/>
      <c r="FJP4" s="74"/>
      <c r="FJQ4" s="74"/>
      <c r="FJR4" s="74"/>
      <c r="FJS4" s="74"/>
      <c r="FJT4" s="74"/>
      <c r="FJU4" s="74"/>
      <c r="FJV4" s="74"/>
      <c r="FJW4" s="74"/>
      <c r="FJX4" s="74"/>
      <c r="FJY4" s="74"/>
      <c r="FJZ4" s="74"/>
      <c r="FKA4" s="74"/>
      <c r="FKB4" s="74"/>
      <c r="FKC4" s="74"/>
      <c r="FKD4" s="74"/>
      <c r="FKE4" s="74"/>
      <c r="FKF4" s="74"/>
      <c r="FKG4" s="74"/>
      <c r="FKH4" s="74"/>
      <c r="FKI4" s="74"/>
      <c r="FKJ4" s="74"/>
      <c r="FKK4" s="74"/>
      <c r="FKL4" s="74"/>
      <c r="FKM4" s="74"/>
      <c r="FKN4" s="74"/>
      <c r="FKO4" s="74"/>
      <c r="FKP4" s="74"/>
      <c r="FKQ4" s="74"/>
      <c r="FKR4" s="74"/>
      <c r="FKS4" s="74"/>
      <c r="FKT4" s="74"/>
      <c r="FKU4" s="74"/>
      <c r="FKV4" s="74"/>
      <c r="FKW4" s="74"/>
      <c r="FKX4" s="74"/>
      <c r="FKY4" s="74"/>
      <c r="FKZ4" s="74"/>
      <c r="FLA4" s="74"/>
      <c r="FLB4" s="74"/>
      <c r="FLC4" s="74"/>
      <c r="FLD4" s="74"/>
      <c r="FLE4" s="74"/>
      <c r="FLF4" s="74"/>
      <c r="FLG4" s="74"/>
      <c r="FLH4" s="74"/>
      <c r="FLI4" s="74"/>
      <c r="FLJ4" s="74"/>
      <c r="FLK4" s="74"/>
      <c r="FLL4" s="74"/>
      <c r="FLM4" s="74"/>
      <c r="FLN4" s="74"/>
      <c r="FLO4" s="74"/>
      <c r="FLP4" s="74"/>
      <c r="FLQ4" s="74"/>
      <c r="FLR4" s="74"/>
      <c r="FLS4" s="74"/>
      <c r="FLT4" s="74"/>
      <c r="FLU4" s="74"/>
      <c r="FLV4" s="74"/>
      <c r="FLW4" s="74"/>
      <c r="FLX4" s="74"/>
      <c r="FLY4" s="74"/>
      <c r="FLZ4" s="74"/>
      <c r="FMA4" s="74"/>
      <c r="FMB4" s="74"/>
      <c r="FMC4" s="74"/>
      <c r="FMD4" s="74"/>
      <c r="FME4" s="74"/>
      <c r="FMF4" s="74"/>
      <c r="FMG4" s="74"/>
      <c r="FMH4" s="74"/>
      <c r="FMI4" s="74"/>
      <c r="FMJ4" s="74"/>
      <c r="FMK4" s="74"/>
      <c r="FML4" s="74"/>
      <c r="FMM4" s="74"/>
      <c r="FMN4" s="74"/>
      <c r="FMO4" s="74"/>
      <c r="FMP4" s="74"/>
      <c r="FMQ4" s="74"/>
      <c r="FMR4" s="74"/>
      <c r="FMS4" s="74"/>
      <c r="FMT4" s="74"/>
      <c r="FMU4" s="74"/>
      <c r="FMV4" s="74"/>
      <c r="FMW4" s="74"/>
      <c r="FMX4" s="74"/>
      <c r="FMY4" s="74"/>
      <c r="FMZ4" s="74"/>
      <c r="FNA4" s="74"/>
      <c r="FNB4" s="74"/>
      <c r="FNC4" s="74"/>
      <c r="FND4" s="74"/>
      <c r="FNE4" s="74"/>
      <c r="FNF4" s="74"/>
      <c r="FNG4" s="74"/>
      <c r="FNH4" s="74"/>
      <c r="FNI4" s="74"/>
      <c r="FNJ4" s="74"/>
      <c r="FNK4" s="74"/>
      <c r="FNL4" s="74"/>
      <c r="FNM4" s="74"/>
      <c r="FNN4" s="74"/>
      <c r="FNO4" s="74"/>
      <c r="FNP4" s="74"/>
      <c r="FNQ4" s="74"/>
      <c r="FNR4" s="74"/>
      <c r="FNS4" s="74"/>
      <c r="FNT4" s="74"/>
      <c r="FNU4" s="74"/>
      <c r="FNV4" s="74"/>
      <c r="FNW4" s="74"/>
      <c r="FNX4" s="74"/>
      <c r="FNY4" s="74"/>
      <c r="FNZ4" s="74"/>
      <c r="FOA4" s="74"/>
      <c r="FOB4" s="74"/>
      <c r="FOC4" s="74"/>
      <c r="FOD4" s="74"/>
      <c r="FOE4" s="74"/>
      <c r="FOF4" s="74"/>
      <c r="FOG4" s="74"/>
      <c r="FOH4" s="74"/>
      <c r="FOI4" s="74"/>
      <c r="FOJ4" s="74"/>
      <c r="FOK4" s="74"/>
      <c r="FOL4" s="74"/>
      <c r="FOM4" s="74"/>
      <c r="FON4" s="74"/>
      <c r="FOO4" s="74"/>
      <c r="FOP4" s="74"/>
      <c r="FOQ4" s="74"/>
      <c r="FOR4" s="74"/>
      <c r="FOS4" s="74"/>
      <c r="FOT4" s="74"/>
      <c r="FOU4" s="74"/>
      <c r="FOV4" s="74"/>
      <c r="FOW4" s="74"/>
      <c r="FOX4" s="74"/>
      <c r="FOY4" s="74"/>
      <c r="FOZ4" s="74"/>
      <c r="FPA4" s="74"/>
      <c r="FPB4" s="74"/>
      <c r="FPC4" s="74"/>
      <c r="FPD4" s="74"/>
      <c r="FPE4" s="74"/>
      <c r="FPF4" s="74"/>
      <c r="FPG4" s="74"/>
      <c r="FPH4" s="74"/>
      <c r="FPI4" s="74"/>
      <c r="FPJ4" s="74"/>
      <c r="FPK4" s="74"/>
      <c r="FPL4" s="74"/>
      <c r="FPM4" s="74"/>
      <c r="FPN4" s="74"/>
      <c r="FPO4" s="74"/>
      <c r="FPP4" s="74"/>
      <c r="FPQ4" s="74"/>
      <c r="FPR4" s="74"/>
      <c r="FPS4" s="74"/>
      <c r="FPT4" s="74"/>
      <c r="FPU4" s="74"/>
      <c r="FPV4" s="74"/>
      <c r="FPW4" s="74"/>
      <c r="FPX4" s="74"/>
      <c r="FPY4" s="74"/>
      <c r="FPZ4" s="74"/>
      <c r="FQA4" s="74"/>
      <c r="FQB4" s="74"/>
      <c r="FQC4" s="74"/>
      <c r="FQD4" s="74"/>
      <c r="FQE4" s="74"/>
      <c r="FQF4" s="74"/>
      <c r="FQG4" s="74"/>
      <c r="FQH4" s="74"/>
      <c r="FQI4" s="74"/>
      <c r="FQJ4" s="74"/>
      <c r="FQK4" s="74"/>
      <c r="FQL4" s="74"/>
      <c r="FQM4" s="74"/>
      <c r="FQN4" s="74"/>
      <c r="FQO4" s="74"/>
      <c r="FQP4" s="74"/>
      <c r="FQQ4" s="74"/>
      <c r="FQR4" s="74"/>
      <c r="FQS4" s="74"/>
      <c r="FQT4" s="74"/>
      <c r="FQU4" s="74"/>
      <c r="FQV4" s="74"/>
      <c r="FQW4" s="74"/>
      <c r="FQX4" s="74"/>
      <c r="FQY4" s="74"/>
      <c r="FQZ4" s="74"/>
      <c r="FRA4" s="74"/>
      <c r="FRB4" s="74"/>
      <c r="FRC4" s="74"/>
      <c r="FRD4" s="74"/>
      <c r="FRE4" s="74"/>
      <c r="FRF4" s="74"/>
      <c r="FRG4" s="74"/>
      <c r="FRH4" s="74"/>
      <c r="FRI4" s="74"/>
      <c r="FRJ4" s="74"/>
      <c r="FRK4" s="74"/>
      <c r="FRL4" s="74"/>
      <c r="FRM4" s="74"/>
      <c r="FRN4" s="74"/>
      <c r="FRO4" s="74"/>
      <c r="FRP4" s="74"/>
      <c r="FRQ4" s="74"/>
      <c r="FRR4" s="74"/>
      <c r="FRS4" s="74"/>
      <c r="FRT4" s="74"/>
      <c r="FRU4" s="74"/>
      <c r="FRV4" s="74"/>
      <c r="FRW4" s="74"/>
      <c r="FRX4" s="74"/>
      <c r="FRY4" s="74"/>
      <c r="FRZ4" s="74"/>
      <c r="FSA4" s="74"/>
      <c r="FSB4" s="74"/>
      <c r="FSC4" s="74"/>
      <c r="FSD4" s="74"/>
      <c r="FSE4" s="74"/>
      <c r="FSF4" s="74"/>
      <c r="FSG4" s="74"/>
      <c r="FSH4" s="74"/>
      <c r="FSI4" s="74"/>
      <c r="FSJ4" s="74"/>
      <c r="FSK4" s="74"/>
      <c r="FSL4" s="74"/>
      <c r="FSM4" s="74"/>
      <c r="FSN4" s="74"/>
      <c r="FSO4" s="74"/>
      <c r="FSP4" s="74"/>
      <c r="FSQ4" s="74"/>
      <c r="FSR4" s="74"/>
      <c r="FSS4" s="74"/>
      <c r="FST4" s="74"/>
      <c r="FSU4" s="74"/>
      <c r="FSV4" s="74"/>
      <c r="FSW4" s="74"/>
      <c r="FSX4" s="74"/>
      <c r="FSY4" s="74"/>
      <c r="FSZ4" s="74"/>
      <c r="FTA4" s="74"/>
      <c r="FTB4" s="74"/>
      <c r="FTC4" s="74"/>
      <c r="FTD4" s="74"/>
      <c r="FTE4" s="74"/>
      <c r="FTF4" s="74"/>
      <c r="FTG4" s="74"/>
      <c r="FTH4" s="74"/>
      <c r="FTI4" s="74"/>
      <c r="FTJ4" s="74"/>
      <c r="FTK4" s="74"/>
      <c r="FTL4" s="74"/>
      <c r="FTM4" s="74"/>
      <c r="FTN4" s="74"/>
      <c r="FTO4" s="74"/>
      <c r="FTP4" s="74"/>
      <c r="FTQ4" s="74"/>
      <c r="FTR4" s="74"/>
      <c r="FTS4" s="74"/>
      <c r="FTT4" s="74"/>
      <c r="FTU4" s="74"/>
      <c r="FTV4" s="74"/>
      <c r="FTW4" s="74"/>
      <c r="FTX4" s="74"/>
      <c r="FTY4" s="74"/>
      <c r="FTZ4" s="74"/>
      <c r="FUA4" s="74"/>
      <c r="FUB4" s="74"/>
      <c r="FUC4" s="74"/>
      <c r="FUD4" s="74"/>
      <c r="FUE4" s="74"/>
      <c r="FUF4" s="74"/>
      <c r="FUG4" s="74"/>
      <c r="FUH4" s="74"/>
      <c r="FUI4" s="74"/>
      <c r="FUJ4" s="74"/>
      <c r="FUK4" s="74"/>
      <c r="FUL4" s="74"/>
      <c r="FUM4" s="74"/>
      <c r="FUN4" s="74"/>
      <c r="FUO4" s="74"/>
      <c r="FUP4" s="74"/>
      <c r="FUQ4" s="74"/>
      <c r="FUR4" s="74"/>
      <c r="FUS4" s="74"/>
      <c r="FUT4" s="74"/>
      <c r="FUU4" s="74"/>
      <c r="FUV4" s="74"/>
      <c r="FUW4" s="74"/>
      <c r="FUX4" s="74"/>
      <c r="FUY4" s="74"/>
      <c r="FUZ4" s="74"/>
      <c r="FVA4" s="74"/>
      <c r="FVB4" s="74"/>
      <c r="FVC4" s="74"/>
      <c r="FVD4" s="74"/>
      <c r="FVE4" s="74"/>
      <c r="FVF4" s="74"/>
      <c r="FVG4" s="74"/>
      <c r="FVH4" s="74"/>
      <c r="FVI4" s="74"/>
      <c r="FVJ4" s="74"/>
      <c r="FVK4" s="74"/>
      <c r="FVL4" s="74"/>
      <c r="FVM4" s="74"/>
      <c r="FVN4" s="74"/>
      <c r="FVO4" s="74"/>
      <c r="FVP4" s="74"/>
      <c r="FVQ4" s="74"/>
      <c r="FVR4" s="74"/>
      <c r="FVS4" s="74"/>
      <c r="FVT4" s="74"/>
      <c r="FVU4" s="74"/>
      <c r="FVV4" s="74"/>
      <c r="FVW4" s="74"/>
      <c r="FVX4" s="74"/>
      <c r="FVY4" s="74"/>
      <c r="FVZ4" s="74"/>
      <c r="FWA4" s="74"/>
      <c r="FWB4" s="74"/>
      <c r="FWC4" s="74"/>
      <c r="FWD4" s="74"/>
      <c r="FWE4" s="74"/>
      <c r="FWF4" s="74"/>
      <c r="FWG4" s="74"/>
      <c r="FWH4" s="74"/>
      <c r="FWI4" s="74"/>
      <c r="FWJ4" s="74"/>
      <c r="FWK4" s="74"/>
      <c r="FWL4" s="74"/>
      <c r="FWM4" s="74"/>
      <c r="FWN4" s="74"/>
      <c r="FWO4" s="74"/>
      <c r="FWP4" s="74"/>
      <c r="FWQ4" s="74"/>
      <c r="FWR4" s="74"/>
      <c r="FWS4" s="74"/>
      <c r="FWT4" s="74"/>
      <c r="FWU4" s="74"/>
      <c r="FWV4" s="74"/>
      <c r="FWW4" s="74"/>
      <c r="FWX4" s="74"/>
      <c r="FWY4" s="74"/>
      <c r="FWZ4" s="74"/>
      <c r="FXA4" s="74"/>
      <c r="FXB4" s="74"/>
      <c r="FXC4" s="74"/>
      <c r="FXD4" s="74"/>
      <c r="FXE4" s="74"/>
      <c r="FXF4" s="74"/>
      <c r="FXG4" s="74"/>
      <c r="FXH4" s="74"/>
      <c r="FXI4" s="74"/>
      <c r="FXJ4" s="74"/>
      <c r="FXK4" s="74"/>
      <c r="FXL4" s="74"/>
      <c r="FXM4" s="74"/>
      <c r="FXN4" s="74"/>
      <c r="FXO4" s="74"/>
      <c r="FXP4" s="74"/>
      <c r="FXQ4" s="74"/>
      <c r="FXR4" s="74"/>
      <c r="FXS4" s="74"/>
      <c r="FXT4" s="74"/>
      <c r="FXU4" s="74"/>
      <c r="FXV4" s="74"/>
      <c r="FXW4" s="74"/>
      <c r="FXX4" s="74"/>
      <c r="FXY4" s="74"/>
      <c r="FXZ4" s="74"/>
      <c r="FYA4" s="74"/>
      <c r="FYB4" s="74"/>
      <c r="FYC4" s="74"/>
      <c r="FYD4" s="74"/>
      <c r="FYE4" s="74"/>
      <c r="FYF4" s="74"/>
      <c r="FYG4" s="74"/>
      <c r="FYH4" s="74"/>
      <c r="FYI4" s="74"/>
      <c r="FYJ4" s="74"/>
      <c r="FYK4" s="74"/>
      <c r="FYL4" s="74"/>
      <c r="FYM4" s="74"/>
      <c r="FYN4" s="74"/>
      <c r="FYO4" s="74"/>
      <c r="FYP4" s="74"/>
      <c r="FYQ4" s="74"/>
      <c r="FYR4" s="74"/>
      <c r="FYS4" s="74"/>
      <c r="FYT4" s="74"/>
      <c r="FYU4" s="74"/>
      <c r="FYV4" s="74"/>
      <c r="FYW4" s="74"/>
      <c r="FYX4" s="74"/>
      <c r="FYY4" s="74"/>
      <c r="FYZ4" s="74"/>
      <c r="FZA4" s="74"/>
      <c r="FZB4" s="74"/>
      <c r="FZC4" s="74"/>
      <c r="FZD4" s="74"/>
      <c r="FZE4" s="74"/>
      <c r="FZF4" s="74"/>
      <c r="FZG4" s="74"/>
      <c r="FZH4" s="74"/>
      <c r="FZI4" s="74"/>
      <c r="FZJ4" s="74"/>
      <c r="FZK4" s="74"/>
      <c r="FZL4" s="74"/>
      <c r="FZM4" s="74"/>
      <c r="FZN4" s="74"/>
      <c r="FZO4" s="74"/>
      <c r="FZP4" s="74"/>
      <c r="FZQ4" s="74"/>
      <c r="FZR4" s="74"/>
      <c r="FZS4" s="74"/>
      <c r="FZT4" s="74"/>
      <c r="FZU4" s="74"/>
      <c r="FZV4" s="74"/>
      <c r="FZW4" s="74"/>
      <c r="FZX4" s="74"/>
      <c r="FZY4" s="74"/>
      <c r="FZZ4" s="74"/>
      <c r="GAA4" s="74"/>
      <c r="GAB4" s="74"/>
      <c r="GAC4" s="74"/>
      <c r="GAD4" s="74"/>
      <c r="GAE4" s="74"/>
      <c r="GAF4" s="74"/>
      <c r="GAG4" s="74"/>
      <c r="GAH4" s="74"/>
      <c r="GAI4" s="74"/>
      <c r="GAJ4" s="74"/>
      <c r="GAK4" s="74"/>
      <c r="GAL4" s="74"/>
      <c r="GAM4" s="74"/>
      <c r="GAN4" s="74"/>
      <c r="GAO4" s="74"/>
      <c r="GAP4" s="74"/>
      <c r="GAQ4" s="74"/>
      <c r="GAR4" s="74"/>
      <c r="GAS4" s="74"/>
      <c r="GAT4" s="74"/>
      <c r="GAU4" s="74"/>
      <c r="GAV4" s="74"/>
      <c r="GAW4" s="74"/>
      <c r="GAX4" s="74"/>
      <c r="GAY4" s="74"/>
      <c r="GAZ4" s="74"/>
      <c r="GBA4" s="74"/>
      <c r="GBB4" s="74"/>
      <c r="GBC4" s="74"/>
      <c r="GBD4" s="74"/>
      <c r="GBE4" s="74"/>
      <c r="GBF4" s="74"/>
      <c r="GBG4" s="74"/>
      <c r="GBH4" s="74"/>
      <c r="GBI4" s="74"/>
      <c r="GBJ4" s="74"/>
      <c r="GBK4" s="74"/>
      <c r="GBL4" s="74"/>
      <c r="GBM4" s="74"/>
      <c r="GBN4" s="74"/>
      <c r="GBO4" s="74"/>
      <c r="GBP4" s="74"/>
      <c r="GBQ4" s="74"/>
      <c r="GBR4" s="74"/>
      <c r="GBS4" s="74"/>
      <c r="GBT4" s="74"/>
      <c r="GBU4" s="74"/>
      <c r="GBV4" s="74"/>
      <c r="GBW4" s="74"/>
      <c r="GBX4" s="74"/>
      <c r="GBY4" s="74"/>
      <c r="GBZ4" s="74"/>
      <c r="GCA4" s="74"/>
      <c r="GCB4" s="74"/>
      <c r="GCC4" s="74"/>
      <c r="GCD4" s="74"/>
      <c r="GCE4" s="74"/>
      <c r="GCF4" s="74"/>
      <c r="GCG4" s="74"/>
      <c r="GCH4" s="74"/>
      <c r="GCI4" s="74"/>
      <c r="GCJ4" s="74"/>
      <c r="GCK4" s="74"/>
      <c r="GCL4" s="74"/>
      <c r="GCM4" s="74"/>
      <c r="GCN4" s="74"/>
      <c r="GCO4" s="74"/>
      <c r="GCP4" s="74"/>
      <c r="GCQ4" s="74"/>
      <c r="GCR4" s="74"/>
      <c r="GCS4" s="74"/>
      <c r="GCT4" s="74"/>
      <c r="GCU4" s="74"/>
      <c r="GCV4" s="74"/>
      <c r="GCW4" s="74"/>
      <c r="GCX4" s="74"/>
      <c r="GCY4" s="74"/>
      <c r="GCZ4" s="74"/>
      <c r="GDA4" s="74"/>
      <c r="GDB4" s="74"/>
      <c r="GDC4" s="74"/>
      <c r="GDD4" s="74"/>
      <c r="GDE4" s="74"/>
      <c r="GDF4" s="74"/>
      <c r="GDG4" s="74"/>
      <c r="GDH4" s="74"/>
      <c r="GDI4" s="74"/>
      <c r="GDJ4" s="74"/>
      <c r="GDK4" s="74"/>
      <c r="GDL4" s="74"/>
      <c r="GDM4" s="74"/>
      <c r="GDN4" s="74"/>
      <c r="GDO4" s="74"/>
      <c r="GDP4" s="74"/>
      <c r="GDQ4" s="74"/>
      <c r="GDR4" s="74"/>
      <c r="GDS4" s="74"/>
      <c r="GDT4" s="74"/>
      <c r="GDU4" s="74"/>
      <c r="GDV4" s="74"/>
      <c r="GDW4" s="74"/>
      <c r="GDX4" s="74"/>
      <c r="GDY4" s="74"/>
      <c r="GDZ4" s="74"/>
      <c r="GEA4" s="74"/>
      <c r="GEB4" s="74"/>
      <c r="GEC4" s="74"/>
      <c r="GED4" s="74"/>
      <c r="GEE4" s="74"/>
      <c r="GEF4" s="74"/>
      <c r="GEG4" s="74"/>
      <c r="GEH4" s="74"/>
      <c r="GEI4" s="74"/>
      <c r="GEJ4" s="74"/>
      <c r="GEK4" s="74"/>
      <c r="GEL4" s="74"/>
      <c r="GEM4" s="74"/>
      <c r="GEN4" s="74"/>
      <c r="GEO4" s="74"/>
      <c r="GEP4" s="74"/>
      <c r="GEQ4" s="74"/>
      <c r="GER4" s="74"/>
      <c r="GES4" s="74"/>
      <c r="GET4" s="74"/>
      <c r="GEU4" s="74"/>
      <c r="GEV4" s="74"/>
      <c r="GEW4" s="74"/>
      <c r="GEX4" s="74"/>
      <c r="GEY4" s="74"/>
      <c r="GEZ4" s="74"/>
      <c r="GFA4" s="74"/>
      <c r="GFB4" s="74"/>
      <c r="GFC4" s="74"/>
      <c r="GFD4" s="74"/>
      <c r="GFE4" s="74"/>
      <c r="GFF4" s="74"/>
      <c r="GFG4" s="74"/>
      <c r="GFH4" s="74"/>
      <c r="GFI4" s="74"/>
      <c r="GFJ4" s="74"/>
      <c r="GFK4" s="74"/>
      <c r="GFL4" s="74"/>
      <c r="GFM4" s="74"/>
      <c r="GFN4" s="74"/>
      <c r="GFO4" s="74"/>
      <c r="GFP4" s="74"/>
      <c r="GFQ4" s="74"/>
      <c r="GFR4" s="74"/>
      <c r="GFS4" s="74"/>
      <c r="GFT4" s="74"/>
      <c r="GFU4" s="74"/>
      <c r="GFV4" s="74"/>
      <c r="GFW4" s="74"/>
      <c r="GFX4" s="74"/>
      <c r="GFY4" s="74"/>
      <c r="GFZ4" s="74"/>
      <c r="GGA4" s="74"/>
      <c r="GGB4" s="74"/>
      <c r="GGC4" s="74"/>
      <c r="GGD4" s="74"/>
      <c r="GGE4" s="74"/>
      <c r="GGF4" s="74"/>
      <c r="GGG4" s="74"/>
      <c r="GGH4" s="74"/>
      <c r="GGI4" s="74"/>
      <c r="GGJ4" s="74"/>
      <c r="GGK4" s="74"/>
      <c r="GGL4" s="74"/>
      <c r="GGM4" s="74"/>
      <c r="GGN4" s="74"/>
      <c r="GGO4" s="74"/>
      <c r="GGP4" s="74"/>
      <c r="GGQ4" s="74"/>
      <c r="GGR4" s="74"/>
      <c r="GGS4" s="74"/>
      <c r="GGT4" s="74"/>
      <c r="GGU4" s="74"/>
      <c r="GGV4" s="74"/>
      <c r="GGW4" s="74"/>
      <c r="GGX4" s="74"/>
      <c r="GGY4" s="74"/>
      <c r="GGZ4" s="74"/>
      <c r="GHA4" s="74"/>
      <c r="GHB4" s="74"/>
      <c r="GHC4" s="74"/>
      <c r="GHD4" s="74"/>
      <c r="GHE4" s="74"/>
      <c r="GHF4" s="74"/>
      <c r="GHG4" s="74"/>
      <c r="GHH4" s="74"/>
      <c r="GHI4" s="74"/>
      <c r="GHJ4" s="74"/>
      <c r="GHK4" s="74"/>
      <c r="GHL4" s="74"/>
      <c r="GHM4" s="74"/>
      <c r="GHN4" s="74"/>
      <c r="GHO4" s="74"/>
      <c r="GHP4" s="74"/>
      <c r="GHQ4" s="74"/>
      <c r="GHR4" s="74"/>
      <c r="GHS4" s="74"/>
      <c r="GHT4" s="74"/>
      <c r="GHU4" s="74"/>
      <c r="GHV4" s="74"/>
      <c r="GHW4" s="74"/>
      <c r="GHX4" s="74"/>
      <c r="GHY4" s="74"/>
      <c r="GHZ4" s="74"/>
      <c r="GIA4" s="74"/>
      <c r="GIB4" s="74"/>
      <c r="GIC4" s="74"/>
      <c r="GID4" s="74"/>
      <c r="GIE4" s="74"/>
      <c r="GIF4" s="74"/>
      <c r="GIG4" s="74"/>
      <c r="GIH4" s="74"/>
      <c r="GII4" s="74"/>
      <c r="GIJ4" s="74"/>
      <c r="GIK4" s="74"/>
      <c r="GIL4" s="74"/>
      <c r="GIM4" s="74"/>
      <c r="GIN4" s="74"/>
      <c r="GIO4" s="74"/>
      <c r="GIP4" s="74"/>
      <c r="GIQ4" s="74"/>
      <c r="GIR4" s="74"/>
      <c r="GIS4" s="74"/>
      <c r="GIT4" s="74"/>
      <c r="GIU4" s="74"/>
      <c r="GIV4" s="74"/>
      <c r="GIW4" s="74"/>
      <c r="GIX4" s="74"/>
      <c r="GIY4" s="74"/>
      <c r="GIZ4" s="74"/>
      <c r="GJA4" s="74"/>
      <c r="GJB4" s="74"/>
      <c r="GJC4" s="74"/>
      <c r="GJD4" s="74"/>
      <c r="GJE4" s="74"/>
      <c r="GJF4" s="74"/>
      <c r="GJG4" s="74"/>
      <c r="GJH4" s="74"/>
      <c r="GJI4" s="74"/>
      <c r="GJJ4" s="74"/>
      <c r="GJK4" s="74"/>
      <c r="GJL4" s="74"/>
      <c r="GJM4" s="74"/>
      <c r="GJN4" s="74"/>
      <c r="GJO4" s="74"/>
      <c r="GJP4" s="74"/>
      <c r="GJQ4" s="74"/>
      <c r="GJR4" s="74"/>
      <c r="GJS4" s="74"/>
      <c r="GJT4" s="74"/>
      <c r="GJU4" s="74"/>
      <c r="GJV4" s="74"/>
      <c r="GJW4" s="74"/>
      <c r="GJX4" s="74"/>
      <c r="GJY4" s="74"/>
      <c r="GJZ4" s="74"/>
      <c r="GKA4" s="74"/>
      <c r="GKB4" s="74"/>
      <c r="GKC4" s="74"/>
      <c r="GKD4" s="74"/>
      <c r="GKE4" s="74"/>
      <c r="GKF4" s="74"/>
      <c r="GKG4" s="74"/>
      <c r="GKH4" s="74"/>
      <c r="GKI4" s="74"/>
      <c r="GKJ4" s="74"/>
      <c r="GKK4" s="74"/>
      <c r="GKL4" s="74"/>
      <c r="GKM4" s="74"/>
      <c r="GKN4" s="74"/>
      <c r="GKO4" s="74"/>
      <c r="GKP4" s="74"/>
      <c r="GKQ4" s="74"/>
      <c r="GKR4" s="74"/>
      <c r="GKS4" s="74"/>
      <c r="GKT4" s="74"/>
      <c r="GKU4" s="74"/>
      <c r="GKV4" s="74"/>
      <c r="GKW4" s="74"/>
      <c r="GKX4" s="74"/>
      <c r="GKY4" s="74"/>
      <c r="GKZ4" s="74"/>
      <c r="GLA4" s="74"/>
      <c r="GLB4" s="74"/>
      <c r="GLC4" s="74"/>
      <c r="GLD4" s="74"/>
      <c r="GLE4" s="74"/>
      <c r="GLF4" s="74"/>
      <c r="GLG4" s="74"/>
      <c r="GLH4" s="74"/>
      <c r="GLI4" s="74"/>
      <c r="GLJ4" s="74"/>
      <c r="GLK4" s="74"/>
      <c r="GLL4" s="74"/>
      <c r="GLM4" s="74"/>
      <c r="GLN4" s="74"/>
      <c r="GLO4" s="74"/>
      <c r="GLP4" s="74"/>
      <c r="GLQ4" s="74"/>
      <c r="GLR4" s="74"/>
      <c r="GLS4" s="74"/>
      <c r="GLT4" s="74"/>
      <c r="GLU4" s="74"/>
      <c r="GLV4" s="74"/>
      <c r="GLW4" s="74"/>
      <c r="GLX4" s="74"/>
      <c r="GLY4" s="74"/>
      <c r="GLZ4" s="74"/>
      <c r="GMA4" s="74"/>
      <c r="GMB4" s="74"/>
      <c r="GMC4" s="74"/>
      <c r="GMD4" s="74"/>
      <c r="GME4" s="74"/>
      <c r="GMF4" s="74"/>
      <c r="GMG4" s="74"/>
      <c r="GMH4" s="74"/>
      <c r="GMI4" s="74"/>
      <c r="GMJ4" s="74"/>
      <c r="GMK4" s="74"/>
      <c r="GML4" s="74"/>
      <c r="GMM4" s="74"/>
      <c r="GMN4" s="74"/>
      <c r="GMO4" s="74"/>
      <c r="GMP4" s="74"/>
      <c r="GMQ4" s="74"/>
      <c r="GMR4" s="74"/>
      <c r="GMS4" s="74"/>
      <c r="GMT4" s="74"/>
      <c r="GMU4" s="74"/>
      <c r="GMV4" s="74"/>
      <c r="GMW4" s="74"/>
      <c r="GMX4" s="74"/>
      <c r="GMY4" s="74"/>
      <c r="GMZ4" s="74"/>
      <c r="GNA4" s="74"/>
      <c r="GNB4" s="74"/>
      <c r="GNC4" s="74"/>
      <c r="GND4" s="74"/>
      <c r="GNE4" s="74"/>
      <c r="GNF4" s="74"/>
      <c r="GNG4" s="74"/>
      <c r="GNH4" s="74"/>
      <c r="GNI4" s="74"/>
      <c r="GNJ4" s="74"/>
      <c r="GNK4" s="74"/>
      <c r="GNL4" s="74"/>
      <c r="GNM4" s="74"/>
      <c r="GNN4" s="74"/>
      <c r="GNO4" s="74"/>
      <c r="GNP4" s="74"/>
      <c r="GNQ4" s="74"/>
      <c r="GNR4" s="74"/>
      <c r="GNS4" s="74"/>
      <c r="GNT4" s="74"/>
      <c r="GNU4" s="74"/>
      <c r="GNV4" s="74"/>
      <c r="GNW4" s="74"/>
      <c r="GNX4" s="74"/>
      <c r="GNY4" s="74"/>
      <c r="GNZ4" s="74"/>
      <c r="GOA4" s="74"/>
      <c r="GOB4" s="74"/>
      <c r="GOC4" s="74"/>
      <c r="GOD4" s="74"/>
      <c r="GOE4" s="74"/>
      <c r="GOF4" s="74"/>
      <c r="GOG4" s="74"/>
      <c r="GOH4" s="74"/>
      <c r="GOI4" s="74"/>
      <c r="GOJ4" s="74"/>
      <c r="GOK4" s="74"/>
      <c r="GOL4" s="74"/>
      <c r="GOM4" s="74"/>
      <c r="GON4" s="74"/>
      <c r="GOO4" s="74"/>
      <c r="GOP4" s="74"/>
      <c r="GOQ4" s="74"/>
      <c r="GOR4" s="74"/>
      <c r="GOS4" s="74"/>
      <c r="GOT4" s="74"/>
      <c r="GOU4" s="74"/>
      <c r="GOV4" s="74"/>
      <c r="GOW4" s="74"/>
      <c r="GOX4" s="74"/>
      <c r="GOY4" s="74"/>
      <c r="GOZ4" s="74"/>
      <c r="GPA4" s="74"/>
      <c r="GPB4" s="74"/>
      <c r="GPC4" s="74"/>
      <c r="GPD4" s="74"/>
      <c r="GPE4" s="74"/>
      <c r="GPF4" s="74"/>
      <c r="GPG4" s="74"/>
      <c r="GPH4" s="74"/>
      <c r="GPI4" s="74"/>
      <c r="GPJ4" s="74"/>
      <c r="GPK4" s="74"/>
      <c r="GPL4" s="74"/>
      <c r="GPM4" s="74"/>
      <c r="GPN4" s="74"/>
      <c r="GPO4" s="74"/>
      <c r="GPP4" s="74"/>
      <c r="GPQ4" s="74"/>
      <c r="GPR4" s="74"/>
      <c r="GPS4" s="74"/>
      <c r="GPT4" s="74"/>
      <c r="GPU4" s="74"/>
      <c r="GPV4" s="74"/>
      <c r="GPW4" s="74"/>
      <c r="GPX4" s="74"/>
      <c r="GPY4" s="74"/>
      <c r="GPZ4" s="74"/>
      <c r="GQA4" s="74"/>
      <c r="GQB4" s="74"/>
      <c r="GQC4" s="74"/>
      <c r="GQD4" s="74"/>
      <c r="GQE4" s="74"/>
      <c r="GQF4" s="74"/>
      <c r="GQG4" s="74"/>
      <c r="GQH4" s="74"/>
      <c r="GQI4" s="74"/>
      <c r="GQJ4" s="74"/>
      <c r="GQK4" s="74"/>
      <c r="GQL4" s="74"/>
      <c r="GQM4" s="74"/>
      <c r="GQN4" s="74"/>
      <c r="GQO4" s="74"/>
      <c r="GQP4" s="74"/>
      <c r="GQQ4" s="74"/>
      <c r="GQR4" s="74"/>
      <c r="GQS4" s="74"/>
      <c r="GQT4" s="74"/>
      <c r="GQU4" s="74"/>
      <c r="GQV4" s="74"/>
      <c r="GQW4" s="74"/>
      <c r="GQX4" s="74"/>
      <c r="GQY4" s="74"/>
      <c r="GQZ4" s="74"/>
      <c r="GRA4" s="74"/>
      <c r="GRB4" s="74"/>
      <c r="GRC4" s="74"/>
      <c r="GRD4" s="74"/>
      <c r="GRE4" s="74"/>
      <c r="GRF4" s="74"/>
      <c r="GRG4" s="74"/>
      <c r="GRH4" s="74"/>
      <c r="GRI4" s="74"/>
      <c r="GRJ4" s="74"/>
      <c r="GRK4" s="74"/>
      <c r="GRL4" s="74"/>
      <c r="GRM4" s="74"/>
      <c r="GRN4" s="74"/>
      <c r="GRO4" s="74"/>
      <c r="GRP4" s="74"/>
      <c r="GRQ4" s="74"/>
      <c r="GRR4" s="74"/>
      <c r="GRS4" s="74"/>
      <c r="GRT4" s="74"/>
      <c r="GRU4" s="74"/>
      <c r="GRV4" s="74"/>
      <c r="GRW4" s="74"/>
      <c r="GRX4" s="74"/>
      <c r="GRY4" s="74"/>
      <c r="GRZ4" s="74"/>
      <c r="GSA4" s="74"/>
      <c r="GSB4" s="74"/>
      <c r="GSC4" s="74"/>
      <c r="GSD4" s="74"/>
      <c r="GSE4" s="74"/>
      <c r="GSF4" s="74"/>
      <c r="GSG4" s="74"/>
      <c r="GSH4" s="74"/>
      <c r="GSI4" s="74"/>
      <c r="GSJ4" s="74"/>
      <c r="GSK4" s="74"/>
      <c r="GSL4" s="74"/>
      <c r="GSM4" s="74"/>
      <c r="GSN4" s="74"/>
      <c r="GSO4" s="74"/>
      <c r="GSP4" s="74"/>
      <c r="GSQ4" s="74"/>
      <c r="GSR4" s="74"/>
      <c r="GSS4" s="74"/>
      <c r="GST4" s="74"/>
      <c r="GSU4" s="74"/>
      <c r="GSV4" s="74"/>
      <c r="GSW4" s="74"/>
      <c r="GSX4" s="74"/>
      <c r="GSY4" s="74"/>
      <c r="GSZ4" s="74"/>
      <c r="GTA4" s="74"/>
      <c r="GTB4" s="74"/>
      <c r="GTC4" s="74"/>
      <c r="GTD4" s="74"/>
      <c r="GTE4" s="74"/>
      <c r="GTF4" s="74"/>
      <c r="GTG4" s="74"/>
      <c r="GTH4" s="74"/>
      <c r="GTI4" s="74"/>
      <c r="GTJ4" s="74"/>
      <c r="GTK4" s="74"/>
      <c r="GTL4" s="74"/>
      <c r="GTM4" s="74"/>
      <c r="GTN4" s="74"/>
      <c r="GTO4" s="74"/>
      <c r="GTP4" s="74"/>
      <c r="GTQ4" s="74"/>
      <c r="GTR4" s="74"/>
      <c r="GTS4" s="74"/>
      <c r="GTT4" s="74"/>
      <c r="GTU4" s="74"/>
      <c r="GTV4" s="74"/>
      <c r="GTW4" s="74"/>
      <c r="GTX4" s="74"/>
      <c r="GTY4" s="74"/>
      <c r="GTZ4" s="74"/>
      <c r="GUA4" s="74"/>
      <c r="GUB4" s="74"/>
      <c r="GUC4" s="74"/>
      <c r="GUD4" s="74"/>
      <c r="GUE4" s="74"/>
      <c r="GUF4" s="74"/>
      <c r="GUG4" s="74"/>
      <c r="GUH4" s="74"/>
      <c r="GUI4" s="74"/>
      <c r="GUJ4" s="74"/>
      <c r="GUK4" s="74"/>
      <c r="GUL4" s="74"/>
      <c r="GUM4" s="74"/>
      <c r="GUN4" s="74"/>
      <c r="GUO4" s="74"/>
      <c r="GUP4" s="74"/>
      <c r="GUQ4" s="74"/>
      <c r="GUR4" s="74"/>
      <c r="GUS4" s="74"/>
      <c r="GUT4" s="74"/>
      <c r="GUU4" s="74"/>
      <c r="GUV4" s="74"/>
      <c r="GUW4" s="74"/>
      <c r="GUX4" s="74"/>
      <c r="GUY4" s="74"/>
      <c r="GUZ4" s="74"/>
      <c r="GVA4" s="74"/>
      <c r="GVB4" s="74"/>
      <c r="GVC4" s="74"/>
      <c r="GVD4" s="74"/>
      <c r="GVE4" s="74"/>
      <c r="GVF4" s="74"/>
      <c r="GVG4" s="74"/>
      <c r="GVH4" s="74"/>
      <c r="GVI4" s="74"/>
      <c r="GVJ4" s="74"/>
      <c r="GVK4" s="74"/>
      <c r="GVL4" s="74"/>
      <c r="GVM4" s="74"/>
      <c r="GVN4" s="74"/>
      <c r="GVO4" s="74"/>
      <c r="GVP4" s="74"/>
      <c r="GVQ4" s="74"/>
      <c r="GVR4" s="74"/>
      <c r="GVS4" s="74"/>
      <c r="GVT4" s="74"/>
      <c r="GVU4" s="74"/>
      <c r="GVV4" s="74"/>
      <c r="GVW4" s="74"/>
      <c r="GVX4" s="74"/>
      <c r="GVY4" s="74"/>
      <c r="GVZ4" s="74"/>
      <c r="GWA4" s="74"/>
      <c r="GWB4" s="74"/>
      <c r="GWC4" s="74"/>
      <c r="GWD4" s="74"/>
      <c r="GWE4" s="74"/>
      <c r="GWF4" s="74"/>
      <c r="GWG4" s="74"/>
      <c r="GWH4" s="74"/>
      <c r="GWI4" s="74"/>
      <c r="GWJ4" s="74"/>
      <c r="GWK4" s="74"/>
      <c r="GWL4" s="74"/>
      <c r="GWM4" s="74"/>
      <c r="GWN4" s="74"/>
      <c r="GWO4" s="74"/>
      <c r="GWP4" s="74"/>
      <c r="GWQ4" s="74"/>
      <c r="GWR4" s="74"/>
      <c r="GWS4" s="74"/>
      <c r="GWT4" s="74"/>
      <c r="GWU4" s="74"/>
      <c r="GWV4" s="74"/>
      <c r="GWW4" s="74"/>
      <c r="GWX4" s="74"/>
      <c r="GWY4" s="74"/>
      <c r="GWZ4" s="74"/>
      <c r="GXA4" s="74"/>
      <c r="GXB4" s="74"/>
      <c r="GXC4" s="74"/>
      <c r="GXD4" s="74"/>
      <c r="GXE4" s="74"/>
      <c r="GXF4" s="74"/>
      <c r="GXG4" s="74"/>
      <c r="GXH4" s="74"/>
      <c r="GXI4" s="74"/>
      <c r="GXJ4" s="74"/>
      <c r="GXK4" s="74"/>
      <c r="GXL4" s="74"/>
      <c r="GXM4" s="74"/>
      <c r="GXN4" s="74"/>
      <c r="GXO4" s="74"/>
      <c r="GXP4" s="74"/>
      <c r="GXQ4" s="74"/>
      <c r="GXR4" s="74"/>
      <c r="GXS4" s="74"/>
      <c r="GXT4" s="74"/>
      <c r="GXU4" s="74"/>
      <c r="GXV4" s="74"/>
      <c r="GXW4" s="74"/>
      <c r="GXX4" s="74"/>
      <c r="GXY4" s="74"/>
      <c r="GXZ4" s="74"/>
      <c r="GYA4" s="74"/>
      <c r="GYB4" s="74"/>
      <c r="GYC4" s="74"/>
      <c r="GYD4" s="74"/>
      <c r="GYE4" s="74"/>
      <c r="GYF4" s="74"/>
      <c r="GYG4" s="74"/>
      <c r="GYH4" s="74"/>
      <c r="GYI4" s="74"/>
      <c r="GYJ4" s="74"/>
      <c r="GYK4" s="74"/>
      <c r="GYL4" s="74"/>
      <c r="GYM4" s="74"/>
      <c r="GYN4" s="74"/>
      <c r="GYO4" s="74"/>
      <c r="GYP4" s="74"/>
      <c r="GYQ4" s="74"/>
      <c r="GYR4" s="74"/>
      <c r="GYS4" s="74"/>
      <c r="GYT4" s="74"/>
      <c r="GYU4" s="74"/>
      <c r="GYV4" s="74"/>
      <c r="GYW4" s="74"/>
      <c r="GYX4" s="74"/>
      <c r="GYY4" s="74"/>
      <c r="GYZ4" s="74"/>
      <c r="GZA4" s="74"/>
      <c r="GZB4" s="74"/>
      <c r="GZC4" s="74"/>
      <c r="GZD4" s="74"/>
      <c r="GZE4" s="74"/>
      <c r="GZF4" s="74"/>
      <c r="GZG4" s="74"/>
      <c r="GZH4" s="74"/>
      <c r="GZI4" s="74"/>
      <c r="GZJ4" s="74"/>
      <c r="GZK4" s="74"/>
      <c r="GZL4" s="74"/>
      <c r="GZM4" s="74"/>
      <c r="GZN4" s="74"/>
      <c r="GZO4" s="74"/>
      <c r="GZP4" s="74"/>
      <c r="GZQ4" s="74"/>
      <c r="GZR4" s="74"/>
      <c r="GZS4" s="74"/>
      <c r="GZT4" s="74"/>
      <c r="GZU4" s="74"/>
      <c r="GZV4" s="74"/>
      <c r="GZW4" s="74"/>
      <c r="GZX4" s="74"/>
      <c r="GZY4" s="74"/>
      <c r="GZZ4" s="74"/>
      <c r="HAA4" s="74"/>
      <c r="HAB4" s="74"/>
      <c r="HAC4" s="74"/>
      <c r="HAD4" s="74"/>
      <c r="HAE4" s="74"/>
      <c r="HAF4" s="74"/>
      <c r="HAG4" s="74"/>
      <c r="HAH4" s="74"/>
      <c r="HAI4" s="74"/>
      <c r="HAJ4" s="74"/>
      <c r="HAK4" s="74"/>
      <c r="HAL4" s="74"/>
      <c r="HAM4" s="74"/>
      <c r="HAN4" s="74"/>
      <c r="HAO4" s="74"/>
      <c r="HAP4" s="74"/>
      <c r="HAQ4" s="74"/>
      <c r="HAR4" s="74"/>
      <c r="HAS4" s="74"/>
      <c r="HAT4" s="74"/>
      <c r="HAU4" s="74"/>
      <c r="HAV4" s="74"/>
      <c r="HAW4" s="74"/>
      <c r="HAX4" s="74"/>
      <c r="HAY4" s="74"/>
      <c r="HAZ4" s="74"/>
      <c r="HBA4" s="74"/>
      <c r="HBB4" s="74"/>
      <c r="HBC4" s="74"/>
      <c r="HBD4" s="74"/>
      <c r="HBE4" s="74"/>
      <c r="HBF4" s="74"/>
      <c r="HBG4" s="74"/>
      <c r="HBH4" s="74"/>
      <c r="HBI4" s="74"/>
      <c r="HBJ4" s="74"/>
      <c r="HBK4" s="74"/>
      <c r="HBL4" s="74"/>
      <c r="HBM4" s="74"/>
      <c r="HBN4" s="74"/>
      <c r="HBO4" s="74"/>
      <c r="HBP4" s="74"/>
      <c r="HBQ4" s="74"/>
      <c r="HBR4" s="74"/>
      <c r="HBS4" s="74"/>
      <c r="HBT4" s="74"/>
      <c r="HBU4" s="74"/>
      <c r="HBV4" s="74"/>
      <c r="HBW4" s="74"/>
      <c r="HBX4" s="74"/>
      <c r="HBY4" s="74"/>
      <c r="HBZ4" s="74"/>
      <c r="HCA4" s="74"/>
      <c r="HCB4" s="74"/>
      <c r="HCC4" s="74"/>
      <c r="HCD4" s="74"/>
      <c r="HCE4" s="74"/>
      <c r="HCF4" s="74"/>
      <c r="HCG4" s="74"/>
      <c r="HCH4" s="74"/>
      <c r="HCI4" s="74"/>
      <c r="HCJ4" s="74"/>
      <c r="HCK4" s="74"/>
      <c r="HCL4" s="74"/>
      <c r="HCM4" s="74"/>
      <c r="HCN4" s="74"/>
      <c r="HCO4" s="74"/>
      <c r="HCP4" s="74"/>
      <c r="HCQ4" s="74"/>
      <c r="HCR4" s="74"/>
      <c r="HCS4" s="74"/>
      <c r="HCT4" s="74"/>
      <c r="HCU4" s="74"/>
      <c r="HCV4" s="74"/>
      <c r="HCW4" s="74"/>
      <c r="HCX4" s="74"/>
      <c r="HCY4" s="74"/>
      <c r="HCZ4" s="74"/>
      <c r="HDA4" s="74"/>
      <c r="HDB4" s="74"/>
      <c r="HDC4" s="74"/>
      <c r="HDD4" s="74"/>
      <c r="HDE4" s="74"/>
      <c r="HDF4" s="74"/>
      <c r="HDG4" s="74"/>
      <c r="HDH4" s="74"/>
      <c r="HDI4" s="74"/>
      <c r="HDJ4" s="74"/>
      <c r="HDK4" s="74"/>
      <c r="HDL4" s="74"/>
      <c r="HDM4" s="74"/>
      <c r="HDN4" s="74"/>
      <c r="HDO4" s="74"/>
      <c r="HDP4" s="74"/>
      <c r="HDQ4" s="74"/>
      <c r="HDR4" s="74"/>
      <c r="HDS4" s="74"/>
      <c r="HDT4" s="74"/>
      <c r="HDU4" s="74"/>
      <c r="HDV4" s="74"/>
      <c r="HDW4" s="74"/>
      <c r="HDX4" s="74"/>
      <c r="HDY4" s="74"/>
      <c r="HDZ4" s="74"/>
      <c r="HEA4" s="74"/>
      <c r="HEB4" s="74"/>
      <c r="HEC4" s="74"/>
      <c r="HED4" s="74"/>
      <c r="HEE4" s="74"/>
      <c r="HEF4" s="74"/>
      <c r="HEG4" s="74"/>
      <c r="HEH4" s="74"/>
      <c r="HEI4" s="74"/>
      <c r="HEJ4" s="74"/>
      <c r="HEK4" s="74"/>
      <c r="HEL4" s="74"/>
      <c r="HEM4" s="74"/>
      <c r="HEN4" s="74"/>
      <c r="HEO4" s="74"/>
      <c r="HEP4" s="74"/>
      <c r="HEQ4" s="74"/>
      <c r="HER4" s="74"/>
      <c r="HES4" s="74"/>
      <c r="HET4" s="74"/>
      <c r="HEU4" s="74"/>
      <c r="HEV4" s="74"/>
      <c r="HEW4" s="74"/>
      <c r="HEX4" s="74"/>
      <c r="HEY4" s="74"/>
      <c r="HEZ4" s="74"/>
      <c r="HFA4" s="74"/>
      <c r="HFB4" s="74"/>
      <c r="HFC4" s="74"/>
      <c r="HFD4" s="74"/>
      <c r="HFE4" s="74"/>
      <c r="HFF4" s="74"/>
      <c r="HFG4" s="74"/>
      <c r="HFH4" s="74"/>
      <c r="HFI4" s="74"/>
      <c r="HFJ4" s="74"/>
      <c r="HFK4" s="74"/>
      <c r="HFL4" s="74"/>
      <c r="HFM4" s="74"/>
      <c r="HFN4" s="74"/>
      <c r="HFO4" s="74"/>
      <c r="HFP4" s="74"/>
      <c r="HFQ4" s="74"/>
      <c r="HFR4" s="74"/>
      <c r="HFS4" s="74"/>
      <c r="HFT4" s="74"/>
      <c r="HFU4" s="74"/>
      <c r="HFV4" s="74"/>
      <c r="HFW4" s="74"/>
      <c r="HFX4" s="74"/>
      <c r="HFY4" s="74"/>
      <c r="HFZ4" s="74"/>
      <c r="HGA4" s="74"/>
      <c r="HGB4" s="74"/>
      <c r="HGC4" s="74"/>
      <c r="HGD4" s="74"/>
      <c r="HGE4" s="74"/>
      <c r="HGF4" s="74"/>
      <c r="HGG4" s="74"/>
      <c r="HGH4" s="74"/>
      <c r="HGI4" s="74"/>
      <c r="HGJ4" s="74"/>
      <c r="HGK4" s="74"/>
      <c r="HGL4" s="74"/>
      <c r="HGM4" s="74"/>
      <c r="HGN4" s="74"/>
      <c r="HGO4" s="74"/>
      <c r="HGP4" s="74"/>
      <c r="HGQ4" s="74"/>
      <c r="HGR4" s="74"/>
      <c r="HGS4" s="74"/>
      <c r="HGT4" s="74"/>
      <c r="HGU4" s="74"/>
      <c r="HGV4" s="74"/>
      <c r="HGW4" s="74"/>
      <c r="HGX4" s="74"/>
      <c r="HGY4" s="74"/>
      <c r="HGZ4" s="74"/>
      <c r="HHA4" s="74"/>
      <c r="HHB4" s="74"/>
      <c r="HHC4" s="74"/>
      <c r="HHD4" s="74"/>
      <c r="HHE4" s="74"/>
      <c r="HHF4" s="74"/>
      <c r="HHG4" s="74"/>
      <c r="HHH4" s="74"/>
      <c r="HHI4" s="74"/>
      <c r="HHJ4" s="74"/>
      <c r="HHK4" s="74"/>
      <c r="HHL4" s="74"/>
      <c r="HHM4" s="74"/>
      <c r="HHN4" s="74"/>
      <c r="HHO4" s="74"/>
      <c r="HHP4" s="74"/>
      <c r="HHQ4" s="74"/>
      <c r="HHR4" s="74"/>
      <c r="HHS4" s="74"/>
      <c r="HHT4" s="74"/>
      <c r="HHU4" s="74"/>
      <c r="HHV4" s="74"/>
      <c r="HHW4" s="74"/>
      <c r="HHX4" s="74"/>
      <c r="HHY4" s="74"/>
      <c r="HHZ4" s="74"/>
      <c r="HIA4" s="74"/>
      <c r="HIB4" s="74"/>
      <c r="HIC4" s="74"/>
      <c r="HID4" s="74"/>
      <c r="HIE4" s="74"/>
      <c r="HIF4" s="74"/>
      <c r="HIG4" s="74"/>
      <c r="HIH4" s="74"/>
      <c r="HII4" s="74"/>
      <c r="HIJ4" s="74"/>
      <c r="HIK4" s="74"/>
      <c r="HIL4" s="74"/>
      <c r="HIM4" s="74"/>
      <c r="HIN4" s="74"/>
      <c r="HIO4" s="74"/>
      <c r="HIP4" s="74"/>
      <c r="HIQ4" s="74"/>
      <c r="HIR4" s="74"/>
      <c r="HIS4" s="74"/>
      <c r="HIT4" s="74"/>
      <c r="HIU4" s="74"/>
      <c r="HIV4" s="74"/>
      <c r="HIW4" s="74"/>
      <c r="HIX4" s="74"/>
      <c r="HIY4" s="74"/>
      <c r="HIZ4" s="74"/>
      <c r="HJA4" s="74"/>
      <c r="HJB4" s="74"/>
      <c r="HJC4" s="74"/>
      <c r="HJD4" s="74"/>
      <c r="HJE4" s="74"/>
      <c r="HJF4" s="74"/>
      <c r="HJG4" s="74"/>
      <c r="HJH4" s="74"/>
      <c r="HJI4" s="74"/>
      <c r="HJJ4" s="74"/>
      <c r="HJK4" s="74"/>
      <c r="HJL4" s="74"/>
      <c r="HJM4" s="74"/>
      <c r="HJN4" s="74"/>
      <c r="HJO4" s="74"/>
      <c r="HJP4" s="74"/>
      <c r="HJQ4" s="74"/>
      <c r="HJR4" s="74"/>
      <c r="HJS4" s="74"/>
      <c r="HJT4" s="74"/>
      <c r="HJU4" s="74"/>
      <c r="HJV4" s="74"/>
      <c r="HJW4" s="74"/>
      <c r="HJX4" s="74"/>
      <c r="HJY4" s="74"/>
      <c r="HJZ4" s="74"/>
      <c r="HKA4" s="74"/>
      <c r="HKB4" s="74"/>
      <c r="HKC4" s="74"/>
      <c r="HKD4" s="74"/>
      <c r="HKE4" s="74"/>
      <c r="HKF4" s="74"/>
      <c r="HKG4" s="74"/>
      <c r="HKH4" s="74"/>
      <c r="HKI4" s="74"/>
      <c r="HKJ4" s="74"/>
      <c r="HKK4" s="74"/>
      <c r="HKL4" s="74"/>
      <c r="HKM4" s="74"/>
      <c r="HKN4" s="74"/>
      <c r="HKO4" s="74"/>
      <c r="HKP4" s="74"/>
      <c r="HKQ4" s="74"/>
      <c r="HKR4" s="74"/>
      <c r="HKS4" s="74"/>
      <c r="HKT4" s="74"/>
      <c r="HKU4" s="74"/>
      <c r="HKV4" s="74"/>
      <c r="HKW4" s="74"/>
      <c r="HKX4" s="74"/>
      <c r="HKY4" s="74"/>
      <c r="HKZ4" s="74"/>
      <c r="HLA4" s="74"/>
      <c r="HLB4" s="74"/>
      <c r="HLC4" s="74"/>
      <c r="HLD4" s="74"/>
      <c r="HLE4" s="74"/>
      <c r="HLF4" s="74"/>
      <c r="HLG4" s="74"/>
      <c r="HLH4" s="74"/>
      <c r="HLI4" s="74"/>
      <c r="HLJ4" s="74"/>
      <c r="HLK4" s="74"/>
      <c r="HLL4" s="74"/>
      <c r="HLM4" s="74"/>
      <c r="HLN4" s="74"/>
      <c r="HLO4" s="74"/>
      <c r="HLP4" s="74"/>
      <c r="HLQ4" s="74"/>
      <c r="HLR4" s="74"/>
      <c r="HLS4" s="74"/>
      <c r="HLT4" s="74"/>
      <c r="HLU4" s="74"/>
      <c r="HLV4" s="74"/>
      <c r="HLW4" s="74"/>
      <c r="HLX4" s="74"/>
      <c r="HLY4" s="74"/>
      <c r="HLZ4" s="74"/>
      <c r="HMA4" s="74"/>
      <c r="HMB4" s="74"/>
      <c r="HMC4" s="74"/>
      <c r="HMD4" s="74"/>
      <c r="HME4" s="74"/>
      <c r="HMF4" s="74"/>
      <c r="HMG4" s="74"/>
      <c r="HMH4" s="74"/>
      <c r="HMI4" s="74"/>
      <c r="HMJ4" s="74"/>
      <c r="HMK4" s="74"/>
      <c r="HML4" s="74"/>
      <c r="HMM4" s="74"/>
      <c r="HMN4" s="74"/>
      <c r="HMO4" s="74"/>
      <c r="HMP4" s="74"/>
      <c r="HMQ4" s="74"/>
      <c r="HMR4" s="74"/>
      <c r="HMS4" s="74"/>
      <c r="HMT4" s="74"/>
      <c r="HMU4" s="74"/>
      <c r="HMV4" s="74"/>
      <c r="HMW4" s="74"/>
      <c r="HMX4" s="74"/>
      <c r="HMY4" s="74"/>
      <c r="HMZ4" s="74"/>
      <c r="HNA4" s="74"/>
      <c r="HNB4" s="74"/>
      <c r="HNC4" s="74"/>
      <c r="HND4" s="74"/>
      <c r="HNE4" s="74"/>
      <c r="HNF4" s="74"/>
      <c r="HNG4" s="74"/>
      <c r="HNH4" s="74"/>
      <c r="HNI4" s="74"/>
      <c r="HNJ4" s="74"/>
      <c r="HNK4" s="74"/>
      <c r="HNL4" s="74"/>
      <c r="HNM4" s="74"/>
      <c r="HNN4" s="74"/>
      <c r="HNO4" s="74"/>
      <c r="HNP4" s="74"/>
      <c r="HNQ4" s="74"/>
      <c r="HNR4" s="74"/>
      <c r="HNS4" s="74"/>
      <c r="HNT4" s="74"/>
      <c r="HNU4" s="74"/>
      <c r="HNV4" s="74"/>
      <c r="HNW4" s="74"/>
      <c r="HNX4" s="74"/>
      <c r="HNY4" s="74"/>
      <c r="HNZ4" s="74"/>
      <c r="HOA4" s="74"/>
      <c r="HOB4" s="74"/>
      <c r="HOC4" s="74"/>
      <c r="HOD4" s="74"/>
      <c r="HOE4" s="74"/>
      <c r="HOF4" s="74"/>
      <c r="HOG4" s="74"/>
      <c r="HOH4" s="74"/>
      <c r="HOI4" s="74"/>
      <c r="HOJ4" s="74"/>
      <c r="HOK4" s="74"/>
      <c r="HOL4" s="74"/>
      <c r="HOM4" s="74"/>
      <c r="HON4" s="74"/>
      <c r="HOO4" s="74"/>
      <c r="HOP4" s="74"/>
      <c r="HOQ4" s="74"/>
      <c r="HOR4" s="74"/>
      <c r="HOS4" s="74"/>
      <c r="HOT4" s="74"/>
      <c r="HOU4" s="74"/>
      <c r="HOV4" s="74"/>
      <c r="HOW4" s="74"/>
      <c r="HOX4" s="74"/>
      <c r="HOY4" s="74"/>
      <c r="HOZ4" s="74"/>
      <c r="HPA4" s="74"/>
      <c r="HPB4" s="74"/>
      <c r="HPC4" s="74"/>
      <c r="HPD4" s="74"/>
      <c r="HPE4" s="74"/>
      <c r="HPF4" s="74"/>
      <c r="HPG4" s="74"/>
      <c r="HPH4" s="74"/>
      <c r="HPI4" s="74"/>
      <c r="HPJ4" s="74"/>
      <c r="HPK4" s="74"/>
      <c r="HPL4" s="74"/>
      <c r="HPM4" s="74"/>
      <c r="HPN4" s="74"/>
      <c r="HPO4" s="74"/>
      <c r="HPP4" s="74"/>
      <c r="HPQ4" s="74"/>
      <c r="HPR4" s="74"/>
      <c r="HPS4" s="74"/>
      <c r="HPT4" s="74"/>
      <c r="HPU4" s="74"/>
      <c r="HPV4" s="74"/>
      <c r="HPW4" s="74"/>
      <c r="HPX4" s="74"/>
      <c r="HPY4" s="74"/>
      <c r="HPZ4" s="74"/>
      <c r="HQA4" s="74"/>
      <c r="HQB4" s="74"/>
      <c r="HQC4" s="74"/>
      <c r="HQD4" s="74"/>
      <c r="HQE4" s="74"/>
      <c r="HQF4" s="74"/>
      <c r="HQG4" s="74"/>
      <c r="HQH4" s="74"/>
      <c r="HQI4" s="74"/>
      <c r="HQJ4" s="74"/>
      <c r="HQK4" s="74"/>
      <c r="HQL4" s="74"/>
      <c r="HQM4" s="74"/>
      <c r="HQN4" s="74"/>
      <c r="HQO4" s="74"/>
      <c r="HQP4" s="74"/>
      <c r="HQQ4" s="74"/>
      <c r="HQR4" s="74"/>
      <c r="HQS4" s="74"/>
      <c r="HQT4" s="74"/>
      <c r="HQU4" s="74"/>
      <c r="HQV4" s="74"/>
      <c r="HQW4" s="74"/>
      <c r="HQX4" s="74"/>
      <c r="HQY4" s="74"/>
      <c r="HQZ4" s="74"/>
      <c r="HRA4" s="74"/>
      <c r="HRB4" s="74"/>
      <c r="HRC4" s="74"/>
      <c r="HRD4" s="74"/>
      <c r="HRE4" s="74"/>
      <c r="HRF4" s="74"/>
      <c r="HRG4" s="74"/>
      <c r="HRH4" s="74"/>
      <c r="HRI4" s="74"/>
      <c r="HRJ4" s="74"/>
      <c r="HRK4" s="74"/>
      <c r="HRL4" s="74"/>
      <c r="HRM4" s="74"/>
      <c r="HRN4" s="74"/>
      <c r="HRO4" s="74"/>
      <c r="HRP4" s="74"/>
      <c r="HRQ4" s="74"/>
      <c r="HRR4" s="74"/>
      <c r="HRS4" s="74"/>
      <c r="HRT4" s="74"/>
      <c r="HRU4" s="74"/>
      <c r="HRV4" s="74"/>
      <c r="HRW4" s="74"/>
      <c r="HRX4" s="74"/>
      <c r="HRY4" s="74"/>
      <c r="HRZ4" s="74"/>
      <c r="HSA4" s="74"/>
      <c r="HSB4" s="74"/>
      <c r="HSC4" s="74"/>
      <c r="HSD4" s="74"/>
      <c r="HSE4" s="74"/>
      <c r="HSF4" s="74"/>
      <c r="HSG4" s="74"/>
      <c r="HSH4" s="74"/>
      <c r="HSI4" s="74"/>
      <c r="HSJ4" s="74"/>
      <c r="HSK4" s="74"/>
      <c r="HSL4" s="74"/>
      <c r="HSM4" s="74"/>
      <c r="HSN4" s="74"/>
      <c r="HSO4" s="74"/>
      <c r="HSP4" s="74"/>
      <c r="HSQ4" s="74"/>
      <c r="HSR4" s="74"/>
      <c r="HSS4" s="74"/>
      <c r="HST4" s="74"/>
      <c r="HSU4" s="74"/>
      <c r="HSV4" s="74"/>
      <c r="HSW4" s="74"/>
      <c r="HSX4" s="74"/>
      <c r="HSY4" s="74"/>
      <c r="HSZ4" s="74"/>
      <c r="HTA4" s="74"/>
      <c r="HTB4" s="74"/>
      <c r="HTC4" s="74"/>
      <c r="HTD4" s="74"/>
      <c r="HTE4" s="74"/>
      <c r="HTF4" s="74"/>
      <c r="HTG4" s="74"/>
      <c r="HTH4" s="74"/>
      <c r="HTI4" s="74"/>
      <c r="HTJ4" s="74"/>
      <c r="HTK4" s="74"/>
      <c r="HTL4" s="74"/>
      <c r="HTM4" s="74"/>
      <c r="HTN4" s="74"/>
      <c r="HTO4" s="74"/>
      <c r="HTP4" s="74"/>
      <c r="HTQ4" s="74"/>
      <c r="HTR4" s="74"/>
      <c r="HTS4" s="74"/>
      <c r="HTT4" s="74"/>
      <c r="HTU4" s="74"/>
      <c r="HTV4" s="74"/>
      <c r="HTW4" s="74"/>
      <c r="HTX4" s="74"/>
      <c r="HTY4" s="74"/>
      <c r="HTZ4" s="74"/>
      <c r="HUA4" s="74"/>
      <c r="HUB4" s="74"/>
      <c r="HUC4" s="74"/>
      <c r="HUD4" s="74"/>
      <c r="HUE4" s="74"/>
      <c r="HUF4" s="74"/>
      <c r="HUG4" s="74"/>
      <c r="HUH4" s="74"/>
      <c r="HUI4" s="74"/>
      <c r="HUJ4" s="74"/>
      <c r="HUK4" s="74"/>
      <c r="HUL4" s="74"/>
      <c r="HUM4" s="74"/>
      <c r="HUN4" s="74"/>
      <c r="HUO4" s="74"/>
      <c r="HUP4" s="74"/>
      <c r="HUQ4" s="74"/>
      <c r="HUR4" s="74"/>
      <c r="HUS4" s="74"/>
      <c r="HUT4" s="74"/>
      <c r="HUU4" s="74"/>
      <c r="HUV4" s="74"/>
      <c r="HUW4" s="74"/>
      <c r="HUX4" s="74"/>
      <c r="HUY4" s="74"/>
      <c r="HUZ4" s="74"/>
      <c r="HVA4" s="74"/>
      <c r="HVB4" s="74"/>
      <c r="HVC4" s="74"/>
      <c r="HVD4" s="74"/>
      <c r="HVE4" s="74"/>
      <c r="HVF4" s="74"/>
      <c r="HVG4" s="74"/>
      <c r="HVH4" s="74"/>
      <c r="HVI4" s="74"/>
      <c r="HVJ4" s="74"/>
      <c r="HVK4" s="74"/>
      <c r="HVL4" s="74"/>
      <c r="HVM4" s="74"/>
      <c r="HVN4" s="74"/>
      <c r="HVO4" s="74"/>
      <c r="HVP4" s="74"/>
      <c r="HVQ4" s="74"/>
      <c r="HVR4" s="74"/>
      <c r="HVS4" s="74"/>
      <c r="HVT4" s="74"/>
      <c r="HVU4" s="74"/>
      <c r="HVV4" s="74"/>
      <c r="HVW4" s="74"/>
      <c r="HVX4" s="74"/>
      <c r="HVY4" s="74"/>
      <c r="HVZ4" s="74"/>
      <c r="HWA4" s="74"/>
      <c r="HWB4" s="74"/>
      <c r="HWC4" s="74"/>
      <c r="HWD4" s="74"/>
      <c r="HWE4" s="74"/>
      <c r="HWF4" s="74"/>
      <c r="HWG4" s="74"/>
      <c r="HWH4" s="74"/>
      <c r="HWI4" s="74"/>
      <c r="HWJ4" s="74"/>
      <c r="HWK4" s="74"/>
      <c r="HWL4" s="74"/>
      <c r="HWM4" s="74"/>
      <c r="HWN4" s="74"/>
      <c r="HWO4" s="74"/>
      <c r="HWP4" s="74"/>
      <c r="HWQ4" s="74"/>
      <c r="HWR4" s="74"/>
      <c r="HWS4" s="74"/>
      <c r="HWT4" s="74"/>
      <c r="HWU4" s="74"/>
      <c r="HWV4" s="74"/>
      <c r="HWW4" s="74"/>
      <c r="HWX4" s="74"/>
      <c r="HWY4" s="74"/>
      <c r="HWZ4" s="74"/>
      <c r="HXA4" s="74"/>
      <c r="HXB4" s="74"/>
      <c r="HXC4" s="74"/>
      <c r="HXD4" s="74"/>
      <c r="HXE4" s="74"/>
      <c r="HXF4" s="74"/>
      <c r="HXG4" s="74"/>
      <c r="HXH4" s="74"/>
      <c r="HXI4" s="74"/>
      <c r="HXJ4" s="74"/>
      <c r="HXK4" s="74"/>
      <c r="HXL4" s="74"/>
      <c r="HXM4" s="74"/>
      <c r="HXN4" s="74"/>
      <c r="HXO4" s="74"/>
      <c r="HXP4" s="74"/>
      <c r="HXQ4" s="74"/>
      <c r="HXR4" s="74"/>
      <c r="HXS4" s="74"/>
      <c r="HXT4" s="74"/>
      <c r="HXU4" s="74"/>
      <c r="HXV4" s="74"/>
      <c r="HXW4" s="74"/>
      <c r="HXX4" s="74"/>
      <c r="HXY4" s="74"/>
      <c r="HXZ4" s="74"/>
      <c r="HYA4" s="74"/>
      <c r="HYB4" s="74"/>
      <c r="HYC4" s="74"/>
      <c r="HYD4" s="74"/>
      <c r="HYE4" s="74"/>
      <c r="HYF4" s="74"/>
      <c r="HYG4" s="74"/>
      <c r="HYH4" s="74"/>
      <c r="HYI4" s="74"/>
      <c r="HYJ4" s="74"/>
      <c r="HYK4" s="74"/>
      <c r="HYL4" s="74"/>
      <c r="HYM4" s="74"/>
      <c r="HYN4" s="74"/>
      <c r="HYO4" s="74"/>
      <c r="HYP4" s="74"/>
      <c r="HYQ4" s="74"/>
      <c r="HYR4" s="74"/>
      <c r="HYS4" s="74"/>
      <c r="HYT4" s="74"/>
      <c r="HYU4" s="74"/>
      <c r="HYV4" s="74"/>
      <c r="HYW4" s="74"/>
      <c r="HYX4" s="74"/>
      <c r="HYY4" s="74"/>
      <c r="HYZ4" s="74"/>
      <c r="HZA4" s="74"/>
      <c r="HZB4" s="74"/>
      <c r="HZC4" s="74"/>
      <c r="HZD4" s="74"/>
      <c r="HZE4" s="74"/>
      <c r="HZF4" s="74"/>
      <c r="HZG4" s="74"/>
      <c r="HZH4" s="74"/>
      <c r="HZI4" s="74"/>
      <c r="HZJ4" s="74"/>
      <c r="HZK4" s="74"/>
      <c r="HZL4" s="74"/>
      <c r="HZM4" s="74"/>
      <c r="HZN4" s="74"/>
      <c r="HZO4" s="74"/>
      <c r="HZP4" s="74"/>
      <c r="HZQ4" s="74"/>
      <c r="HZR4" s="74"/>
      <c r="HZS4" s="74"/>
      <c r="HZT4" s="74"/>
      <c r="HZU4" s="74"/>
      <c r="HZV4" s="74"/>
      <c r="HZW4" s="74"/>
      <c r="HZX4" s="74"/>
      <c r="HZY4" s="74"/>
      <c r="HZZ4" s="74"/>
      <c r="IAA4" s="74"/>
      <c r="IAB4" s="74"/>
      <c r="IAC4" s="74"/>
      <c r="IAD4" s="74"/>
      <c r="IAE4" s="74"/>
      <c r="IAF4" s="74"/>
      <c r="IAG4" s="74"/>
      <c r="IAH4" s="74"/>
      <c r="IAI4" s="74"/>
      <c r="IAJ4" s="74"/>
      <c r="IAK4" s="74"/>
      <c r="IAL4" s="74"/>
      <c r="IAM4" s="74"/>
      <c r="IAN4" s="74"/>
      <c r="IAO4" s="74"/>
      <c r="IAP4" s="74"/>
      <c r="IAQ4" s="74"/>
      <c r="IAR4" s="74"/>
      <c r="IAS4" s="74"/>
      <c r="IAT4" s="74"/>
      <c r="IAU4" s="74"/>
      <c r="IAV4" s="74"/>
      <c r="IAW4" s="74"/>
      <c r="IAX4" s="74"/>
      <c r="IAY4" s="74"/>
      <c r="IAZ4" s="74"/>
      <c r="IBA4" s="74"/>
      <c r="IBB4" s="74"/>
      <c r="IBC4" s="74"/>
      <c r="IBD4" s="74"/>
      <c r="IBE4" s="74"/>
      <c r="IBF4" s="74"/>
      <c r="IBG4" s="74"/>
      <c r="IBH4" s="74"/>
      <c r="IBI4" s="74"/>
      <c r="IBJ4" s="74"/>
      <c r="IBK4" s="74"/>
      <c r="IBL4" s="74"/>
      <c r="IBM4" s="74"/>
      <c r="IBN4" s="74"/>
      <c r="IBO4" s="74"/>
      <c r="IBP4" s="74"/>
      <c r="IBQ4" s="74"/>
      <c r="IBR4" s="74"/>
      <c r="IBS4" s="74"/>
      <c r="IBT4" s="74"/>
      <c r="IBU4" s="74"/>
      <c r="IBV4" s="74"/>
      <c r="IBW4" s="74"/>
      <c r="IBX4" s="74"/>
      <c r="IBY4" s="74"/>
      <c r="IBZ4" s="74"/>
      <c r="ICA4" s="74"/>
      <c r="ICB4" s="74"/>
      <c r="ICC4" s="74"/>
      <c r="ICD4" s="74"/>
      <c r="ICE4" s="74"/>
      <c r="ICF4" s="74"/>
      <c r="ICG4" s="74"/>
      <c r="ICH4" s="74"/>
      <c r="ICI4" s="74"/>
      <c r="ICJ4" s="74"/>
      <c r="ICK4" s="74"/>
      <c r="ICL4" s="74"/>
      <c r="ICM4" s="74"/>
      <c r="ICN4" s="74"/>
      <c r="ICO4" s="74"/>
      <c r="ICP4" s="74"/>
      <c r="ICQ4" s="74"/>
      <c r="ICR4" s="74"/>
      <c r="ICS4" s="74"/>
      <c r="ICT4" s="74"/>
      <c r="ICU4" s="74"/>
      <c r="ICV4" s="74"/>
      <c r="ICW4" s="74"/>
      <c r="ICX4" s="74"/>
      <c r="ICY4" s="74"/>
      <c r="ICZ4" s="74"/>
      <c r="IDA4" s="74"/>
      <c r="IDB4" s="74"/>
      <c r="IDC4" s="74"/>
      <c r="IDD4" s="74"/>
      <c r="IDE4" s="74"/>
      <c r="IDF4" s="74"/>
      <c r="IDG4" s="74"/>
      <c r="IDH4" s="74"/>
      <c r="IDI4" s="74"/>
      <c r="IDJ4" s="74"/>
      <c r="IDK4" s="74"/>
      <c r="IDL4" s="74"/>
      <c r="IDM4" s="74"/>
      <c r="IDN4" s="74"/>
      <c r="IDO4" s="74"/>
      <c r="IDP4" s="74"/>
      <c r="IDQ4" s="74"/>
      <c r="IDR4" s="74"/>
      <c r="IDS4" s="74"/>
      <c r="IDT4" s="74"/>
      <c r="IDU4" s="74"/>
      <c r="IDV4" s="74"/>
      <c r="IDW4" s="74"/>
      <c r="IDX4" s="74"/>
      <c r="IDY4" s="74"/>
      <c r="IDZ4" s="74"/>
      <c r="IEA4" s="74"/>
      <c r="IEB4" s="74"/>
      <c r="IEC4" s="74"/>
      <c r="IED4" s="74"/>
      <c r="IEE4" s="74"/>
      <c r="IEF4" s="74"/>
      <c r="IEG4" s="74"/>
      <c r="IEH4" s="74"/>
      <c r="IEI4" s="74"/>
      <c r="IEJ4" s="74"/>
      <c r="IEK4" s="74"/>
      <c r="IEL4" s="74"/>
      <c r="IEM4" s="74"/>
      <c r="IEN4" s="74"/>
      <c r="IEO4" s="74"/>
      <c r="IEP4" s="74"/>
      <c r="IEQ4" s="74"/>
      <c r="IER4" s="74"/>
      <c r="IES4" s="74"/>
      <c r="IET4" s="74"/>
      <c r="IEU4" s="74"/>
      <c r="IEV4" s="74"/>
      <c r="IEW4" s="74"/>
      <c r="IEX4" s="74"/>
      <c r="IEY4" s="74"/>
      <c r="IEZ4" s="74"/>
      <c r="IFA4" s="74"/>
      <c r="IFB4" s="74"/>
      <c r="IFC4" s="74"/>
      <c r="IFD4" s="74"/>
      <c r="IFE4" s="74"/>
      <c r="IFF4" s="74"/>
      <c r="IFG4" s="74"/>
      <c r="IFH4" s="74"/>
      <c r="IFI4" s="74"/>
      <c r="IFJ4" s="74"/>
      <c r="IFK4" s="74"/>
      <c r="IFL4" s="74"/>
      <c r="IFM4" s="74"/>
      <c r="IFN4" s="74"/>
      <c r="IFO4" s="74"/>
      <c r="IFP4" s="74"/>
      <c r="IFQ4" s="74"/>
      <c r="IFR4" s="74"/>
      <c r="IFS4" s="74"/>
      <c r="IFT4" s="74"/>
      <c r="IFU4" s="74"/>
      <c r="IFV4" s="74"/>
      <c r="IFW4" s="74"/>
      <c r="IFX4" s="74"/>
      <c r="IFY4" s="74"/>
      <c r="IFZ4" s="74"/>
      <c r="IGA4" s="74"/>
      <c r="IGB4" s="74"/>
      <c r="IGC4" s="74"/>
      <c r="IGD4" s="74"/>
      <c r="IGE4" s="74"/>
      <c r="IGF4" s="74"/>
      <c r="IGG4" s="74"/>
      <c r="IGH4" s="74"/>
      <c r="IGI4" s="74"/>
      <c r="IGJ4" s="74"/>
      <c r="IGK4" s="74"/>
      <c r="IGL4" s="74"/>
      <c r="IGM4" s="74"/>
      <c r="IGN4" s="74"/>
      <c r="IGO4" s="74"/>
      <c r="IGP4" s="74"/>
      <c r="IGQ4" s="74"/>
      <c r="IGR4" s="74"/>
      <c r="IGS4" s="74"/>
      <c r="IGT4" s="74"/>
      <c r="IGU4" s="74"/>
      <c r="IGV4" s="74"/>
      <c r="IGW4" s="74"/>
      <c r="IGX4" s="74"/>
      <c r="IGY4" s="74"/>
      <c r="IGZ4" s="74"/>
      <c r="IHA4" s="74"/>
      <c r="IHB4" s="74"/>
      <c r="IHC4" s="74"/>
      <c r="IHD4" s="74"/>
      <c r="IHE4" s="74"/>
      <c r="IHF4" s="74"/>
      <c r="IHG4" s="74"/>
      <c r="IHH4" s="74"/>
      <c r="IHI4" s="74"/>
      <c r="IHJ4" s="74"/>
      <c r="IHK4" s="74"/>
      <c r="IHL4" s="74"/>
      <c r="IHM4" s="74"/>
      <c r="IHN4" s="74"/>
      <c r="IHO4" s="74"/>
      <c r="IHP4" s="74"/>
      <c r="IHQ4" s="74"/>
      <c r="IHR4" s="74"/>
      <c r="IHS4" s="74"/>
      <c r="IHT4" s="74"/>
      <c r="IHU4" s="74"/>
      <c r="IHV4" s="74"/>
      <c r="IHW4" s="74"/>
      <c r="IHX4" s="74"/>
      <c r="IHY4" s="74"/>
      <c r="IHZ4" s="74"/>
      <c r="IIA4" s="74"/>
      <c r="IIB4" s="74"/>
      <c r="IIC4" s="74"/>
      <c r="IID4" s="74"/>
      <c r="IIE4" s="74"/>
      <c r="IIF4" s="74"/>
      <c r="IIG4" s="74"/>
      <c r="IIH4" s="74"/>
      <c r="III4" s="74"/>
      <c r="IIJ4" s="74"/>
      <c r="IIK4" s="74"/>
      <c r="IIL4" s="74"/>
      <c r="IIM4" s="74"/>
      <c r="IIN4" s="74"/>
      <c r="IIO4" s="74"/>
      <c r="IIP4" s="74"/>
      <c r="IIQ4" s="74"/>
      <c r="IIR4" s="74"/>
      <c r="IIS4" s="74"/>
      <c r="IIT4" s="74"/>
      <c r="IIU4" s="74"/>
      <c r="IIV4" s="74"/>
      <c r="IIW4" s="74"/>
      <c r="IIX4" s="74"/>
      <c r="IIY4" s="74"/>
      <c r="IIZ4" s="74"/>
      <c r="IJA4" s="74"/>
      <c r="IJB4" s="74"/>
      <c r="IJC4" s="74"/>
      <c r="IJD4" s="74"/>
      <c r="IJE4" s="74"/>
      <c r="IJF4" s="74"/>
      <c r="IJG4" s="74"/>
      <c r="IJH4" s="74"/>
      <c r="IJI4" s="74"/>
      <c r="IJJ4" s="74"/>
      <c r="IJK4" s="74"/>
      <c r="IJL4" s="74"/>
      <c r="IJM4" s="74"/>
      <c r="IJN4" s="74"/>
      <c r="IJO4" s="74"/>
      <c r="IJP4" s="74"/>
      <c r="IJQ4" s="74"/>
      <c r="IJR4" s="74"/>
      <c r="IJS4" s="74"/>
      <c r="IJT4" s="74"/>
      <c r="IJU4" s="74"/>
      <c r="IJV4" s="74"/>
      <c r="IJW4" s="74"/>
      <c r="IJX4" s="74"/>
      <c r="IJY4" s="74"/>
      <c r="IJZ4" s="74"/>
      <c r="IKA4" s="74"/>
      <c r="IKB4" s="74"/>
      <c r="IKC4" s="74"/>
      <c r="IKD4" s="74"/>
      <c r="IKE4" s="74"/>
      <c r="IKF4" s="74"/>
      <c r="IKG4" s="74"/>
      <c r="IKH4" s="74"/>
      <c r="IKI4" s="74"/>
      <c r="IKJ4" s="74"/>
      <c r="IKK4" s="74"/>
      <c r="IKL4" s="74"/>
      <c r="IKM4" s="74"/>
      <c r="IKN4" s="74"/>
      <c r="IKO4" s="74"/>
      <c r="IKP4" s="74"/>
      <c r="IKQ4" s="74"/>
      <c r="IKR4" s="74"/>
      <c r="IKS4" s="74"/>
      <c r="IKT4" s="74"/>
      <c r="IKU4" s="74"/>
      <c r="IKV4" s="74"/>
      <c r="IKW4" s="74"/>
      <c r="IKX4" s="74"/>
      <c r="IKY4" s="74"/>
      <c r="IKZ4" s="74"/>
      <c r="ILA4" s="74"/>
      <c r="ILB4" s="74"/>
      <c r="ILC4" s="74"/>
      <c r="ILD4" s="74"/>
      <c r="ILE4" s="74"/>
      <c r="ILF4" s="74"/>
      <c r="ILG4" s="74"/>
      <c r="ILH4" s="74"/>
      <c r="ILI4" s="74"/>
      <c r="ILJ4" s="74"/>
      <c r="ILK4" s="74"/>
      <c r="ILL4" s="74"/>
      <c r="ILM4" s="74"/>
      <c r="ILN4" s="74"/>
      <c r="ILO4" s="74"/>
      <c r="ILP4" s="74"/>
      <c r="ILQ4" s="74"/>
      <c r="ILR4" s="74"/>
      <c r="ILS4" s="74"/>
      <c r="ILT4" s="74"/>
      <c r="ILU4" s="74"/>
      <c r="ILV4" s="74"/>
      <c r="ILW4" s="74"/>
      <c r="ILX4" s="74"/>
      <c r="ILY4" s="74"/>
      <c r="ILZ4" s="74"/>
      <c r="IMA4" s="74"/>
      <c r="IMB4" s="74"/>
      <c r="IMC4" s="74"/>
      <c r="IMD4" s="74"/>
      <c r="IME4" s="74"/>
      <c r="IMF4" s="74"/>
      <c r="IMG4" s="74"/>
      <c r="IMH4" s="74"/>
      <c r="IMI4" s="74"/>
      <c r="IMJ4" s="74"/>
      <c r="IMK4" s="74"/>
      <c r="IML4" s="74"/>
      <c r="IMM4" s="74"/>
      <c r="IMN4" s="74"/>
      <c r="IMO4" s="74"/>
      <c r="IMP4" s="74"/>
      <c r="IMQ4" s="74"/>
      <c r="IMR4" s="74"/>
      <c r="IMS4" s="74"/>
      <c r="IMT4" s="74"/>
      <c r="IMU4" s="74"/>
      <c r="IMV4" s="74"/>
      <c r="IMW4" s="74"/>
      <c r="IMX4" s="74"/>
      <c r="IMY4" s="74"/>
      <c r="IMZ4" s="74"/>
      <c r="INA4" s="74"/>
      <c r="INB4" s="74"/>
      <c r="INC4" s="74"/>
      <c r="IND4" s="74"/>
      <c r="INE4" s="74"/>
      <c r="INF4" s="74"/>
      <c r="ING4" s="74"/>
      <c r="INH4" s="74"/>
      <c r="INI4" s="74"/>
      <c r="INJ4" s="74"/>
      <c r="INK4" s="74"/>
      <c r="INL4" s="74"/>
      <c r="INM4" s="74"/>
      <c r="INN4" s="74"/>
      <c r="INO4" s="74"/>
      <c r="INP4" s="74"/>
      <c r="INQ4" s="74"/>
      <c r="INR4" s="74"/>
      <c r="INS4" s="74"/>
      <c r="INT4" s="74"/>
      <c r="INU4" s="74"/>
      <c r="INV4" s="74"/>
      <c r="INW4" s="74"/>
      <c r="INX4" s="74"/>
      <c r="INY4" s="74"/>
      <c r="INZ4" s="74"/>
      <c r="IOA4" s="74"/>
      <c r="IOB4" s="74"/>
      <c r="IOC4" s="74"/>
      <c r="IOD4" s="74"/>
      <c r="IOE4" s="74"/>
      <c r="IOF4" s="74"/>
      <c r="IOG4" s="74"/>
      <c r="IOH4" s="74"/>
      <c r="IOI4" s="74"/>
      <c r="IOJ4" s="74"/>
      <c r="IOK4" s="74"/>
      <c r="IOL4" s="74"/>
      <c r="IOM4" s="74"/>
      <c r="ION4" s="74"/>
      <c r="IOO4" s="74"/>
      <c r="IOP4" s="74"/>
      <c r="IOQ4" s="74"/>
      <c r="IOR4" s="74"/>
      <c r="IOS4" s="74"/>
      <c r="IOT4" s="74"/>
      <c r="IOU4" s="74"/>
      <c r="IOV4" s="74"/>
      <c r="IOW4" s="74"/>
      <c r="IOX4" s="74"/>
      <c r="IOY4" s="74"/>
      <c r="IOZ4" s="74"/>
      <c r="IPA4" s="74"/>
      <c r="IPB4" s="74"/>
      <c r="IPC4" s="74"/>
      <c r="IPD4" s="74"/>
      <c r="IPE4" s="74"/>
      <c r="IPF4" s="74"/>
      <c r="IPG4" s="74"/>
      <c r="IPH4" s="74"/>
      <c r="IPI4" s="74"/>
      <c r="IPJ4" s="74"/>
      <c r="IPK4" s="74"/>
      <c r="IPL4" s="74"/>
      <c r="IPM4" s="74"/>
      <c r="IPN4" s="74"/>
      <c r="IPO4" s="74"/>
      <c r="IPP4" s="74"/>
      <c r="IPQ4" s="74"/>
      <c r="IPR4" s="74"/>
      <c r="IPS4" s="74"/>
      <c r="IPT4" s="74"/>
      <c r="IPU4" s="74"/>
      <c r="IPV4" s="74"/>
      <c r="IPW4" s="74"/>
      <c r="IPX4" s="74"/>
      <c r="IPY4" s="74"/>
      <c r="IPZ4" s="74"/>
      <c r="IQA4" s="74"/>
      <c r="IQB4" s="74"/>
      <c r="IQC4" s="74"/>
      <c r="IQD4" s="74"/>
      <c r="IQE4" s="74"/>
      <c r="IQF4" s="74"/>
      <c r="IQG4" s="74"/>
      <c r="IQH4" s="74"/>
      <c r="IQI4" s="74"/>
      <c r="IQJ4" s="74"/>
      <c r="IQK4" s="74"/>
      <c r="IQL4" s="74"/>
      <c r="IQM4" s="74"/>
      <c r="IQN4" s="74"/>
      <c r="IQO4" s="74"/>
      <c r="IQP4" s="74"/>
      <c r="IQQ4" s="74"/>
      <c r="IQR4" s="74"/>
      <c r="IQS4" s="74"/>
      <c r="IQT4" s="74"/>
      <c r="IQU4" s="74"/>
      <c r="IQV4" s="74"/>
      <c r="IQW4" s="74"/>
      <c r="IQX4" s="74"/>
      <c r="IQY4" s="74"/>
      <c r="IQZ4" s="74"/>
      <c r="IRA4" s="74"/>
      <c r="IRB4" s="74"/>
      <c r="IRC4" s="74"/>
      <c r="IRD4" s="74"/>
      <c r="IRE4" s="74"/>
      <c r="IRF4" s="74"/>
      <c r="IRG4" s="74"/>
      <c r="IRH4" s="74"/>
      <c r="IRI4" s="74"/>
      <c r="IRJ4" s="74"/>
      <c r="IRK4" s="74"/>
      <c r="IRL4" s="74"/>
      <c r="IRM4" s="74"/>
      <c r="IRN4" s="74"/>
      <c r="IRO4" s="74"/>
      <c r="IRP4" s="74"/>
      <c r="IRQ4" s="74"/>
      <c r="IRR4" s="74"/>
      <c r="IRS4" s="74"/>
      <c r="IRT4" s="74"/>
      <c r="IRU4" s="74"/>
      <c r="IRV4" s="74"/>
      <c r="IRW4" s="74"/>
      <c r="IRX4" s="74"/>
      <c r="IRY4" s="74"/>
      <c r="IRZ4" s="74"/>
      <c r="ISA4" s="74"/>
      <c r="ISB4" s="74"/>
      <c r="ISC4" s="74"/>
      <c r="ISD4" s="74"/>
      <c r="ISE4" s="74"/>
      <c r="ISF4" s="74"/>
      <c r="ISG4" s="74"/>
      <c r="ISH4" s="74"/>
      <c r="ISI4" s="74"/>
      <c r="ISJ4" s="74"/>
      <c r="ISK4" s="74"/>
      <c r="ISL4" s="74"/>
      <c r="ISM4" s="74"/>
      <c r="ISN4" s="74"/>
      <c r="ISO4" s="74"/>
      <c r="ISP4" s="74"/>
      <c r="ISQ4" s="74"/>
      <c r="ISR4" s="74"/>
      <c r="ISS4" s="74"/>
      <c r="IST4" s="74"/>
      <c r="ISU4" s="74"/>
      <c r="ISV4" s="74"/>
      <c r="ISW4" s="74"/>
      <c r="ISX4" s="74"/>
      <c r="ISY4" s="74"/>
      <c r="ISZ4" s="74"/>
      <c r="ITA4" s="74"/>
      <c r="ITB4" s="74"/>
      <c r="ITC4" s="74"/>
      <c r="ITD4" s="74"/>
      <c r="ITE4" s="74"/>
      <c r="ITF4" s="74"/>
      <c r="ITG4" s="74"/>
      <c r="ITH4" s="74"/>
      <c r="ITI4" s="74"/>
      <c r="ITJ4" s="74"/>
      <c r="ITK4" s="74"/>
      <c r="ITL4" s="74"/>
      <c r="ITM4" s="74"/>
      <c r="ITN4" s="74"/>
      <c r="ITO4" s="74"/>
      <c r="ITP4" s="74"/>
      <c r="ITQ4" s="74"/>
      <c r="ITR4" s="74"/>
      <c r="ITS4" s="74"/>
      <c r="ITT4" s="74"/>
      <c r="ITU4" s="74"/>
      <c r="ITV4" s="74"/>
      <c r="ITW4" s="74"/>
      <c r="ITX4" s="74"/>
      <c r="ITY4" s="74"/>
      <c r="ITZ4" s="74"/>
      <c r="IUA4" s="74"/>
      <c r="IUB4" s="74"/>
      <c r="IUC4" s="74"/>
      <c r="IUD4" s="74"/>
      <c r="IUE4" s="74"/>
      <c r="IUF4" s="74"/>
      <c r="IUG4" s="74"/>
      <c r="IUH4" s="74"/>
      <c r="IUI4" s="74"/>
      <c r="IUJ4" s="74"/>
      <c r="IUK4" s="74"/>
      <c r="IUL4" s="74"/>
      <c r="IUM4" s="74"/>
      <c r="IUN4" s="74"/>
      <c r="IUO4" s="74"/>
      <c r="IUP4" s="74"/>
      <c r="IUQ4" s="74"/>
      <c r="IUR4" s="74"/>
      <c r="IUS4" s="74"/>
      <c r="IUT4" s="74"/>
      <c r="IUU4" s="74"/>
      <c r="IUV4" s="74"/>
      <c r="IUW4" s="74"/>
      <c r="IUX4" s="74"/>
      <c r="IUY4" s="74"/>
      <c r="IUZ4" s="74"/>
      <c r="IVA4" s="74"/>
      <c r="IVB4" s="74"/>
      <c r="IVC4" s="74"/>
      <c r="IVD4" s="74"/>
      <c r="IVE4" s="74"/>
      <c r="IVF4" s="74"/>
      <c r="IVG4" s="74"/>
      <c r="IVH4" s="74"/>
      <c r="IVI4" s="74"/>
      <c r="IVJ4" s="74"/>
      <c r="IVK4" s="74"/>
      <c r="IVL4" s="74"/>
      <c r="IVM4" s="74"/>
      <c r="IVN4" s="74"/>
      <c r="IVO4" s="74"/>
      <c r="IVP4" s="74"/>
      <c r="IVQ4" s="74"/>
      <c r="IVR4" s="74"/>
      <c r="IVS4" s="74"/>
      <c r="IVT4" s="74"/>
      <c r="IVU4" s="74"/>
      <c r="IVV4" s="74"/>
      <c r="IVW4" s="74"/>
      <c r="IVX4" s="74"/>
      <c r="IVY4" s="74"/>
      <c r="IVZ4" s="74"/>
      <c r="IWA4" s="74"/>
      <c r="IWB4" s="74"/>
      <c r="IWC4" s="74"/>
      <c r="IWD4" s="74"/>
      <c r="IWE4" s="74"/>
      <c r="IWF4" s="74"/>
      <c r="IWG4" s="74"/>
      <c r="IWH4" s="74"/>
      <c r="IWI4" s="74"/>
      <c r="IWJ4" s="74"/>
      <c r="IWK4" s="74"/>
      <c r="IWL4" s="74"/>
      <c r="IWM4" s="74"/>
      <c r="IWN4" s="74"/>
      <c r="IWO4" s="74"/>
      <c r="IWP4" s="74"/>
      <c r="IWQ4" s="74"/>
      <c r="IWR4" s="74"/>
      <c r="IWS4" s="74"/>
      <c r="IWT4" s="74"/>
      <c r="IWU4" s="74"/>
      <c r="IWV4" s="74"/>
      <c r="IWW4" s="74"/>
      <c r="IWX4" s="74"/>
      <c r="IWY4" s="74"/>
      <c r="IWZ4" s="74"/>
      <c r="IXA4" s="74"/>
      <c r="IXB4" s="74"/>
      <c r="IXC4" s="74"/>
      <c r="IXD4" s="74"/>
      <c r="IXE4" s="74"/>
      <c r="IXF4" s="74"/>
      <c r="IXG4" s="74"/>
      <c r="IXH4" s="74"/>
      <c r="IXI4" s="74"/>
      <c r="IXJ4" s="74"/>
      <c r="IXK4" s="74"/>
      <c r="IXL4" s="74"/>
      <c r="IXM4" s="74"/>
      <c r="IXN4" s="74"/>
      <c r="IXO4" s="74"/>
      <c r="IXP4" s="74"/>
      <c r="IXQ4" s="74"/>
      <c r="IXR4" s="74"/>
      <c r="IXS4" s="74"/>
      <c r="IXT4" s="74"/>
      <c r="IXU4" s="74"/>
      <c r="IXV4" s="74"/>
      <c r="IXW4" s="74"/>
      <c r="IXX4" s="74"/>
      <c r="IXY4" s="74"/>
      <c r="IXZ4" s="74"/>
      <c r="IYA4" s="74"/>
      <c r="IYB4" s="74"/>
      <c r="IYC4" s="74"/>
      <c r="IYD4" s="74"/>
      <c r="IYE4" s="74"/>
      <c r="IYF4" s="74"/>
      <c r="IYG4" s="74"/>
      <c r="IYH4" s="74"/>
      <c r="IYI4" s="74"/>
      <c r="IYJ4" s="74"/>
      <c r="IYK4" s="74"/>
      <c r="IYL4" s="74"/>
      <c r="IYM4" s="74"/>
      <c r="IYN4" s="74"/>
      <c r="IYO4" s="74"/>
      <c r="IYP4" s="74"/>
      <c r="IYQ4" s="74"/>
      <c r="IYR4" s="74"/>
      <c r="IYS4" s="74"/>
      <c r="IYT4" s="74"/>
      <c r="IYU4" s="74"/>
      <c r="IYV4" s="74"/>
      <c r="IYW4" s="74"/>
      <c r="IYX4" s="74"/>
      <c r="IYY4" s="74"/>
      <c r="IYZ4" s="74"/>
      <c r="IZA4" s="74"/>
      <c r="IZB4" s="74"/>
      <c r="IZC4" s="74"/>
      <c r="IZD4" s="74"/>
      <c r="IZE4" s="74"/>
      <c r="IZF4" s="74"/>
      <c r="IZG4" s="74"/>
      <c r="IZH4" s="74"/>
      <c r="IZI4" s="74"/>
      <c r="IZJ4" s="74"/>
      <c r="IZK4" s="74"/>
      <c r="IZL4" s="74"/>
      <c r="IZM4" s="74"/>
      <c r="IZN4" s="74"/>
      <c r="IZO4" s="74"/>
      <c r="IZP4" s="74"/>
      <c r="IZQ4" s="74"/>
      <c r="IZR4" s="74"/>
      <c r="IZS4" s="74"/>
      <c r="IZT4" s="74"/>
      <c r="IZU4" s="74"/>
      <c r="IZV4" s="74"/>
      <c r="IZW4" s="74"/>
      <c r="IZX4" s="74"/>
      <c r="IZY4" s="74"/>
      <c r="IZZ4" s="74"/>
      <c r="JAA4" s="74"/>
      <c r="JAB4" s="74"/>
      <c r="JAC4" s="74"/>
      <c r="JAD4" s="74"/>
      <c r="JAE4" s="74"/>
      <c r="JAF4" s="74"/>
      <c r="JAG4" s="74"/>
      <c r="JAH4" s="74"/>
      <c r="JAI4" s="74"/>
      <c r="JAJ4" s="74"/>
      <c r="JAK4" s="74"/>
      <c r="JAL4" s="74"/>
      <c r="JAM4" s="74"/>
      <c r="JAN4" s="74"/>
      <c r="JAO4" s="74"/>
      <c r="JAP4" s="74"/>
      <c r="JAQ4" s="74"/>
      <c r="JAR4" s="74"/>
      <c r="JAS4" s="74"/>
      <c r="JAT4" s="74"/>
      <c r="JAU4" s="74"/>
      <c r="JAV4" s="74"/>
      <c r="JAW4" s="74"/>
      <c r="JAX4" s="74"/>
      <c r="JAY4" s="74"/>
      <c r="JAZ4" s="74"/>
      <c r="JBA4" s="74"/>
      <c r="JBB4" s="74"/>
      <c r="JBC4" s="74"/>
      <c r="JBD4" s="74"/>
      <c r="JBE4" s="74"/>
      <c r="JBF4" s="74"/>
      <c r="JBG4" s="74"/>
      <c r="JBH4" s="74"/>
      <c r="JBI4" s="74"/>
      <c r="JBJ4" s="74"/>
      <c r="JBK4" s="74"/>
      <c r="JBL4" s="74"/>
      <c r="JBM4" s="74"/>
      <c r="JBN4" s="74"/>
      <c r="JBO4" s="74"/>
      <c r="JBP4" s="74"/>
      <c r="JBQ4" s="74"/>
      <c r="JBR4" s="74"/>
      <c r="JBS4" s="74"/>
      <c r="JBT4" s="74"/>
      <c r="JBU4" s="74"/>
      <c r="JBV4" s="74"/>
      <c r="JBW4" s="74"/>
      <c r="JBX4" s="74"/>
      <c r="JBY4" s="74"/>
      <c r="JBZ4" s="74"/>
      <c r="JCA4" s="74"/>
      <c r="JCB4" s="74"/>
      <c r="JCC4" s="74"/>
      <c r="JCD4" s="74"/>
      <c r="JCE4" s="74"/>
      <c r="JCF4" s="74"/>
      <c r="JCG4" s="74"/>
      <c r="JCH4" s="74"/>
      <c r="JCI4" s="74"/>
      <c r="JCJ4" s="74"/>
      <c r="JCK4" s="74"/>
      <c r="JCL4" s="74"/>
      <c r="JCM4" s="74"/>
      <c r="JCN4" s="74"/>
      <c r="JCO4" s="74"/>
      <c r="JCP4" s="74"/>
      <c r="JCQ4" s="74"/>
      <c r="JCR4" s="74"/>
      <c r="JCS4" s="74"/>
      <c r="JCT4" s="74"/>
      <c r="JCU4" s="74"/>
      <c r="JCV4" s="74"/>
      <c r="JCW4" s="74"/>
      <c r="JCX4" s="74"/>
      <c r="JCY4" s="74"/>
      <c r="JCZ4" s="74"/>
      <c r="JDA4" s="74"/>
      <c r="JDB4" s="74"/>
      <c r="JDC4" s="74"/>
      <c r="JDD4" s="74"/>
      <c r="JDE4" s="74"/>
      <c r="JDF4" s="74"/>
      <c r="JDG4" s="74"/>
      <c r="JDH4" s="74"/>
      <c r="JDI4" s="74"/>
      <c r="JDJ4" s="74"/>
      <c r="JDK4" s="74"/>
      <c r="JDL4" s="74"/>
      <c r="JDM4" s="74"/>
      <c r="JDN4" s="74"/>
      <c r="JDO4" s="74"/>
      <c r="JDP4" s="74"/>
      <c r="JDQ4" s="74"/>
      <c r="JDR4" s="74"/>
      <c r="JDS4" s="74"/>
      <c r="JDT4" s="74"/>
      <c r="JDU4" s="74"/>
      <c r="JDV4" s="74"/>
      <c r="JDW4" s="74"/>
      <c r="JDX4" s="74"/>
      <c r="JDY4" s="74"/>
      <c r="JDZ4" s="74"/>
      <c r="JEA4" s="74"/>
      <c r="JEB4" s="74"/>
      <c r="JEC4" s="74"/>
      <c r="JED4" s="74"/>
      <c r="JEE4" s="74"/>
      <c r="JEF4" s="74"/>
      <c r="JEG4" s="74"/>
      <c r="JEH4" s="74"/>
      <c r="JEI4" s="74"/>
      <c r="JEJ4" s="74"/>
      <c r="JEK4" s="74"/>
      <c r="JEL4" s="74"/>
      <c r="JEM4" s="74"/>
      <c r="JEN4" s="74"/>
      <c r="JEO4" s="74"/>
      <c r="JEP4" s="74"/>
      <c r="JEQ4" s="74"/>
      <c r="JER4" s="74"/>
      <c r="JES4" s="74"/>
      <c r="JET4" s="74"/>
      <c r="JEU4" s="74"/>
      <c r="JEV4" s="74"/>
      <c r="JEW4" s="74"/>
      <c r="JEX4" s="74"/>
      <c r="JEY4" s="74"/>
      <c r="JEZ4" s="74"/>
      <c r="JFA4" s="74"/>
      <c r="JFB4" s="74"/>
      <c r="JFC4" s="74"/>
      <c r="JFD4" s="74"/>
      <c r="JFE4" s="74"/>
      <c r="JFF4" s="74"/>
      <c r="JFG4" s="74"/>
      <c r="JFH4" s="74"/>
      <c r="JFI4" s="74"/>
      <c r="JFJ4" s="74"/>
      <c r="JFK4" s="74"/>
      <c r="JFL4" s="74"/>
      <c r="JFM4" s="74"/>
      <c r="JFN4" s="74"/>
      <c r="JFO4" s="74"/>
      <c r="JFP4" s="74"/>
      <c r="JFQ4" s="74"/>
      <c r="JFR4" s="74"/>
      <c r="JFS4" s="74"/>
      <c r="JFT4" s="74"/>
      <c r="JFU4" s="74"/>
      <c r="JFV4" s="74"/>
      <c r="JFW4" s="74"/>
      <c r="JFX4" s="74"/>
      <c r="JFY4" s="74"/>
      <c r="JFZ4" s="74"/>
      <c r="JGA4" s="74"/>
      <c r="JGB4" s="74"/>
      <c r="JGC4" s="74"/>
      <c r="JGD4" s="74"/>
      <c r="JGE4" s="74"/>
      <c r="JGF4" s="74"/>
      <c r="JGG4" s="74"/>
      <c r="JGH4" s="74"/>
      <c r="JGI4" s="74"/>
      <c r="JGJ4" s="74"/>
      <c r="JGK4" s="74"/>
      <c r="JGL4" s="74"/>
      <c r="JGM4" s="74"/>
      <c r="JGN4" s="74"/>
      <c r="JGO4" s="74"/>
      <c r="JGP4" s="74"/>
      <c r="JGQ4" s="74"/>
      <c r="JGR4" s="74"/>
      <c r="JGS4" s="74"/>
      <c r="JGT4" s="74"/>
      <c r="JGU4" s="74"/>
      <c r="JGV4" s="74"/>
      <c r="JGW4" s="74"/>
      <c r="JGX4" s="74"/>
      <c r="JGY4" s="74"/>
      <c r="JGZ4" s="74"/>
      <c r="JHA4" s="74"/>
      <c r="JHB4" s="74"/>
      <c r="JHC4" s="74"/>
      <c r="JHD4" s="74"/>
      <c r="JHE4" s="74"/>
      <c r="JHF4" s="74"/>
      <c r="JHG4" s="74"/>
      <c r="JHH4" s="74"/>
      <c r="JHI4" s="74"/>
      <c r="JHJ4" s="74"/>
      <c r="JHK4" s="74"/>
      <c r="JHL4" s="74"/>
      <c r="JHM4" s="74"/>
      <c r="JHN4" s="74"/>
      <c r="JHO4" s="74"/>
      <c r="JHP4" s="74"/>
      <c r="JHQ4" s="74"/>
      <c r="JHR4" s="74"/>
      <c r="JHS4" s="74"/>
      <c r="JHT4" s="74"/>
      <c r="JHU4" s="74"/>
      <c r="JHV4" s="74"/>
      <c r="JHW4" s="74"/>
      <c r="JHX4" s="74"/>
      <c r="JHY4" s="74"/>
      <c r="JHZ4" s="74"/>
      <c r="JIA4" s="74"/>
      <c r="JIB4" s="74"/>
      <c r="JIC4" s="74"/>
      <c r="JID4" s="74"/>
      <c r="JIE4" s="74"/>
      <c r="JIF4" s="74"/>
      <c r="JIG4" s="74"/>
      <c r="JIH4" s="74"/>
      <c r="JII4" s="74"/>
      <c r="JIJ4" s="74"/>
      <c r="JIK4" s="74"/>
      <c r="JIL4" s="74"/>
      <c r="JIM4" s="74"/>
      <c r="JIN4" s="74"/>
      <c r="JIO4" s="74"/>
      <c r="JIP4" s="74"/>
      <c r="JIQ4" s="74"/>
      <c r="JIR4" s="74"/>
      <c r="JIS4" s="74"/>
      <c r="JIT4" s="74"/>
      <c r="JIU4" s="74"/>
      <c r="JIV4" s="74"/>
      <c r="JIW4" s="74"/>
      <c r="JIX4" s="74"/>
      <c r="JIY4" s="74"/>
      <c r="JIZ4" s="74"/>
      <c r="JJA4" s="74"/>
      <c r="JJB4" s="74"/>
      <c r="JJC4" s="74"/>
      <c r="JJD4" s="74"/>
      <c r="JJE4" s="74"/>
      <c r="JJF4" s="74"/>
      <c r="JJG4" s="74"/>
      <c r="JJH4" s="74"/>
      <c r="JJI4" s="74"/>
      <c r="JJJ4" s="74"/>
      <c r="JJK4" s="74"/>
      <c r="JJL4" s="74"/>
      <c r="JJM4" s="74"/>
      <c r="JJN4" s="74"/>
      <c r="JJO4" s="74"/>
      <c r="JJP4" s="74"/>
      <c r="JJQ4" s="74"/>
      <c r="JJR4" s="74"/>
      <c r="JJS4" s="74"/>
      <c r="JJT4" s="74"/>
      <c r="JJU4" s="74"/>
      <c r="JJV4" s="74"/>
      <c r="JJW4" s="74"/>
      <c r="JJX4" s="74"/>
      <c r="JJY4" s="74"/>
      <c r="JJZ4" s="74"/>
      <c r="JKA4" s="74"/>
      <c r="JKB4" s="74"/>
      <c r="JKC4" s="74"/>
      <c r="JKD4" s="74"/>
      <c r="JKE4" s="74"/>
      <c r="JKF4" s="74"/>
      <c r="JKG4" s="74"/>
      <c r="JKH4" s="74"/>
      <c r="JKI4" s="74"/>
      <c r="JKJ4" s="74"/>
      <c r="JKK4" s="74"/>
      <c r="JKL4" s="74"/>
      <c r="JKM4" s="74"/>
      <c r="JKN4" s="74"/>
      <c r="JKO4" s="74"/>
      <c r="JKP4" s="74"/>
      <c r="JKQ4" s="74"/>
      <c r="JKR4" s="74"/>
      <c r="JKS4" s="74"/>
      <c r="JKT4" s="74"/>
      <c r="JKU4" s="74"/>
      <c r="JKV4" s="74"/>
      <c r="JKW4" s="74"/>
      <c r="JKX4" s="74"/>
      <c r="JKY4" s="74"/>
      <c r="JKZ4" s="74"/>
      <c r="JLA4" s="74"/>
      <c r="JLB4" s="74"/>
      <c r="JLC4" s="74"/>
      <c r="JLD4" s="74"/>
      <c r="JLE4" s="74"/>
      <c r="JLF4" s="74"/>
      <c r="JLG4" s="74"/>
      <c r="JLH4" s="74"/>
      <c r="JLI4" s="74"/>
      <c r="JLJ4" s="74"/>
      <c r="JLK4" s="74"/>
      <c r="JLL4" s="74"/>
      <c r="JLM4" s="74"/>
      <c r="JLN4" s="74"/>
      <c r="JLO4" s="74"/>
      <c r="JLP4" s="74"/>
      <c r="JLQ4" s="74"/>
      <c r="JLR4" s="74"/>
      <c r="JLS4" s="74"/>
      <c r="JLT4" s="74"/>
      <c r="JLU4" s="74"/>
      <c r="JLV4" s="74"/>
      <c r="JLW4" s="74"/>
      <c r="JLX4" s="74"/>
      <c r="JLY4" s="74"/>
      <c r="JLZ4" s="74"/>
      <c r="JMA4" s="74"/>
      <c r="JMB4" s="74"/>
      <c r="JMC4" s="74"/>
      <c r="JMD4" s="74"/>
      <c r="JME4" s="74"/>
      <c r="JMF4" s="74"/>
      <c r="JMG4" s="74"/>
      <c r="JMH4" s="74"/>
      <c r="JMI4" s="74"/>
      <c r="JMJ4" s="74"/>
      <c r="JMK4" s="74"/>
      <c r="JML4" s="74"/>
      <c r="JMM4" s="74"/>
      <c r="JMN4" s="74"/>
      <c r="JMO4" s="74"/>
      <c r="JMP4" s="74"/>
      <c r="JMQ4" s="74"/>
      <c r="JMR4" s="74"/>
      <c r="JMS4" s="74"/>
      <c r="JMT4" s="74"/>
      <c r="JMU4" s="74"/>
      <c r="JMV4" s="74"/>
      <c r="JMW4" s="74"/>
      <c r="JMX4" s="74"/>
      <c r="JMY4" s="74"/>
      <c r="JMZ4" s="74"/>
      <c r="JNA4" s="74"/>
      <c r="JNB4" s="74"/>
      <c r="JNC4" s="74"/>
      <c r="JND4" s="74"/>
      <c r="JNE4" s="74"/>
      <c r="JNF4" s="74"/>
      <c r="JNG4" s="74"/>
      <c r="JNH4" s="74"/>
      <c r="JNI4" s="74"/>
      <c r="JNJ4" s="74"/>
      <c r="JNK4" s="74"/>
      <c r="JNL4" s="74"/>
      <c r="JNM4" s="74"/>
      <c r="JNN4" s="74"/>
      <c r="JNO4" s="74"/>
      <c r="JNP4" s="74"/>
      <c r="JNQ4" s="74"/>
      <c r="JNR4" s="74"/>
      <c r="JNS4" s="74"/>
      <c r="JNT4" s="74"/>
      <c r="JNU4" s="74"/>
      <c r="JNV4" s="74"/>
      <c r="JNW4" s="74"/>
      <c r="JNX4" s="74"/>
      <c r="JNY4" s="74"/>
      <c r="JNZ4" s="74"/>
      <c r="JOA4" s="74"/>
      <c r="JOB4" s="74"/>
      <c r="JOC4" s="74"/>
      <c r="JOD4" s="74"/>
      <c r="JOE4" s="74"/>
      <c r="JOF4" s="74"/>
      <c r="JOG4" s="74"/>
      <c r="JOH4" s="74"/>
      <c r="JOI4" s="74"/>
      <c r="JOJ4" s="74"/>
      <c r="JOK4" s="74"/>
      <c r="JOL4" s="74"/>
      <c r="JOM4" s="74"/>
      <c r="JON4" s="74"/>
      <c r="JOO4" s="74"/>
      <c r="JOP4" s="74"/>
      <c r="JOQ4" s="74"/>
      <c r="JOR4" s="74"/>
      <c r="JOS4" s="74"/>
      <c r="JOT4" s="74"/>
      <c r="JOU4" s="74"/>
      <c r="JOV4" s="74"/>
      <c r="JOW4" s="74"/>
      <c r="JOX4" s="74"/>
      <c r="JOY4" s="74"/>
      <c r="JOZ4" s="74"/>
      <c r="JPA4" s="74"/>
      <c r="JPB4" s="74"/>
      <c r="JPC4" s="74"/>
      <c r="JPD4" s="74"/>
      <c r="JPE4" s="74"/>
      <c r="JPF4" s="74"/>
      <c r="JPG4" s="74"/>
      <c r="JPH4" s="74"/>
      <c r="JPI4" s="74"/>
      <c r="JPJ4" s="74"/>
      <c r="JPK4" s="74"/>
      <c r="JPL4" s="74"/>
      <c r="JPM4" s="74"/>
      <c r="JPN4" s="74"/>
      <c r="JPO4" s="74"/>
      <c r="JPP4" s="74"/>
      <c r="JPQ4" s="74"/>
      <c r="JPR4" s="74"/>
      <c r="JPS4" s="74"/>
      <c r="JPT4" s="74"/>
      <c r="JPU4" s="74"/>
      <c r="JPV4" s="74"/>
      <c r="JPW4" s="74"/>
      <c r="JPX4" s="74"/>
      <c r="JPY4" s="74"/>
      <c r="JPZ4" s="74"/>
      <c r="JQA4" s="74"/>
      <c r="JQB4" s="74"/>
      <c r="JQC4" s="74"/>
      <c r="JQD4" s="74"/>
      <c r="JQE4" s="74"/>
      <c r="JQF4" s="74"/>
      <c r="JQG4" s="74"/>
      <c r="JQH4" s="74"/>
      <c r="JQI4" s="74"/>
      <c r="JQJ4" s="74"/>
      <c r="JQK4" s="74"/>
      <c r="JQL4" s="74"/>
      <c r="JQM4" s="74"/>
      <c r="JQN4" s="74"/>
      <c r="JQO4" s="74"/>
      <c r="JQP4" s="74"/>
      <c r="JQQ4" s="74"/>
      <c r="JQR4" s="74"/>
      <c r="JQS4" s="74"/>
      <c r="JQT4" s="74"/>
      <c r="JQU4" s="74"/>
      <c r="JQV4" s="74"/>
      <c r="JQW4" s="74"/>
      <c r="JQX4" s="74"/>
      <c r="JQY4" s="74"/>
      <c r="JQZ4" s="74"/>
      <c r="JRA4" s="74"/>
      <c r="JRB4" s="74"/>
      <c r="JRC4" s="74"/>
      <c r="JRD4" s="74"/>
      <c r="JRE4" s="74"/>
      <c r="JRF4" s="74"/>
      <c r="JRG4" s="74"/>
      <c r="JRH4" s="74"/>
      <c r="JRI4" s="74"/>
      <c r="JRJ4" s="74"/>
      <c r="JRK4" s="74"/>
      <c r="JRL4" s="74"/>
      <c r="JRM4" s="74"/>
      <c r="JRN4" s="74"/>
      <c r="JRO4" s="74"/>
      <c r="JRP4" s="74"/>
      <c r="JRQ4" s="74"/>
      <c r="JRR4" s="74"/>
      <c r="JRS4" s="74"/>
      <c r="JRT4" s="74"/>
      <c r="JRU4" s="74"/>
      <c r="JRV4" s="74"/>
      <c r="JRW4" s="74"/>
      <c r="JRX4" s="74"/>
      <c r="JRY4" s="74"/>
      <c r="JRZ4" s="74"/>
      <c r="JSA4" s="74"/>
      <c r="JSB4" s="74"/>
      <c r="JSC4" s="74"/>
      <c r="JSD4" s="74"/>
      <c r="JSE4" s="74"/>
      <c r="JSF4" s="74"/>
      <c r="JSG4" s="74"/>
      <c r="JSH4" s="74"/>
      <c r="JSI4" s="74"/>
      <c r="JSJ4" s="74"/>
      <c r="JSK4" s="74"/>
      <c r="JSL4" s="74"/>
      <c r="JSM4" s="74"/>
      <c r="JSN4" s="74"/>
      <c r="JSO4" s="74"/>
      <c r="JSP4" s="74"/>
      <c r="JSQ4" s="74"/>
      <c r="JSR4" s="74"/>
      <c r="JSS4" s="74"/>
      <c r="JST4" s="74"/>
      <c r="JSU4" s="74"/>
      <c r="JSV4" s="74"/>
      <c r="JSW4" s="74"/>
      <c r="JSX4" s="74"/>
      <c r="JSY4" s="74"/>
      <c r="JSZ4" s="74"/>
      <c r="JTA4" s="74"/>
      <c r="JTB4" s="74"/>
      <c r="JTC4" s="74"/>
      <c r="JTD4" s="74"/>
      <c r="JTE4" s="74"/>
      <c r="JTF4" s="74"/>
      <c r="JTG4" s="74"/>
      <c r="JTH4" s="74"/>
      <c r="JTI4" s="74"/>
      <c r="JTJ4" s="74"/>
      <c r="JTK4" s="74"/>
      <c r="JTL4" s="74"/>
      <c r="JTM4" s="74"/>
      <c r="JTN4" s="74"/>
      <c r="JTO4" s="74"/>
      <c r="JTP4" s="74"/>
      <c r="JTQ4" s="74"/>
      <c r="JTR4" s="74"/>
      <c r="JTS4" s="74"/>
      <c r="JTT4" s="74"/>
      <c r="JTU4" s="74"/>
      <c r="JTV4" s="74"/>
      <c r="JTW4" s="74"/>
      <c r="JTX4" s="74"/>
      <c r="JTY4" s="74"/>
      <c r="JTZ4" s="74"/>
      <c r="JUA4" s="74"/>
      <c r="JUB4" s="74"/>
      <c r="JUC4" s="74"/>
      <c r="JUD4" s="74"/>
      <c r="JUE4" s="74"/>
      <c r="JUF4" s="74"/>
      <c r="JUG4" s="74"/>
      <c r="JUH4" s="74"/>
      <c r="JUI4" s="74"/>
      <c r="JUJ4" s="74"/>
      <c r="JUK4" s="74"/>
      <c r="JUL4" s="74"/>
      <c r="JUM4" s="74"/>
      <c r="JUN4" s="74"/>
      <c r="JUO4" s="74"/>
      <c r="JUP4" s="74"/>
      <c r="JUQ4" s="74"/>
      <c r="JUR4" s="74"/>
      <c r="JUS4" s="74"/>
      <c r="JUT4" s="74"/>
      <c r="JUU4" s="74"/>
      <c r="JUV4" s="74"/>
      <c r="JUW4" s="74"/>
      <c r="JUX4" s="74"/>
      <c r="JUY4" s="74"/>
      <c r="JUZ4" s="74"/>
      <c r="JVA4" s="74"/>
      <c r="JVB4" s="74"/>
      <c r="JVC4" s="74"/>
      <c r="JVD4" s="74"/>
      <c r="JVE4" s="74"/>
      <c r="JVF4" s="74"/>
      <c r="JVG4" s="74"/>
      <c r="JVH4" s="74"/>
      <c r="JVI4" s="74"/>
      <c r="JVJ4" s="74"/>
      <c r="JVK4" s="74"/>
      <c r="JVL4" s="74"/>
      <c r="JVM4" s="74"/>
      <c r="JVN4" s="74"/>
      <c r="JVO4" s="74"/>
      <c r="JVP4" s="74"/>
      <c r="JVQ4" s="74"/>
      <c r="JVR4" s="74"/>
      <c r="JVS4" s="74"/>
      <c r="JVT4" s="74"/>
      <c r="JVU4" s="74"/>
      <c r="JVV4" s="74"/>
      <c r="JVW4" s="74"/>
      <c r="JVX4" s="74"/>
      <c r="JVY4" s="74"/>
      <c r="JVZ4" s="74"/>
      <c r="JWA4" s="74"/>
      <c r="JWB4" s="74"/>
      <c r="JWC4" s="74"/>
      <c r="JWD4" s="74"/>
      <c r="JWE4" s="74"/>
      <c r="JWF4" s="74"/>
      <c r="JWG4" s="74"/>
      <c r="JWH4" s="74"/>
      <c r="JWI4" s="74"/>
      <c r="JWJ4" s="74"/>
      <c r="JWK4" s="74"/>
      <c r="JWL4" s="74"/>
      <c r="JWM4" s="74"/>
      <c r="JWN4" s="74"/>
      <c r="JWO4" s="74"/>
      <c r="JWP4" s="74"/>
      <c r="JWQ4" s="74"/>
      <c r="JWR4" s="74"/>
      <c r="JWS4" s="74"/>
      <c r="JWT4" s="74"/>
      <c r="JWU4" s="74"/>
      <c r="JWV4" s="74"/>
      <c r="JWW4" s="74"/>
      <c r="JWX4" s="74"/>
      <c r="JWY4" s="74"/>
      <c r="JWZ4" s="74"/>
      <c r="JXA4" s="74"/>
      <c r="JXB4" s="74"/>
      <c r="JXC4" s="74"/>
      <c r="JXD4" s="74"/>
      <c r="JXE4" s="74"/>
      <c r="JXF4" s="74"/>
      <c r="JXG4" s="74"/>
      <c r="JXH4" s="74"/>
      <c r="JXI4" s="74"/>
      <c r="JXJ4" s="74"/>
      <c r="JXK4" s="74"/>
      <c r="JXL4" s="74"/>
      <c r="JXM4" s="74"/>
      <c r="JXN4" s="74"/>
      <c r="JXO4" s="74"/>
      <c r="JXP4" s="74"/>
      <c r="JXQ4" s="74"/>
      <c r="JXR4" s="74"/>
      <c r="JXS4" s="74"/>
      <c r="JXT4" s="74"/>
      <c r="JXU4" s="74"/>
      <c r="JXV4" s="74"/>
      <c r="JXW4" s="74"/>
      <c r="JXX4" s="74"/>
      <c r="JXY4" s="74"/>
      <c r="JXZ4" s="74"/>
      <c r="JYA4" s="74"/>
      <c r="JYB4" s="74"/>
      <c r="JYC4" s="74"/>
      <c r="JYD4" s="74"/>
      <c r="JYE4" s="74"/>
      <c r="JYF4" s="74"/>
      <c r="JYG4" s="74"/>
      <c r="JYH4" s="74"/>
      <c r="JYI4" s="74"/>
      <c r="JYJ4" s="74"/>
      <c r="JYK4" s="74"/>
      <c r="JYL4" s="74"/>
      <c r="JYM4" s="74"/>
      <c r="JYN4" s="74"/>
      <c r="JYO4" s="74"/>
      <c r="JYP4" s="74"/>
      <c r="JYQ4" s="74"/>
      <c r="JYR4" s="74"/>
      <c r="JYS4" s="74"/>
      <c r="JYT4" s="74"/>
      <c r="JYU4" s="74"/>
      <c r="JYV4" s="74"/>
      <c r="JYW4" s="74"/>
      <c r="JYX4" s="74"/>
      <c r="JYY4" s="74"/>
      <c r="JYZ4" s="74"/>
      <c r="JZA4" s="74"/>
      <c r="JZB4" s="74"/>
      <c r="JZC4" s="74"/>
      <c r="JZD4" s="74"/>
      <c r="JZE4" s="74"/>
      <c r="JZF4" s="74"/>
      <c r="JZG4" s="74"/>
      <c r="JZH4" s="74"/>
      <c r="JZI4" s="74"/>
      <c r="JZJ4" s="74"/>
      <c r="JZK4" s="74"/>
      <c r="JZL4" s="74"/>
      <c r="JZM4" s="74"/>
      <c r="JZN4" s="74"/>
      <c r="JZO4" s="74"/>
      <c r="JZP4" s="74"/>
      <c r="JZQ4" s="74"/>
      <c r="JZR4" s="74"/>
      <c r="JZS4" s="74"/>
      <c r="JZT4" s="74"/>
      <c r="JZU4" s="74"/>
      <c r="JZV4" s="74"/>
      <c r="JZW4" s="74"/>
      <c r="JZX4" s="74"/>
      <c r="JZY4" s="74"/>
      <c r="JZZ4" s="74"/>
      <c r="KAA4" s="74"/>
      <c r="KAB4" s="74"/>
      <c r="KAC4" s="74"/>
      <c r="KAD4" s="74"/>
      <c r="KAE4" s="74"/>
      <c r="KAF4" s="74"/>
      <c r="KAG4" s="74"/>
      <c r="KAH4" s="74"/>
      <c r="KAI4" s="74"/>
      <c r="KAJ4" s="74"/>
      <c r="KAK4" s="74"/>
      <c r="KAL4" s="74"/>
      <c r="KAM4" s="74"/>
      <c r="KAN4" s="74"/>
      <c r="KAO4" s="74"/>
      <c r="KAP4" s="74"/>
      <c r="KAQ4" s="74"/>
      <c r="KAR4" s="74"/>
      <c r="KAS4" s="74"/>
      <c r="KAT4" s="74"/>
      <c r="KAU4" s="74"/>
      <c r="KAV4" s="74"/>
      <c r="KAW4" s="74"/>
      <c r="KAX4" s="74"/>
      <c r="KAY4" s="74"/>
      <c r="KAZ4" s="74"/>
      <c r="KBA4" s="74"/>
      <c r="KBB4" s="74"/>
      <c r="KBC4" s="74"/>
      <c r="KBD4" s="74"/>
      <c r="KBE4" s="74"/>
      <c r="KBF4" s="74"/>
      <c r="KBG4" s="74"/>
      <c r="KBH4" s="74"/>
      <c r="KBI4" s="74"/>
      <c r="KBJ4" s="74"/>
      <c r="KBK4" s="74"/>
      <c r="KBL4" s="74"/>
      <c r="KBM4" s="74"/>
      <c r="KBN4" s="74"/>
      <c r="KBO4" s="74"/>
      <c r="KBP4" s="74"/>
      <c r="KBQ4" s="74"/>
      <c r="KBR4" s="74"/>
      <c r="KBS4" s="74"/>
      <c r="KBT4" s="74"/>
      <c r="KBU4" s="74"/>
      <c r="KBV4" s="74"/>
      <c r="KBW4" s="74"/>
      <c r="KBX4" s="74"/>
      <c r="KBY4" s="74"/>
      <c r="KBZ4" s="74"/>
      <c r="KCA4" s="74"/>
      <c r="KCB4" s="74"/>
      <c r="KCC4" s="74"/>
      <c r="KCD4" s="74"/>
      <c r="KCE4" s="74"/>
      <c r="KCF4" s="74"/>
      <c r="KCG4" s="74"/>
      <c r="KCH4" s="74"/>
      <c r="KCI4" s="74"/>
      <c r="KCJ4" s="74"/>
      <c r="KCK4" s="74"/>
      <c r="KCL4" s="74"/>
      <c r="KCM4" s="74"/>
      <c r="KCN4" s="74"/>
      <c r="KCO4" s="74"/>
      <c r="KCP4" s="74"/>
      <c r="KCQ4" s="74"/>
      <c r="KCR4" s="74"/>
      <c r="KCS4" s="74"/>
      <c r="KCT4" s="74"/>
      <c r="KCU4" s="74"/>
      <c r="KCV4" s="74"/>
      <c r="KCW4" s="74"/>
      <c r="KCX4" s="74"/>
      <c r="KCY4" s="74"/>
      <c r="KCZ4" s="74"/>
      <c r="KDA4" s="74"/>
      <c r="KDB4" s="74"/>
      <c r="KDC4" s="74"/>
      <c r="KDD4" s="74"/>
      <c r="KDE4" s="74"/>
      <c r="KDF4" s="74"/>
      <c r="KDG4" s="74"/>
      <c r="KDH4" s="74"/>
      <c r="KDI4" s="74"/>
      <c r="KDJ4" s="74"/>
      <c r="KDK4" s="74"/>
      <c r="KDL4" s="74"/>
      <c r="KDM4" s="74"/>
      <c r="KDN4" s="74"/>
      <c r="KDO4" s="74"/>
      <c r="KDP4" s="74"/>
      <c r="KDQ4" s="74"/>
      <c r="KDR4" s="74"/>
      <c r="KDS4" s="74"/>
      <c r="KDT4" s="74"/>
      <c r="KDU4" s="74"/>
      <c r="KDV4" s="74"/>
      <c r="KDW4" s="74"/>
      <c r="KDX4" s="74"/>
      <c r="KDY4" s="74"/>
      <c r="KDZ4" s="74"/>
      <c r="KEA4" s="74"/>
      <c r="KEB4" s="74"/>
      <c r="KEC4" s="74"/>
      <c r="KED4" s="74"/>
      <c r="KEE4" s="74"/>
      <c r="KEF4" s="74"/>
      <c r="KEG4" s="74"/>
      <c r="KEH4" s="74"/>
      <c r="KEI4" s="74"/>
      <c r="KEJ4" s="74"/>
      <c r="KEK4" s="74"/>
      <c r="KEL4" s="74"/>
      <c r="KEM4" s="74"/>
      <c r="KEN4" s="74"/>
      <c r="KEO4" s="74"/>
      <c r="KEP4" s="74"/>
      <c r="KEQ4" s="74"/>
      <c r="KER4" s="74"/>
      <c r="KES4" s="74"/>
      <c r="KET4" s="74"/>
      <c r="KEU4" s="74"/>
      <c r="KEV4" s="74"/>
      <c r="KEW4" s="74"/>
      <c r="KEX4" s="74"/>
      <c r="KEY4" s="74"/>
      <c r="KEZ4" s="74"/>
      <c r="KFA4" s="74"/>
      <c r="KFB4" s="74"/>
      <c r="KFC4" s="74"/>
      <c r="KFD4" s="74"/>
      <c r="KFE4" s="74"/>
      <c r="KFF4" s="74"/>
      <c r="KFG4" s="74"/>
      <c r="KFH4" s="74"/>
      <c r="KFI4" s="74"/>
      <c r="KFJ4" s="74"/>
      <c r="KFK4" s="74"/>
      <c r="KFL4" s="74"/>
      <c r="KFM4" s="74"/>
      <c r="KFN4" s="74"/>
      <c r="KFO4" s="74"/>
      <c r="KFP4" s="74"/>
      <c r="KFQ4" s="74"/>
      <c r="KFR4" s="74"/>
      <c r="KFS4" s="74"/>
      <c r="KFT4" s="74"/>
      <c r="KFU4" s="74"/>
      <c r="KFV4" s="74"/>
      <c r="KFW4" s="74"/>
      <c r="KFX4" s="74"/>
      <c r="KFY4" s="74"/>
      <c r="KFZ4" s="74"/>
      <c r="KGA4" s="74"/>
      <c r="KGB4" s="74"/>
      <c r="KGC4" s="74"/>
      <c r="KGD4" s="74"/>
      <c r="KGE4" s="74"/>
      <c r="KGF4" s="74"/>
      <c r="KGG4" s="74"/>
      <c r="KGH4" s="74"/>
      <c r="KGI4" s="74"/>
      <c r="KGJ4" s="74"/>
      <c r="KGK4" s="74"/>
      <c r="KGL4" s="74"/>
      <c r="KGM4" s="74"/>
      <c r="KGN4" s="74"/>
      <c r="KGO4" s="74"/>
      <c r="KGP4" s="74"/>
      <c r="KGQ4" s="74"/>
      <c r="KGR4" s="74"/>
      <c r="KGS4" s="74"/>
      <c r="KGT4" s="74"/>
      <c r="KGU4" s="74"/>
      <c r="KGV4" s="74"/>
      <c r="KGW4" s="74"/>
      <c r="KGX4" s="74"/>
      <c r="KGY4" s="74"/>
      <c r="KGZ4" s="74"/>
      <c r="KHA4" s="74"/>
      <c r="KHB4" s="74"/>
      <c r="KHC4" s="74"/>
      <c r="KHD4" s="74"/>
      <c r="KHE4" s="74"/>
      <c r="KHF4" s="74"/>
      <c r="KHG4" s="74"/>
      <c r="KHH4" s="74"/>
      <c r="KHI4" s="74"/>
      <c r="KHJ4" s="74"/>
      <c r="KHK4" s="74"/>
      <c r="KHL4" s="74"/>
      <c r="KHM4" s="74"/>
      <c r="KHN4" s="74"/>
      <c r="KHO4" s="74"/>
      <c r="KHP4" s="74"/>
      <c r="KHQ4" s="74"/>
      <c r="KHR4" s="74"/>
      <c r="KHS4" s="74"/>
      <c r="KHT4" s="74"/>
      <c r="KHU4" s="74"/>
      <c r="KHV4" s="74"/>
      <c r="KHW4" s="74"/>
      <c r="KHX4" s="74"/>
      <c r="KHY4" s="74"/>
      <c r="KHZ4" s="74"/>
      <c r="KIA4" s="74"/>
      <c r="KIB4" s="74"/>
      <c r="KIC4" s="74"/>
      <c r="KID4" s="74"/>
      <c r="KIE4" s="74"/>
      <c r="KIF4" s="74"/>
      <c r="KIG4" s="74"/>
      <c r="KIH4" s="74"/>
      <c r="KII4" s="74"/>
      <c r="KIJ4" s="74"/>
      <c r="KIK4" s="74"/>
      <c r="KIL4" s="74"/>
      <c r="KIM4" s="74"/>
      <c r="KIN4" s="74"/>
      <c r="KIO4" s="74"/>
      <c r="KIP4" s="74"/>
      <c r="KIQ4" s="74"/>
      <c r="KIR4" s="74"/>
      <c r="KIS4" s="74"/>
      <c r="KIT4" s="74"/>
      <c r="KIU4" s="74"/>
      <c r="KIV4" s="74"/>
      <c r="KIW4" s="74"/>
      <c r="KIX4" s="74"/>
      <c r="KIY4" s="74"/>
      <c r="KIZ4" s="74"/>
      <c r="KJA4" s="74"/>
      <c r="KJB4" s="74"/>
      <c r="KJC4" s="74"/>
      <c r="KJD4" s="74"/>
      <c r="KJE4" s="74"/>
      <c r="KJF4" s="74"/>
      <c r="KJG4" s="74"/>
      <c r="KJH4" s="74"/>
      <c r="KJI4" s="74"/>
      <c r="KJJ4" s="74"/>
      <c r="KJK4" s="74"/>
      <c r="KJL4" s="74"/>
      <c r="KJM4" s="74"/>
      <c r="KJN4" s="74"/>
      <c r="KJO4" s="74"/>
      <c r="KJP4" s="74"/>
      <c r="KJQ4" s="74"/>
      <c r="KJR4" s="74"/>
      <c r="KJS4" s="74"/>
      <c r="KJT4" s="74"/>
      <c r="KJU4" s="74"/>
      <c r="KJV4" s="74"/>
      <c r="KJW4" s="74"/>
      <c r="KJX4" s="74"/>
      <c r="KJY4" s="74"/>
      <c r="KJZ4" s="74"/>
      <c r="KKA4" s="74"/>
      <c r="KKB4" s="74"/>
      <c r="KKC4" s="74"/>
      <c r="KKD4" s="74"/>
      <c r="KKE4" s="74"/>
      <c r="KKF4" s="74"/>
      <c r="KKG4" s="74"/>
      <c r="KKH4" s="74"/>
      <c r="KKI4" s="74"/>
      <c r="KKJ4" s="74"/>
      <c r="KKK4" s="74"/>
      <c r="KKL4" s="74"/>
      <c r="KKM4" s="74"/>
      <c r="KKN4" s="74"/>
      <c r="KKO4" s="74"/>
      <c r="KKP4" s="74"/>
      <c r="KKQ4" s="74"/>
      <c r="KKR4" s="74"/>
      <c r="KKS4" s="74"/>
      <c r="KKT4" s="74"/>
      <c r="KKU4" s="74"/>
      <c r="KKV4" s="74"/>
      <c r="KKW4" s="74"/>
      <c r="KKX4" s="74"/>
      <c r="KKY4" s="74"/>
      <c r="KKZ4" s="74"/>
      <c r="KLA4" s="74"/>
      <c r="KLB4" s="74"/>
      <c r="KLC4" s="74"/>
      <c r="KLD4" s="74"/>
      <c r="KLE4" s="74"/>
      <c r="KLF4" s="74"/>
      <c r="KLG4" s="74"/>
      <c r="KLH4" s="74"/>
      <c r="KLI4" s="74"/>
      <c r="KLJ4" s="74"/>
      <c r="KLK4" s="74"/>
      <c r="KLL4" s="74"/>
      <c r="KLM4" s="74"/>
      <c r="KLN4" s="74"/>
      <c r="KLO4" s="74"/>
      <c r="KLP4" s="74"/>
      <c r="KLQ4" s="74"/>
      <c r="KLR4" s="74"/>
      <c r="KLS4" s="74"/>
      <c r="KLT4" s="74"/>
      <c r="KLU4" s="74"/>
      <c r="KLV4" s="74"/>
      <c r="KLW4" s="74"/>
      <c r="KLX4" s="74"/>
      <c r="KLY4" s="74"/>
      <c r="KLZ4" s="74"/>
      <c r="KMA4" s="74"/>
      <c r="KMB4" s="74"/>
      <c r="KMC4" s="74"/>
      <c r="KMD4" s="74"/>
      <c r="KME4" s="74"/>
      <c r="KMF4" s="74"/>
      <c r="KMG4" s="74"/>
      <c r="KMH4" s="74"/>
      <c r="KMI4" s="74"/>
      <c r="KMJ4" s="74"/>
      <c r="KMK4" s="74"/>
      <c r="KML4" s="74"/>
      <c r="KMM4" s="74"/>
      <c r="KMN4" s="74"/>
      <c r="KMO4" s="74"/>
      <c r="KMP4" s="74"/>
      <c r="KMQ4" s="74"/>
      <c r="KMR4" s="74"/>
      <c r="KMS4" s="74"/>
      <c r="KMT4" s="74"/>
      <c r="KMU4" s="74"/>
      <c r="KMV4" s="74"/>
      <c r="KMW4" s="74"/>
      <c r="KMX4" s="74"/>
      <c r="KMY4" s="74"/>
      <c r="KMZ4" s="74"/>
      <c r="KNA4" s="74"/>
      <c r="KNB4" s="74"/>
      <c r="KNC4" s="74"/>
      <c r="KND4" s="74"/>
      <c r="KNE4" s="74"/>
      <c r="KNF4" s="74"/>
      <c r="KNG4" s="74"/>
      <c r="KNH4" s="74"/>
      <c r="KNI4" s="74"/>
      <c r="KNJ4" s="74"/>
      <c r="KNK4" s="74"/>
      <c r="KNL4" s="74"/>
      <c r="KNM4" s="74"/>
      <c r="KNN4" s="74"/>
      <c r="KNO4" s="74"/>
      <c r="KNP4" s="74"/>
      <c r="KNQ4" s="74"/>
      <c r="KNR4" s="74"/>
      <c r="KNS4" s="74"/>
      <c r="KNT4" s="74"/>
      <c r="KNU4" s="74"/>
      <c r="KNV4" s="74"/>
      <c r="KNW4" s="74"/>
      <c r="KNX4" s="74"/>
      <c r="KNY4" s="74"/>
      <c r="KNZ4" s="74"/>
      <c r="KOA4" s="74"/>
      <c r="KOB4" s="74"/>
      <c r="KOC4" s="74"/>
      <c r="KOD4" s="74"/>
      <c r="KOE4" s="74"/>
      <c r="KOF4" s="74"/>
      <c r="KOG4" s="74"/>
      <c r="KOH4" s="74"/>
      <c r="KOI4" s="74"/>
      <c r="KOJ4" s="74"/>
      <c r="KOK4" s="74"/>
      <c r="KOL4" s="74"/>
      <c r="KOM4" s="74"/>
      <c r="KON4" s="74"/>
      <c r="KOO4" s="74"/>
      <c r="KOP4" s="74"/>
      <c r="KOQ4" s="74"/>
      <c r="KOR4" s="74"/>
      <c r="KOS4" s="74"/>
      <c r="KOT4" s="74"/>
      <c r="KOU4" s="74"/>
      <c r="KOV4" s="74"/>
      <c r="KOW4" s="74"/>
      <c r="KOX4" s="74"/>
      <c r="KOY4" s="74"/>
      <c r="KOZ4" s="74"/>
      <c r="KPA4" s="74"/>
      <c r="KPB4" s="74"/>
      <c r="KPC4" s="74"/>
      <c r="KPD4" s="74"/>
      <c r="KPE4" s="74"/>
      <c r="KPF4" s="74"/>
      <c r="KPG4" s="74"/>
      <c r="KPH4" s="74"/>
      <c r="KPI4" s="74"/>
      <c r="KPJ4" s="74"/>
      <c r="KPK4" s="74"/>
      <c r="KPL4" s="74"/>
      <c r="KPM4" s="74"/>
      <c r="KPN4" s="74"/>
      <c r="KPO4" s="74"/>
      <c r="KPP4" s="74"/>
      <c r="KPQ4" s="74"/>
      <c r="KPR4" s="74"/>
      <c r="KPS4" s="74"/>
      <c r="KPT4" s="74"/>
      <c r="KPU4" s="74"/>
      <c r="KPV4" s="74"/>
      <c r="KPW4" s="74"/>
      <c r="KPX4" s="74"/>
      <c r="KPY4" s="74"/>
      <c r="KPZ4" s="74"/>
      <c r="KQA4" s="74"/>
      <c r="KQB4" s="74"/>
      <c r="KQC4" s="74"/>
      <c r="KQD4" s="74"/>
      <c r="KQE4" s="74"/>
      <c r="KQF4" s="74"/>
      <c r="KQG4" s="74"/>
      <c r="KQH4" s="74"/>
      <c r="KQI4" s="74"/>
      <c r="KQJ4" s="74"/>
      <c r="KQK4" s="74"/>
      <c r="KQL4" s="74"/>
      <c r="KQM4" s="74"/>
      <c r="KQN4" s="74"/>
      <c r="KQO4" s="74"/>
      <c r="KQP4" s="74"/>
      <c r="KQQ4" s="74"/>
      <c r="KQR4" s="74"/>
      <c r="KQS4" s="74"/>
      <c r="KQT4" s="74"/>
      <c r="KQU4" s="74"/>
      <c r="KQV4" s="74"/>
      <c r="KQW4" s="74"/>
      <c r="KQX4" s="74"/>
      <c r="KQY4" s="74"/>
      <c r="KQZ4" s="74"/>
      <c r="KRA4" s="74"/>
      <c r="KRB4" s="74"/>
      <c r="KRC4" s="74"/>
      <c r="KRD4" s="74"/>
      <c r="KRE4" s="74"/>
      <c r="KRF4" s="74"/>
      <c r="KRG4" s="74"/>
      <c r="KRH4" s="74"/>
      <c r="KRI4" s="74"/>
      <c r="KRJ4" s="74"/>
      <c r="KRK4" s="74"/>
      <c r="KRL4" s="74"/>
      <c r="KRM4" s="74"/>
      <c r="KRN4" s="74"/>
      <c r="KRO4" s="74"/>
      <c r="KRP4" s="74"/>
      <c r="KRQ4" s="74"/>
      <c r="KRR4" s="74"/>
      <c r="KRS4" s="74"/>
      <c r="KRT4" s="74"/>
      <c r="KRU4" s="74"/>
      <c r="KRV4" s="74"/>
      <c r="KRW4" s="74"/>
      <c r="KRX4" s="74"/>
      <c r="KRY4" s="74"/>
      <c r="KRZ4" s="74"/>
      <c r="KSA4" s="74"/>
      <c r="KSB4" s="74"/>
      <c r="KSC4" s="74"/>
      <c r="KSD4" s="74"/>
      <c r="KSE4" s="74"/>
      <c r="KSF4" s="74"/>
      <c r="KSG4" s="74"/>
      <c r="KSH4" s="74"/>
      <c r="KSI4" s="74"/>
      <c r="KSJ4" s="74"/>
      <c r="KSK4" s="74"/>
      <c r="KSL4" s="74"/>
      <c r="KSM4" s="74"/>
      <c r="KSN4" s="74"/>
      <c r="KSO4" s="74"/>
      <c r="KSP4" s="74"/>
      <c r="KSQ4" s="74"/>
      <c r="KSR4" s="74"/>
      <c r="KSS4" s="74"/>
      <c r="KST4" s="74"/>
      <c r="KSU4" s="74"/>
      <c r="KSV4" s="74"/>
      <c r="KSW4" s="74"/>
      <c r="KSX4" s="74"/>
      <c r="KSY4" s="74"/>
      <c r="KSZ4" s="74"/>
      <c r="KTA4" s="74"/>
      <c r="KTB4" s="74"/>
      <c r="KTC4" s="74"/>
      <c r="KTD4" s="74"/>
      <c r="KTE4" s="74"/>
      <c r="KTF4" s="74"/>
      <c r="KTG4" s="74"/>
      <c r="KTH4" s="74"/>
      <c r="KTI4" s="74"/>
      <c r="KTJ4" s="74"/>
      <c r="KTK4" s="74"/>
      <c r="KTL4" s="74"/>
      <c r="KTM4" s="74"/>
      <c r="KTN4" s="74"/>
      <c r="KTO4" s="74"/>
      <c r="KTP4" s="74"/>
      <c r="KTQ4" s="74"/>
      <c r="KTR4" s="74"/>
      <c r="KTS4" s="74"/>
      <c r="KTT4" s="74"/>
      <c r="KTU4" s="74"/>
      <c r="KTV4" s="74"/>
      <c r="KTW4" s="74"/>
      <c r="KTX4" s="74"/>
      <c r="KTY4" s="74"/>
      <c r="KTZ4" s="74"/>
      <c r="KUA4" s="74"/>
      <c r="KUB4" s="74"/>
      <c r="KUC4" s="74"/>
      <c r="KUD4" s="74"/>
      <c r="KUE4" s="74"/>
      <c r="KUF4" s="74"/>
      <c r="KUG4" s="74"/>
      <c r="KUH4" s="74"/>
      <c r="KUI4" s="74"/>
      <c r="KUJ4" s="74"/>
      <c r="KUK4" s="74"/>
      <c r="KUL4" s="74"/>
      <c r="KUM4" s="74"/>
      <c r="KUN4" s="74"/>
      <c r="KUO4" s="74"/>
      <c r="KUP4" s="74"/>
      <c r="KUQ4" s="74"/>
      <c r="KUR4" s="74"/>
      <c r="KUS4" s="74"/>
      <c r="KUT4" s="74"/>
      <c r="KUU4" s="74"/>
      <c r="KUV4" s="74"/>
      <c r="KUW4" s="74"/>
      <c r="KUX4" s="74"/>
      <c r="KUY4" s="74"/>
      <c r="KUZ4" s="74"/>
      <c r="KVA4" s="74"/>
      <c r="KVB4" s="74"/>
      <c r="KVC4" s="74"/>
      <c r="KVD4" s="74"/>
      <c r="KVE4" s="74"/>
      <c r="KVF4" s="74"/>
      <c r="KVG4" s="74"/>
      <c r="KVH4" s="74"/>
      <c r="KVI4" s="74"/>
      <c r="KVJ4" s="74"/>
      <c r="KVK4" s="74"/>
      <c r="KVL4" s="74"/>
      <c r="KVM4" s="74"/>
      <c r="KVN4" s="74"/>
      <c r="KVO4" s="74"/>
      <c r="KVP4" s="74"/>
      <c r="KVQ4" s="74"/>
      <c r="KVR4" s="74"/>
      <c r="KVS4" s="74"/>
      <c r="KVT4" s="74"/>
      <c r="KVU4" s="74"/>
      <c r="KVV4" s="74"/>
      <c r="KVW4" s="74"/>
      <c r="KVX4" s="74"/>
      <c r="KVY4" s="74"/>
      <c r="KVZ4" s="74"/>
      <c r="KWA4" s="74"/>
      <c r="KWB4" s="74"/>
      <c r="KWC4" s="74"/>
      <c r="KWD4" s="74"/>
      <c r="KWE4" s="74"/>
      <c r="KWF4" s="74"/>
      <c r="KWG4" s="74"/>
      <c r="KWH4" s="74"/>
      <c r="KWI4" s="74"/>
      <c r="KWJ4" s="74"/>
      <c r="KWK4" s="74"/>
      <c r="KWL4" s="74"/>
      <c r="KWM4" s="74"/>
      <c r="KWN4" s="74"/>
      <c r="KWO4" s="74"/>
      <c r="KWP4" s="74"/>
      <c r="KWQ4" s="74"/>
      <c r="KWR4" s="74"/>
      <c r="KWS4" s="74"/>
      <c r="KWT4" s="74"/>
      <c r="KWU4" s="74"/>
      <c r="KWV4" s="74"/>
      <c r="KWW4" s="74"/>
      <c r="KWX4" s="74"/>
      <c r="KWY4" s="74"/>
      <c r="KWZ4" s="74"/>
      <c r="KXA4" s="74"/>
      <c r="KXB4" s="74"/>
      <c r="KXC4" s="74"/>
      <c r="KXD4" s="74"/>
      <c r="KXE4" s="74"/>
      <c r="KXF4" s="74"/>
      <c r="KXG4" s="74"/>
      <c r="KXH4" s="74"/>
      <c r="KXI4" s="74"/>
      <c r="KXJ4" s="74"/>
      <c r="KXK4" s="74"/>
      <c r="KXL4" s="74"/>
      <c r="KXM4" s="74"/>
      <c r="KXN4" s="74"/>
      <c r="KXO4" s="74"/>
      <c r="KXP4" s="74"/>
      <c r="KXQ4" s="74"/>
      <c r="KXR4" s="74"/>
      <c r="KXS4" s="74"/>
      <c r="KXT4" s="74"/>
      <c r="KXU4" s="74"/>
      <c r="KXV4" s="74"/>
      <c r="KXW4" s="74"/>
      <c r="KXX4" s="74"/>
      <c r="KXY4" s="74"/>
      <c r="KXZ4" s="74"/>
      <c r="KYA4" s="74"/>
      <c r="KYB4" s="74"/>
      <c r="KYC4" s="74"/>
      <c r="KYD4" s="74"/>
      <c r="KYE4" s="74"/>
      <c r="KYF4" s="74"/>
      <c r="KYG4" s="74"/>
      <c r="KYH4" s="74"/>
      <c r="KYI4" s="74"/>
      <c r="KYJ4" s="74"/>
      <c r="KYK4" s="74"/>
      <c r="KYL4" s="74"/>
      <c r="KYM4" s="74"/>
      <c r="KYN4" s="74"/>
      <c r="KYO4" s="74"/>
      <c r="KYP4" s="74"/>
      <c r="KYQ4" s="74"/>
      <c r="KYR4" s="74"/>
      <c r="KYS4" s="74"/>
      <c r="KYT4" s="74"/>
      <c r="KYU4" s="74"/>
      <c r="KYV4" s="74"/>
      <c r="KYW4" s="74"/>
      <c r="KYX4" s="74"/>
      <c r="KYY4" s="74"/>
      <c r="KYZ4" s="74"/>
      <c r="KZA4" s="74"/>
      <c r="KZB4" s="74"/>
      <c r="KZC4" s="74"/>
      <c r="KZD4" s="74"/>
      <c r="KZE4" s="74"/>
      <c r="KZF4" s="74"/>
      <c r="KZG4" s="74"/>
      <c r="KZH4" s="74"/>
      <c r="KZI4" s="74"/>
      <c r="KZJ4" s="74"/>
      <c r="KZK4" s="74"/>
      <c r="KZL4" s="74"/>
      <c r="KZM4" s="74"/>
      <c r="KZN4" s="74"/>
      <c r="KZO4" s="74"/>
      <c r="KZP4" s="74"/>
      <c r="KZQ4" s="74"/>
      <c r="KZR4" s="74"/>
      <c r="KZS4" s="74"/>
      <c r="KZT4" s="74"/>
      <c r="KZU4" s="74"/>
      <c r="KZV4" s="74"/>
      <c r="KZW4" s="74"/>
      <c r="KZX4" s="74"/>
      <c r="KZY4" s="74"/>
      <c r="KZZ4" s="74"/>
      <c r="LAA4" s="74"/>
      <c r="LAB4" s="74"/>
      <c r="LAC4" s="74"/>
      <c r="LAD4" s="74"/>
      <c r="LAE4" s="74"/>
      <c r="LAF4" s="74"/>
      <c r="LAG4" s="74"/>
      <c r="LAH4" s="74"/>
      <c r="LAI4" s="74"/>
      <c r="LAJ4" s="74"/>
      <c r="LAK4" s="74"/>
      <c r="LAL4" s="74"/>
      <c r="LAM4" s="74"/>
      <c r="LAN4" s="74"/>
      <c r="LAO4" s="74"/>
      <c r="LAP4" s="74"/>
      <c r="LAQ4" s="74"/>
      <c r="LAR4" s="74"/>
      <c r="LAS4" s="74"/>
      <c r="LAT4" s="74"/>
      <c r="LAU4" s="74"/>
      <c r="LAV4" s="74"/>
      <c r="LAW4" s="74"/>
      <c r="LAX4" s="74"/>
      <c r="LAY4" s="74"/>
      <c r="LAZ4" s="74"/>
      <c r="LBA4" s="74"/>
      <c r="LBB4" s="74"/>
      <c r="LBC4" s="74"/>
      <c r="LBD4" s="74"/>
      <c r="LBE4" s="74"/>
      <c r="LBF4" s="74"/>
      <c r="LBG4" s="74"/>
      <c r="LBH4" s="74"/>
      <c r="LBI4" s="74"/>
      <c r="LBJ4" s="74"/>
      <c r="LBK4" s="74"/>
      <c r="LBL4" s="74"/>
      <c r="LBM4" s="74"/>
      <c r="LBN4" s="74"/>
      <c r="LBO4" s="74"/>
      <c r="LBP4" s="74"/>
      <c r="LBQ4" s="74"/>
      <c r="LBR4" s="74"/>
      <c r="LBS4" s="74"/>
      <c r="LBT4" s="74"/>
      <c r="LBU4" s="74"/>
      <c r="LBV4" s="74"/>
      <c r="LBW4" s="74"/>
      <c r="LBX4" s="74"/>
      <c r="LBY4" s="74"/>
      <c r="LBZ4" s="74"/>
      <c r="LCA4" s="74"/>
      <c r="LCB4" s="74"/>
      <c r="LCC4" s="74"/>
      <c r="LCD4" s="74"/>
      <c r="LCE4" s="74"/>
      <c r="LCF4" s="74"/>
      <c r="LCG4" s="74"/>
      <c r="LCH4" s="74"/>
      <c r="LCI4" s="74"/>
      <c r="LCJ4" s="74"/>
      <c r="LCK4" s="74"/>
      <c r="LCL4" s="74"/>
      <c r="LCM4" s="74"/>
      <c r="LCN4" s="74"/>
      <c r="LCO4" s="74"/>
      <c r="LCP4" s="74"/>
      <c r="LCQ4" s="74"/>
      <c r="LCR4" s="74"/>
      <c r="LCS4" s="74"/>
      <c r="LCT4" s="74"/>
      <c r="LCU4" s="74"/>
      <c r="LCV4" s="74"/>
      <c r="LCW4" s="74"/>
      <c r="LCX4" s="74"/>
      <c r="LCY4" s="74"/>
      <c r="LCZ4" s="74"/>
      <c r="LDA4" s="74"/>
      <c r="LDB4" s="74"/>
      <c r="LDC4" s="74"/>
      <c r="LDD4" s="74"/>
      <c r="LDE4" s="74"/>
      <c r="LDF4" s="74"/>
      <c r="LDG4" s="74"/>
      <c r="LDH4" s="74"/>
      <c r="LDI4" s="74"/>
      <c r="LDJ4" s="74"/>
      <c r="LDK4" s="74"/>
      <c r="LDL4" s="74"/>
      <c r="LDM4" s="74"/>
      <c r="LDN4" s="74"/>
      <c r="LDO4" s="74"/>
      <c r="LDP4" s="74"/>
      <c r="LDQ4" s="74"/>
      <c r="LDR4" s="74"/>
      <c r="LDS4" s="74"/>
      <c r="LDT4" s="74"/>
      <c r="LDU4" s="74"/>
      <c r="LDV4" s="74"/>
      <c r="LDW4" s="74"/>
      <c r="LDX4" s="74"/>
      <c r="LDY4" s="74"/>
      <c r="LDZ4" s="74"/>
      <c r="LEA4" s="74"/>
      <c r="LEB4" s="74"/>
      <c r="LEC4" s="74"/>
      <c r="LED4" s="74"/>
      <c r="LEE4" s="74"/>
      <c r="LEF4" s="74"/>
      <c r="LEG4" s="74"/>
      <c r="LEH4" s="74"/>
      <c r="LEI4" s="74"/>
      <c r="LEJ4" s="74"/>
      <c r="LEK4" s="74"/>
      <c r="LEL4" s="74"/>
      <c r="LEM4" s="74"/>
      <c r="LEN4" s="74"/>
      <c r="LEO4" s="74"/>
      <c r="LEP4" s="74"/>
      <c r="LEQ4" s="74"/>
      <c r="LER4" s="74"/>
      <c r="LES4" s="74"/>
      <c r="LET4" s="74"/>
      <c r="LEU4" s="74"/>
      <c r="LEV4" s="74"/>
      <c r="LEW4" s="74"/>
      <c r="LEX4" s="74"/>
      <c r="LEY4" s="74"/>
      <c r="LEZ4" s="74"/>
      <c r="LFA4" s="74"/>
      <c r="LFB4" s="74"/>
      <c r="LFC4" s="74"/>
      <c r="LFD4" s="74"/>
      <c r="LFE4" s="74"/>
      <c r="LFF4" s="74"/>
      <c r="LFG4" s="74"/>
      <c r="LFH4" s="74"/>
      <c r="LFI4" s="74"/>
      <c r="LFJ4" s="74"/>
      <c r="LFK4" s="74"/>
      <c r="LFL4" s="74"/>
      <c r="LFM4" s="74"/>
      <c r="LFN4" s="74"/>
      <c r="LFO4" s="74"/>
      <c r="LFP4" s="74"/>
      <c r="LFQ4" s="74"/>
      <c r="LFR4" s="74"/>
      <c r="LFS4" s="74"/>
      <c r="LFT4" s="74"/>
      <c r="LFU4" s="74"/>
      <c r="LFV4" s="74"/>
      <c r="LFW4" s="74"/>
      <c r="LFX4" s="74"/>
      <c r="LFY4" s="74"/>
      <c r="LFZ4" s="74"/>
      <c r="LGA4" s="74"/>
      <c r="LGB4" s="74"/>
      <c r="LGC4" s="74"/>
      <c r="LGD4" s="74"/>
      <c r="LGE4" s="74"/>
      <c r="LGF4" s="74"/>
      <c r="LGG4" s="74"/>
      <c r="LGH4" s="74"/>
      <c r="LGI4" s="74"/>
      <c r="LGJ4" s="74"/>
      <c r="LGK4" s="74"/>
      <c r="LGL4" s="74"/>
      <c r="LGM4" s="74"/>
      <c r="LGN4" s="74"/>
      <c r="LGO4" s="74"/>
      <c r="LGP4" s="74"/>
      <c r="LGQ4" s="74"/>
      <c r="LGR4" s="74"/>
      <c r="LGS4" s="74"/>
      <c r="LGT4" s="74"/>
      <c r="LGU4" s="74"/>
      <c r="LGV4" s="74"/>
      <c r="LGW4" s="74"/>
      <c r="LGX4" s="74"/>
      <c r="LGY4" s="74"/>
      <c r="LGZ4" s="74"/>
      <c r="LHA4" s="74"/>
      <c r="LHB4" s="74"/>
      <c r="LHC4" s="74"/>
      <c r="LHD4" s="74"/>
      <c r="LHE4" s="74"/>
      <c r="LHF4" s="74"/>
      <c r="LHG4" s="74"/>
      <c r="LHH4" s="74"/>
      <c r="LHI4" s="74"/>
      <c r="LHJ4" s="74"/>
      <c r="LHK4" s="74"/>
      <c r="LHL4" s="74"/>
      <c r="LHM4" s="74"/>
      <c r="LHN4" s="74"/>
      <c r="LHO4" s="74"/>
      <c r="LHP4" s="74"/>
      <c r="LHQ4" s="74"/>
      <c r="LHR4" s="74"/>
      <c r="LHS4" s="74"/>
      <c r="LHT4" s="74"/>
      <c r="LHU4" s="74"/>
      <c r="LHV4" s="74"/>
      <c r="LHW4" s="74"/>
      <c r="LHX4" s="74"/>
      <c r="LHY4" s="74"/>
      <c r="LHZ4" s="74"/>
      <c r="LIA4" s="74"/>
      <c r="LIB4" s="74"/>
      <c r="LIC4" s="74"/>
      <c r="LID4" s="74"/>
      <c r="LIE4" s="74"/>
      <c r="LIF4" s="74"/>
      <c r="LIG4" s="74"/>
      <c r="LIH4" s="74"/>
      <c r="LII4" s="74"/>
      <c r="LIJ4" s="74"/>
      <c r="LIK4" s="74"/>
      <c r="LIL4" s="74"/>
      <c r="LIM4" s="74"/>
      <c r="LIN4" s="74"/>
      <c r="LIO4" s="74"/>
      <c r="LIP4" s="74"/>
      <c r="LIQ4" s="74"/>
      <c r="LIR4" s="74"/>
      <c r="LIS4" s="74"/>
      <c r="LIT4" s="74"/>
      <c r="LIU4" s="74"/>
      <c r="LIV4" s="74"/>
      <c r="LIW4" s="74"/>
      <c r="LIX4" s="74"/>
      <c r="LIY4" s="74"/>
      <c r="LIZ4" s="74"/>
      <c r="LJA4" s="74"/>
      <c r="LJB4" s="74"/>
      <c r="LJC4" s="74"/>
      <c r="LJD4" s="74"/>
      <c r="LJE4" s="74"/>
      <c r="LJF4" s="74"/>
      <c r="LJG4" s="74"/>
      <c r="LJH4" s="74"/>
      <c r="LJI4" s="74"/>
      <c r="LJJ4" s="74"/>
      <c r="LJK4" s="74"/>
      <c r="LJL4" s="74"/>
      <c r="LJM4" s="74"/>
      <c r="LJN4" s="74"/>
      <c r="LJO4" s="74"/>
      <c r="LJP4" s="74"/>
      <c r="LJQ4" s="74"/>
      <c r="LJR4" s="74"/>
      <c r="LJS4" s="74"/>
      <c r="LJT4" s="74"/>
      <c r="LJU4" s="74"/>
      <c r="LJV4" s="74"/>
      <c r="LJW4" s="74"/>
      <c r="LJX4" s="74"/>
      <c r="LJY4" s="74"/>
      <c r="LJZ4" s="74"/>
      <c r="LKA4" s="74"/>
      <c r="LKB4" s="74"/>
      <c r="LKC4" s="74"/>
      <c r="LKD4" s="74"/>
      <c r="LKE4" s="74"/>
      <c r="LKF4" s="74"/>
      <c r="LKG4" s="74"/>
      <c r="LKH4" s="74"/>
      <c r="LKI4" s="74"/>
      <c r="LKJ4" s="74"/>
      <c r="LKK4" s="74"/>
      <c r="LKL4" s="74"/>
      <c r="LKM4" s="74"/>
      <c r="LKN4" s="74"/>
      <c r="LKO4" s="74"/>
      <c r="LKP4" s="74"/>
      <c r="LKQ4" s="74"/>
      <c r="LKR4" s="74"/>
      <c r="LKS4" s="74"/>
      <c r="LKT4" s="74"/>
      <c r="LKU4" s="74"/>
      <c r="LKV4" s="74"/>
      <c r="LKW4" s="74"/>
      <c r="LKX4" s="74"/>
      <c r="LKY4" s="74"/>
      <c r="LKZ4" s="74"/>
      <c r="LLA4" s="74"/>
      <c r="LLB4" s="74"/>
      <c r="LLC4" s="74"/>
      <c r="LLD4" s="74"/>
      <c r="LLE4" s="74"/>
      <c r="LLF4" s="74"/>
      <c r="LLG4" s="74"/>
      <c r="LLH4" s="74"/>
      <c r="LLI4" s="74"/>
      <c r="LLJ4" s="74"/>
      <c r="LLK4" s="74"/>
      <c r="LLL4" s="74"/>
      <c r="LLM4" s="74"/>
      <c r="LLN4" s="74"/>
      <c r="LLO4" s="74"/>
      <c r="LLP4" s="74"/>
      <c r="LLQ4" s="74"/>
      <c r="LLR4" s="74"/>
      <c r="LLS4" s="74"/>
      <c r="LLT4" s="74"/>
      <c r="LLU4" s="74"/>
      <c r="LLV4" s="74"/>
      <c r="LLW4" s="74"/>
      <c r="LLX4" s="74"/>
      <c r="LLY4" s="74"/>
      <c r="LLZ4" s="74"/>
      <c r="LMA4" s="74"/>
      <c r="LMB4" s="74"/>
      <c r="LMC4" s="74"/>
      <c r="LMD4" s="74"/>
      <c r="LME4" s="74"/>
      <c r="LMF4" s="74"/>
      <c r="LMG4" s="74"/>
      <c r="LMH4" s="74"/>
      <c r="LMI4" s="74"/>
      <c r="LMJ4" s="74"/>
      <c r="LMK4" s="74"/>
      <c r="LML4" s="74"/>
      <c r="LMM4" s="74"/>
      <c r="LMN4" s="74"/>
      <c r="LMO4" s="74"/>
      <c r="LMP4" s="74"/>
      <c r="LMQ4" s="74"/>
      <c r="LMR4" s="74"/>
      <c r="LMS4" s="74"/>
      <c r="LMT4" s="74"/>
      <c r="LMU4" s="74"/>
      <c r="LMV4" s="74"/>
      <c r="LMW4" s="74"/>
      <c r="LMX4" s="74"/>
      <c r="LMY4" s="74"/>
      <c r="LMZ4" s="74"/>
      <c r="LNA4" s="74"/>
      <c r="LNB4" s="74"/>
      <c r="LNC4" s="74"/>
      <c r="LND4" s="74"/>
      <c r="LNE4" s="74"/>
      <c r="LNF4" s="74"/>
      <c r="LNG4" s="74"/>
      <c r="LNH4" s="74"/>
      <c r="LNI4" s="74"/>
      <c r="LNJ4" s="74"/>
      <c r="LNK4" s="74"/>
      <c r="LNL4" s="74"/>
      <c r="LNM4" s="74"/>
      <c r="LNN4" s="74"/>
      <c r="LNO4" s="74"/>
      <c r="LNP4" s="74"/>
      <c r="LNQ4" s="74"/>
      <c r="LNR4" s="74"/>
      <c r="LNS4" s="74"/>
      <c r="LNT4" s="74"/>
      <c r="LNU4" s="74"/>
      <c r="LNV4" s="74"/>
      <c r="LNW4" s="74"/>
      <c r="LNX4" s="74"/>
      <c r="LNY4" s="74"/>
      <c r="LNZ4" s="74"/>
      <c r="LOA4" s="74"/>
      <c r="LOB4" s="74"/>
      <c r="LOC4" s="74"/>
      <c r="LOD4" s="74"/>
      <c r="LOE4" s="74"/>
      <c r="LOF4" s="74"/>
      <c r="LOG4" s="74"/>
      <c r="LOH4" s="74"/>
      <c r="LOI4" s="74"/>
      <c r="LOJ4" s="74"/>
      <c r="LOK4" s="74"/>
      <c r="LOL4" s="74"/>
      <c r="LOM4" s="74"/>
      <c r="LON4" s="74"/>
      <c r="LOO4" s="74"/>
      <c r="LOP4" s="74"/>
      <c r="LOQ4" s="74"/>
      <c r="LOR4" s="74"/>
      <c r="LOS4" s="74"/>
      <c r="LOT4" s="74"/>
      <c r="LOU4" s="74"/>
      <c r="LOV4" s="74"/>
      <c r="LOW4" s="74"/>
      <c r="LOX4" s="74"/>
      <c r="LOY4" s="74"/>
      <c r="LOZ4" s="74"/>
      <c r="LPA4" s="74"/>
      <c r="LPB4" s="74"/>
      <c r="LPC4" s="74"/>
      <c r="LPD4" s="74"/>
      <c r="LPE4" s="74"/>
      <c r="LPF4" s="74"/>
      <c r="LPG4" s="74"/>
      <c r="LPH4" s="74"/>
      <c r="LPI4" s="74"/>
      <c r="LPJ4" s="74"/>
      <c r="LPK4" s="74"/>
      <c r="LPL4" s="74"/>
      <c r="LPM4" s="74"/>
      <c r="LPN4" s="74"/>
      <c r="LPO4" s="74"/>
      <c r="LPP4" s="74"/>
      <c r="LPQ4" s="74"/>
      <c r="LPR4" s="74"/>
      <c r="LPS4" s="74"/>
      <c r="LPT4" s="74"/>
      <c r="LPU4" s="74"/>
      <c r="LPV4" s="74"/>
      <c r="LPW4" s="74"/>
      <c r="LPX4" s="74"/>
      <c r="LPY4" s="74"/>
      <c r="LPZ4" s="74"/>
      <c r="LQA4" s="74"/>
      <c r="LQB4" s="74"/>
      <c r="LQC4" s="74"/>
      <c r="LQD4" s="74"/>
      <c r="LQE4" s="74"/>
      <c r="LQF4" s="74"/>
      <c r="LQG4" s="74"/>
      <c r="LQH4" s="74"/>
      <c r="LQI4" s="74"/>
      <c r="LQJ4" s="74"/>
      <c r="LQK4" s="74"/>
      <c r="LQL4" s="74"/>
      <c r="LQM4" s="74"/>
      <c r="LQN4" s="74"/>
      <c r="LQO4" s="74"/>
      <c r="LQP4" s="74"/>
      <c r="LQQ4" s="74"/>
      <c r="LQR4" s="74"/>
      <c r="LQS4" s="74"/>
      <c r="LQT4" s="74"/>
      <c r="LQU4" s="74"/>
      <c r="LQV4" s="74"/>
      <c r="LQW4" s="74"/>
      <c r="LQX4" s="74"/>
      <c r="LQY4" s="74"/>
      <c r="LQZ4" s="74"/>
      <c r="LRA4" s="74"/>
      <c r="LRB4" s="74"/>
      <c r="LRC4" s="74"/>
      <c r="LRD4" s="74"/>
      <c r="LRE4" s="74"/>
      <c r="LRF4" s="74"/>
      <c r="LRG4" s="74"/>
      <c r="LRH4" s="74"/>
      <c r="LRI4" s="74"/>
      <c r="LRJ4" s="74"/>
      <c r="LRK4" s="74"/>
      <c r="LRL4" s="74"/>
      <c r="LRM4" s="74"/>
      <c r="LRN4" s="74"/>
      <c r="LRO4" s="74"/>
      <c r="LRP4" s="74"/>
      <c r="LRQ4" s="74"/>
      <c r="LRR4" s="74"/>
      <c r="LRS4" s="74"/>
      <c r="LRT4" s="74"/>
      <c r="LRU4" s="74"/>
      <c r="LRV4" s="74"/>
      <c r="LRW4" s="74"/>
      <c r="LRX4" s="74"/>
      <c r="LRY4" s="74"/>
      <c r="LRZ4" s="74"/>
      <c r="LSA4" s="74"/>
      <c r="LSB4" s="74"/>
      <c r="LSC4" s="74"/>
      <c r="LSD4" s="74"/>
      <c r="LSE4" s="74"/>
      <c r="LSF4" s="74"/>
      <c r="LSG4" s="74"/>
      <c r="LSH4" s="74"/>
      <c r="LSI4" s="74"/>
      <c r="LSJ4" s="74"/>
      <c r="LSK4" s="74"/>
      <c r="LSL4" s="74"/>
      <c r="LSM4" s="74"/>
      <c r="LSN4" s="74"/>
      <c r="LSO4" s="74"/>
      <c r="LSP4" s="74"/>
      <c r="LSQ4" s="74"/>
      <c r="LSR4" s="74"/>
      <c r="LSS4" s="74"/>
      <c r="LST4" s="74"/>
      <c r="LSU4" s="74"/>
      <c r="LSV4" s="74"/>
      <c r="LSW4" s="74"/>
      <c r="LSX4" s="74"/>
      <c r="LSY4" s="74"/>
      <c r="LSZ4" s="74"/>
      <c r="LTA4" s="74"/>
      <c r="LTB4" s="74"/>
      <c r="LTC4" s="74"/>
      <c r="LTD4" s="74"/>
      <c r="LTE4" s="74"/>
      <c r="LTF4" s="74"/>
      <c r="LTG4" s="74"/>
      <c r="LTH4" s="74"/>
      <c r="LTI4" s="74"/>
      <c r="LTJ4" s="74"/>
      <c r="LTK4" s="74"/>
      <c r="LTL4" s="74"/>
      <c r="LTM4" s="74"/>
      <c r="LTN4" s="74"/>
      <c r="LTO4" s="74"/>
      <c r="LTP4" s="74"/>
      <c r="LTQ4" s="74"/>
      <c r="LTR4" s="74"/>
      <c r="LTS4" s="74"/>
      <c r="LTT4" s="74"/>
      <c r="LTU4" s="74"/>
      <c r="LTV4" s="74"/>
      <c r="LTW4" s="74"/>
      <c r="LTX4" s="74"/>
      <c r="LTY4" s="74"/>
      <c r="LTZ4" s="74"/>
      <c r="LUA4" s="74"/>
      <c r="LUB4" s="74"/>
      <c r="LUC4" s="74"/>
      <c r="LUD4" s="74"/>
      <c r="LUE4" s="74"/>
      <c r="LUF4" s="74"/>
      <c r="LUG4" s="74"/>
      <c r="LUH4" s="74"/>
      <c r="LUI4" s="74"/>
      <c r="LUJ4" s="74"/>
      <c r="LUK4" s="74"/>
      <c r="LUL4" s="74"/>
      <c r="LUM4" s="74"/>
      <c r="LUN4" s="74"/>
      <c r="LUO4" s="74"/>
      <c r="LUP4" s="74"/>
      <c r="LUQ4" s="74"/>
      <c r="LUR4" s="74"/>
      <c r="LUS4" s="74"/>
      <c r="LUT4" s="74"/>
      <c r="LUU4" s="74"/>
      <c r="LUV4" s="74"/>
      <c r="LUW4" s="74"/>
      <c r="LUX4" s="74"/>
      <c r="LUY4" s="74"/>
      <c r="LUZ4" s="74"/>
      <c r="LVA4" s="74"/>
      <c r="LVB4" s="74"/>
      <c r="LVC4" s="74"/>
      <c r="LVD4" s="74"/>
      <c r="LVE4" s="74"/>
      <c r="LVF4" s="74"/>
      <c r="LVG4" s="74"/>
      <c r="LVH4" s="74"/>
      <c r="LVI4" s="74"/>
      <c r="LVJ4" s="74"/>
      <c r="LVK4" s="74"/>
      <c r="LVL4" s="74"/>
      <c r="LVM4" s="74"/>
      <c r="LVN4" s="74"/>
      <c r="LVO4" s="74"/>
      <c r="LVP4" s="74"/>
      <c r="LVQ4" s="74"/>
      <c r="LVR4" s="74"/>
      <c r="LVS4" s="74"/>
      <c r="LVT4" s="74"/>
      <c r="LVU4" s="74"/>
      <c r="LVV4" s="74"/>
      <c r="LVW4" s="74"/>
      <c r="LVX4" s="74"/>
      <c r="LVY4" s="74"/>
      <c r="LVZ4" s="74"/>
      <c r="LWA4" s="74"/>
      <c r="LWB4" s="74"/>
      <c r="LWC4" s="74"/>
      <c r="LWD4" s="74"/>
      <c r="LWE4" s="74"/>
      <c r="LWF4" s="74"/>
      <c r="LWG4" s="74"/>
      <c r="LWH4" s="74"/>
      <c r="LWI4" s="74"/>
      <c r="LWJ4" s="74"/>
      <c r="LWK4" s="74"/>
      <c r="LWL4" s="74"/>
      <c r="LWM4" s="74"/>
      <c r="LWN4" s="74"/>
      <c r="LWO4" s="74"/>
      <c r="LWP4" s="74"/>
      <c r="LWQ4" s="74"/>
      <c r="LWR4" s="74"/>
      <c r="LWS4" s="74"/>
      <c r="LWT4" s="74"/>
      <c r="LWU4" s="74"/>
      <c r="LWV4" s="74"/>
      <c r="LWW4" s="74"/>
      <c r="LWX4" s="74"/>
      <c r="LWY4" s="74"/>
      <c r="LWZ4" s="74"/>
      <c r="LXA4" s="74"/>
      <c r="LXB4" s="74"/>
      <c r="LXC4" s="74"/>
      <c r="LXD4" s="74"/>
      <c r="LXE4" s="74"/>
      <c r="LXF4" s="74"/>
      <c r="LXG4" s="74"/>
      <c r="LXH4" s="74"/>
      <c r="LXI4" s="74"/>
      <c r="LXJ4" s="74"/>
      <c r="LXK4" s="74"/>
      <c r="LXL4" s="74"/>
      <c r="LXM4" s="74"/>
      <c r="LXN4" s="74"/>
      <c r="LXO4" s="74"/>
      <c r="LXP4" s="74"/>
      <c r="LXQ4" s="74"/>
      <c r="LXR4" s="74"/>
      <c r="LXS4" s="74"/>
      <c r="LXT4" s="74"/>
      <c r="LXU4" s="74"/>
      <c r="LXV4" s="74"/>
      <c r="LXW4" s="74"/>
      <c r="LXX4" s="74"/>
      <c r="LXY4" s="74"/>
      <c r="LXZ4" s="74"/>
      <c r="LYA4" s="74"/>
      <c r="LYB4" s="74"/>
      <c r="LYC4" s="74"/>
      <c r="LYD4" s="74"/>
      <c r="LYE4" s="74"/>
      <c r="LYF4" s="74"/>
      <c r="LYG4" s="74"/>
      <c r="LYH4" s="74"/>
      <c r="LYI4" s="74"/>
      <c r="LYJ4" s="74"/>
      <c r="LYK4" s="74"/>
      <c r="LYL4" s="74"/>
      <c r="LYM4" s="74"/>
      <c r="LYN4" s="74"/>
      <c r="LYO4" s="74"/>
      <c r="LYP4" s="74"/>
      <c r="LYQ4" s="74"/>
      <c r="LYR4" s="74"/>
      <c r="LYS4" s="74"/>
      <c r="LYT4" s="74"/>
      <c r="LYU4" s="74"/>
      <c r="LYV4" s="74"/>
      <c r="LYW4" s="74"/>
      <c r="LYX4" s="74"/>
      <c r="LYY4" s="74"/>
      <c r="LYZ4" s="74"/>
      <c r="LZA4" s="74"/>
      <c r="LZB4" s="74"/>
      <c r="LZC4" s="74"/>
      <c r="LZD4" s="74"/>
      <c r="LZE4" s="74"/>
      <c r="LZF4" s="74"/>
      <c r="LZG4" s="74"/>
      <c r="LZH4" s="74"/>
      <c r="LZI4" s="74"/>
      <c r="LZJ4" s="74"/>
      <c r="LZK4" s="74"/>
      <c r="LZL4" s="74"/>
      <c r="LZM4" s="74"/>
      <c r="LZN4" s="74"/>
      <c r="LZO4" s="74"/>
      <c r="LZP4" s="74"/>
      <c r="LZQ4" s="74"/>
      <c r="LZR4" s="74"/>
      <c r="LZS4" s="74"/>
      <c r="LZT4" s="74"/>
      <c r="LZU4" s="74"/>
      <c r="LZV4" s="74"/>
      <c r="LZW4" s="74"/>
      <c r="LZX4" s="74"/>
      <c r="LZY4" s="74"/>
      <c r="LZZ4" s="74"/>
      <c r="MAA4" s="74"/>
      <c r="MAB4" s="74"/>
      <c r="MAC4" s="74"/>
      <c r="MAD4" s="74"/>
      <c r="MAE4" s="74"/>
      <c r="MAF4" s="74"/>
      <c r="MAG4" s="74"/>
      <c r="MAH4" s="74"/>
      <c r="MAI4" s="74"/>
      <c r="MAJ4" s="74"/>
      <c r="MAK4" s="74"/>
      <c r="MAL4" s="74"/>
      <c r="MAM4" s="74"/>
      <c r="MAN4" s="74"/>
      <c r="MAO4" s="74"/>
      <c r="MAP4" s="74"/>
      <c r="MAQ4" s="74"/>
      <c r="MAR4" s="74"/>
      <c r="MAS4" s="74"/>
      <c r="MAT4" s="74"/>
      <c r="MAU4" s="74"/>
      <c r="MAV4" s="74"/>
      <c r="MAW4" s="74"/>
      <c r="MAX4" s="74"/>
      <c r="MAY4" s="74"/>
      <c r="MAZ4" s="74"/>
      <c r="MBA4" s="74"/>
      <c r="MBB4" s="74"/>
      <c r="MBC4" s="74"/>
      <c r="MBD4" s="74"/>
      <c r="MBE4" s="74"/>
      <c r="MBF4" s="74"/>
      <c r="MBG4" s="74"/>
      <c r="MBH4" s="74"/>
      <c r="MBI4" s="74"/>
      <c r="MBJ4" s="74"/>
      <c r="MBK4" s="74"/>
      <c r="MBL4" s="74"/>
      <c r="MBM4" s="74"/>
      <c r="MBN4" s="74"/>
      <c r="MBO4" s="74"/>
      <c r="MBP4" s="74"/>
      <c r="MBQ4" s="74"/>
      <c r="MBR4" s="74"/>
      <c r="MBS4" s="74"/>
      <c r="MBT4" s="74"/>
      <c r="MBU4" s="74"/>
      <c r="MBV4" s="74"/>
      <c r="MBW4" s="74"/>
      <c r="MBX4" s="74"/>
      <c r="MBY4" s="74"/>
      <c r="MBZ4" s="74"/>
      <c r="MCA4" s="74"/>
      <c r="MCB4" s="74"/>
      <c r="MCC4" s="74"/>
      <c r="MCD4" s="74"/>
      <c r="MCE4" s="74"/>
      <c r="MCF4" s="74"/>
      <c r="MCG4" s="74"/>
      <c r="MCH4" s="74"/>
      <c r="MCI4" s="74"/>
      <c r="MCJ4" s="74"/>
      <c r="MCK4" s="74"/>
      <c r="MCL4" s="74"/>
      <c r="MCM4" s="74"/>
      <c r="MCN4" s="74"/>
      <c r="MCO4" s="74"/>
      <c r="MCP4" s="74"/>
      <c r="MCQ4" s="74"/>
      <c r="MCR4" s="74"/>
      <c r="MCS4" s="74"/>
      <c r="MCT4" s="74"/>
      <c r="MCU4" s="74"/>
      <c r="MCV4" s="74"/>
      <c r="MCW4" s="74"/>
      <c r="MCX4" s="74"/>
      <c r="MCY4" s="74"/>
      <c r="MCZ4" s="74"/>
      <c r="MDA4" s="74"/>
      <c r="MDB4" s="74"/>
      <c r="MDC4" s="74"/>
      <c r="MDD4" s="74"/>
      <c r="MDE4" s="74"/>
      <c r="MDF4" s="74"/>
      <c r="MDG4" s="74"/>
      <c r="MDH4" s="74"/>
      <c r="MDI4" s="74"/>
      <c r="MDJ4" s="74"/>
      <c r="MDK4" s="74"/>
      <c r="MDL4" s="74"/>
      <c r="MDM4" s="74"/>
      <c r="MDN4" s="74"/>
      <c r="MDO4" s="74"/>
      <c r="MDP4" s="74"/>
      <c r="MDQ4" s="74"/>
      <c r="MDR4" s="74"/>
      <c r="MDS4" s="74"/>
      <c r="MDT4" s="74"/>
      <c r="MDU4" s="74"/>
      <c r="MDV4" s="74"/>
      <c r="MDW4" s="74"/>
      <c r="MDX4" s="74"/>
      <c r="MDY4" s="74"/>
      <c r="MDZ4" s="74"/>
      <c r="MEA4" s="74"/>
      <c r="MEB4" s="74"/>
      <c r="MEC4" s="74"/>
      <c r="MED4" s="74"/>
      <c r="MEE4" s="74"/>
      <c r="MEF4" s="74"/>
      <c r="MEG4" s="74"/>
      <c r="MEH4" s="74"/>
      <c r="MEI4" s="74"/>
      <c r="MEJ4" s="74"/>
      <c r="MEK4" s="74"/>
      <c r="MEL4" s="74"/>
      <c r="MEM4" s="74"/>
      <c r="MEN4" s="74"/>
      <c r="MEO4" s="74"/>
      <c r="MEP4" s="74"/>
      <c r="MEQ4" s="74"/>
      <c r="MER4" s="74"/>
      <c r="MES4" s="74"/>
      <c r="MET4" s="74"/>
      <c r="MEU4" s="74"/>
      <c r="MEV4" s="74"/>
      <c r="MEW4" s="74"/>
      <c r="MEX4" s="74"/>
      <c r="MEY4" s="74"/>
      <c r="MEZ4" s="74"/>
      <c r="MFA4" s="74"/>
      <c r="MFB4" s="74"/>
      <c r="MFC4" s="74"/>
      <c r="MFD4" s="74"/>
      <c r="MFE4" s="74"/>
      <c r="MFF4" s="74"/>
      <c r="MFG4" s="74"/>
      <c r="MFH4" s="74"/>
      <c r="MFI4" s="74"/>
      <c r="MFJ4" s="74"/>
      <c r="MFK4" s="74"/>
      <c r="MFL4" s="74"/>
      <c r="MFM4" s="74"/>
      <c r="MFN4" s="74"/>
      <c r="MFO4" s="74"/>
      <c r="MFP4" s="74"/>
      <c r="MFQ4" s="74"/>
      <c r="MFR4" s="74"/>
      <c r="MFS4" s="74"/>
      <c r="MFT4" s="74"/>
      <c r="MFU4" s="74"/>
      <c r="MFV4" s="74"/>
      <c r="MFW4" s="74"/>
      <c r="MFX4" s="74"/>
      <c r="MFY4" s="74"/>
      <c r="MFZ4" s="74"/>
      <c r="MGA4" s="74"/>
      <c r="MGB4" s="74"/>
      <c r="MGC4" s="74"/>
      <c r="MGD4" s="74"/>
      <c r="MGE4" s="74"/>
      <c r="MGF4" s="74"/>
      <c r="MGG4" s="74"/>
      <c r="MGH4" s="74"/>
      <c r="MGI4" s="74"/>
      <c r="MGJ4" s="74"/>
      <c r="MGK4" s="74"/>
      <c r="MGL4" s="74"/>
      <c r="MGM4" s="74"/>
      <c r="MGN4" s="74"/>
      <c r="MGO4" s="74"/>
      <c r="MGP4" s="74"/>
      <c r="MGQ4" s="74"/>
      <c r="MGR4" s="74"/>
      <c r="MGS4" s="74"/>
      <c r="MGT4" s="74"/>
      <c r="MGU4" s="74"/>
      <c r="MGV4" s="74"/>
      <c r="MGW4" s="74"/>
      <c r="MGX4" s="74"/>
      <c r="MGY4" s="74"/>
      <c r="MGZ4" s="74"/>
      <c r="MHA4" s="74"/>
      <c r="MHB4" s="74"/>
      <c r="MHC4" s="74"/>
      <c r="MHD4" s="74"/>
      <c r="MHE4" s="74"/>
      <c r="MHF4" s="74"/>
      <c r="MHG4" s="74"/>
      <c r="MHH4" s="74"/>
      <c r="MHI4" s="74"/>
      <c r="MHJ4" s="74"/>
      <c r="MHK4" s="74"/>
      <c r="MHL4" s="74"/>
      <c r="MHM4" s="74"/>
      <c r="MHN4" s="74"/>
      <c r="MHO4" s="74"/>
      <c r="MHP4" s="74"/>
      <c r="MHQ4" s="74"/>
      <c r="MHR4" s="74"/>
      <c r="MHS4" s="74"/>
      <c r="MHT4" s="74"/>
      <c r="MHU4" s="74"/>
      <c r="MHV4" s="74"/>
      <c r="MHW4" s="74"/>
      <c r="MHX4" s="74"/>
      <c r="MHY4" s="74"/>
      <c r="MHZ4" s="74"/>
      <c r="MIA4" s="74"/>
      <c r="MIB4" s="74"/>
      <c r="MIC4" s="74"/>
      <c r="MID4" s="74"/>
      <c r="MIE4" s="74"/>
      <c r="MIF4" s="74"/>
      <c r="MIG4" s="74"/>
      <c r="MIH4" s="74"/>
      <c r="MII4" s="74"/>
      <c r="MIJ4" s="74"/>
      <c r="MIK4" s="74"/>
      <c r="MIL4" s="74"/>
      <c r="MIM4" s="74"/>
      <c r="MIN4" s="74"/>
      <c r="MIO4" s="74"/>
      <c r="MIP4" s="74"/>
      <c r="MIQ4" s="74"/>
      <c r="MIR4" s="74"/>
      <c r="MIS4" s="74"/>
      <c r="MIT4" s="74"/>
      <c r="MIU4" s="74"/>
      <c r="MIV4" s="74"/>
      <c r="MIW4" s="74"/>
      <c r="MIX4" s="74"/>
      <c r="MIY4" s="74"/>
      <c r="MIZ4" s="74"/>
      <c r="MJA4" s="74"/>
      <c r="MJB4" s="74"/>
      <c r="MJC4" s="74"/>
      <c r="MJD4" s="74"/>
      <c r="MJE4" s="74"/>
      <c r="MJF4" s="74"/>
      <c r="MJG4" s="74"/>
      <c r="MJH4" s="74"/>
      <c r="MJI4" s="74"/>
      <c r="MJJ4" s="74"/>
      <c r="MJK4" s="74"/>
      <c r="MJL4" s="74"/>
      <c r="MJM4" s="74"/>
      <c r="MJN4" s="74"/>
      <c r="MJO4" s="74"/>
      <c r="MJP4" s="74"/>
      <c r="MJQ4" s="74"/>
      <c r="MJR4" s="74"/>
      <c r="MJS4" s="74"/>
      <c r="MJT4" s="74"/>
      <c r="MJU4" s="74"/>
      <c r="MJV4" s="74"/>
      <c r="MJW4" s="74"/>
      <c r="MJX4" s="74"/>
      <c r="MJY4" s="74"/>
      <c r="MJZ4" s="74"/>
      <c r="MKA4" s="74"/>
      <c r="MKB4" s="74"/>
      <c r="MKC4" s="74"/>
      <c r="MKD4" s="74"/>
      <c r="MKE4" s="74"/>
      <c r="MKF4" s="74"/>
      <c r="MKG4" s="74"/>
      <c r="MKH4" s="74"/>
      <c r="MKI4" s="74"/>
      <c r="MKJ4" s="74"/>
      <c r="MKK4" s="74"/>
      <c r="MKL4" s="74"/>
      <c r="MKM4" s="74"/>
      <c r="MKN4" s="74"/>
      <c r="MKO4" s="74"/>
      <c r="MKP4" s="74"/>
      <c r="MKQ4" s="74"/>
      <c r="MKR4" s="74"/>
      <c r="MKS4" s="74"/>
      <c r="MKT4" s="74"/>
      <c r="MKU4" s="74"/>
      <c r="MKV4" s="74"/>
      <c r="MKW4" s="74"/>
      <c r="MKX4" s="74"/>
      <c r="MKY4" s="74"/>
      <c r="MKZ4" s="74"/>
      <c r="MLA4" s="74"/>
      <c r="MLB4" s="74"/>
      <c r="MLC4" s="74"/>
      <c r="MLD4" s="74"/>
      <c r="MLE4" s="74"/>
      <c r="MLF4" s="74"/>
      <c r="MLG4" s="74"/>
      <c r="MLH4" s="74"/>
      <c r="MLI4" s="74"/>
      <c r="MLJ4" s="74"/>
      <c r="MLK4" s="74"/>
      <c r="MLL4" s="74"/>
      <c r="MLM4" s="74"/>
      <c r="MLN4" s="74"/>
      <c r="MLO4" s="74"/>
      <c r="MLP4" s="74"/>
      <c r="MLQ4" s="74"/>
      <c r="MLR4" s="74"/>
      <c r="MLS4" s="74"/>
      <c r="MLT4" s="74"/>
      <c r="MLU4" s="74"/>
      <c r="MLV4" s="74"/>
      <c r="MLW4" s="74"/>
      <c r="MLX4" s="74"/>
      <c r="MLY4" s="74"/>
      <c r="MLZ4" s="74"/>
      <c r="MMA4" s="74"/>
      <c r="MMB4" s="74"/>
      <c r="MMC4" s="74"/>
      <c r="MMD4" s="74"/>
      <c r="MME4" s="74"/>
      <c r="MMF4" s="74"/>
      <c r="MMG4" s="74"/>
      <c r="MMH4" s="74"/>
      <c r="MMI4" s="74"/>
      <c r="MMJ4" s="74"/>
      <c r="MMK4" s="74"/>
      <c r="MML4" s="74"/>
      <c r="MMM4" s="74"/>
      <c r="MMN4" s="74"/>
      <c r="MMO4" s="74"/>
      <c r="MMP4" s="74"/>
      <c r="MMQ4" s="74"/>
      <c r="MMR4" s="74"/>
      <c r="MMS4" s="74"/>
      <c r="MMT4" s="74"/>
      <c r="MMU4" s="74"/>
      <c r="MMV4" s="74"/>
      <c r="MMW4" s="74"/>
      <c r="MMX4" s="74"/>
      <c r="MMY4" s="74"/>
      <c r="MMZ4" s="74"/>
      <c r="MNA4" s="74"/>
      <c r="MNB4" s="74"/>
      <c r="MNC4" s="74"/>
      <c r="MND4" s="74"/>
      <c r="MNE4" s="74"/>
      <c r="MNF4" s="74"/>
      <c r="MNG4" s="74"/>
      <c r="MNH4" s="74"/>
      <c r="MNI4" s="74"/>
      <c r="MNJ4" s="74"/>
      <c r="MNK4" s="74"/>
      <c r="MNL4" s="74"/>
      <c r="MNM4" s="74"/>
      <c r="MNN4" s="74"/>
      <c r="MNO4" s="74"/>
      <c r="MNP4" s="74"/>
      <c r="MNQ4" s="74"/>
      <c r="MNR4" s="74"/>
      <c r="MNS4" s="74"/>
      <c r="MNT4" s="74"/>
      <c r="MNU4" s="74"/>
      <c r="MNV4" s="74"/>
      <c r="MNW4" s="74"/>
      <c r="MNX4" s="74"/>
      <c r="MNY4" s="74"/>
      <c r="MNZ4" s="74"/>
      <c r="MOA4" s="74"/>
      <c r="MOB4" s="74"/>
      <c r="MOC4" s="74"/>
      <c r="MOD4" s="74"/>
      <c r="MOE4" s="74"/>
      <c r="MOF4" s="74"/>
      <c r="MOG4" s="74"/>
      <c r="MOH4" s="74"/>
      <c r="MOI4" s="74"/>
      <c r="MOJ4" s="74"/>
      <c r="MOK4" s="74"/>
      <c r="MOL4" s="74"/>
      <c r="MOM4" s="74"/>
      <c r="MON4" s="74"/>
      <c r="MOO4" s="74"/>
      <c r="MOP4" s="74"/>
      <c r="MOQ4" s="74"/>
      <c r="MOR4" s="74"/>
      <c r="MOS4" s="74"/>
      <c r="MOT4" s="74"/>
      <c r="MOU4" s="74"/>
      <c r="MOV4" s="74"/>
      <c r="MOW4" s="74"/>
      <c r="MOX4" s="74"/>
      <c r="MOY4" s="74"/>
      <c r="MOZ4" s="74"/>
      <c r="MPA4" s="74"/>
      <c r="MPB4" s="74"/>
      <c r="MPC4" s="74"/>
      <c r="MPD4" s="74"/>
      <c r="MPE4" s="74"/>
      <c r="MPF4" s="74"/>
      <c r="MPG4" s="74"/>
      <c r="MPH4" s="74"/>
      <c r="MPI4" s="74"/>
      <c r="MPJ4" s="74"/>
      <c r="MPK4" s="74"/>
      <c r="MPL4" s="74"/>
      <c r="MPM4" s="74"/>
      <c r="MPN4" s="74"/>
      <c r="MPO4" s="74"/>
      <c r="MPP4" s="74"/>
      <c r="MPQ4" s="74"/>
      <c r="MPR4" s="74"/>
      <c r="MPS4" s="74"/>
      <c r="MPT4" s="74"/>
      <c r="MPU4" s="74"/>
      <c r="MPV4" s="74"/>
      <c r="MPW4" s="74"/>
      <c r="MPX4" s="74"/>
      <c r="MPY4" s="74"/>
      <c r="MPZ4" s="74"/>
      <c r="MQA4" s="74"/>
      <c r="MQB4" s="74"/>
      <c r="MQC4" s="74"/>
      <c r="MQD4" s="74"/>
      <c r="MQE4" s="74"/>
      <c r="MQF4" s="74"/>
      <c r="MQG4" s="74"/>
      <c r="MQH4" s="74"/>
      <c r="MQI4" s="74"/>
      <c r="MQJ4" s="74"/>
      <c r="MQK4" s="74"/>
      <c r="MQL4" s="74"/>
      <c r="MQM4" s="74"/>
      <c r="MQN4" s="74"/>
      <c r="MQO4" s="74"/>
      <c r="MQP4" s="74"/>
      <c r="MQQ4" s="74"/>
      <c r="MQR4" s="74"/>
      <c r="MQS4" s="74"/>
      <c r="MQT4" s="74"/>
      <c r="MQU4" s="74"/>
      <c r="MQV4" s="74"/>
      <c r="MQW4" s="74"/>
      <c r="MQX4" s="74"/>
      <c r="MQY4" s="74"/>
      <c r="MQZ4" s="74"/>
      <c r="MRA4" s="74"/>
      <c r="MRB4" s="74"/>
      <c r="MRC4" s="74"/>
      <c r="MRD4" s="74"/>
      <c r="MRE4" s="74"/>
      <c r="MRF4" s="74"/>
      <c r="MRG4" s="74"/>
      <c r="MRH4" s="74"/>
      <c r="MRI4" s="74"/>
      <c r="MRJ4" s="74"/>
      <c r="MRK4" s="74"/>
      <c r="MRL4" s="74"/>
      <c r="MRM4" s="74"/>
      <c r="MRN4" s="74"/>
      <c r="MRO4" s="74"/>
      <c r="MRP4" s="74"/>
      <c r="MRQ4" s="74"/>
      <c r="MRR4" s="74"/>
      <c r="MRS4" s="74"/>
      <c r="MRT4" s="74"/>
      <c r="MRU4" s="74"/>
      <c r="MRV4" s="74"/>
      <c r="MRW4" s="74"/>
      <c r="MRX4" s="74"/>
      <c r="MRY4" s="74"/>
      <c r="MRZ4" s="74"/>
      <c r="MSA4" s="74"/>
      <c r="MSB4" s="74"/>
      <c r="MSC4" s="74"/>
      <c r="MSD4" s="74"/>
      <c r="MSE4" s="74"/>
      <c r="MSF4" s="74"/>
      <c r="MSG4" s="74"/>
      <c r="MSH4" s="74"/>
      <c r="MSI4" s="74"/>
      <c r="MSJ4" s="74"/>
      <c r="MSK4" s="74"/>
      <c r="MSL4" s="74"/>
      <c r="MSM4" s="74"/>
      <c r="MSN4" s="74"/>
      <c r="MSO4" s="74"/>
      <c r="MSP4" s="74"/>
      <c r="MSQ4" s="74"/>
      <c r="MSR4" s="74"/>
      <c r="MSS4" s="74"/>
      <c r="MST4" s="74"/>
      <c r="MSU4" s="74"/>
      <c r="MSV4" s="74"/>
      <c r="MSW4" s="74"/>
      <c r="MSX4" s="74"/>
      <c r="MSY4" s="74"/>
      <c r="MSZ4" s="74"/>
      <c r="MTA4" s="74"/>
      <c r="MTB4" s="74"/>
      <c r="MTC4" s="74"/>
      <c r="MTD4" s="74"/>
      <c r="MTE4" s="74"/>
      <c r="MTF4" s="74"/>
      <c r="MTG4" s="74"/>
      <c r="MTH4" s="74"/>
      <c r="MTI4" s="74"/>
      <c r="MTJ4" s="74"/>
      <c r="MTK4" s="74"/>
      <c r="MTL4" s="74"/>
      <c r="MTM4" s="74"/>
      <c r="MTN4" s="74"/>
      <c r="MTO4" s="74"/>
      <c r="MTP4" s="74"/>
      <c r="MTQ4" s="74"/>
      <c r="MTR4" s="74"/>
      <c r="MTS4" s="74"/>
      <c r="MTT4" s="74"/>
      <c r="MTU4" s="74"/>
      <c r="MTV4" s="74"/>
      <c r="MTW4" s="74"/>
      <c r="MTX4" s="74"/>
      <c r="MTY4" s="74"/>
      <c r="MTZ4" s="74"/>
      <c r="MUA4" s="74"/>
      <c r="MUB4" s="74"/>
      <c r="MUC4" s="74"/>
      <c r="MUD4" s="74"/>
      <c r="MUE4" s="74"/>
      <c r="MUF4" s="74"/>
      <c r="MUG4" s="74"/>
      <c r="MUH4" s="74"/>
      <c r="MUI4" s="74"/>
      <c r="MUJ4" s="74"/>
      <c r="MUK4" s="74"/>
      <c r="MUL4" s="74"/>
      <c r="MUM4" s="74"/>
      <c r="MUN4" s="74"/>
      <c r="MUO4" s="74"/>
      <c r="MUP4" s="74"/>
      <c r="MUQ4" s="74"/>
      <c r="MUR4" s="74"/>
      <c r="MUS4" s="74"/>
      <c r="MUT4" s="74"/>
      <c r="MUU4" s="74"/>
      <c r="MUV4" s="74"/>
      <c r="MUW4" s="74"/>
      <c r="MUX4" s="74"/>
      <c r="MUY4" s="74"/>
      <c r="MUZ4" s="74"/>
      <c r="MVA4" s="74"/>
      <c r="MVB4" s="74"/>
      <c r="MVC4" s="74"/>
      <c r="MVD4" s="74"/>
      <c r="MVE4" s="74"/>
      <c r="MVF4" s="74"/>
      <c r="MVG4" s="74"/>
      <c r="MVH4" s="74"/>
      <c r="MVI4" s="74"/>
      <c r="MVJ4" s="74"/>
      <c r="MVK4" s="74"/>
      <c r="MVL4" s="74"/>
      <c r="MVM4" s="74"/>
      <c r="MVN4" s="74"/>
      <c r="MVO4" s="74"/>
      <c r="MVP4" s="74"/>
      <c r="MVQ4" s="74"/>
      <c r="MVR4" s="74"/>
      <c r="MVS4" s="74"/>
      <c r="MVT4" s="74"/>
      <c r="MVU4" s="74"/>
      <c r="MVV4" s="74"/>
      <c r="MVW4" s="74"/>
      <c r="MVX4" s="74"/>
      <c r="MVY4" s="74"/>
      <c r="MVZ4" s="74"/>
      <c r="MWA4" s="74"/>
      <c r="MWB4" s="74"/>
      <c r="MWC4" s="74"/>
      <c r="MWD4" s="74"/>
      <c r="MWE4" s="74"/>
      <c r="MWF4" s="74"/>
      <c r="MWG4" s="74"/>
      <c r="MWH4" s="74"/>
      <c r="MWI4" s="74"/>
      <c r="MWJ4" s="74"/>
      <c r="MWK4" s="74"/>
      <c r="MWL4" s="74"/>
      <c r="MWM4" s="74"/>
      <c r="MWN4" s="74"/>
      <c r="MWO4" s="74"/>
      <c r="MWP4" s="74"/>
      <c r="MWQ4" s="74"/>
      <c r="MWR4" s="74"/>
      <c r="MWS4" s="74"/>
      <c r="MWT4" s="74"/>
      <c r="MWU4" s="74"/>
      <c r="MWV4" s="74"/>
      <c r="MWW4" s="74"/>
      <c r="MWX4" s="74"/>
      <c r="MWY4" s="74"/>
      <c r="MWZ4" s="74"/>
      <c r="MXA4" s="74"/>
      <c r="MXB4" s="74"/>
      <c r="MXC4" s="74"/>
      <c r="MXD4" s="74"/>
      <c r="MXE4" s="74"/>
      <c r="MXF4" s="74"/>
      <c r="MXG4" s="74"/>
      <c r="MXH4" s="74"/>
      <c r="MXI4" s="74"/>
      <c r="MXJ4" s="74"/>
      <c r="MXK4" s="74"/>
      <c r="MXL4" s="74"/>
      <c r="MXM4" s="74"/>
      <c r="MXN4" s="74"/>
      <c r="MXO4" s="74"/>
      <c r="MXP4" s="74"/>
      <c r="MXQ4" s="74"/>
      <c r="MXR4" s="74"/>
      <c r="MXS4" s="74"/>
      <c r="MXT4" s="74"/>
      <c r="MXU4" s="74"/>
      <c r="MXV4" s="74"/>
      <c r="MXW4" s="74"/>
      <c r="MXX4" s="74"/>
      <c r="MXY4" s="74"/>
      <c r="MXZ4" s="74"/>
      <c r="MYA4" s="74"/>
      <c r="MYB4" s="74"/>
      <c r="MYC4" s="74"/>
      <c r="MYD4" s="74"/>
      <c r="MYE4" s="74"/>
      <c r="MYF4" s="74"/>
      <c r="MYG4" s="74"/>
      <c r="MYH4" s="74"/>
      <c r="MYI4" s="74"/>
      <c r="MYJ4" s="74"/>
      <c r="MYK4" s="74"/>
      <c r="MYL4" s="74"/>
      <c r="MYM4" s="74"/>
      <c r="MYN4" s="74"/>
      <c r="MYO4" s="74"/>
      <c r="MYP4" s="74"/>
      <c r="MYQ4" s="74"/>
      <c r="MYR4" s="74"/>
      <c r="MYS4" s="74"/>
      <c r="MYT4" s="74"/>
      <c r="MYU4" s="74"/>
      <c r="MYV4" s="74"/>
      <c r="MYW4" s="74"/>
      <c r="MYX4" s="74"/>
      <c r="MYY4" s="74"/>
      <c r="MYZ4" s="74"/>
      <c r="MZA4" s="74"/>
      <c r="MZB4" s="74"/>
      <c r="MZC4" s="74"/>
      <c r="MZD4" s="74"/>
      <c r="MZE4" s="74"/>
      <c r="MZF4" s="74"/>
      <c r="MZG4" s="74"/>
      <c r="MZH4" s="74"/>
      <c r="MZI4" s="74"/>
      <c r="MZJ4" s="74"/>
      <c r="MZK4" s="74"/>
      <c r="MZL4" s="74"/>
      <c r="MZM4" s="74"/>
      <c r="MZN4" s="74"/>
      <c r="MZO4" s="74"/>
      <c r="MZP4" s="74"/>
      <c r="MZQ4" s="74"/>
      <c r="MZR4" s="74"/>
      <c r="MZS4" s="74"/>
      <c r="MZT4" s="74"/>
      <c r="MZU4" s="74"/>
      <c r="MZV4" s="74"/>
      <c r="MZW4" s="74"/>
      <c r="MZX4" s="74"/>
      <c r="MZY4" s="74"/>
      <c r="MZZ4" s="74"/>
      <c r="NAA4" s="74"/>
      <c r="NAB4" s="74"/>
      <c r="NAC4" s="74"/>
      <c r="NAD4" s="74"/>
      <c r="NAE4" s="74"/>
      <c r="NAF4" s="74"/>
      <c r="NAG4" s="74"/>
      <c r="NAH4" s="74"/>
      <c r="NAI4" s="74"/>
      <c r="NAJ4" s="74"/>
      <c r="NAK4" s="74"/>
      <c r="NAL4" s="74"/>
      <c r="NAM4" s="74"/>
      <c r="NAN4" s="74"/>
      <c r="NAO4" s="74"/>
      <c r="NAP4" s="74"/>
      <c r="NAQ4" s="74"/>
      <c r="NAR4" s="74"/>
      <c r="NAS4" s="74"/>
      <c r="NAT4" s="74"/>
      <c r="NAU4" s="74"/>
      <c r="NAV4" s="74"/>
      <c r="NAW4" s="74"/>
      <c r="NAX4" s="74"/>
      <c r="NAY4" s="74"/>
      <c r="NAZ4" s="74"/>
      <c r="NBA4" s="74"/>
      <c r="NBB4" s="74"/>
      <c r="NBC4" s="74"/>
      <c r="NBD4" s="74"/>
      <c r="NBE4" s="74"/>
      <c r="NBF4" s="74"/>
      <c r="NBG4" s="74"/>
      <c r="NBH4" s="74"/>
      <c r="NBI4" s="74"/>
      <c r="NBJ4" s="74"/>
      <c r="NBK4" s="74"/>
      <c r="NBL4" s="74"/>
      <c r="NBM4" s="74"/>
      <c r="NBN4" s="74"/>
      <c r="NBO4" s="74"/>
      <c r="NBP4" s="74"/>
      <c r="NBQ4" s="74"/>
      <c r="NBR4" s="74"/>
      <c r="NBS4" s="74"/>
      <c r="NBT4" s="74"/>
      <c r="NBU4" s="74"/>
      <c r="NBV4" s="74"/>
      <c r="NBW4" s="74"/>
      <c r="NBX4" s="74"/>
      <c r="NBY4" s="74"/>
      <c r="NBZ4" s="74"/>
      <c r="NCA4" s="74"/>
      <c r="NCB4" s="74"/>
      <c r="NCC4" s="74"/>
      <c r="NCD4" s="74"/>
      <c r="NCE4" s="74"/>
      <c r="NCF4" s="74"/>
      <c r="NCG4" s="74"/>
      <c r="NCH4" s="74"/>
      <c r="NCI4" s="74"/>
      <c r="NCJ4" s="74"/>
      <c r="NCK4" s="74"/>
      <c r="NCL4" s="74"/>
      <c r="NCM4" s="74"/>
      <c r="NCN4" s="74"/>
      <c r="NCO4" s="74"/>
      <c r="NCP4" s="74"/>
      <c r="NCQ4" s="74"/>
      <c r="NCR4" s="74"/>
      <c r="NCS4" s="74"/>
      <c r="NCT4" s="74"/>
      <c r="NCU4" s="74"/>
      <c r="NCV4" s="74"/>
      <c r="NCW4" s="74"/>
      <c r="NCX4" s="74"/>
      <c r="NCY4" s="74"/>
      <c r="NCZ4" s="74"/>
      <c r="NDA4" s="74"/>
      <c r="NDB4" s="74"/>
      <c r="NDC4" s="74"/>
      <c r="NDD4" s="74"/>
      <c r="NDE4" s="74"/>
      <c r="NDF4" s="74"/>
      <c r="NDG4" s="74"/>
      <c r="NDH4" s="74"/>
      <c r="NDI4" s="74"/>
      <c r="NDJ4" s="74"/>
      <c r="NDK4" s="74"/>
      <c r="NDL4" s="74"/>
      <c r="NDM4" s="74"/>
      <c r="NDN4" s="74"/>
      <c r="NDO4" s="74"/>
      <c r="NDP4" s="74"/>
      <c r="NDQ4" s="74"/>
      <c r="NDR4" s="74"/>
      <c r="NDS4" s="74"/>
      <c r="NDT4" s="74"/>
      <c r="NDU4" s="74"/>
      <c r="NDV4" s="74"/>
      <c r="NDW4" s="74"/>
      <c r="NDX4" s="74"/>
      <c r="NDY4" s="74"/>
      <c r="NDZ4" s="74"/>
      <c r="NEA4" s="74"/>
      <c r="NEB4" s="74"/>
      <c r="NEC4" s="74"/>
      <c r="NED4" s="74"/>
      <c r="NEE4" s="74"/>
      <c r="NEF4" s="74"/>
      <c r="NEG4" s="74"/>
      <c r="NEH4" s="74"/>
      <c r="NEI4" s="74"/>
      <c r="NEJ4" s="74"/>
      <c r="NEK4" s="74"/>
      <c r="NEL4" s="74"/>
      <c r="NEM4" s="74"/>
      <c r="NEN4" s="74"/>
      <c r="NEO4" s="74"/>
      <c r="NEP4" s="74"/>
      <c r="NEQ4" s="74"/>
      <c r="NER4" s="74"/>
      <c r="NES4" s="74"/>
      <c r="NET4" s="74"/>
      <c r="NEU4" s="74"/>
      <c r="NEV4" s="74"/>
      <c r="NEW4" s="74"/>
      <c r="NEX4" s="74"/>
      <c r="NEY4" s="74"/>
      <c r="NEZ4" s="74"/>
      <c r="NFA4" s="74"/>
      <c r="NFB4" s="74"/>
      <c r="NFC4" s="74"/>
      <c r="NFD4" s="74"/>
      <c r="NFE4" s="74"/>
      <c r="NFF4" s="74"/>
      <c r="NFG4" s="74"/>
      <c r="NFH4" s="74"/>
      <c r="NFI4" s="74"/>
      <c r="NFJ4" s="74"/>
      <c r="NFK4" s="74"/>
      <c r="NFL4" s="74"/>
      <c r="NFM4" s="74"/>
      <c r="NFN4" s="74"/>
      <c r="NFO4" s="74"/>
      <c r="NFP4" s="74"/>
      <c r="NFQ4" s="74"/>
      <c r="NFR4" s="74"/>
      <c r="NFS4" s="74"/>
      <c r="NFT4" s="74"/>
      <c r="NFU4" s="74"/>
      <c r="NFV4" s="74"/>
      <c r="NFW4" s="74"/>
      <c r="NFX4" s="74"/>
      <c r="NFY4" s="74"/>
      <c r="NFZ4" s="74"/>
      <c r="NGA4" s="74"/>
      <c r="NGB4" s="74"/>
      <c r="NGC4" s="74"/>
      <c r="NGD4" s="74"/>
      <c r="NGE4" s="74"/>
      <c r="NGF4" s="74"/>
      <c r="NGG4" s="74"/>
      <c r="NGH4" s="74"/>
      <c r="NGI4" s="74"/>
      <c r="NGJ4" s="74"/>
      <c r="NGK4" s="74"/>
      <c r="NGL4" s="74"/>
      <c r="NGM4" s="74"/>
      <c r="NGN4" s="74"/>
      <c r="NGO4" s="74"/>
      <c r="NGP4" s="74"/>
      <c r="NGQ4" s="74"/>
      <c r="NGR4" s="74"/>
      <c r="NGS4" s="74"/>
      <c r="NGT4" s="74"/>
      <c r="NGU4" s="74"/>
      <c r="NGV4" s="74"/>
      <c r="NGW4" s="74"/>
      <c r="NGX4" s="74"/>
      <c r="NGY4" s="74"/>
      <c r="NGZ4" s="74"/>
      <c r="NHA4" s="74"/>
      <c r="NHB4" s="74"/>
      <c r="NHC4" s="74"/>
      <c r="NHD4" s="74"/>
      <c r="NHE4" s="74"/>
      <c r="NHF4" s="74"/>
      <c r="NHG4" s="74"/>
      <c r="NHH4" s="74"/>
      <c r="NHI4" s="74"/>
      <c r="NHJ4" s="74"/>
      <c r="NHK4" s="74"/>
      <c r="NHL4" s="74"/>
      <c r="NHM4" s="74"/>
      <c r="NHN4" s="74"/>
      <c r="NHO4" s="74"/>
      <c r="NHP4" s="74"/>
      <c r="NHQ4" s="74"/>
      <c r="NHR4" s="74"/>
      <c r="NHS4" s="74"/>
      <c r="NHT4" s="74"/>
      <c r="NHU4" s="74"/>
      <c r="NHV4" s="74"/>
      <c r="NHW4" s="74"/>
      <c r="NHX4" s="74"/>
      <c r="NHY4" s="74"/>
      <c r="NHZ4" s="74"/>
      <c r="NIA4" s="74"/>
      <c r="NIB4" s="74"/>
      <c r="NIC4" s="74"/>
      <c r="NID4" s="74"/>
      <c r="NIE4" s="74"/>
      <c r="NIF4" s="74"/>
      <c r="NIG4" s="74"/>
      <c r="NIH4" s="74"/>
      <c r="NII4" s="74"/>
      <c r="NIJ4" s="74"/>
      <c r="NIK4" s="74"/>
      <c r="NIL4" s="74"/>
      <c r="NIM4" s="74"/>
      <c r="NIN4" s="74"/>
      <c r="NIO4" s="74"/>
      <c r="NIP4" s="74"/>
      <c r="NIQ4" s="74"/>
      <c r="NIR4" s="74"/>
      <c r="NIS4" s="74"/>
      <c r="NIT4" s="74"/>
      <c r="NIU4" s="74"/>
      <c r="NIV4" s="74"/>
      <c r="NIW4" s="74"/>
      <c r="NIX4" s="74"/>
      <c r="NIY4" s="74"/>
      <c r="NIZ4" s="74"/>
      <c r="NJA4" s="74"/>
      <c r="NJB4" s="74"/>
      <c r="NJC4" s="74"/>
      <c r="NJD4" s="74"/>
      <c r="NJE4" s="74"/>
      <c r="NJF4" s="74"/>
      <c r="NJG4" s="74"/>
      <c r="NJH4" s="74"/>
      <c r="NJI4" s="74"/>
      <c r="NJJ4" s="74"/>
      <c r="NJK4" s="74"/>
      <c r="NJL4" s="74"/>
      <c r="NJM4" s="74"/>
      <c r="NJN4" s="74"/>
      <c r="NJO4" s="74"/>
      <c r="NJP4" s="74"/>
      <c r="NJQ4" s="74"/>
      <c r="NJR4" s="74"/>
      <c r="NJS4" s="74"/>
      <c r="NJT4" s="74"/>
      <c r="NJU4" s="74"/>
      <c r="NJV4" s="74"/>
      <c r="NJW4" s="74"/>
      <c r="NJX4" s="74"/>
      <c r="NJY4" s="74"/>
      <c r="NJZ4" s="74"/>
      <c r="NKA4" s="74"/>
      <c r="NKB4" s="74"/>
      <c r="NKC4" s="74"/>
      <c r="NKD4" s="74"/>
      <c r="NKE4" s="74"/>
      <c r="NKF4" s="74"/>
      <c r="NKG4" s="74"/>
      <c r="NKH4" s="74"/>
      <c r="NKI4" s="74"/>
      <c r="NKJ4" s="74"/>
      <c r="NKK4" s="74"/>
      <c r="NKL4" s="74"/>
      <c r="NKM4" s="74"/>
      <c r="NKN4" s="74"/>
      <c r="NKO4" s="74"/>
      <c r="NKP4" s="74"/>
      <c r="NKQ4" s="74"/>
      <c r="NKR4" s="74"/>
      <c r="NKS4" s="74"/>
      <c r="NKT4" s="74"/>
      <c r="NKU4" s="74"/>
      <c r="NKV4" s="74"/>
      <c r="NKW4" s="74"/>
      <c r="NKX4" s="74"/>
      <c r="NKY4" s="74"/>
      <c r="NKZ4" s="74"/>
      <c r="NLA4" s="74"/>
      <c r="NLB4" s="74"/>
      <c r="NLC4" s="74"/>
      <c r="NLD4" s="74"/>
      <c r="NLE4" s="74"/>
      <c r="NLF4" s="74"/>
      <c r="NLG4" s="74"/>
      <c r="NLH4" s="74"/>
      <c r="NLI4" s="74"/>
      <c r="NLJ4" s="74"/>
      <c r="NLK4" s="74"/>
      <c r="NLL4" s="74"/>
      <c r="NLM4" s="74"/>
      <c r="NLN4" s="74"/>
      <c r="NLO4" s="74"/>
      <c r="NLP4" s="74"/>
      <c r="NLQ4" s="74"/>
      <c r="NLR4" s="74"/>
      <c r="NLS4" s="74"/>
      <c r="NLT4" s="74"/>
      <c r="NLU4" s="74"/>
      <c r="NLV4" s="74"/>
      <c r="NLW4" s="74"/>
      <c r="NLX4" s="74"/>
      <c r="NLY4" s="74"/>
      <c r="NLZ4" s="74"/>
      <c r="NMA4" s="74"/>
      <c r="NMB4" s="74"/>
      <c r="NMC4" s="74"/>
      <c r="NMD4" s="74"/>
      <c r="NME4" s="74"/>
      <c r="NMF4" s="74"/>
      <c r="NMG4" s="74"/>
      <c r="NMH4" s="74"/>
      <c r="NMI4" s="74"/>
      <c r="NMJ4" s="74"/>
      <c r="NMK4" s="74"/>
      <c r="NML4" s="74"/>
      <c r="NMM4" s="74"/>
      <c r="NMN4" s="74"/>
      <c r="NMO4" s="74"/>
      <c r="NMP4" s="74"/>
      <c r="NMQ4" s="74"/>
      <c r="NMR4" s="74"/>
      <c r="NMS4" s="74"/>
      <c r="NMT4" s="74"/>
      <c r="NMU4" s="74"/>
      <c r="NMV4" s="74"/>
      <c r="NMW4" s="74"/>
      <c r="NMX4" s="74"/>
      <c r="NMY4" s="74"/>
      <c r="NMZ4" s="74"/>
      <c r="NNA4" s="74"/>
      <c r="NNB4" s="74"/>
      <c r="NNC4" s="74"/>
      <c r="NND4" s="74"/>
      <c r="NNE4" s="74"/>
      <c r="NNF4" s="74"/>
      <c r="NNG4" s="74"/>
      <c r="NNH4" s="74"/>
      <c r="NNI4" s="74"/>
      <c r="NNJ4" s="74"/>
      <c r="NNK4" s="74"/>
      <c r="NNL4" s="74"/>
      <c r="NNM4" s="74"/>
      <c r="NNN4" s="74"/>
      <c r="NNO4" s="74"/>
      <c r="NNP4" s="74"/>
      <c r="NNQ4" s="74"/>
      <c r="NNR4" s="74"/>
      <c r="NNS4" s="74"/>
      <c r="NNT4" s="74"/>
      <c r="NNU4" s="74"/>
      <c r="NNV4" s="74"/>
      <c r="NNW4" s="74"/>
      <c r="NNX4" s="74"/>
      <c r="NNY4" s="74"/>
      <c r="NNZ4" s="74"/>
      <c r="NOA4" s="74"/>
      <c r="NOB4" s="74"/>
      <c r="NOC4" s="74"/>
      <c r="NOD4" s="74"/>
      <c r="NOE4" s="74"/>
      <c r="NOF4" s="74"/>
      <c r="NOG4" s="74"/>
      <c r="NOH4" s="74"/>
      <c r="NOI4" s="74"/>
      <c r="NOJ4" s="74"/>
      <c r="NOK4" s="74"/>
      <c r="NOL4" s="74"/>
      <c r="NOM4" s="74"/>
      <c r="NON4" s="74"/>
      <c r="NOO4" s="74"/>
      <c r="NOP4" s="74"/>
      <c r="NOQ4" s="74"/>
      <c r="NOR4" s="74"/>
      <c r="NOS4" s="74"/>
      <c r="NOT4" s="74"/>
      <c r="NOU4" s="74"/>
      <c r="NOV4" s="74"/>
      <c r="NOW4" s="74"/>
      <c r="NOX4" s="74"/>
      <c r="NOY4" s="74"/>
      <c r="NOZ4" s="74"/>
      <c r="NPA4" s="74"/>
      <c r="NPB4" s="74"/>
      <c r="NPC4" s="74"/>
      <c r="NPD4" s="74"/>
      <c r="NPE4" s="74"/>
      <c r="NPF4" s="74"/>
      <c r="NPG4" s="74"/>
      <c r="NPH4" s="74"/>
      <c r="NPI4" s="74"/>
      <c r="NPJ4" s="74"/>
      <c r="NPK4" s="74"/>
      <c r="NPL4" s="74"/>
      <c r="NPM4" s="74"/>
      <c r="NPN4" s="74"/>
      <c r="NPO4" s="74"/>
      <c r="NPP4" s="74"/>
      <c r="NPQ4" s="74"/>
      <c r="NPR4" s="74"/>
      <c r="NPS4" s="74"/>
      <c r="NPT4" s="74"/>
      <c r="NPU4" s="74"/>
      <c r="NPV4" s="74"/>
      <c r="NPW4" s="74"/>
      <c r="NPX4" s="74"/>
      <c r="NPY4" s="74"/>
      <c r="NPZ4" s="74"/>
      <c r="NQA4" s="74"/>
      <c r="NQB4" s="74"/>
      <c r="NQC4" s="74"/>
      <c r="NQD4" s="74"/>
      <c r="NQE4" s="74"/>
      <c r="NQF4" s="74"/>
      <c r="NQG4" s="74"/>
      <c r="NQH4" s="74"/>
      <c r="NQI4" s="74"/>
      <c r="NQJ4" s="74"/>
      <c r="NQK4" s="74"/>
      <c r="NQL4" s="74"/>
      <c r="NQM4" s="74"/>
      <c r="NQN4" s="74"/>
      <c r="NQO4" s="74"/>
      <c r="NQP4" s="74"/>
      <c r="NQQ4" s="74"/>
      <c r="NQR4" s="74"/>
      <c r="NQS4" s="74"/>
      <c r="NQT4" s="74"/>
      <c r="NQU4" s="74"/>
      <c r="NQV4" s="74"/>
      <c r="NQW4" s="74"/>
      <c r="NQX4" s="74"/>
      <c r="NQY4" s="74"/>
      <c r="NQZ4" s="74"/>
      <c r="NRA4" s="74"/>
      <c r="NRB4" s="74"/>
      <c r="NRC4" s="74"/>
      <c r="NRD4" s="74"/>
      <c r="NRE4" s="74"/>
      <c r="NRF4" s="74"/>
      <c r="NRG4" s="74"/>
      <c r="NRH4" s="74"/>
      <c r="NRI4" s="74"/>
      <c r="NRJ4" s="74"/>
      <c r="NRK4" s="74"/>
      <c r="NRL4" s="74"/>
      <c r="NRM4" s="74"/>
      <c r="NRN4" s="74"/>
      <c r="NRO4" s="74"/>
      <c r="NRP4" s="74"/>
      <c r="NRQ4" s="74"/>
      <c r="NRR4" s="74"/>
      <c r="NRS4" s="74"/>
      <c r="NRT4" s="74"/>
      <c r="NRU4" s="74"/>
      <c r="NRV4" s="74"/>
      <c r="NRW4" s="74"/>
      <c r="NRX4" s="74"/>
      <c r="NRY4" s="74"/>
      <c r="NRZ4" s="74"/>
      <c r="NSA4" s="74"/>
      <c r="NSB4" s="74"/>
      <c r="NSC4" s="74"/>
      <c r="NSD4" s="74"/>
      <c r="NSE4" s="74"/>
      <c r="NSF4" s="74"/>
      <c r="NSG4" s="74"/>
      <c r="NSH4" s="74"/>
      <c r="NSI4" s="74"/>
      <c r="NSJ4" s="74"/>
      <c r="NSK4" s="74"/>
      <c r="NSL4" s="74"/>
      <c r="NSM4" s="74"/>
      <c r="NSN4" s="74"/>
      <c r="NSO4" s="74"/>
      <c r="NSP4" s="74"/>
      <c r="NSQ4" s="74"/>
      <c r="NSR4" s="74"/>
      <c r="NSS4" s="74"/>
      <c r="NST4" s="74"/>
      <c r="NSU4" s="74"/>
      <c r="NSV4" s="74"/>
      <c r="NSW4" s="74"/>
      <c r="NSX4" s="74"/>
      <c r="NSY4" s="74"/>
      <c r="NSZ4" s="74"/>
      <c r="NTA4" s="74"/>
      <c r="NTB4" s="74"/>
      <c r="NTC4" s="74"/>
      <c r="NTD4" s="74"/>
      <c r="NTE4" s="74"/>
      <c r="NTF4" s="74"/>
      <c r="NTG4" s="74"/>
      <c r="NTH4" s="74"/>
      <c r="NTI4" s="74"/>
      <c r="NTJ4" s="74"/>
      <c r="NTK4" s="74"/>
      <c r="NTL4" s="74"/>
      <c r="NTM4" s="74"/>
      <c r="NTN4" s="74"/>
      <c r="NTO4" s="74"/>
      <c r="NTP4" s="74"/>
      <c r="NTQ4" s="74"/>
      <c r="NTR4" s="74"/>
      <c r="NTS4" s="74"/>
      <c r="NTT4" s="74"/>
      <c r="NTU4" s="74"/>
      <c r="NTV4" s="74"/>
      <c r="NTW4" s="74"/>
      <c r="NTX4" s="74"/>
      <c r="NTY4" s="74"/>
      <c r="NTZ4" s="74"/>
      <c r="NUA4" s="74"/>
      <c r="NUB4" s="74"/>
      <c r="NUC4" s="74"/>
      <c r="NUD4" s="74"/>
      <c r="NUE4" s="74"/>
      <c r="NUF4" s="74"/>
      <c r="NUG4" s="74"/>
      <c r="NUH4" s="74"/>
      <c r="NUI4" s="74"/>
      <c r="NUJ4" s="74"/>
      <c r="NUK4" s="74"/>
      <c r="NUL4" s="74"/>
      <c r="NUM4" s="74"/>
      <c r="NUN4" s="74"/>
      <c r="NUO4" s="74"/>
      <c r="NUP4" s="74"/>
      <c r="NUQ4" s="74"/>
      <c r="NUR4" s="74"/>
      <c r="NUS4" s="74"/>
      <c r="NUT4" s="74"/>
      <c r="NUU4" s="74"/>
      <c r="NUV4" s="74"/>
      <c r="NUW4" s="74"/>
      <c r="NUX4" s="74"/>
      <c r="NUY4" s="74"/>
      <c r="NUZ4" s="74"/>
      <c r="NVA4" s="74"/>
      <c r="NVB4" s="74"/>
      <c r="NVC4" s="74"/>
      <c r="NVD4" s="74"/>
      <c r="NVE4" s="74"/>
      <c r="NVF4" s="74"/>
      <c r="NVG4" s="74"/>
      <c r="NVH4" s="74"/>
      <c r="NVI4" s="74"/>
      <c r="NVJ4" s="74"/>
      <c r="NVK4" s="74"/>
      <c r="NVL4" s="74"/>
      <c r="NVM4" s="74"/>
      <c r="NVN4" s="74"/>
      <c r="NVO4" s="74"/>
      <c r="NVP4" s="74"/>
      <c r="NVQ4" s="74"/>
      <c r="NVR4" s="74"/>
      <c r="NVS4" s="74"/>
      <c r="NVT4" s="74"/>
      <c r="NVU4" s="74"/>
      <c r="NVV4" s="74"/>
      <c r="NVW4" s="74"/>
      <c r="NVX4" s="74"/>
      <c r="NVY4" s="74"/>
      <c r="NVZ4" s="74"/>
      <c r="NWA4" s="74"/>
      <c r="NWB4" s="74"/>
      <c r="NWC4" s="74"/>
      <c r="NWD4" s="74"/>
      <c r="NWE4" s="74"/>
      <c r="NWF4" s="74"/>
      <c r="NWG4" s="74"/>
      <c r="NWH4" s="74"/>
      <c r="NWI4" s="74"/>
      <c r="NWJ4" s="74"/>
      <c r="NWK4" s="74"/>
      <c r="NWL4" s="74"/>
      <c r="NWM4" s="74"/>
      <c r="NWN4" s="74"/>
      <c r="NWO4" s="74"/>
      <c r="NWP4" s="74"/>
      <c r="NWQ4" s="74"/>
      <c r="NWR4" s="74"/>
      <c r="NWS4" s="74"/>
      <c r="NWT4" s="74"/>
      <c r="NWU4" s="74"/>
      <c r="NWV4" s="74"/>
      <c r="NWW4" s="74"/>
      <c r="NWX4" s="74"/>
      <c r="NWY4" s="74"/>
      <c r="NWZ4" s="74"/>
      <c r="NXA4" s="74"/>
      <c r="NXB4" s="74"/>
      <c r="NXC4" s="74"/>
      <c r="NXD4" s="74"/>
      <c r="NXE4" s="74"/>
      <c r="NXF4" s="74"/>
      <c r="NXG4" s="74"/>
      <c r="NXH4" s="74"/>
      <c r="NXI4" s="74"/>
      <c r="NXJ4" s="74"/>
      <c r="NXK4" s="74"/>
      <c r="NXL4" s="74"/>
      <c r="NXM4" s="74"/>
      <c r="NXN4" s="74"/>
      <c r="NXO4" s="74"/>
      <c r="NXP4" s="74"/>
      <c r="NXQ4" s="74"/>
      <c r="NXR4" s="74"/>
      <c r="NXS4" s="74"/>
      <c r="NXT4" s="74"/>
      <c r="NXU4" s="74"/>
      <c r="NXV4" s="74"/>
      <c r="NXW4" s="74"/>
      <c r="NXX4" s="74"/>
      <c r="NXY4" s="74"/>
      <c r="NXZ4" s="74"/>
      <c r="NYA4" s="74"/>
      <c r="NYB4" s="74"/>
      <c r="NYC4" s="74"/>
      <c r="NYD4" s="74"/>
      <c r="NYE4" s="74"/>
      <c r="NYF4" s="74"/>
      <c r="NYG4" s="74"/>
      <c r="NYH4" s="74"/>
      <c r="NYI4" s="74"/>
      <c r="NYJ4" s="74"/>
      <c r="NYK4" s="74"/>
      <c r="NYL4" s="74"/>
      <c r="NYM4" s="74"/>
      <c r="NYN4" s="74"/>
      <c r="NYO4" s="74"/>
      <c r="NYP4" s="74"/>
      <c r="NYQ4" s="74"/>
      <c r="NYR4" s="74"/>
      <c r="NYS4" s="74"/>
      <c r="NYT4" s="74"/>
      <c r="NYU4" s="74"/>
      <c r="NYV4" s="74"/>
      <c r="NYW4" s="74"/>
      <c r="NYX4" s="74"/>
      <c r="NYY4" s="74"/>
      <c r="NYZ4" s="74"/>
      <c r="NZA4" s="74"/>
      <c r="NZB4" s="74"/>
      <c r="NZC4" s="74"/>
      <c r="NZD4" s="74"/>
      <c r="NZE4" s="74"/>
      <c r="NZF4" s="74"/>
      <c r="NZG4" s="74"/>
      <c r="NZH4" s="74"/>
      <c r="NZI4" s="74"/>
      <c r="NZJ4" s="74"/>
      <c r="NZK4" s="74"/>
      <c r="NZL4" s="74"/>
      <c r="NZM4" s="74"/>
      <c r="NZN4" s="74"/>
      <c r="NZO4" s="74"/>
      <c r="NZP4" s="74"/>
      <c r="NZQ4" s="74"/>
      <c r="NZR4" s="74"/>
      <c r="NZS4" s="74"/>
      <c r="NZT4" s="74"/>
      <c r="NZU4" s="74"/>
      <c r="NZV4" s="74"/>
      <c r="NZW4" s="74"/>
      <c r="NZX4" s="74"/>
      <c r="NZY4" s="74"/>
      <c r="NZZ4" s="74"/>
      <c r="OAA4" s="74"/>
      <c r="OAB4" s="74"/>
      <c r="OAC4" s="74"/>
      <c r="OAD4" s="74"/>
      <c r="OAE4" s="74"/>
      <c r="OAF4" s="74"/>
      <c r="OAG4" s="74"/>
      <c r="OAH4" s="74"/>
      <c r="OAI4" s="74"/>
      <c r="OAJ4" s="74"/>
      <c r="OAK4" s="74"/>
      <c r="OAL4" s="74"/>
      <c r="OAM4" s="74"/>
      <c r="OAN4" s="74"/>
      <c r="OAO4" s="74"/>
      <c r="OAP4" s="74"/>
      <c r="OAQ4" s="74"/>
      <c r="OAR4" s="74"/>
      <c r="OAS4" s="74"/>
      <c r="OAT4" s="74"/>
      <c r="OAU4" s="74"/>
      <c r="OAV4" s="74"/>
      <c r="OAW4" s="74"/>
      <c r="OAX4" s="74"/>
      <c r="OAY4" s="74"/>
      <c r="OAZ4" s="74"/>
      <c r="OBA4" s="74"/>
      <c r="OBB4" s="74"/>
      <c r="OBC4" s="74"/>
      <c r="OBD4" s="74"/>
      <c r="OBE4" s="74"/>
      <c r="OBF4" s="74"/>
      <c r="OBG4" s="74"/>
      <c r="OBH4" s="74"/>
      <c r="OBI4" s="74"/>
      <c r="OBJ4" s="74"/>
      <c r="OBK4" s="74"/>
      <c r="OBL4" s="74"/>
      <c r="OBM4" s="74"/>
      <c r="OBN4" s="74"/>
      <c r="OBO4" s="74"/>
      <c r="OBP4" s="74"/>
      <c r="OBQ4" s="74"/>
      <c r="OBR4" s="74"/>
      <c r="OBS4" s="74"/>
      <c r="OBT4" s="74"/>
      <c r="OBU4" s="74"/>
      <c r="OBV4" s="74"/>
      <c r="OBW4" s="74"/>
      <c r="OBX4" s="74"/>
      <c r="OBY4" s="74"/>
      <c r="OBZ4" s="74"/>
      <c r="OCA4" s="74"/>
      <c r="OCB4" s="74"/>
      <c r="OCC4" s="74"/>
      <c r="OCD4" s="74"/>
      <c r="OCE4" s="74"/>
      <c r="OCF4" s="74"/>
      <c r="OCG4" s="74"/>
      <c r="OCH4" s="74"/>
      <c r="OCI4" s="74"/>
      <c r="OCJ4" s="74"/>
      <c r="OCK4" s="74"/>
      <c r="OCL4" s="74"/>
      <c r="OCM4" s="74"/>
      <c r="OCN4" s="74"/>
      <c r="OCO4" s="74"/>
      <c r="OCP4" s="74"/>
      <c r="OCQ4" s="74"/>
      <c r="OCR4" s="74"/>
      <c r="OCS4" s="74"/>
      <c r="OCT4" s="74"/>
      <c r="OCU4" s="74"/>
      <c r="OCV4" s="74"/>
      <c r="OCW4" s="74"/>
      <c r="OCX4" s="74"/>
      <c r="OCY4" s="74"/>
      <c r="OCZ4" s="74"/>
      <c r="ODA4" s="74"/>
      <c r="ODB4" s="74"/>
      <c r="ODC4" s="74"/>
      <c r="ODD4" s="74"/>
      <c r="ODE4" s="74"/>
      <c r="ODF4" s="74"/>
      <c r="ODG4" s="74"/>
      <c r="ODH4" s="74"/>
      <c r="ODI4" s="74"/>
      <c r="ODJ4" s="74"/>
      <c r="ODK4" s="74"/>
      <c r="ODL4" s="74"/>
      <c r="ODM4" s="74"/>
      <c r="ODN4" s="74"/>
      <c r="ODO4" s="74"/>
      <c r="ODP4" s="74"/>
      <c r="ODQ4" s="74"/>
      <c r="ODR4" s="74"/>
      <c r="ODS4" s="74"/>
      <c r="ODT4" s="74"/>
      <c r="ODU4" s="74"/>
      <c r="ODV4" s="74"/>
      <c r="ODW4" s="74"/>
      <c r="ODX4" s="74"/>
      <c r="ODY4" s="74"/>
      <c r="ODZ4" s="74"/>
      <c r="OEA4" s="74"/>
      <c r="OEB4" s="74"/>
      <c r="OEC4" s="74"/>
      <c r="OED4" s="74"/>
      <c r="OEE4" s="74"/>
      <c r="OEF4" s="74"/>
      <c r="OEG4" s="74"/>
      <c r="OEH4" s="74"/>
      <c r="OEI4" s="74"/>
      <c r="OEJ4" s="74"/>
      <c r="OEK4" s="74"/>
      <c r="OEL4" s="74"/>
      <c r="OEM4" s="74"/>
      <c r="OEN4" s="74"/>
      <c r="OEO4" s="74"/>
      <c r="OEP4" s="74"/>
      <c r="OEQ4" s="74"/>
      <c r="OER4" s="74"/>
      <c r="OES4" s="74"/>
      <c r="OET4" s="74"/>
      <c r="OEU4" s="74"/>
      <c r="OEV4" s="74"/>
      <c r="OEW4" s="74"/>
      <c r="OEX4" s="74"/>
      <c r="OEY4" s="74"/>
      <c r="OEZ4" s="74"/>
      <c r="OFA4" s="74"/>
      <c r="OFB4" s="74"/>
      <c r="OFC4" s="74"/>
      <c r="OFD4" s="74"/>
      <c r="OFE4" s="74"/>
      <c r="OFF4" s="74"/>
      <c r="OFG4" s="74"/>
      <c r="OFH4" s="74"/>
      <c r="OFI4" s="74"/>
      <c r="OFJ4" s="74"/>
      <c r="OFK4" s="74"/>
      <c r="OFL4" s="74"/>
      <c r="OFM4" s="74"/>
      <c r="OFN4" s="74"/>
      <c r="OFO4" s="74"/>
      <c r="OFP4" s="74"/>
      <c r="OFQ4" s="74"/>
      <c r="OFR4" s="74"/>
      <c r="OFS4" s="74"/>
      <c r="OFT4" s="74"/>
      <c r="OFU4" s="74"/>
      <c r="OFV4" s="74"/>
      <c r="OFW4" s="74"/>
      <c r="OFX4" s="74"/>
      <c r="OFY4" s="74"/>
      <c r="OFZ4" s="74"/>
      <c r="OGA4" s="74"/>
      <c r="OGB4" s="74"/>
      <c r="OGC4" s="74"/>
      <c r="OGD4" s="74"/>
      <c r="OGE4" s="74"/>
      <c r="OGF4" s="74"/>
      <c r="OGG4" s="74"/>
      <c r="OGH4" s="74"/>
      <c r="OGI4" s="74"/>
      <c r="OGJ4" s="74"/>
      <c r="OGK4" s="74"/>
      <c r="OGL4" s="74"/>
      <c r="OGM4" s="74"/>
      <c r="OGN4" s="74"/>
      <c r="OGO4" s="74"/>
      <c r="OGP4" s="74"/>
      <c r="OGQ4" s="74"/>
      <c r="OGR4" s="74"/>
      <c r="OGS4" s="74"/>
      <c r="OGT4" s="74"/>
      <c r="OGU4" s="74"/>
      <c r="OGV4" s="74"/>
      <c r="OGW4" s="74"/>
      <c r="OGX4" s="74"/>
      <c r="OGY4" s="74"/>
      <c r="OGZ4" s="74"/>
      <c r="OHA4" s="74"/>
      <c r="OHB4" s="74"/>
      <c r="OHC4" s="74"/>
      <c r="OHD4" s="74"/>
      <c r="OHE4" s="74"/>
      <c r="OHF4" s="74"/>
      <c r="OHG4" s="74"/>
      <c r="OHH4" s="74"/>
      <c r="OHI4" s="74"/>
      <c r="OHJ4" s="74"/>
      <c r="OHK4" s="74"/>
      <c r="OHL4" s="74"/>
      <c r="OHM4" s="74"/>
      <c r="OHN4" s="74"/>
      <c r="OHO4" s="74"/>
      <c r="OHP4" s="74"/>
      <c r="OHQ4" s="74"/>
      <c r="OHR4" s="74"/>
      <c r="OHS4" s="74"/>
      <c r="OHT4" s="74"/>
      <c r="OHU4" s="74"/>
      <c r="OHV4" s="74"/>
      <c r="OHW4" s="74"/>
      <c r="OHX4" s="74"/>
      <c r="OHY4" s="74"/>
      <c r="OHZ4" s="74"/>
      <c r="OIA4" s="74"/>
      <c r="OIB4" s="74"/>
      <c r="OIC4" s="74"/>
      <c r="OID4" s="74"/>
      <c r="OIE4" s="74"/>
      <c r="OIF4" s="74"/>
      <c r="OIG4" s="74"/>
      <c r="OIH4" s="74"/>
      <c r="OII4" s="74"/>
      <c r="OIJ4" s="74"/>
      <c r="OIK4" s="74"/>
      <c r="OIL4" s="74"/>
      <c r="OIM4" s="74"/>
      <c r="OIN4" s="74"/>
      <c r="OIO4" s="74"/>
      <c r="OIP4" s="74"/>
      <c r="OIQ4" s="74"/>
      <c r="OIR4" s="74"/>
      <c r="OIS4" s="74"/>
      <c r="OIT4" s="74"/>
      <c r="OIU4" s="74"/>
      <c r="OIV4" s="74"/>
      <c r="OIW4" s="74"/>
      <c r="OIX4" s="74"/>
      <c r="OIY4" s="74"/>
      <c r="OIZ4" s="74"/>
      <c r="OJA4" s="74"/>
      <c r="OJB4" s="74"/>
      <c r="OJC4" s="74"/>
      <c r="OJD4" s="74"/>
      <c r="OJE4" s="74"/>
      <c r="OJF4" s="74"/>
      <c r="OJG4" s="74"/>
      <c r="OJH4" s="74"/>
      <c r="OJI4" s="74"/>
      <c r="OJJ4" s="74"/>
      <c r="OJK4" s="74"/>
      <c r="OJL4" s="74"/>
      <c r="OJM4" s="74"/>
      <c r="OJN4" s="74"/>
      <c r="OJO4" s="74"/>
      <c r="OJP4" s="74"/>
      <c r="OJQ4" s="74"/>
      <c r="OJR4" s="74"/>
      <c r="OJS4" s="74"/>
      <c r="OJT4" s="74"/>
      <c r="OJU4" s="74"/>
      <c r="OJV4" s="74"/>
      <c r="OJW4" s="74"/>
      <c r="OJX4" s="74"/>
      <c r="OJY4" s="74"/>
      <c r="OJZ4" s="74"/>
      <c r="OKA4" s="74"/>
      <c r="OKB4" s="74"/>
      <c r="OKC4" s="74"/>
      <c r="OKD4" s="74"/>
      <c r="OKE4" s="74"/>
      <c r="OKF4" s="74"/>
      <c r="OKG4" s="74"/>
      <c r="OKH4" s="74"/>
      <c r="OKI4" s="74"/>
      <c r="OKJ4" s="74"/>
      <c r="OKK4" s="74"/>
      <c r="OKL4" s="74"/>
      <c r="OKM4" s="74"/>
      <c r="OKN4" s="74"/>
      <c r="OKO4" s="74"/>
      <c r="OKP4" s="74"/>
      <c r="OKQ4" s="74"/>
      <c r="OKR4" s="74"/>
      <c r="OKS4" s="74"/>
      <c r="OKT4" s="74"/>
      <c r="OKU4" s="74"/>
      <c r="OKV4" s="74"/>
      <c r="OKW4" s="74"/>
      <c r="OKX4" s="74"/>
      <c r="OKY4" s="74"/>
      <c r="OKZ4" s="74"/>
      <c r="OLA4" s="74"/>
      <c r="OLB4" s="74"/>
      <c r="OLC4" s="74"/>
      <c r="OLD4" s="74"/>
      <c r="OLE4" s="74"/>
      <c r="OLF4" s="74"/>
      <c r="OLG4" s="74"/>
      <c r="OLH4" s="74"/>
      <c r="OLI4" s="74"/>
      <c r="OLJ4" s="74"/>
      <c r="OLK4" s="74"/>
      <c r="OLL4" s="74"/>
      <c r="OLM4" s="74"/>
      <c r="OLN4" s="74"/>
      <c r="OLO4" s="74"/>
      <c r="OLP4" s="74"/>
      <c r="OLQ4" s="74"/>
      <c r="OLR4" s="74"/>
      <c r="OLS4" s="74"/>
      <c r="OLT4" s="74"/>
      <c r="OLU4" s="74"/>
      <c r="OLV4" s="74"/>
      <c r="OLW4" s="74"/>
      <c r="OLX4" s="74"/>
      <c r="OLY4" s="74"/>
      <c r="OLZ4" s="74"/>
      <c r="OMA4" s="74"/>
      <c r="OMB4" s="74"/>
      <c r="OMC4" s="74"/>
      <c r="OMD4" s="74"/>
      <c r="OME4" s="74"/>
      <c r="OMF4" s="74"/>
      <c r="OMG4" s="74"/>
      <c r="OMH4" s="74"/>
      <c r="OMI4" s="74"/>
      <c r="OMJ4" s="74"/>
      <c r="OMK4" s="74"/>
      <c r="OML4" s="74"/>
      <c r="OMM4" s="74"/>
      <c r="OMN4" s="74"/>
      <c r="OMO4" s="74"/>
      <c r="OMP4" s="74"/>
      <c r="OMQ4" s="74"/>
      <c r="OMR4" s="74"/>
      <c r="OMS4" s="74"/>
      <c r="OMT4" s="74"/>
      <c r="OMU4" s="74"/>
      <c r="OMV4" s="74"/>
      <c r="OMW4" s="74"/>
      <c r="OMX4" s="74"/>
      <c r="OMY4" s="74"/>
      <c r="OMZ4" s="74"/>
      <c r="ONA4" s="74"/>
      <c r="ONB4" s="74"/>
      <c r="ONC4" s="74"/>
      <c r="OND4" s="74"/>
      <c r="ONE4" s="74"/>
      <c r="ONF4" s="74"/>
      <c r="ONG4" s="74"/>
      <c r="ONH4" s="74"/>
      <c r="ONI4" s="74"/>
      <c r="ONJ4" s="74"/>
      <c r="ONK4" s="74"/>
      <c r="ONL4" s="74"/>
      <c r="ONM4" s="74"/>
      <c r="ONN4" s="74"/>
      <c r="ONO4" s="74"/>
      <c r="ONP4" s="74"/>
      <c r="ONQ4" s="74"/>
      <c r="ONR4" s="74"/>
      <c r="ONS4" s="74"/>
      <c r="ONT4" s="74"/>
      <c r="ONU4" s="74"/>
      <c r="ONV4" s="74"/>
      <c r="ONW4" s="74"/>
      <c r="ONX4" s="74"/>
      <c r="ONY4" s="74"/>
      <c r="ONZ4" s="74"/>
      <c r="OOA4" s="74"/>
      <c r="OOB4" s="74"/>
      <c r="OOC4" s="74"/>
      <c r="OOD4" s="74"/>
      <c r="OOE4" s="74"/>
      <c r="OOF4" s="74"/>
      <c r="OOG4" s="74"/>
      <c r="OOH4" s="74"/>
      <c r="OOI4" s="74"/>
      <c r="OOJ4" s="74"/>
      <c r="OOK4" s="74"/>
      <c r="OOL4" s="74"/>
      <c r="OOM4" s="74"/>
      <c r="OON4" s="74"/>
      <c r="OOO4" s="74"/>
      <c r="OOP4" s="74"/>
      <c r="OOQ4" s="74"/>
      <c r="OOR4" s="74"/>
      <c r="OOS4" s="74"/>
      <c r="OOT4" s="74"/>
      <c r="OOU4" s="74"/>
      <c r="OOV4" s="74"/>
      <c r="OOW4" s="74"/>
      <c r="OOX4" s="74"/>
      <c r="OOY4" s="74"/>
      <c r="OOZ4" s="74"/>
      <c r="OPA4" s="74"/>
      <c r="OPB4" s="74"/>
      <c r="OPC4" s="74"/>
      <c r="OPD4" s="74"/>
      <c r="OPE4" s="74"/>
      <c r="OPF4" s="74"/>
      <c r="OPG4" s="74"/>
      <c r="OPH4" s="74"/>
      <c r="OPI4" s="74"/>
      <c r="OPJ4" s="74"/>
      <c r="OPK4" s="74"/>
      <c r="OPL4" s="74"/>
      <c r="OPM4" s="74"/>
      <c r="OPN4" s="74"/>
      <c r="OPO4" s="74"/>
      <c r="OPP4" s="74"/>
      <c r="OPQ4" s="74"/>
      <c r="OPR4" s="74"/>
      <c r="OPS4" s="74"/>
      <c r="OPT4" s="74"/>
      <c r="OPU4" s="74"/>
      <c r="OPV4" s="74"/>
      <c r="OPW4" s="74"/>
      <c r="OPX4" s="74"/>
      <c r="OPY4" s="74"/>
      <c r="OPZ4" s="74"/>
      <c r="OQA4" s="74"/>
      <c r="OQB4" s="74"/>
      <c r="OQC4" s="74"/>
      <c r="OQD4" s="74"/>
      <c r="OQE4" s="74"/>
      <c r="OQF4" s="74"/>
      <c r="OQG4" s="74"/>
      <c r="OQH4" s="74"/>
      <c r="OQI4" s="74"/>
      <c r="OQJ4" s="74"/>
      <c r="OQK4" s="74"/>
      <c r="OQL4" s="74"/>
      <c r="OQM4" s="74"/>
      <c r="OQN4" s="74"/>
      <c r="OQO4" s="74"/>
      <c r="OQP4" s="74"/>
      <c r="OQQ4" s="74"/>
      <c r="OQR4" s="74"/>
      <c r="OQS4" s="74"/>
      <c r="OQT4" s="74"/>
      <c r="OQU4" s="74"/>
      <c r="OQV4" s="74"/>
      <c r="OQW4" s="74"/>
      <c r="OQX4" s="74"/>
      <c r="OQY4" s="74"/>
      <c r="OQZ4" s="74"/>
      <c r="ORA4" s="74"/>
      <c r="ORB4" s="74"/>
      <c r="ORC4" s="74"/>
      <c r="ORD4" s="74"/>
      <c r="ORE4" s="74"/>
      <c r="ORF4" s="74"/>
      <c r="ORG4" s="74"/>
      <c r="ORH4" s="74"/>
      <c r="ORI4" s="74"/>
      <c r="ORJ4" s="74"/>
      <c r="ORK4" s="74"/>
      <c r="ORL4" s="74"/>
      <c r="ORM4" s="74"/>
      <c r="ORN4" s="74"/>
      <c r="ORO4" s="74"/>
      <c r="ORP4" s="74"/>
      <c r="ORQ4" s="74"/>
      <c r="ORR4" s="74"/>
      <c r="ORS4" s="74"/>
      <c r="ORT4" s="74"/>
      <c r="ORU4" s="74"/>
      <c r="ORV4" s="74"/>
      <c r="ORW4" s="74"/>
      <c r="ORX4" s="74"/>
      <c r="ORY4" s="74"/>
      <c r="ORZ4" s="74"/>
      <c r="OSA4" s="74"/>
      <c r="OSB4" s="74"/>
      <c r="OSC4" s="74"/>
      <c r="OSD4" s="74"/>
      <c r="OSE4" s="74"/>
      <c r="OSF4" s="74"/>
      <c r="OSG4" s="74"/>
      <c r="OSH4" s="74"/>
      <c r="OSI4" s="74"/>
      <c r="OSJ4" s="74"/>
      <c r="OSK4" s="74"/>
      <c r="OSL4" s="74"/>
      <c r="OSM4" s="74"/>
      <c r="OSN4" s="74"/>
      <c r="OSO4" s="74"/>
      <c r="OSP4" s="74"/>
      <c r="OSQ4" s="74"/>
      <c r="OSR4" s="74"/>
      <c r="OSS4" s="74"/>
      <c r="OST4" s="74"/>
      <c r="OSU4" s="74"/>
      <c r="OSV4" s="74"/>
      <c r="OSW4" s="74"/>
      <c r="OSX4" s="74"/>
      <c r="OSY4" s="74"/>
      <c r="OSZ4" s="74"/>
      <c r="OTA4" s="74"/>
      <c r="OTB4" s="74"/>
      <c r="OTC4" s="74"/>
      <c r="OTD4" s="74"/>
      <c r="OTE4" s="74"/>
      <c r="OTF4" s="74"/>
      <c r="OTG4" s="74"/>
      <c r="OTH4" s="74"/>
      <c r="OTI4" s="74"/>
      <c r="OTJ4" s="74"/>
      <c r="OTK4" s="74"/>
      <c r="OTL4" s="74"/>
      <c r="OTM4" s="74"/>
      <c r="OTN4" s="74"/>
      <c r="OTO4" s="74"/>
      <c r="OTP4" s="74"/>
      <c r="OTQ4" s="74"/>
      <c r="OTR4" s="74"/>
      <c r="OTS4" s="74"/>
      <c r="OTT4" s="74"/>
      <c r="OTU4" s="74"/>
      <c r="OTV4" s="74"/>
      <c r="OTW4" s="74"/>
      <c r="OTX4" s="74"/>
      <c r="OTY4" s="74"/>
      <c r="OTZ4" s="74"/>
      <c r="OUA4" s="74"/>
      <c r="OUB4" s="74"/>
      <c r="OUC4" s="74"/>
      <c r="OUD4" s="74"/>
      <c r="OUE4" s="74"/>
      <c r="OUF4" s="74"/>
      <c r="OUG4" s="74"/>
      <c r="OUH4" s="74"/>
      <c r="OUI4" s="74"/>
      <c r="OUJ4" s="74"/>
      <c r="OUK4" s="74"/>
      <c r="OUL4" s="74"/>
      <c r="OUM4" s="74"/>
      <c r="OUN4" s="74"/>
      <c r="OUO4" s="74"/>
      <c r="OUP4" s="74"/>
      <c r="OUQ4" s="74"/>
      <c r="OUR4" s="74"/>
      <c r="OUS4" s="74"/>
      <c r="OUT4" s="74"/>
      <c r="OUU4" s="74"/>
      <c r="OUV4" s="74"/>
      <c r="OUW4" s="74"/>
      <c r="OUX4" s="74"/>
      <c r="OUY4" s="74"/>
      <c r="OUZ4" s="74"/>
      <c r="OVA4" s="74"/>
      <c r="OVB4" s="74"/>
      <c r="OVC4" s="74"/>
      <c r="OVD4" s="74"/>
      <c r="OVE4" s="74"/>
      <c r="OVF4" s="74"/>
      <c r="OVG4" s="74"/>
      <c r="OVH4" s="74"/>
      <c r="OVI4" s="74"/>
      <c r="OVJ4" s="74"/>
      <c r="OVK4" s="74"/>
      <c r="OVL4" s="74"/>
      <c r="OVM4" s="74"/>
      <c r="OVN4" s="74"/>
      <c r="OVO4" s="74"/>
      <c r="OVP4" s="74"/>
      <c r="OVQ4" s="74"/>
      <c r="OVR4" s="74"/>
      <c r="OVS4" s="74"/>
      <c r="OVT4" s="74"/>
      <c r="OVU4" s="74"/>
      <c r="OVV4" s="74"/>
      <c r="OVW4" s="74"/>
      <c r="OVX4" s="74"/>
      <c r="OVY4" s="74"/>
      <c r="OVZ4" s="74"/>
      <c r="OWA4" s="74"/>
      <c r="OWB4" s="74"/>
      <c r="OWC4" s="74"/>
      <c r="OWD4" s="74"/>
      <c r="OWE4" s="74"/>
      <c r="OWF4" s="74"/>
      <c r="OWG4" s="74"/>
      <c r="OWH4" s="74"/>
      <c r="OWI4" s="74"/>
      <c r="OWJ4" s="74"/>
      <c r="OWK4" s="74"/>
      <c r="OWL4" s="74"/>
      <c r="OWM4" s="74"/>
      <c r="OWN4" s="74"/>
      <c r="OWO4" s="74"/>
      <c r="OWP4" s="74"/>
      <c r="OWQ4" s="74"/>
      <c r="OWR4" s="74"/>
      <c r="OWS4" s="74"/>
      <c r="OWT4" s="74"/>
      <c r="OWU4" s="74"/>
      <c r="OWV4" s="74"/>
      <c r="OWW4" s="74"/>
      <c r="OWX4" s="74"/>
      <c r="OWY4" s="74"/>
      <c r="OWZ4" s="74"/>
      <c r="OXA4" s="74"/>
      <c r="OXB4" s="74"/>
      <c r="OXC4" s="74"/>
      <c r="OXD4" s="74"/>
      <c r="OXE4" s="74"/>
      <c r="OXF4" s="74"/>
      <c r="OXG4" s="74"/>
      <c r="OXH4" s="74"/>
      <c r="OXI4" s="74"/>
      <c r="OXJ4" s="74"/>
      <c r="OXK4" s="74"/>
      <c r="OXL4" s="74"/>
      <c r="OXM4" s="74"/>
      <c r="OXN4" s="74"/>
      <c r="OXO4" s="74"/>
      <c r="OXP4" s="74"/>
      <c r="OXQ4" s="74"/>
      <c r="OXR4" s="74"/>
      <c r="OXS4" s="74"/>
      <c r="OXT4" s="74"/>
      <c r="OXU4" s="74"/>
      <c r="OXV4" s="74"/>
      <c r="OXW4" s="74"/>
      <c r="OXX4" s="74"/>
      <c r="OXY4" s="74"/>
      <c r="OXZ4" s="74"/>
      <c r="OYA4" s="74"/>
      <c r="OYB4" s="74"/>
      <c r="OYC4" s="74"/>
      <c r="OYD4" s="74"/>
      <c r="OYE4" s="74"/>
      <c r="OYF4" s="74"/>
      <c r="OYG4" s="74"/>
      <c r="OYH4" s="74"/>
      <c r="OYI4" s="74"/>
      <c r="OYJ4" s="74"/>
      <c r="OYK4" s="74"/>
      <c r="OYL4" s="74"/>
      <c r="OYM4" s="74"/>
      <c r="OYN4" s="74"/>
      <c r="OYO4" s="74"/>
      <c r="OYP4" s="74"/>
      <c r="OYQ4" s="74"/>
      <c r="OYR4" s="74"/>
      <c r="OYS4" s="74"/>
      <c r="OYT4" s="74"/>
      <c r="OYU4" s="74"/>
      <c r="OYV4" s="74"/>
      <c r="OYW4" s="74"/>
      <c r="OYX4" s="74"/>
      <c r="OYY4" s="74"/>
      <c r="OYZ4" s="74"/>
      <c r="OZA4" s="74"/>
      <c r="OZB4" s="74"/>
      <c r="OZC4" s="74"/>
      <c r="OZD4" s="74"/>
      <c r="OZE4" s="74"/>
      <c r="OZF4" s="74"/>
      <c r="OZG4" s="74"/>
      <c r="OZH4" s="74"/>
      <c r="OZI4" s="74"/>
      <c r="OZJ4" s="74"/>
      <c r="OZK4" s="74"/>
      <c r="OZL4" s="74"/>
      <c r="OZM4" s="74"/>
      <c r="OZN4" s="74"/>
      <c r="OZO4" s="74"/>
      <c r="OZP4" s="74"/>
      <c r="OZQ4" s="74"/>
      <c r="OZR4" s="74"/>
      <c r="OZS4" s="74"/>
      <c r="OZT4" s="74"/>
      <c r="OZU4" s="74"/>
      <c r="OZV4" s="74"/>
      <c r="OZW4" s="74"/>
      <c r="OZX4" s="74"/>
      <c r="OZY4" s="74"/>
      <c r="OZZ4" s="74"/>
      <c r="PAA4" s="74"/>
      <c r="PAB4" s="74"/>
      <c r="PAC4" s="74"/>
      <c r="PAD4" s="74"/>
      <c r="PAE4" s="74"/>
      <c r="PAF4" s="74"/>
      <c r="PAG4" s="74"/>
      <c r="PAH4" s="74"/>
      <c r="PAI4" s="74"/>
      <c r="PAJ4" s="74"/>
      <c r="PAK4" s="74"/>
      <c r="PAL4" s="74"/>
      <c r="PAM4" s="74"/>
      <c r="PAN4" s="74"/>
      <c r="PAO4" s="74"/>
      <c r="PAP4" s="74"/>
      <c r="PAQ4" s="74"/>
      <c r="PAR4" s="74"/>
      <c r="PAS4" s="74"/>
      <c r="PAT4" s="74"/>
      <c r="PAU4" s="74"/>
      <c r="PAV4" s="74"/>
      <c r="PAW4" s="74"/>
      <c r="PAX4" s="74"/>
      <c r="PAY4" s="74"/>
      <c r="PAZ4" s="74"/>
      <c r="PBA4" s="74"/>
      <c r="PBB4" s="74"/>
      <c r="PBC4" s="74"/>
      <c r="PBD4" s="74"/>
      <c r="PBE4" s="74"/>
      <c r="PBF4" s="74"/>
      <c r="PBG4" s="74"/>
      <c r="PBH4" s="74"/>
      <c r="PBI4" s="74"/>
      <c r="PBJ4" s="74"/>
      <c r="PBK4" s="74"/>
      <c r="PBL4" s="74"/>
      <c r="PBM4" s="74"/>
      <c r="PBN4" s="74"/>
      <c r="PBO4" s="74"/>
      <c r="PBP4" s="74"/>
      <c r="PBQ4" s="74"/>
      <c r="PBR4" s="74"/>
      <c r="PBS4" s="74"/>
      <c r="PBT4" s="74"/>
      <c r="PBU4" s="74"/>
      <c r="PBV4" s="74"/>
      <c r="PBW4" s="74"/>
      <c r="PBX4" s="74"/>
      <c r="PBY4" s="74"/>
      <c r="PBZ4" s="74"/>
      <c r="PCA4" s="74"/>
      <c r="PCB4" s="74"/>
      <c r="PCC4" s="74"/>
      <c r="PCD4" s="74"/>
      <c r="PCE4" s="74"/>
      <c r="PCF4" s="74"/>
      <c r="PCG4" s="74"/>
      <c r="PCH4" s="74"/>
      <c r="PCI4" s="74"/>
      <c r="PCJ4" s="74"/>
      <c r="PCK4" s="74"/>
      <c r="PCL4" s="74"/>
      <c r="PCM4" s="74"/>
      <c r="PCN4" s="74"/>
      <c r="PCO4" s="74"/>
      <c r="PCP4" s="74"/>
      <c r="PCQ4" s="74"/>
      <c r="PCR4" s="74"/>
      <c r="PCS4" s="74"/>
      <c r="PCT4" s="74"/>
      <c r="PCU4" s="74"/>
      <c r="PCV4" s="74"/>
      <c r="PCW4" s="74"/>
      <c r="PCX4" s="74"/>
      <c r="PCY4" s="74"/>
      <c r="PCZ4" s="74"/>
      <c r="PDA4" s="74"/>
      <c r="PDB4" s="74"/>
      <c r="PDC4" s="74"/>
      <c r="PDD4" s="74"/>
      <c r="PDE4" s="74"/>
      <c r="PDF4" s="74"/>
      <c r="PDG4" s="74"/>
      <c r="PDH4" s="74"/>
      <c r="PDI4" s="74"/>
      <c r="PDJ4" s="74"/>
      <c r="PDK4" s="74"/>
      <c r="PDL4" s="74"/>
      <c r="PDM4" s="74"/>
      <c r="PDN4" s="74"/>
      <c r="PDO4" s="74"/>
      <c r="PDP4" s="74"/>
      <c r="PDQ4" s="74"/>
      <c r="PDR4" s="74"/>
      <c r="PDS4" s="74"/>
      <c r="PDT4" s="74"/>
      <c r="PDU4" s="74"/>
      <c r="PDV4" s="74"/>
      <c r="PDW4" s="74"/>
      <c r="PDX4" s="74"/>
      <c r="PDY4" s="74"/>
      <c r="PDZ4" s="74"/>
      <c r="PEA4" s="74"/>
      <c r="PEB4" s="74"/>
      <c r="PEC4" s="74"/>
      <c r="PED4" s="74"/>
      <c r="PEE4" s="74"/>
      <c r="PEF4" s="74"/>
      <c r="PEG4" s="74"/>
      <c r="PEH4" s="74"/>
      <c r="PEI4" s="74"/>
      <c r="PEJ4" s="74"/>
      <c r="PEK4" s="74"/>
      <c r="PEL4" s="74"/>
      <c r="PEM4" s="74"/>
      <c r="PEN4" s="74"/>
      <c r="PEO4" s="74"/>
      <c r="PEP4" s="74"/>
      <c r="PEQ4" s="74"/>
      <c r="PER4" s="74"/>
      <c r="PES4" s="74"/>
      <c r="PET4" s="74"/>
      <c r="PEU4" s="74"/>
      <c r="PEV4" s="74"/>
      <c r="PEW4" s="74"/>
      <c r="PEX4" s="74"/>
      <c r="PEY4" s="74"/>
      <c r="PEZ4" s="74"/>
      <c r="PFA4" s="74"/>
      <c r="PFB4" s="74"/>
      <c r="PFC4" s="74"/>
      <c r="PFD4" s="74"/>
      <c r="PFE4" s="74"/>
      <c r="PFF4" s="74"/>
      <c r="PFG4" s="74"/>
      <c r="PFH4" s="74"/>
      <c r="PFI4" s="74"/>
      <c r="PFJ4" s="74"/>
      <c r="PFK4" s="74"/>
      <c r="PFL4" s="74"/>
      <c r="PFM4" s="74"/>
      <c r="PFN4" s="74"/>
      <c r="PFO4" s="74"/>
      <c r="PFP4" s="74"/>
      <c r="PFQ4" s="74"/>
      <c r="PFR4" s="74"/>
      <c r="PFS4" s="74"/>
      <c r="PFT4" s="74"/>
      <c r="PFU4" s="74"/>
      <c r="PFV4" s="74"/>
      <c r="PFW4" s="74"/>
      <c r="PFX4" s="74"/>
      <c r="PFY4" s="74"/>
      <c r="PFZ4" s="74"/>
      <c r="PGA4" s="74"/>
      <c r="PGB4" s="74"/>
      <c r="PGC4" s="74"/>
      <c r="PGD4" s="74"/>
      <c r="PGE4" s="74"/>
      <c r="PGF4" s="74"/>
      <c r="PGG4" s="74"/>
      <c r="PGH4" s="74"/>
      <c r="PGI4" s="74"/>
      <c r="PGJ4" s="74"/>
      <c r="PGK4" s="74"/>
      <c r="PGL4" s="74"/>
      <c r="PGM4" s="74"/>
      <c r="PGN4" s="74"/>
      <c r="PGO4" s="74"/>
      <c r="PGP4" s="74"/>
      <c r="PGQ4" s="74"/>
      <c r="PGR4" s="74"/>
      <c r="PGS4" s="74"/>
      <c r="PGT4" s="74"/>
      <c r="PGU4" s="74"/>
      <c r="PGV4" s="74"/>
      <c r="PGW4" s="74"/>
      <c r="PGX4" s="74"/>
      <c r="PGY4" s="74"/>
      <c r="PGZ4" s="74"/>
      <c r="PHA4" s="74"/>
      <c r="PHB4" s="74"/>
      <c r="PHC4" s="74"/>
      <c r="PHD4" s="74"/>
      <c r="PHE4" s="74"/>
      <c r="PHF4" s="74"/>
      <c r="PHG4" s="74"/>
      <c r="PHH4" s="74"/>
      <c r="PHI4" s="74"/>
      <c r="PHJ4" s="74"/>
      <c r="PHK4" s="74"/>
      <c r="PHL4" s="74"/>
      <c r="PHM4" s="74"/>
      <c r="PHN4" s="74"/>
      <c r="PHO4" s="74"/>
      <c r="PHP4" s="74"/>
      <c r="PHQ4" s="74"/>
      <c r="PHR4" s="74"/>
      <c r="PHS4" s="74"/>
      <c r="PHT4" s="74"/>
      <c r="PHU4" s="74"/>
      <c r="PHV4" s="74"/>
      <c r="PHW4" s="74"/>
      <c r="PHX4" s="74"/>
      <c r="PHY4" s="74"/>
      <c r="PHZ4" s="74"/>
      <c r="PIA4" s="74"/>
      <c r="PIB4" s="74"/>
      <c r="PIC4" s="74"/>
      <c r="PID4" s="74"/>
      <c r="PIE4" s="74"/>
      <c r="PIF4" s="74"/>
      <c r="PIG4" s="74"/>
      <c r="PIH4" s="74"/>
      <c r="PII4" s="74"/>
      <c r="PIJ4" s="74"/>
      <c r="PIK4" s="74"/>
      <c r="PIL4" s="74"/>
      <c r="PIM4" s="74"/>
      <c r="PIN4" s="74"/>
      <c r="PIO4" s="74"/>
      <c r="PIP4" s="74"/>
      <c r="PIQ4" s="74"/>
      <c r="PIR4" s="74"/>
      <c r="PIS4" s="74"/>
      <c r="PIT4" s="74"/>
      <c r="PIU4" s="74"/>
      <c r="PIV4" s="74"/>
      <c r="PIW4" s="74"/>
      <c r="PIX4" s="74"/>
      <c r="PIY4" s="74"/>
      <c r="PIZ4" s="74"/>
      <c r="PJA4" s="74"/>
      <c r="PJB4" s="74"/>
      <c r="PJC4" s="74"/>
      <c r="PJD4" s="74"/>
      <c r="PJE4" s="74"/>
      <c r="PJF4" s="74"/>
      <c r="PJG4" s="74"/>
      <c r="PJH4" s="74"/>
      <c r="PJI4" s="74"/>
      <c r="PJJ4" s="74"/>
      <c r="PJK4" s="74"/>
      <c r="PJL4" s="74"/>
      <c r="PJM4" s="74"/>
      <c r="PJN4" s="74"/>
      <c r="PJO4" s="74"/>
      <c r="PJP4" s="74"/>
      <c r="PJQ4" s="74"/>
      <c r="PJR4" s="74"/>
      <c r="PJS4" s="74"/>
      <c r="PJT4" s="74"/>
      <c r="PJU4" s="74"/>
      <c r="PJV4" s="74"/>
      <c r="PJW4" s="74"/>
      <c r="PJX4" s="74"/>
      <c r="PJY4" s="74"/>
      <c r="PJZ4" s="74"/>
      <c r="PKA4" s="74"/>
      <c r="PKB4" s="74"/>
      <c r="PKC4" s="74"/>
      <c r="PKD4" s="74"/>
      <c r="PKE4" s="74"/>
      <c r="PKF4" s="74"/>
      <c r="PKG4" s="74"/>
      <c r="PKH4" s="74"/>
      <c r="PKI4" s="74"/>
      <c r="PKJ4" s="74"/>
      <c r="PKK4" s="74"/>
      <c r="PKL4" s="74"/>
      <c r="PKM4" s="74"/>
      <c r="PKN4" s="74"/>
      <c r="PKO4" s="74"/>
      <c r="PKP4" s="74"/>
      <c r="PKQ4" s="74"/>
      <c r="PKR4" s="74"/>
      <c r="PKS4" s="74"/>
      <c r="PKT4" s="74"/>
      <c r="PKU4" s="74"/>
      <c r="PKV4" s="74"/>
      <c r="PKW4" s="74"/>
      <c r="PKX4" s="74"/>
      <c r="PKY4" s="74"/>
      <c r="PKZ4" s="74"/>
      <c r="PLA4" s="74"/>
      <c r="PLB4" s="74"/>
      <c r="PLC4" s="74"/>
      <c r="PLD4" s="74"/>
      <c r="PLE4" s="74"/>
      <c r="PLF4" s="74"/>
      <c r="PLG4" s="74"/>
      <c r="PLH4" s="74"/>
      <c r="PLI4" s="74"/>
      <c r="PLJ4" s="74"/>
      <c r="PLK4" s="74"/>
      <c r="PLL4" s="74"/>
      <c r="PLM4" s="74"/>
      <c r="PLN4" s="74"/>
      <c r="PLO4" s="74"/>
      <c r="PLP4" s="74"/>
      <c r="PLQ4" s="74"/>
      <c r="PLR4" s="74"/>
      <c r="PLS4" s="74"/>
      <c r="PLT4" s="74"/>
      <c r="PLU4" s="74"/>
      <c r="PLV4" s="74"/>
      <c r="PLW4" s="74"/>
      <c r="PLX4" s="74"/>
      <c r="PLY4" s="74"/>
      <c r="PLZ4" s="74"/>
      <c r="PMA4" s="74"/>
      <c r="PMB4" s="74"/>
      <c r="PMC4" s="74"/>
      <c r="PMD4" s="74"/>
      <c r="PME4" s="74"/>
      <c r="PMF4" s="74"/>
      <c r="PMG4" s="74"/>
      <c r="PMH4" s="74"/>
      <c r="PMI4" s="74"/>
      <c r="PMJ4" s="74"/>
      <c r="PMK4" s="74"/>
      <c r="PML4" s="74"/>
      <c r="PMM4" s="74"/>
      <c r="PMN4" s="74"/>
      <c r="PMO4" s="74"/>
      <c r="PMP4" s="74"/>
      <c r="PMQ4" s="74"/>
      <c r="PMR4" s="74"/>
      <c r="PMS4" s="74"/>
      <c r="PMT4" s="74"/>
      <c r="PMU4" s="74"/>
      <c r="PMV4" s="74"/>
      <c r="PMW4" s="74"/>
      <c r="PMX4" s="74"/>
      <c r="PMY4" s="74"/>
      <c r="PMZ4" s="74"/>
      <c r="PNA4" s="74"/>
      <c r="PNB4" s="74"/>
      <c r="PNC4" s="74"/>
      <c r="PND4" s="74"/>
      <c r="PNE4" s="74"/>
      <c r="PNF4" s="74"/>
      <c r="PNG4" s="74"/>
      <c r="PNH4" s="74"/>
      <c r="PNI4" s="74"/>
      <c r="PNJ4" s="74"/>
      <c r="PNK4" s="74"/>
      <c r="PNL4" s="74"/>
      <c r="PNM4" s="74"/>
      <c r="PNN4" s="74"/>
      <c r="PNO4" s="74"/>
      <c r="PNP4" s="74"/>
      <c r="PNQ4" s="74"/>
      <c r="PNR4" s="74"/>
      <c r="PNS4" s="74"/>
      <c r="PNT4" s="74"/>
      <c r="PNU4" s="74"/>
      <c r="PNV4" s="74"/>
      <c r="PNW4" s="74"/>
      <c r="PNX4" s="74"/>
      <c r="PNY4" s="74"/>
      <c r="PNZ4" s="74"/>
      <c r="POA4" s="74"/>
      <c r="POB4" s="74"/>
      <c r="POC4" s="74"/>
      <c r="POD4" s="74"/>
      <c r="POE4" s="74"/>
      <c r="POF4" s="74"/>
      <c r="POG4" s="74"/>
      <c r="POH4" s="74"/>
      <c r="POI4" s="74"/>
      <c r="POJ4" s="74"/>
      <c r="POK4" s="74"/>
      <c r="POL4" s="74"/>
      <c r="POM4" s="74"/>
      <c r="PON4" s="74"/>
      <c r="POO4" s="74"/>
      <c r="POP4" s="74"/>
      <c r="POQ4" s="74"/>
      <c r="POR4" s="74"/>
      <c r="POS4" s="74"/>
      <c r="POT4" s="74"/>
      <c r="POU4" s="74"/>
      <c r="POV4" s="74"/>
      <c r="POW4" s="74"/>
      <c r="POX4" s="74"/>
      <c r="POY4" s="74"/>
      <c r="POZ4" s="74"/>
      <c r="PPA4" s="74"/>
      <c r="PPB4" s="74"/>
      <c r="PPC4" s="74"/>
      <c r="PPD4" s="74"/>
      <c r="PPE4" s="74"/>
      <c r="PPF4" s="74"/>
      <c r="PPG4" s="74"/>
      <c r="PPH4" s="74"/>
      <c r="PPI4" s="74"/>
      <c r="PPJ4" s="74"/>
      <c r="PPK4" s="74"/>
      <c r="PPL4" s="74"/>
      <c r="PPM4" s="74"/>
      <c r="PPN4" s="74"/>
      <c r="PPO4" s="74"/>
      <c r="PPP4" s="74"/>
      <c r="PPQ4" s="74"/>
      <c r="PPR4" s="74"/>
      <c r="PPS4" s="74"/>
      <c r="PPT4" s="74"/>
      <c r="PPU4" s="74"/>
      <c r="PPV4" s="74"/>
      <c r="PPW4" s="74"/>
      <c r="PPX4" s="74"/>
      <c r="PPY4" s="74"/>
      <c r="PPZ4" s="74"/>
      <c r="PQA4" s="74"/>
      <c r="PQB4" s="74"/>
      <c r="PQC4" s="74"/>
      <c r="PQD4" s="74"/>
      <c r="PQE4" s="74"/>
      <c r="PQF4" s="74"/>
      <c r="PQG4" s="74"/>
      <c r="PQH4" s="74"/>
      <c r="PQI4" s="74"/>
      <c r="PQJ4" s="74"/>
      <c r="PQK4" s="74"/>
      <c r="PQL4" s="74"/>
      <c r="PQM4" s="74"/>
      <c r="PQN4" s="74"/>
      <c r="PQO4" s="74"/>
      <c r="PQP4" s="74"/>
      <c r="PQQ4" s="74"/>
      <c r="PQR4" s="74"/>
      <c r="PQS4" s="74"/>
      <c r="PQT4" s="74"/>
      <c r="PQU4" s="74"/>
      <c r="PQV4" s="74"/>
      <c r="PQW4" s="74"/>
      <c r="PQX4" s="74"/>
      <c r="PQY4" s="74"/>
      <c r="PQZ4" s="74"/>
      <c r="PRA4" s="74"/>
      <c r="PRB4" s="74"/>
      <c r="PRC4" s="74"/>
      <c r="PRD4" s="74"/>
      <c r="PRE4" s="74"/>
      <c r="PRF4" s="74"/>
      <c r="PRG4" s="74"/>
      <c r="PRH4" s="74"/>
      <c r="PRI4" s="74"/>
      <c r="PRJ4" s="74"/>
      <c r="PRK4" s="74"/>
      <c r="PRL4" s="74"/>
      <c r="PRM4" s="74"/>
      <c r="PRN4" s="74"/>
      <c r="PRO4" s="74"/>
      <c r="PRP4" s="74"/>
      <c r="PRQ4" s="74"/>
      <c r="PRR4" s="74"/>
      <c r="PRS4" s="74"/>
      <c r="PRT4" s="74"/>
      <c r="PRU4" s="74"/>
      <c r="PRV4" s="74"/>
      <c r="PRW4" s="74"/>
      <c r="PRX4" s="74"/>
      <c r="PRY4" s="74"/>
      <c r="PRZ4" s="74"/>
      <c r="PSA4" s="74"/>
      <c r="PSB4" s="74"/>
      <c r="PSC4" s="74"/>
      <c r="PSD4" s="74"/>
      <c r="PSE4" s="74"/>
      <c r="PSF4" s="74"/>
      <c r="PSG4" s="74"/>
      <c r="PSH4" s="74"/>
      <c r="PSI4" s="74"/>
      <c r="PSJ4" s="74"/>
      <c r="PSK4" s="74"/>
      <c r="PSL4" s="74"/>
      <c r="PSM4" s="74"/>
      <c r="PSN4" s="74"/>
      <c r="PSO4" s="74"/>
      <c r="PSP4" s="74"/>
      <c r="PSQ4" s="74"/>
      <c r="PSR4" s="74"/>
      <c r="PSS4" s="74"/>
      <c r="PST4" s="74"/>
      <c r="PSU4" s="74"/>
      <c r="PSV4" s="74"/>
      <c r="PSW4" s="74"/>
      <c r="PSX4" s="74"/>
      <c r="PSY4" s="74"/>
      <c r="PSZ4" s="74"/>
      <c r="PTA4" s="74"/>
      <c r="PTB4" s="74"/>
      <c r="PTC4" s="74"/>
      <c r="PTD4" s="74"/>
      <c r="PTE4" s="74"/>
      <c r="PTF4" s="74"/>
      <c r="PTG4" s="74"/>
      <c r="PTH4" s="74"/>
      <c r="PTI4" s="74"/>
      <c r="PTJ4" s="74"/>
      <c r="PTK4" s="74"/>
      <c r="PTL4" s="74"/>
      <c r="PTM4" s="74"/>
      <c r="PTN4" s="74"/>
      <c r="PTO4" s="74"/>
      <c r="PTP4" s="74"/>
      <c r="PTQ4" s="74"/>
      <c r="PTR4" s="74"/>
      <c r="PTS4" s="74"/>
      <c r="PTT4" s="74"/>
      <c r="PTU4" s="74"/>
      <c r="PTV4" s="74"/>
      <c r="PTW4" s="74"/>
      <c r="PTX4" s="74"/>
      <c r="PTY4" s="74"/>
      <c r="PTZ4" s="74"/>
      <c r="PUA4" s="74"/>
      <c r="PUB4" s="74"/>
      <c r="PUC4" s="74"/>
      <c r="PUD4" s="74"/>
      <c r="PUE4" s="74"/>
      <c r="PUF4" s="74"/>
      <c r="PUG4" s="74"/>
      <c r="PUH4" s="74"/>
      <c r="PUI4" s="74"/>
      <c r="PUJ4" s="74"/>
      <c r="PUK4" s="74"/>
      <c r="PUL4" s="74"/>
      <c r="PUM4" s="74"/>
      <c r="PUN4" s="74"/>
      <c r="PUO4" s="74"/>
      <c r="PUP4" s="74"/>
      <c r="PUQ4" s="74"/>
      <c r="PUR4" s="74"/>
      <c r="PUS4" s="74"/>
      <c r="PUT4" s="74"/>
      <c r="PUU4" s="74"/>
      <c r="PUV4" s="74"/>
      <c r="PUW4" s="74"/>
      <c r="PUX4" s="74"/>
      <c r="PUY4" s="74"/>
      <c r="PUZ4" s="74"/>
      <c r="PVA4" s="74"/>
      <c r="PVB4" s="74"/>
      <c r="PVC4" s="74"/>
      <c r="PVD4" s="74"/>
      <c r="PVE4" s="74"/>
      <c r="PVF4" s="74"/>
      <c r="PVG4" s="74"/>
      <c r="PVH4" s="74"/>
      <c r="PVI4" s="74"/>
      <c r="PVJ4" s="74"/>
      <c r="PVK4" s="74"/>
      <c r="PVL4" s="74"/>
      <c r="PVM4" s="74"/>
      <c r="PVN4" s="74"/>
      <c r="PVO4" s="74"/>
      <c r="PVP4" s="74"/>
      <c r="PVQ4" s="74"/>
      <c r="PVR4" s="74"/>
      <c r="PVS4" s="74"/>
      <c r="PVT4" s="74"/>
      <c r="PVU4" s="74"/>
      <c r="PVV4" s="74"/>
      <c r="PVW4" s="74"/>
      <c r="PVX4" s="74"/>
      <c r="PVY4" s="74"/>
      <c r="PVZ4" s="74"/>
      <c r="PWA4" s="74"/>
      <c r="PWB4" s="74"/>
      <c r="PWC4" s="74"/>
      <c r="PWD4" s="74"/>
      <c r="PWE4" s="74"/>
      <c r="PWF4" s="74"/>
      <c r="PWG4" s="74"/>
      <c r="PWH4" s="74"/>
      <c r="PWI4" s="74"/>
      <c r="PWJ4" s="74"/>
      <c r="PWK4" s="74"/>
      <c r="PWL4" s="74"/>
      <c r="PWM4" s="74"/>
      <c r="PWN4" s="74"/>
      <c r="PWO4" s="74"/>
      <c r="PWP4" s="74"/>
      <c r="PWQ4" s="74"/>
      <c r="PWR4" s="74"/>
      <c r="PWS4" s="74"/>
      <c r="PWT4" s="74"/>
      <c r="PWU4" s="74"/>
      <c r="PWV4" s="74"/>
      <c r="PWW4" s="74"/>
      <c r="PWX4" s="74"/>
      <c r="PWY4" s="74"/>
      <c r="PWZ4" s="74"/>
      <c r="PXA4" s="74"/>
      <c r="PXB4" s="74"/>
      <c r="PXC4" s="74"/>
      <c r="PXD4" s="74"/>
      <c r="PXE4" s="74"/>
      <c r="PXF4" s="74"/>
      <c r="PXG4" s="74"/>
      <c r="PXH4" s="74"/>
      <c r="PXI4" s="74"/>
      <c r="PXJ4" s="74"/>
      <c r="PXK4" s="74"/>
      <c r="PXL4" s="74"/>
      <c r="PXM4" s="74"/>
      <c r="PXN4" s="74"/>
      <c r="PXO4" s="74"/>
      <c r="PXP4" s="74"/>
      <c r="PXQ4" s="74"/>
      <c r="PXR4" s="74"/>
      <c r="PXS4" s="74"/>
      <c r="PXT4" s="74"/>
      <c r="PXU4" s="74"/>
      <c r="PXV4" s="74"/>
      <c r="PXW4" s="74"/>
      <c r="PXX4" s="74"/>
      <c r="PXY4" s="74"/>
      <c r="PXZ4" s="74"/>
      <c r="PYA4" s="74"/>
      <c r="PYB4" s="74"/>
      <c r="PYC4" s="74"/>
      <c r="PYD4" s="74"/>
      <c r="PYE4" s="74"/>
      <c r="PYF4" s="74"/>
      <c r="PYG4" s="74"/>
      <c r="PYH4" s="74"/>
      <c r="PYI4" s="74"/>
      <c r="PYJ4" s="74"/>
      <c r="PYK4" s="74"/>
      <c r="PYL4" s="74"/>
      <c r="PYM4" s="74"/>
      <c r="PYN4" s="74"/>
      <c r="PYO4" s="74"/>
      <c r="PYP4" s="74"/>
      <c r="PYQ4" s="74"/>
      <c r="PYR4" s="74"/>
      <c r="PYS4" s="74"/>
      <c r="PYT4" s="74"/>
      <c r="PYU4" s="74"/>
      <c r="PYV4" s="74"/>
      <c r="PYW4" s="74"/>
      <c r="PYX4" s="74"/>
      <c r="PYY4" s="74"/>
      <c r="PYZ4" s="74"/>
      <c r="PZA4" s="74"/>
      <c r="PZB4" s="74"/>
      <c r="PZC4" s="74"/>
      <c r="PZD4" s="74"/>
      <c r="PZE4" s="74"/>
      <c r="PZF4" s="74"/>
      <c r="PZG4" s="74"/>
      <c r="PZH4" s="74"/>
      <c r="PZI4" s="74"/>
      <c r="PZJ4" s="74"/>
      <c r="PZK4" s="74"/>
      <c r="PZL4" s="74"/>
      <c r="PZM4" s="74"/>
      <c r="PZN4" s="74"/>
      <c r="PZO4" s="74"/>
      <c r="PZP4" s="74"/>
      <c r="PZQ4" s="74"/>
      <c r="PZR4" s="74"/>
      <c r="PZS4" s="74"/>
      <c r="PZT4" s="74"/>
      <c r="PZU4" s="74"/>
      <c r="PZV4" s="74"/>
      <c r="PZW4" s="74"/>
      <c r="PZX4" s="74"/>
      <c r="PZY4" s="74"/>
      <c r="PZZ4" s="74"/>
      <c r="QAA4" s="74"/>
      <c r="QAB4" s="74"/>
      <c r="QAC4" s="74"/>
      <c r="QAD4" s="74"/>
      <c r="QAE4" s="74"/>
      <c r="QAF4" s="74"/>
      <c r="QAG4" s="74"/>
      <c r="QAH4" s="74"/>
      <c r="QAI4" s="74"/>
      <c r="QAJ4" s="74"/>
      <c r="QAK4" s="74"/>
      <c r="QAL4" s="74"/>
      <c r="QAM4" s="74"/>
      <c r="QAN4" s="74"/>
      <c r="QAO4" s="74"/>
      <c r="QAP4" s="74"/>
      <c r="QAQ4" s="74"/>
      <c r="QAR4" s="74"/>
      <c r="QAS4" s="74"/>
      <c r="QAT4" s="74"/>
      <c r="QAU4" s="74"/>
      <c r="QAV4" s="74"/>
      <c r="QAW4" s="74"/>
      <c r="QAX4" s="74"/>
      <c r="QAY4" s="74"/>
      <c r="QAZ4" s="74"/>
      <c r="QBA4" s="74"/>
      <c r="QBB4" s="74"/>
      <c r="QBC4" s="74"/>
      <c r="QBD4" s="74"/>
      <c r="QBE4" s="74"/>
      <c r="QBF4" s="74"/>
      <c r="QBG4" s="74"/>
      <c r="QBH4" s="74"/>
      <c r="QBI4" s="74"/>
      <c r="QBJ4" s="74"/>
      <c r="QBK4" s="74"/>
      <c r="QBL4" s="74"/>
      <c r="QBM4" s="74"/>
      <c r="QBN4" s="74"/>
      <c r="QBO4" s="74"/>
      <c r="QBP4" s="74"/>
      <c r="QBQ4" s="74"/>
      <c r="QBR4" s="74"/>
      <c r="QBS4" s="74"/>
      <c r="QBT4" s="74"/>
      <c r="QBU4" s="74"/>
      <c r="QBV4" s="74"/>
      <c r="QBW4" s="74"/>
      <c r="QBX4" s="74"/>
      <c r="QBY4" s="74"/>
      <c r="QBZ4" s="74"/>
      <c r="QCA4" s="74"/>
      <c r="QCB4" s="74"/>
      <c r="QCC4" s="74"/>
      <c r="QCD4" s="74"/>
      <c r="QCE4" s="74"/>
      <c r="QCF4" s="74"/>
      <c r="QCG4" s="74"/>
      <c r="QCH4" s="74"/>
      <c r="QCI4" s="74"/>
      <c r="QCJ4" s="74"/>
      <c r="QCK4" s="74"/>
      <c r="QCL4" s="74"/>
      <c r="QCM4" s="74"/>
      <c r="QCN4" s="74"/>
      <c r="QCO4" s="74"/>
      <c r="QCP4" s="74"/>
      <c r="QCQ4" s="74"/>
      <c r="QCR4" s="74"/>
      <c r="QCS4" s="74"/>
      <c r="QCT4" s="74"/>
      <c r="QCU4" s="74"/>
      <c r="QCV4" s="74"/>
      <c r="QCW4" s="74"/>
      <c r="QCX4" s="74"/>
      <c r="QCY4" s="74"/>
      <c r="QCZ4" s="74"/>
      <c r="QDA4" s="74"/>
      <c r="QDB4" s="74"/>
      <c r="QDC4" s="74"/>
      <c r="QDD4" s="74"/>
      <c r="QDE4" s="74"/>
      <c r="QDF4" s="74"/>
      <c r="QDG4" s="74"/>
      <c r="QDH4" s="74"/>
      <c r="QDI4" s="74"/>
      <c r="QDJ4" s="74"/>
      <c r="QDK4" s="74"/>
      <c r="QDL4" s="74"/>
      <c r="QDM4" s="74"/>
      <c r="QDN4" s="74"/>
      <c r="QDO4" s="74"/>
      <c r="QDP4" s="74"/>
      <c r="QDQ4" s="74"/>
      <c r="QDR4" s="74"/>
      <c r="QDS4" s="74"/>
      <c r="QDT4" s="74"/>
      <c r="QDU4" s="74"/>
      <c r="QDV4" s="74"/>
      <c r="QDW4" s="74"/>
      <c r="QDX4" s="74"/>
      <c r="QDY4" s="74"/>
      <c r="QDZ4" s="74"/>
      <c r="QEA4" s="74"/>
      <c r="QEB4" s="74"/>
      <c r="QEC4" s="74"/>
      <c r="QED4" s="74"/>
      <c r="QEE4" s="74"/>
      <c r="QEF4" s="74"/>
      <c r="QEG4" s="74"/>
      <c r="QEH4" s="74"/>
      <c r="QEI4" s="74"/>
      <c r="QEJ4" s="74"/>
      <c r="QEK4" s="74"/>
      <c r="QEL4" s="74"/>
      <c r="QEM4" s="74"/>
      <c r="QEN4" s="74"/>
      <c r="QEO4" s="74"/>
      <c r="QEP4" s="74"/>
      <c r="QEQ4" s="74"/>
      <c r="QER4" s="74"/>
      <c r="QES4" s="74"/>
      <c r="QET4" s="74"/>
      <c r="QEU4" s="74"/>
      <c r="QEV4" s="74"/>
      <c r="QEW4" s="74"/>
      <c r="QEX4" s="74"/>
      <c r="QEY4" s="74"/>
      <c r="QEZ4" s="74"/>
      <c r="QFA4" s="74"/>
      <c r="QFB4" s="74"/>
      <c r="QFC4" s="74"/>
      <c r="QFD4" s="74"/>
      <c r="QFE4" s="74"/>
      <c r="QFF4" s="74"/>
      <c r="QFG4" s="74"/>
      <c r="QFH4" s="74"/>
      <c r="QFI4" s="74"/>
      <c r="QFJ4" s="74"/>
      <c r="QFK4" s="74"/>
      <c r="QFL4" s="74"/>
      <c r="QFM4" s="74"/>
      <c r="QFN4" s="74"/>
      <c r="QFO4" s="74"/>
      <c r="QFP4" s="74"/>
      <c r="QFQ4" s="74"/>
      <c r="QFR4" s="74"/>
      <c r="QFS4" s="74"/>
      <c r="QFT4" s="74"/>
      <c r="QFU4" s="74"/>
      <c r="QFV4" s="74"/>
      <c r="QFW4" s="74"/>
      <c r="QFX4" s="74"/>
      <c r="QFY4" s="74"/>
      <c r="QFZ4" s="74"/>
      <c r="QGA4" s="74"/>
      <c r="QGB4" s="74"/>
      <c r="QGC4" s="74"/>
      <c r="QGD4" s="74"/>
      <c r="QGE4" s="74"/>
      <c r="QGF4" s="74"/>
      <c r="QGG4" s="74"/>
      <c r="QGH4" s="74"/>
      <c r="QGI4" s="74"/>
      <c r="QGJ4" s="74"/>
      <c r="QGK4" s="74"/>
      <c r="QGL4" s="74"/>
      <c r="QGM4" s="74"/>
      <c r="QGN4" s="74"/>
      <c r="QGO4" s="74"/>
      <c r="QGP4" s="74"/>
      <c r="QGQ4" s="74"/>
      <c r="QGR4" s="74"/>
      <c r="QGS4" s="74"/>
      <c r="QGT4" s="74"/>
      <c r="QGU4" s="74"/>
      <c r="QGV4" s="74"/>
      <c r="QGW4" s="74"/>
      <c r="QGX4" s="74"/>
      <c r="QGY4" s="74"/>
      <c r="QGZ4" s="74"/>
      <c r="QHA4" s="74"/>
      <c r="QHB4" s="74"/>
      <c r="QHC4" s="74"/>
      <c r="QHD4" s="74"/>
      <c r="QHE4" s="74"/>
      <c r="QHF4" s="74"/>
      <c r="QHG4" s="74"/>
      <c r="QHH4" s="74"/>
      <c r="QHI4" s="74"/>
      <c r="QHJ4" s="74"/>
      <c r="QHK4" s="74"/>
      <c r="QHL4" s="74"/>
      <c r="QHM4" s="74"/>
      <c r="QHN4" s="74"/>
      <c r="QHO4" s="74"/>
      <c r="QHP4" s="74"/>
      <c r="QHQ4" s="74"/>
      <c r="QHR4" s="74"/>
      <c r="QHS4" s="74"/>
      <c r="QHT4" s="74"/>
      <c r="QHU4" s="74"/>
      <c r="QHV4" s="74"/>
      <c r="QHW4" s="74"/>
      <c r="QHX4" s="74"/>
      <c r="QHY4" s="74"/>
      <c r="QHZ4" s="74"/>
      <c r="QIA4" s="74"/>
      <c r="QIB4" s="74"/>
      <c r="QIC4" s="74"/>
      <c r="QID4" s="74"/>
      <c r="QIE4" s="74"/>
      <c r="QIF4" s="74"/>
      <c r="QIG4" s="74"/>
      <c r="QIH4" s="74"/>
      <c r="QII4" s="74"/>
      <c r="QIJ4" s="74"/>
      <c r="QIK4" s="74"/>
      <c r="QIL4" s="74"/>
      <c r="QIM4" s="74"/>
      <c r="QIN4" s="74"/>
      <c r="QIO4" s="74"/>
      <c r="QIP4" s="74"/>
      <c r="QIQ4" s="74"/>
      <c r="QIR4" s="74"/>
      <c r="QIS4" s="74"/>
      <c r="QIT4" s="74"/>
      <c r="QIU4" s="74"/>
      <c r="QIV4" s="74"/>
      <c r="QIW4" s="74"/>
      <c r="QIX4" s="74"/>
      <c r="QIY4" s="74"/>
      <c r="QIZ4" s="74"/>
      <c r="QJA4" s="74"/>
      <c r="QJB4" s="74"/>
      <c r="QJC4" s="74"/>
      <c r="QJD4" s="74"/>
      <c r="QJE4" s="74"/>
      <c r="QJF4" s="74"/>
      <c r="QJG4" s="74"/>
      <c r="QJH4" s="74"/>
      <c r="QJI4" s="74"/>
      <c r="QJJ4" s="74"/>
      <c r="QJK4" s="74"/>
      <c r="QJL4" s="74"/>
      <c r="QJM4" s="74"/>
      <c r="QJN4" s="74"/>
      <c r="QJO4" s="74"/>
      <c r="QJP4" s="74"/>
      <c r="QJQ4" s="74"/>
      <c r="QJR4" s="74"/>
      <c r="QJS4" s="74"/>
      <c r="QJT4" s="74"/>
      <c r="QJU4" s="74"/>
      <c r="QJV4" s="74"/>
      <c r="QJW4" s="74"/>
      <c r="QJX4" s="74"/>
      <c r="QJY4" s="74"/>
      <c r="QJZ4" s="74"/>
      <c r="QKA4" s="74"/>
      <c r="QKB4" s="74"/>
      <c r="QKC4" s="74"/>
      <c r="QKD4" s="74"/>
      <c r="QKE4" s="74"/>
      <c r="QKF4" s="74"/>
      <c r="QKG4" s="74"/>
      <c r="QKH4" s="74"/>
      <c r="QKI4" s="74"/>
      <c r="QKJ4" s="74"/>
      <c r="QKK4" s="74"/>
      <c r="QKL4" s="74"/>
      <c r="QKM4" s="74"/>
      <c r="QKN4" s="74"/>
      <c r="QKO4" s="74"/>
      <c r="QKP4" s="74"/>
      <c r="QKQ4" s="74"/>
      <c r="QKR4" s="74"/>
      <c r="QKS4" s="74"/>
      <c r="QKT4" s="74"/>
      <c r="QKU4" s="74"/>
      <c r="QKV4" s="74"/>
      <c r="QKW4" s="74"/>
      <c r="QKX4" s="74"/>
      <c r="QKY4" s="74"/>
      <c r="QKZ4" s="74"/>
      <c r="QLA4" s="74"/>
      <c r="QLB4" s="74"/>
      <c r="QLC4" s="74"/>
      <c r="QLD4" s="74"/>
      <c r="QLE4" s="74"/>
      <c r="QLF4" s="74"/>
      <c r="QLG4" s="74"/>
      <c r="QLH4" s="74"/>
      <c r="QLI4" s="74"/>
      <c r="QLJ4" s="74"/>
      <c r="QLK4" s="74"/>
      <c r="QLL4" s="74"/>
      <c r="QLM4" s="74"/>
      <c r="QLN4" s="74"/>
      <c r="QLO4" s="74"/>
      <c r="QLP4" s="74"/>
      <c r="QLQ4" s="74"/>
      <c r="QLR4" s="74"/>
      <c r="QLS4" s="74"/>
      <c r="QLT4" s="74"/>
      <c r="QLU4" s="74"/>
      <c r="QLV4" s="74"/>
      <c r="QLW4" s="74"/>
      <c r="QLX4" s="74"/>
      <c r="QLY4" s="74"/>
      <c r="QLZ4" s="74"/>
      <c r="QMA4" s="74"/>
      <c r="QMB4" s="74"/>
      <c r="QMC4" s="74"/>
      <c r="QMD4" s="74"/>
      <c r="QME4" s="74"/>
      <c r="QMF4" s="74"/>
      <c r="QMG4" s="74"/>
      <c r="QMH4" s="74"/>
      <c r="QMI4" s="74"/>
      <c r="QMJ4" s="74"/>
      <c r="QMK4" s="74"/>
      <c r="QML4" s="74"/>
      <c r="QMM4" s="74"/>
      <c r="QMN4" s="74"/>
      <c r="QMO4" s="74"/>
      <c r="QMP4" s="74"/>
      <c r="QMQ4" s="74"/>
      <c r="QMR4" s="74"/>
      <c r="QMS4" s="74"/>
      <c r="QMT4" s="74"/>
      <c r="QMU4" s="74"/>
      <c r="QMV4" s="74"/>
      <c r="QMW4" s="74"/>
      <c r="QMX4" s="74"/>
      <c r="QMY4" s="74"/>
      <c r="QMZ4" s="74"/>
      <c r="QNA4" s="74"/>
      <c r="QNB4" s="74"/>
      <c r="QNC4" s="74"/>
      <c r="QND4" s="74"/>
      <c r="QNE4" s="74"/>
      <c r="QNF4" s="74"/>
      <c r="QNG4" s="74"/>
      <c r="QNH4" s="74"/>
      <c r="QNI4" s="74"/>
      <c r="QNJ4" s="74"/>
      <c r="QNK4" s="74"/>
      <c r="QNL4" s="74"/>
      <c r="QNM4" s="74"/>
      <c r="QNN4" s="74"/>
      <c r="QNO4" s="74"/>
      <c r="QNP4" s="74"/>
      <c r="QNQ4" s="74"/>
      <c r="QNR4" s="74"/>
      <c r="QNS4" s="74"/>
      <c r="QNT4" s="74"/>
      <c r="QNU4" s="74"/>
      <c r="QNV4" s="74"/>
      <c r="QNW4" s="74"/>
      <c r="QNX4" s="74"/>
      <c r="QNY4" s="74"/>
      <c r="QNZ4" s="74"/>
      <c r="QOA4" s="74"/>
      <c r="QOB4" s="74"/>
      <c r="QOC4" s="74"/>
      <c r="QOD4" s="74"/>
      <c r="QOE4" s="74"/>
      <c r="QOF4" s="74"/>
      <c r="QOG4" s="74"/>
      <c r="QOH4" s="74"/>
      <c r="QOI4" s="74"/>
      <c r="QOJ4" s="74"/>
      <c r="QOK4" s="74"/>
      <c r="QOL4" s="74"/>
      <c r="QOM4" s="74"/>
      <c r="QON4" s="74"/>
      <c r="QOO4" s="74"/>
      <c r="QOP4" s="74"/>
      <c r="QOQ4" s="74"/>
      <c r="QOR4" s="74"/>
      <c r="QOS4" s="74"/>
      <c r="QOT4" s="74"/>
      <c r="QOU4" s="74"/>
      <c r="QOV4" s="74"/>
      <c r="QOW4" s="74"/>
      <c r="QOX4" s="74"/>
      <c r="QOY4" s="74"/>
      <c r="QOZ4" s="74"/>
      <c r="QPA4" s="74"/>
      <c r="QPB4" s="74"/>
      <c r="QPC4" s="74"/>
      <c r="QPD4" s="74"/>
      <c r="QPE4" s="74"/>
      <c r="QPF4" s="74"/>
      <c r="QPG4" s="74"/>
      <c r="QPH4" s="74"/>
      <c r="QPI4" s="74"/>
      <c r="QPJ4" s="74"/>
      <c r="QPK4" s="74"/>
      <c r="QPL4" s="74"/>
      <c r="QPM4" s="74"/>
      <c r="QPN4" s="74"/>
      <c r="QPO4" s="74"/>
      <c r="QPP4" s="74"/>
      <c r="QPQ4" s="74"/>
      <c r="QPR4" s="74"/>
      <c r="QPS4" s="74"/>
      <c r="QPT4" s="74"/>
      <c r="QPU4" s="74"/>
      <c r="QPV4" s="74"/>
      <c r="QPW4" s="74"/>
      <c r="QPX4" s="74"/>
      <c r="QPY4" s="74"/>
      <c r="QPZ4" s="74"/>
      <c r="QQA4" s="74"/>
      <c r="QQB4" s="74"/>
      <c r="QQC4" s="74"/>
      <c r="QQD4" s="74"/>
      <c r="QQE4" s="74"/>
      <c r="QQF4" s="74"/>
      <c r="QQG4" s="74"/>
      <c r="QQH4" s="74"/>
      <c r="QQI4" s="74"/>
      <c r="QQJ4" s="74"/>
      <c r="QQK4" s="74"/>
      <c r="QQL4" s="74"/>
      <c r="QQM4" s="74"/>
      <c r="QQN4" s="74"/>
      <c r="QQO4" s="74"/>
      <c r="QQP4" s="74"/>
      <c r="QQQ4" s="74"/>
      <c r="QQR4" s="74"/>
      <c r="QQS4" s="74"/>
      <c r="QQT4" s="74"/>
      <c r="QQU4" s="74"/>
      <c r="QQV4" s="74"/>
      <c r="QQW4" s="74"/>
      <c r="QQX4" s="74"/>
      <c r="QQY4" s="74"/>
      <c r="QQZ4" s="74"/>
      <c r="QRA4" s="74"/>
      <c r="QRB4" s="74"/>
      <c r="QRC4" s="74"/>
      <c r="QRD4" s="74"/>
      <c r="QRE4" s="74"/>
      <c r="QRF4" s="74"/>
      <c r="QRG4" s="74"/>
      <c r="QRH4" s="74"/>
      <c r="QRI4" s="74"/>
      <c r="QRJ4" s="74"/>
      <c r="QRK4" s="74"/>
      <c r="QRL4" s="74"/>
      <c r="QRM4" s="74"/>
      <c r="QRN4" s="74"/>
      <c r="QRO4" s="74"/>
      <c r="QRP4" s="74"/>
      <c r="QRQ4" s="74"/>
      <c r="QRR4" s="74"/>
      <c r="QRS4" s="74"/>
      <c r="QRT4" s="74"/>
      <c r="QRU4" s="74"/>
      <c r="QRV4" s="74"/>
      <c r="QRW4" s="74"/>
      <c r="QRX4" s="74"/>
      <c r="QRY4" s="74"/>
      <c r="QRZ4" s="74"/>
      <c r="QSA4" s="74"/>
      <c r="QSB4" s="74"/>
      <c r="QSC4" s="74"/>
      <c r="QSD4" s="74"/>
      <c r="QSE4" s="74"/>
      <c r="QSF4" s="74"/>
      <c r="QSG4" s="74"/>
      <c r="QSH4" s="74"/>
      <c r="QSI4" s="74"/>
      <c r="QSJ4" s="74"/>
      <c r="QSK4" s="74"/>
      <c r="QSL4" s="74"/>
      <c r="QSM4" s="74"/>
      <c r="QSN4" s="74"/>
      <c r="QSO4" s="74"/>
      <c r="QSP4" s="74"/>
      <c r="QSQ4" s="74"/>
      <c r="QSR4" s="74"/>
      <c r="QSS4" s="74"/>
      <c r="QST4" s="74"/>
      <c r="QSU4" s="74"/>
      <c r="QSV4" s="74"/>
      <c r="QSW4" s="74"/>
      <c r="QSX4" s="74"/>
      <c r="QSY4" s="74"/>
      <c r="QSZ4" s="74"/>
      <c r="QTA4" s="74"/>
      <c r="QTB4" s="74"/>
      <c r="QTC4" s="74"/>
      <c r="QTD4" s="74"/>
      <c r="QTE4" s="74"/>
      <c r="QTF4" s="74"/>
      <c r="QTG4" s="74"/>
      <c r="QTH4" s="74"/>
      <c r="QTI4" s="74"/>
      <c r="QTJ4" s="74"/>
      <c r="QTK4" s="74"/>
      <c r="QTL4" s="74"/>
      <c r="QTM4" s="74"/>
      <c r="QTN4" s="74"/>
      <c r="QTO4" s="74"/>
      <c r="QTP4" s="74"/>
      <c r="QTQ4" s="74"/>
      <c r="QTR4" s="74"/>
      <c r="QTS4" s="74"/>
      <c r="QTT4" s="74"/>
      <c r="QTU4" s="74"/>
      <c r="QTV4" s="74"/>
      <c r="QTW4" s="74"/>
      <c r="QTX4" s="74"/>
      <c r="QTY4" s="74"/>
      <c r="QTZ4" s="74"/>
      <c r="QUA4" s="74"/>
      <c r="QUB4" s="74"/>
      <c r="QUC4" s="74"/>
      <c r="QUD4" s="74"/>
      <c r="QUE4" s="74"/>
      <c r="QUF4" s="74"/>
      <c r="QUG4" s="74"/>
      <c r="QUH4" s="74"/>
      <c r="QUI4" s="74"/>
      <c r="QUJ4" s="74"/>
      <c r="QUK4" s="74"/>
      <c r="QUL4" s="74"/>
      <c r="QUM4" s="74"/>
      <c r="QUN4" s="74"/>
      <c r="QUO4" s="74"/>
      <c r="QUP4" s="74"/>
      <c r="QUQ4" s="74"/>
      <c r="QUR4" s="74"/>
      <c r="QUS4" s="74"/>
      <c r="QUT4" s="74"/>
      <c r="QUU4" s="74"/>
      <c r="QUV4" s="74"/>
      <c r="QUW4" s="74"/>
      <c r="QUX4" s="74"/>
      <c r="QUY4" s="74"/>
      <c r="QUZ4" s="74"/>
      <c r="QVA4" s="74"/>
      <c r="QVB4" s="74"/>
      <c r="QVC4" s="74"/>
      <c r="QVD4" s="74"/>
      <c r="QVE4" s="74"/>
      <c r="QVF4" s="74"/>
      <c r="QVG4" s="74"/>
      <c r="QVH4" s="74"/>
      <c r="QVI4" s="74"/>
      <c r="QVJ4" s="74"/>
      <c r="QVK4" s="74"/>
      <c r="QVL4" s="74"/>
      <c r="QVM4" s="74"/>
      <c r="QVN4" s="74"/>
      <c r="QVO4" s="74"/>
      <c r="QVP4" s="74"/>
      <c r="QVQ4" s="74"/>
      <c r="QVR4" s="74"/>
      <c r="QVS4" s="74"/>
      <c r="QVT4" s="74"/>
      <c r="QVU4" s="74"/>
      <c r="QVV4" s="74"/>
      <c r="QVW4" s="74"/>
      <c r="QVX4" s="74"/>
      <c r="QVY4" s="74"/>
      <c r="QVZ4" s="74"/>
      <c r="QWA4" s="74"/>
      <c r="QWB4" s="74"/>
      <c r="QWC4" s="74"/>
      <c r="QWD4" s="74"/>
      <c r="QWE4" s="74"/>
      <c r="QWF4" s="74"/>
      <c r="QWG4" s="74"/>
      <c r="QWH4" s="74"/>
      <c r="QWI4" s="74"/>
      <c r="QWJ4" s="74"/>
      <c r="QWK4" s="74"/>
      <c r="QWL4" s="74"/>
      <c r="QWM4" s="74"/>
      <c r="QWN4" s="74"/>
      <c r="QWO4" s="74"/>
      <c r="QWP4" s="74"/>
      <c r="QWQ4" s="74"/>
      <c r="QWR4" s="74"/>
      <c r="QWS4" s="74"/>
      <c r="QWT4" s="74"/>
      <c r="QWU4" s="74"/>
      <c r="QWV4" s="74"/>
      <c r="QWW4" s="74"/>
      <c r="QWX4" s="74"/>
      <c r="QWY4" s="74"/>
      <c r="QWZ4" s="74"/>
      <c r="QXA4" s="74"/>
      <c r="QXB4" s="74"/>
      <c r="QXC4" s="74"/>
      <c r="QXD4" s="74"/>
      <c r="QXE4" s="74"/>
      <c r="QXF4" s="74"/>
      <c r="QXG4" s="74"/>
      <c r="QXH4" s="74"/>
      <c r="QXI4" s="74"/>
      <c r="QXJ4" s="74"/>
      <c r="QXK4" s="74"/>
      <c r="QXL4" s="74"/>
      <c r="QXM4" s="74"/>
      <c r="QXN4" s="74"/>
      <c r="QXO4" s="74"/>
      <c r="QXP4" s="74"/>
      <c r="QXQ4" s="74"/>
      <c r="QXR4" s="74"/>
      <c r="QXS4" s="74"/>
      <c r="QXT4" s="74"/>
      <c r="QXU4" s="74"/>
      <c r="QXV4" s="74"/>
      <c r="QXW4" s="74"/>
      <c r="QXX4" s="74"/>
      <c r="QXY4" s="74"/>
      <c r="QXZ4" s="74"/>
      <c r="QYA4" s="74"/>
      <c r="QYB4" s="74"/>
      <c r="QYC4" s="74"/>
      <c r="QYD4" s="74"/>
      <c r="QYE4" s="74"/>
      <c r="QYF4" s="74"/>
      <c r="QYG4" s="74"/>
      <c r="QYH4" s="74"/>
      <c r="QYI4" s="74"/>
      <c r="QYJ4" s="74"/>
      <c r="QYK4" s="74"/>
      <c r="QYL4" s="74"/>
      <c r="QYM4" s="74"/>
      <c r="QYN4" s="74"/>
      <c r="QYO4" s="74"/>
      <c r="QYP4" s="74"/>
      <c r="QYQ4" s="74"/>
      <c r="QYR4" s="74"/>
      <c r="QYS4" s="74"/>
      <c r="QYT4" s="74"/>
      <c r="QYU4" s="74"/>
      <c r="QYV4" s="74"/>
      <c r="QYW4" s="74"/>
      <c r="QYX4" s="74"/>
      <c r="QYY4" s="74"/>
      <c r="QYZ4" s="74"/>
      <c r="QZA4" s="74"/>
      <c r="QZB4" s="74"/>
      <c r="QZC4" s="74"/>
      <c r="QZD4" s="74"/>
      <c r="QZE4" s="74"/>
      <c r="QZF4" s="74"/>
      <c r="QZG4" s="74"/>
      <c r="QZH4" s="74"/>
      <c r="QZI4" s="74"/>
      <c r="QZJ4" s="74"/>
      <c r="QZK4" s="74"/>
      <c r="QZL4" s="74"/>
      <c r="QZM4" s="74"/>
      <c r="QZN4" s="74"/>
      <c r="QZO4" s="74"/>
      <c r="QZP4" s="74"/>
      <c r="QZQ4" s="74"/>
      <c r="QZR4" s="74"/>
      <c r="QZS4" s="74"/>
      <c r="QZT4" s="74"/>
      <c r="QZU4" s="74"/>
      <c r="QZV4" s="74"/>
      <c r="QZW4" s="74"/>
      <c r="QZX4" s="74"/>
      <c r="QZY4" s="74"/>
      <c r="QZZ4" s="74"/>
      <c r="RAA4" s="74"/>
      <c r="RAB4" s="74"/>
      <c r="RAC4" s="74"/>
      <c r="RAD4" s="74"/>
      <c r="RAE4" s="74"/>
      <c r="RAF4" s="74"/>
      <c r="RAG4" s="74"/>
      <c r="RAH4" s="74"/>
      <c r="RAI4" s="74"/>
      <c r="RAJ4" s="74"/>
      <c r="RAK4" s="74"/>
      <c r="RAL4" s="74"/>
      <c r="RAM4" s="74"/>
      <c r="RAN4" s="74"/>
      <c r="RAO4" s="74"/>
      <c r="RAP4" s="74"/>
      <c r="RAQ4" s="74"/>
      <c r="RAR4" s="74"/>
      <c r="RAS4" s="74"/>
      <c r="RAT4" s="74"/>
      <c r="RAU4" s="74"/>
      <c r="RAV4" s="74"/>
      <c r="RAW4" s="74"/>
      <c r="RAX4" s="74"/>
      <c r="RAY4" s="74"/>
      <c r="RAZ4" s="74"/>
      <c r="RBA4" s="74"/>
      <c r="RBB4" s="74"/>
      <c r="RBC4" s="74"/>
      <c r="RBD4" s="74"/>
      <c r="RBE4" s="74"/>
      <c r="RBF4" s="74"/>
      <c r="RBG4" s="74"/>
      <c r="RBH4" s="74"/>
      <c r="RBI4" s="74"/>
      <c r="RBJ4" s="74"/>
      <c r="RBK4" s="74"/>
      <c r="RBL4" s="74"/>
      <c r="RBM4" s="74"/>
      <c r="RBN4" s="74"/>
      <c r="RBO4" s="74"/>
      <c r="RBP4" s="74"/>
      <c r="RBQ4" s="74"/>
      <c r="RBR4" s="74"/>
      <c r="RBS4" s="74"/>
      <c r="RBT4" s="74"/>
      <c r="RBU4" s="74"/>
      <c r="RBV4" s="74"/>
      <c r="RBW4" s="74"/>
      <c r="RBX4" s="74"/>
      <c r="RBY4" s="74"/>
      <c r="RBZ4" s="74"/>
      <c r="RCA4" s="74"/>
      <c r="RCB4" s="74"/>
      <c r="RCC4" s="74"/>
      <c r="RCD4" s="74"/>
      <c r="RCE4" s="74"/>
      <c r="RCF4" s="74"/>
      <c r="RCG4" s="74"/>
      <c r="RCH4" s="74"/>
      <c r="RCI4" s="74"/>
      <c r="RCJ4" s="74"/>
      <c r="RCK4" s="74"/>
      <c r="RCL4" s="74"/>
      <c r="RCM4" s="74"/>
      <c r="RCN4" s="74"/>
      <c r="RCO4" s="74"/>
      <c r="RCP4" s="74"/>
      <c r="RCQ4" s="74"/>
      <c r="RCR4" s="74"/>
      <c r="RCS4" s="74"/>
      <c r="RCT4" s="74"/>
      <c r="RCU4" s="74"/>
      <c r="RCV4" s="74"/>
      <c r="RCW4" s="74"/>
      <c r="RCX4" s="74"/>
      <c r="RCY4" s="74"/>
      <c r="RCZ4" s="74"/>
      <c r="RDA4" s="74"/>
      <c r="RDB4" s="74"/>
      <c r="RDC4" s="74"/>
      <c r="RDD4" s="74"/>
      <c r="RDE4" s="74"/>
      <c r="RDF4" s="74"/>
      <c r="RDG4" s="74"/>
      <c r="RDH4" s="74"/>
      <c r="RDI4" s="74"/>
      <c r="RDJ4" s="74"/>
      <c r="RDK4" s="74"/>
      <c r="RDL4" s="74"/>
      <c r="RDM4" s="74"/>
      <c r="RDN4" s="74"/>
      <c r="RDO4" s="74"/>
      <c r="RDP4" s="74"/>
      <c r="RDQ4" s="74"/>
      <c r="RDR4" s="74"/>
      <c r="RDS4" s="74"/>
      <c r="RDT4" s="74"/>
      <c r="RDU4" s="74"/>
      <c r="RDV4" s="74"/>
      <c r="RDW4" s="74"/>
      <c r="RDX4" s="74"/>
      <c r="RDY4" s="74"/>
      <c r="RDZ4" s="74"/>
      <c r="REA4" s="74"/>
      <c r="REB4" s="74"/>
      <c r="REC4" s="74"/>
      <c r="RED4" s="74"/>
      <c r="REE4" s="74"/>
      <c r="REF4" s="74"/>
      <c r="REG4" s="74"/>
      <c r="REH4" s="74"/>
      <c r="REI4" s="74"/>
      <c r="REJ4" s="74"/>
      <c r="REK4" s="74"/>
      <c r="REL4" s="74"/>
      <c r="REM4" s="74"/>
      <c r="REN4" s="74"/>
      <c r="REO4" s="74"/>
      <c r="REP4" s="74"/>
      <c r="REQ4" s="74"/>
      <c r="RER4" s="74"/>
      <c r="RES4" s="74"/>
      <c r="RET4" s="74"/>
      <c r="REU4" s="74"/>
      <c r="REV4" s="74"/>
      <c r="REW4" s="74"/>
      <c r="REX4" s="74"/>
      <c r="REY4" s="74"/>
      <c r="REZ4" s="74"/>
      <c r="RFA4" s="74"/>
      <c r="RFB4" s="74"/>
      <c r="RFC4" s="74"/>
      <c r="RFD4" s="74"/>
      <c r="RFE4" s="74"/>
      <c r="RFF4" s="74"/>
      <c r="RFG4" s="74"/>
      <c r="RFH4" s="74"/>
      <c r="RFI4" s="74"/>
      <c r="RFJ4" s="74"/>
      <c r="RFK4" s="74"/>
      <c r="RFL4" s="74"/>
      <c r="RFM4" s="74"/>
      <c r="RFN4" s="74"/>
      <c r="RFO4" s="74"/>
      <c r="RFP4" s="74"/>
      <c r="RFQ4" s="74"/>
      <c r="RFR4" s="74"/>
      <c r="RFS4" s="74"/>
      <c r="RFT4" s="74"/>
      <c r="RFU4" s="74"/>
      <c r="RFV4" s="74"/>
      <c r="RFW4" s="74"/>
      <c r="RFX4" s="74"/>
      <c r="RFY4" s="74"/>
      <c r="RFZ4" s="74"/>
      <c r="RGA4" s="74"/>
      <c r="RGB4" s="74"/>
      <c r="RGC4" s="74"/>
      <c r="RGD4" s="74"/>
      <c r="RGE4" s="74"/>
      <c r="RGF4" s="74"/>
      <c r="RGG4" s="74"/>
      <c r="RGH4" s="74"/>
      <c r="RGI4" s="74"/>
      <c r="RGJ4" s="74"/>
      <c r="RGK4" s="74"/>
      <c r="RGL4" s="74"/>
      <c r="RGM4" s="74"/>
      <c r="RGN4" s="74"/>
      <c r="RGO4" s="74"/>
      <c r="RGP4" s="74"/>
      <c r="RGQ4" s="74"/>
      <c r="RGR4" s="74"/>
      <c r="RGS4" s="74"/>
      <c r="RGT4" s="74"/>
      <c r="RGU4" s="74"/>
      <c r="RGV4" s="74"/>
      <c r="RGW4" s="74"/>
      <c r="RGX4" s="74"/>
      <c r="RGY4" s="74"/>
      <c r="RGZ4" s="74"/>
      <c r="RHA4" s="74"/>
      <c r="RHB4" s="74"/>
      <c r="RHC4" s="74"/>
      <c r="RHD4" s="74"/>
      <c r="RHE4" s="74"/>
      <c r="RHF4" s="74"/>
      <c r="RHG4" s="74"/>
      <c r="RHH4" s="74"/>
      <c r="RHI4" s="74"/>
      <c r="RHJ4" s="74"/>
      <c r="RHK4" s="74"/>
      <c r="RHL4" s="74"/>
      <c r="RHM4" s="74"/>
      <c r="RHN4" s="74"/>
      <c r="RHO4" s="74"/>
      <c r="RHP4" s="74"/>
      <c r="RHQ4" s="74"/>
      <c r="RHR4" s="74"/>
      <c r="RHS4" s="74"/>
      <c r="RHT4" s="74"/>
      <c r="RHU4" s="74"/>
      <c r="RHV4" s="74"/>
      <c r="RHW4" s="74"/>
      <c r="RHX4" s="74"/>
      <c r="RHY4" s="74"/>
      <c r="RHZ4" s="74"/>
      <c r="RIA4" s="74"/>
      <c r="RIB4" s="74"/>
      <c r="RIC4" s="74"/>
      <c r="RID4" s="74"/>
      <c r="RIE4" s="74"/>
      <c r="RIF4" s="74"/>
      <c r="RIG4" s="74"/>
      <c r="RIH4" s="74"/>
      <c r="RII4" s="74"/>
      <c r="RIJ4" s="74"/>
      <c r="RIK4" s="74"/>
      <c r="RIL4" s="74"/>
      <c r="RIM4" s="74"/>
      <c r="RIN4" s="74"/>
      <c r="RIO4" s="74"/>
      <c r="RIP4" s="74"/>
      <c r="RIQ4" s="74"/>
      <c r="RIR4" s="74"/>
      <c r="RIS4" s="74"/>
      <c r="RIT4" s="74"/>
      <c r="RIU4" s="74"/>
      <c r="RIV4" s="74"/>
      <c r="RIW4" s="74"/>
      <c r="RIX4" s="74"/>
      <c r="RIY4" s="74"/>
      <c r="RIZ4" s="74"/>
      <c r="RJA4" s="74"/>
      <c r="RJB4" s="74"/>
      <c r="RJC4" s="74"/>
      <c r="RJD4" s="74"/>
      <c r="RJE4" s="74"/>
      <c r="RJF4" s="74"/>
      <c r="RJG4" s="74"/>
      <c r="RJH4" s="74"/>
      <c r="RJI4" s="74"/>
      <c r="RJJ4" s="74"/>
      <c r="RJK4" s="74"/>
      <c r="RJL4" s="74"/>
      <c r="RJM4" s="74"/>
      <c r="RJN4" s="74"/>
      <c r="RJO4" s="74"/>
      <c r="RJP4" s="74"/>
      <c r="RJQ4" s="74"/>
      <c r="RJR4" s="74"/>
      <c r="RJS4" s="74"/>
      <c r="RJT4" s="74"/>
      <c r="RJU4" s="74"/>
      <c r="RJV4" s="74"/>
      <c r="RJW4" s="74"/>
      <c r="RJX4" s="74"/>
      <c r="RJY4" s="74"/>
      <c r="RJZ4" s="74"/>
      <c r="RKA4" s="74"/>
      <c r="RKB4" s="74"/>
      <c r="RKC4" s="74"/>
      <c r="RKD4" s="74"/>
      <c r="RKE4" s="74"/>
      <c r="RKF4" s="74"/>
      <c r="RKG4" s="74"/>
      <c r="RKH4" s="74"/>
      <c r="RKI4" s="74"/>
      <c r="RKJ4" s="74"/>
      <c r="RKK4" s="74"/>
      <c r="RKL4" s="74"/>
      <c r="RKM4" s="74"/>
      <c r="RKN4" s="74"/>
      <c r="RKO4" s="74"/>
      <c r="RKP4" s="74"/>
      <c r="RKQ4" s="74"/>
      <c r="RKR4" s="74"/>
      <c r="RKS4" s="74"/>
      <c r="RKT4" s="74"/>
      <c r="RKU4" s="74"/>
      <c r="RKV4" s="74"/>
      <c r="RKW4" s="74"/>
      <c r="RKX4" s="74"/>
      <c r="RKY4" s="74"/>
      <c r="RKZ4" s="74"/>
      <c r="RLA4" s="74"/>
      <c r="RLB4" s="74"/>
      <c r="RLC4" s="74"/>
      <c r="RLD4" s="74"/>
      <c r="RLE4" s="74"/>
      <c r="RLF4" s="74"/>
      <c r="RLG4" s="74"/>
      <c r="RLH4" s="74"/>
      <c r="RLI4" s="74"/>
      <c r="RLJ4" s="74"/>
      <c r="RLK4" s="74"/>
      <c r="RLL4" s="74"/>
      <c r="RLM4" s="74"/>
      <c r="RLN4" s="74"/>
      <c r="RLO4" s="74"/>
      <c r="RLP4" s="74"/>
      <c r="RLQ4" s="74"/>
      <c r="RLR4" s="74"/>
      <c r="RLS4" s="74"/>
      <c r="RLT4" s="74"/>
      <c r="RLU4" s="74"/>
      <c r="RLV4" s="74"/>
      <c r="RLW4" s="74"/>
      <c r="RLX4" s="74"/>
      <c r="RLY4" s="74"/>
      <c r="RLZ4" s="74"/>
      <c r="RMA4" s="74"/>
      <c r="RMB4" s="74"/>
      <c r="RMC4" s="74"/>
      <c r="RMD4" s="74"/>
      <c r="RME4" s="74"/>
      <c r="RMF4" s="74"/>
      <c r="RMG4" s="74"/>
      <c r="RMH4" s="74"/>
      <c r="RMI4" s="74"/>
      <c r="RMJ4" s="74"/>
      <c r="RMK4" s="74"/>
      <c r="RML4" s="74"/>
      <c r="RMM4" s="74"/>
      <c r="RMN4" s="74"/>
      <c r="RMO4" s="74"/>
      <c r="RMP4" s="74"/>
      <c r="RMQ4" s="74"/>
      <c r="RMR4" s="74"/>
      <c r="RMS4" s="74"/>
      <c r="RMT4" s="74"/>
      <c r="RMU4" s="74"/>
      <c r="RMV4" s="74"/>
      <c r="RMW4" s="74"/>
      <c r="RMX4" s="74"/>
      <c r="RMY4" s="74"/>
      <c r="RMZ4" s="74"/>
      <c r="RNA4" s="74"/>
      <c r="RNB4" s="74"/>
      <c r="RNC4" s="74"/>
      <c r="RND4" s="74"/>
      <c r="RNE4" s="74"/>
      <c r="RNF4" s="74"/>
      <c r="RNG4" s="74"/>
      <c r="RNH4" s="74"/>
      <c r="RNI4" s="74"/>
      <c r="RNJ4" s="74"/>
      <c r="RNK4" s="74"/>
      <c r="RNL4" s="74"/>
      <c r="RNM4" s="74"/>
      <c r="RNN4" s="74"/>
      <c r="RNO4" s="74"/>
      <c r="RNP4" s="74"/>
      <c r="RNQ4" s="74"/>
      <c r="RNR4" s="74"/>
      <c r="RNS4" s="74"/>
      <c r="RNT4" s="74"/>
      <c r="RNU4" s="74"/>
      <c r="RNV4" s="74"/>
      <c r="RNW4" s="74"/>
      <c r="RNX4" s="74"/>
      <c r="RNY4" s="74"/>
      <c r="RNZ4" s="74"/>
      <c r="ROA4" s="74"/>
      <c r="ROB4" s="74"/>
      <c r="ROC4" s="74"/>
      <c r="ROD4" s="74"/>
      <c r="ROE4" s="74"/>
      <c r="ROF4" s="74"/>
      <c r="ROG4" s="74"/>
      <c r="ROH4" s="74"/>
      <c r="ROI4" s="74"/>
      <c r="ROJ4" s="74"/>
      <c r="ROK4" s="74"/>
      <c r="ROL4" s="74"/>
      <c r="ROM4" s="74"/>
      <c r="RON4" s="74"/>
      <c r="ROO4" s="74"/>
      <c r="ROP4" s="74"/>
      <c r="ROQ4" s="74"/>
      <c r="ROR4" s="74"/>
      <c r="ROS4" s="74"/>
      <c r="ROT4" s="74"/>
      <c r="ROU4" s="74"/>
      <c r="ROV4" s="74"/>
      <c r="ROW4" s="74"/>
      <c r="ROX4" s="74"/>
      <c r="ROY4" s="74"/>
      <c r="ROZ4" s="74"/>
      <c r="RPA4" s="74"/>
      <c r="RPB4" s="74"/>
      <c r="RPC4" s="74"/>
      <c r="RPD4" s="74"/>
      <c r="RPE4" s="74"/>
      <c r="RPF4" s="74"/>
      <c r="RPG4" s="74"/>
      <c r="RPH4" s="74"/>
      <c r="RPI4" s="74"/>
      <c r="RPJ4" s="74"/>
      <c r="RPK4" s="74"/>
      <c r="RPL4" s="74"/>
      <c r="RPM4" s="74"/>
      <c r="RPN4" s="74"/>
      <c r="RPO4" s="74"/>
      <c r="RPP4" s="74"/>
      <c r="RPQ4" s="74"/>
      <c r="RPR4" s="74"/>
      <c r="RPS4" s="74"/>
      <c r="RPT4" s="74"/>
      <c r="RPU4" s="74"/>
      <c r="RPV4" s="74"/>
      <c r="RPW4" s="74"/>
      <c r="RPX4" s="74"/>
      <c r="RPY4" s="74"/>
      <c r="RPZ4" s="74"/>
      <c r="RQA4" s="74"/>
      <c r="RQB4" s="74"/>
      <c r="RQC4" s="74"/>
      <c r="RQD4" s="74"/>
      <c r="RQE4" s="74"/>
      <c r="RQF4" s="74"/>
      <c r="RQG4" s="74"/>
      <c r="RQH4" s="74"/>
      <c r="RQI4" s="74"/>
      <c r="RQJ4" s="74"/>
      <c r="RQK4" s="74"/>
      <c r="RQL4" s="74"/>
      <c r="RQM4" s="74"/>
      <c r="RQN4" s="74"/>
      <c r="RQO4" s="74"/>
      <c r="RQP4" s="74"/>
      <c r="RQQ4" s="74"/>
      <c r="RQR4" s="74"/>
      <c r="RQS4" s="74"/>
      <c r="RQT4" s="74"/>
      <c r="RQU4" s="74"/>
      <c r="RQV4" s="74"/>
      <c r="RQW4" s="74"/>
      <c r="RQX4" s="74"/>
      <c r="RQY4" s="74"/>
      <c r="RQZ4" s="74"/>
      <c r="RRA4" s="74"/>
      <c r="RRB4" s="74"/>
      <c r="RRC4" s="74"/>
      <c r="RRD4" s="74"/>
      <c r="RRE4" s="74"/>
      <c r="RRF4" s="74"/>
      <c r="RRG4" s="74"/>
      <c r="RRH4" s="74"/>
      <c r="RRI4" s="74"/>
      <c r="RRJ4" s="74"/>
      <c r="RRK4" s="74"/>
      <c r="RRL4" s="74"/>
      <c r="RRM4" s="74"/>
      <c r="RRN4" s="74"/>
      <c r="RRO4" s="74"/>
      <c r="RRP4" s="74"/>
      <c r="RRQ4" s="74"/>
      <c r="RRR4" s="74"/>
      <c r="RRS4" s="74"/>
      <c r="RRT4" s="74"/>
      <c r="RRU4" s="74"/>
      <c r="RRV4" s="74"/>
      <c r="RRW4" s="74"/>
      <c r="RRX4" s="74"/>
      <c r="RRY4" s="74"/>
      <c r="RRZ4" s="74"/>
      <c r="RSA4" s="74"/>
      <c r="RSB4" s="74"/>
      <c r="RSC4" s="74"/>
      <c r="RSD4" s="74"/>
      <c r="RSE4" s="74"/>
      <c r="RSF4" s="74"/>
      <c r="RSG4" s="74"/>
      <c r="RSH4" s="74"/>
      <c r="RSI4" s="74"/>
      <c r="RSJ4" s="74"/>
      <c r="RSK4" s="74"/>
      <c r="RSL4" s="74"/>
      <c r="RSM4" s="74"/>
      <c r="RSN4" s="74"/>
      <c r="RSO4" s="74"/>
      <c r="RSP4" s="74"/>
      <c r="RSQ4" s="74"/>
      <c r="RSR4" s="74"/>
      <c r="RSS4" s="74"/>
      <c r="RST4" s="74"/>
      <c r="RSU4" s="74"/>
      <c r="RSV4" s="74"/>
      <c r="RSW4" s="74"/>
      <c r="RSX4" s="74"/>
      <c r="RSY4" s="74"/>
      <c r="RSZ4" s="74"/>
      <c r="RTA4" s="74"/>
      <c r="RTB4" s="74"/>
      <c r="RTC4" s="74"/>
      <c r="RTD4" s="74"/>
      <c r="RTE4" s="74"/>
      <c r="RTF4" s="74"/>
      <c r="RTG4" s="74"/>
      <c r="RTH4" s="74"/>
      <c r="RTI4" s="74"/>
      <c r="RTJ4" s="74"/>
      <c r="RTK4" s="74"/>
      <c r="RTL4" s="74"/>
      <c r="RTM4" s="74"/>
      <c r="RTN4" s="74"/>
      <c r="RTO4" s="74"/>
      <c r="RTP4" s="74"/>
      <c r="RTQ4" s="74"/>
      <c r="RTR4" s="74"/>
      <c r="RTS4" s="74"/>
      <c r="RTT4" s="74"/>
      <c r="RTU4" s="74"/>
      <c r="RTV4" s="74"/>
      <c r="RTW4" s="74"/>
      <c r="RTX4" s="74"/>
      <c r="RTY4" s="74"/>
      <c r="RTZ4" s="74"/>
      <c r="RUA4" s="74"/>
      <c r="RUB4" s="74"/>
      <c r="RUC4" s="74"/>
      <c r="RUD4" s="74"/>
      <c r="RUE4" s="74"/>
      <c r="RUF4" s="74"/>
      <c r="RUG4" s="74"/>
      <c r="RUH4" s="74"/>
      <c r="RUI4" s="74"/>
      <c r="RUJ4" s="74"/>
      <c r="RUK4" s="74"/>
      <c r="RUL4" s="74"/>
      <c r="RUM4" s="74"/>
      <c r="RUN4" s="74"/>
      <c r="RUO4" s="74"/>
      <c r="RUP4" s="74"/>
      <c r="RUQ4" s="74"/>
      <c r="RUR4" s="74"/>
      <c r="RUS4" s="74"/>
      <c r="RUT4" s="74"/>
      <c r="RUU4" s="74"/>
      <c r="RUV4" s="74"/>
      <c r="RUW4" s="74"/>
      <c r="RUX4" s="74"/>
      <c r="RUY4" s="74"/>
      <c r="RUZ4" s="74"/>
      <c r="RVA4" s="74"/>
      <c r="RVB4" s="74"/>
      <c r="RVC4" s="74"/>
      <c r="RVD4" s="74"/>
      <c r="RVE4" s="74"/>
      <c r="RVF4" s="74"/>
      <c r="RVG4" s="74"/>
      <c r="RVH4" s="74"/>
      <c r="RVI4" s="74"/>
      <c r="RVJ4" s="74"/>
      <c r="RVK4" s="74"/>
      <c r="RVL4" s="74"/>
      <c r="RVM4" s="74"/>
      <c r="RVN4" s="74"/>
      <c r="RVO4" s="74"/>
      <c r="RVP4" s="74"/>
      <c r="RVQ4" s="74"/>
      <c r="RVR4" s="74"/>
      <c r="RVS4" s="74"/>
      <c r="RVT4" s="74"/>
      <c r="RVU4" s="74"/>
      <c r="RVV4" s="74"/>
      <c r="RVW4" s="74"/>
      <c r="RVX4" s="74"/>
      <c r="RVY4" s="74"/>
      <c r="RVZ4" s="74"/>
      <c r="RWA4" s="74"/>
      <c r="RWB4" s="74"/>
      <c r="RWC4" s="74"/>
      <c r="RWD4" s="74"/>
      <c r="RWE4" s="74"/>
      <c r="RWF4" s="74"/>
      <c r="RWG4" s="74"/>
      <c r="RWH4" s="74"/>
      <c r="RWI4" s="74"/>
      <c r="RWJ4" s="74"/>
      <c r="RWK4" s="74"/>
      <c r="RWL4" s="74"/>
      <c r="RWM4" s="74"/>
      <c r="RWN4" s="74"/>
      <c r="RWO4" s="74"/>
      <c r="RWP4" s="74"/>
      <c r="RWQ4" s="74"/>
      <c r="RWR4" s="74"/>
      <c r="RWS4" s="74"/>
      <c r="RWT4" s="74"/>
      <c r="RWU4" s="74"/>
      <c r="RWV4" s="74"/>
      <c r="RWW4" s="74"/>
      <c r="RWX4" s="74"/>
      <c r="RWY4" s="74"/>
      <c r="RWZ4" s="74"/>
      <c r="RXA4" s="74"/>
      <c r="RXB4" s="74"/>
      <c r="RXC4" s="74"/>
      <c r="RXD4" s="74"/>
      <c r="RXE4" s="74"/>
      <c r="RXF4" s="74"/>
      <c r="RXG4" s="74"/>
      <c r="RXH4" s="74"/>
      <c r="RXI4" s="74"/>
      <c r="RXJ4" s="74"/>
      <c r="RXK4" s="74"/>
      <c r="RXL4" s="74"/>
      <c r="RXM4" s="74"/>
      <c r="RXN4" s="74"/>
      <c r="RXO4" s="74"/>
      <c r="RXP4" s="74"/>
      <c r="RXQ4" s="74"/>
      <c r="RXR4" s="74"/>
      <c r="RXS4" s="74"/>
      <c r="RXT4" s="74"/>
      <c r="RXU4" s="74"/>
      <c r="RXV4" s="74"/>
      <c r="RXW4" s="74"/>
      <c r="RXX4" s="74"/>
      <c r="RXY4" s="74"/>
      <c r="RXZ4" s="74"/>
      <c r="RYA4" s="74"/>
      <c r="RYB4" s="74"/>
      <c r="RYC4" s="74"/>
      <c r="RYD4" s="74"/>
      <c r="RYE4" s="74"/>
      <c r="RYF4" s="74"/>
      <c r="RYG4" s="74"/>
      <c r="RYH4" s="74"/>
      <c r="RYI4" s="74"/>
      <c r="RYJ4" s="74"/>
      <c r="RYK4" s="74"/>
      <c r="RYL4" s="74"/>
      <c r="RYM4" s="74"/>
      <c r="RYN4" s="74"/>
      <c r="RYO4" s="74"/>
      <c r="RYP4" s="74"/>
      <c r="RYQ4" s="74"/>
      <c r="RYR4" s="74"/>
      <c r="RYS4" s="74"/>
      <c r="RYT4" s="74"/>
      <c r="RYU4" s="74"/>
      <c r="RYV4" s="74"/>
      <c r="RYW4" s="74"/>
      <c r="RYX4" s="74"/>
      <c r="RYY4" s="74"/>
      <c r="RYZ4" s="74"/>
      <c r="RZA4" s="74"/>
      <c r="RZB4" s="74"/>
      <c r="RZC4" s="74"/>
      <c r="RZD4" s="74"/>
      <c r="RZE4" s="74"/>
      <c r="RZF4" s="74"/>
      <c r="RZG4" s="74"/>
      <c r="RZH4" s="74"/>
      <c r="RZI4" s="74"/>
      <c r="RZJ4" s="74"/>
      <c r="RZK4" s="74"/>
      <c r="RZL4" s="74"/>
      <c r="RZM4" s="74"/>
      <c r="RZN4" s="74"/>
      <c r="RZO4" s="74"/>
      <c r="RZP4" s="74"/>
      <c r="RZQ4" s="74"/>
      <c r="RZR4" s="74"/>
      <c r="RZS4" s="74"/>
      <c r="RZT4" s="74"/>
      <c r="RZU4" s="74"/>
      <c r="RZV4" s="74"/>
      <c r="RZW4" s="74"/>
      <c r="RZX4" s="74"/>
      <c r="RZY4" s="74"/>
      <c r="RZZ4" s="74"/>
      <c r="SAA4" s="74"/>
      <c r="SAB4" s="74"/>
      <c r="SAC4" s="74"/>
      <c r="SAD4" s="74"/>
      <c r="SAE4" s="74"/>
      <c r="SAF4" s="74"/>
      <c r="SAG4" s="74"/>
      <c r="SAH4" s="74"/>
      <c r="SAI4" s="74"/>
      <c r="SAJ4" s="74"/>
      <c r="SAK4" s="74"/>
      <c r="SAL4" s="74"/>
      <c r="SAM4" s="74"/>
      <c r="SAN4" s="74"/>
      <c r="SAO4" s="74"/>
      <c r="SAP4" s="74"/>
      <c r="SAQ4" s="74"/>
      <c r="SAR4" s="74"/>
      <c r="SAS4" s="74"/>
      <c r="SAT4" s="74"/>
      <c r="SAU4" s="74"/>
      <c r="SAV4" s="74"/>
      <c r="SAW4" s="74"/>
      <c r="SAX4" s="74"/>
      <c r="SAY4" s="74"/>
      <c r="SAZ4" s="74"/>
      <c r="SBA4" s="74"/>
      <c r="SBB4" s="74"/>
      <c r="SBC4" s="74"/>
      <c r="SBD4" s="74"/>
      <c r="SBE4" s="74"/>
      <c r="SBF4" s="74"/>
      <c r="SBG4" s="74"/>
      <c r="SBH4" s="74"/>
      <c r="SBI4" s="74"/>
      <c r="SBJ4" s="74"/>
      <c r="SBK4" s="74"/>
      <c r="SBL4" s="74"/>
      <c r="SBM4" s="74"/>
      <c r="SBN4" s="74"/>
      <c r="SBO4" s="74"/>
      <c r="SBP4" s="74"/>
      <c r="SBQ4" s="74"/>
      <c r="SBR4" s="74"/>
      <c r="SBS4" s="74"/>
      <c r="SBT4" s="74"/>
      <c r="SBU4" s="74"/>
      <c r="SBV4" s="74"/>
      <c r="SBW4" s="74"/>
      <c r="SBX4" s="74"/>
      <c r="SBY4" s="74"/>
      <c r="SBZ4" s="74"/>
      <c r="SCA4" s="74"/>
      <c r="SCB4" s="74"/>
      <c r="SCC4" s="74"/>
      <c r="SCD4" s="74"/>
      <c r="SCE4" s="74"/>
      <c r="SCF4" s="74"/>
      <c r="SCG4" s="74"/>
      <c r="SCH4" s="74"/>
      <c r="SCI4" s="74"/>
      <c r="SCJ4" s="74"/>
      <c r="SCK4" s="74"/>
      <c r="SCL4" s="74"/>
      <c r="SCM4" s="74"/>
      <c r="SCN4" s="74"/>
      <c r="SCO4" s="74"/>
      <c r="SCP4" s="74"/>
      <c r="SCQ4" s="74"/>
      <c r="SCR4" s="74"/>
      <c r="SCS4" s="74"/>
      <c r="SCT4" s="74"/>
      <c r="SCU4" s="74"/>
      <c r="SCV4" s="74"/>
      <c r="SCW4" s="74"/>
      <c r="SCX4" s="74"/>
      <c r="SCY4" s="74"/>
      <c r="SCZ4" s="74"/>
      <c r="SDA4" s="74"/>
      <c r="SDB4" s="74"/>
      <c r="SDC4" s="74"/>
      <c r="SDD4" s="74"/>
      <c r="SDE4" s="74"/>
      <c r="SDF4" s="74"/>
      <c r="SDG4" s="74"/>
      <c r="SDH4" s="74"/>
      <c r="SDI4" s="74"/>
      <c r="SDJ4" s="74"/>
      <c r="SDK4" s="74"/>
      <c r="SDL4" s="74"/>
      <c r="SDM4" s="74"/>
      <c r="SDN4" s="74"/>
      <c r="SDO4" s="74"/>
      <c r="SDP4" s="74"/>
      <c r="SDQ4" s="74"/>
      <c r="SDR4" s="74"/>
      <c r="SDS4" s="74"/>
      <c r="SDT4" s="74"/>
      <c r="SDU4" s="74"/>
      <c r="SDV4" s="74"/>
      <c r="SDW4" s="74"/>
      <c r="SDX4" s="74"/>
      <c r="SDY4" s="74"/>
      <c r="SDZ4" s="74"/>
      <c r="SEA4" s="74"/>
      <c r="SEB4" s="74"/>
      <c r="SEC4" s="74"/>
      <c r="SED4" s="74"/>
      <c r="SEE4" s="74"/>
      <c r="SEF4" s="74"/>
      <c r="SEG4" s="74"/>
      <c r="SEH4" s="74"/>
      <c r="SEI4" s="74"/>
      <c r="SEJ4" s="74"/>
      <c r="SEK4" s="74"/>
      <c r="SEL4" s="74"/>
      <c r="SEM4" s="74"/>
      <c r="SEN4" s="74"/>
      <c r="SEO4" s="74"/>
      <c r="SEP4" s="74"/>
      <c r="SEQ4" s="74"/>
      <c r="SER4" s="74"/>
      <c r="SES4" s="74"/>
      <c r="SET4" s="74"/>
      <c r="SEU4" s="74"/>
      <c r="SEV4" s="74"/>
      <c r="SEW4" s="74"/>
      <c r="SEX4" s="74"/>
      <c r="SEY4" s="74"/>
      <c r="SEZ4" s="74"/>
      <c r="SFA4" s="74"/>
      <c r="SFB4" s="74"/>
      <c r="SFC4" s="74"/>
      <c r="SFD4" s="74"/>
      <c r="SFE4" s="74"/>
      <c r="SFF4" s="74"/>
      <c r="SFG4" s="74"/>
      <c r="SFH4" s="74"/>
      <c r="SFI4" s="74"/>
      <c r="SFJ4" s="74"/>
      <c r="SFK4" s="74"/>
      <c r="SFL4" s="74"/>
      <c r="SFM4" s="74"/>
      <c r="SFN4" s="74"/>
      <c r="SFO4" s="74"/>
      <c r="SFP4" s="74"/>
      <c r="SFQ4" s="74"/>
      <c r="SFR4" s="74"/>
      <c r="SFS4" s="74"/>
      <c r="SFT4" s="74"/>
      <c r="SFU4" s="74"/>
      <c r="SFV4" s="74"/>
      <c r="SFW4" s="74"/>
      <c r="SFX4" s="74"/>
      <c r="SFY4" s="74"/>
      <c r="SFZ4" s="74"/>
      <c r="SGA4" s="74"/>
      <c r="SGB4" s="74"/>
      <c r="SGC4" s="74"/>
      <c r="SGD4" s="74"/>
      <c r="SGE4" s="74"/>
      <c r="SGF4" s="74"/>
      <c r="SGG4" s="74"/>
      <c r="SGH4" s="74"/>
      <c r="SGI4" s="74"/>
      <c r="SGJ4" s="74"/>
      <c r="SGK4" s="74"/>
      <c r="SGL4" s="74"/>
      <c r="SGM4" s="74"/>
      <c r="SGN4" s="74"/>
      <c r="SGO4" s="74"/>
      <c r="SGP4" s="74"/>
      <c r="SGQ4" s="74"/>
      <c r="SGR4" s="74"/>
      <c r="SGS4" s="74"/>
      <c r="SGT4" s="74"/>
      <c r="SGU4" s="74"/>
      <c r="SGV4" s="74"/>
      <c r="SGW4" s="74"/>
      <c r="SGX4" s="74"/>
      <c r="SGY4" s="74"/>
      <c r="SGZ4" s="74"/>
      <c r="SHA4" s="74"/>
      <c r="SHB4" s="74"/>
      <c r="SHC4" s="74"/>
      <c r="SHD4" s="74"/>
      <c r="SHE4" s="74"/>
      <c r="SHF4" s="74"/>
      <c r="SHG4" s="74"/>
      <c r="SHH4" s="74"/>
      <c r="SHI4" s="74"/>
      <c r="SHJ4" s="74"/>
      <c r="SHK4" s="74"/>
      <c r="SHL4" s="74"/>
      <c r="SHM4" s="74"/>
      <c r="SHN4" s="74"/>
      <c r="SHO4" s="74"/>
      <c r="SHP4" s="74"/>
      <c r="SHQ4" s="74"/>
      <c r="SHR4" s="74"/>
      <c r="SHS4" s="74"/>
      <c r="SHT4" s="74"/>
      <c r="SHU4" s="74"/>
      <c r="SHV4" s="74"/>
      <c r="SHW4" s="74"/>
      <c r="SHX4" s="74"/>
      <c r="SHY4" s="74"/>
      <c r="SHZ4" s="74"/>
      <c r="SIA4" s="74"/>
      <c r="SIB4" s="74"/>
      <c r="SIC4" s="74"/>
      <c r="SID4" s="74"/>
      <c r="SIE4" s="74"/>
      <c r="SIF4" s="74"/>
      <c r="SIG4" s="74"/>
      <c r="SIH4" s="74"/>
      <c r="SII4" s="74"/>
      <c r="SIJ4" s="74"/>
      <c r="SIK4" s="74"/>
      <c r="SIL4" s="74"/>
      <c r="SIM4" s="74"/>
      <c r="SIN4" s="74"/>
      <c r="SIO4" s="74"/>
      <c r="SIP4" s="74"/>
      <c r="SIQ4" s="74"/>
      <c r="SIR4" s="74"/>
      <c r="SIS4" s="74"/>
      <c r="SIT4" s="74"/>
      <c r="SIU4" s="74"/>
      <c r="SIV4" s="74"/>
      <c r="SIW4" s="74"/>
      <c r="SIX4" s="74"/>
      <c r="SIY4" s="74"/>
      <c r="SIZ4" s="74"/>
      <c r="SJA4" s="74"/>
      <c r="SJB4" s="74"/>
      <c r="SJC4" s="74"/>
      <c r="SJD4" s="74"/>
      <c r="SJE4" s="74"/>
      <c r="SJF4" s="74"/>
      <c r="SJG4" s="74"/>
      <c r="SJH4" s="74"/>
      <c r="SJI4" s="74"/>
      <c r="SJJ4" s="74"/>
      <c r="SJK4" s="74"/>
      <c r="SJL4" s="74"/>
      <c r="SJM4" s="74"/>
      <c r="SJN4" s="74"/>
      <c r="SJO4" s="74"/>
      <c r="SJP4" s="74"/>
      <c r="SJQ4" s="74"/>
      <c r="SJR4" s="74"/>
      <c r="SJS4" s="74"/>
      <c r="SJT4" s="74"/>
      <c r="SJU4" s="74"/>
      <c r="SJV4" s="74"/>
      <c r="SJW4" s="74"/>
      <c r="SJX4" s="74"/>
      <c r="SJY4" s="74"/>
      <c r="SJZ4" s="74"/>
      <c r="SKA4" s="74"/>
      <c r="SKB4" s="74"/>
      <c r="SKC4" s="74"/>
      <c r="SKD4" s="74"/>
      <c r="SKE4" s="74"/>
      <c r="SKF4" s="74"/>
      <c r="SKG4" s="74"/>
      <c r="SKH4" s="74"/>
      <c r="SKI4" s="74"/>
      <c r="SKJ4" s="74"/>
      <c r="SKK4" s="74"/>
      <c r="SKL4" s="74"/>
      <c r="SKM4" s="74"/>
      <c r="SKN4" s="74"/>
      <c r="SKO4" s="74"/>
      <c r="SKP4" s="74"/>
      <c r="SKQ4" s="74"/>
      <c r="SKR4" s="74"/>
      <c r="SKS4" s="74"/>
      <c r="SKT4" s="74"/>
      <c r="SKU4" s="74"/>
      <c r="SKV4" s="74"/>
      <c r="SKW4" s="74"/>
      <c r="SKX4" s="74"/>
      <c r="SKY4" s="74"/>
      <c r="SKZ4" s="74"/>
      <c r="SLA4" s="74"/>
      <c r="SLB4" s="74"/>
      <c r="SLC4" s="74"/>
      <c r="SLD4" s="74"/>
      <c r="SLE4" s="74"/>
      <c r="SLF4" s="74"/>
      <c r="SLG4" s="74"/>
      <c r="SLH4" s="74"/>
      <c r="SLI4" s="74"/>
      <c r="SLJ4" s="74"/>
      <c r="SLK4" s="74"/>
      <c r="SLL4" s="74"/>
      <c r="SLM4" s="74"/>
      <c r="SLN4" s="74"/>
      <c r="SLO4" s="74"/>
      <c r="SLP4" s="74"/>
      <c r="SLQ4" s="74"/>
      <c r="SLR4" s="74"/>
      <c r="SLS4" s="74"/>
      <c r="SLT4" s="74"/>
      <c r="SLU4" s="74"/>
      <c r="SLV4" s="74"/>
      <c r="SLW4" s="74"/>
      <c r="SLX4" s="74"/>
      <c r="SLY4" s="74"/>
      <c r="SLZ4" s="74"/>
      <c r="SMA4" s="74"/>
      <c r="SMB4" s="74"/>
      <c r="SMC4" s="74"/>
      <c r="SMD4" s="74"/>
      <c r="SME4" s="74"/>
      <c r="SMF4" s="74"/>
      <c r="SMG4" s="74"/>
      <c r="SMH4" s="74"/>
      <c r="SMI4" s="74"/>
      <c r="SMJ4" s="74"/>
      <c r="SMK4" s="74"/>
      <c r="SML4" s="74"/>
      <c r="SMM4" s="74"/>
      <c r="SMN4" s="74"/>
      <c r="SMO4" s="74"/>
      <c r="SMP4" s="74"/>
      <c r="SMQ4" s="74"/>
      <c r="SMR4" s="74"/>
      <c r="SMS4" s="74"/>
      <c r="SMT4" s="74"/>
      <c r="SMU4" s="74"/>
      <c r="SMV4" s="74"/>
      <c r="SMW4" s="74"/>
      <c r="SMX4" s="74"/>
      <c r="SMY4" s="74"/>
      <c r="SMZ4" s="74"/>
      <c r="SNA4" s="74"/>
      <c r="SNB4" s="74"/>
      <c r="SNC4" s="74"/>
      <c r="SND4" s="74"/>
      <c r="SNE4" s="74"/>
      <c r="SNF4" s="74"/>
      <c r="SNG4" s="74"/>
      <c r="SNH4" s="74"/>
      <c r="SNI4" s="74"/>
      <c r="SNJ4" s="74"/>
      <c r="SNK4" s="74"/>
      <c r="SNL4" s="74"/>
      <c r="SNM4" s="74"/>
      <c r="SNN4" s="74"/>
      <c r="SNO4" s="74"/>
      <c r="SNP4" s="74"/>
      <c r="SNQ4" s="74"/>
      <c r="SNR4" s="74"/>
      <c r="SNS4" s="74"/>
      <c r="SNT4" s="74"/>
      <c r="SNU4" s="74"/>
      <c r="SNV4" s="74"/>
      <c r="SNW4" s="74"/>
      <c r="SNX4" s="74"/>
      <c r="SNY4" s="74"/>
      <c r="SNZ4" s="74"/>
      <c r="SOA4" s="74"/>
      <c r="SOB4" s="74"/>
      <c r="SOC4" s="74"/>
      <c r="SOD4" s="74"/>
      <c r="SOE4" s="74"/>
      <c r="SOF4" s="74"/>
      <c r="SOG4" s="74"/>
      <c r="SOH4" s="74"/>
      <c r="SOI4" s="74"/>
      <c r="SOJ4" s="74"/>
      <c r="SOK4" s="74"/>
      <c r="SOL4" s="74"/>
      <c r="SOM4" s="74"/>
      <c r="SON4" s="74"/>
      <c r="SOO4" s="74"/>
      <c r="SOP4" s="74"/>
      <c r="SOQ4" s="74"/>
      <c r="SOR4" s="74"/>
      <c r="SOS4" s="74"/>
      <c r="SOT4" s="74"/>
      <c r="SOU4" s="74"/>
      <c r="SOV4" s="74"/>
      <c r="SOW4" s="74"/>
      <c r="SOX4" s="74"/>
      <c r="SOY4" s="74"/>
      <c r="SOZ4" s="74"/>
      <c r="SPA4" s="74"/>
      <c r="SPB4" s="74"/>
      <c r="SPC4" s="74"/>
      <c r="SPD4" s="74"/>
      <c r="SPE4" s="74"/>
      <c r="SPF4" s="74"/>
      <c r="SPG4" s="74"/>
      <c r="SPH4" s="74"/>
      <c r="SPI4" s="74"/>
      <c r="SPJ4" s="74"/>
      <c r="SPK4" s="74"/>
      <c r="SPL4" s="74"/>
      <c r="SPM4" s="74"/>
      <c r="SPN4" s="74"/>
      <c r="SPO4" s="74"/>
      <c r="SPP4" s="74"/>
      <c r="SPQ4" s="74"/>
      <c r="SPR4" s="74"/>
      <c r="SPS4" s="74"/>
      <c r="SPT4" s="74"/>
      <c r="SPU4" s="74"/>
      <c r="SPV4" s="74"/>
      <c r="SPW4" s="74"/>
      <c r="SPX4" s="74"/>
      <c r="SPY4" s="74"/>
      <c r="SPZ4" s="74"/>
      <c r="SQA4" s="74"/>
      <c r="SQB4" s="74"/>
      <c r="SQC4" s="74"/>
      <c r="SQD4" s="74"/>
      <c r="SQE4" s="74"/>
      <c r="SQF4" s="74"/>
      <c r="SQG4" s="74"/>
      <c r="SQH4" s="74"/>
      <c r="SQI4" s="74"/>
      <c r="SQJ4" s="74"/>
      <c r="SQK4" s="74"/>
      <c r="SQL4" s="74"/>
      <c r="SQM4" s="74"/>
      <c r="SQN4" s="74"/>
      <c r="SQO4" s="74"/>
      <c r="SQP4" s="74"/>
      <c r="SQQ4" s="74"/>
      <c r="SQR4" s="74"/>
      <c r="SQS4" s="74"/>
      <c r="SQT4" s="74"/>
      <c r="SQU4" s="74"/>
      <c r="SQV4" s="74"/>
      <c r="SQW4" s="74"/>
      <c r="SQX4" s="74"/>
      <c r="SQY4" s="74"/>
      <c r="SQZ4" s="74"/>
      <c r="SRA4" s="74"/>
      <c r="SRB4" s="74"/>
      <c r="SRC4" s="74"/>
      <c r="SRD4" s="74"/>
      <c r="SRE4" s="74"/>
      <c r="SRF4" s="74"/>
      <c r="SRG4" s="74"/>
      <c r="SRH4" s="74"/>
      <c r="SRI4" s="74"/>
      <c r="SRJ4" s="74"/>
      <c r="SRK4" s="74"/>
      <c r="SRL4" s="74"/>
      <c r="SRM4" s="74"/>
      <c r="SRN4" s="74"/>
      <c r="SRO4" s="74"/>
      <c r="SRP4" s="74"/>
      <c r="SRQ4" s="74"/>
      <c r="SRR4" s="74"/>
      <c r="SRS4" s="74"/>
      <c r="SRT4" s="74"/>
      <c r="SRU4" s="74"/>
      <c r="SRV4" s="74"/>
      <c r="SRW4" s="74"/>
      <c r="SRX4" s="74"/>
      <c r="SRY4" s="74"/>
      <c r="SRZ4" s="74"/>
      <c r="SSA4" s="74"/>
      <c r="SSB4" s="74"/>
      <c r="SSC4" s="74"/>
      <c r="SSD4" s="74"/>
      <c r="SSE4" s="74"/>
      <c r="SSF4" s="74"/>
      <c r="SSG4" s="74"/>
      <c r="SSH4" s="74"/>
      <c r="SSI4" s="74"/>
      <c r="SSJ4" s="74"/>
      <c r="SSK4" s="74"/>
      <c r="SSL4" s="74"/>
      <c r="SSM4" s="74"/>
      <c r="SSN4" s="74"/>
      <c r="SSO4" s="74"/>
      <c r="SSP4" s="74"/>
      <c r="SSQ4" s="74"/>
      <c r="SSR4" s="74"/>
      <c r="SSS4" s="74"/>
      <c r="SST4" s="74"/>
      <c r="SSU4" s="74"/>
      <c r="SSV4" s="74"/>
      <c r="SSW4" s="74"/>
      <c r="SSX4" s="74"/>
      <c r="SSY4" s="74"/>
      <c r="SSZ4" s="74"/>
      <c r="STA4" s="74"/>
      <c r="STB4" s="74"/>
      <c r="STC4" s="74"/>
      <c r="STD4" s="74"/>
      <c r="STE4" s="74"/>
      <c r="STF4" s="74"/>
      <c r="STG4" s="74"/>
      <c r="STH4" s="74"/>
      <c r="STI4" s="74"/>
      <c r="STJ4" s="74"/>
      <c r="STK4" s="74"/>
      <c r="STL4" s="74"/>
      <c r="STM4" s="74"/>
      <c r="STN4" s="74"/>
      <c r="STO4" s="74"/>
      <c r="STP4" s="74"/>
      <c r="STQ4" s="74"/>
      <c r="STR4" s="74"/>
      <c r="STS4" s="74"/>
      <c r="STT4" s="74"/>
      <c r="STU4" s="74"/>
      <c r="STV4" s="74"/>
      <c r="STW4" s="74"/>
      <c r="STX4" s="74"/>
      <c r="STY4" s="74"/>
      <c r="STZ4" s="74"/>
      <c r="SUA4" s="74"/>
      <c r="SUB4" s="74"/>
      <c r="SUC4" s="74"/>
      <c r="SUD4" s="74"/>
      <c r="SUE4" s="74"/>
      <c r="SUF4" s="74"/>
      <c r="SUG4" s="74"/>
      <c r="SUH4" s="74"/>
      <c r="SUI4" s="74"/>
      <c r="SUJ4" s="74"/>
      <c r="SUK4" s="74"/>
      <c r="SUL4" s="74"/>
      <c r="SUM4" s="74"/>
      <c r="SUN4" s="74"/>
      <c r="SUO4" s="74"/>
      <c r="SUP4" s="74"/>
      <c r="SUQ4" s="74"/>
      <c r="SUR4" s="74"/>
      <c r="SUS4" s="74"/>
      <c r="SUT4" s="74"/>
      <c r="SUU4" s="74"/>
      <c r="SUV4" s="74"/>
      <c r="SUW4" s="74"/>
      <c r="SUX4" s="74"/>
      <c r="SUY4" s="74"/>
      <c r="SUZ4" s="74"/>
      <c r="SVA4" s="74"/>
      <c r="SVB4" s="74"/>
      <c r="SVC4" s="74"/>
      <c r="SVD4" s="74"/>
      <c r="SVE4" s="74"/>
      <c r="SVF4" s="74"/>
      <c r="SVG4" s="74"/>
      <c r="SVH4" s="74"/>
      <c r="SVI4" s="74"/>
      <c r="SVJ4" s="74"/>
      <c r="SVK4" s="74"/>
      <c r="SVL4" s="74"/>
      <c r="SVM4" s="74"/>
      <c r="SVN4" s="74"/>
      <c r="SVO4" s="74"/>
      <c r="SVP4" s="74"/>
      <c r="SVQ4" s="74"/>
      <c r="SVR4" s="74"/>
      <c r="SVS4" s="74"/>
      <c r="SVT4" s="74"/>
      <c r="SVU4" s="74"/>
      <c r="SVV4" s="74"/>
      <c r="SVW4" s="74"/>
      <c r="SVX4" s="74"/>
      <c r="SVY4" s="74"/>
      <c r="SVZ4" s="74"/>
      <c r="SWA4" s="74"/>
      <c r="SWB4" s="74"/>
      <c r="SWC4" s="74"/>
      <c r="SWD4" s="74"/>
      <c r="SWE4" s="74"/>
      <c r="SWF4" s="74"/>
      <c r="SWG4" s="74"/>
      <c r="SWH4" s="74"/>
      <c r="SWI4" s="74"/>
      <c r="SWJ4" s="74"/>
      <c r="SWK4" s="74"/>
      <c r="SWL4" s="74"/>
      <c r="SWM4" s="74"/>
      <c r="SWN4" s="74"/>
      <c r="SWO4" s="74"/>
      <c r="SWP4" s="74"/>
      <c r="SWQ4" s="74"/>
      <c r="SWR4" s="74"/>
      <c r="SWS4" s="74"/>
      <c r="SWT4" s="74"/>
      <c r="SWU4" s="74"/>
      <c r="SWV4" s="74"/>
      <c r="SWW4" s="74"/>
      <c r="SWX4" s="74"/>
      <c r="SWY4" s="74"/>
      <c r="SWZ4" s="74"/>
      <c r="SXA4" s="74"/>
      <c r="SXB4" s="74"/>
      <c r="SXC4" s="74"/>
      <c r="SXD4" s="74"/>
      <c r="SXE4" s="74"/>
      <c r="SXF4" s="74"/>
      <c r="SXG4" s="74"/>
      <c r="SXH4" s="74"/>
      <c r="SXI4" s="74"/>
      <c r="SXJ4" s="74"/>
      <c r="SXK4" s="74"/>
      <c r="SXL4" s="74"/>
      <c r="SXM4" s="74"/>
      <c r="SXN4" s="74"/>
      <c r="SXO4" s="74"/>
      <c r="SXP4" s="74"/>
      <c r="SXQ4" s="74"/>
      <c r="SXR4" s="74"/>
      <c r="SXS4" s="74"/>
      <c r="SXT4" s="74"/>
      <c r="SXU4" s="74"/>
      <c r="SXV4" s="74"/>
      <c r="SXW4" s="74"/>
      <c r="SXX4" s="74"/>
      <c r="SXY4" s="74"/>
      <c r="SXZ4" s="74"/>
      <c r="SYA4" s="74"/>
      <c r="SYB4" s="74"/>
      <c r="SYC4" s="74"/>
      <c r="SYD4" s="74"/>
      <c r="SYE4" s="74"/>
      <c r="SYF4" s="74"/>
      <c r="SYG4" s="74"/>
      <c r="SYH4" s="74"/>
      <c r="SYI4" s="74"/>
      <c r="SYJ4" s="74"/>
      <c r="SYK4" s="74"/>
      <c r="SYL4" s="74"/>
      <c r="SYM4" s="74"/>
      <c r="SYN4" s="74"/>
      <c r="SYO4" s="74"/>
      <c r="SYP4" s="74"/>
      <c r="SYQ4" s="74"/>
      <c r="SYR4" s="74"/>
      <c r="SYS4" s="74"/>
      <c r="SYT4" s="74"/>
      <c r="SYU4" s="74"/>
      <c r="SYV4" s="74"/>
      <c r="SYW4" s="74"/>
      <c r="SYX4" s="74"/>
      <c r="SYY4" s="74"/>
      <c r="SYZ4" s="74"/>
      <c r="SZA4" s="74"/>
      <c r="SZB4" s="74"/>
      <c r="SZC4" s="74"/>
      <c r="SZD4" s="74"/>
      <c r="SZE4" s="74"/>
      <c r="SZF4" s="74"/>
      <c r="SZG4" s="74"/>
      <c r="SZH4" s="74"/>
      <c r="SZI4" s="74"/>
      <c r="SZJ4" s="74"/>
      <c r="SZK4" s="74"/>
      <c r="SZL4" s="74"/>
      <c r="SZM4" s="74"/>
      <c r="SZN4" s="74"/>
      <c r="SZO4" s="74"/>
      <c r="SZP4" s="74"/>
      <c r="SZQ4" s="74"/>
      <c r="SZR4" s="74"/>
      <c r="SZS4" s="74"/>
      <c r="SZT4" s="74"/>
      <c r="SZU4" s="74"/>
      <c r="SZV4" s="74"/>
      <c r="SZW4" s="74"/>
      <c r="SZX4" s="74"/>
      <c r="SZY4" s="74"/>
      <c r="SZZ4" s="74"/>
      <c r="TAA4" s="74"/>
      <c r="TAB4" s="74"/>
      <c r="TAC4" s="74"/>
      <c r="TAD4" s="74"/>
      <c r="TAE4" s="74"/>
      <c r="TAF4" s="74"/>
      <c r="TAG4" s="74"/>
      <c r="TAH4" s="74"/>
      <c r="TAI4" s="74"/>
      <c r="TAJ4" s="74"/>
      <c r="TAK4" s="74"/>
      <c r="TAL4" s="74"/>
      <c r="TAM4" s="74"/>
      <c r="TAN4" s="74"/>
      <c r="TAO4" s="74"/>
      <c r="TAP4" s="74"/>
      <c r="TAQ4" s="74"/>
      <c r="TAR4" s="74"/>
      <c r="TAS4" s="74"/>
      <c r="TAT4" s="74"/>
      <c r="TAU4" s="74"/>
      <c r="TAV4" s="74"/>
      <c r="TAW4" s="74"/>
      <c r="TAX4" s="74"/>
      <c r="TAY4" s="74"/>
      <c r="TAZ4" s="74"/>
      <c r="TBA4" s="74"/>
      <c r="TBB4" s="74"/>
      <c r="TBC4" s="74"/>
      <c r="TBD4" s="74"/>
      <c r="TBE4" s="74"/>
      <c r="TBF4" s="74"/>
      <c r="TBG4" s="74"/>
      <c r="TBH4" s="74"/>
      <c r="TBI4" s="74"/>
      <c r="TBJ4" s="74"/>
      <c r="TBK4" s="74"/>
      <c r="TBL4" s="74"/>
      <c r="TBM4" s="74"/>
      <c r="TBN4" s="74"/>
      <c r="TBO4" s="74"/>
      <c r="TBP4" s="74"/>
      <c r="TBQ4" s="74"/>
      <c r="TBR4" s="74"/>
      <c r="TBS4" s="74"/>
      <c r="TBT4" s="74"/>
      <c r="TBU4" s="74"/>
      <c r="TBV4" s="74"/>
      <c r="TBW4" s="74"/>
      <c r="TBX4" s="74"/>
      <c r="TBY4" s="74"/>
      <c r="TBZ4" s="74"/>
      <c r="TCA4" s="74"/>
      <c r="TCB4" s="74"/>
      <c r="TCC4" s="74"/>
      <c r="TCD4" s="74"/>
      <c r="TCE4" s="74"/>
      <c r="TCF4" s="74"/>
      <c r="TCG4" s="74"/>
      <c r="TCH4" s="74"/>
      <c r="TCI4" s="74"/>
      <c r="TCJ4" s="74"/>
      <c r="TCK4" s="74"/>
      <c r="TCL4" s="74"/>
      <c r="TCM4" s="74"/>
      <c r="TCN4" s="74"/>
      <c r="TCO4" s="74"/>
      <c r="TCP4" s="74"/>
      <c r="TCQ4" s="74"/>
      <c r="TCR4" s="74"/>
      <c r="TCS4" s="74"/>
      <c r="TCT4" s="74"/>
      <c r="TCU4" s="74"/>
      <c r="TCV4" s="74"/>
      <c r="TCW4" s="74"/>
      <c r="TCX4" s="74"/>
      <c r="TCY4" s="74"/>
      <c r="TCZ4" s="74"/>
      <c r="TDA4" s="74"/>
      <c r="TDB4" s="74"/>
      <c r="TDC4" s="74"/>
      <c r="TDD4" s="74"/>
      <c r="TDE4" s="74"/>
      <c r="TDF4" s="74"/>
      <c r="TDG4" s="74"/>
      <c r="TDH4" s="74"/>
      <c r="TDI4" s="74"/>
      <c r="TDJ4" s="74"/>
      <c r="TDK4" s="74"/>
      <c r="TDL4" s="74"/>
      <c r="TDM4" s="74"/>
      <c r="TDN4" s="74"/>
      <c r="TDO4" s="74"/>
      <c r="TDP4" s="74"/>
      <c r="TDQ4" s="74"/>
      <c r="TDR4" s="74"/>
      <c r="TDS4" s="74"/>
      <c r="TDT4" s="74"/>
      <c r="TDU4" s="74"/>
      <c r="TDV4" s="74"/>
      <c r="TDW4" s="74"/>
      <c r="TDX4" s="74"/>
      <c r="TDY4" s="74"/>
      <c r="TDZ4" s="74"/>
      <c r="TEA4" s="74"/>
      <c r="TEB4" s="74"/>
      <c r="TEC4" s="74"/>
      <c r="TED4" s="74"/>
      <c r="TEE4" s="74"/>
      <c r="TEF4" s="74"/>
      <c r="TEG4" s="74"/>
      <c r="TEH4" s="74"/>
      <c r="TEI4" s="74"/>
      <c r="TEJ4" s="74"/>
      <c r="TEK4" s="74"/>
      <c r="TEL4" s="74"/>
      <c r="TEM4" s="74"/>
      <c r="TEN4" s="74"/>
      <c r="TEO4" s="74"/>
      <c r="TEP4" s="74"/>
      <c r="TEQ4" s="74"/>
      <c r="TER4" s="74"/>
      <c r="TES4" s="74"/>
      <c r="TET4" s="74"/>
      <c r="TEU4" s="74"/>
      <c r="TEV4" s="74"/>
      <c r="TEW4" s="74"/>
      <c r="TEX4" s="74"/>
      <c r="TEY4" s="74"/>
      <c r="TEZ4" s="74"/>
      <c r="TFA4" s="74"/>
      <c r="TFB4" s="74"/>
      <c r="TFC4" s="74"/>
      <c r="TFD4" s="74"/>
      <c r="TFE4" s="74"/>
      <c r="TFF4" s="74"/>
      <c r="TFG4" s="74"/>
      <c r="TFH4" s="74"/>
      <c r="TFI4" s="74"/>
      <c r="TFJ4" s="74"/>
      <c r="TFK4" s="74"/>
      <c r="TFL4" s="74"/>
      <c r="TFM4" s="74"/>
      <c r="TFN4" s="74"/>
      <c r="TFO4" s="74"/>
      <c r="TFP4" s="74"/>
      <c r="TFQ4" s="74"/>
      <c r="TFR4" s="74"/>
      <c r="TFS4" s="74"/>
      <c r="TFT4" s="74"/>
      <c r="TFU4" s="74"/>
      <c r="TFV4" s="74"/>
      <c r="TFW4" s="74"/>
      <c r="TFX4" s="74"/>
      <c r="TFY4" s="74"/>
      <c r="TFZ4" s="74"/>
      <c r="TGA4" s="74"/>
      <c r="TGB4" s="74"/>
      <c r="TGC4" s="74"/>
      <c r="TGD4" s="74"/>
      <c r="TGE4" s="74"/>
      <c r="TGF4" s="74"/>
      <c r="TGG4" s="74"/>
      <c r="TGH4" s="74"/>
      <c r="TGI4" s="74"/>
      <c r="TGJ4" s="74"/>
      <c r="TGK4" s="74"/>
      <c r="TGL4" s="74"/>
      <c r="TGM4" s="74"/>
      <c r="TGN4" s="74"/>
      <c r="TGO4" s="74"/>
      <c r="TGP4" s="74"/>
      <c r="TGQ4" s="74"/>
      <c r="TGR4" s="74"/>
      <c r="TGS4" s="74"/>
      <c r="TGT4" s="74"/>
      <c r="TGU4" s="74"/>
      <c r="TGV4" s="74"/>
      <c r="TGW4" s="74"/>
      <c r="TGX4" s="74"/>
      <c r="TGY4" s="74"/>
      <c r="TGZ4" s="74"/>
      <c r="THA4" s="74"/>
      <c r="THB4" s="74"/>
      <c r="THC4" s="74"/>
      <c r="THD4" s="74"/>
      <c r="THE4" s="74"/>
      <c r="THF4" s="74"/>
      <c r="THG4" s="74"/>
      <c r="THH4" s="74"/>
      <c r="THI4" s="74"/>
      <c r="THJ4" s="74"/>
      <c r="THK4" s="74"/>
      <c r="THL4" s="74"/>
      <c r="THM4" s="74"/>
      <c r="THN4" s="74"/>
      <c r="THO4" s="74"/>
      <c r="THP4" s="74"/>
      <c r="THQ4" s="74"/>
      <c r="THR4" s="74"/>
      <c r="THS4" s="74"/>
      <c r="THT4" s="74"/>
      <c r="THU4" s="74"/>
      <c r="THV4" s="74"/>
      <c r="THW4" s="74"/>
      <c r="THX4" s="74"/>
      <c r="THY4" s="74"/>
      <c r="THZ4" s="74"/>
      <c r="TIA4" s="74"/>
      <c r="TIB4" s="74"/>
      <c r="TIC4" s="74"/>
      <c r="TID4" s="74"/>
      <c r="TIE4" s="74"/>
      <c r="TIF4" s="74"/>
      <c r="TIG4" s="74"/>
      <c r="TIH4" s="74"/>
      <c r="TII4" s="74"/>
      <c r="TIJ4" s="74"/>
      <c r="TIK4" s="74"/>
      <c r="TIL4" s="74"/>
      <c r="TIM4" s="74"/>
      <c r="TIN4" s="74"/>
      <c r="TIO4" s="74"/>
      <c r="TIP4" s="74"/>
      <c r="TIQ4" s="74"/>
      <c r="TIR4" s="74"/>
      <c r="TIS4" s="74"/>
      <c r="TIT4" s="74"/>
      <c r="TIU4" s="74"/>
      <c r="TIV4" s="74"/>
      <c r="TIW4" s="74"/>
      <c r="TIX4" s="74"/>
      <c r="TIY4" s="74"/>
      <c r="TIZ4" s="74"/>
      <c r="TJA4" s="74"/>
      <c r="TJB4" s="74"/>
      <c r="TJC4" s="74"/>
      <c r="TJD4" s="74"/>
      <c r="TJE4" s="74"/>
      <c r="TJF4" s="74"/>
      <c r="TJG4" s="74"/>
      <c r="TJH4" s="74"/>
      <c r="TJI4" s="74"/>
      <c r="TJJ4" s="74"/>
      <c r="TJK4" s="74"/>
      <c r="TJL4" s="74"/>
      <c r="TJM4" s="74"/>
      <c r="TJN4" s="74"/>
      <c r="TJO4" s="74"/>
      <c r="TJP4" s="74"/>
      <c r="TJQ4" s="74"/>
      <c r="TJR4" s="74"/>
      <c r="TJS4" s="74"/>
      <c r="TJT4" s="74"/>
      <c r="TJU4" s="74"/>
      <c r="TJV4" s="74"/>
      <c r="TJW4" s="74"/>
      <c r="TJX4" s="74"/>
      <c r="TJY4" s="74"/>
      <c r="TJZ4" s="74"/>
      <c r="TKA4" s="74"/>
      <c r="TKB4" s="74"/>
      <c r="TKC4" s="74"/>
      <c r="TKD4" s="74"/>
      <c r="TKE4" s="74"/>
      <c r="TKF4" s="74"/>
      <c r="TKG4" s="74"/>
      <c r="TKH4" s="74"/>
      <c r="TKI4" s="74"/>
      <c r="TKJ4" s="74"/>
      <c r="TKK4" s="74"/>
      <c r="TKL4" s="74"/>
      <c r="TKM4" s="74"/>
      <c r="TKN4" s="74"/>
      <c r="TKO4" s="74"/>
      <c r="TKP4" s="74"/>
      <c r="TKQ4" s="74"/>
      <c r="TKR4" s="74"/>
      <c r="TKS4" s="74"/>
      <c r="TKT4" s="74"/>
      <c r="TKU4" s="74"/>
      <c r="TKV4" s="74"/>
      <c r="TKW4" s="74"/>
      <c r="TKX4" s="74"/>
      <c r="TKY4" s="74"/>
      <c r="TKZ4" s="74"/>
      <c r="TLA4" s="74"/>
      <c r="TLB4" s="74"/>
      <c r="TLC4" s="74"/>
      <c r="TLD4" s="74"/>
      <c r="TLE4" s="74"/>
      <c r="TLF4" s="74"/>
      <c r="TLG4" s="74"/>
      <c r="TLH4" s="74"/>
      <c r="TLI4" s="74"/>
      <c r="TLJ4" s="74"/>
      <c r="TLK4" s="74"/>
      <c r="TLL4" s="74"/>
      <c r="TLM4" s="74"/>
      <c r="TLN4" s="74"/>
      <c r="TLO4" s="74"/>
      <c r="TLP4" s="74"/>
      <c r="TLQ4" s="74"/>
      <c r="TLR4" s="74"/>
      <c r="TLS4" s="74"/>
      <c r="TLT4" s="74"/>
      <c r="TLU4" s="74"/>
      <c r="TLV4" s="74"/>
      <c r="TLW4" s="74"/>
      <c r="TLX4" s="74"/>
      <c r="TLY4" s="74"/>
      <c r="TLZ4" s="74"/>
      <c r="TMA4" s="74"/>
      <c r="TMB4" s="74"/>
      <c r="TMC4" s="74"/>
      <c r="TMD4" s="74"/>
      <c r="TME4" s="74"/>
      <c r="TMF4" s="74"/>
      <c r="TMG4" s="74"/>
      <c r="TMH4" s="74"/>
      <c r="TMI4" s="74"/>
      <c r="TMJ4" s="74"/>
      <c r="TMK4" s="74"/>
      <c r="TML4" s="74"/>
      <c r="TMM4" s="74"/>
      <c r="TMN4" s="74"/>
      <c r="TMO4" s="74"/>
      <c r="TMP4" s="74"/>
      <c r="TMQ4" s="74"/>
      <c r="TMR4" s="74"/>
      <c r="TMS4" s="74"/>
      <c r="TMT4" s="74"/>
      <c r="TMU4" s="74"/>
      <c r="TMV4" s="74"/>
      <c r="TMW4" s="74"/>
      <c r="TMX4" s="74"/>
      <c r="TMY4" s="74"/>
      <c r="TMZ4" s="74"/>
      <c r="TNA4" s="74"/>
      <c r="TNB4" s="74"/>
      <c r="TNC4" s="74"/>
      <c r="TND4" s="74"/>
      <c r="TNE4" s="74"/>
      <c r="TNF4" s="74"/>
      <c r="TNG4" s="74"/>
      <c r="TNH4" s="74"/>
      <c r="TNI4" s="74"/>
      <c r="TNJ4" s="74"/>
      <c r="TNK4" s="74"/>
      <c r="TNL4" s="74"/>
      <c r="TNM4" s="74"/>
      <c r="TNN4" s="74"/>
      <c r="TNO4" s="74"/>
      <c r="TNP4" s="74"/>
      <c r="TNQ4" s="74"/>
      <c r="TNR4" s="74"/>
      <c r="TNS4" s="74"/>
      <c r="TNT4" s="74"/>
      <c r="TNU4" s="74"/>
      <c r="TNV4" s="74"/>
      <c r="TNW4" s="74"/>
      <c r="TNX4" s="74"/>
      <c r="TNY4" s="74"/>
      <c r="TNZ4" s="74"/>
      <c r="TOA4" s="74"/>
      <c r="TOB4" s="74"/>
      <c r="TOC4" s="74"/>
      <c r="TOD4" s="74"/>
      <c r="TOE4" s="74"/>
      <c r="TOF4" s="74"/>
      <c r="TOG4" s="74"/>
      <c r="TOH4" s="74"/>
      <c r="TOI4" s="74"/>
      <c r="TOJ4" s="74"/>
      <c r="TOK4" s="74"/>
      <c r="TOL4" s="74"/>
      <c r="TOM4" s="74"/>
      <c r="TON4" s="74"/>
      <c r="TOO4" s="74"/>
      <c r="TOP4" s="74"/>
      <c r="TOQ4" s="74"/>
      <c r="TOR4" s="74"/>
      <c r="TOS4" s="74"/>
      <c r="TOT4" s="74"/>
      <c r="TOU4" s="74"/>
      <c r="TOV4" s="74"/>
      <c r="TOW4" s="74"/>
      <c r="TOX4" s="74"/>
      <c r="TOY4" s="74"/>
      <c r="TOZ4" s="74"/>
      <c r="TPA4" s="74"/>
      <c r="TPB4" s="74"/>
      <c r="TPC4" s="74"/>
      <c r="TPD4" s="74"/>
      <c r="TPE4" s="74"/>
      <c r="TPF4" s="74"/>
      <c r="TPG4" s="74"/>
      <c r="TPH4" s="74"/>
      <c r="TPI4" s="74"/>
      <c r="TPJ4" s="74"/>
      <c r="TPK4" s="74"/>
      <c r="TPL4" s="74"/>
      <c r="TPM4" s="74"/>
      <c r="TPN4" s="74"/>
      <c r="TPO4" s="74"/>
      <c r="TPP4" s="74"/>
      <c r="TPQ4" s="74"/>
      <c r="TPR4" s="74"/>
      <c r="TPS4" s="74"/>
      <c r="TPT4" s="74"/>
      <c r="TPU4" s="74"/>
      <c r="TPV4" s="74"/>
      <c r="TPW4" s="74"/>
      <c r="TPX4" s="74"/>
      <c r="TPY4" s="74"/>
      <c r="TPZ4" s="74"/>
      <c r="TQA4" s="74"/>
      <c r="TQB4" s="74"/>
      <c r="TQC4" s="74"/>
      <c r="TQD4" s="74"/>
      <c r="TQE4" s="74"/>
      <c r="TQF4" s="74"/>
      <c r="TQG4" s="74"/>
      <c r="TQH4" s="74"/>
      <c r="TQI4" s="74"/>
      <c r="TQJ4" s="74"/>
      <c r="TQK4" s="74"/>
      <c r="TQL4" s="74"/>
      <c r="TQM4" s="74"/>
      <c r="TQN4" s="74"/>
      <c r="TQO4" s="74"/>
      <c r="TQP4" s="74"/>
      <c r="TQQ4" s="74"/>
      <c r="TQR4" s="74"/>
      <c r="TQS4" s="74"/>
      <c r="TQT4" s="74"/>
      <c r="TQU4" s="74"/>
      <c r="TQV4" s="74"/>
      <c r="TQW4" s="74"/>
      <c r="TQX4" s="74"/>
      <c r="TQY4" s="74"/>
      <c r="TQZ4" s="74"/>
      <c r="TRA4" s="74"/>
      <c r="TRB4" s="74"/>
      <c r="TRC4" s="74"/>
      <c r="TRD4" s="74"/>
      <c r="TRE4" s="74"/>
      <c r="TRF4" s="74"/>
      <c r="TRG4" s="74"/>
      <c r="TRH4" s="74"/>
      <c r="TRI4" s="74"/>
      <c r="TRJ4" s="74"/>
      <c r="TRK4" s="74"/>
      <c r="TRL4" s="74"/>
      <c r="TRM4" s="74"/>
      <c r="TRN4" s="74"/>
      <c r="TRO4" s="74"/>
      <c r="TRP4" s="74"/>
      <c r="TRQ4" s="74"/>
      <c r="TRR4" s="74"/>
      <c r="TRS4" s="74"/>
      <c r="TRT4" s="74"/>
      <c r="TRU4" s="74"/>
      <c r="TRV4" s="74"/>
      <c r="TRW4" s="74"/>
      <c r="TRX4" s="74"/>
      <c r="TRY4" s="74"/>
      <c r="TRZ4" s="74"/>
      <c r="TSA4" s="74"/>
      <c r="TSB4" s="74"/>
      <c r="TSC4" s="74"/>
      <c r="TSD4" s="74"/>
      <c r="TSE4" s="74"/>
      <c r="TSF4" s="74"/>
      <c r="TSG4" s="74"/>
      <c r="TSH4" s="74"/>
      <c r="TSI4" s="74"/>
      <c r="TSJ4" s="74"/>
      <c r="TSK4" s="74"/>
      <c r="TSL4" s="74"/>
      <c r="TSM4" s="74"/>
      <c r="TSN4" s="74"/>
      <c r="TSO4" s="74"/>
      <c r="TSP4" s="74"/>
      <c r="TSQ4" s="74"/>
      <c r="TSR4" s="74"/>
      <c r="TSS4" s="74"/>
      <c r="TST4" s="74"/>
      <c r="TSU4" s="74"/>
      <c r="TSV4" s="74"/>
      <c r="TSW4" s="74"/>
      <c r="TSX4" s="74"/>
      <c r="TSY4" s="74"/>
      <c r="TSZ4" s="74"/>
      <c r="TTA4" s="74"/>
      <c r="TTB4" s="74"/>
      <c r="TTC4" s="74"/>
      <c r="TTD4" s="74"/>
      <c r="TTE4" s="74"/>
      <c r="TTF4" s="74"/>
      <c r="TTG4" s="74"/>
      <c r="TTH4" s="74"/>
      <c r="TTI4" s="74"/>
      <c r="TTJ4" s="74"/>
      <c r="TTK4" s="74"/>
      <c r="TTL4" s="74"/>
      <c r="TTM4" s="74"/>
      <c r="TTN4" s="74"/>
      <c r="TTO4" s="74"/>
      <c r="TTP4" s="74"/>
      <c r="TTQ4" s="74"/>
      <c r="TTR4" s="74"/>
      <c r="TTS4" s="74"/>
      <c r="TTT4" s="74"/>
      <c r="TTU4" s="74"/>
      <c r="TTV4" s="74"/>
      <c r="TTW4" s="74"/>
      <c r="TTX4" s="74"/>
      <c r="TTY4" s="74"/>
      <c r="TTZ4" s="74"/>
      <c r="TUA4" s="74"/>
      <c r="TUB4" s="74"/>
      <c r="TUC4" s="74"/>
      <c r="TUD4" s="74"/>
      <c r="TUE4" s="74"/>
      <c r="TUF4" s="74"/>
      <c r="TUG4" s="74"/>
      <c r="TUH4" s="74"/>
      <c r="TUI4" s="74"/>
      <c r="TUJ4" s="74"/>
      <c r="TUK4" s="74"/>
      <c r="TUL4" s="74"/>
      <c r="TUM4" s="74"/>
      <c r="TUN4" s="74"/>
      <c r="TUO4" s="74"/>
      <c r="TUP4" s="74"/>
      <c r="TUQ4" s="74"/>
      <c r="TUR4" s="74"/>
      <c r="TUS4" s="74"/>
      <c r="TUT4" s="74"/>
      <c r="TUU4" s="74"/>
      <c r="TUV4" s="74"/>
      <c r="TUW4" s="74"/>
      <c r="TUX4" s="74"/>
      <c r="TUY4" s="74"/>
      <c r="TUZ4" s="74"/>
      <c r="TVA4" s="74"/>
      <c r="TVB4" s="74"/>
      <c r="TVC4" s="74"/>
      <c r="TVD4" s="74"/>
      <c r="TVE4" s="74"/>
      <c r="TVF4" s="74"/>
      <c r="TVG4" s="74"/>
      <c r="TVH4" s="74"/>
      <c r="TVI4" s="74"/>
      <c r="TVJ4" s="74"/>
      <c r="TVK4" s="74"/>
      <c r="TVL4" s="74"/>
      <c r="TVM4" s="74"/>
      <c r="TVN4" s="74"/>
      <c r="TVO4" s="74"/>
      <c r="TVP4" s="74"/>
      <c r="TVQ4" s="74"/>
      <c r="TVR4" s="74"/>
      <c r="TVS4" s="74"/>
      <c r="TVT4" s="74"/>
      <c r="TVU4" s="74"/>
      <c r="TVV4" s="74"/>
      <c r="TVW4" s="74"/>
      <c r="TVX4" s="74"/>
      <c r="TVY4" s="74"/>
      <c r="TVZ4" s="74"/>
      <c r="TWA4" s="74"/>
      <c r="TWB4" s="74"/>
      <c r="TWC4" s="74"/>
      <c r="TWD4" s="74"/>
      <c r="TWE4" s="74"/>
      <c r="TWF4" s="74"/>
      <c r="TWG4" s="74"/>
      <c r="TWH4" s="74"/>
      <c r="TWI4" s="74"/>
      <c r="TWJ4" s="74"/>
      <c r="TWK4" s="74"/>
      <c r="TWL4" s="74"/>
      <c r="TWM4" s="74"/>
      <c r="TWN4" s="74"/>
      <c r="TWO4" s="74"/>
      <c r="TWP4" s="74"/>
      <c r="TWQ4" s="74"/>
      <c r="TWR4" s="74"/>
      <c r="TWS4" s="74"/>
      <c r="TWT4" s="74"/>
      <c r="TWU4" s="74"/>
      <c r="TWV4" s="74"/>
      <c r="TWW4" s="74"/>
      <c r="TWX4" s="74"/>
      <c r="TWY4" s="74"/>
      <c r="TWZ4" s="74"/>
      <c r="TXA4" s="74"/>
      <c r="TXB4" s="74"/>
      <c r="TXC4" s="74"/>
      <c r="TXD4" s="74"/>
      <c r="TXE4" s="74"/>
      <c r="TXF4" s="74"/>
      <c r="TXG4" s="74"/>
      <c r="TXH4" s="74"/>
      <c r="TXI4" s="74"/>
      <c r="TXJ4" s="74"/>
      <c r="TXK4" s="74"/>
      <c r="TXL4" s="74"/>
      <c r="TXM4" s="74"/>
      <c r="TXN4" s="74"/>
      <c r="TXO4" s="74"/>
      <c r="TXP4" s="74"/>
      <c r="TXQ4" s="74"/>
      <c r="TXR4" s="74"/>
      <c r="TXS4" s="74"/>
      <c r="TXT4" s="74"/>
      <c r="TXU4" s="74"/>
      <c r="TXV4" s="74"/>
      <c r="TXW4" s="74"/>
      <c r="TXX4" s="74"/>
      <c r="TXY4" s="74"/>
      <c r="TXZ4" s="74"/>
      <c r="TYA4" s="74"/>
      <c r="TYB4" s="74"/>
      <c r="TYC4" s="74"/>
      <c r="TYD4" s="74"/>
      <c r="TYE4" s="74"/>
      <c r="TYF4" s="74"/>
      <c r="TYG4" s="74"/>
      <c r="TYH4" s="74"/>
      <c r="TYI4" s="74"/>
      <c r="TYJ4" s="74"/>
      <c r="TYK4" s="74"/>
      <c r="TYL4" s="74"/>
      <c r="TYM4" s="74"/>
      <c r="TYN4" s="74"/>
      <c r="TYO4" s="74"/>
      <c r="TYP4" s="74"/>
      <c r="TYQ4" s="74"/>
      <c r="TYR4" s="74"/>
      <c r="TYS4" s="74"/>
      <c r="TYT4" s="74"/>
      <c r="TYU4" s="74"/>
      <c r="TYV4" s="74"/>
      <c r="TYW4" s="74"/>
      <c r="TYX4" s="74"/>
      <c r="TYY4" s="74"/>
      <c r="TYZ4" s="74"/>
      <c r="TZA4" s="74"/>
      <c r="TZB4" s="74"/>
      <c r="TZC4" s="74"/>
      <c r="TZD4" s="74"/>
      <c r="TZE4" s="74"/>
      <c r="TZF4" s="74"/>
      <c r="TZG4" s="74"/>
      <c r="TZH4" s="74"/>
      <c r="TZI4" s="74"/>
      <c r="TZJ4" s="74"/>
      <c r="TZK4" s="74"/>
      <c r="TZL4" s="74"/>
      <c r="TZM4" s="74"/>
      <c r="TZN4" s="74"/>
      <c r="TZO4" s="74"/>
      <c r="TZP4" s="74"/>
      <c r="TZQ4" s="74"/>
      <c r="TZR4" s="74"/>
      <c r="TZS4" s="74"/>
      <c r="TZT4" s="74"/>
      <c r="TZU4" s="74"/>
      <c r="TZV4" s="74"/>
      <c r="TZW4" s="74"/>
      <c r="TZX4" s="74"/>
      <c r="TZY4" s="74"/>
      <c r="TZZ4" s="74"/>
      <c r="UAA4" s="74"/>
      <c r="UAB4" s="74"/>
      <c r="UAC4" s="74"/>
      <c r="UAD4" s="74"/>
      <c r="UAE4" s="74"/>
      <c r="UAF4" s="74"/>
      <c r="UAG4" s="74"/>
      <c r="UAH4" s="74"/>
      <c r="UAI4" s="74"/>
      <c r="UAJ4" s="74"/>
      <c r="UAK4" s="74"/>
      <c r="UAL4" s="74"/>
      <c r="UAM4" s="74"/>
      <c r="UAN4" s="74"/>
      <c r="UAO4" s="74"/>
      <c r="UAP4" s="74"/>
      <c r="UAQ4" s="74"/>
      <c r="UAR4" s="74"/>
      <c r="UAS4" s="74"/>
      <c r="UAT4" s="74"/>
      <c r="UAU4" s="74"/>
      <c r="UAV4" s="74"/>
      <c r="UAW4" s="74"/>
      <c r="UAX4" s="74"/>
      <c r="UAY4" s="74"/>
      <c r="UAZ4" s="74"/>
      <c r="UBA4" s="74"/>
      <c r="UBB4" s="74"/>
      <c r="UBC4" s="74"/>
      <c r="UBD4" s="74"/>
      <c r="UBE4" s="74"/>
      <c r="UBF4" s="74"/>
      <c r="UBG4" s="74"/>
      <c r="UBH4" s="74"/>
      <c r="UBI4" s="74"/>
      <c r="UBJ4" s="74"/>
      <c r="UBK4" s="74"/>
      <c r="UBL4" s="74"/>
      <c r="UBM4" s="74"/>
      <c r="UBN4" s="74"/>
      <c r="UBO4" s="74"/>
      <c r="UBP4" s="74"/>
      <c r="UBQ4" s="74"/>
      <c r="UBR4" s="74"/>
      <c r="UBS4" s="74"/>
      <c r="UBT4" s="74"/>
      <c r="UBU4" s="74"/>
      <c r="UBV4" s="74"/>
      <c r="UBW4" s="74"/>
      <c r="UBX4" s="74"/>
      <c r="UBY4" s="74"/>
      <c r="UBZ4" s="74"/>
      <c r="UCA4" s="74"/>
      <c r="UCB4" s="74"/>
      <c r="UCC4" s="74"/>
      <c r="UCD4" s="74"/>
      <c r="UCE4" s="74"/>
      <c r="UCF4" s="74"/>
      <c r="UCG4" s="74"/>
      <c r="UCH4" s="74"/>
      <c r="UCI4" s="74"/>
      <c r="UCJ4" s="74"/>
      <c r="UCK4" s="74"/>
      <c r="UCL4" s="74"/>
      <c r="UCM4" s="74"/>
      <c r="UCN4" s="74"/>
      <c r="UCO4" s="74"/>
      <c r="UCP4" s="74"/>
      <c r="UCQ4" s="74"/>
      <c r="UCR4" s="74"/>
      <c r="UCS4" s="74"/>
      <c r="UCT4" s="74"/>
      <c r="UCU4" s="74"/>
      <c r="UCV4" s="74"/>
      <c r="UCW4" s="74"/>
      <c r="UCX4" s="74"/>
      <c r="UCY4" s="74"/>
      <c r="UCZ4" s="74"/>
      <c r="UDA4" s="74"/>
      <c r="UDB4" s="74"/>
      <c r="UDC4" s="74"/>
      <c r="UDD4" s="74"/>
      <c r="UDE4" s="74"/>
      <c r="UDF4" s="74"/>
      <c r="UDG4" s="74"/>
      <c r="UDH4" s="74"/>
      <c r="UDI4" s="74"/>
      <c r="UDJ4" s="74"/>
      <c r="UDK4" s="74"/>
      <c r="UDL4" s="74"/>
      <c r="UDM4" s="74"/>
      <c r="UDN4" s="74"/>
      <c r="UDO4" s="74"/>
      <c r="UDP4" s="74"/>
      <c r="UDQ4" s="74"/>
      <c r="UDR4" s="74"/>
      <c r="UDS4" s="74"/>
      <c r="UDT4" s="74"/>
      <c r="UDU4" s="74"/>
      <c r="UDV4" s="74"/>
      <c r="UDW4" s="74"/>
      <c r="UDX4" s="74"/>
      <c r="UDY4" s="74"/>
      <c r="UDZ4" s="74"/>
      <c r="UEA4" s="74"/>
      <c r="UEB4" s="74"/>
      <c r="UEC4" s="74"/>
      <c r="UED4" s="74"/>
      <c r="UEE4" s="74"/>
      <c r="UEF4" s="74"/>
      <c r="UEG4" s="74"/>
      <c r="UEH4" s="74"/>
      <c r="UEI4" s="74"/>
      <c r="UEJ4" s="74"/>
      <c r="UEK4" s="74"/>
      <c r="UEL4" s="74"/>
      <c r="UEM4" s="74"/>
      <c r="UEN4" s="74"/>
      <c r="UEO4" s="74"/>
      <c r="UEP4" s="74"/>
      <c r="UEQ4" s="74"/>
      <c r="UER4" s="74"/>
      <c r="UES4" s="74"/>
      <c r="UET4" s="74"/>
      <c r="UEU4" s="74"/>
      <c r="UEV4" s="74"/>
      <c r="UEW4" s="74"/>
      <c r="UEX4" s="74"/>
      <c r="UEY4" s="74"/>
      <c r="UEZ4" s="74"/>
      <c r="UFA4" s="74"/>
      <c r="UFB4" s="74"/>
      <c r="UFC4" s="74"/>
      <c r="UFD4" s="74"/>
      <c r="UFE4" s="74"/>
      <c r="UFF4" s="74"/>
      <c r="UFG4" s="74"/>
      <c r="UFH4" s="74"/>
      <c r="UFI4" s="74"/>
      <c r="UFJ4" s="74"/>
      <c r="UFK4" s="74"/>
      <c r="UFL4" s="74"/>
      <c r="UFM4" s="74"/>
      <c r="UFN4" s="74"/>
      <c r="UFO4" s="74"/>
      <c r="UFP4" s="74"/>
      <c r="UFQ4" s="74"/>
      <c r="UFR4" s="74"/>
      <c r="UFS4" s="74"/>
      <c r="UFT4" s="74"/>
      <c r="UFU4" s="74"/>
      <c r="UFV4" s="74"/>
      <c r="UFW4" s="74"/>
      <c r="UFX4" s="74"/>
      <c r="UFY4" s="74"/>
      <c r="UFZ4" s="74"/>
      <c r="UGA4" s="74"/>
      <c r="UGB4" s="74"/>
      <c r="UGC4" s="74"/>
      <c r="UGD4" s="74"/>
      <c r="UGE4" s="74"/>
      <c r="UGF4" s="74"/>
      <c r="UGG4" s="74"/>
      <c r="UGH4" s="74"/>
      <c r="UGI4" s="74"/>
      <c r="UGJ4" s="74"/>
      <c r="UGK4" s="74"/>
      <c r="UGL4" s="74"/>
      <c r="UGM4" s="74"/>
      <c r="UGN4" s="74"/>
      <c r="UGO4" s="74"/>
      <c r="UGP4" s="74"/>
      <c r="UGQ4" s="74"/>
      <c r="UGR4" s="74"/>
      <c r="UGS4" s="74"/>
      <c r="UGT4" s="74"/>
      <c r="UGU4" s="74"/>
      <c r="UGV4" s="74"/>
      <c r="UGW4" s="74"/>
      <c r="UGX4" s="74"/>
      <c r="UGY4" s="74"/>
      <c r="UGZ4" s="74"/>
      <c r="UHA4" s="74"/>
      <c r="UHB4" s="74"/>
      <c r="UHC4" s="74"/>
      <c r="UHD4" s="74"/>
      <c r="UHE4" s="74"/>
      <c r="UHF4" s="74"/>
      <c r="UHG4" s="74"/>
      <c r="UHH4" s="74"/>
      <c r="UHI4" s="74"/>
      <c r="UHJ4" s="74"/>
      <c r="UHK4" s="74"/>
      <c r="UHL4" s="74"/>
      <c r="UHM4" s="74"/>
      <c r="UHN4" s="74"/>
      <c r="UHO4" s="74"/>
      <c r="UHP4" s="74"/>
      <c r="UHQ4" s="74"/>
      <c r="UHR4" s="74"/>
      <c r="UHS4" s="74"/>
      <c r="UHT4" s="74"/>
      <c r="UHU4" s="74"/>
      <c r="UHV4" s="74"/>
      <c r="UHW4" s="74"/>
      <c r="UHX4" s="74"/>
      <c r="UHY4" s="74"/>
      <c r="UHZ4" s="74"/>
      <c r="UIA4" s="74"/>
      <c r="UIB4" s="74"/>
      <c r="UIC4" s="74"/>
      <c r="UID4" s="74"/>
      <c r="UIE4" s="74"/>
      <c r="UIF4" s="74"/>
      <c r="UIG4" s="74"/>
      <c r="UIH4" s="74"/>
      <c r="UII4" s="74"/>
      <c r="UIJ4" s="74"/>
      <c r="UIK4" s="74"/>
      <c r="UIL4" s="74"/>
      <c r="UIM4" s="74"/>
      <c r="UIN4" s="74"/>
      <c r="UIO4" s="74"/>
      <c r="UIP4" s="74"/>
      <c r="UIQ4" s="74"/>
      <c r="UIR4" s="74"/>
      <c r="UIS4" s="74"/>
      <c r="UIT4" s="74"/>
      <c r="UIU4" s="74"/>
      <c r="UIV4" s="74"/>
      <c r="UIW4" s="74"/>
      <c r="UIX4" s="74"/>
      <c r="UIY4" s="74"/>
      <c r="UIZ4" s="74"/>
      <c r="UJA4" s="74"/>
      <c r="UJB4" s="74"/>
      <c r="UJC4" s="74"/>
      <c r="UJD4" s="74"/>
      <c r="UJE4" s="74"/>
      <c r="UJF4" s="74"/>
      <c r="UJG4" s="74"/>
      <c r="UJH4" s="74"/>
      <c r="UJI4" s="74"/>
      <c r="UJJ4" s="74"/>
      <c r="UJK4" s="74"/>
      <c r="UJL4" s="74"/>
      <c r="UJM4" s="74"/>
      <c r="UJN4" s="74"/>
      <c r="UJO4" s="74"/>
      <c r="UJP4" s="74"/>
      <c r="UJQ4" s="74"/>
      <c r="UJR4" s="74"/>
      <c r="UJS4" s="74"/>
      <c r="UJT4" s="74"/>
      <c r="UJU4" s="74"/>
      <c r="UJV4" s="74"/>
      <c r="UJW4" s="74"/>
      <c r="UJX4" s="74"/>
      <c r="UJY4" s="74"/>
      <c r="UJZ4" s="74"/>
      <c r="UKA4" s="74"/>
      <c r="UKB4" s="74"/>
      <c r="UKC4" s="74"/>
      <c r="UKD4" s="74"/>
      <c r="UKE4" s="74"/>
      <c r="UKF4" s="74"/>
      <c r="UKG4" s="74"/>
      <c r="UKH4" s="74"/>
      <c r="UKI4" s="74"/>
      <c r="UKJ4" s="74"/>
      <c r="UKK4" s="74"/>
      <c r="UKL4" s="74"/>
      <c r="UKM4" s="74"/>
      <c r="UKN4" s="74"/>
      <c r="UKO4" s="74"/>
      <c r="UKP4" s="74"/>
      <c r="UKQ4" s="74"/>
      <c r="UKR4" s="74"/>
      <c r="UKS4" s="74"/>
      <c r="UKT4" s="74"/>
      <c r="UKU4" s="74"/>
      <c r="UKV4" s="74"/>
      <c r="UKW4" s="74"/>
      <c r="UKX4" s="74"/>
      <c r="UKY4" s="74"/>
      <c r="UKZ4" s="74"/>
      <c r="ULA4" s="74"/>
      <c r="ULB4" s="74"/>
      <c r="ULC4" s="74"/>
      <c r="ULD4" s="74"/>
      <c r="ULE4" s="74"/>
      <c r="ULF4" s="74"/>
      <c r="ULG4" s="74"/>
      <c r="ULH4" s="74"/>
      <c r="ULI4" s="74"/>
      <c r="ULJ4" s="74"/>
      <c r="ULK4" s="74"/>
      <c r="ULL4" s="74"/>
      <c r="ULM4" s="74"/>
      <c r="ULN4" s="74"/>
      <c r="ULO4" s="74"/>
      <c r="ULP4" s="74"/>
      <c r="ULQ4" s="74"/>
      <c r="ULR4" s="74"/>
      <c r="ULS4" s="74"/>
      <c r="ULT4" s="74"/>
      <c r="ULU4" s="74"/>
      <c r="ULV4" s="74"/>
      <c r="ULW4" s="74"/>
      <c r="ULX4" s="74"/>
      <c r="ULY4" s="74"/>
      <c r="ULZ4" s="74"/>
      <c r="UMA4" s="74"/>
      <c r="UMB4" s="74"/>
      <c r="UMC4" s="74"/>
      <c r="UMD4" s="74"/>
      <c r="UME4" s="74"/>
      <c r="UMF4" s="74"/>
      <c r="UMG4" s="74"/>
      <c r="UMH4" s="74"/>
      <c r="UMI4" s="74"/>
      <c r="UMJ4" s="74"/>
      <c r="UMK4" s="74"/>
      <c r="UML4" s="74"/>
      <c r="UMM4" s="74"/>
      <c r="UMN4" s="74"/>
      <c r="UMO4" s="74"/>
      <c r="UMP4" s="74"/>
      <c r="UMQ4" s="74"/>
      <c r="UMR4" s="74"/>
      <c r="UMS4" s="74"/>
      <c r="UMT4" s="74"/>
      <c r="UMU4" s="74"/>
      <c r="UMV4" s="74"/>
      <c r="UMW4" s="74"/>
      <c r="UMX4" s="74"/>
      <c r="UMY4" s="74"/>
      <c r="UMZ4" s="74"/>
      <c r="UNA4" s="74"/>
      <c r="UNB4" s="74"/>
      <c r="UNC4" s="74"/>
      <c r="UND4" s="74"/>
      <c r="UNE4" s="74"/>
      <c r="UNF4" s="74"/>
      <c r="UNG4" s="74"/>
      <c r="UNH4" s="74"/>
      <c r="UNI4" s="74"/>
      <c r="UNJ4" s="74"/>
      <c r="UNK4" s="74"/>
      <c r="UNL4" s="74"/>
      <c r="UNM4" s="74"/>
      <c r="UNN4" s="74"/>
      <c r="UNO4" s="74"/>
      <c r="UNP4" s="74"/>
      <c r="UNQ4" s="74"/>
      <c r="UNR4" s="74"/>
      <c r="UNS4" s="74"/>
      <c r="UNT4" s="74"/>
      <c r="UNU4" s="74"/>
      <c r="UNV4" s="74"/>
      <c r="UNW4" s="74"/>
      <c r="UNX4" s="74"/>
      <c r="UNY4" s="74"/>
      <c r="UNZ4" s="74"/>
      <c r="UOA4" s="74"/>
      <c r="UOB4" s="74"/>
      <c r="UOC4" s="74"/>
      <c r="UOD4" s="74"/>
      <c r="UOE4" s="74"/>
      <c r="UOF4" s="74"/>
      <c r="UOG4" s="74"/>
      <c r="UOH4" s="74"/>
      <c r="UOI4" s="74"/>
      <c r="UOJ4" s="74"/>
      <c r="UOK4" s="74"/>
      <c r="UOL4" s="74"/>
      <c r="UOM4" s="74"/>
      <c r="UON4" s="74"/>
      <c r="UOO4" s="74"/>
      <c r="UOP4" s="74"/>
      <c r="UOQ4" s="74"/>
      <c r="UOR4" s="74"/>
      <c r="UOS4" s="74"/>
      <c r="UOT4" s="74"/>
      <c r="UOU4" s="74"/>
      <c r="UOV4" s="74"/>
      <c r="UOW4" s="74"/>
      <c r="UOX4" s="74"/>
      <c r="UOY4" s="74"/>
      <c r="UOZ4" s="74"/>
      <c r="UPA4" s="74"/>
      <c r="UPB4" s="74"/>
      <c r="UPC4" s="74"/>
      <c r="UPD4" s="74"/>
      <c r="UPE4" s="74"/>
      <c r="UPF4" s="74"/>
      <c r="UPG4" s="74"/>
      <c r="UPH4" s="74"/>
      <c r="UPI4" s="74"/>
      <c r="UPJ4" s="74"/>
      <c r="UPK4" s="74"/>
      <c r="UPL4" s="74"/>
      <c r="UPM4" s="74"/>
      <c r="UPN4" s="74"/>
      <c r="UPO4" s="74"/>
      <c r="UPP4" s="74"/>
      <c r="UPQ4" s="74"/>
      <c r="UPR4" s="74"/>
      <c r="UPS4" s="74"/>
      <c r="UPT4" s="74"/>
      <c r="UPU4" s="74"/>
      <c r="UPV4" s="74"/>
      <c r="UPW4" s="74"/>
      <c r="UPX4" s="74"/>
      <c r="UPY4" s="74"/>
      <c r="UPZ4" s="74"/>
      <c r="UQA4" s="74"/>
      <c r="UQB4" s="74"/>
      <c r="UQC4" s="74"/>
      <c r="UQD4" s="74"/>
      <c r="UQE4" s="74"/>
      <c r="UQF4" s="74"/>
      <c r="UQG4" s="74"/>
      <c r="UQH4" s="74"/>
      <c r="UQI4" s="74"/>
      <c r="UQJ4" s="74"/>
      <c r="UQK4" s="74"/>
      <c r="UQL4" s="74"/>
      <c r="UQM4" s="74"/>
      <c r="UQN4" s="74"/>
      <c r="UQO4" s="74"/>
      <c r="UQP4" s="74"/>
      <c r="UQQ4" s="74"/>
      <c r="UQR4" s="74"/>
      <c r="UQS4" s="74"/>
      <c r="UQT4" s="74"/>
      <c r="UQU4" s="74"/>
      <c r="UQV4" s="74"/>
      <c r="UQW4" s="74"/>
      <c r="UQX4" s="74"/>
      <c r="UQY4" s="74"/>
      <c r="UQZ4" s="74"/>
      <c r="URA4" s="74"/>
      <c r="URB4" s="74"/>
      <c r="URC4" s="74"/>
      <c r="URD4" s="74"/>
      <c r="URE4" s="74"/>
      <c r="URF4" s="74"/>
      <c r="URG4" s="74"/>
      <c r="URH4" s="74"/>
      <c r="URI4" s="74"/>
      <c r="URJ4" s="74"/>
      <c r="URK4" s="74"/>
      <c r="URL4" s="74"/>
      <c r="URM4" s="74"/>
      <c r="URN4" s="74"/>
      <c r="URO4" s="74"/>
      <c r="URP4" s="74"/>
      <c r="URQ4" s="74"/>
      <c r="URR4" s="74"/>
      <c r="URS4" s="74"/>
      <c r="URT4" s="74"/>
      <c r="URU4" s="74"/>
      <c r="URV4" s="74"/>
      <c r="URW4" s="74"/>
      <c r="URX4" s="74"/>
      <c r="URY4" s="74"/>
      <c r="URZ4" s="74"/>
      <c r="USA4" s="74"/>
      <c r="USB4" s="74"/>
      <c r="USC4" s="74"/>
      <c r="USD4" s="74"/>
      <c r="USE4" s="74"/>
      <c r="USF4" s="74"/>
      <c r="USG4" s="74"/>
      <c r="USH4" s="74"/>
      <c r="USI4" s="74"/>
      <c r="USJ4" s="74"/>
      <c r="USK4" s="74"/>
      <c r="USL4" s="74"/>
      <c r="USM4" s="74"/>
      <c r="USN4" s="74"/>
      <c r="USO4" s="74"/>
      <c r="USP4" s="74"/>
      <c r="USQ4" s="74"/>
      <c r="USR4" s="74"/>
      <c r="USS4" s="74"/>
      <c r="UST4" s="74"/>
      <c r="USU4" s="74"/>
      <c r="USV4" s="74"/>
      <c r="USW4" s="74"/>
      <c r="USX4" s="74"/>
      <c r="USY4" s="74"/>
      <c r="USZ4" s="74"/>
      <c r="UTA4" s="74"/>
      <c r="UTB4" s="74"/>
      <c r="UTC4" s="74"/>
      <c r="UTD4" s="74"/>
      <c r="UTE4" s="74"/>
      <c r="UTF4" s="74"/>
      <c r="UTG4" s="74"/>
      <c r="UTH4" s="74"/>
      <c r="UTI4" s="74"/>
      <c r="UTJ4" s="74"/>
      <c r="UTK4" s="74"/>
      <c r="UTL4" s="74"/>
      <c r="UTM4" s="74"/>
      <c r="UTN4" s="74"/>
      <c r="UTO4" s="74"/>
      <c r="UTP4" s="74"/>
      <c r="UTQ4" s="74"/>
      <c r="UTR4" s="74"/>
      <c r="UTS4" s="74"/>
      <c r="UTT4" s="74"/>
      <c r="UTU4" s="74"/>
      <c r="UTV4" s="74"/>
      <c r="UTW4" s="74"/>
      <c r="UTX4" s="74"/>
      <c r="UTY4" s="74"/>
      <c r="UTZ4" s="74"/>
      <c r="UUA4" s="74"/>
      <c r="UUB4" s="74"/>
      <c r="UUC4" s="74"/>
      <c r="UUD4" s="74"/>
      <c r="UUE4" s="74"/>
      <c r="UUF4" s="74"/>
      <c r="UUG4" s="74"/>
      <c r="UUH4" s="74"/>
      <c r="UUI4" s="74"/>
      <c r="UUJ4" s="74"/>
      <c r="UUK4" s="74"/>
      <c r="UUL4" s="74"/>
      <c r="UUM4" s="74"/>
      <c r="UUN4" s="74"/>
      <c r="UUO4" s="74"/>
      <c r="UUP4" s="74"/>
      <c r="UUQ4" s="74"/>
      <c r="UUR4" s="74"/>
      <c r="UUS4" s="74"/>
      <c r="UUT4" s="74"/>
      <c r="UUU4" s="74"/>
      <c r="UUV4" s="74"/>
      <c r="UUW4" s="74"/>
      <c r="UUX4" s="74"/>
      <c r="UUY4" s="74"/>
      <c r="UUZ4" s="74"/>
      <c r="UVA4" s="74"/>
      <c r="UVB4" s="74"/>
      <c r="UVC4" s="74"/>
      <c r="UVD4" s="74"/>
      <c r="UVE4" s="74"/>
      <c r="UVF4" s="74"/>
      <c r="UVG4" s="74"/>
      <c r="UVH4" s="74"/>
      <c r="UVI4" s="74"/>
      <c r="UVJ4" s="74"/>
      <c r="UVK4" s="74"/>
      <c r="UVL4" s="74"/>
      <c r="UVM4" s="74"/>
      <c r="UVN4" s="74"/>
      <c r="UVO4" s="74"/>
      <c r="UVP4" s="74"/>
      <c r="UVQ4" s="74"/>
      <c r="UVR4" s="74"/>
      <c r="UVS4" s="74"/>
      <c r="UVT4" s="74"/>
      <c r="UVU4" s="74"/>
      <c r="UVV4" s="74"/>
      <c r="UVW4" s="74"/>
      <c r="UVX4" s="74"/>
      <c r="UVY4" s="74"/>
      <c r="UVZ4" s="74"/>
      <c r="UWA4" s="74"/>
      <c r="UWB4" s="74"/>
      <c r="UWC4" s="74"/>
      <c r="UWD4" s="74"/>
      <c r="UWE4" s="74"/>
      <c r="UWF4" s="74"/>
      <c r="UWG4" s="74"/>
      <c r="UWH4" s="74"/>
      <c r="UWI4" s="74"/>
      <c r="UWJ4" s="74"/>
      <c r="UWK4" s="74"/>
      <c r="UWL4" s="74"/>
      <c r="UWM4" s="74"/>
      <c r="UWN4" s="74"/>
      <c r="UWO4" s="74"/>
      <c r="UWP4" s="74"/>
      <c r="UWQ4" s="74"/>
      <c r="UWR4" s="74"/>
      <c r="UWS4" s="74"/>
      <c r="UWT4" s="74"/>
      <c r="UWU4" s="74"/>
      <c r="UWV4" s="74"/>
      <c r="UWW4" s="74"/>
      <c r="UWX4" s="74"/>
      <c r="UWY4" s="74"/>
      <c r="UWZ4" s="74"/>
      <c r="UXA4" s="74"/>
      <c r="UXB4" s="74"/>
      <c r="UXC4" s="74"/>
      <c r="UXD4" s="74"/>
      <c r="UXE4" s="74"/>
      <c r="UXF4" s="74"/>
      <c r="UXG4" s="74"/>
      <c r="UXH4" s="74"/>
      <c r="UXI4" s="74"/>
      <c r="UXJ4" s="74"/>
      <c r="UXK4" s="74"/>
      <c r="UXL4" s="74"/>
      <c r="UXM4" s="74"/>
      <c r="UXN4" s="74"/>
      <c r="UXO4" s="74"/>
      <c r="UXP4" s="74"/>
      <c r="UXQ4" s="74"/>
      <c r="UXR4" s="74"/>
      <c r="UXS4" s="74"/>
      <c r="UXT4" s="74"/>
      <c r="UXU4" s="74"/>
      <c r="UXV4" s="74"/>
      <c r="UXW4" s="74"/>
      <c r="UXX4" s="74"/>
      <c r="UXY4" s="74"/>
      <c r="UXZ4" s="74"/>
      <c r="UYA4" s="74"/>
      <c r="UYB4" s="74"/>
      <c r="UYC4" s="74"/>
      <c r="UYD4" s="74"/>
      <c r="UYE4" s="74"/>
      <c r="UYF4" s="74"/>
      <c r="UYG4" s="74"/>
      <c r="UYH4" s="74"/>
      <c r="UYI4" s="74"/>
      <c r="UYJ4" s="74"/>
      <c r="UYK4" s="74"/>
      <c r="UYL4" s="74"/>
      <c r="UYM4" s="74"/>
      <c r="UYN4" s="74"/>
      <c r="UYO4" s="74"/>
      <c r="UYP4" s="74"/>
      <c r="UYQ4" s="74"/>
      <c r="UYR4" s="74"/>
      <c r="UYS4" s="74"/>
      <c r="UYT4" s="74"/>
      <c r="UYU4" s="74"/>
      <c r="UYV4" s="74"/>
      <c r="UYW4" s="74"/>
      <c r="UYX4" s="74"/>
      <c r="UYY4" s="74"/>
      <c r="UYZ4" s="74"/>
      <c r="UZA4" s="74"/>
      <c r="UZB4" s="74"/>
      <c r="UZC4" s="74"/>
      <c r="UZD4" s="74"/>
      <c r="UZE4" s="74"/>
      <c r="UZF4" s="74"/>
      <c r="UZG4" s="74"/>
      <c r="UZH4" s="74"/>
      <c r="UZI4" s="74"/>
      <c r="UZJ4" s="74"/>
      <c r="UZK4" s="74"/>
      <c r="UZL4" s="74"/>
      <c r="UZM4" s="74"/>
      <c r="UZN4" s="74"/>
      <c r="UZO4" s="74"/>
      <c r="UZP4" s="74"/>
      <c r="UZQ4" s="74"/>
      <c r="UZR4" s="74"/>
      <c r="UZS4" s="74"/>
      <c r="UZT4" s="74"/>
      <c r="UZU4" s="74"/>
      <c r="UZV4" s="74"/>
      <c r="UZW4" s="74"/>
      <c r="UZX4" s="74"/>
      <c r="UZY4" s="74"/>
      <c r="UZZ4" s="74"/>
      <c r="VAA4" s="74"/>
      <c r="VAB4" s="74"/>
      <c r="VAC4" s="74"/>
      <c r="VAD4" s="74"/>
      <c r="VAE4" s="74"/>
      <c r="VAF4" s="74"/>
      <c r="VAG4" s="74"/>
      <c r="VAH4" s="74"/>
      <c r="VAI4" s="74"/>
      <c r="VAJ4" s="74"/>
      <c r="VAK4" s="74"/>
      <c r="VAL4" s="74"/>
      <c r="VAM4" s="74"/>
      <c r="VAN4" s="74"/>
      <c r="VAO4" s="74"/>
      <c r="VAP4" s="74"/>
      <c r="VAQ4" s="74"/>
      <c r="VAR4" s="74"/>
      <c r="VAS4" s="74"/>
      <c r="VAT4" s="74"/>
      <c r="VAU4" s="74"/>
      <c r="VAV4" s="74"/>
      <c r="VAW4" s="74"/>
      <c r="VAX4" s="74"/>
      <c r="VAY4" s="74"/>
      <c r="VAZ4" s="74"/>
      <c r="VBA4" s="74"/>
      <c r="VBB4" s="74"/>
      <c r="VBC4" s="74"/>
      <c r="VBD4" s="74"/>
      <c r="VBE4" s="74"/>
      <c r="VBF4" s="74"/>
      <c r="VBG4" s="74"/>
      <c r="VBH4" s="74"/>
      <c r="VBI4" s="74"/>
      <c r="VBJ4" s="74"/>
      <c r="VBK4" s="74"/>
      <c r="VBL4" s="74"/>
      <c r="VBM4" s="74"/>
      <c r="VBN4" s="74"/>
      <c r="VBO4" s="74"/>
      <c r="VBP4" s="74"/>
      <c r="VBQ4" s="74"/>
      <c r="VBR4" s="74"/>
      <c r="VBS4" s="74"/>
      <c r="VBT4" s="74"/>
      <c r="VBU4" s="74"/>
      <c r="VBV4" s="74"/>
      <c r="VBW4" s="74"/>
      <c r="VBX4" s="74"/>
      <c r="VBY4" s="74"/>
      <c r="VBZ4" s="74"/>
      <c r="VCA4" s="74"/>
      <c r="VCB4" s="74"/>
      <c r="VCC4" s="74"/>
      <c r="VCD4" s="74"/>
      <c r="VCE4" s="74"/>
      <c r="VCF4" s="74"/>
      <c r="VCG4" s="74"/>
      <c r="VCH4" s="74"/>
      <c r="VCI4" s="74"/>
      <c r="VCJ4" s="74"/>
      <c r="VCK4" s="74"/>
      <c r="VCL4" s="74"/>
      <c r="VCM4" s="74"/>
      <c r="VCN4" s="74"/>
      <c r="VCO4" s="74"/>
      <c r="VCP4" s="74"/>
      <c r="VCQ4" s="74"/>
      <c r="VCR4" s="74"/>
      <c r="VCS4" s="74"/>
      <c r="VCT4" s="74"/>
      <c r="VCU4" s="74"/>
      <c r="VCV4" s="74"/>
      <c r="VCW4" s="74"/>
      <c r="VCX4" s="74"/>
      <c r="VCY4" s="74"/>
      <c r="VCZ4" s="74"/>
      <c r="VDA4" s="74"/>
      <c r="VDB4" s="74"/>
      <c r="VDC4" s="74"/>
      <c r="VDD4" s="74"/>
      <c r="VDE4" s="74"/>
      <c r="VDF4" s="74"/>
      <c r="VDG4" s="74"/>
      <c r="VDH4" s="74"/>
      <c r="VDI4" s="74"/>
      <c r="VDJ4" s="74"/>
      <c r="VDK4" s="74"/>
      <c r="VDL4" s="74"/>
      <c r="VDM4" s="74"/>
      <c r="VDN4" s="74"/>
      <c r="VDO4" s="74"/>
      <c r="VDP4" s="74"/>
      <c r="VDQ4" s="74"/>
      <c r="VDR4" s="74"/>
      <c r="VDS4" s="74"/>
      <c r="VDT4" s="74"/>
      <c r="VDU4" s="74"/>
      <c r="VDV4" s="74"/>
      <c r="VDW4" s="74"/>
      <c r="VDX4" s="74"/>
      <c r="VDY4" s="74"/>
      <c r="VDZ4" s="74"/>
      <c r="VEA4" s="74"/>
      <c r="VEB4" s="74"/>
      <c r="VEC4" s="74"/>
      <c r="VED4" s="74"/>
      <c r="VEE4" s="74"/>
      <c r="VEF4" s="74"/>
      <c r="VEG4" s="74"/>
      <c r="VEH4" s="74"/>
      <c r="VEI4" s="74"/>
      <c r="VEJ4" s="74"/>
      <c r="VEK4" s="74"/>
      <c r="VEL4" s="74"/>
      <c r="VEM4" s="74"/>
      <c r="VEN4" s="74"/>
      <c r="VEO4" s="74"/>
      <c r="VEP4" s="74"/>
      <c r="VEQ4" s="74"/>
      <c r="VER4" s="74"/>
      <c r="VES4" s="74"/>
      <c r="VET4" s="74"/>
      <c r="VEU4" s="74"/>
      <c r="VEV4" s="74"/>
      <c r="VEW4" s="74"/>
      <c r="VEX4" s="74"/>
      <c r="VEY4" s="74"/>
      <c r="VEZ4" s="74"/>
      <c r="VFA4" s="74"/>
      <c r="VFB4" s="74"/>
      <c r="VFC4" s="74"/>
      <c r="VFD4" s="74"/>
      <c r="VFE4" s="74"/>
      <c r="VFF4" s="74"/>
      <c r="VFG4" s="74"/>
      <c r="VFH4" s="74"/>
      <c r="VFI4" s="74"/>
      <c r="VFJ4" s="74"/>
      <c r="VFK4" s="74"/>
      <c r="VFL4" s="74"/>
      <c r="VFM4" s="74"/>
      <c r="VFN4" s="74"/>
      <c r="VFO4" s="74"/>
      <c r="VFP4" s="74"/>
      <c r="VFQ4" s="74"/>
      <c r="VFR4" s="74"/>
      <c r="VFS4" s="74"/>
      <c r="VFT4" s="74"/>
      <c r="VFU4" s="74"/>
      <c r="VFV4" s="74"/>
      <c r="VFW4" s="74"/>
      <c r="VFX4" s="74"/>
      <c r="VFY4" s="74"/>
      <c r="VFZ4" s="74"/>
      <c r="VGA4" s="74"/>
      <c r="VGB4" s="74"/>
      <c r="VGC4" s="74"/>
      <c r="VGD4" s="74"/>
      <c r="VGE4" s="74"/>
      <c r="VGF4" s="74"/>
      <c r="VGG4" s="74"/>
      <c r="VGH4" s="74"/>
      <c r="VGI4" s="74"/>
      <c r="VGJ4" s="74"/>
      <c r="VGK4" s="74"/>
      <c r="VGL4" s="74"/>
      <c r="VGM4" s="74"/>
      <c r="VGN4" s="74"/>
      <c r="VGO4" s="74"/>
      <c r="VGP4" s="74"/>
      <c r="VGQ4" s="74"/>
      <c r="VGR4" s="74"/>
      <c r="VGS4" s="74"/>
      <c r="VGT4" s="74"/>
      <c r="VGU4" s="74"/>
      <c r="VGV4" s="74"/>
      <c r="VGW4" s="74"/>
      <c r="VGX4" s="74"/>
      <c r="VGY4" s="74"/>
      <c r="VGZ4" s="74"/>
      <c r="VHA4" s="74"/>
      <c r="VHB4" s="74"/>
      <c r="VHC4" s="74"/>
      <c r="VHD4" s="74"/>
      <c r="VHE4" s="74"/>
      <c r="VHF4" s="74"/>
      <c r="VHG4" s="74"/>
      <c r="VHH4" s="74"/>
      <c r="VHI4" s="74"/>
      <c r="VHJ4" s="74"/>
      <c r="VHK4" s="74"/>
      <c r="VHL4" s="74"/>
      <c r="VHM4" s="74"/>
      <c r="VHN4" s="74"/>
      <c r="VHO4" s="74"/>
      <c r="VHP4" s="74"/>
      <c r="VHQ4" s="74"/>
      <c r="VHR4" s="74"/>
      <c r="VHS4" s="74"/>
      <c r="VHT4" s="74"/>
      <c r="VHU4" s="74"/>
      <c r="VHV4" s="74"/>
      <c r="VHW4" s="74"/>
      <c r="VHX4" s="74"/>
      <c r="VHY4" s="74"/>
      <c r="VHZ4" s="74"/>
      <c r="VIA4" s="74"/>
      <c r="VIB4" s="74"/>
      <c r="VIC4" s="74"/>
      <c r="VID4" s="74"/>
      <c r="VIE4" s="74"/>
      <c r="VIF4" s="74"/>
      <c r="VIG4" s="74"/>
      <c r="VIH4" s="74"/>
      <c r="VII4" s="74"/>
      <c r="VIJ4" s="74"/>
      <c r="VIK4" s="74"/>
      <c r="VIL4" s="74"/>
      <c r="VIM4" s="74"/>
      <c r="VIN4" s="74"/>
      <c r="VIO4" s="74"/>
      <c r="VIP4" s="74"/>
      <c r="VIQ4" s="74"/>
      <c r="VIR4" s="74"/>
      <c r="VIS4" s="74"/>
      <c r="VIT4" s="74"/>
      <c r="VIU4" s="74"/>
      <c r="VIV4" s="74"/>
      <c r="VIW4" s="74"/>
      <c r="VIX4" s="74"/>
      <c r="VIY4" s="74"/>
      <c r="VIZ4" s="74"/>
      <c r="VJA4" s="74"/>
      <c r="VJB4" s="74"/>
      <c r="VJC4" s="74"/>
      <c r="VJD4" s="74"/>
      <c r="VJE4" s="74"/>
      <c r="VJF4" s="74"/>
      <c r="VJG4" s="74"/>
      <c r="VJH4" s="74"/>
      <c r="VJI4" s="74"/>
      <c r="VJJ4" s="74"/>
      <c r="VJK4" s="74"/>
      <c r="VJL4" s="74"/>
      <c r="VJM4" s="74"/>
      <c r="VJN4" s="74"/>
      <c r="VJO4" s="74"/>
      <c r="VJP4" s="74"/>
      <c r="VJQ4" s="74"/>
      <c r="VJR4" s="74"/>
      <c r="VJS4" s="74"/>
      <c r="VJT4" s="74"/>
      <c r="VJU4" s="74"/>
      <c r="VJV4" s="74"/>
      <c r="VJW4" s="74"/>
      <c r="VJX4" s="74"/>
      <c r="VJY4" s="74"/>
      <c r="VJZ4" s="74"/>
      <c r="VKA4" s="74"/>
      <c r="VKB4" s="74"/>
      <c r="VKC4" s="74"/>
      <c r="VKD4" s="74"/>
      <c r="VKE4" s="74"/>
      <c r="VKF4" s="74"/>
      <c r="VKG4" s="74"/>
      <c r="VKH4" s="74"/>
      <c r="VKI4" s="74"/>
      <c r="VKJ4" s="74"/>
      <c r="VKK4" s="74"/>
      <c r="VKL4" s="74"/>
      <c r="VKM4" s="74"/>
      <c r="VKN4" s="74"/>
      <c r="VKO4" s="74"/>
      <c r="VKP4" s="74"/>
      <c r="VKQ4" s="74"/>
      <c r="VKR4" s="74"/>
      <c r="VKS4" s="74"/>
      <c r="VKT4" s="74"/>
      <c r="VKU4" s="74"/>
      <c r="VKV4" s="74"/>
      <c r="VKW4" s="74"/>
      <c r="VKX4" s="74"/>
      <c r="VKY4" s="74"/>
      <c r="VKZ4" s="74"/>
      <c r="VLA4" s="74"/>
      <c r="VLB4" s="74"/>
      <c r="VLC4" s="74"/>
      <c r="VLD4" s="74"/>
      <c r="VLE4" s="74"/>
      <c r="VLF4" s="74"/>
      <c r="VLG4" s="74"/>
      <c r="VLH4" s="74"/>
      <c r="VLI4" s="74"/>
      <c r="VLJ4" s="74"/>
      <c r="VLK4" s="74"/>
      <c r="VLL4" s="74"/>
      <c r="VLM4" s="74"/>
      <c r="VLN4" s="74"/>
      <c r="VLO4" s="74"/>
      <c r="VLP4" s="74"/>
      <c r="VLQ4" s="74"/>
      <c r="VLR4" s="74"/>
      <c r="VLS4" s="74"/>
      <c r="VLT4" s="74"/>
      <c r="VLU4" s="74"/>
      <c r="VLV4" s="74"/>
      <c r="VLW4" s="74"/>
      <c r="VLX4" s="74"/>
      <c r="VLY4" s="74"/>
      <c r="VLZ4" s="74"/>
      <c r="VMA4" s="74"/>
      <c r="VMB4" s="74"/>
      <c r="VMC4" s="74"/>
      <c r="VMD4" s="74"/>
      <c r="VME4" s="74"/>
      <c r="VMF4" s="74"/>
      <c r="VMG4" s="74"/>
      <c r="VMH4" s="74"/>
      <c r="VMI4" s="74"/>
      <c r="VMJ4" s="74"/>
      <c r="VMK4" s="74"/>
      <c r="VML4" s="74"/>
      <c r="VMM4" s="74"/>
      <c r="VMN4" s="74"/>
      <c r="VMO4" s="74"/>
      <c r="VMP4" s="74"/>
      <c r="VMQ4" s="74"/>
      <c r="VMR4" s="74"/>
      <c r="VMS4" s="74"/>
      <c r="VMT4" s="74"/>
      <c r="VMU4" s="74"/>
      <c r="VMV4" s="74"/>
      <c r="VMW4" s="74"/>
      <c r="VMX4" s="74"/>
      <c r="VMY4" s="74"/>
      <c r="VMZ4" s="74"/>
      <c r="VNA4" s="74"/>
      <c r="VNB4" s="74"/>
      <c r="VNC4" s="74"/>
      <c r="VND4" s="74"/>
      <c r="VNE4" s="74"/>
      <c r="VNF4" s="74"/>
      <c r="VNG4" s="74"/>
      <c r="VNH4" s="74"/>
      <c r="VNI4" s="74"/>
      <c r="VNJ4" s="74"/>
      <c r="VNK4" s="74"/>
      <c r="VNL4" s="74"/>
      <c r="VNM4" s="74"/>
      <c r="VNN4" s="74"/>
      <c r="VNO4" s="74"/>
      <c r="VNP4" s="74"/>
      <c r="VNQ4" s="74"/>
      <c r="VNR4" s="74"/>
      <c r="VNS4" s="74"/>
      <c r="VNT4" s="74"/>
      <c r="VNU4" s="74"/>
      <c r="VNV4" s="74"/>
      <c r="VNW4" s="74"/>
      <c r="VNX4" s="74"/>
      <c r="VNY4" s="74"/>
      <c r="VNZ4" s="74"/>
      <c r="VOA4" s="74"/>
      <c r="VOB4" s="74"/>
      <c r="VOC4" s="74"/>
      <c r="VOD4" s="74"/>
      <c r="VOE4" s="74"/>
      <c r="VOF4" s="74"/>
      <c r="VOG4" s="74"/>
      <c r="VOH4" s="74"/>
      <c r="VOI4" s="74"/>
      <c r="VOJ4" s="74"/>
      <c r="VOK4" s="74"/>
      <c r="VOL4" s="74"/>
      <c r="VOM4" s="74"/>
      <c r="VON4" s="74"/>
      <c r="VOO4" s="74"/>
      <c r="VOP4" s="74"/>
      <c r="VOQ4" s="74"/>
      <c r="VOR4" s="74"/>
      <c r="VOS4" s="74"/>
      <c r="VOT4" s="74"/>
      <c r="VOU4" s="74"/>
      <c r="VOV4" s="74"/>
      <c r="VOW4" s="74"/>
      <c r="VOX4" s="74"/>
      <c r="VOY4" s="74"/>
      <c r="VOZ4" s="74"/>
      <c r="VPA4" s="74"/>
      <c r="VPB4" s="74"/>
      <c r="VPC4" s="74"/>
      <c r="VPD4" s="74"/>
      <c r="VPE4" s="74"/>
      <c r="VPF4" s="74"/>
      <c r="VPG4" s="74"/>
      <c r="VPH4" s="74"/>
      <c r="VPI4" s="74"/>
      <c r="VPJ4" s="74"/>
      <c r="VPK4" s="74"/>
      <c r="VPL4" s="74"/>
      <c r="VPM4" s="74"/>
      <c r="VPN4" s="74"/>
      <c r="VPO4" s="74"/>
      <c r="VPP4" s="74"/>
      <c r="VPQ4" s="74"/>
      <c r="VPR4" s="74"/>
      <c r="VPS4" s="74"/>
      <c r="VPT4" s="74"/>
      <c r="VPU4" s="74"/>
      <c r="VPV4" s="74"/>
      <c r="VPW4" s="74"/>
      <c r="VPX4" s="74"/>
      <c r="VPY4" s="74"/>
      <c r="VPZ4" s="74"/>
      <c r="VQA4" s="74"/>
      <c r="VQB4" s="74"/>
      <c r="VQC4" s="74"/>
      <c r="VQD4" s="74"/>
      <c r="VQE4" s="74"/>
      <c r="VQF4" s="74"/>
      <c r="VQG4" s="74"/>
      <c r="VQH4" s="74"/>
      <c r="VQI4" s="74"/>
      <c r="VQJ4" s="74"/>
      <c r="VQK4" s="74"/>
      <c r="VQL4" s="74"/>
      <c r="VQM4" s="74"/>
      <c r="VQN4" s="74"/>
      <c r="VQO4" s="74"/>
      <c r="VQP4" s="74"/>
      <c r="VQQ4" s="74"/>
      <c r="VQR4" s="74"/>
      <c r="VQS4" s="74"/>
      <c r="VQT4" s="74"/>
      <c r="VQU4" s="74"/>
      <c r="VQV4" s="74"/>
      <c r="VQW4" s="74"/>
      <c r="VQX4" s="74"/>
      <c r="VQY4" s="74"/>
      <c r="VQZ4" s="74"/>
      <c r="VRA4" s="74"/>
      <c r="VRB4" s="74"/>
      <c r="VRC4" s="74"/>
      <c r="VRD4" s="74"/>
      <c r="VRE4" s="74"/>
      <c r="VRF4" s="74"/>
      <c r="VRG4" s="74"/>
      <c r="VRH4" s="74"/>
      <c r="VRI4" s="74"/>
      <c r="VRJ4" s="74"/>
      <c r="VRK4" s="74"/>
      <c r="VRL4" s="74"/>
      <c r="VRM4" s="74"/>
      <c r="VRN4" s="74"/>
      <c r="VRO4" s="74"/>
      <c r="VRP4" s="74"/>
      <c r="VRQ4" s="74"/>
      <c r="VRR4" s="74"/>
      <c r="VRS4" s="74"/>
      <c r="VRT4" s="74"/>
      <c r="VRU4" s="74"/>
      <c r="VRV4" s="74"/>
      <c r="VRW4" s="74"/>
      <c r="VRX4" s="74"/>
      <c r="VRY4" s="74"/>
      <c r="VRZ4" s="74"/>
      <c r="VSA4" s="74"/>
      <c r="VSB4" s="74"/>
      <c r="VSC4" s="74"/>
      <c r="VSD4" s="74"/>
      <c r="VSE4" s="74"/>
      <c r="VSF4" s="74"/>
      <c r="VSG4" s="74"/>
      <c r="VSH4" s="74"/>
      <c r="VSI4" s="74"/>
      <c r="VSJ4" s="74"/>
      <c r="VSK4" s="74"/>
      <c r="VSL4" s="74"/>
      <c r="VSM4" s="74"/>
      <c r="VSN4" s="74"/>
      <c r="VSO4" s="74"/>
      <c r="VSP4" s="74"/>
      <c r="VSQ4" s="74"/>
      <c r="VSR4" s="74"/>
      <c r="VSS4" s="74"/>
      <c r="VST4" s="74"/>
      <c r="VSU4" s="74"/>
      <c r="VSV4" s="74"/>
      <c r="VSW4" s="74"/>
      <c r="VSX4" s="74"/>
      <c r="VSY4" s="74"/>
      <c r="VSZ4" s="74"/>
      <c r="VTA4" s="74"/>
      <c r="VTB4" s="74"/>
      <c r="VTC4" s="74"/>
      <c r="VTD4" s="74"/>
      <c r="VTE4" s="74"/>
      <c r="VTF4" s="74"/>
      <c r="VTG4" s="74"/>
      <c r="VTH4" s="74"/>
      <c r="VTI4" s="74"/>
      <c r="VTJ4" s="74"/>
      <c r="VTK4" s="74"/>
      <c r="VTL4" s="74"/>
      <c r="VTM4" s="74"/>
      <c r="VTN4" s="74"/>
      <c r="VTO4" s="74"/>
      <c r="VTP4" s="74"/>
      <c r="VTQ4" s="74"/>
      <c r="VTR4" s="74"/>
      <c r="VTS4" s="74"/>
      <c r="VTT4" s="74"/>
      <c r="VTU4" s="74"/>
      <c r="VTV4" s="74"/>
      <c r="VTW4" s="74"/>
      <c r="VTX4" s="74"/>
      <c r="VTY4" s="74"/>
      <c r="VTZ4" s="74"/>
      <c r="VUA4" s="74"/>
      <c r="VUB4" s="74"/>
      <c r="VUC4" s="74"/>
      <c r="VUD4" s="74"/>
      <c r="VUE4" s="74"/>
      <c r="VUF4" s="74"/>
      <c r="VUG4" s="74"/>
      <c r="VUH4" s="74"/>
      <c r="VUI4" s="74"/>
      <c r="VUJ4" s="74"/>
      <c r="VUK4" s="74"/>
      <c r="VUL4" s="74"/>
      <c r="VUM4" s="74"/>
      <c r="VUN4" s="74"/>
      <c r="VUO4" s="74"/>
      <c r="VUP4" s="74"/>
      <c r="VUQ4" s="74"/>
      <c r="VUR4" s="74"/>
      <c r="VUS4" s="74"/>
      <c r="VUT4" s="74"/>
      <c r="VUU4" s="74"/>
      <c r="VUV4" s="74"/>
      <c r="VUW4" s="74"/>
      <c r="VUX4" s="74"/>
      <c r="VUY4" s="74"/>
      <c r="VUZ4" s="74"/>
      <c r="VVA4" s="74"/>
      <c r="VVB4" s="74"/>
      <c r="VVC4" s="74"/>
      <c r="VVD4" s="74"/>
      <c r="VVE4" s="74"/>
      <c r="VVF4" s="74"/>
      <c r="VVG4" s="74"/>
      <c r="VVH4" s="74"/>
      <c r="VVI4" s="74"/>
      <c r="VVJ4" s="74"/>
      <c r="VVK4" s="74"/>
      <c r="VVL4" s="74"/>
      <c r="VVM4" s="74"/>
      <c r="VVN4" s="74"/>
      <c r="VVO4" s="74"/>
      <c r="VVP4" s="74"/>
      <c r="VVQ4" s="74"/>
      <c r="VVR4" s="74"/>
      <c r="VVS4" s="74"/>
      <c r="VVT4" s="74"/>
      <c r="VVU4" s="74"/>
      <c r="VVV4" s="74"/>
      <c r="VVW4" s="74"/>
      <c r="VVX4" s="74"/>
      <c r="VVY4" s="74"/>
      <c r="VVZ4" s="74"/>
      <c r="VWA4" s="74"/>
      <c r="VWB4" s="74"/>
      <c r="VWC4" s="74"/>
      <c r="VWD4" s="74"/>
      <c r="VWE4" s="74"/>
      <c r="VWF4" s="74"/>
      <c r="VWG4" s="74"/>
      <c r="VWH4" s="74"/>
      <c r="VWI4" s="74"/>
      <c r="VWJ4" s="74"/>
      <c r="VWK4" s="74"/>
      <c r="VWL4" s="74"/>
      <c r="VWM4" s="74"/>
      <c r="VWN4" s="74"/>
      <c r="VWO4" s="74"/>
      <c r="VWP4" s="74"/>
      <c r="VWQ4" s="74"/>
      <c r="VWR4" s="74"/>
      <c r="VWS4" s="74"/>
      <c r="VWT4" s="74"/>
      <c r="VWU4" s="74"/>
      <c r="VWV4" s="74"/>
      <c r="VWW4" s="74"/>
      <c r="VWX4" s="74"/>
      <c r="VWY4" s="74"/>
      <c r="VWZ4" s="74"/>
      <c r="VXA4" s="74"/>
      <c r="VXB4" s="74"/>
      <c r="VXC4" s="74"/>
      <c r="VXD4" s="74"/>
      <c r="VXE4" s="74"/>
      <c r="VXF4" s="74"/>
      <c r="VXG4" s="74"/>
      <c r="VXH4" s="74"/>
      <c r="VXI4" s="74"/>
      <c r="VXJ4" s="74"/>
      <c r="VXK4" s="74"/>
      <c r="VXL4" s="74"/>
      <c r="VXM4" s="74"/>
      <c r="VXN4" s="74"/>
      <c r="VXO4" s="74"/>
      <c r="VXP4" s="74"/>
      <c r="VXQ4" s="74"/>
      <c r="VXR4" s="74"/>
      <c r="VXS4" s="74"/>
      <c r="VXT4" s="74"/>
      <c r="VXU4" s="74"/>
      <c r="VXV4" s="74"/>
      <c r="VXW4" s="74"/>
      <c r="VXX4" s="74"/>
      <c r="VXY4" s="74"/>
      <c r="VXZ4" s="74"/>
      <c r="VYA4" s="74"/>
      <c r="VYB4" s="74"/>
      <c r="VYC4" s="74"/>
      <c r="VYD4" s="74"/>
      <c r="VYE4" s="74"/>
      <c r="VYF4" s="74"/>
      <c r="VYG4" s="74"/>
      <c r="VYH4" s="74"/>
      <c r="VYI4" s="74"/>
      <c r="VYJ4" s="74"/>
      <c r="VYK4" s="74"/>
      <c r="VYL4" s="74"/>
      <c r="VYM4" s="74"/>
      <c r="VYN4" s="74"/>
      <c r="VYO4" s="74"/>
      <c r="VYP4" s="74"/>
      <c r="VYQ4" s="74"/>
      <c r="VYR4" s="74"/>
      <c r="VYS4" s="74"/>
      <c r="VYT4" s="74"/>
      <c r="VYU4" s="74"/>
      <c r="VYV4" s="74"/>
      <c r="VYW4" s="74"/>
      <c r="VYX4" s="74"/>
      <c r="VYY4" s="74"/>
      <c r="VYZ4" s="74"/>
      <c r="VZA4" s="74"/>
      <c r="VZB4" s="74"/>
      <c r="VZC4" s="74"/>
      <c r="VZD4" s="74"/>
      <c r="VZE4" s="74"/>
      <c r="VZF4" s="74"/>
      <c r="VZG4" s="74"/>
      <c r="VZH4" s="74"/>
      <c r="VZI4" s="74"/>
      <c r="VZJ4" s="74"/>
      <c r="VZK4" s="74"/>
      <c r="VZL4" s="74"/>
      <c r="VZM4" s="74"/>
      <c r="VZN4" s="74"/>
      <c r="VZO4" s="74"/>
      <c r="VZP4" s="74"/>
      <c r="VZQ4" s="74"/>
      <c r="VZR4" s="74"/>
      <c r="VZS4" s="74"/>
      <c r="VZT4" s="74"/>
      <c r="VZU4" s="74"/>
      <c r="VZV4" s="74"/>
      <c r="VZW4" s="74"/>
      <c r="VZX4" s="74"/>
      <c r="VZY4" s="74"/>
      <c r="VZZ4" s="74"/>
      <c r="WAA4" s="74"/>
      <c r="WAB4" s="74"/>
      <c r="WAC4" s="74"/>
      <c r="WAD4" s="74"/>
      <c r="WAE4" s="74"/>
      <c r="WAF4" s="74"/>
      <c r="WAG4" s="74"/>
      <c r="WAH4" s="74"/>
      <c r="WAI4" s="74"/>
      <c r="WAJ4" s="74"/>
      <c r="WAK4" s="74"/>
      <c r="WAL4" s="74"/>
      <c r="WAM4" s="74"/>
      <c r="WAN4" s="74"/>
      <c r="WAO4" s="74"/>
      <c r="WAP4" s="74"/>
      <c r="WAQ4" s="74"/>
      <c r="WAR4" s="74"/>
      <c r="WAS4" s="74"/>
      <c r="WAT4" s="74"/>
      <c r="WAU4" s="74"/>
      <c r="WAV4" s="74"/>
      <c r="WAW4" s="74"/>
      <c r="WAX4" s="74"/>
      <c r="WAY4" s="74"/>
      <c r="WAZ4" s="74"/>
      <c r="WBA4" s="74"/>
      <c r="WBB4" s="74"/>
      <c r="WBC4" s="74"/>
      <c r="WBD4" s="74"/>
      <c r="WBE4" s="74"/>
      <c r="WBF4" s="74"/>
      <c r="WBG4" s="74"/>
      <c r="WBH4" s="74"/>
      <c r="WBI4" s="74"/>
      <c r="WBJ4" s="74"/>
      <c r="WBK4" s="74"/>
      <c r="WBL4" s="74"/>
      <c r="WBM4" s="74"/>
      <c r="WBN4" s="74"/>
      <c r="WBO4" s="74"/>
      <c r="WBP4" s="74"/>
      <c r="WBQ4" s="74"/>
      <c r="WBR4" s="74"/>
      <c r="WBS4" s="74"/>
      <c r="WBT4" s="74"/>
      <c r="WBU4" s="74"/>
      <c r="WBV4" s="74"/>
      <c r="WBW4" s="74"/>
      <c r="WBX4" s="74"/>
      <c r="WBY4" s="74"/>
      <c r="WBZ4" s="74"/>
      <c r="WCA4" s="74"/>
      <c r="WCB4" s="74"/>
      <c r="WCC4" s="74"/>
      <c r="WCD4" s="74"/>
      <c r="WCE4" s="74"/>
      <c r="WCF4" s="74"/>
      <c r="WCG4" s="74"/>
      <c r="WCH4" s="74"/>
      <c r="WCI4" s="74"/>
      <c r="WCJ4" s="74"/>
      <c r="WCK4" s="74"/>
      <c r="WCL4" s="74"/>
      <c r="WCM4" s="74"/>
      <c r="WCN4" s="74"/>
      <c r="WCO4" s="74"/>
      <c r="WCP4" s="74"/>
      <c r="WCQ4" s="74"/>
      <c r="WCR4" s="74"/>
      <c r="WCS4" s="74"/>
      <c r="WCT4" s="74"/>
      <c r="WCU4" s="74"/>
      <c r="WCV4" s="74"/>
      <c r="WCW4" s="74"/>
      <c r="WCX4" s="74"/>
      <c r="WCY4" s="74"/>
      <c r="WCZ4" s="74"/>
      <c r="WDA4" s="74"/>
      <c r="WDB4" s="74"/>
      <c r="WDC4" s="74"/>
      <c r="WDD4" s="74"/>
      <c r="WDE4" s="74"/>
      <c r="WDF4" s="74"/>
      <c r="WDG4" s="74"/>
      <c r="WDH4" s="74"/>
      <c r="WDI4" s="74"/>
      <c r="WDJ4" s="74"/>
      <c r="WDK4" s="74"/>
      <c r="WDL4" s="74"/>
      <c r="WDM4" s="74"/>
      <c r="WDN4" s="74"/>
      <c r="WDO4" s="74"/>
      <c r="WDP4" s="74"/>
      <c r="WDQ4" s="74"/>
      <c r="WDR4" s="74"/>
      <c r="WDS4" s="74"/>
      <c r="WDT4" s="74"/>
      <c r="WDU4" s="74"/>
      <c r="WDV4" s="74"/>
      <c r="WDW4" s="74"/>
      <c r="WDX4" s="74"/>
      <c r="WDY4" s="74"/>
      <c r="WDZ4" s="74"/>
      <c r="WEA4" s="74"/>
      <c r="WEB4" s="74"/>
      <c r="WEC4" s="74"/>
      <c r="WED4" s="74"/>
      <c r="WEE4" s="74"/>
      <c r="WEF4" s="74"/>
      <c r="WEG4" s="74"/>
      <c r="WEH4" s="74"/>
      <c r="WEI4" s="74"/>
      <c r="WEJ4" s="74"/>
      <c r="WEK4" s="74"/>
      <c r="WEL4" s="74"/>
      <c r="WEM4" s="74"/>
      <c r="WEN4" s="74"/>
      <c r="WEO4" s="74"/>
      <c r="WEP4" s="74"/>
      <c r="WEQ4" s="74"/>
      <c r="WER4" s="74"/>
      <c r="WES4" s="74"/>
      <c r="WET4" s="74"/>
      <c r="WEU4" s="74"/>
      <c r="WEV4" s="74"/>
      <c r="WEW4" s="74"/>
      <c r="WEX4" s="74"/>
      <c r="WEY4" s="74"/>
      <c r="WEZ4" s="74"/>
      <c r="WFA4" s="74"/>
      <c r="WFB4" s="74"/>
      <c r="WFC4" s="74"/>
      <c r="WFD4" s="74"/>
      <c r="WFE4" s="74"/>
      <c r="WFF4" s="74"/>
      <c r="WFG4" s="74"/>
      <c r="WFH4" s="74"/>
      <c r="WFI4" s="74"/>
      <c r="WFJ4" s="74"/>
      <c r="WFK4" s="74"/>
      <c r="WFL4" s="74"/>
      <c r="WFM4" s="74"/>
      <c r="WFN4" s="74"/>
      <c r="WFO4" s="74"/>
      <c r="WFP4" s="74"/>
      <c r="WFQ4" s="74"/>
      <c r="WFR4" s="74"/>
      <c r="WFS4" s="74"/>
      <c r="WFT4" s="74"/>
      <c r="WFU4" s="74"/>
      <c r="WFV4" s="74"/>
      <c r="WFW4" s="74"/>
      <c r="WFX4" s="74"/>
      <c r="WFY4" s="74"/>
      <c r="WFZ4" s="74"/>
      <c r="WGA4" s="74"/>
      <c r="WGB4" s="74"/>
      <c r="WGC4" s="74"/>
      <c r="WGD4" s="74"/>
      <c r="WGE4" s="74"/>
      <c r="WGF4" s="74"/>
      <c r="WGG4" s="74"/>
      <c r="WGH4" s="74"/>
      <c r="WGI4" s="74"/>
      <c r="WGJ4" s="74"/>
      <c r="WGK4" s="74"/>
      <c r="WGL4" s="74"/>
      <c r="WGM4" s="74"/>
      <c r="WGN4" s="74"/>
      <c r="WGO4" s="74"/>
      <c r="WGP4" s="74"/>
      <c r="WGQ4" s="74"/>
      <c r="WGR4" s="74"/>
      <c r="WGS4" s="74"/>
      <c r="WGT4" s="74"/>
      <c r="WGU4" s="74"/>
      <c r="WGV4" s="74"/>
      <c r="WGW4" s="74"/>
      <c r="WGX4" s="74"/>
      <c r="WGY4" s="74"/>
      <c r="WGZ4" s="74"/>
      <c r="WHA4" s="74"/>
      <c r="WHB4" s="74"/>
      <c r="WHC4" s="74"/>
      <c r="WHD4" s="74"/>
      <c r="WHE4" s="74"/>
      <c r="WHF4" s="74"/>
      <c r="WHG4" s="74"/>
      <c r="WHH4" s="74"/>
      <c r="WHI4" s="74"/>
      <c r="WHJ4" s="74"/>
      <c r="WHK4" s="74"/>
      <c r="WHL4" s="74"/>
      <c r="WHM4" s="74"/>
      <c r="WHN4" s="74"/>
      <c r="WHO4" s="74"/>
      <c r="WHP4" s="74"/>
      <c r="WHQ4" s="74"/>
      <c r="WHR4" s="74"/>
      <c r="WHS4" s="74"/>
      <c r="WHT4" s="74"/>
      <c r="WHU4" s="74"/>
      <c r="WHV4" s="74"/>
      <c r="WHW4" s="74"/>
      <c r="WHX4" s="74"/>
      <c r="WHY4" s="74"/>
      <c r="WHZ4" s="74"/>
      <c r="WIA4" s="74"/>
      <c r="WIB4" s="74"/>
      <c r="WIC4" s="74"/>
      <c r="WID4" s="74"/>
      <c r="WIE4" s="74"/>
      <c r="WIF4" s="74"/>
      <c r="WIG4" s="74"/>
      <c r="WIH4" s="74"/>
      <c r="WII4" s="74"/>
      <c r="WIJ4" s="74"/>
      <c r="WIK4" s="74"/>
      <c r="WIL4" s="74"/>
      <c r="WIM4" s="74"/>
      <c r="WIN4" s="74"/>
      <c r="WIO4" s="74"/>
      <c r="WIP4" s="74"/>
      <c r="WIQ4" s="74"/>
      <c r="WIR4" s="74"/>
      <c r="WIS4" s="74"/>
      <c r="WIT4" s="74"/>
      <c r="WIU4" s="74"/>
      <c r="WIV4" s="74"/>
      <c r="WIW4" s="74"/>
      <c r="WIX4" s="74"/>
      <c r="WIY4" s="74"/>
      <c r="WIZ4" s="74"/>
      <c r="WJA4" s="74"/>
      <c r="WJB4" s="74"/>
      <c r="WJC4" s="74"/>
      <c r="WJD4" s="74"/>
      <c r="WJE4" s="74"/>
      <c r="WJF4" s="74"/>
      <c r="WJG4" s="74"/>
      <c r="WJH4" s="74"/>
      <c r="WJI4" s="74"/>
      <c r="WJJ4" s="74"/>
      <c r="WJK4" s="74"/>
      <c r="WJL4" s="74"/>
      <c r="WJM4" s="74"/>
      <c r="WJN4" s="74"/>
      <c r="WJO4" s="74"/>
      <c r="WJP4" s="74"/>
      <c r="WJQ4" s="74"/>
      <c r="WJR4" s="74"/>
      <c r="WJS4" s="74"/>
      <c r="WJT4" s="74"/>
      <c r="WJU4" s="74"/>
      <c r="WJV4" s="74"/>
      <c r="WJW4" s="74"/>
      <c r="WJX4" s="74"/>
      <c r="WJY4" s="74"/>
      <c r="WJZ4" s="74"/>
      <c r="WKA4" s="74"/>
      <c r="WKB4" s="74"/>
      <c r="WKC4" s="74"/>
      <c r="WKD4" s="74"/>
      <c r="WKE4" s="74"/>
      <c r="WKF4" s="74"/>
      <c r="WKG4" s="74"/>
      <c r="WKH4" s="74"/>
      <c r="WKI4" s="74"/>
      <c r="WKJ4" s="74"/>
      <c r="WKK4" s="74"/>
      <c r="WKL4" s="74"/>
      <c r="WKM4" s="74"/>
      <c r="WKN4" s="74"/>
      <c r="WKO4" s="74"/>
      <c r="WKP4" s="74"/>
      <c r="WKQ4" s="74"/>
      <c r="WKR4" s="74"/>
      <c r="WKS4" s="74"/>
      <c r="WKT4" s="74"/>
      <c r="WKU4" s="74"/>
      <c r="WKV4" s="74"/>
      <c r="WKW4" s="74"/>
      <c r="WKX4" s="74"/>
      <c r="WKY4" s="74"/>
      <c r="WKZ4" s="74"/>
      <c r="WLA4" s="74"/>
      <c r="WLB4" s="74"/>
      <c r="WLC4" s="74"/>
      <c r="WLD4" s="74"/>
      <c r="WLE4" s="74"/>
      <c r="WLF4" s="74"/>
      <c r="WLG4" s="74"/>
      <c r="WLH4" s="74"/>
      <c r="WLI4" s="74"/>
      <c r="WLJ4" s="74"/>
      <c r="WLK4" s="74"/>
      <c r="WLL4" s="74"/>
      <c r="WLM4" s="74"/>
      <c r="WLN4" s="74"/>
      <c r="WLO4" s="74"/>
      <c r="WLP4" s="74"/>
      <c r="WLQ4" s="74"/>
      <c r="WLR4" s="74"/>
      <c r="WLS4" s="74"/>
      <c r="WLT4" s="74"/>
      <c r="WLU4" s="74"/>
      <c r="WLV4" s="74"/>
      <c r="WLW4" s="74"/>
      <c r="WLX4" s="74"/>
      <c r="WLY4" s="74"/>
      <c r="WLZ4" s="74"/>
      <c r="WMA4" s="74"/>
      <c r="WMB4" s="74"/>
      <c r="WMC4" s="74"/>
      <c r="WMD4" s="74"/>
      <c r="WME4" s="74"/>
      <c r="WMF4" s="74"/>
      <c r="WMG4" s="74"/>
      <c r="WMH4" s="74"/>
      <c r="WMI4" s="74"/>
      <c r="WMJ4" s="74"/>
      <c r="WMK4" s="74"/>
      <c r="WML4" s="74"/>
      <c r="WMM4" s="74"/>
      <c r="WMN4" s="74"/>
      <c r="WMO4" s="74"/>
      <c r="WMP4" s="74"/>
      <c r="WMQ4" s="74"/>
      <c r="WMR4" s="74"/>
      <c r="WMS4" s="74"/>
      <c r="WMT4" s="74"/>
      <c r="WMU4" s="74"/>
      <c r="WMV4" s="74"/>
      <c r="WMW4" s="74"/>
      <c r="WMX4" s="74"/>
      <c r="WMY4" s="74"/>
      <c r="WMZ4" s="74"/>
      <c r="WNA4" s="74"/>
      <c r="WNB4" s="74"/>
      <c r="WNC4" s="74"/>
      <c r="WND4" s="74"/>
      <c r="WNE4" s="74"/>
      <c r="WNF4" s="74"/>
      <c r="WNG4" s="74"/>
      <c r="WNH4" s="74"/>
      <c r="WNI4" s="74"/>
      <c r="WNJ4" s="74"/>
      <c r="WNK4" s="74"/>
      <c r="WNL4" s="74"/>
      <c r="WNM4" s="74"/>
      <c r="WNN4" s="74"/>
      <c r="WNO4" s="74"/>
      <c r="WNP4" s="74"/>
      <c r="WNQ4" s="74"/>
      <c r="WNR4" s="74"/>
      <c r="WNS4" s="74"/>
      <c r="WNT4" s="74"/>
      <c r="WNU4" s="74"/>
      <c r="WNV4" s="74"/>
      <c r="WNW4" s="74"/>
      <c r="WNX4" s="74"/>
      <c r="WNY4" s="74"/>
      <c r="WNZ4" s="74"/>
      <c r="WOA4" s="74"/>
      <c r="WOB4" s="74"/>
      <c r="WOC4" s="74"/>
      <c r="WOD4" s="74"/>
      <c r="WOE4" s="74"/>
      <c r="WOF4" s="74"/>
      <c r="WOG4" s="74"/>
      <c r="WOH4" s="74"/>
      <c r="WOI4" s="74"/>
      <c r="WOJ4" s="74"/>
      <c r="WOK4" s="74"/>
      <c r="WOL4" s="74"/>
      <c r="WOM4" s="74"/>
      <c r="WON4" s="74"/>
      <c r="WOO4" s="74"/>
      <c r="WOP4" s="74"/>
      <c r="WOQ4" s="74"/>
      <c r="WOR4" s="74"/>
      <c r="WOS4" s="74"/>
      <c r="WOT4" s="74"/>
      <c r="WOU4" s="74"/>
      <c r="WOV4" s="74"/>
      <c r="WOW4" s="74"/>
      <c r="WOX4" s="74"/>
      <c r="WOY4" s="74"/>
      <c r="WOZ4" s="74"/>
      <c r="WPA4" s="74"/>
      <c r="WPB4" s="74"/>
      <c r="WPC4" s="74"/>
      <c r="WPD4" s="74"/>
      <c r="WPE4" s="74"/>
      <c r="WPF4" s="74"/>
      <c r="WPG4" s="74"/>
      <c r="WPH4" s="74"/>
      <c r="WPI4" s="74"/>
      <c r="WPJ4" s="74"/>
      <c r="WPK4" s="74"/>
      <c r="WPL4" s="74"/>
      <c r="WPM4" s="74"/>
      <c r="WPN4" s="74"/>
      <c r="WPO4" s="74"/>
      <c r="WPP4" s="74"/>
      <c r="WPQ4" s="74"/>
      <c r="WPR4" s="74"/>
      <c r="WPS4" s="74"/>
      <c r="WPT4" s="74"/>
      <c r="WPU4" s="74"/>
      <c r="WPV4" s="74"/>
      <c r="WPW4" s="74"/>
      <c r="WPX4" s="74"/>
      <c r="WPY4" s="74"/>
      <c r="WPZ4" s="74"/>
      <c r="WQA4" s="74"/>
      <c r="WQB4" s="74"/>
      <c r="WQC4" s="74"/>
      <c r="WQD4" s="74"/>
      <c r="WQE4" s="74"/>
      <c r="WQF4" s="74"/>
      <c r="WQG4" s="74"/>
      <c r="WQH4" s="74"/>
      <c r="WQI4" s="74"/>
      <c r="WQJ4" s="74"/>
      <c r="WQK4" s="74"/>
      <c r="WQL4" s="74"/>
      <c r="WQM4" s="74"/>
      <c r="WQN4" s="74"/>
      <c r="WQO4" s="74"/>
      <c r="WQP4" s="74"/>
      <c r="WQQ4" s="74"/>
      <c r="WQR4" s="74"/>
      <c r="WQS4" s="74"/>
      <c r="WQT4" s="74"/>
      <c r="WQU4" s="74"/>
      <c r="WQV4" s="74"/>
      <c r="WQW4" s="74"/>
      <c r="WQX4" s="74"/>
      <c r="WQY4" s="74"/>
      <c r="WQZ4" s="74"/>
      <c r="WRA4" s="74"/>
      <c r="WRB4" s="74"/>
      <c r="WRC4" s="74"/>
      <c r="WRD4" s="74"/>
      <c r="WRE4" s="74"/>
      <c r="WRF4" s="74"/>
      <c r="WRG4" s="74"/>
      <c r="WRH4" s="74"/>
      <c r="WRI4" s="74"/>
      <c r="WRJ4" s="74"/>
      <c r="WRK4" s="74"/>
      <c r="WRL4" s="74"/>
      <c r="WRM4" s="74"/>
      <c r="WRN4" s="74"/>
      <c r="WRO4" s="74"/>
      <c r="WRP4" s="74"/>
      <c r="WRQ4" s="74"/>
      <c r="WRR4" s="74"/>
      <c r="WRS4" s="74"/>
      <c r="WRT4" s="74"/>
      <c r="WRU4" s="74"/>
      <c r="WRV4" s="74"/>
      <c r="WRW4" s="74"/>
      <c r="WRX4" s="74"/>
      <c r="WRY4" s="74"/>
      <c r="WRZ4" s="74"/>
      <c r="WSA4" s="74"/>
      <c r="WSB4" s="74"/>
      <c r="WSC4" s="74"/>
      <c r="WSD4" s="74"/>
      <c r="WSE4" s="74"/>
      <c r="WSF4" s="74"/>
      <c r="WSG4" s="74"/>
      <c r="WSH4" s="74"/>
      <c r="WSI4" s="74"/>
      <c r="WSJ4" s="74"/>
      <c r="WSK4" s="74"/>
      <c r="WSL4" s="74"/>
      <c r="WSM4" s="74"/>
      <c r="WSN4" s="74"/>
      <c r="WSO4" s="74"/>
      <c r="WSP4" s="74"/>
      <c r="WSQ4" s="74"/>
      <c r="WSR4" s="74"/>
      <c r="WSS4" s="74"/>
      <c r="WST4" s="74"/>
      <c r="WSU4" s="74"/>
      <c r="WSV4" s="74"/>
      <c r="WSW4" s="74"/>
      <c r="WSX4" s="74"/>
      <c r="WSY4" s="74"/>
      <c r="WSZ4" s="74"/>
      <c r="WTA4" s="74"/>
      <c r="WTB4" s="74"/>
      <c r="WTC4" s="74"/>
      <c r="WTD4" s="74"/>
      <c r="WTE4" s="74"/>
      <c r="WTF4" s="74"/>
      <c r="WTG4" s="74"/>
      <c r="WTH4" s="74"/>
      <c r="WTI4" s="74"/>
      <c r="WTJ4" s="74"/>
      <c r="WTK4" s="74"/>
      <c r="WTL4" s="74"/>
      <c r="WTM4" s="74"/>
      <c r="WTN4" s="74"/>
      <c r="WTO4" s="74"/>
      <c r="WTP4" s="74"/>
      <c r="WTQ4" s="74"/>
      <c r="WTR4" s="74"/>
      <c r="WTS4" s="74"/>
      <c r="WTT4" s="74"/>
      <c r="WTU4" s="74"/>
      <c r="WTV4" s="74"/>
      <c r="WTW4" s="74"/>
      <c r="WTX4" s="74"/>
      <c r="WTY4" s="74"/>
      <c r="WTZ4" s="74"/>
      <c r="WUA4" s="74"/>
      <c r="WUB4" s="74"/>
      <c r="WUC4" s="74"/>
      <c r="WUD4" s="74"/>
      <c r="WUE4" s="74"/>
      <c r="WUF4" s="74"/>
      <c r="WUG4" s="74"/>
      <c r="WUH4" s="74"/>
      <c r="WUI4" s="74"/>
      <c r="WUJ4" s="74"/>
      <c r="WUK4" s="74"/>
      <c r="WUL4" s="74"/>
      <c r="WUM4" s="74"/>
      <c r="WUN4" s="74"/>
      <c r="WUO4" s="74"/>
      <c r="WUP4" s="74"/>
      <c r="WUQ4" s="74"/>
      <c r="WUR4" s="74"/>
      <c r="WUS4" s="74"/>
      <c r="WUT4" s="74"/>
      <c r="WUU4" s="74"/>
      <c r="WUV4" s="74"/>
      <c r="WUW4" s="74"/>
      <c r="WUX4" s="74"/>
      <c r="WUY4" s="74"/>
      <c r="WUZ4" s="74"/>
      <c r="WVA4" s="74"/>
      <c r="WVB4" s="74"/>
      <c r="WVC4" s="74"/>
      <c r="WVD4" s="74"/>
      <c r="WVE4" s="74"/>
      <c r="WVF4" s="74"/>
      <c r="WVG4" s="74"/>
      <c r="WVH4" s="74"/>
      <c r="WVI4" s="74"/>
      <c r="WVJ4" s="74"/>
      <c r="WVK4" s="74"/>
      <c r="WVL4" s="74"/>
      <c r="WVM4" s="74"/>
      <c r="WVN4" s="74"/>
      <c r="WVO4" s="74"/>
      <c r="WVP4" s="74"/>
      <c r="WVQ4" s="74"/>
      <c r="WVR4" s="74"/>
      <c r="WVS4" s="74"/>
      <c r="WVT4" s="74"/>
      <c r="WVU4" s="74"/>
      <c r="WVV4" s="74"/>
      <c r="WVW4" s="74"/>
      <c r="WVX4" s="74"/>
      <c r="WVY4" s="74"/>
      <c r="WVZ4" s="74"/>
      <c r="WWA4" s="74"/>
      <c r="WWB4" s="74"/>
      <c r="WWC4" s="74"/>
      <c r="WWD4" s="74"/>
      <c r="WWE4" s="74"/>
      <c r="WWF4" s="74"/>
      <c r="WWG4" s="74"/>
      <c r="WWH4" s="74"/>
      <c r="WWI4" s="74"/>
      <c r="WWJ4" s="74"/>
      <c r="WWK4" s="74"/>
      <c r="WWL4" s="74"/>
      <c r="WWM4" s="74"/>
      <c r="WWN4" s="74"/>
      <c r="WWO4" s="74"/>
      <c r="WWP4" s="74"/>
      <c r="WWQ4" s="74"/>
      <c r="WWR4" s="74"/>
      <c r="WWS4" s="74"/>
      <c r="WWT4" s="74"/>
      <c r="WWU4" s="74"/>
      <c r="WWV4" s="74"/>
      <c r="WWW4" s="74"/>
      <c r="WWX4" s="74"/>
      <c r="WWY4" s="74"/>
      <c r="WWZ4" s="74"/>
      <c r="WXA4" s="74"/>
      <c r="WXB4" s="74"/>
      <c r="WXC4" s="74"/>
      <c r="WXD4" s="74"/>
      <c r="WXE4" s="74"/>
      <c r="WXF4" s="74"/>
      <c r="WXG4" s="74"/>
      <c r="WXH4" s="74"/>
      <c r="WXI4" s="74"/>
      <c r="WXJ4" s="74"/>
      <c r="WXK4" s="74"/>
      <c r="WXL4" s="74"/>
      <c r="WXM4" s="74"/>
      <c r="WXN4" s="74"/>
      <c r="WXO4" s="74"/>
      <c r="WXP4" s="74"/>
      <c r="WXQ4" s="74"/>
      <c r="WXR4" s="74"/>
      <c r="WXS4" s="74"/>
      <c r="WXT4" s="74"/>
      <c r="WXU4" s="74"/>
      <c r="WXV4" s="74"/>
      <c r="WXW4" s="74"/>
      <c r="WXX4" s="74"/>
      <c r="WXY4" s="74"/>
      <c r="WXZ4" s="74"/>
      <c r="WYA4" s="74"/>
      <c r="WYB4" s="74"/>
      <c r="WYC4" s="74"/>
      <c r="WYD4" s="74"/>
      <c r="WYE4" s="74"/>
      <c r="WYF4" s="74"/>
      <c r="WYG4" s="74"/>
      <c r="WYH4" s="74"/>
      <c r="WYI4" s="74"/>
      <c r="WYJ4" s="74"/>
      <c r="WYK4" s="74"/>
      <c r="WYL4" s="74"/>
      <c r="WYM4" s="74"/>
      <c r="WYN4" s="74"/>
      <c r="WYO4" s="74"/>
      <c r="WYP4" s="74"/>
      <c r="WYQ4" s="74"/>
      <c r="WYR4" s="74"/>
      <c r="WYS4" s="74"/>
      <c r="WYT4" s="74"/>
      <c r="WYU4" s="74"/>
      <c r="WYV4" s="74"/>
      <c r="WYW4" s="74"/>
      <c r="WYX4" s="74"/>
      <c r="WYY4" s="74"/>
      <c r="WYZ4" s="74"/>
      <c r="WZA4" s="74"/>
      <c r="WZB4" s="74"/>
      <c r="WZC4" s="74"/>
      <c r="WZD4" s="74"/>
      <c r="WZE4" s="74"/>
      <c r="WZF4" s="74"/>
      <c r="WZG4" s="74"/>
      <c r="WZH4" s="74"/>
      <c r="WZI4" s="74"/>
      <c r="WZJ4" s="74"/>
      <c r="WZK4" s="74"/>
      <c r="WZL4" s="74"/>
      <c r="WZM4" s="74"/>
      <c r="WZN4" s="74"/>
      <c r="WZO4" s="74"/>
      <c r="WZP4" s="74"/>
      <c r="WZQ4" s="74"/>
      <c r="WZR4" s="74"/>
      <c r="WZS4" s="74"/>
      <c r="WZT4" s="74"/>
      <c r="WZU4" s="74"/>
      <c r="WZV4" s="74"/>
      <c r="WZW4" s="74"/>
      <c r="WZX4" s="74"/>
      <c r="WZY4" s="74"/>
      <c r="WZZ4" s="74"/>
      <c r="XAA4" s="74"/>
      <c r="XAB4" s="74"/>
      <c r="XAC4" s="74"/>
      <c r="XAD4" s="74"/>
      <c r="XAE4" s="74"/>
      <c r="XAF4" s="74"/>
      <c r="XAG4" s="74"/>
      <c r="XAH4" s="74"/>
      <c r="XAI4" s="74"/>
      <c r="XAJ4" s="74"/>
      <c r="XAK4" s="74"/>
      <c r="XAL4" s="74"/>
      <c r="XAM4" s="74"/>
      <c r="XAN4" s="74"/>
      <c r="XAO4" s="74"/>
      <c r="XAP4" s="74"/>
      <c r="XAQ4" s="74"/>
      <c r="XAR4" s="74"/>
      <c r="XAS4" s="74"/>
      <c r="XAT4" s="74"/>
      <c r="XAU4" s="74"/>
      <c r="XAV4" s="74"/>
      <c r="XAW4" s="74"/>
      <c r="XAX4" s="74"/>
      <c r="XAY4" s="74"/>
      <c r="XAZ4" s="74"/>
      <c r="XBA4" s="74"/>
      <c r="XBB4" s="74"/>
      <c r="XBC4" s="74"/>
      <c r="XBD4" s="74"/>
      <c r="XBE4" s="74"/>
      <c r="XBF4" s="74"/>
      <c r="XBG4" s="74"/>
      <c r="XBH4" s="74"/>
      <c r="XBI4" s="74"/>
      <c r="XBJ4" s="74"/>
      <c r="XBK4" s="74"/>
      <c r="XBL4" s="74"/>
      <c r="XBM4" s="74"/>
      <c r="XBN4" s="74"/>
      <c r="XBO4" s="74"/>
      <c r="XBP4" s="74"/>
      <c r="XBQ4" s="74"/>
      <c r="XBR4" s="74"/>
      <c r="XBS4" s="74"/>
      <c r="XBT4" s="74"/>
      <c r="XBU4" s="74"/>
      <c r="XBV4" s="74"/>
      <c r="XBW4" s="74"/>
      <c r="XBX4" s="74"/>
      <c r="XBY4" s="74"/>
      <c r="XBZ4" s="74"/>
      <c r="XCA4" s="74"/>
      <c r="XCB4" s="74"/>
      <c r="XCC4" s="74"/>
      <c r="XCD4" s="74"/>
      <c r="XCE4" s="74"/>
      <c r="XCF4" s="74"/>
      <c r="XCG4" s="74"/>
      <c r="XCH4" s="74"/>
      <c r="XCI4" s="74"/>
      <c r="XCJ4" s="74"/>
      <c r="XCK4" s="74"/>
      <c r="XCL4" s="74"/>
      <c r="XCM4" s="74"/>
      <c r="XCN4" s="74"/>
      <c r="XCO4" s="74"/>
      <c r="XCP4" s="74"/>
      <c r="XCQ4" s="74"/>
      <c r="XCR4" s="74"/>
      <c r="XCS4" s="74"/>
      <c r="XCT4" s="74"/>
      <c r="XCU4" s="74"/>
      <c r="XCV4" s="74"/>
      <c r="XCW4" s="74"/>
      <c r="XCX4" s="74"/>
      <c r="XCY4" s="74"/>
      <c r="XCZ4" s="74"/>
      <c r="XDA4" s="74"/>
      <c r="XDB4" s="74"/>
      <c r="XDC4" s="74"/>
      <c r="XDD4" s="74"/>
      <c r="XDE4" s="74"/>
      <c r="XDF4" s="74"/>
      <c r="XDG4" s="74"/>
      <c r="XDH4" s="74"/>
      <c r="XDI4" s="74"/>
      <c r="XDJ4" s="74"/>
      <c r="XDK4" s="74"/>
      <c r="XDL4" s="74"/>
      <c r="XDM4" s="74"/>
      <c r="XDN4" s="74"/>
      <c r="XDO4" s="74"/>
      <c r="XDP4" s="74"/>
      <c r="XDQ4" s="74"/>
      <c r="XDR4" s="74"/>
      <c r="XDS4" s="74"/>
      <c r="XDT4" s="74"/>
      <c r="XDU4" s="74"/>
      <c r="XDV4" s="74"/>
      <c r="XDW4" s="74"/>
      <c r="XDX4" s="74"/>
      <c r="XDY4" s="74"/>
      <c r="XDZ4" s="74"/>
      <c r="XEA4" s="74"/>
      <c r="XEB4" s="74"/>
      <c r="XEC4" s="74"/>
      <c r="XED4" s="74"/>
      <c r="XEE4" s="74"/>
      <c r="XEF4" s="74"/>
      <c r="XEG4" s="74"/>
      <c r="XEH4" s="74"/>
      <c r="XEI4" s="74"/>
      <c r="XEJ4" s="74"/>
      <c r="XEK4" s="74"/>
      <c r="XEL4" s="74"/>
      <c r="XEM4" s="74"/>
      <c r="XEN4" s="74"/>
      <c r="XEO4" s="74"/>
      <c r="XEP4" s="74"/>
      <c r="XEQ4" s="74"/>
      <c r="XER4" s="74"/>
      <c r="XES4" s="74"/>
      <c r="XET4" s="74"/>
      <c r="XEU4" s="74"/>
      <c r="XEV4" s="74"/>
      <c r="XEW4" s="74"/>
      <c r="XEX4" s="74"/>
      <c r="XEY4" s="74"/>
      <c r="XEZ4" s="74"/>
      <c r="XFA4" s="74"/>
      <c r="XFB4" s="74"/>
      <c r="XFC4" s="74"/>
    </row>
    <row r="5" spans="1:16383" customFormat="1" x14ac:dyDescent="0.25">
      <c r="A5" s="73" t="s">
        <v>230</v>
      </c>
      <c r="B5" s="74"/>
      <c r="C5" s="74"/>
      <c r="D5" s="75"/>
      <c r="E5" s="75"/>
      <c r="F5" s="75"/>
      <c r="G5" s="76"/>
      <c r="H5" s="74"/>
      <c r="I5" s="74"/>
      <c r="J5" s="74"/>
      <c r="K5" s="77"/>
      <c r="L5" s="78"/>
      <c r="M5" s="82"/>
      <c r="N5" s="79"/>
      <c r="O5" s="79"/>
      <c r="P5" s="79"/>
      <c r="Q5" s="79"/>
      <c r="R5" s="79"/>
      <c r="S5" s="78"/>
      <c r="T5" s="79"/>
      <c r="U5" s="79"/>
      <c r="V5" s="79"/>
      <c r="W5" s="79"/>
      <c r="X5" s="79"/>
      <c r="Y5" s="74"/>
      <c r="Z5" s="74"/>
      <c r="AA5" s="181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4"/>
      <c r="DH5" s="74"/>
      <c r="DI5" s="74"/>
      <c r="DJ5" s="74"/>
      <c r="DK5" s="74"/>
      <c r="DL5" s="74"/>
      <c r="DM5" s="74"/>
      <c r="DN5" s="74"/>
      <c r="DO5" s="74"/>
      <c r="DP5" s="74"/>
      <c r="DQ5" s="74"/>
      <c r="DR5" s="74"/>
      <c r="DS5" s="74"/>
      <c r="DT5" s="74"/>
      <c r="DU5" s="74"/>
      <c r="DV5" s="74"/>
      <c r="DW5" s="74"/>
      <c r="DX5" s="74"/>
      <c r="DY5" s="74"/>
      <c r="DZ5" s="74"/>
      <c r="EA5" s="74"/>
      <c r="EB5" s="74"/>
      <c r="EC5" s="74"/>
      <c r="ED5" s="74"/>
      <c r="EE5" s="74"/>
      <c r="EF5" s="74"/>
      <c r="EG5" s="74"/>
      <c r="EH5" s="74"/>
      <c r="EI5" s="74"/>
      <c r="EJ5" s="74"/>
      <c r="EK5" s="74"/>
      <c r="EL5" s="74"/>
      <c r="EM5" s="74"/>
      <c r="EN5" s="74"/>
      <c r="EO5" s="74"/>
      <c r="EP5" s="74"/>
      <c r="EQ5" s="74"/>
      <c r="ER5" s="74"/>
      <c r="ES5" s="74"/>
      <c r="ET5" s="74"/>
      <c r="EU5" s="74"/>
      <c r="EV5" s="74"/>
      <c r="EW5" s="74"/>
      <c r="EX5" s="74"/>
      <c r="EY5" s="74"/>
      <c r="EZ5" s="74"/>
      <c r="FA5" s="74"/>
      <c r="FB5" s="74"/>
      <c r="FC5" s="74"/>
      <c r="FD5" s="74"/>
      <c r="FE5" s="74"/>
      <c r="FF5" s="74"/>
      <c r="FG5" s="74"/>
      <c r="FH5" s="74"/>
      <c r="FI5" s="74"/>
      <c r="FJ5" s="74"/>
      <c r="FK5" s="74"/>
      <c r="FL5" s="74"/>
      <c r="FM5" s="74"/>
      <c r="FN5" s="74"/>
      <c r="FO5" s="74"/>
      <c r="FP5" s="74"/>
      <c r="FQ5" s="74"/>
      <c r="FR5" s="74"/>
      <c r="FS5" s="74"/>
      <c r="FT5" s="74"/>
      <c r="FU5" s="74"/>
      <c r="FV5" s="74"/>
      <c r="FW5" s="74"/>
      <c r="FX5" s="74"/>
      <c r="FY5" s="74"/>
      <c r="FZ5" s="74"/>
      <c r="GA5" s="74"/>
      <c r="GB5" s="74"/>
      <c r="GC5" s="74"/>
      <c r="GD5" s="74"/>
      <c r="GE5" s="74"/>
      <c r="GF5" s="74"/>
      <c r="GG5" s="74"/>
      <c r="GH5" s="74"/>
      <c r="GI5" s="74"/>
      <c r="GJ5" s="74"/>
      <c r="GK5" s="74"/>
      <c r="GL5" s="74"/>
      <c r="GM5" s="74"/>
      <c r="GN5" s="74"/>
      <c r="GO5" s="74"/>
      <c r="GP5" s="74"/>
      <c r="GQ5" s="74"/>
      <c r="GR5" s="74"/>
      <c r="GS5" s="74"/>
      <c r="GT5" s="74"/>
      <c r="GU5" s="74"/>
      <c r="GV5" s="74"/>
      <c r="GW5" s="74"/>
      <c r="GX5" s="74"/>
      <c r="GY5" s="74"/>
      <c r="GZ5" s="74"/>
      <c r="HA5" s="74"/>
      <c r="HB5" s="74"/>
      <c r="HC5" s="74"/>
      <c r="HD5" s="74"/>
      <c r="HE5" s="74"/>
      <c r="HF5" s="74"/>
      <c r="HG5" s="74"/>
      <c r="HH5" s="74"/>
      <c r="HI5" s="74"/>
      <c r="HJ5" s="74"/>
      <c r="HK5" s="74"/>
      <c r="HL5" s="74"/>
      <c r="HM5" s="74"/>
      <c r="HN5" s="74"/>
      <c r="HO5" s="74"/>
      <c r="HP5" s="74"/>
      <c r="HQ5" s="74"/>
      <c r="HR5" s="74"/>
      <c r="HS5" s="74"/>
      <c r="HT5" s="74"/>
      <c r="HU5" s="74"/>
      <c r="HV5" s="74"/>
      <c r="HW5" s="74"/>
      <c r="HX5" s="74"/>
      <c r="HY5" s="74"/>
      <c r="HZ5" s="74"/>
      <c r="IA5" s="74"/>
      <c r="IB5" s="74"/>
      <c r="IC5" s="74"/>
      <c r="ID5" s="74"/>
      <c r="IE5" s="74"/>
      <c r="IF5" s="74"/>
      <c r="IG5" s="74"/>
      <c r="IH5" s="74"/>
      <c r="II5" s="74"/>
      <c r="IJ5" s="74"/>
      <c r="IK5" s="74"/>
      <c r="IL5" s="74"/>
      <c r="IM5" s="74"/>
      <c r="IN5" s="74"/>
      <c r="IO5" s="74"/>
      <c r="IP5" s="74"/>
      <c r="IQ5" s="74"/>
      <c r="IR5" s="74"/>
      <c r="IS5" s="74"/>
      <c r="IT5" s="74"/>
      <c r="IU5" s="74"/>
      <c r="IV5" s="74"/>
      <c r="IW5" s="74"/>
      <c r="IX5" s="74"/>
      <c r="IY5" s="74"/>
      <c r="IZ5" s="74"/>
      <c r="JA5" s="74"/>
      <c r="JB5" s="74"/>
      <c r="JC5" s="74"/>
      <c r="JD5" s="74"/>
      <c r="JE5" s="74"/>
      <c r="JF5" s="74"/>
      <c r="JG5" s="74"/>
      <c r="JH5" s="74"/>
      <c r="JI5" s="74"/>
      <c r="JJ5" s="74"/>
      <c r="JK5" s="74"/>
      <c r="JL5" s="74"/>
      <c r="JM5" s="74"/>
      <c r="JN5" s="74"/>
      <c r="JO5" s="74"/>
      <c r="JP5" s="74"/>
      <c r="JQ5" s="74"/>
      <c r="JR5" s="74"/>
      <c r="JS5" s="74"/>
      <c r="JT5" s="74"/>
      <c r="JU5" s="74"/>
      <c r="JV5" s="74"/>
      <c r="JW5" s="74"/>
      <c r="JX5" s="74"/>
      <c r="JY5" s="74"/>
      <c r="JZ5" s="74"/>
      <c r="KA5" s="74"/>
      <c r="KB5" s="74"/>
      <c r="KC5" s="74"/>
      <c r="KD5" s="74"/>
      <c r="KE5" s="74"/>
      <c r="KF5" s="74"/>
      <c r="KG5" s="74"/>
      <c r="KH5" s="74"/>
      <c r="KI5" s="74"/>
      <c r="KJ5" s="74"/>
      <c r="KK5" s="74"/>
      <c r="KL5" s="74"/>
      <c r="KM5" s="74"/>
      <c r="KN5" s="74"/>
      <c r="KO5" s="74"/>
      <c r="KP5" s="74"/>
      <c r="KQ5" s="74"/>
      <c r="KR5" s="74"/>
      <c r="KS5" s="74"/>
      <c r="KT5" s="74"/>
      <c r="KU5" s="74"/>
      <c r="KV5" s="74"/>
      <c r="KW5" s="74"/>
      <c r="KX5" s="74"/>
      <c r="KY5" s="74"/>
      <c r="KZ5" s="74"/>
      <c r="LA5" s="74"/>
      <c r="LB5" s="74"/>
      <c r="LC5" s="74"/>
      <c r="LD5" s="74"/>
      <c r="LE5" s="74"/>
      <c r="LF5" s="74"/>
      <c r="LG5" s="74"/>
      <c r="LH5" s="74"/>
      <c r="LI5" s="74"/>
      <c r="LJ5" s="74"/>
      <c r="LK5" s="74"/>
      <c r="LL5" s="74"/>
      <c r="LM5" s="74"/>
      <c r="LN5" s="74"/>
      <c r="LO5" s="74"/>
      <c r="LP5" s="74"/>
      <c r="LQ5" s="74"/>
      <c r="LR5" s="74"/>
      <c r="LS5" s="74"/>
      <c r="LT5" s="74"/>
      <c r="LU5" s="74"/>
      <c r="LV5" s="74"/>
      <c r="LW5" s="74"/>
      <c r="LX5" s="74"/>
      <c r="LY5" s="74"/>
      <c r="LZ5" s="74"/>
      <c r="MA5" s="74"/>
      <c r="MB5" s="74"/>
      <c r="MC5" s="74"/>
      <c r="MD5" s="74"/>
      <c r="ME5" s="74"/>
      <c r="MF5" s="74"/>
      <c r="MG5" s="74"/>
      <c r="MH5" s="74"/>
      <c r="MI5" s="74"/>
      <c r="MJ5" s="74"/>
      <c r="MK5" s="74"/>
      <c r="ML5" s="74"/>
      <c r="MM5" s="74"/>
      <c r="MN5" s="74"/>
      <c r="MO5" s="74"/>
      <c r="MP5" s="74"/>
      <c r="MQ5" s="74"/>
      <c r="MR5" s="74"/>
      <c r="MS5" s="74"/>
      <c r="MT5" s="74"/>
      <c r="MU5" s="74"/>
      <c r="MV5" s="74"/>
      <c r="MW5" s="74"/>
      <c r="MX5" s="74"/>
      <c r="MY5" s="74"/>
      <c r="MZ5" s="74"/>
      <c r="NA5" s="74"/>
      <c r="NB5" s="74"/>
      <c r="NC5" s="74"/>
      <c r="ND5" s="74"/>
      <c r="NE5" s="74"/>
      <c r="NF5" s="74"/>
      <c r="NG5" s="74"/>
      <c r="NH5" s="74"/>
      <c r="NI5" s="74"/>
      <c r="NJ5" s="74"/>
      <c r="NK5" s="74"/>
      <c r="NL5" s="74"/>
      <c r="NM5" s="74"/>
      <c r="NN5" s="74"/>
      <c r="NO5" s="74"/>
      <c r="NP5" s="74"/>
      <c r="NQ5" s="74"/>
      <c r="NR5" s="74"/>
      <c r="NS5" s="74"/>
      <c r="NT5" s="74"/>
      <c r="NU5" s="74"/>
      <c r="NV5" s="74"/>
      <c r="NW5" s="74"/>
      <c r="NX5" s="74"/>
      <c r="NY5" s="74"/>
      <c r="NZ5" s="74"/>
      <c r="OA5" s="74"/>
      <c r="OB5" s="74"/>
      <c r="OC5" s="74"/>
      <c r="OD5" s="74"/>
      <c r="OE5" s="74"/>
      <c r="OF5" s="74"/>
      <c r="OG5" s="74"/>
      <c r="OH5" s="74"/>
      <c r="OI5" s="74"/>
      <c r="OJ5" s="74"/>
      <c r="OK5" s="74"/>
      <c r="OL5" s="74"/>
      <c r="OM5" s="74"/>
      <c r="ON5" s="74"/>
      <c r="OO5" s="74"/>
      <c r="OP5" s="74"/>
      <c r="OQ5" s="74"/>
      <c r="OR5" s="74"/>
      <c r="OS5" s="74"/>
      <c r="OT5" s="74"/>
      <c r="OU5" s="74"/>
      <c r="OV5" s="74"/>
      <c r="OW5" s="74"/>
      <c r="OX5" s="74"/>
      <c r="OY5" s="74"/>
      <c r="OZ5" s="74"/>
      <c r="PA5" s="74"/>
      <c r="PB5" s="74"/>
      <c r="PC5" s="74"/>
      <c r="PD5" s="74"/>
      <c r="PE5" s="74"/>
      <c r="PF5" s="74"/>
      <c r="PG5" s="74"/>
      <c r="PH5" s="74"/>
      <c r="PI5" s="74"/>
      <c r="PJ5" s="74"/>
      <c r="PK5" s="74"/>
      <c r="PL5" s="74"/>
      <c r="PM5" s="74"/>
      <c r="PN5" s="74"/>
      <c r="PO5" s="74"/>
      <c r="PP5" s="74"/>
      <c r="PQ5" s="74"/>
      <c r="PR5" s="74"/>
      <c r="PS5" s="74"/>
      <c r="PT5" s="74"/>
      <c r="PU5" s="74"/>
      <c r="PV5" s="74"/>
      <c r="PW5" s="74"/>
      <c r="PX5" s="74"/>
      <c r="PY5" s="74"/>
      <c r="PZ5" s="74"/>
      <c r="QA5" s="74"/>
      <c r="QB5" s="74"/>
      <c r="QC5" s="74"/>
      <c r="QD5" s="74"/>
      <c r="QE5" s="74"/>
      <c r="QF5" s="74"/>
      <c r="QG5" s="74"/>
      <c r="QH5" s="74"/>
      <c r="QI5" s="74"/>
      <c r="QJ5" s="74"/>
      <c r="QK5" s="74"/>
      <c r="QL5" s="74"/>
      <c r="QM5" s="74"/>
      <c r="QN5" s="74"/>
      <c r="QO5" s="74"/>
      <c r="QP5" s="74"/>
      <c r="QQ5" s="74"/>
      <c r="QR5" s="74"/>
      <c r="QS5" s="74"/>
      <c r="QT5" s="74"/>
      <c r="QU5" s="74"/>
      <c r="QV5" s="74"/>
      <c r="QW5" s="74"/>
      <c r="QX5" s="74"/>
      <c r="QY5" s="74"/>
      <c r="QZ5" s="74"/>
      <c r="RA5" s="74"/>
      <c r="RB5" s="74"/>
      <c r="RC5" s="74"/>
      <c r="RD5" s="74"/>
      <c r="RE5" s="74"/>
      <c r="RF5" s="74"/>
      <c r="RG5" s="74"/>
      <c r="RH5" s="74"/>
      <c r="RI5" s="74"/>
      <c r="RJ5" s="74"/>
      <c r="RK5" s="74"/>
      <c r="RL5" s="74"/>
      <c r="RM5" s="74"/>
      <c r="RN5" s="74"/>
      <c r="RO5" s="74"/>
      <c r="RP5" s="74"/>
      <c r="RQ5" s="74"/>
      <c r="RR5" s="74"/>
      <c r="RS5" s="74"/>
      <c r="RT5" s="74"/>
      <c r="RU5" s="74"/>
      <c r="RV5" s="74"/>
      <c r="RW5" s="74"/>
      <c r="RX5" s="74"/>
      <c r="RY5" s="74"/>
      <c r="RZ5" s="74"/>
      <c r="SA5" s="74"/>
      <c r="SB5" s="74"/>
      <c r="SC5" s="74"/>
      <c r="SD5" s="74"/>
      <c r="SE5" s="74"/>
      <c r="SF5" s="74"/>
      <c r="SG5" s="74"/>
      <c r="SH5" s="74"/>
      <c r="SI5" s="74"/>
      <c r="SJ5" s="74"/>
      <c r="SK5" s="74"/>
      <c r="SL5" s="74"/>
      <c r="SM5" s="74"/>
      <c r="SN5" s="74"/>
      <c r="SO5" s="74"/>
      <c r="SP5" s="74"/>
      <c r="SQ5" s="74"/>
      <c r="SR5" s="74"/>
      <c r="SS5" s="74"/>
      <c r="ST5" s="74"/>
      <c r="SU5" s="74"/>
      <c r="SV5" s="74"/>
      <c r="SW5" s="74"/>
      <c r="SX5" s="74"/>
      <c r="SY5" s="74"/>
      <c r="SZ5" s="74"/>
      <c r="TA5" s="74"/>
      <c r="TB5" s="74"/>
      <c r="TC5" s="74"/>
      <c r="TD5" s="74"/>
      <c r="TE5" s="74"/>
      <c r="TF5" s="74"/>
      <c r="TG5" s="74"/>
      <c r="TH5" s="74"/>
      <c r="TI5" s="74"/>
      <c r="TJ5" s="74"/>
      <c r="TK5" s="74"/>
      <c r="TL5" s="74"/>
      <c r="TM5" s="74"/>
      <c r="TN5" s="74"/>
      <c r="TO5" s="74"/>
      <c r="TP5" s="74"/>
      <c r="TQ5" s="74"/>
      <c r="TR5" s="74"/>
      <c r="TS5" s="74"/>
      <c r="TT5" s="74"/>
      <c r="TU5" s="74"/>
      <c r="TV5" s="74"/>
      <c r="TW5" s="74"/>
      <c r="TX5" s="74"/>
      <c r="TY5" s="74"/>
      <c r="TZ5" s="74"/>
      <c r="UA5" s="74"/>
      <c r="UB5" s="74"/>
      <c r="UC5" s="74"/>
      <c r="UD5" s="74"/>
      <c r="UE5" s="74"/>
      <c r="UF5" s="74"/>
      <c r="UG5" s="74"/>
      <c r="UH5" s="74"/>
      <c r="UI5" s="74"/>
      <c r="UJ5" s="74"/>
      <c r="UK5" s="74"/>
      <c r="UL5" s="74"/>
      <c r="UM5" s="74"/>
      <c r="UN5" s="74"/>
      <c r="UO5" s="74"/>
      <c r="UP5" s="74"/>
      <c r="UQ5" s="74"/>
      <c r="UR5" s="74"/>
      <c r="US5" s="74"/>
      <c r="UT5" s="74"/>
      <c r="UU5" s="74"/>
      <c r="UV5" s="74"/>
      <c r="UW5" s="74"/>
      <c r="UX5" s="74"/>
      <c r="UY5" s="74"/>
      <c r="UZ5" s="74"/>
      <c r="VA5" s="74"/>
      <c r="VB5" s="74"/>
      <c r="VC5" s="74"/>
      <c r="VD5" s="74"/>
      <c r="VE5" s="74"/>
      <c r="VF5" s="74"/>
      <c r="VG5" s="74"/>
      <c r="VH5" s="74"/>
      <c r="VI5" s="74"/>
      <c r="VJ5" s="74"/>
      <c r="VK5" s="74"/>
      <c r="VL5" s="74"/>
      <c r="VM5" s="74"/>
      <c r="VN5" s="74"/>
      <c r="VO5" s="74"/>
      <c r="VP5" s="74"/>
      <c r="VQ5" s="74"/>
      <c r="VR5" s="74"/>
      <c r="VS5" s="74"/>
      <c r="VT5" s="74"/>
      <c r="VU5" s="74"/>
      <c r="VV5" s="74"/>
      <c r="VW5" s="74"/>
      <c r="VX5" s="74"/>
      <c r="VY5" s="74"/>
      <c r="VZ5" s="74"/>
      <c r="WA5" s="74"/>
      <c r="WB5" s="74"/>
      <c r="WC5" s="74"/>
      <c r="WD5" s="74"/>
      <c r="WE5" s="74"/>
      <c r="WF5" s="74"/>
      <c r="WG5" s="74"/>
      <c r="WH5" s="74"/>
      <c r="WI5" s="74"/>
      <c r="WJ5" s="74"/>
      <c r="WK5" s="74"/>
      <c r="WL5" s="74"/>
      <c r="WM5" s="74"/>
      <c r="WN5" s="74"/>
      <c r="WO5" s="74"/>
      <c r="WP5" s="74"/>
      <c r="WQ5" s="74"/>
      <c r="WR5" s="74"/>
      <c r="WS5" s="74"/>
      <c r="WT5" s="74"/>
      <c r="WU5" s="74"/>
      <c r="WV5" s="74"/>
      <c r="WW5" s="74"/>
      <c r="WX5" s="74"/>
      <c r="WY5" s="74"/>
      <c r="WZ5" s="74"/>
      <c r="XA5" s="74"/>
      <c r="XB5" s="74"/>
      <c r="XC5" s="74"/>
      <c r="XD5" s="74"/>
      <c r="XE5" s="74"/>
      <c r="XF5" s="74"/>
      <c r="XG5" s="74"/>
      <c r="XH5" s="74"/>
      <c r="XI5" s="74"/>
      <c r="XJ5" s="74"/>
      <c r="XK5" s="74"/>
      <c r="XL5" s="74"/>
      <c r="XM5" s="74"/>
      <c r="XN5" s="74"/>
      <c r="XO5" s="74"/>
      <c r="XP5" s="74"/>
      <c r="XQ5" s="74"/>
      <c r="XR5" s="74"/>
      <c r="XS5" s="74"/>
      <c r="XT5" s="74"/>
      <c r="XU5" s="74"/>
      <c r="XV5" s="74"/>
      <c r="XW5" s="74"/>
      <c r="XX5" s="74"/>
      <c r="XY5" s="74"/>
      <c r="XZ5" s="74"/>
      <c r="YA5" s="74"/>
      <c r="YB5" s="74"/>
      <c r="YC5" s="74"/>
      <c r="YD5" s="74"/>
      <c r="YE5" s="74"/>
      <c r="YF5" s="74"/>
      <c r="YG5" s="74"/>
      <c r="YH5" s="74"/>
      <c r="YI5" s="74"/>
      <c r="YJ5" s="74"/>
      <c r="YK5" s="74"/>
      <c r="YL5" s="74"/>
      <c r="YM5" s="74"/>
      <c r="YN5" s="74"/>
      <c r="YO5" s="74"/>
      <c r="YP5" s="74"/>
      <c r="YQ5" s="74"/>
      <c r="YR5" s="74"/>
      <c r="YS5" s="74"/>
      <c r="YT5" s="74"/>
      <c r="YU5" s="74"/>
      <c r="YV5" s="74"/>
      <c r="YW5" s="74"/>
      <c r="YX5" s="74"/>
      <c r="YY5" s="74"/>
      <c r="YZ5" s="74"/>
      <c r="ZA5" s="74"/>
      <c r="ZB5" s="74"/>
      <c r="ZC5" s="74"/>
      <c r="ZD5" s="74"/>
      <c r="ZE5" s="74"/>
      <c r="ZF5" s="74"/>
      <c r="ZG5" s="74"/>
      <c r="ZH5" s="74"/>
      <c r="ZI5" s="74"/>
      <c r="ZJ5" s="74"/>
      <c r="ZK5" s="74"/>
      <c r="ZL5" s="74"/>
      <c r="ZM5" s="74"/>
      <c r="ZN5" s="74"/>
      <c r="ZO5" s="74"/>
      <c r="ZP5" s="74"/>
      <c r="ZQ5" s="74"/>
      <c r="ZR5" s="74"/>
      <c r="ZS5" s="74"/>
      <c r="ZT5" s="74"/>
      <c r="ZU5" s="74"/>
      <c r="ZV5" s="74"/>
      <c r="ZW5" s="74"/>
      <c r="ZX5" s="74"/>
      <c r="ZY5" s="74"/>
      <c r="ZZ5" s="74"/>
      <c r="AAA5" s="74"/>
      <c r="AAB5" s="74"/>
      <c r="AAC5" s="74"/>
      <c r="AAD5" s="74"/>
      <c r="AAE5" s="74"/>
      <c r="AAF5" s="74"/>
      <c r="AAG5" s="74"/>
      <c r="AAH5" s="74"/>
      <c r="AAI5" s="74"/>
      <c r="AAJ5" s="74"/>
      <c r="AAK5" s="74"/>
      <c r="AAL5" s="74"/>
      <c r="AAM5" s="74"/>
      <c r="AAN5" s="74"/>
      <c r="AAO5" s="74"/>
      <c r="AAP5" s="74"/>
      <c r="AAQ5" s="74"/>
      <c r="AAR5" s="74"/>
      <c r="AAS5" s="74"/>
      <c r="AAT5" s="74"/>
      <c r="AAU5" s="74"/>
      <c r="AAV5" s="74"/>
      <c r="AAW5" s="74"/>
      <c r="AAX5" s="74"/>
      <c r="AAY5" s="74"/>
      <c r="AAZ5" s="74"/>
      <c r="ABA5" s="74"/>
      <c r="ABB5" s="74"/>
      <c r="ABC5" s="74"/>
      <c r="ABD5" s="74"/>
      <c r="ABE5" s="74"/>
      <c r="ABF5" s="74"/>
      <c r="ABG5" s="74"/>
      <c r="ABH5" s="74"/>
      <c r="ABI5" s="74"/>
      <c r="ABJ5" s="74"/>
      <c r="ABK5" s="74"/>
      <c r="ABL5" s="74"/>
      <c r="ABM5" s="74"/>
      <c r="ABN5" s="74"/>
      <c r="ABO5" s="74"/>
      <c r="ABP5" s="74"/>
      <c r="ABQ5" s="74"/>
      <c r="ABR5" s="74"/>
      <c r="ABS5" s="74"/>
      <c r="ABT5" s="74"/>
      <c r="ABU5" s="74"/>
      <c r="ABV5" s="74"/>
      <c r="ABW5" s="74"/>
      <c r="ABX5" s="74"/>
      <c r="ABY5" s="74"/>
      <c r="ABZ5" s="74"/>
      <c r="ACA5" s="74"/>
      <c r="ACB5" s="74"/>
      <c r="ACC5" s="74"/>
      <c r="ACD5" s="74"/>
      <c r="ACE5" s="74"/>
      <c r="ACF5" s="74"/>
      <c r="ACG5" s="74"/>
      <c r="ACH5" s="74"/>
      <c r="ACI5" s="74"/>
      <c r="ACJ5" s="74"/>
      <c r="ACK5" s="74"/>
      <c r="ACL5" s="74"/>
      <c r="ACM5" s="74"/>
      <c r="ACN5" s="74"/>
      <c r="ACO5" s="74"/>
      <c r="ACP5" s="74"/>
      <c r="ACQ5" s="74"/>
      <c r="ACR5" s="74"/>
      <c r="ACS5" s="74"/>
      <c r="ACT5" s="74"/>
      <c r="ACU5" s="74"/>
      <c r="ACV5" s="74"/>
      <c r="ACW5" s="74"/>
      <c r="ACX5" s="74"/>
      <c r="ACY5" s="74"/>
      <c r="ACZ5" s="74"/>
      <c r="ADA5" s="74"/>
      <c r="ADB5" s="74"/>
      <c r="ADC5" s="74"/>
      <c r="ADD5" s="74"/>
      <c r="ADE5" s="74"/>
      <c r="ADF5" s="74"/>
      <c r="ADG5" s="74"/>
      <c r="ADH5" s="74"/>
      <c r="ADI5" s="74"/>
      <c r="ADJ5" s="74"/>
      <c r="ADK5" s="74"/>
      <c r="ADL5" s="74"/>
      <c r="ADM5" s="74"/>
      <c r="ADN5" s="74"/>
      <c r="ADO5" s="74"/>
      <c r="ADP5" s="74"/>
      <c r="ADQ5" s="74"/>
      <c r="ADR5" s="74"/>
      <c r="ADS5" s="74"/>
      <c r="ADT5" s="74"/>
      <c r="ADU5" s="74"/>
      <c r="ADV5" s="74"/>
      <c r="ADW5" s="74"/>
      <c r="ADX5" s="74"/>
      <c r="ADY5" s="74"/>
      <c r="ADZ5" s="74"/>
      <c r="AEA5" s="74"/>
      <c r="AEB5" s="74"/>
      <c r="AEC5" s="74"/>
      <c r="AED5" s="74"/>
      <c r="AEE5" s="74"/>
      <c r="AEF5" s="74"/>
      <c r="AEG5" s="74"/>
      <c r="AEH5" s="74"/>
      <c r="AEI5" s="74"/>
      <c r="AEJ5" s="74"/>
      <c r="AEK5" s="74"/>
      <c r="AEL5" s="74"/>
      <c r="AEM5" s="74"/>
      <c r="AEN5" s="74"/>
      <c r="AEO5" s="74"/>
      <c r="AEP5" s="74"/>
      <c r="AEQ5" s="74"/>
      <c r="AER5" s="74"/>
      <c r="AES5" s="74"/>
      <c r="AET5" s="74"/>
      <c r="AEU5" s="74"/>
      <c r="AEV5" s="74"/>
      <c r="AEW5" s="74"/>
      <c r="AEX5" s="74"/>
      <c r="AEY5" s="74"/>
      <c r="AEZ5" s="74"/>
      <c r="AFA5" s="74"/>
      <c r="AFB5" s="74"/>
      <c r="AFC5" s="74"/>
      <c r="AFD5" s="74"/>
      <c r="AFE5" s="74"/>
      <c r="AFF5" s="74"/>
      <c r="AFG5" s="74"/>
      <c r="AFH5" s="74"/>
      <c r="AFI5" s="74"/>
      <c r="AFJ5" s="74"/>
      <c r="AFK5" s="74"/>
      <c r="AFL5" s="74"/>
      <c r="AFM5" s="74"/>
      <c r="AFN5" s="74"/>
      <c r="AFO5" s="74"/>
      <c r="AFP5" s="74"/>
      <c r="AFQ5" s="74"/>
      <c r="AFR5" s="74"/>
      <c r="AFS5" s="74"/>
      <c r="AFT5" s="74"/>
      <c r="AFU5" s="74"/>
      <c r="AFV5" s="74"/>
      <c r="AFW5" s="74"/>
      <c r="AFX5" s="74"/>
      <c r="AFY5" s="74"/>
      <c r="AFZ5" s="74"/>
      <c r="AGA5" s="74"/>
      <c r="AGB5" s="74"/>
      <c r="AGC5" s="74"/>
      <c r="AGD5" s="74"/>
      <c r="AGE5" s="74"/>
      <c r="AGF5" s="74"/>
      <c r="AGG5" s="74"/>
      <c r="AGH5" s="74"/>
      <c r="AGI5" s="74"/>
      <c r="AGJ5" s="74"/>
      <c r="AGK5" s="74"/>
      <c r="AGL5" s="74"/>
      <c r="AGM5" s="74"/>
      <c r="AGN5" s="74"/>
      <c r="AGO5" s="74"/>
      <c r="AGP5" s="74"/>
      <c r="AGQ5" s="74"/>
      <c r="AGR5" s="74"/>
      <c r="AGS5" s="74"/>
      <c r="AGT5" s="74"/>
      <c r="AGU5" s="74"/>
      <c r="AGV5" s="74"/>
      <c r="AGW5" s="74"/>
      <c r="AGX5" s="74"/>
      <c r="AGY5" s="74"/>
      <c r="AGZ5" s="74"/>
      <c r="AHA5" s="74"/>
      <c r="AHB5" s="74"/>
      <c r="AHC5" s="74"/>
      <c r="AHD5" s="74"/>
      <c r="AHE5" s="74"/>
      <c r="AHF5" s="74"/>
      <c r="AHG5" s="74"/>
      <c r="AHH5" s="74"/>
      <c r="AHI5" s="74"/>
      <c r="AHJ5" s="74"/>
      <c r="AHK5" s="74"/>
      <c r="AHL5" s="74"/>
      <c r="AHM5" s="74"/>
      <c r="AHN5" s="74"/>
      <c r="AHO5" s="74"/>
      <c r="AHP5" s="74"/>
      <c r="AHQ5" s="74"/>
      <c r="AHR5" s="74"/>
      <c r="AHS5" s="74"/>
      <c r="AHT5" s="74"/>
      <c r="AHU5" s="74"/>
      <c r="AHV5" s="74"/>
      <c r="AHW5" s="74"/>
      <c r="AHX5" s="74"/>
      <c r="AHY5" s="74"/>
      <c r="AHZ5" s="74"/>
      <c r="AIA5" s="74"/>
      <c r="AIB5" s="74"/>
      <c r="AIC5" s="74"/>
      <c r="AID5" s="74"/>
      <c r="AIE5" s="74"/>
      <c r="AIF5" s="74"/>
      <c r="AIG5" s="74"/>
      <c r="AIH5" s="74"/>
      <c r="AII5" s="74"/>
      <c r="AIJ5" s="74"/>
      <c r="AIK5" s="74"/>
      <c r="AIL5" s="74"/>
      <c r="AIM5" s="74"/>
      <c r="AIN5" s="74"/>
      <c r="AIO5" s="74"/>
      <c r="AIP5" s="74"/>
      <c r="AIQ5" s="74"/>
      <c r="AIR5" s="74"/>
      <c r="AIS5" s="74"/>
      <c r="AIT5" s="74"/>
      <c r="AIU5" s="74"/>
      <c r="AIV5" s="74"/>
      <c r="AIW5" s="74"/>
      <c r="AIX5" s="74"/>
      <c r="AIY5" s="74"/>
      <c r="AIZ5" s="74"/>
      <c r="AJA5" s="74"/>
      <c r="AJB5" s="74"/>
      <c r="AJC5" s="74"/>
      <c r="AJD5" s="74"/>
      <c r="AJE5" s="74"/>
      <c r="AJF5" s="74"/>
      <c r="AJG5" s="74"/>
      <c r="AJH5" s="74"/>
      <c r="AJI5" s="74"/>
      <c r="AJJ5" s="74"/>
      <c r="AJK5" s="74"/>
      <c r="AJL5" s="74"/>
      <c r="AJM5" s="74"/>
      <c r="AJN5" s="74"/>
      <c r="AJO5" s="74"/>
      <c r="AJP5" s="74"/>
      <c r="AJQ5" s="74"/>
      <c r="AJR5" s="74"/>
      <c r="AJS5" s="74"/>
      <c r="AJT5" s="74"/>
      <c r="AJU5" s="74"/>
      <c r="AJV5" s="74"/>
      <c r="AJW5" s="74"/>
      <c r="AJX5" s="74"/>
      <c r="AJY5" s="74"/>
      <c r="AJZ5" s="74"/>
      <c r="AKA5" s="74"/>
      <c r="AKB5" s="74"/>
      <c r="AKC5" s="74"/>
      <c r="AKD5" s="74"/>
      <c r="AKE5" s="74"/>
      <c r="AKF5" s="74"/>
      <c r="AKG5" s="74"/>
      <c r="AKH5" s="74"/>
      <c r="AKI5" s="74"/>
      <c r="AKJ5" s="74"/>
      <c r="AKK5" s="74"/>
      <c r="AKL5" s="74"/>
      <c r="AKM5" s="74"/>
      <c r="AKN5" s="74"/>
      <c r="AKO5" s="74"/>
      <c r="AKP5" s="74"/>
      <c r="AKQ5" s="74"/>
      <c r="AKR5" s="74"/>
      <c r="AKS5" s="74"/>
      <c r="AKT5" s="74"/>
      <c r="AKU5" s="74"/>
      <c r="AKV5" s="74"/>
      <c r="AKW5" s="74"/>
      <c r="AKX5" s="74"/>
      <c r="AKY5" s="74"/>
      <c r="AKZ5" s="74"/>
      <c r="ALA5" s="74"/>
      <c r="ALB5" s="74"/>
      <c r="ALC5" s="74"/>
      <c r="ALD5" s="74"/>
      <c r="ALE5" s="74"/>
      <c r="ALF5" s="74"/>
      <c r="ALG5" s="74"/>
      <c r="ALH5" s="74"/>
      <c r="ALI5" s="74"/>
      <c r="ALJ5" s="74"/>
      <c r="ALK5" s="74"/>
      <c r="ALL5" s="74"/>
      <c r="ALM5" s="74"/>
      <c r="ALN5" s="74"/>
      <c r="ALO5" s="74"/>
      <c r="ALP5" s="74"/>
      <c r="ALQ5" s="74"/>
      <c r="ALR5" s="74"/>
      <c r="ALS5" s="74"/>
      <c r="ALT5" s="74"/>
      <c r="ALU5" s="74"/>
      <c r="ALV5" s="74"/>
      <c r="ALW5" s="74"/>
      <c r="ALX5" s="74"/>
      <c r="ALY5" s="74"/>
      <c r="ALZ5" s="74"/>
      <c r="AMA5" s="74"/>
      <c r="AMB5" s="74"/>
      <c r="AMC5" s="74"/>
      <c r="AMD5" s="74"/>
      <c r="AME5" s="74"/>
      <c r="AMF5" s="74"/>
      <c r="AMG5" s="74"/>
      <c r="AMH5" s="74"/>
      <c r="AMI5" s="74"/>
      <c r="AMJ5" s="74"/>
      <c r="AMK5" s="74"/>
      <c r="AML5" s="74"/>
      <c r="AMM5" s="74"/>
      <c r="AMN5" s="74"/>
      <c r="AMO5" s="74"/>
      <c r="AMP5" s="74"/>
      <c r="AMQ5" s="74"/>
      <c r="AMR5" s="74"/>
      <c r="AMS5" s="74"/>
      <c r="AMT5" s="74"/>
      <c r="AMU5" s="74"/>
      <c r="AMV5" s="74"/>
      <c r="AMW5" s="74"/>
      <c r="AMX5" s="74"/>
      <c r="AMY5" s="74"/>
      <c r="AMZ5" s="74"/>
      <c r="ANA5" s="74"/>
      <c r="ANB5" s="74"/>
      <c r="ANC5" s="74"/>
      <c r="AND5" s="74"/>
      <c r="ANE5" s="74"/>
      <c r="ANF5" s="74"/>
      <c r="ANG5" s="74"/>
      <c r="ANH5" s="74"/>
      <c r="ANI5" s="74"/>
      <c r="ANJ5" s="74"/>
      <c r="ANK5" s="74"/>
      <c r="ANL5" s="74"/>
      <c r="ANM5" s="74"/>
      <c r="ANN5" s="74"/>
      <c r="ANO5" s="74"/>
      <c r="ANP5" s="74"/>
      <c r="ANQ5" s="74"/>
      <c r="ANR5" s="74"/>
      <c r="ANS5" s="74"/>
      <c r="ANT5" s="74"/>
      <c r="ANU5" s="74"/>
      <c r="ANV5" s="74"/>
      <c r="ANW5" s="74"/>
      <c r="ANX5" s="74"/>
      <c r="ANY5" s="74"/>
      <c r="ANZ5" s="74"/>
      <c r="AOA5" s="74"/>
      <c r="AOB5" s="74"/>
      <c r="AOC5" s="74"/>
      <c r="AOD5" s="74"/>
      <c r="AOE5" s="74"/>
      <c r="AOF5" s="74"/>
      <c r="AOG5" s="74"/>
      <c r="AOH5" s="74"/>
      <c r="AOI5" s="74"/>
      <c r="AOJ5" s="74"/>
      <c r="AOK5" s="74"/>
      <c r="AOL5" s="74"/>
      <c r="AOM5" s="74"/>
      <c r="AON5" s="74"/>
      <c r="AOO5" s="74"/>
      <c r="AOP5" s="74"/>
      <c r="AOQ5" s="74"/>
      <c r="AOR5" s="74"/>
      <c r="AOS5" s="74"/>
      <c r="AOT5" s="74"/>
      <c r="AOU5" s="74"/>
      <c r="AOV5" s="74"/>
      <c r="AOW5" s="74"/>
      <c r="AOX5" s="74"/>
      <c r="AOY5" s="74"/>
      <c r="AOZ5" s="74"/>
      <c r="APA5" s="74"/>
      <c r="APB5" s="74"/>
      <c r="APC5" s="74"/>
      <c r="APD5" s="74"/>
      <c r="APE5" s="74"/>
      <c r="APF5" s="74"/>
      <c r="APG5" s="74"/>
      <c r="APH5" s="74"/>
      <c r="API5" s="74"/>
      <c r="APJ5" s="74"/>
      <c r="APK5" s="74"/>
      <c r="APL5" s="74"/>
      <c r="APM5" s="74"/>
      <c r="APN5" s="74"/>
      <c r="APO5" s="74"/>
      <c r="APP5" s="74"/>
      <c r="APQ5" s="74"/>
      <c r="APR5" s="74"/>
      <c r="APS5" s="74"/>
      <c r="APT5" s="74"/>
      <c r="APU5" s="74"/>
      <c r="APV5" s="74"/>
      <c r="APW5" s="74"/>
      <c r="APX5" s="74"/>
      <c r="APY5" s="74"/>
      <c r="APZ5" s="74"/>
      <c r="AQA5" s="74"/>
      <c r="AQB5" s="74"/>
      <c r="AQC5" s="74"/>
      <c r="AQD5" s="74"/>
      <c r="AQE5" s="74"/>
      <c r="AQF5" s="74"/>
      <c r="AQG5" s="74"/>
      <c r="AQH5" s="74"/>
      <c r="AQI5" s="74"/>
      <c r="AQJ5" s="74"/>
      <c r="AQK5" s="74"/>
      <c r="AQL5" s="74"/>
      <c r="AQM5" s="74"/>
      <c r="AQN5" s="74"/>
      <c r="AQO5" s="74"/>
      <c r="AQP5" s="74"/>
      <c r="AQQ5" s="74"/>
      <c r="AQR5" s="74"/>
      <c r="AQS5" s="74"/>
      <c r="AQT5" s="74"/>
      <c r="AQU5" s="74"/>
      <c r="AQV5" s="74"/>
      <c r="AQW5" s="74"/>
      <c r="AQX5" s="74"/>
      <c r="AQY5" s="74"/>
      <c r="AQZ5" s="74"/>
      <c r="ARA5" s="74"/>
      <c r="ARB5" s="74"/>
      <c r="ARC5" s="74"/>
      <c r="ARD5" s="74"/>
      <c r="ARE5" s="74"/>
      <c r="ARF5" s="74"/>
      <c r="ARG5" s="74"/>
      <c r="ARH5" s="74"/>
      <c r="ARI5" s="74"/>
      <c r="ARJ5" s="74"/>
      <c r="ARK5" s="74"/>
      <c r="ARL5" s="74"/>
      <c r="ARM5" s="74"/>
      <c r="ARN5" s="74"/>
      <c r="ARO5" s="74"/>
      <c r="ARP5" s="74"/>
      <c r="ARQ5" s="74"/>
      <c r="ARR5" s="74"/>
      <c r="ARS5" s="74"/>
      <c r="ART5" s="74"/>
      <c r="ARU5" s="74"/>
      <c r="ARV5" s="74"/>
      <c r="ARW5" s="74"/>
      <c r="ARX5" s="74"/>
      <c r="ARY5" s="74"/>
      <c r="ARZ5" s="74"/>
      <c r="ASA5" s="74"/>
      <c r="ASB5" s="74"/>
      <c r="ASC5" s="74"/>
      <c r="ASD5" s="74"/>
      <c r="ASE5" s="74"/>
      <c r="ASF5" s="74"/>
      <c r="ASG5" s="74"/>
      <c r="ASH5" s="74"/>
      <c r="ASI5" s="74"/>
      <c r="ASJ5" s="74"/>
      <c r="ASK5" s="74"/>
      <c r="ASL5" s="74"/>
      <c r="ASM5" s="74"/>
      <c r="ASN5" s="74"/>
      <c r="ASO5" s="74"/>
      <c r="ASP5" s="74"/>
      <c r="ASQ5" s="74"/>
      <c r="ASR5" s="74"/>
      <c r="ASS5" s="74"/>
      <c r="AST5" s="74"/>
      <c r="ASU5" s="74"/>
      <c r="ASV5" s="74"/>
      <c r="ASW5" s="74"/>
      <c r="ASX5" s="74"/>
      <c r="ASY5" s="74"/>
      <c r="ASZ5" s="74"/>
      <c r="ATA5" s="74"/>
      <c r="ATB5" s="74"/>
      <c r="ATC5" s="74"/>
      <c r="ATD5" s="74"/>
      <c r="ATE5" s="74"/>
      <c r="ATF5" s="74"/>
      <c r="ATG5" s="74"/>
      <c r="ATH5" s="74"/>
      <c r="ATI5" s="74"/>
      <c r="ATJ5" s="74"/>
      <c r="ATK5" s="74"/>
      <c r="ATL5" s="74"/>
      <c r="ATM5" s="74"/>
      <c r="ATN5" s="74"/>
      <c r="ATO5" s="74"/>
      <c r="ATP5" s="74"/>
      <c r="ATQ5" s="74"/>
      <c r="ATR5" s="74"/>
      <c r="ATS5" s="74"/>
      <c r="ATT5" s="74"/>
      <c r="ATU5" s="74"/>
      <c r="ATV5" s="74"/>
      <c r="ATW5" s="74"/>
      <c r="ATX5" s="74"/>
      <c r="ATY5" s="74"/>
      <c r="ATZ5" s="74"/>
      <c r="AUA5" s="74"/>
      <c r="AUB5" s="74"/>
      <c r="AUC5" s="74"/>
      <c r="AUD5" s="74"/>
      <c r="AUE5" s="74"/>
      <c r="AUF5" s="74"/>
      <c r="AUG5" s="74"/>
      <c r="AUH5" s="74"/>
      <c r="AUI5" s="74"/>
      <c r="AUJ5" s="74"/>
      <c r="AUK5" s="74"/>
      <c r="AUL5" s="74"/>
      <c r="AUM5" s="74"/>
      <c r="AUN5" s="74"/>
      <c r="AUO5" s="74"/>
      <c r="AUP5" s="74"/>
      <c r="AUQ5" s="74"/>
      <c r="AUR5" s="74"/>
      <c r="AUS5" s="74"/>
      <c r="AUT5" s="74"/>
      <c r="AUU5" s="74"/>
      <c r="AUV5" s="74"/>
      <c r="AUW5" s="74"/>
      <c r="AUX5" s="74"/>
      <c r="AUY5" s="74"/>
      <c r="AUZ5" s="74"/>
      <c r="AVA5" s="74"/>
      <c r="AVB5" s="74"/>
      <c r="AVC5" s="74"/>
      <c r="AVD5" s="74"/>
      <c r="AVE5" s="74"/>
      <c r="AVF5" s="74"/>
      <c r="AVG5" s="74"/>
      <c r="AVH5" s="74"/>
      <c r="AVI5" s="74"/>
      <c r="AVJ5" s="74"/>
      <c r="AVK5" s="74"/>
      <c r="AVL5" s="74"/>
      <c r="AVM5" s="74"/>
      <c r="AVN5" s="74"/>
      <c r="AVO5" s="74"/>
      <c r="AVP5" s="74"/>
      <c r="AVQ5" s="74"/>
      <c r="AVR5" s="74"/>
      <c r="AVS5" s="74"/>
      <c r="AVT5" s="74"/>
      <c r="AVU5" s="74"/>
      <c r="AVV5" s="74"/>
      <c r="AVW5" s="74"/>
      <c r="AVX5" s="74"/>
      <c r="AVY5" s="74"/>
      <c r="AVZ5" s="74"/>
      <c r="AWA5" s="74"/>
      <c r="AWB5" s="74"/>
      <c r="AWC5" s="74"/>
      <c r="AWD5" s="74"/>
      <c r="AWE5" s="74"/>
      <c r="AWF5" s="74"/>
      <c r="AWG5" s="74"/>
      <c r="AWH5" s="74"/>
      <c r="AWI5" s="74"/>
      <c r="AWJ5" s="74"/>
      <c r="AWK5" s="74"/>
      <c r="AWL5" s="74"/>
      <c r="AWM5" s="74"/>
      <c r="AWN5" s="74"/>
      <c r="AWO5" s="74"/>
      <c r="AWP5" s="74"/>
      <c r="AWQ5" s="74"/>
      <c r="AWR5" s="74"/>
      <c r="AWS5" s="74"/>
      <c r="AWT5" s="74"/>
      <c r="AWU5" s="74"/>
      <c r="AWV5" s="74"/>
      <c r="AWW5" s="74"/>
      <c r="AWX5" s="74"/>
      <c r="AWY5" s="74"/>
      <c r="AWZ5" s="74"/>
      <c r="AXA5" s="74"/>
      <c r="AXB5" s="74"/>
      <c r="AXC5" s="74"/>
      <c r="AXD5" s="74"/>
      <c r="AXE5" s="74"/>
      <c r="AXF5" s="74"/>
      <c r="AXG5" s="74"/>
      <c r="AXH5" s="74"/>
      <c r="AXI5" s="74"/>
      <c r="AXJ5" s="74"/>
      <c r="AXK5" s="74"/>
      <c r="AXL5" s="74"/>
      <c r="AXM5" s="74"/>
      <c r="AXN5" s="74"/>
      <c r="AXO5" s="74"/>
      <c r="AXP5" s="74"/>
      <c r="AXQ5" s="74"/>
      <c r="AXR5" s="74"/>
      <c r="AXS5" s="74"/>
      <c r="AXT5" s="74"/>
      <c r="AXU5" s="74"/>
      <c r="AXV5" s="74"/>
      <c r="AXW5" s="74"/>
      <c r="AXX5" s="74"/>
      <c r="AXY5" s="74"/>
      <c r="AXZ5" s="74"/>
      <c r="AYA5" s="74"/>
      <c r="AYB5" s="74"/>
      <c r="AYC5" s="74"/>
      <c r="AYD5" s="74"/>
      <c r="AYE5" s="74"/>
      <c r="AYF5" s="74"/>
      <c r="AYG5" s="74"/>
      <c r="AYH5" s="74"/>
      <c r="AYI5" s="74"/>
      <c r="AYJ5" s="74"/>
      <c r="AYK5" s="74"/>
      <c r="AYL5" s="74"/>
      <c r="AYM5" s="74"/>
      <c r="AYN5" s="74"/>
      <c r="AYO5" s="74"/>
      <c r="AYP5" s="74"/>
      <c r="AYQ5" s="74"/>
      <c r="AYR5" s="74"/>
      <c r="AYS5" s="74"/>
      <c r="AYT5" s="74"/>
      <c r="AYU5" s="74"/>
      <c r="AYV5" s="74"/>
      <c r="AYW5" s="74"/>
      <c r="AYX5" s="74"/>
      <c r="AYY5" s="74"/>
      <c r="AYZ5" s="74"/>
      <c r="AZA5" s="74"/>
      <c r="AZB5" s="74"/>
      <c r="AZC5" s="74"/>
      <c r="AZD5" s="74"/>
      <c r="AZE5" s="74"/>
      <c r="AZF5" s="74"/>
      <c r="AZG5" s="74"/>
      <c r="AZH5" s="74"/>
      <c r="AZI5" s="74"/>
      <c r="AZJ5" s="74"/>
      <c r="AZK5" s="74"/>
      <c r="AZL5" s="74"/>
      <c r="AZM5" s="74"/>
      <c r="AZN5" s="74"/>
      <c r="AZO5" s="74"/>
      <c r="AZP5" s="74"/>
      <c r="AZQ5" s="74"/>
      <c r="AZR5" s="74"/>
      <c r="AZS5" s="74"/>
      <c r="AZT5" s="74"/>
      <c r="AZU5" s="74"/>
      <c r="AZV5" s="74"/>
      <c r="AZW5" s="74"/>
      <c r="AZX5" s="74"/>
      <c r="AZY5" s="74"/>
      <c r="AZZ5" s="74"/>
      <c r="BAA5" s="74"/>
      <c r="BAB5" s="74"/>
      <c r="BAC5" s="74"/>
      <c r="BAD5" s="74"/>
      <c r="BAE5" s="74"/>
      <c r="BAF5" s="74"/>
      <c r="BAG5" s="74"/>
      <c r="BAH5" s="74"/>
      <c r="BAI5" s="74"/>
      <c r="BAJ5" s="74"/>
      <c r="BAK5" s="74"/>
      <c r="BAL5" s="74"/>
      <c r="BAM5" s="74"/>
      <c r="BAN5" s="74"/>
      <c r="BAO5" s="74"/>
      <c r="BAP5" s="74"/>
      <c r="BAQ5" s="74"/>
      <c r="BAR5" s="74"/>
      <c r="BAS5" s="74"/>
      <c r="BAT5" s="74"/>
      <c r="BAU5" s="74"/>
      <c r="BAV5" s="74"/>
      <c r="BAW5" s="74"/>
      <c r="BAX5" s="74"/>
      <c r="BAY5" s="74"/>
      <c r="BAZ5" s="74"/>
      <c r="BBA5" s="74"/>
      <c r="BBB5" s="74"/>
      <c r="BBC5" s="74"/>
      <c r="BBD5" s="74"/>
      <c r="BBE5" s="74"/>
      <c r="BBF5" s="74"/>
      <c r="BBG5" s="74"/>
      <c r="BBH5" s="74"/>
      <c r="BBI5" s="74"/>
      <c r="BBJ5" s="74"/>
      <c r="BBK5" s="74"/>
      <c r="BBL5" s="74"/>
      <c r="BBM5" s="74"/>
      <c r="BBN5" s="74"/>
      <c r="BBO5" s="74"/>
      <c r="BBP5" s="74"/>
      <c r="BBQ5" s="74"/>
      <c r="BBR5" s="74"/>
      <c r="BBS5" s="74"/>
      <c r="BBT5" s="74"/>
      <c r="BBU5" s="74"/>
      <c r="BBV5" s="74"/>
      <c r="BBW5" s="74"/>
      <c r="BBX5" s="74"/>
      <c r="BBY5" s="74"/>
      <c r="BBZ5" s="74"/>
      <c r="BCA5" s="74"/>
      <c r="BCB5" s="74"/>
      <c r="BCC5" s="74"/>
      <c r="BCD5" s="74"/>
      <c r="BCE5" s="74"/>
      <c r="BCF5" s="74"/>
      <c r="BCG5" s="74"/>
      <c r="BCH5" s="74"/>
      <c r="BCI5" s="74"/>
      <c r="BCJ5" s="74"/>
      <c r="BCK5" s="74"/>
      <c r="BCL5" s="74"/>
      <c r="BCM5" s="74"/>
      <c r="BCN5" s="74"/>
      <c r="BCO5" s="74"/>
      <c r="BCP5" s="74"/>
      <c r="BCQ5" s="74"/>
      <c r="BCR5" s="74"/>
      <c r="BCS5" s="74"/>
      <c r="BCT5" s="74"/>
      <c r="BCU5" s="74"/>
      <c r="BCV5" s="74"/>
      <c r="BCW5" s="74"/>
      <c r="BCX5" s="74"/>
      <c r="BCY5" s="74"/>
      <c r="BCZ5" s="74"/>
      <c r="BDA5" s="74"/>
      <c r="BDB5" s="74"/>
      <c r="BDC5" s="74"/>
      <c r="BDD5" s="74"/>
      <c r="BDE5" s="74"/>
      <c r="BDF5" s="74"/>
      <c r="BDG5" s="74"/>
      <c r="BDH5" s="74"/>
      <c r="BDI5" s="74"/>
      <c r="BDJ5" s="74"/>
      <c r="BDK5" s="74"/>
      <c r="BDL5" s="74"/>
      <c r="BDM5" s="74"/>
      <c r="BDN5" s="74"/>
      <c r="BDO5" s="74"/>
      <c r="BDP5" s="74"/>
      <c r="BDQ5" s="74"/>
      <c r="BDR5" s="74"/>
      <c r="BDS5" s="74"/>
      <c r="BDT5" s="74"/>
      <c r="BDU5" s="74"/>
      <c r="BDV5" s="74"/>
      <c r="BDW5" s="74"/>
      <c r="BDX5" s="74"/>
      <c r="BDY5" s="74"/>
      <c r="BDZ5" s="74"/>
      <c r="BEA5" s="74"/>
      <c r="BEB5" s="74"/>
      <c r="BEC5" s="74"/>
      <c r="BED5" s="74"/>
      <c r="BEE5" s="74"/>
      <c r="BEF5" s="74"/>
      <c r="BEG5" s="74"/>
      <c r="BEH5" s="74"/>
      <c r="BEI5" s="74"/>
      <c r="BEJ5" s="74"/>
      <c r="BEK5" s="74"/>
      <c r="BEL5" s="74"/>
      <c r="BEM5" s="74"/>
      <c r="BEN5" s="74"/>
      <c r="BEO5" s="74"/>
      <c r="BEP5" s="74"/>
      <c r="BEQ5" s="74"/>
      <c r="BER5" s="74"/>
      <c r="BES5" s="74"/>
      <c r="BET5" s="74"/>
      <c r="BEU5" s="74"/>
      <c r="BEV5" s="74"/>
      <c r="BEW5" s="74"/>
      <c r="BEX5" s="74"/>
      <c r="BEY5" s="74"/>
      <c r="BEZ5" s="74"/>
      <c r="BFA5" s="74"/>
      <c r="BFB5" s="74"/>
      <c r="BFC5" s="74"/>
      <c r="BFD5" s="74"/>
      <c r="BFE5" s="74"/>
      <c r="BFF5" s="74"/>
      <c r="BFG5" s="74"/>
      <c r="BFH5" s="74"/>
      <c r="BFI5" s="74"/>
      <c r="BFJ5" s="74"/>
      <c r="BFK5" s="74"/>
      <c r="BFL5" s="74"/>
      <c r="BFM5" s="74"/>
      <c r="BFN5" s="74"/>
      <c r="BFO5" s="74"/>
      <c r="BFP5" s="74"/>
      <c r="BFQ5" s="74"/>
      <c r="BFR5" s="74"/>
      <c r="BFS5" s="74"/>
      <c r="BFT5" s="74"/>
      <c r="BFU5" s="74"/>
      <c r="BFV5" s="74"/>
      <c r="BFW5" s="74"/>
      <c r="BFX5" s="74"/>
      <c r="BFY5" s="74"/>
      <c r="BFZ5" s="74"/>
      <c r="BGA5" s="74"/>
      <c r="BGB5" s="74"/>
      <c r="BGC5" s="74"/>
      <c r="BGD5" s="74"/>
      <c r="BGE5" s="74"/>
      <c r="BGF5" s="74"/>
      <c r="BGG5" s="74"/>
      <c r="BGH5" s="74"/>
      <c r="BGI5" s="74"/>
      <c r="BGJ5" s="74"/>
      <c r="BGK5" s="74"/>
      <c r="BGL5" s="74"/>
      <c r="BGM5" s="74"/>
      <c r="BGN5" s="74"/>
      <c r="BGO5" s="74"/>
      <c r="BGP5" s="74"/>
      <c r="BGQ5" s="74"/>
      <c r="BGR5" s="74"/>
      <c r="BGS5" s="74"/>
      <c r="BGT5" s="74"/>
      <c r="BGU5" s="74"/>
      <c r="BGV5" s="74"/>
      <c r="BGW5" s="74"/>
      <c r="BGX5" s="74"/>
      <c r="BGY5" s="74"/>
      <c r="BGZ5" s="74"/>
      <c r="BHA5" s="74"/>
      <c r="BHB5" s="74"/>
      <c r="BHC5" s="74"/>
      <c r="BHD5" s="74"/>
      <c r="BHE5" s="74"/>
      <c r="BHF5" s="74"/>
      <c r="BHG5" s="74"/>
      <c r="BHH5" s="74"/>
      <c r="BHI5" s="74"/>
      <c r="BHJ5" s="74"/>
      <c r="BHK5" s="74"/>
      <c r="BHL5" s="74"/>
      <c r="BHM5" s="74"/>
      <c r="BHN5" s="74"/>
      <c r="BHO5" s="74"/>
      <c r="BHP5" s="74"/>
      <c r="BHQ5" s="74"/>
      <c r="BHR5" s="74"/>
      <c r="BHS5" s="74"/>
      <c r="BHT5" s="74"/>
      <c r="BHU5" s="74"/>
      <c r="BHV5" s="74"/>
      <c r="BHW5" s="74"/>
      <c r="BHX5" s="74"/>
      <c r="BHY5" s="74"/>
      <c r="BHZ5" s="74"/>
      <c r="BIA5" s="74"/>
      <c r="BIB5" s="74"/>
      <c r="BIC5" s="74"/>
      <c r="BID5" s="74"/>
      <c r="BIE5" s="74"/>
      <c r="BIF5" s="74"/>
      <c r="BIG5" s="74"/>
      <c r="BIH5" s="74"/>
      <c r="BII5" s="74"/>
      <c r="BIJ5" s="74"/>
      <c r="BIK5" s="74"/>
      <c r="BIL5" s="74"/>
      <c r="BIM5" s="74"/>
      <c r="BIN5" s="74"/>
      <c r="BIO5" s="74"/>
      <c r="BIP5" s="74"/>
      <c r="BIQ5" s="74"/>
      <c r="BIR5" s="74"/>
      <c r="BIS5" s="74"/>
      <c r="BIT5" s="74"/>
      <c r="BIU5" s="74"/>
      <c r="BIV5" s="74"/>
      <c r="BIW5" s="74"/>
      <c r="BIX5" s="74"/>
      <c r="BIY5" s="74"/>
      <c r="BIZ5" s="74"/>
      <c r="BJA5" s="74"/>
      <c r="BJB5" s="74"/>
      <c r="BJC5" s="74"/>
      <c r="BJD5" s="74"/>
      <c r="BJE5" s="74"/>
      <c r="BJF5" s="74"/>
      <c r="BJG5" s="74"/>
      <c r="BJH5" s="74"/>
      <c r="BJI5" s="74"/>
      <c r="BJJ5" s="74"/>
      <c r="BJK5" s="74"/>
      <c r="BJL5" s="74"/>
      <c r="BJM5" s="74"/>
      <c r="BJN5" s="74"/>
      <c r="BJO5" s="74"/>
      <c r="BJP5" s="74"/>
      <c r="BJQ5" s="74"/>
      <c r="BJR5" s="74"/>
      <c r="BJS5" s="74"/>
      <c r="BJT5" s="74"/>
      <c r="BJU5" s="74"/>
      <c r="BJV5" s="74"/>
      <c r="BJW5" s="74"/>
      <c r="BJX5" s="74"/>
      <c r="BJY5" s="74"/>
      <c r="BJZ5" s="74"/>
      <c r="BKA5" s="74"/>
      <c r="BKB5" s="74"/>
      <c r="BKC5" s="74"/>
      <c r="BKD5" s="74"/>
      <c r="BKE5" s="74"/>
      <c r="BKF5" s="74"/>
      <c r="BKG5" s="74"/>
      <c r="BKH5" s="74"/>
      <c r="BKI5" s="74"/>
      <c r="BKJ5" s="74"/>
      <c r="BKK5" s="74"/>
      <c r="BKL5" s="74"/>
      <c r="BKM5" s="74"/>
      <c r="BKN5" s="74"/>
      <c r="BKO5" s="74"/>
      <c r="BKP5" s="74"/>
      <c r="BKQ5" s="74"/>
      <c r="BKR5" s="74"/>
      <c r="BKS5" s="74"/>
      <c r="BKT5" s="74"/>
      <c r="BKU5" s="74"/>
      <c r="BKV5" s="74"/>
      <c r="BKW5" s="74"/>
      <c r="BKX5" s="74"/>
      <c r="BKY5" s="74"/>
      <c r="BKZ5" s="74"/>
      <c r="BLA5" s="74"/>
      <c r="BLB5" s="74"/>
      <c r="BLC5" s="74"/>
      <c r="BLD5" s="74"/>
      <c r="BLE5" s="74"/>
      <c r="BLF5" s="74"/>
      <c r="BLG5" s="74"/>
      <c r="BLH5" s="74"/>
      <c r="BLI5" s="74"/>
      <c r="BLJ5" s="74"/>
      <c r="BLK5" s="74"/>
      <c r="BLL5" s="74"/>
      <c r="BLM5" s="74"/>
      <c r="BLN5" s="74"/>
      <c r="BLO5" s="74"/>
      <c r="BLP5" s="74"/>
      <c r="BLQ5" s="74"/>
      <c r="BLR5" s="74"/>
      <c r="BLS5" s="74"/>
      <c r="BLT5" s="74"/>
      <c r="BLU5" s="74"/>
      <c r="BLV5" s="74"/>
      <c r="BLW5" s="74"/>
      <c r="BLX5" s="74"/>
      <c r="BLY5" s="74"/>
      <c r="BLZ5" s="74"/>
      <c r="BMA5" s="74"/>
      <c r="BMB5" s="74"/>
      <c r="BMC5" s="74"/>
      <c r="BMD5" s="74"/>
      <c r="BME5" s="74"/>
      <c r="BMF5" s="74"/>
      <c r="BMG5" s="74"/>
      <c r="BMH5" s="74"/>
      <c r="BMI5" s="74"/>
      <c r="BMJ5" s="74"/>
      <c r="BMK5" s="74"/>
      <c r="BML5" s="74"/>
      <c r="BMM5" s="74"/>
      <c r="BMN5" s="74"/>
      <c r="BMO5" s="74"/>
      <c r="BMP5" s="74"/>
      <c r="BMQ5" s="74"/>
      <c r="BMR5" s="74"/>
      <c r="BMS5" s="74"/>
      <c r="BMT5" s="74"/>
      <c r="BMU5" s="74"/>
      <c r="BMV5" s="74"/>
      <c r="BMW5" s="74"/>
      <c r="BMX5" s="74"/>
      <c r="BMY5" s="74"/>
      <c r="BMZ5" s="74"/>
      <c r="BNA5" s="74"/>
      <c r="BNB5" s="74"/>
      <c r="BNC5" s="74"/>
      <c r="BND5" s="74"/>
      <c r="BNE5" s="74"/>
      <c r="BNF5" s="74"/>
      <c r="BNG5" s="74"/>
      <c r="BNH5" s="74"/>
      <c r="BNI5" s="74"/>
      <c r="BNJ5" s="74"/>
      <c r="BNK5" s="74"/>
      <c r="BNL5" s="74"/>
      <c r="BNM5" s="74"/>
      <c r="BNN5" s="74"/>
      <c r="BNO5" s="74"/>
      <c r="BNP5" s="74"/>
      <c r="BNQ5" s="74"/>
      <c r="BNR5" s="74"/>
      <c r="BNS5" s="74"/>
      <c r="BNT5" s="74"/>
      <c r="BNU5" s="74"/>
      <c r="BNV5" s="74"/>
      <c r="BNW5" s="74"/>
      <c r="BNX5" s="74"/>
      <c r="BNY5" s="74"/>
      <c r="BNZ5" s="74"/>
      <c r="BOA5" s="74"/>
      <c r="BOB5" s="74"/>
      <c r="BOC5" s="74"/>
      <c r="BOD5" s="74"/>
      <c r="BOE5" s="74"/>
      <c r="BOF5" s="74"/>
      <c r="BOG5" s="74"/>
      <c r="BOH5" s="74"/>
      <c r="BOI5" s="74"/>
      <c r="BOJ5" s="74"/>
      <c r="BOK5" s="74"/>
      <c r="BOL5" s="74"/>
      <c r="BOM5" s="74"/>
      <c r="BON5" s="74"/>
      <c r="BOO5" s="74"/>
      <c r="BOP5" s="74"/>
      <c r="BOQ5" s="74"/>
      <c r="BOR5" s="74"/>
      <c r="BOS5" s="74"/>
      <c r="BOT5" s="74"/>
      <c r="BOU5" s="74"/>
      <c r="BOV5" s="74"/>
      <c r="BOW5" s="74"/>
      <c r="BOX5" s="74"/>
      <c r="BOY5" s="74"/>
      <c r="BOZ5" s="74"/>
      <c r="BPA5" s="74"/>
      <c r="BPB5" s="74"/>
      <c r="BPC5" s="74"/>
      <c r="BPD5" s="74"/>
      <c r="BPE5" s="74"/>
      <c r="BPF5" s="74"/>
      <c r="BPG5" s="74"/>
      <c r="BPH5" s="74"/>
      <c r="BPI5" s="74"/>
      <c r="BPJ5" s="74"/>
      <c r="BPK5" s="74"/>
      <c r="BPL5" s="74"/>
      <c r="BPM5" s="74"/>
      <c r="BPN5" s="74"/>
      <c r="BPO5" s="74"/>
      <c r="BPP5" s="74"/>
      <c r="BPQ5" s="74"/>
      <c r="BPR5" s="74"/>
      <c r="BPS5" s="74"/>
      <c r="BPT5" s="74"/>
      <c r="BPU5" s="74"/>
      <c r="BPV5" s="74"/>
      <c r="BPW5" s="74"/>
      <c r="BPX5" s="74"/>
      <c r="BPY5" s="74"/>
      <c r="BPZ5" s="74"/>
      <c r="BQA5" s="74"/>
      <c r="BQB5" s="74"/>
      <c r="BQC5" s="74"/>
      <c r="BQD5" s="74"/>
      <c r="BQE5" s="74"/>
      <c r="BQF5" s="74"/>
      <c r="BQG5" s="74"/>
      <c r="BQH5" s="74"/>
      <c r="BQI5" s="74"/>
      <c r="BQJ5" s="74"/>
      <c r="BQK5" s="74"/>
      <c r="BQL5" s="74"/>
      <c r="BQM5" s="74"/>
      <c r="BQN5" s="74"/>
      <c r="BQO5" s="74"/>
      <c r="BQP5" s="74"/>
      <c r="BQQ5" s="74"/>
      <c r="BQR5" s="74"/>
      <c r="BQS5" s="74"/>
      <c r="BQT5" s="74"/>
      <c r="BQU5" s="74"/>
      <c r="BQV5" s="74"/>
      <c r="BQW5" s="74"/>
      <c r="BQX5" s="74"/>
      <c r="BQY5" s="74"/>
      <c r="BQZ5" s="74"/>
      <c r="BRA5" s="74"/>
      <c r="BRB5" s="74"/>
      <c r="BRC5" s="74"/>
      <c r="BRD5" s="74"/>
      <c r="BRE5" s="74"/>
      <c r="BRF5" s="74"/>
      <c r="BRG5" s="74"/>
      <c r="BRH5" s="74"/>
      <c r="BRI5" s="74"/>
      <c r="BRJ5" s="74"/>
      <c r="BRK5" s="74"/>
      <c r="BRL5" s="74"/>
      <c r="BRM5" s="74"/>
      <c r="BRN5" s="74"/>
      <c r="BRO5" s="74"/>
      <c r="BRP5" s="74"/>
      <c r="BRQ5" s="74"/>
      <c r="BRR5" s="74"/>
      <c r="BRS5" s="74"/>
      <c r="BRT5" s="74"/>
      <c r="BRU5" s="74"/>
      <c r="BRV5" s="74"/>
      <c r="BRW5" s="74"/>
      <c r="BRX5" s="74"/>
      <c r="BRY5" s="74"/>
      <c r="BRZ5" s="74"/>
      <c r="BSA5" s="74"/>
      <c r="BSB5" s="74"/>
      <c r="BSC5" s="74"/>
      <c r="BSD5" s="74"/>
      <c r="BSE5" s="74"/>
      <c r="BSF5" s="74"/>
      <c r="BSG5" s="74"/>
      <c r="BSH5" s="74"/>
      <c r="BSI5" s="74"/>
      <c r="BSJ5" s="74"/>
      <c r="BSK5" s="74"/>
      <c r="BSL5" s="74"/>
      <c r="BSM5" s="74"/>
      <c r="BSN5" s="74"/>
      <c r="BSO5" s="74"/>
      <c r="BSP5" s="74"/>
      <c r="BSQ5" s="74"/>
      <c r="BSR5" s="74"/>
      <c r="BSS5" s="74"/>
      <c r="BST5" s="74"/>
      <c r="BSU5" s="74"/>
      <c r="BSV5" s="74"/>
      <c r="BSW5" s="74"/>
      <c r="BSX5" s="74"/>
      <c r="BSY5" s="74"/>
      <c r="BSZ5" s="74"/>
      <c r="BTA5" s="74"/>
      <c r="BTB5" s="74"/>
      <c r="BTC5" s="74"/>
      <c r="BTD5" s="74"/>
      <c r="BTE5" s="74"/>
      <c r="BTF5" s="74"/>
      <c r="BTG5" s="74"/>
      <c r="BTH5" s="74"/>
      <c r="BTI5" s="74"/>
      <c r="BTJ5" s="74"/>
      <c r="BTK5" s="74"/>
      <c r="BTL5" s="74"/>
      <c r="BTM5" s="74"/>
      <c r="BTN5" s="74"/>
      <c r="BTO5" s="74"/>
      <c r="BTP5" s="74"/>
      <c r="BTQ5" s="74"/>
      <c r="BTR5" s="74"/>
      <c r="BTS5" s="74"/>
      <c r="BTT5" s="74"/>
      <c r="BTU5" s="74"/>
      <c r="BTV5" s="74"/>
      <c r="BTW5" s="74"/>
      <c r="BTX5" s="74"/>
      <c r="BTY5" s="74"/>
      <c r="BTZ5" s="74"/>
      <c r="BUA5" s="74"/>
      <c r="BUB5" s="74"/>
      <c r="BUC5" s="74"/>
      <c r="BUD5" s="74"/>
      <c r="BUE5" s="74"/>
      <c r="BUF5" s="74"/>
      <c r="BUG5" s="74"/>
      <c r="BUH5" s="74"/>
      <c r="BUI5" s="74"/>
      <c r="BUJ5" s="74"/>
      <c r="BUK5" s="74"/>
      <c r="BUL5" s="74"/>
      <c r="BUM5" s="74"/>
      <c r="BUN5" s="74"/>
      <c r="BUO5" s="74"/>
      <c r="BUP5" s="74"/>
      <c r="BUQ5" s="74"/>
      <c r="BUR5" s="74"/>
      <c r="BUS5" s="74"/>
      <c r="BUT5" s="74"/>
      <c r="BUU5" s="74"/>
      <c r="BUV5" s="74"/>
      <c r="BUW5" s="74"/>
      <c r="BUX5" s="74"/>
      <c r="BUY5" s="74"/>
      <c r="BUZ5" s="74"/>
      <c r="BVA5" s="74"/>
      <c r="BVB5" s="74"/>
      <c r="BVC5" s="74"/>
      <c r="BVD5" s="74"/>
      <c r="BVE5" s="74"/>
      <c r="BVF5" s="74"/>
      <c r="BVG5" s="74"/>
      <c r="BVH5" s="74"/>
      <c r="BVI5" s="74"/>
      <c r="BVJ5" s="74"/>
      <c r="BVK5" s="74"/>
      <c r="BVL5" s="74"/>
      <c r="BVM5" s="74"/>
      <c r="BVN5" s="74"/>
      <c r="BVO5" s="74"/>
      <c r="BVP5" s="74"/>
      <c r="BVQ5" s="74"/>
      <c r="BVR5" s="74"/>
      <c r="BVS5" s="74"/>
      <c r="BVT5" s="74"/>
      <c r="BVU5" s="74"/>
      <c r="BVV5" s="74"/>
      <c r="BVW5" s="74"/>
      <c r="BVX5" s="74"/>
      <c r="BVY5" s="74"/>
      <c r="BVZ5" s="74"/>
      <c r="BWA5" s="74"/>
      <c r="BWB5" s="74"/>
      <c r="BWC5" s="74"/>
      <c r="BWD5" s="74"/>
      <c r="BWE5" s="74"/>
      <c r="BWF5" s="74"/>
      <c r="BWG5" s="74"/>
      <c r="BWH5" s="74"/>
      <c r="BWI5" s="74"/>
      <c r="BWJ5" s="74"/>
      <c r="BWK5" s="74"/>
      <c r="BWL5" s="74"/>
      <c r="BWM5" s="74"/>
      <c r="BWN5" s="74"/>
      <c r="BWO5" s="74"/>
      <c r="BWP5" s="74"/>
      <c r="BWQ5" s="74"/>
      <c r="BWR5" s="74"/>
      <c r="BWS5" s="74"/>
      <c r="BWT5" s="74"/>
      <c r="BWU5" s="74"/>
      <c r="BWV5" s="74"/>
      <c r="BWW5" s="74"/>
      <c r="BWX5" s="74"/>
      <c r="BWY5" s="74"/>
      <c r="BWZ5" s="74"/>
      <c r="BXA5" s="74"/>
      <c r="BXB5" s="74"/>
      <c r="BXC5" s="74"/>
      <c r="BXD5" s="74"/>
      <c r="BXE5" s="74"/>
      <c r="BXF5" s="74"/>
      <c r="BXG5" s="74"/>
      <c r="BXH5" s="74"/>
      <c r="BXI5" s="74"/>
      <c r="BXJ5" s="74"/>
      <c r="BXK5" s="74"/>
      <c r="BXL5" s="74"/>
      <c r="BXM5" s="74"/>
      <c r="BXN5" s="74"/>
      <c r="BXO5" s="74"/>
      <c r="BXP5" s="74"/>
      <c r="BXQ5" s="74"/>
      <c r="BXR5" s="74"/>
      <c r="BXS5" s="74"/>
      <c r="BXT5" s="74"/>
      <c r="BXU5" s="74"/>
      <c r="BXV5" s="74"/>
      <c r="BXW5" s="74"/>
      <c r="BXX5" s="74"/>
      <c r="BXY5" s="74"/>
      <c r="BXZ5" s="74"/>
      <c r="BYA5" s="74"/>
      <c r="BYB5" s="74"/>
      <c r="BYC5" s="74"/>
      <c r="BYD5" s="74"/>
      <c r="BYE5" s="74"/>
      <c r="BYF5" s="74"/>
      <c r="BYG5" s="74"/>
      <c r="BYH5" s="74"/>
      <c r="BYI5" s="74"/>
      <c r="BYJ5" s="74"/>
      <c r="BYK5" s="74"/>
      <c r="BYL5" s="74"/>
      <c r="BYM5" s="74"/>
      <c r="BYN5" s="74"/>
      <c r="BYO5" s="74"/>
      <c r="BYP5" s="74"/>
      <c r="BYQ5" s="74"/>
      <c r="BYR5" s="74"/>
      <c r="BYS5" s="74"/>
      <c r="BYT5" s="74"/>
      <c r="BYU5" s="74"/>
      <c r="BYV5" s="74"/>
      <c r="BYW5" s="74"/>
      <c r="BYX5" s="74"/>
      <c r="BYY5" s="74"/>
      <c r="BYZ5" s="74"/>
      <c r="BZA5" s="74"/>
      <c r="BZB5" s="74"/>
      <c r="BZC5" s="74"/>
      <c r="BZD5" s="74"/>
      <c r="BZE5" s="74"/>
      <c r="BZF5" s="74"/>
      <c r="BZG5" s="74"/>
      <c r="BZH5" s="74"/>
      <c r="BZI5" s="74"/>
      <c r="BZJ5" s="74"/>
      <c r="BZK5" s="74"/>
      <c r="BZL5" s="74"/>
      <c r="BZM5" s="74"/>
      <c r="BZN5" s="74"/>
      <c r="BZO5" s="74"/>
      <c r="BZP5" s="74"/>
      <c r="BZQ5" s="74"/>
      <c r="BZR5" s="74"/>
      <c r="BZS5" s="74"/>
      <c r="BZT5" s="74"/>
      <c r="BZU5" s="74"/>
      <c r="BZV5" s="74"/>
      <c r="BZW5" s="74"/>
      <c r="BZX5" s="74"/>
      <c r="BZY5" s="74"/>
      <c r="BZZ5" s="74"/>
      <c r="CAA5" s="74"/>
      <c r="CAB5" s="74"/>
      <c r="CAC5" s="74"/>
      <c r="CAD5" s="74"/>
      <c r="CAE5" s="74"/>
      <c r="CAF5" s="74"/>
      <c r="CAG5" s="74"/>
      <c r="CAH5" s="74"/>
      <c r="CAI5" s="74"/>
      <c r="CAJ5" s="74"/>
      <c r="CAK5" s="74"/>
      <c r="CAL5" s="74"/>
      <c r="CAM5" s="74"/>
      <c r="CAN5" s="74"/>
      <c r="CAO5" s="74"/>
      <c r="CAP5" s="74"/>
      <c r="CAQ5" s="74"/>
      <c r="CAR5" s="74"/>
      <c r="CAS5" s="74"/>
      <c r="CAT5" s="74"/>
      <c r="CAU5" s="74"/>
      <c r="CAV5" s="74"/>
      <c r="CAW5" s="74"/>
      <c r="CAX5" s="74"/>
      <c r="CAY5" s="74"/>
      <c r="CAZ5" s="74"/>
      <c r="CBA5" s="74"/>
      <c r="CBB5" s="74"/>
      <c r="CBC5" s="74"/>
      <c r="CBD5" s="74"/>
      <c r="CBE5" s="74"/>
      <c r="CBF5" s="74"/>
      <c r="CBG5" s="74"/>
      <c r="CBH5" s="74"/>
      <c r="CBI5" s="74"/>
      <c r="CBJ5" s="74"/>
      <c r="CBK5" s="74"/>
      <c r="CBL5" s="74"/>
      <c r="CBM5" s="74"/>
      <c r="CBN5" s="74"/>
      <c r="CBO5" s="74"/>
      <c r="CBP5" s="74"/>
      <c r="CBQ5" s="74"/>
      <c r="CBR5" s="74"/>
      <c r="CBS5" s="74"/>
      <c r="CBT5" s="74"/>
      <c r="CBU5" s="74"/>
      <c r="CBV5" s="74"/>
      <c r="CBW5" s="74"/>
      <c r="CBX5" s="74"/>
      <c r="CBY5" s="74"/>
      <c r="CBZ5" s="74"/>
      <c r="CCA5" s="74"/>
      <c r="CCB5" s="74"/>
      <c r="CCC5" s="74"/>
      <c r="CCD5" s="74"/>
      <c r="CCE5" s="74"/>
      <c r="CCF5" s="74"/>
      <c r="CCG5" s="74"/>
      <c r="CCH5" s="74"/>
      <c r="CCI5" s="74"/>
      <c r="CCJ5" s="74"/>
      <c r="CCK5" s="74"/>
      <c r="CCL5" s="74"/>
      <c r="CCM5" s="74"/>
      <c r="CCN5" s="74"/>
      <c r="CCO5" s="74"/>
      <c r="CCP5" s="74"/>
      <c r="CCQ5" s="74"/>
      <c r="CCR5" s="74"/>
      <c r="CCS5" s="74"/>
      <c r="CCT5" s="74"/>
      <c r="CCU5" s="74"/>
      <c r="CCV5" s="74"/>
      <c r="CCW5" s="74"/>
      <c r="CCX5" s="74"/>
      <c r="CCY5" s="74"/>
      <c r="CCZ5" s="74"/>
      <c r="CDA5" s="74"/>
      <c r="CDB5" s="74"/>
      <c r="CDC5" s="74"/>
      <c r="CDD5" s="74"/>
      <c r="CDE5" s="74"/>
      <c r="CDF5" s="74"/>
      <c r="CDG5" s="74"/>
      <c r="CDH5" s="74"/>
      <c r="CDI5" s="74"/>
      <c r="CDJ5" s="74"/>
      <c r="CDK5" s="74"/>
      <c r="CDL5" s="74"/>
      <c r="CDM5" s="74"/>
      <c r="CDN5" s="74"/>
      <c r="CDO5" s="74"/>
      <c r="CDP5" s="74"/>
      <c r="CDQ5" s="74"/>
      <c r="CDR5" s="74"/>
      <c r="CDS5" s="74"/>
      <c r="CDT5" s="74"/>
      <c r="CDU5" s="74"/>
      <c r="CDV5" s="74"/>
      <c r="CDW5" s="74"/>
      <c r="CDX5" s="74"/>
      <c r="CDY5" s="74"/>
      <c r="CDZ5" s="74"/>
      <c r="CEA5" s="74"/>
      <c r="CEB5" s="74"/>
      <c r="CEC5" s="74"/>
      <c r="CED5" s="74"/>
      <c r="CEE5" s="74"/>
      <c r="CEF5" s="74"/>
      <c r="CEG5" s="74"/>
      <c r="CEH5" s="74"/>
      <c r="CEI5" s="74"/>
      <c r="CEJ5" s="74"/>
      <c r="CEK5" s="74"/>
      <c r="CEL5" s="74"/>
      <c r="CEM5" s="74"/>
      <c r="CEN5" s="74"/>
      <c r="CEO5" s="74"/>
      <c r="CEP5" s="74"/>
      <c r="CEQ5" s="74"/>
      <c r="CER5" s="74"/>
      <c r="CES5" s="74"/>
      <c r="CET5" s="74"/>
      <c r="CEU5" s="74"/>
      <c r="CEV5" s="74"/>
      <c r="CEW5" s="74"/>
      <c r="CEX5" s="74"/>
      <c r="CEY5" s="74"/>
      <c r="CEZ5" s="74"/>
      <c r="CFA5" s="74"/>
      <c r="CFB5" s="74"/>
      <c r="CFC5" s="74"/>
      <c r="CFD5" s="74"/>
      <c r="CFE5" s="74"/>
      <c r="CFF5" s="74"/>
      <c r="CFG5" s="74"/>
      <c r="CFH5" s="74"/>
      <c r="CFI5" s="74"/>
      <c r="CFJ5" s="74"/>
      <c r="CFK5" s="74"/>
      <c r="CFL5" s="74"/>
      <c r="CFM5" s="74"/>
      <c r="CFN5" s="74"/>
      <c r="CFO5" s="74"/>
      <c r="CFP5" s="74"/>
      <c r="CFQ5" s="74"/>
      <c r="CFR5" s="74"/>
      <c r="CFS5" s="74"/>
      <c r="CFT5" s="74"/>
      <c r="CFU5" s="74"/>
      <c r="CFV5" s="74"/>
      <c r="CFW5" s="74"/>
      <c r="CFX5" s="74"/>
      <c r="CFY5" s="74"/>
      <c r="CFZ5" s="74"/>
      <c r="CGA5" s="74"/>
      <c r="CGB5" s="74"/>
      <c r="CGC5" s="74"/>
      <c r="CGD5" s="74"/>
      <c r="CGE5" s="74"/>
      <c r="CGF5" s="74"/>
      <c r="CGG5" s="74"/>
      <c r="CGH5" s="74"/>
      <c r="CGI5" s="74"/>
      <c r="CGJ5" s="74"/>
      <c r="CGK5" s="74"/>
      <c r="CGL5" s="74"/>
      <c r="CGM5" s="74"/>
      <c r="CGN5" s="74"/>
      <c r="CGO5" s="74"/>
      <c r="CGP5" s="74"/>
      <c r="CGQ5" s="74"/>
      <c r="CGR5" s="74"/>
      <c r="CGS5" s="74"/>
      <c r="CGT5" s="74"/>
      <c r="CGU5" s="74"/>
      <c r="CGV5" s="74"/>
      <c r="CGW5" s="74"/>
      <c r="CGX5" s="74"/>
      <c r="CGY5" s="74"/>
      <c r="CGZ5" s="74"/>
      <c r="CHA5" s="74"/>
      <c r="CHB5" s="74"/>
      <c r="CHC5" s="74"/>
      <c r="CHD5" s="74"/>
      <c r="CHE5" s="74"/>
      <c r="CHF5" s="74"/>
      <c r="CHG5" s="74"/>
      <c r="CHH5" s="74"/>
      <c r="CHI5" s="74"/>
      <c r="CHJ5" s="74"/>
      <c r="CHK5" s="74"/>
      <c r="CHL5" s="74"/>
      <c r="CHM5" s="74"/>
      <c r="CHN5" s="74"/>
      <c r="CHO5" s="74"/>
      <c r="CHP5" s="74"/>
      <c r="CHQ5" s="74"/>
      <c r="CHR5" s="74"/>
      <c r="CHS5" s="74"/>
      <c r="CHT5" s="74"/>
      <c r="CHU5" s="74"/>
      <c r="CHV5" s="74"/>
      <c r="CHW5" s="74"/>
      <c r="CHX5" s="74"/>
      <c r="CHY5" s="74"/>
      <c r="CHZ5" s="74"/>
      <c r="CIA5" s="74"/>
      <c r="CIB5" s="74"/>
      <c r="CIC5" s="74"/>
      <c r="CID5" s="74"/>
      <c r="CIE5" s="74"/>
      <c r="CIF5" s="74"/>
      <c r="CIG5" s="74"/>
      <c r="CIH5" s="74"/>
      <c r="CII5" s="74"/>
      <c r="CIJ5" s="74"/>
      <c r="CIK5" s="74"/>
      <c r="CIL5" s="74"/>
      <c r="CIM5" s="74"/>
      <c r="CIN5" s="74"/>
      <c r="CIO5" s="74"/>
      <c r="CIP5" s="74"/>
      <c r="CIQ5" s="74"/>
      <c r="CIR5" s="74"/>
      <c r="CIS5" s="74"/>
      <c r="CIT5" s="74"/>
      <c r="CIU5" s="74"/>
      <c r="CIV5" s="74"/>
      <c r="CIW5" s="74"/>
      <c r="CIX5" s="74"/>
      <c r="CIY5" s="74"/>
      <c r="CIZ5" s="74"/>
      <c r="CJA5" s="74"/>
      <c r="CJB5" s="74"/>
      <c r="CJC5" s="74"/>
      <c r="CJD5" s="74"/>
      <c r="CJE5" s="74"/>
      <c r="CJF5" s="74"/>
      <c r="CJG5" s="74"/>
      <c r="CJH5" s="74"/>
      <c r="CJI5" s="74"/>
      <c r="CJJ5" s="74"/>
      <c r="CJK5" s="74"/>
      <c r="CJL5" s="74"/>
      <c r="CJM5" s="74"/>
      <c r="CJN5" s="74"/>
      <c r="CJO5" s="74"/>
      <c r="CJP5" s="74"/>
      <c r="CJQ5" s="74"/>
      <c r="CJR5" s="74"/>
      <c r="CJS5" s="74"/>
      <c r="CJT5" s="74"/>
      <c r="CJU5" s="74"/>
      <c r="CJV5" s="74"/>
      <c r="CJW5" s="74"/>
      <c r="CJX5" s="74"/>
      <c r="CJY5" s="74"/>
      <c r="CJZ5" s="74"/>
      <c r="CKA5" s="74"/>
      <c r="CKB5" s="74"/>
      <c r="CKC5" s="74"/>
      <c r="CKD5" s="74"/>
      <c r="CKE5" s="74"/>
      <c r="CKF5" s="74"/>
      <c r="CKG5" s="74"/>
      <c r="CKH5" s="74"/>
      <c r="CKI5" s="74"/>
      <c r="CKJ5" s="74"/>
      <c r="CKK5" s="74"/>
      <c r="CKL5" s="74"/>
      <c r="CKM5" s="74"/>
      <c r="CKN5" s="74"/>
      <c r="CKO5" s="74"/>
      <c r="CKP5" s="74"/>
      <c r="CKQ5" s="74"/>
      <c r="CKR5" s="74"/>
      <c r="CKS5" s="74"/>
      <c r="CKT5" s="74"/>
      <c r="CKU5" s="74"/>
      <c r="CKV5" s="74"/>
      <c r="CKW5" s="74"/>
      <c r="CKX5" s="74"/>
      <c r="CKY5" s="74"/>
      <c r="CKZ5" s="74"/>
      <c r="CLA5" s="74"/>
      <c r="CLB5" s="74"/>
      <c r="CLC5" s="74"/>
      <c r="CLD5" s="74"/>
      <c r="CLE5" s="74"/>
      <c r="CLF5" s="74"/>
      <c r="CLG5" s="74"/>
      <c r="CLH5" s="74"/>
      <c r="CLI5" s="74"/>
      <c r="CLJ5" s="74"/>
      <c r="CLK5" s="74"/>
      <c r="CLL5" s="74"/>
      <c r="CLM5" s="74"/>
      <c r="CLN5" s="74"/>
      <c r="CLO5" s="74"/>
      <c r="CLP5" s="74"/>
      <c r="CLQ5" s="74"/>
      <c r="CLR5" s="74"/>
      <c r="CLS5" s="74"/>
      <c r="CLT5" s="74"/>
      <c r="CLU5" s="74"/>
      <c r="CLV5" s="74"/>
      <c r="CLW5" s="74"/>
      <c r="CLX5" s="74"/>
      <c r="CLY5" s="74"/>
      <c r="CLZ5" s="74"/>
      <c r="CMA5" s="74"/>
      <c r="CMB5" s="74"/>
      <c r="CMC5" s="74"/>
      <c r="CMD5" s="74"/>
      <c r="CME5" s="74"/>
      <c r="CMF5" s="74"/>
      <c r="CMG5" s="74"/>
      <c r="CMH5" s="74"/>
      <c r="CMI5" s="74"/>
      <c r="CMJ5" s="74"/>
      <c r="CMK5" s="74"/>
      <c r="CML5" s="74"/>
      <c r="CMM5" s="74"/>
      <c r="CMN5" s="74"/>
      <c r="CMO5" s="74"/>
      <c r="CMP5" s="74"/>
      <c r="CMQ5" s="74"/>
      <c r="CMR5" s="74"/>
      <c r="CMS5" s="74"/>
      <c r="CMT5" s="74"/>
      <c r="CMU5" s="74"/>
      <c r="CMV5" s="74"/>
      <c r="CMW5" s="74"/>
      <c r="CMX5" s="74"/>
      <c r="CMY5" s="74"/>
      <c r="CMZ5" s="74"/>
      <c r="CNA5" s="74"/>
      <c r="CNB5" s="74"/>
      <c r="CNC5" s="74"/>
      <c r="CND5" s="74"/>
      <c r="CNE5" s="74"/>
      <c r="CNF5" s="74"/>
      <c r="CNG5" s="74"/>
      <c r="CNH5" s="74"/>
      <c r="CNI5" s="74"/>
      <c r="CNJ5" s="74"/>
      <c r="CNK5" s="74"/>
      <c r="CNL5" s="74"/>
      <c r="CNM5" s="74"/>
      <c r="CNN5" s="74"/>
      <c r="CNO5" s="74"/>
      <c r="CNP5" s="74"/>
      <c r="CNQ5" s="74"/>
      <c r="CNR5" s="74"/>
      <c r="CNS5" s="74"/>
      <c r="CNT5" s="74"/>
      <c r="CNU5" s="74"/>
      <c r="CNV5" s="74"/>
      <c r="CNW5" s="74"/>
      <c r="CNX5" s="74"/>
      <c r="CNY5" s="74"/>
      <c r="CNZ5" s="74"/>
      <c r="COA5" s="74"/>
      <c r="COB5" s="74"/>
      <c r="COC5" s="74"/>
      <c r="COD5" s="74"/>
      <c r="COE5" s="74"/>
      <c r="COF5" s="74"/>
      <c r="COG5" s="74"/>
      <c r="COH5" s="74"/>
      <c r="COI5" s="74"/>
      <c r="COJ5" s="74"/>
      <c r="COK5" s="74"/>
      <c r="COL5" s="74"/>
      <c r="COM5" s="74"/>
      <c r="CON5" s="74"/>
      <c r="COO5" s="74"/>
      <c r="COP5" s="74"/>
      <c r="COQ5" s="74"/>
      <c r="COR5" s="74"/>
      <c r="COS5" s="74"/>
      <c r="COT5" s="74"/>
      <c r="COU5" s="74"/>
      <c r="COV5" s="74"/>
      <c r="COW5" s="74"/>
      <c r="COX5" s="74"/>
      <c r="COY5" s="74"/>
      <c r="COZ5" s="74"/>
      <c r="CPA5" s="74"/>
      <c r="CPB5" s="74"/>
      <c r="CPC5" s="74"/>
      <c r="CPD5" s="74"/>
      <c r="CPE5" s="74"/>
      <c r="CPF5" s="74"/>
      <c r="CPG5" s="74"/>
      <c r="CPH5" s="74"/>
      <c r="CPI5" s="74"/>
      <c r="CPJ5" s="74"/>
      <c r="CPK5" s="74"/>
      <c r="CPL5" s="74"/>
      <c r="CPM5" s="74"/>
      <c r="CPN5" s="74"/>
      <c r="CPO5" s="74"/>
      <c r="CPP5" s="74"/>
      <c r="CPQ5" s="74"/>
      <c r="CPR5" s="74"/>
      <c r="CPS5" s="74"/>
      <c r="CPT5" s="74"/>
      <c r="CPU5" s="74"/>
      <c r="CPV5" s="74"/>
      <c r="CPW5" s="74"/>
      <c r="CPX5" s="74"/>
      <c r="CPY5" s="74"/>
      <c r="CPZ5" s="74"/>
      <c r="CQA5" s="74"/>
      <c r="CQB5" s="74"/>
      <c r="CQC5" s="74"/>
      <c r="CQD5" s="74"/>
      <c r="CQE5" s="74"/>
      <c r="CQF5" s="74"/>
      <c r="CQG5" s="74"/>
      <c r="CQH5" s="74"/>
      <c r="CQI5" s="74"/>
      <c r="CQJ5" s="74"/>
      <c r="CQK5" s="74"/>
      <c r="CQL5" s="74"/>
      <c r="CQM5" s="74"/>
      <c r="CQN5" s="74"/>
      <c r="CQO5" s="74"/>
      <c r="CQP5" s="74"/>
      <c r="CQQ5" s="74"/>
      <c r="CQR5" s="74"/>
      <c r="CQS5" s="74"/>
      <c r="CQT5" s="74"/>
      <c r="CQU5" s="74"/>
      <c r="CQV5" s="74"/>
      <c r="CQW5" s="74"/>
      <c r="CQX5" s="74"/>
      <c r="CQY5" s="74"/>
      <c r="CQZ5" s="74"/>
      <c r="CRA5" s="74"/>
      <c r="CRB5" s="74"/>
      <c r="CRC5" s="74"/>
      <c r="CRD5" s="74"/>
      <c r="CRE5" s="74"/>
      <c r="CRF5" s="74"/>
      <c r="CRG5" s="74"/>
      <c r="CRH5" s="74"/>
      <c r="CRI5" s="74"/>
      <c r="CRJ5" s="74"/>
      <c r="CRK5" s="74"/>
      <c r="CRL5" s="74"/>
      <c r="CRM5" s="74"/>
      <c r="CRN5" s="74"/>
      <c r="CRO5" s="74"/>
      <c r="CRP5" s="74"/>
      <c r="CRQ5" s="74"/>
      <c r="CRR5" s="74"/>
      <c r="CRS5" s="74"/>
      <c r="CRT5" s="74"/>
      <c r="CRU5" s="74"/>
      <c r="CRV5" s="74"/>
      <c r="CRW5" s="74"/>
      <c r="CRX5" s="74"/>
      <c r="CRY5" s="74"/>
      <c r="CRZ5" s="74"/>
      <c r="CSA5" s="74"/>
      <c r="CSB5" s="74"/>
      <c r="CSC5" s="74"/>
      <c r="CSD5" s="74"/>
      <c r="CSE5" s="74"/>
      <c r="CSF5" s="74"/>
      <c r="CSG5" s="74"/>
      <c r="CSH5" s="74"/>
      <c r="CSI5" s="74"/>
      <c r="CSJ5" s="74"/>
      <c r="CSK5" s="74"/>
      <c r="CSL5" s="74"/>
      <c r="CSM5" s="74"/>
      <c r="CSN5" s="74"/>
      <c r="CSO5" s="74"/>
      <c r="CSP5" s="74"/>
      <c r="CSQ5" s="74"/>
      <c r="CSR5" s="74"/>
      <c r="CSS5" s="74"/>
      <c r="CST5" s="74"/>
      <c r="CSU5" s="74"/>
      <c r="CSV5" s="74"/>
      <c r="CSW5" s="74"/>
      <c r="CSX5" s="74"/>
      <c r="CSY5" s="74"/>
      <c r="CSZ5" s="74"/>
      <c r="CTA5" s="74"/>
      <c r="CTB5" s="74"/>
      <c r="CTC5" s="74"/>
      <c r="CTD5" s="74"/>
      <c r="CTE5" s="74"/>
      <c r="CTF5" s="74"/>
      <c r="CTG5" s="74"/>
      <c r="CTH5" s="74"/>
      <c r="CTI5" s="74"/>
      <c r="CTJ5" s="74"/>
      <c r="CTK5" s="74"/>
      <c r="CTL5" s="74"/>
      <c r="CTM5" s="74"/>
      <c r="CTN5" s="74"/>
      <c r="CTO5" s="74"/>
      <c r="CTP5" s="74"/>
      <c r="CTQ5" s="74"/>
      <c r="CTR5" s="74"/>
      <c r="CTS5" s="74"/>
      <c r="CTT5" s="74"/>
      <c r="CTU5" s="74"/>
      <c r="CTV5" s="74"/>
      <c r="CTW5" s="74"/>
      <c r="CTX5" s="74"/>
      <c r="CTY5" s="74"/>
      <c r="CTZ5" s="74"/>
      <c r="CUA5" s="74"/>
      <c r="CUB5" s="74"/>
      <c r="CUC5" s="74"/>
      <c r="CUD5" s="74"/>
      <c r="CUE5" s="74"/>
      <c r="CUF5" s="74"/>
      <c r="CUG5" s="74"/>
      <c r="CUH5" s="74"/>
      <c r="CUI5" s="74"/>
      <c r="CUJ5" s="74"/>
      <c r="CUK5" s="74"/>
      <c r="CUL5" s="74"/>
      <c r="CUM5" s="74"/>
      <c r="CUN5" s="74"/>
      <c r="CUO5" s="74"/>
      <c r="CUP5" s="74"/>
      <c r="CUQ5" s="74"/>
      <c r="CUR5" s="74"/>
      <c r="CUS5" s="74"/>
      <c r="CUT5" s="74"/>
      <c r="CUU5" s="74"/>
      <c r="CUV5" s="74"/>
      <c r="CUW5" s="74"/>
      <c r="CUX5" s="74"/>
      <c r="CUY5" s="74"/>
      <c r="CUZ5" s="74"/>
      <c r="CVA5" s="74"/>
      <c r="CVB5" s="74"/>
      <c r="CVC5" s="74"/>
      <c r="CVD5" s="74"/>
      <c r="CVE5" s="74"/>
      <c r="CVF5" s="74"/>
      <c r="CVG5" s="74"/>
      <c r="CVH5" s="74"/>
      <c r="CVI5" s="74"/>
      <c r="CVJ5" s="74"/>
      <c r="CVK5" s="74"/>
      <c r="CVL5" s="74"/>
      <c r="CVM5" s="74"/>
      <c r="CVN5" s="74"/>
      <c r="CVO5" s="74"/>
      <c r="CVP5" s="74"/>
      <c r="CVQ5" s="74"/>
      <c r="CVR5" s="74"/>
      <c r="CVS5" s="74"/>
      <c r="CVT5" s="74"/>
      <c r="CVU5" s="74"/>
      <c r="CVV5" s="74"/>
      <c r="CVW5" s="74"/>
      <c r="CVX5" s="74"/>
      <c r="CVY5" s="74"/>
      <c r="CVZ5" s="74"/>
      <c r="CWA5" s="74"/>
      <c r="CWB5" s="74"/>
      <c r="CWC5" s="74"/>
      <c r="CWD5" s="74"/>
      <c r="CWE5" s="74"/>
      <c r="CWF5" s="74"/>
      <c r="CWG5" s="74"/>
      <c r="CWH5" s="74"/>
      <c r="CWI5" s="74"/>
      <c r="CWJ5" s="74"/>
      <c r="CWK5" s="74"/>
      <c r="CWL5" s="74"/>
      <c r="CWM5" s="74"/>
      <c r="CWN5" s="74"/>
      <c r="CWO5" s="74"/>
      <c r="CWP5" s="74"/>
      <c r="CWQ5" s="74"/>
      <c r="CWR5" s="74"/>
      <c r="CWS5" s="74"/>
      <c r="CWT5" s="74"/>
      <c r="CWU5" s="74"/>
      <c r="CWV5" s="74"/>
      <c r="CWW5" s="74"/>
      <c r="CWX5" s="74"/>
      <c r="CWY5" s="74"/>
      <c r="CWZ5" s="74"/>
      <c r="CXA5" s="74"/>
      <c r="CXB5" s="74"/>
      <c r="CXC5" s="74"/>
      <c r="CXD5" s="74"/>
      <c r="CXE5" s="74"/>
      <c r="CXF5" s="74"/>
      <c r="CXG5" s="74"/>
      <c r="CXH5" s="74"/>
      <c r="CXI5" s="74"/>
      <c r="CXJ5" s="74"/>
      <c r="CXK5" s="74"/>
      <c r="CXL5" s="74"/>
      <c r="CXM5" s="74"/>
      <c r="CXN5" s="74"/>
      <c r="CXO5" s="74"/>
      <c r="CXP5" s="74"/>
      <c r="CXQ5" s="74"/>
      <c r="CXR5" s="74"/>
      <c r="CXS5" s="74"/>
      <c r="CXT5" s="74"/>
      <c r="CXU5" s="74"/>
      <c r="CXV5" s="74"/>
      <c r="CXW5" s="74"/>
      <c r="CXX5" s="74"/>
      <c r="CXY5" s="74"/>
      <c r="CXZ5" s="74"/>
      <c r="CYA5" s="74"/>
      <c r="CYB5" s="74"/>
      <c r="CYC5" s="74"/>
      <c r="CYD5" s="74"/>
      <c r="CYE5" s="74"/>
      <c r="CYF5" s="74"/>
      <c r="CYG5" s="74"/>
      <c r="CYH5" s="74"/>
      <c r="CYI5" s="74"/>
      <c r="CYJ5" s="74"/>
      <c r="CYK5" s="74"/>
      <c r="CYL5" s="74"/>
      <c r="CYM5" s="74"/>
      <c r="CYN5" s="74"/>
      <c r="CYO5" s="74"/>
      <c r="CYP5" s="74"/>
      <c r="CYQ5" s="74"/>
      <c r="CYR5" s="74"/>
      <c r="CYS5" s="74"/>
      <c r="CYT5" s="74"/>
      <c r="CYU5" s="74"/>
      <c r="CYV5" s="74"/>
      <c r="CYW5" s="74"/>
      <c r="CYX5" s="74"/>
      <c r="CYY5" s="74"/>
      <c r="CYZ5" s="74"/>
      <c r="CZA5" s="74"/>
      <c r="CZB5" s="74"/>
      <c r="CZC5" s="74"/>
      <c r="CZD5" s="74"/>
      <c r="CZE5" s="74"/>
      <c r="CZF5" s="74"/>
      <c r="CZG5" s="74"/>
      <c r="CZH5" s="74"/>
      <c r="CZI5" s="74"/>
      <c r="CZJ5" s="74"/>
      <c r="CZK5" s="74"/>
      <c r="CZL5" s="74"/>
      <c r="CZM5" s="74"/>
      <c r="CZN5" s="74"/>
      <c r="CZO5" s="74"/>
      <c r="CZP5" s="74"/>
      <c r="CZQ5" s="74"/>
      <c r="CZR5" s="74"/>
      <c r="CZS5" s="74"/>
      <c r="CZT5" s="74"/>
      <c r="CZU5" s="74"/>
      <c r="CZV5" s="74"/>
      <c r="CZW5" s="74"/>
      <c r="CZX5" s="74"/>
      <c r="CZY5" s="74"/>
      <c r="CZZ5" s="74"/>
      <c r="DAA5" s="74"/>
      <c r="DAB5" s="74"/>
      <c r="DAC5" s="74"/>
      <c r="DAD5" s="74"/>
      <c r="DAE5" s="74"/>
      <c r="DAF5" s="74"/>
      <c r="DAG5" s="74"/>
      <c r="DAH5" s="74"/>
      <c r="DAI5" s="74"/>
      <c r="DAJ5" s="74"/>
      <c r="DAK5" s="74"/>
      <c r="DAL5" s="74"/>
      <c r="DAM5" s="74"/>
      <c r="DAN5" s="74"/>
      <c r="DAO5" s="74"/>
      <c r="DAP5" s="74"/>
      <c r="DAQ5" s="74"/>
      <c r="DAR5" s="74"/>
      <c r="DAS5" s="74"/>
      <c r="DAT5" s="74"/>
      <c r="DAU5" s="74"/>
      <c r="DAV5" s="74"/>
      <c r="DAW5" s="74"/>
      <c r="DAX5" s="74"/>
      <c r="DAY5" s="74"/>
      <c r="DAZ5" s="74"/>
      <c r="DBA5" s="74"/>
      <c r="DBB5" s="74"/>
      <c r="DBC5" s="74"/>
      <c r="DBD5" s="74"/>
      <c r="DBE5" s="74"/>
      <c r="DBF5" s="74"/>
      <c r="DBG5" s="74"/>
      <c r="DBH5" s="74"/>
      <c r="DBI5" s="74"/>
      <c r="DBJ5" s="74"/>
      <c r="DBK5" s="74"/>
      <c r="DBL5" s="74"/>
      <c r="DBM5" s="74"/>
      <c r="DBN5" s="74"/>
      <c r="DBO5" s="74"/>
      <c r="DBP5" s="74"/>
      <c r="DBQ5" s="74"/>
      <c r="DBR5" s="74"/>
      <c r="DBS5" s="74"/>
      <c r="DBT5" s="74"/>
      <c r="DBU5" s="74"/>
      <c r="DBV5" s="74"/>
      <c r="DBW5" s="74"/>
      <c r="DBX5" s="74"/>
      <c r="DBY5" s="74"/>
      <c r="DBZ5" s="74"/>
      <c r="DCA5" s="74"/>
      <c r="DCB5" s="74"/>
      <c r="DCC5" s="74"/>
      <c r="DCD5" s="74"/>
      <c r="DCE5" s="74"/>
      <c r="DCF5" s="74"/>
      <c r="DCG5" s="74"/>
      <c r="DCH5" s="74"/>
      <c r="DCI5" s="74"/>
      <c r="DCJ5" s="74"/>
      <c r="DCK5" s="74"/>
      <c r="DCL5" s="74"/>
      <c r="DCM5" s="74"/>
      <c r="DCN5" s="74"/>
      <c r="DCO5" s="74"/>
      <c r="DCP5" s="74"/>
      <c r="DCQ5" s="74"/>
      <c r="DCR5" s="74"/>
      <c r="DCS5" s="74"/>
      <c r="DCT5" s="74"/>
      <c r="DCU5" s="74"/>
      <c r="DCV5" s="74"/>
      <c r="DCW5" s="74"/>
      <c r="DCX5" s="74"/>
      <c r="DCY5" s="74"/>
      <c r="DCZ5" s="74"/>
      <c r="DDA5" s="74"/>
      <c r="DDB5" s="74"/>
      <c r="DDC5" s="74"/>
      <c r="DDD5" s="74"/>
      <c r="DDE5" s="74"/>
      <c r="DDF5" s="74"/>
      <c r="DDG5" s="74"/>
      <c r="DDH5" s="74"/>
      <c r="DDI5" s="74"/>
      <c r="DDJ5" s="74"/>
      <c r="DDK5" s="74"/>
      <c r="DDL5" s="74"/>
      <c r="DDM5" s="74"/>
      <c r="DDN5" s="74"/>
      <c r="DDO5" s="74"/>
      <c r="DDP5" s="74"/>
      <c r="DDQ5" s="74"/>
      <c r="DDR5" s="74"/>
      <c r="DDS5" s="74"/>
      <c r="DDT5" s="74"/>
      <c r="DDU5" s="74"/>
      <c r="DDV5" s="74"/>
      <c r="DDW5" s="74"/>
      <c r="DDX5" s="74"/>
      <c r="DDY5" s="74"/>
      <c r="DDZ5" s="74"/>
      <c r="DEA5" s="74"/>
      <c r="DEB5" s="74"/>
      <c r="DEC5" s="74"/>
      <c r="DED5" s="74"/>
      <c r="DEE5" s="74"/>
      <c r="DEF5" s="74"/>
      <c r="DEG5" s="74"/>
      <c r="DEH5" s="74"/>
      <c r="DEI5" s="74"/>
      <c r="DEJ5" s="74"/>
      <c r="DEK5" s="74"/>
      <c r="DEL5" s="74"/>
      <c r="DEM5" s="74"/>
      <c r="DEN5" s="74"/>
      <c r="DEO5" s="74"/>
      <c r="DEP5" s="74"/>
      <c r="DEQ5" s="74"/>
      <c r="DER5" s="74"/>
      <c r="DES5" s="74"/>
      <c r="DET5" s="74"/>
      <c r="DEU5" s="74"/>
      <c r="DEV5" s="74"/>
      <c r="DEW5" s="74"/>
      <c r="DEX5" s="74"/>
      <c r="DEY5" s="74"/>
      <c r="DEZ5" s="74"/>
      <c r="DFA5" s="74"/>
      <c r="DFB5" s="74"/>
      <c r="DFC5" s="74"/>
      <c r="DFD5" s="74"/>
      <c r="DFE5" s="74"/>
      <c r="DFF5" s="74"/>
      <c r="DFG5" s="74"/>
      <c r="DFH5" s="74"/>
      <c r="DFI5" s="74"/>
      <c r="DFJ5" s="74"/>
      <c r="DFK5" s="74"/>
      <c r="DFL5" s="74"/>
      <c r="DFM5" s="74"/>
      <c r="DFN5" s="74"/>
      <c r="DFO5" s="74"/>
      <c r="DFP5" s="74"/>
      <c r="DFQ5" s="74"/>
      <c r="DFR5" s="74"/>
      <c r="DFS5" s="74"/>
      <c r="DFT5" s="74"/>
      <c r="DFU5" s="74"/>
      <c r="DFV5" s="74"/>
      <c r="DFW5" s="74"/>
      <c r="DFX5" s="74"/>
      <c r="DFY5" s="74"/>
      <c r="DFZ5" s="74"/>
      <c r="DGA5" s="74"/>
      <c r="DGB5" s="74"/>
      <c r="DGC5" s="74"/>
      <c r="DGD5" s="74"/>
      <c r="DGE5" s="74"/>
      <c r="DGF5" s="74"/>
      <c r="DGG5" s="74"/>
      <c r="DGH5" s="74"/>
      <c r="DGI5" s="74"/>
      <c r="DGJ5" s="74"/>
      <c r="DGK5" s="74"/>
      <c r="DGL5" s="74"/>
      <c r="DGM5" s="74"/>
      <c r="DGN5" s="74"/>
      <c r="DGO5" s="74"/>
      <c r="DGP5" s="74"/>
      <c r="DGQ5" s="74"/>
      <c r="DGR5" s="74"/>
      <c r="DGS5" s="74"/>
      <c r="DGT5" s="74"/>
      <c r="DGU5" s="74"/>
      <c r="DGV5" s="74"/>
      <c r="DGW5" s="74"/>
      <c r="DGX5" s="74"/>
      <c r="DGY5" s="74"/>
      <c r="DGZ5" s="74"/>
      <c r="DHA5" s="74"/>
      <c r="DHB5" s="74"/>
      <c r="DHC5" s="74"/>
      <c r="DHD5" s="74"/>
      <c r="DHE5" s="74"/>
      <c r="DHF5" s="74"/>
      <c r="DHG5" s="74"/>
      <c r="DHH5" s="74"/>
      <c r="DHI5" s="74"/>
      <c r="DHJ5" s="74"/>
      <c r="DHK5" s="74"/>
      <c r="DHL5" s="74"/>
      <c r="DHM5" s="74"/>
      <c r="DHN5" s="74"/>
      <c r="DHO5" s="74"/>
      <c r="DHP5" s="74"/>
      <c r="DHQ5" s="74"/>
      <c r="DHR5" s="74"/>
      <c r="DHS5" s="74"/>
      <c r="DHT5" s="74"/>
      <c r="DHU5" s="74"/>
      <c r="DHV5" s="74"/>
      <c r="DHW5" s="74"/>
      <c r="DHX5" s="74"/>
      <c r="DHY5" s="74"/>
      <c r="DHZ5" s="74"/>
      <c r="DIA5" s="74"/>
      <c r="DIB5" s="74"/>
      <c r="DIC5" s="74"/>
      <c r="DID5" s="74"/>
      <c r="DIE5" s="74"/>
      <c r="DIF5" s="74"/>
      <c r="DIG5" s="74"/>
      <c r="DIH5" s="74"/>
      <c r="DII5" s="74"/>
      <c r="DIJ5" s="74"/>
      <c r="DIK5" s="74"/>
      <c r="DIL5" s="74"/>
      <c r="DIM5" s="74"/>
      <c r="DIN5" s="74"/>
      <c r="DIO5" s="74"/>
      <c r="DIP5" s="74"/>
      <c r="DIQ5" s="74"/>
      <c r="DIR5" s="74"/>
      <c r="DIS5" s="74"/>
      <c r="DIT5" s="74"/>
      <c r="DIU5" s="74"/>
      <c r="DIV5" s="74"/>
      <c r="DIW5" s="74"/>
      <c r="DIX5" s="74"/>
      <c r="DIY5" s="74"/>
      <c r="DIZ5" s="74"/>
      <c r="DJA5" s="74"/>
      <c r="DJB5" s="74"/>
      <c r="DJC5" s="74"/>
      <c r="DJD5" s="74"/>
      <c r="DJE5" s="74"/>
      <c r="DJF5" s="74"/>
      <c r="DJG5" s="74"/>
      <c r="DJH5" s="74"/>
      <c r="DJI5" s="74"/>
      <c r="DJJ5" s="74"/>
      <c r="DJK5" s="74"/>
      <c r="DJL5" s="74"/>
      <c r="DJM5" s="74"/>
      <c r="DJN5" s="74"/>
      <c r="DJO5" s="74"/>
      <c r="DJP5" s="74"/>
      <c r="DJQ5" s="74"/>
      <c r="DJR5" s="74"/>
      <c r="DJS5" s="74"/>
      <c r="DJT5" s="74"/>
      <c r="DJU5" s="74"/>
      <c r="DJV5" s="74"/>
      <c r="DJW5" s="74"/>
      <c r="DJX5" s="74"/>
      <c r="DJY5" s="74"/>
      <c r="DJZ5" s="74"/>
      <c r="DKA5" s="74"/>
      <c r="DKB5" s="74"/>
      <c r="DKC5" s="74"/>
      <c r="DKD5" s="74"/>
      <c r="DKE5" s="74"/>
      <c r="DKF5" s="74"/>
      <c r="DKG5" s="74"/>
      <c r="DKH5" s="74"/>
      <c r="DKI5" s="74"/>
      <c r="DKJ5" s="74"/>
      <c r="DKK5" s="74"/>
      <c r="DKL5" s="74"/>
      <c r="DKM5" s="74"/>
      <c r="DKN5" s="74"/>
      <c r="DKO5" s="74"/>
      <c r="DKP5" s="74"/>
      <c r="DKQ5" s="74"/>
      <c r="DKR5" s="74"/>
      <c r="DKS5" s="74"/>
      <c r="DKT5" s="74"/>
      <c r="DKU5" s="74"/>
      <c r="DKV5" s="74"/>
      <c r="DKW5" s="74"/>
      <c r="DKX5" s="74"/>
      <c r="DKY5" s="74"/>
      <c r="DKZ5" s="74"/>
      <c r="DLA5" s="74"/>
      <c r="DLB5" s="74"/>
      <c r="DLC5" s="74"/>
      <c r="DLD5" s="74"/>
      <c r="DLE5" s="74"/>
      <c r="DLF5" s="74"/>
      <c r="DLG5" s="74"/>
      <c r="DLH5" s="74"/>
      <c r="DLI5" s="74"/>
      <c r="DLJ5" s="74"/>
      <c r="DLK5" s="74"/>
      <c r="DLL5" s="74"/>
      <c r="DLM5" s="74"/>
      <c r="DLN5" s="74"/>
      <c r="DLO5" s="74"/>
      <c r="DLP5" s="74"/>
      <c r="DLQ5" s="74"/>
      <c r="DLR5" s="74"/>
      <c r="DLS5" s="74"/>
      <c r="DLT5" s="74"/>
      <c r="DLU5" s="74"/>
      <c r="DLV5" s="74"/>
      <c r="DLW5" s="74"/>
      <c r="DLX5" s="74"/>
      <c r="DLY5" s="74"/>
      <c r="DLZ5" s="74"/>
      <c r="DMA5" s="74"/>
      <c r="DMB5" s="74"/>
      <c r="DMC5" s="74"/>
      <c r="DMD5" s="74"/>
      <c r="DME5" s="74"/>
      <c r="DMF5" s="74"/>
      <c r="DMG5" s="74"/>
      <c r="DMH5" s="74"/>
      <c r="DMI5" s="74"/>
      <c r="DMJ5" s="74"/>
      <c r="DMK5" s="74"/>
      <c r="DML5" s="74"/>
      <c r="DMM5" s="74"/>
      <c r="DMN5" s="74"/>
      <c r="DMO5" s="74"/>
      <c r="DMP5" s="74"/>
      <c r="DMQ5" s="74"/>
      <c r="DMR5" s="74"/>
      <c r="DMS5" s="74"/>
      <c r="DMT5" s="74"/>
      <c r="DMU5" s="74"/>
      <c r="DMV5" s="74"/>
      <c r="DMW5" s="74"/>
      <c r="DMX5" s="74"/>
      <c r="DMY5" s="74"/>
      <c r="DMZ5" s="74"/>
      <c r="DNA5" s="74"/>
      <c r="DNB5" s="74"/>
      <c r="DNC5" s="74"/>
      <c r="DND5" s="74"/>
      <c r="DNE5" s="74"/>
      <c r="DNF5" s="74"/>
      <c r="DNG5" s="74"/>
      <c r="DNH5" s="74"/>
      <c r="DNI5" s="74"/>
      <c r="DNJ5" s="74"/>
      <c r="DNK5" s="74"/>
      <c r="DNL5" s="74"/>
      <c r="DNM5" s="74"/>
      <c r="DNN5" s="74"/>
      <c r="DNO5" s="74"/>
      <c r="DNP5" s="74"/>
      <c r="DNQ5" s="74"/>
      <c r="DNR5" s="74"/>
      <c r="DNS5" s="74"/>
      <c r="DNT5" s="74"/>
      <c r="DNU5" s="74"/>
      <c r="DNV5" s="74"/>
      <c r="DNW5" s="74"/>
      <c r="DNX5" s="74"/>
      <c r="DNY5" s="74"/>
      <c r="DNZ5" s="74"/>
      <c r="DOA5" s="74"/>
      <c r="DOB5" s="74"/>
      <c r="DOC5" s="74"/>
      <c r="DOD5" s="74"/>
      <c r="DOE5" s="74"/>
      <c r="DOF5" s="74"/>
      <c r="DOG5" s="74"/>
      <c r="DOH5" s="74"/>
      <c r="DOI5" s="74"/>
      <c r="DOJ5" s="74"/>
      <c r="DOK5" s="74"/>
      <c r="DOL5" s="74"/>
      <c r="DOM5" s="74"/>
      <c r="DON5" s="74"/>
      <c r="DOO5" s="74"/>
      <c r="DOP5" s="74"/>
      <c r="DOQ5" s="74"/>
      <c r="DOR5" s="74"/>
      <c r="DOS5" s="74"/>
      <c r="DOT5" s="74"/>
      <c r="DOU5" s="74"/>
      <c r="DOV5" s="74"/>
      <c r="DOW5" s="74"/>
      <c r="DOX5" s="74"/>
      <c r="DOY5" s="74"/>
      <c r="DOZ5" s="74"/>
      <c r="DPA5" s="74"/>
      <c r="DPB5" s="74"/>
      <c r="DPC5" s="74"/>
      <c r="DPD5" s="74"/>
      <c r="DPE5" s="74"/>
      <c r="DPF5" s="74"/>
      <c r="DPG5" s="74"/>
      <c r="DPH5" s="74"/>
      <c r="DPI5" s="74"/>
      <c r="DPJ5" s="74"/>
      <c r="DPK5" s="74"/>
      <c r="DPL5" s="74"/>
      <c r="DPM5" s="74"/>
      <c r="DPN5" s="74"/>
      <c r="DPO5" s="74"/>
      <c r="DPP5" s="74"/>
      <c r="DPQ5" s="74"/>
      <c r="DPR5" s="74"/>
      <c r="DPS5" s="74"/>
      <c r="DPT5" s="74"/>
      <c r="DPU5" s="74"/>
      <c r="DPV5" s="74"/>
      <c r="DPW5" s="74"/>
      <c r="DPX5" s="74"/>
      <c r="DPY5" s="74"/>
      <c r="DPZ5" s="74"/>
      <c r="DQA5" s="74"/>
      <c r="DQB5" s="74"/>
      <c r="DQC5" s="74"/>
      <c r="DQD5" s="74"/>
      <c r="DQE5" s="74"/>
      <c r="DQF5" s="74"/>
      <c r="DQG5" s="74"/>
      <c r="DQH5" s="74"/>
      <c r="DQI5" s="74"/>
      <c r="DQJ5" s="74"/>
      <c r="DQK5" s="74"/>
      <c r="DQL5" s="74"/>
      <c r="DQM5" s="74"/>
      <c r="DQN5" s="74"/>
      <c r="DQO5" s="74"/>
      <c r="DQP5" s="74"/>
      <c r="DQQ5" s="74"/>
      <c r="DQR5" s="74"/>
      <c r="DQS5" s="74"/>
      <c r="DQT5" s="74"/>
      <c r="DQU5" s="74"/>
      <c r="DQV5" s="74"/>
      <c r="DQW5" s="74"/>
      <c r="DQX5" s="74"/>
      <c r="DQY5" s="74"/>
      <c r="DQZ5" s="74"/>
      <c r="DRA5" s="74"/>
      <c r="DRB5" s="74"/>
      <c r="DRC5" s="74"/>
      <c r="DRD5" s="74"/>
      <c r="DRE5" s="74"/>
      <c r="DRF5" s="74"/>
      <c r="DRG5" s="74"/>
      <c r="DRH5" s="74"/>
      <c r="DRI5" s="74"/>
      <c r="DRJ5" s="74"/>
      <c r="DRK5" s="74"/>
      <c r="DRL5" s="74"/>
      <c r="DRM5" s="74"/>
      <c r="DRN5" s="74"/>
      <c r="DRO5" s="74"/>
      <c r="DRP5" s="74"/>
      <c r="DRQ5" s="74"/>
      <c r="DRR5" s="74"/>
      <c r="DRS5" s="74"/>
      <c r="DRT5" s="74"/>
      <c r="DRU5" s="74"/>
      <c r="DRV5" s="74"/>
      <c r="DRW5" s="74"/>
      <c r="DRX5" s="74"/>
      <c r="DRY5" s="74"/>
      <c r="DRZ5" s="74"/>
      <c r="DSA5" s="74"/>
      <c r="DSB5" s="74"/>
      <c r="DSC5" s="74"/>
      <c r="DSD5" s="74"/>
      <c r="DSE5" s="74"/>
      <c r="DSF5" s="74"/>
      <c r="DSG5" s="74"/>
      <c r="DSH5" s="74"/>
      <c r="DSI5" s="74"/>
      <c r="DSJ5" s="74"/>
      <c r="DSK5" s="74"/>
      <c r="DSL5" s="74"/>
      <c r="DSM5" s="74"/>
      <c r="DSN5" s="74"/>
      <c r="DSO5" s="74"/>
      <c r="DSP5" s="74"/>
      <c r="DSQ5" s="74"/>
      <c r="DSR5" s="74"/>
      <c r="DSS5" s="74"/>
      <c r="DST5" s="74"/>
      <c r="DSU5" s="74"/>
      <c r="DSV5" s="74"/>
      <c r="DSW5" s="74"/>
      <c r="DSX5" s="74"/>
      <c r="DSY5" s="74"/>
      <c r="DSZ5" s="74"/>
      <c r="DTA5" s="74"/>
      <c r="DTB5" s="74"/>
      <c r="DTC5" s="74"/>
      <c r="DTD5" s="74"/>
      <c r="DTE5" s="74"/>
      <c r="DTF5" s="74"/>
      <c r="DTG5" s="74"/>
      <c r="DTH5" s="74"/>
      <c r="DTI5" s="74"/>
      <c r="DTJ5" s="74"/>
      <c r="DTK5" s="74"/>
      <c r="DTL5" s="74"/>
      <c r="DTM5" s="74"/>
      <c r="DTN5" s="74"/>
      <c r="DTO5" s="74"/>
      <c r="DTP5" s="74"/>
      <c r="DTQ5" s="74"/>
      <c r="DTR5" s="74"/>
      <c r="DTS5" s="74"/>
      <c r="DTT5" s="74"/>
      <c r="DTU5" s="74"/>
      <c r="DTV5" s="74"/>
      <c r="DTW5" s="74"/>
      <c r="DTX5" s="74"/>
      <c r="DTY5" s="74"/>
      <c r="DTZ5" s="74"/>
      <c r="DUA5" s="74"/>
      <c r="DUB5" s="74"/>
      <c r="DUC5" s="74"/>
      <c r="DUD5" s="74"/>
      <c r="DUE5" s="74"/>
      <c r="DUF5" s="74"/>
      <c r="DUG5" s="74"/>
      <c r="DUH5" s="74"/>
      <c r="DUI5" s="74"/>
      <c r="DUJ5" s="74"/>
      <c r="DUK5" s="74"/>
      <c r="DUL5" s="74"/>
      <c r="DUM5" s="74"/>
      <c r="DUN5" s="74"/>
      <c r="DUO5" s="74"/>
      <c r="DUP5" s="74"/>
      <c r="DUQ5" s="74"/>
      <c r="DUR5" s="74"/>
      <c r="DUS5" s="74"/>
      <c r="DUT5" s="74"/>
      <c r="DUU5" s="74"/>
      <c r="DUV5" s="74"/>
      <c r="DUW5" s="74"/>
      <c r="DUX5" s="74"/>
      <c r="DUY5" s="74"/>
      <c r="DUZ5" s="74"/>
      <c r="DVA5" s="74"/>
      <c r="DVB5" s="74"/>
      <c r="DVC5" s="74"/>
      <c r="DVD5" s="74"/>
      <c r="DVE5" s="74"/>
      <c r="DVF5" s="74"/>
      <c r="DVG5" s="74"/>
      <c r="DVH5" s="74"/>
      <c r="DVI5" s="74"/>
      <c r="DVJ5" s="74"/>
      <c r="DVK5" s="74"/>
      <c r="DVL5" s="74"/>
      <c r="DVM5" s="74"/>
      <c r="DVN5" s="74"/>
      <c r="DVO5" s="74"/>
      <c r="DVP5" s="74"/>
      <c r="DVQ5" s="74"/>
      <c r="DVR5" s="74"/>
      <c r="DVS5" s="74"/>
      <c r="DVT5" s="74"/>
      <c r="DVU5" s="74"/>
      <c r="DVV5" s="74"/>
      <c r="DVW5" s="74"/>
      <c r="DVX5" s="74"/>
      <c r="DVY5" s="74"/>
      <c r="DVZ5" s="74"/>
      <c r="DWA5" s="74"/>
      <c r="DWB5" s="74"/>
      <c r="DWC5" s="74"/>
      <c r="DWD5" s="74"/>
      <c r="DWE5" s="74"/>
      <c r="DWF5" s="74"/>
      <c r="DWG5" s="74"/>
      <c r="DWH5" s="74"/>
      <c r="DWI5" s="74"/>
      <c r="DWJ5" s="74"/>
      <c r="DWK5" s="74"/>
      <c r="DWL5" s="74"/>
      <c r="DWM5" s="74"/>
      <c r="DWN5" s="74"/>
      <c r="DWO5" s="74"/>
      <c r="DWP5" s="74"/>
      <c r="DWQ5" s="74"/>
      <c r="DWR5" s="74"/>
      <c r="DWS5" s="74"/>
      <c r="DWT5" s="74"/>
      <c r="DWU5" s="74"/>
      <c r="DWV5" s="74"/>
      <c r="DWW5" s="74"/>
      <c r="DWX5" s="74"/>
      <c r="DWY5" s="74"/>
      <c r="DWZ5" s="74"/>
      <c r="DXA5" s="74"/>
      <c r="DXB5" s="74"/>
      <c r="DXC5" s="74"/>
      <c r="DXD5" s="74"/>
      <c r="DXE5" s="74"/>
      <c r="DXF5" s="74"/>
      <c r="DXG5" s="74"/>
      <c r="DXH5" s="74"/>
      <c r="DXI5" s="74"/>
      <c r="DXJ5" s="74"/>
      <c r="DXK5" s="74"/>
      <c r="DXL5" s="74"/>
      <c r="DXM5" s="74"/>
      <c r="DXN5" s="74"/>
      <c r="DXO5" s="74"/>
      <c r="DXP5" s="74"/>
      <c r="DXQ5" s="74"/>
      <c r="DXR5" s="74"/>
      <c r="DXS5" s="74"/>
      <c r="DXT5" s="74"/>
      <c r="DXU5" s="74"/>
      <c r="DXV5" s="74"/>
      <c r="DXW5" s="74"/>
      <c r="DXX5" s="74"/>
      <c r="DXY5" s="74"/>
      <c r="DXZ5" s="74"/>
      <c r="DYA5" s="74"/>
      <c r="DYB5" s="74"/>
      <c r="DYC5" s="74"/>
      <c r="DYD5" s="74"/>
      <c r="DYE5" s="74"/>
      <c r="DYF5" s="74"/>
      <c r="DYG5" s="74"/>
      <c r="DYH5" s="74"/>
      <c r="DYI5" s="74"/>
      <c r="DYJ5" s="74"/>
      <c r="DYK5" s="74"/>
      <c r="DYL5" s="74"/>
      <c r="DYM5" s="74"/>
      <c r="DYN5" s="74"/>
      <c r="DYO5" s="74"/>
      <c r="DYP5" s="74"/>
      <c r="DYQ5" s="74"/>
      <c r="DYR5" s="74"/>
      <c r="DYS5" s="74"/>
      <c r="DYT5" s="74"/>
      <c r="DYU5" s="74"/>
      <c r="DYV5" s="74"/>
      <c r="DYW5" s="74"/>
      <c r="DYX5" s="74"/>
      <c r="DYY5" s="74"/>
      <c r="DYZ5" s="74"/>
      <c r="DZA5" s="74"/>
      <c r="DZB5" s="74"/>
      <c r="DZC5" s="74"/>
      <c r="DZD5" s="74"/>
      <c r="DZE5" s="74"/>
      <c r="DZF5" s="74"/>
      <c r="DZG5" s="74"/>
      <c r="DZH5" s="74"/>
      <c r="DZI5" s="74"/>
      <c r="DZJ5" s="74"/>
      <c r="DZK5" s="74"/>
      <c r="DZL5" s="74"/>
      <c r="DZM5" s="74"/>
      <c r="DZN5" s="74"/>
      <c r="DZO5" s="74"/>
      <c r="DZP5" s="74"/>
      <c r="DZQ5" s="74"/>
      <c r="DZR5" s="74"/>
      <c r="DZS5" s="74"/>
      <c r="DZT5" s="74"/>
      <c r="DZU5" s="74"/>
      <c r="DZV5" s="74"/>
      <c r="DZW5" s="74"/>
      <c r="DZX5" s="74"/>
      <c r="DZY5" s="74"/>
      <c r="DZZ5" s="74"/>
      <c r="EAA5" s="74"/>
      <c r="EAB5" s="74"/>
      <c r="EAC5" s="74"/>
      <c r="EAD5" s="74"/>
      <c r="EAE5" s="74"/>
      <c r="EAF5" s="74"/>
      <c r="EAG5" s="74"/>
      <c r="EAH5" s="74"/>
      <c r="EAI5" s="74"/>
      <c r="EAJ5" s="74"/>
      <c r="EAK5" s="74"/>
      <c r="EAL5" s="74"/>
      <c r="EAM5" s="74"/>
      <c r="EAN5" s="74"/>
      <c r="EAO5" s="74"/>
      <c r="EAP5" s="74"/>
      <c r="EAQ5" s="74"/>
      <c r="EAR5" s="74"/>
      <c r="EAS5" s="74"/>
      <c r="EAT5" s="74"/>
      <c r="EAU5" s="74"/>
      <c r="EAV5" s="74"/>
      <c r="EAW5" s="74"/>
      <c r="EAX5" s="74"/>
      <c r="EAY5" s="74"/>
      <c r="EAZ5" s="74"/>
      <c r="EBA5" s="74"/>
      <c r="EBB5" s="74"/>
      <c r="EBC5" s="74"/>
      <c r="EBD5" s="74"/>
      <c r="EBE5" s="74"/>
      <c r="EBF5" s="74"/>
      <c r="EBG5" s="74"/>
      <c r="EBH5" s="74"/>
      <c r="EBI5" s="74"/>
      <c r="EBJ5" s="74"/>
      <c r="EBK5" s="74"/>
      <c r="EBL5" s="74"/>
      <c r="EBM5" s="74"/>
      <c r="EBN5" s="74"/>
      <c r="EBO5" s="74"/>
      <c r="EBP5" s="74"/>
      <c r="EBQ5" s="74"/>
      <c r="EBR5" s="74"/>
      <c r="EBS5" s="74"/>
      <c r="EBT5" s="74"/>
      <c r="EBU5" s="74"/>
      <c r="EBV5" s="74"/>
      <c r="EBW5" s="74"/>
      <c r="EBX5" s="74"/>
      <c r="EBY5" s="74"/>
      <c r="EBZ5" s="74"/>
      <c r="ECA5" s="74"/>
      <c r="ECB5" s="74"/>
      <c r="ECC5" s="74"/>
      <c r="ECD5" s="74"/>
      <c r="ECE5" s="74"/>
      <c r="ECF5" s="74"/>
      <c r="ECG5" s="74"/>
      <c r="ECH5" s="74"/>
      <c r="ECI5" s="74"/>
      <c r="ECJ5" s="74"/>
      <c r="ECK5" s="74"/>
      <c r="ECL5" s="74"/>
      <c r="ECM5" s="74"/>
      <c r="ECN5" s="74"/>
      <c r="ECO5" s="74"/>
      <c r="ECP5" s="74"/>
      <c r="ECQ5" s="74"/>
      <c r="ECR5" s="74"/>
      <c r="ECS5" s="74"/>
      <c r="ECT5" s="74"/>
      <c r="ECU5" s="74"/>
      <c r="ECV5" s="74"/>
      <c r="ECW5" s="74"/>
      <c r="ECX5" s="74"/>
      <c r="ECY5" s="74"/>
      <c r="ECZ5" s="74"/>
      <c r="EDA5" s="74"/>
      <c r="EDB5" s="74"/>
      <c r="EDC5" s="74"/>
      <c r="EDD5" s="74"/>
      <c r="EDE5" s="74"/>
      <c r="EDF5" s="74"/>
      <c r="EDG5" s="74"/>
      <c r="EDH5" s="74"/>
      <c r="EDI5" s="74"/>
      <c r="EDJ5" s="74"/>
      <c r="EDK5" s="74"/>
      <c r="EDL5" s="74"/>
      <c r="EDM5" s="74"/>
      <c r="EDN5" s="74"/>
      <c r="EDO5" s="74"/>
      <c r="EDP5" s="74"/>
      <c r="EDQ5" s="74"/>
      <c r="EDR5" s="74"/>
      <c r="EDS5" s="74"/>
      <c r="EDT5" s="74"/>
      <c r="EDU5" s="74"/>
      <c r="EDV5" s="74"/>
      <c r="EDW5" s="74"/>
      <c r="EDX5" s="74"/>
      <c r="EDY5" s="74"/>
      <c r="EDZ5" s="74"/>
      <c r="EEA5" s="74"/>
      <c r="EEB5" s="74"/>
      <c r="EEC5" s="74"/>
      <c r="EED5" s="74"/>
      <c r="EEE5" s="74"/>
      <c r="EEF5" s="74"/>
      <c r="EEG5" s="74"/>
      <c r="EEH5" s="74"/>
      <c r="EEI5" s="74"/>
      <c r="EEJ5" s="74"/>
      <c r="EEK5" s="74"/>
      <c r="EEL5" s="74"/>
      <c r="EEM5" s="74"/>
      <c r="EEN5" s="74"/>
      <c r="EEO5" s="74"/>
      <c r="EEP5" s="74"/>
      <c r="EEQ5" s="74"/>
      <c r="EER5" s="74"/>
      <c r="EES5" s="74"/>
      <c r="EET5" s="74"/>
      <c r="EEU5" s="74"/>
      <c r="EEV5" s="74"/>
      <c r="EEW5" s="74"/>
      <c r="EEX5" s="74"/>
      <c r="EEY5" s="74"/>
      <c r="EEZ5" s="74"/>
      <c r="EFA5" s="74"/>
      <c r="EFB5" s="74"/>
      <c r="EFC5" s="74"/>
      <c r="EFD5" s="74"/>
      <c r="EFE5" s="74"/>
      <c r="EFF5" s="74"/>
      <c r="EFG5" s="74"/>
      <c r="EFH5" s="74"/>
      <c r="EFI5" s="74"/>
      <c r="EFJ5" s="74"/>
      <c r="EFK5" s="74"/>
      <c r="EFL5" s="74"/>
      <c r="EFM5" s="74"/>
      <c r="EFN5" s="74"/>
      <c r="EFO5" s="74"/>
      <c r="EFP5" s="74"/>
      <c r="EFQ5" s="74"/>
      <c r="EFR5" s="74"/>
      <c r="EFS5" s="74"/>
      <c r="EFT5" s="74"/>
      <c r="EFU5" s="74"/>
      <c r="EFV5" s="74"/>
      <c r="EFW5" s="74"/>
      <c r="EFX5" s="74"/>
      <c r="EFY5" s="74"/>
      <c r="EFZ5" s="74"/>
      <c r="EGA5" s="74"/>
      <c r="EGB5" s="74"/>
      <c r="EGC5" s="74"/>
      <c r="EGD5" s="74"/>
      <c r="EGE5" s="74"/>
      <c r="EGF5" s="74"/>
      <c r="EGG5" s="74"/>
      <c r="EGH5" s="74"/>
      <c r="EGI5" s="74"/>
      <c r="EGJ5" s="74"/>
      <c r="EGK5" s="74"/>
      <c r="EGL5" s="74"/>
      <c r="EGM5" s="74"/>
      <c r="EGN5" s="74"/>
      <c r="EGO5" s="74"/>
      <c r="EGP5" s="74"/>
      <c r="EGQ5" s="74"/>
      <c r="EGR5" s="74"/>
      <c r="EGS5" s="74"/>
      <c r="EGT5" s="74"/>
      <c r="EGU5" s="74"/>
      <c r="EGV5" s="74"/>
      <c r="EGW5" s="74"/>
      <c r="EGX5" s="74"/>
      <c r="EGY5" s="74"/>
      <c r="EGZ5" s="74"/>
      <c r="EHA5" s="74"/>
      <c r="EHB5" s="74"/>
      <c r="EHC5" s="74"/>
      <c r="EHD5" s="74"/>
      <c r="EHE5" s="74"/>
      <c r="EHF5" s="74"/>
      <c r="EHG5" s="74"/>
      <c r="EHH5" s="74"/>
      <c r="EHI5" s="74"/>
      <c r="EHJ5" s="74"/>
      <c r="EHK5" s="74"/>
      <c r="EHL5" s="74"/>
      <c r="EHM5" s="74"/>
      <c r="EHN5" s="74"/>
      <c r="EHO5" s="74"/>
      <c r="EHP5" s="74"/>
      <c r="EHQ5" s="74"/>
      <c r="EHR5" s="74"/>
      <c r="EHS5" s="74"/>
      <c r="EHT5" s="74"/>
      <c r="EHU5" s="74"/>
      <c r="EHV5" s="74"/>
      <c r="EHW5" s="74"/>
      <c r="EHX5" s="74"/>
      <c r="EHY5" s="74"/>
      <c r="EHZ5" s="74"/>
      <c r="EIA5" s="74"/>
      <c r="EIB5" s="74"/>
      <c r="EIC5" s="74"/>
      <c r="EID5" s="74"/>
      <c r="EIE5" s="74"/>
      <c r="EIF5" s="74"/>
      <c r="EIG5" s="74"/>
      <c r="EIH5" s="74"/>
      <c r="EII5" s="74"/>
      <c r="EIJ5" s="74"/>
      <c r="EIK5" s="74"/>
      <c r="EIL5" s="74"/>
      <c r="EIM5" s="74"/>
      <c r="EIN5" s="74"/>
      <c r="EIO5" s="74"/>
      <c r="EIP5" s="74"/>
      <c r="EIQ5" s="74"/>
      <c r="EIR5" s="74"/>
      <c r="EIS5" s="74"/>
      <c r="EIT5" s="74"/>
      <c r="EIU5" s="74"/>
      <c r="EIV5" s="74"/>
      <c r="EIW5" s="74"/>
      <c r="EIX5" s="74"/>
      <c r="EIY5" s="74"/>
      <c r="EIZ5" s="74"/>
      <c r="EJA5" s="74"/>
      <c r="EJB5" s="74"/>
      <c r="EJC5" s="74"/>
      <c r="EJD5" s="74"/>
      <c r="EJE5" s="74"/>
      <c r="EJF5" s="74"/>
      <c r="EJG5" s="74"/>
      <c r="EJH5" s="74"/>
      <c r="EJI5" s="74"/>
      <c r="EJJ5" s="74"/>
      <c r="EJK5" s="74"/>
      <c r="EJL5" s="74"/>
      <c r="EJM5" s="74"/>
      <c r="EJN5" s="74"/>
      <c r="EJO5" s="74"/>
      <c r="EJP5" s="74"/>
      <c r="EJQ5" s="74"/>
      <c r="EJR5" s="74"/>
      <c r="EJS5" s="74"/>
      <c r="EJT5" s="74"/>
      <c r="EJU5" s="74"/>
      <c r="EJV5" s="74"/>
      <c r="EJW5" s="74"/>
      <c r="EJX5" s="74"/>
      <c r="EJY5" s="74"/>
      <c r="EJZ5" s="74"/>
      <c r="EKA5" s="74"/>
      <c r="EKB5" s="74"/>
      <c r="EKC5" s="74"/>
      <c r="EKD5" s="74"/>
      <c r="EKE5" s="74"/>
      <c r="EKF5" s="74"/>
      <c r="EKG5" s="74"/>
      <c r="EKH5" s="74"/>
      <c r="EKI5" s="74"/>
      <c r="EKJ5" s="74"/>
      <c r="EKK5" s="74"/>
      <c r="EKL5" s="74"/>
      <c r="EKM5" s="74"/>
      <c r="EKN5" s="74"/>
      <c r="EKO5" s="74"/>
      <c r="EKP5" s="74"/>
      <c r="EKQ5" s="74"/>
      <c r="EKR5" s="74"/>
      <c r="EKS5" s="74"/>
      <c r="EKT5" s="74"/>
      <c r="EKU5" s="74"/>
      <c r="EKV5" s="74"/>
      <c r="EKW5" s="74"/>
      <c r="EKX5" s="74"/>
      <c r="EKY5" s="74"/>
      <c r="EKZ5" s="74"/>
      <c r="ELA5" s="74"/>
      <c r="ELB5" s="74"/>
      <c r="ELC5" s="74"/>
      <c r="ELD5" s="74"/>
      <c r="ELE5" s="74"/>
      <c r="ELF5" s="74"/>
      <c r="ELG5" s="74"/>
      <c r="ELH5" s="74"/>
      <c r="ELI5" s="74"/>
      <c r="ELJ5" s="74"/>
      <c r="ELK5" s="74"/>
      <c r="ELL5" s="74"/>
      <c r="ELM5" s="74"/>
      <c r="ELN5" s="74"/>
      <c r="ELO5" s="74"/>
      <c r="ELP5" s="74"/>
      <c r="ELQ5" s="74"/>
      <c r="ELR5" s="74"/>
      <c r="ELS5" s="74"/>
      <c r="ELT5" s="74"/>
      <c r="ELU5" s="74"/>
      <c r="ELV5" s="74"/>
      <c r="ELW5" s="74"/>
      <c r="ELX5" s="74"/>
      <c r="ELY5" s="74"/>
      <c r="ELZ5" s="74"/>
      <c r="EMA5" s="74"/>
      <c r="EMB5" s="74"/>
      <c r="EMC5" s="74"/>
      <c r="EMD5" s="74"/>
      <c r="EME5" s="74"/>
      <c r="EMF5" s="74"/>
      <c r="EMG5" s="74"/>
      <c r="EMH5" s="74"/>
      <c r="EMI5" s="74"/>
      <c r="EMJ5" s="74"/>
      <c r="EMK5" s="74"/>
      <c r="EML5" s="74"/>
      <c r="EMM5" s="74"/>
      <c r="EMN5" s="74"/>
      <c r="EMO5" s="74"/>
      <c r="EMP5" s="74"/>
      <c r="EMQ5" s="74"/>
      <c r="EMR5" s="74"/>
      <c r="EMS5" s="74"/>
      <c r="EMT5" s="74"/>
      <c r="EMU5" s="74"/>
      <c r="EMV5" s="74"/>
      <c r="EMW5" s="74"/>
      <c r="EMX5" s="74"/>
      <c r="EMY5" s="74"/>
      <c r="EMZ5" s="74"/>
      <c r="ENA5" s="74"/>
      <c r="ENB5" s="74"/>
      <c r="ENC5" s="74"/>
      <c r="END5" s="74"/>
      <c r="ENE5" s="74"/>
      <c r="ENF5" s="74"/>
      <c r="ENG5" s="74"/>
      <c r="ENH5" s="74"/>
      <c r="ENI5" s="74"/>
      <c r="ENJ5" s="74"/>
      <c r="ENK5" s="74"/>
      <c r="ENL5" s="74"/>
      <c r="ENM5" s="74"/>
      <c r="ENN5" s="74"/>
      <c r="ENO5" s="74"/>
      <c r="ENP5" s="74"/>
      <c r="ENQ5" s="74"/>
      <c r="ENR5" s="74"/>
      <c r="ENS5" s="74"/>
      <c r="ENT5" s="74"/>
      <c r="ENU5" s="74"/>
      <c r="ENV5" s="74"/>
      <c r="ENW5" s="74"/>
      <c r="ENX5" s="74"/>
      <c r="ENY5" s="74"/>
      <c r="ENZ5" s="74"/>
      <c r="EOA5" s="74"/>
      <c r="EOB5" s="74"/>
      <c r="EOC5" s="74"/>
      <c r="EOD5" s="74"/>
      <c r="EOE5" s="74"/>
      <c r="EOF5" s="74"/>
      <c r="EOG5" s="74"/>
      <c r="EOH5" s="74"/>
      <c r="EOI5" s="74"/>
      <c r="EOJ5" s="74"/>
      <c r="EOK5" s="74"/>
      <c r="EOL5" s="74"/>
      <c r="EOM5" s="74"/>
      <c r="EON5" s="74"/>
      <c r="EOO5" s="74"/>
      <c r="EOP5" s="74"/>
      <c r="EOQ5" s="74"/>
      <c r="EOR5" s="74"/>
      <c r="EOS5" s="74"/>
      <c r="EOT5" s="74"/>
      <c r="EOU5" s="74"/>
      <c r="EOV5" s="74"/>
      <c r="EOW5" s="74"/>
      <c r="EOX5" s="74"/>
      <c r="EOY5" s="74"/>
      <c r="EOZ5" s="74"/>
      <c r="EPA5" s="74"/>
      <c r="EPB5" s="74"/>
      <c r="EPC5" s="74"/>
      <c r="EPD5" s="74"/>
      <c r="EPE5" s="74"/>
      <c r="EPF5" s="74"/>
      <c r="EPG5" s="74"/>
      <c r="EPH5" s="74"/>
      <c r="EPI5" s="74"/>
      <c r="EPJ5" s="74"/>
      <c r="EPK5" s="74"/>
      <c r="EPL5" s="74"/>
      <c r="EPM5" s="74"/>
      <c r="EPN5" s="74"/>
      <c r="EPO5" s="74"/>
      <c r="EPP5" s="74"/>
      <c r="EPQ5" s="74"/>
      <c r="EPR5" s="74"/>
      <c r="EPS5" s="74"/>
      <c r="EPT5" s="74"/>
      <c r="EPU5" s="74"/>
      <c r="EPV5" s="74"/>
      <c r="EPW5" s="74"/>
      <c r="EPX5" s="74"/>
      <c r="EPY5" s="74"/>
      <c r="EPZ5" s="74"/>
      <c r="EQA5" s="74"/>
      <c r="EQB5" s="74"/>
      <c r="EQC5" s="74"/>
      <c r="EQD5" s="74"/>
      <c r="EQE5" s="74"/>
      <c r="EQF5" s="74"/>
      <c r="EQG5" s="74"/>
      <c r="EQH5" s="74"/>
      <c r="EQI5" s="74"/>
      <c r="EQJ5" s="74"/>
      <c r="EQK5" s="74"/>
      <c r="EQL5" s="74"/>
      <c r="EQM5" s="74"/>
      <c r="EQN5" s="74"/>
      <c r="EQO5" s="74"/>
      <c r="EQP5" s="74"/>
      <c r="EQQ5" s="74"/>
      <c r="EQR5" s="74"/>
      <c r="EQS5" s="74"/>
      <c r="EQT5" s="74"/>
      <c r="EQU5" s="74"/>
      <c r="EQV5" s="74"/>
      <c r="EQW5" s="74"/>
      <c r="EQX5" s="74"/>
      <c r="EQY5" s="74"/>
      <c r="EQZ5" s="74"/>
      <c r="ERA5" s="74"/>
      <c r="ERB5" s="74"/>
      <c r="ERC5" s="74"/>
      <c r="ERD5" s="74"/>
      <c r="ERE5" s="74"/>
      <c r="ERF5" s="74"/>
      <c r="ERG5" s="74"/>
      <c r="ERH5" s="74"/>
      <c r="ERI5" s="74"/>
      <c r="ERJ5" s="74"/>
      <c r="ERK5" s="74"/>
      <c r="ERL5" s="74"/>
      <c r="ERM5" s="74"/>
      <c r="ERN5" s="74"/>
      <c r="ERO5" s="74"/>
      <c r="ERP5" s="74"/>
      <c r="ERQ5" s="74"/>
      <c r="ERR5" s="74"/>
      <c r="ERS5" s="74"/>
      <c r="ERT5" s="74"/>
      <c r="ERU5" s="74"/>
      <c r="ERV5" s="74"/>
      <c r="ERW5" s="74"/>
      <c r="ERX5" s="74"/>
      <c r="ERY5" s="74"/>
      <c r="ERZ5" s="74"/>
      <c r="ESA5" s="74"/>
      <c r="ESB5" s="74"/>
      <c r="ESC5" s="74"/>
      <c r="ESD5" s="74"/>
      <c r="ESE5" s="74"/>
      <c r="ESF5" s="74"/>
      <c r="ESG5" s="74"/>
      <c r="ESH5" s="74"/>
      <c r="ESI5" s="74"/>
      <c r="ESJ5" s="74"/>
      <c r="ESK5" s="74"/>
      <c r="ESL5" s="74"/>
      <c r="ESM5" s="74"/>
      <c r="ESN5" s="74"/>
      <c r="ESO5" s="74"/>
      <c r="ESP5" s="74"/>
      <c r="ESQ5" s="74"/>
      <c r="ESR5" s="74"/>
      <c r="ESS5" s="74"/>
      <c r="EST5" s="74"/>
      <c r="ESU5" s="74"/>
      <c r="ESV5" s="74"/>
      <c r="ESW5" s="74"/>
      <c r="ESX5" s="74"/>
      <c r="ESY5" s="74"/>
      <c r="ESZ5" s="74"/>
      <c r="ETA5" s="74"/>
      <c r="ETB5" s="74"/>
      <c r="ETC5" s="74"/>
      <c r="ETD5" s="74"/>
      <c r="ETE5" s="74"/>
      <c r="ETF5" s="74"/>
      <c r="ETG5" s="74"/>
      <c r="ETH5" s="74"/>
      <c r="ETI5" s="74"/>
      <c r="ETJ5" s="74"/>
      <c r="ETK5" s="74"/>
      <c r="ETL5" s="74"/>
      <c r="ETM5" s="74"/>
      <c r="ETN5" s="74"/>
      <c r="ETO5" s="74"/>
      <c r="ETP5" s="74"/>
      <c r="ETQ5" s="74"/>
      <c r="ETR5" s="74"/>
      <c r="ETS5" s="74"/>
      <c r="ETT5" s="74"/>
      <c r="ETU5" s="74"/>
      <c r="ETV5" s="74"/>
      <c r="ETW5" s="74"/>
      <c r="ETX5" s="74"/>
      <c r="ETY5" s="74"/>
      <c r="ETZ5" s="74"/>
      <c r="EUA5" s="74"/>
      <c r="EUB5" s="74"/>
      <c r="EUC5" s="74"/>
      <c r="EUD5" s="74"/>
      <c r="EUE5" s="74"/>
      <c r="EUF5" s="74"/>
      <c r="EUG5" s="74"/>
      <c r="EUH5" s="74"/>
      <c r="EUI5" s="74"/>
      <c r="EUJ5" s="74"/>
      <c r="EUK5" s="74"/>
      <c r="EUL5" s="74"/>
      <c r="EUM5" s="74"/>
      <c r="EUN5" s="74"/>
      <c r="EUO5" s="74"/>
      <c r="EUP5" s="74"/>
      <c r="EUQ5" s="74"/>
      <c r="EUR5" s="74"/>
      <c r="EUS5" s="74"/>
      <c r="EUT5" s="74"/>
      <c r="EUU5" s="74"/>
      <c r="EUV5" s="74"/>
      <c r="EUW5" s="74"/>
      <c r="EUX5" s="74"/>
      <c r="EUY5" s="74"/>
      <c r="EUZ5" s="74"/>
      <c r="EVA5" s="74"/>
      <c r="EVB5" s="74"/>
      <c r="EVC5" s="74"/>
      <c r="EVD5" s="74"/>
      <c r="EVE5" s="74"/>
      <c r="EVF5" s="74"/>
      <c r="EVG5" s="74"/>
      <c r="EVH5" s="74"/>
      <c r="EVI5" s="74"/>
      <c r="EVJ5" s="74"/>
      <c r="EVK5" s="74"/>
      <c r="EVL5" s="74"/>
      <c r="EVM5" s="74"/>
      <c r="EVN5" s="74"/>
      <c r="EVO5" s="74"/>
      <c r="EVP5" s="74"/>
      <c r="EVQ5" s="74"/>
      <c r="EVR5" s="74"/>
      <c r="EVS5" s="74"/>
      <c r="EVT5" s="74"/>
      <c r="EVU5" s="74"/>
      <c r="EVV5" s="74"/>
      <c r="EVW5" s="74"/>
      <c r="EVX5" s="74"/>
      <c r="EVY5" s="74"/>
      <c r="EVZ5" s="74"/>
      <c r="EWA5" s="74"/>
      <c r="EWB5" s="74"/>
      <c r="EWC5" s="74"/>
      <c r="EWD5" s="74"/>
      <c r="EWE5" s="74"/>
      <c r="EWF5" s="74"/>
      <c r="EWG5" s="74"/>
      <c r="EWH5" s="74"/>
      <c r="EWI5" s="74"/>
      <c r="EWJ5" s="74"/>
      <c r="EWK5" s="74"/>
      <c r="EWL5" s="74"/>
      <c r="EWM5" s="74"/>
      <c r="EWN5" s="74"/>
      <c r="EWO5" s="74"/>
      <c r="EWP5" s="74"/>
      <c r="EWQ5" s="74"/>
      <c r="EWR5" s="74"/>
      <c r="EWS5" s="74"/>
      <c r="EWT5" s="74"/>
      <c r="EWU5" s="74"/>
      <c r="EWV5" s="74"/>
      <c r="EWW5" s="74"/>
      <c r="EWX5" s="74"/>
      <c r="EWY5" s="74"/>
      <c r="EWZ5" s="74"/>
      <c r="EXA5" s="74"/>
      <c r="EXB5" s="74"/>
      <c r="EXC5" s="74"/>
      <c r="EXD5" s="74"/>
      <c r="EXE5" s="74"/>
      <c r="EXF5" s="74"/>
      <c r="EXG5" s="74"/>
      <c r="EXH5" s="74"/>
      <c r="EXI5" s="74"/>
      <c r="EXJ5" s="74"/>
      <c r="EXK5" s="74"/>
      <c r="EXL5" s="74"/>
      <c r="EXM5" s="74"/>
      <c r="EXN5" s="74"/>
      <c r="EXO5" s="74"/>
      <c r="EXP5" s="74"/>
      <c r="EXQ5" s="74"/>
      <c r="EXR5" s="74"/>
      <c r="EXS5" s="74"/>
      <c r="EXT5" s="74"/>
      <c r="EXU5" s="74"/>
      <c r="EXV5" s="74"/>
      <c r="EXW5" s="74"/>
      <c r="EXX5" s="74"/>
      <c r="EXY5" s="74"/>
      <c r="EXZ5" s="74"/>
      <c r="EYA5" s="74"/>
      <c r="EYB5" s="74"/>
      <c r="EYC5" s="74"/>
      <c r="EYD5" s="74"/>
      <c r="EYE5" s="74"/>
      <c r="EYF5" s="74"/>
      <c r="EYG5" s="74"/>
      <c r="EYH5" s="74"/>
      <c r="EYI5" s="74"/>
      <c r="EYJ5" s="74"/>
      <c r="EYK5" s="74"/>
      <c r="EYL5" s="74"/>
      <c r="EYM5" s="74"/>
      <c r="EYN5" s="74"/>
      <c r="EYO5" s="74"/>
      <c r="EYP5" s="74"/>
      <c r="EYQ5" s="74"/>
      <c r="EYR5" s="74"/>
      <c r="EYS5" s="74"/>
      <c r="EYT5" s="74"/>
      <c r="EYU5" s="74"/>
      <c r="EYV5" s="74"/>
      <c r="EYW5" s="74"/>
      <c r="EYX5" s="74"/>
      <c r="EYY5" s="74"/>
      <c r="EYZ5" s="74"/>
      <c r="EZA5" s="74"/>
      <c r="EZB5" s="74"/>
      <c r="EZC5" s="74"/>
      <c r="EZD5" s="74"/>
      <c r="EZE5" s="74"/>
      <c r="EZF5" s="74"/>
      <c r="EZG5" s="74"/>
      <c r="EZH5" s="74"/>
      <c r="EZI5" s="74"/>
      <c r="EZJ5" s="74"/>
      <c r="EZK5" s="74"/>
      <c r="EZL5" s="74"/>
      <c r="EZM5" s="74"/>
      <c r="EZN5" s="74"/>
      <c r="EZO5" s="74"/>
      <c r="EZP5" s="74"/>
      <c r="EZQ5" s="74"/>
      <c r="EZR5" s="74"/>
      <c r="EZS5" s="74"/>
      <c r="EZT5" s="74"/>
      <c r="EZU5" s="74"/>
      <c r="EZV5" s="74"/>
      <c r="EZW5" s="74"/>
      <c r="EZX5" s="74"/>
      <c r="EZY5" s="74"/>
      <c r="EZZ5" s="74"/>
      <c r="FAA5" s="74"/>
      <c r="FAB5" s="74"/>
      <c r="FAC5" s="74"/>
      <c r="FAD5" s="74"/>
      <c r="FAE5" s="74"/>
      <c r="FAF5" s="74"/>
      <c r="FAG5" s="74"/>
      <c r="FAH5" s="74"/>
      <c r="FAI5" s="74"/>
      <c r="FAJ5" s="74"/>
      <c r="FAK5" s="74"/>
      <c r="FAL5" s="74"/>
      <c r="FAM5" s="74"/>
      <c r="FAN5" s="74"/>
      <c r="FAO5" s="74"/>
      <c r="FAP5" s="74"/>
      <c r="FAQ5" s="74"/>
      <c r="FAR5" s="74"/>
      <c r="FAS5" s="74"/>
      <c r="FAT5" s="74"/>
      <c r="FAU5" s="74"/>
      <c r="FAV5" s="74"/>
      <c r="FAW5" s="74"/>
      <c r="FAX5" s="74"/>
      <c r="FAY5" s="74"/>
      <c r="FAZ5" s="74"/>
      <c r="FBA5" s="74"/>
      <c r="FBB5" s="74"/>
      <c r="FBC5" s="74"/>
      <c r="FBD5" s="74"/>
      <c r="FBE5" s="74"/>
      <c r="FBF5" s="74"/>
      <c r="FBG5" s="74"/>
      <c r="FBH5" s="74"/>
      <c r="FBI5" s="74"/>
      <c r="FBJ5" s="74"/>
      <c r="FBK5" s="74"/>
      <c r="FBL5" s="74"/>
      <c r="FBM5" s="74"/>
      <c r="FBN5" s="74"/>
      <c r="FBO5" s="74"/>
      <c r="FBP5" s="74"/>
      <c r="FBQ5" s="74"/>
      <c r="FBR5" s="74"/>
      <c r="FBS5" s="74"/>
      <c r="FBT5" s="74"/>
      <c r="FBU5" s="74"/>
      <c r="FBV5" s="74"/>
      <c r="FBW5" s="74"/>
      <c r="FBX5" s="74"/>
      <c r="FBY5" s="74"/>
      <c r="FBZ5" s="74"/>
      <c r="FCA5" s="74"/>
      <c r="FCB5" s="74"/>
      <c r="FCC5" s="74"/>
      <c r="FCD5" s="74"/>
      <c r="FCE5" s="74"/>
      <c r="FCF5" s="74"/>
      <c r="FCG5" s="74"/>
      <c r="FCH5" s="74"/>
      <c r="FCI5" s="74"/>
      <c r="FCJ5" s="74"/>
      <c r="FCK5" s="74"/>
      <c r="FCL5" s="74"/>
      <c r="FCM5" s="74"/>
      <c r="FCN5" s="74"/>
      <c r="FCO5" s="74"/>
      <c r="FCP5" s="74"/>
      <c r="FCQ5" s="74"/>
      <c r="FCR5" s="74"/>
      <c r="FCS5" s="74"/>
      <c r="FCT5" s="74"/>
      <c r="FCU5" s="74"/>
      <c r="FCV5" s="74"/>
      <c r="FCW5" s="74"/>
      <c r="FCX5" s="74"/>
      <c r="FCY5" s="74"/>
      <c r="FCZ5" s="74"/>
      <c r="FDA5" s="74"/>
      <c r="FDB5" s="74"/>
      <c r="FDC5" s="74"/>
      <c r="FDD5" s="74"/>
      <c r="FDE5" s="74"/>
      <c r="FDF5" s="74"/>
      <c r="FDG5" s="74"/>
      <c r="FDH5" s="74"/>
      <c r="FDI5" s="74"/>
      <c r="FDJ5" s="74"/>
      <c r="FDK5" s="74"/>
      <c r="FDL5" s="74"/>
      <c r="FDM5" s="74"/>
      <c r="FDN5" s="74"/>
      <c r="FDO5" s="74"/>
      <c r="FDP5" s="74"/>
      <c r="FDQ5" s="74"/>
      <c r="FDR5" s="74"/>
      <c r="FDS5" s="74"/>
      <c r="FDT5" s="74"/>
      <c r="FDU5" s="74"/>
      <c r="FDV5" s="74"/>
      <c r="FDW5" s="74"/>
      <c r="FDX5" s="74"/>
      <c r="FDY5" s="74"/>
      <c r="FDZ5" s="74"/>
      <c r="FEA5" s="74"/>
      <c r="FEB5" s="74"/>
      <c r="FEC5" s="74"/>
      <c r="FED5" s="74"/>
      <c r="FEE5" s="74"/>
      <c r="FEF5" s="74"/>
      <c r="FEG5" s="74"/>
      <c r="FEH5" s="74"/>
      <c r="FEI5" s="74"/>
      <c r="FEJ5" s="74"/>
      <c r="FEK5" s="74"/>
      <c r="FEL5" s="74"/>
      <c r="FEM5" s="74"/>
      <c r="FEN5" s="74"/>
      <c r="FEO5" s="74"/>
      <c r="FEP5" s="74"/>
      <c r="FEQ5" s="74"/>
      <c r="FER5" s="74"/>
      <c r="FES5" s="74"/>
      <c r="FET5" s="74"/>
      <c r="FEU5" s="74"/>
      <c r="FEV5" s="74"/>
      <c r="FEW5" s="74"/>
      <c r="FEX5" s="74"/>
      <c r="FEY5" s="74"/>
      <c r="FEZ5" s="74"/>
      <c r="FFA5" s="74"/>
      <c r="FFB5" s="74"/>
      <c r="FFC5" s="74"/>
      <c r="FFD5" s="74"/>
      <c r="FFE5" s="74"/>
      <c r="FFF5" s="74"/>
      <c r="FFG5" s="74"/>
      <c r="FFH5" s="74"/>
      <c r="FFI5" s="74"/>
      <c r="FFJ5" s="74"/>
      <c r="FFK5" s="74"/>
      <c r="FFL5" s="74"/>
      <c r="FFM5" s="74"/>
      <c r="FFN5" s="74"/>
      <c r="FFO5" s="74"/>
      <c r="FFP5" s="74"/>
      <c r="FFQ5" s="74"/>
      <c r="FFR5" s="74"/>
      <c r="FFS5" s="74"/>
      <c r="FFT5" s="74"/>
      <c r="FFU5" s="74"/>
      <c r="FFV5" s="74"/>
      <c r="FFW5" s="74"/>
      <c r="FFX5" s="74"/>
      <c r="FFY5" s="74"/>
      <c r="FFZ5" s="74"/>
      <c r="FGA5" s="74"/>
      <c r="FGB5" s="74"/>
      <c r="FGC5" s="74"/>
      <c r="FGD5" s="74"/>
      <c r="FGE5" s="74"/>
      <c r="FGF5" s="74"/>
      <c r="FGG5" s="74"/>
      <c r="FGH5" s="74"/>
      <c r="FGI5" s="74"/>
      <c r="FGJ5" s="74"/>
      <c r="FGK5" s="74"/>
      <c r="FGL5" s="74"/>
      <c r="FGM5" s="74"/>
      <c r="FGN5" s="74"/>
      <c r="FGO5" s="74"/>
      <c r="FGP5" s="74"/>
      <c r="FGQ5" s="74"/>
      <c r="FGR5" s="74"/>
      <c r="FGS5" s="74"/>
      <c r="FGT5" s="74"/>
      <c r="FGU5" s="74"/>
      <c r="FGV5" s="74"/>
      <c r="FGW5" s="74"/>
      <c r="FGX5" s="74"/>
      <c r="FGY5" s="74"/>
      <c r="FGZ5" s="74"/>
      <c r="FHA5" s="74"/>
      <c r="FHB5" s="74"/>
      <c r="FHC5" s="74"/>
      <c r="FHD5" s="74"/>
      <c r="FHE5" s="74"/>
      <c r="FHF5" s="74"/>
      <c r="FHG5" s="74"/>
      <c r="FHH5" s="74"/>
      <c r="FHI5" s="74"/>
      <c r="FHJ5" s="74"/>
      <c r="FHK5" s="74"/>
      <c r="FHL5" s="74"/>
      <c r="FHM5" s="74"/>
      <c r="FHN5" s="74"/>
      <c r="FHO5" s="74"/>
      <c r="FHP5" s="74"/>
      <c r="FHQ5" s="74"/>
      <c r="FHR5" s="74"/>
      <c r="FHS5" s="74"/>
      <c r="FHT5" s="74"/>
      <c r="FHU5" s="74"/>
      <c r="FHV5" s="74"/>
      <c r="FHW5" s="74"/>
      <c r="FHX5" s="74"/>
      <c r="FHY5" s="74"/>
      <c r="FHZ5" s="74"/>
      <c r="FIA5" s="74"/>
      <c r="FIB5" s="74"/>
      <c r="FIC5" s="74"/>
      <c r="FID5" s="74"/>
      <c r="FIE5" s="74"/>
      <c r="FIF5" s="74"/>
      <c r="FIG5" s="74"/>
      <c r="FIH5" s="74"/>
      <c r="FII5" s="74"/>
      <c r="FIJ5" s="74"/>
      <c r="FIK5" s="74"/>
      <c r="FIL5" s="74"/>
      <c r="FIM5" s="74"/>
      <c r="FIN5" s="74"/>
      <c r="FIO5" s="74"/>
      <c r="FIP5" s="74"/>
      <c r="FIQ5" s="74"/>
      <c r="FIR5" s="74"/>
      <c r="FIS5" s="74"/>
      <c r="FIT5" s="74"/>
      <c r="FIU5" s="74"/>
      <c r="FIV5" s="74"/>
      <c r="FIW5" s="74"/>
      <c r="FIX5" s="74"/>
      <c r="FIY5" s="74"/>
      <c r="FIZ5" s="74"/>
      <c r="FJA5" s="74"/>
      <c r="FJB5" s="74"/>
      <c r="FJC5" s="74"/>
      <c r="FJD5" s="74"/>
      <c r="FJE5" s="74"/>
      <c r="FJF5" s="74"/>
      <c r="FJG5" s="74"/>
      <c r="FJH5" s="74"/>
      <c r="FJI5" s="74"/>
      <c r="FJJ5" s="74"/>
      <c r="FJK5" s="74"/>
      <c r="FJL5" s="74"/>
      <c r="FJM5" s="74"/>
      <c r="FJN5" s="74"/>
      <c r="FJO5" s="74"/>
      <c r="FJP5" s="74"/>
      <c r="FJQ5" s="74"/>
      <c r="FJR5" s="74"/>
      <c r="FJS5" s="74"/>
      <c r="FJT5" s="74"/>
      <c r="FJU5" s="74"/>
      <c r="FJV5" s="74"/>
      <c r="FJW5" s="74"/>
      <c r="FJX5" s="74"/>
      <c r="FJY5" s="74"/>
      <c r="FJZ5" s="74"/>
      <c r="FKA5" s="74"/>
      <c r="FKB5" s="74"/>
      <c r="FKC5" s="74"/>
      <c r="FKD5" s="74"/>
      <c r="FKE5" s="74"/>
      <c r="FKF5" s="74"/>
      <c r="FKG5" s="74"/>
      <c r="FKH5" s="74"/>
      <c r="FKI5" s="74"/>
      <c r="FKJ5" s="74"/>
      <c r="FKK5" s="74"/>
      <c r="FKL5" s="74"/>
      <c r="FKM5" s="74"/>
      <c r="FKN5" s="74"/>
      <c r="FKO5" s="74"/>
      <c r="FKP5" s="74"/>
      <c r="FKQ5" s="74"/>
      <c r="FKR5" s="74"/>
      <c r="FKS5" s="74"/>
      <c r="FKT5" s="74"/>
      <c r="FKU5" s="74"/>
      <c r="FKV5" s="74"/>
      <c r="FKW5" s="74"/>
      <c r="FKX5" s="74"/>
      <c r="FKY5" s="74"/>
      <c r="FKZ5" s="74"/>
      <c r="FLA5" s="74"/>
      <c r="FLB5" s="74"/>
      <c r="FLC5" s="74"/>
      <c r="FLD5" s="74"/>
      <c r="FLE5" s="74"/>
      <c r="FLF5" s="74"/>
      <c r="FLG5" s="74"/>
      <c r="FLH5" s="74"/>
      <c r="FLI5" s="74"/>
      <c r="FLJ5" s="74"/>
      <c r="FLK5" s="74"/>
      <c r="FLL5" s="74"/>
      <c r="FLM5" s="74"/>
      <c r="FLN5" s="74"/>
      <c r="FLO5" s="74"/>
      <c r="FLP5" s="74"/>
      <c r="FLQ5" s="74"/>
      <c r="FLR5" s="74"/>
      <c r="FLS5" s="74"/>
      <c r="FLT5" s="74"/>
      <c r="FLU5" s="74"/>
      <c r="FLV5" s="74"/>
      <c r="FLW5" s="74"/>
      <c r="FLX5" s="74"/>
      <c r="FLY5" s="74"/>
      <c r="FLZ5" s="74"/>
      <c r="FMA5" s="74"/>
      <c r="FMB5" s="74"/>
      <c r="FMC5" s="74"/>
      <c r="FMD5" s="74"/>
      <c r="FME5" s="74"/>
      <c r="FMF5" s="74"/>
      <c r="FMG5" s="74"/>
      <c r="FMH5" s="74"/>
      <c r="FMI5" s="74"/>
      <c r="FMJ5" s="74"/>
      <c r="FMK5" s="74"/>
      <c r="FML5" s="74"/>
      <c r="FMM5" s="74"/>
      <c r="FMN5" s="74"/>
      <c r="FMO5" s="74"/>
      <c r="FMP5" s="74"/>
      <c r="FMQ5" s="74"/>
      <c r="FMR5" s="74"/>
      <c r="FMS5" s="74"/>
      <c r="FMT5" s="74"/>
      <c r="FMU5" s="74"/>
      <c r="FMV5" s="74"/>
      <c r="FMW5" s="74"/>
      <c r="FMX5" s="74"/>
      <c r="FMY5" s="74"/>
      <c r="FMZ5" s="74"/>
      <c r="FNA5" s="74"/>
      <c r="FNB5" s="74"/>
      <c r="FNC5" s="74"/>
      <c r="FND5" s="74"/>
      <c r="FNE5" s="74"/>
      <c r="FNF5" s="74"/>
      <c r="FNG5" s="74"/>
      <c r="FNH5" s="74"/>
      <c r="FNI5" s="74"/>
      <c r="FNJ5" s="74"/>
      <c r="FNK5" s="74"/>
      <c r="FNL5" s="74"/>
      <c r="FNM5" s="74"/>
      <c r="FNN5" s="74"/>
      <c r="FNO5" s="74"/>
      <c r="FNP5" s="74"/>
      <c r="FNQ5" s="74"/>
      <c r="FNR5" s="74"/>
      <c r="FNS5" s="74"/>
      <c r="FNT5" s="74"/>
      <c r="FNU5" s="74"/>
      <c r="FNV5" s="74"/>
      <c r="FNW5" s="74"/>
      <c r="FNX5" s="74"/>
      <c r="FNY5" s="74"/>
      <c r="FNZ5" s="74"/>
      <c r="FOA5" s="74"/>
      <c r="FOB5" s="74"/>
      <c r="FOC5" s="74"/>
      <c r="FOD5" s="74"/>
      <c r="FOE5" s="74"/>
      <c r="FOF5" s="74"/>
      <c r="FOG5" s="74"/>
      <c r="FOH5" s="74"/>
      <c r="FOI5" s="74"/>
      <c r="FOJ5" s="74"/>
      <c r="FOK5" s="74"/>
      <c r="FOL5" s="74"/>
      <c r="FOM5" s="74"/>
      <c r="FON5" s="74"/>
      <c r="FOO5" s="74"/>
      <c r="FOP5" s="74"/>
      <c r="FOQ5" s="74"/>
      <c r="FOR5" s="74"/>
      <c r="FOS5" s="74"/>
      <c r="FOT5" s="74"/>
      <c r="FOU5" s="74"/>
      <c r="FOV5" s="74"/>
      <c r="FOW5" s="74"/>
      <c r="FOX5" s="74"/>
      <c r="FOY5" s="74"/>
      <c r="FOZ5" s="74"/>
      <c r="FPA5" s="74"/>
      <c r="FPB5" s="74"/>
      <c r="FPC5" s="74"/>
      <c r="FPD5" s="74"/>
      <c r="FPE5" s="74"/>
      <c r="FPF5" s="74"/>
      <c r="FPG5" s="74"/>
      <c r="FPH5" s="74"/>
      <c r="FPI5" s="74"/>
      <c r="FPJ5" s="74"/>
      <c r="FPK5" s="74"/>
      <c r="FPL5" s="74"/>
      <c r="FPM5" s="74"/>
      <c r="FPN5" s="74"/>
      <c r="FPO5" s="74"/>
      <c r="FPP5" s="74"/>
      <c r="FPQ5" s="74"/>
      <c r="FPR5" s="74"/>
      <c r="FPS5" s="74"/>
      <c r="FPT5" s="74"/>
      <c r="FPU5" s="74"/>
      <c r="FPV5" s="74"/>
      <c r="FPW5" s="74"/>
      <c r="FPX5" s="74"/>
      <c r="FPY5" s="74"/>
      <c r="FPZ5" s="74"/>
      <c r="FQA5" s="74"/>
      <c r="FQB5" s="74"/>
      <c r="FQC5" s="74"/>
      <c r="FQD5" s="74"/>
      <c r="FQE5" s="74"/>
      <c r="FQF5" s="74"/>
      <c r="FQG5" s="74"/>
      <c r="FQH5" s="74"/>
      <c r="FQI5" s="74"/>
      <c r="FQJ5" s="74"/>
      <c r="FQK5" s="74"/>
      <c r="FQL5" s="74"/>
      <c r="FQM5" s="74"/>
      <c r="FQN5" s="74"/>
      <c r="FQO5" s="74"/>
      <c r="FQP5" s="74"/>
      <c r="FQQ5" s="74"/>
      <c r="FQR5" s="74"/>
      <c r="FQS5" s="74"/>
      <c r="FQT5" s="74"/>
      <c r="FQU5" s="74"/>
      <c r="FQV5" s="74"/>
      <c r="FQW5" s="74"/>
      <c r="FQX5" s="74"/>
      <c r="FQY5" s="74"/>
      <c r="FQZ5" s="74"/>
      <c r="FRA5" s="74"/>
      <c r="FRB5" s="74"/>
      <c r="FRC5" s="74"/>
      <c r="FRD5" s="74"/>
      <c r="FRE5" s="74"/>
      <c r="FRF5" s="74"/>
      <c r="FRG5" s="74"/>
      <c r="FRH5" s="74"/>
      <c r="FRI5" s="74"/>
      <c r="FRJ5" s="74"/>
      <c r="FRK5" s="74"/>
      <c r="FRL5" s="74"/>
      <c r="FRM5" s="74"/>
      <c r="FRN5" s="74"/>
      <c r="FRO5" s="74"/>
      <c r="FRP5" s="74"/>
      <c r="FRQ5" s="74"/>
      <c r="FRR5" s="74"/>
      <c r="FRS5" s="74"/>
      <c r="FRT5" s="74"/>
      <c r="FRU5" s="74"/>
      <c r="FRV5" s="74"/>
      <c r="FRW5" s="74"/>
      <c r="FRX5" s="74"/>
      <c r="FRY5" s="74"/>
      <c r="FRZ5" s="74"/>
      <c r="FSA5" s="74"/>
      <c r="FSB5" s="74"/>
      <c r="FSC5" s="74"/>
      <c r="FSD5" s="74"/>
      <c r="FSE5" s="74"/>
      <c r="FSF5" s="74"/>
      <c r="FSG5" s="74"/>
      <c r="FSH5" s="74"/>
      <c r="FSI5" s="74"/>
      <c r="FSJ5" s="74"/>
      <c r="FSK5" s="74"/>
      <c r="FSL5" s="74"/>
      <c r="FSM5" s="74"/>
      <c r="FSN5" s="74"/>
      <c r="FSO5" s="74"/>
      <c r="FSP5" s="74"/>
      <c r="FSQ5" s="74"/>
      <c r="FSR5" s="74"/>
      <c r="FSS5" s="74"/>
      <c r="FST5" s="74"/>
      <c r="FSU5" s="74"/>
      <c r="FSV5" s="74"/>
      <c r="FSW5" s="74"/>
      <c r="FSX5" s="74"/>
      <c r="FSY5" s="74"/>
      <c r="FSZ5" s="74"/>
      <c r="FTA5" s="74"/>
      <c r="FTB5" s="74"/>
      <c r="FTC5" s="74"/>
      <c r="FTD5" s="74"/>
      <c r="FTE5" s="74"/>
      <c r="FTF5" s="74"/>
      <c r="FTG5" s="74"/>
      <c r="FTH5" s="74"/>
      <c r="FTI5" s="74"/>
      <c r="FTJ5" s="74"/>
      <c r="FTK5" s="74"/>
      <c r="FTL5" s="74"/>
      <c r="FTM5" s="74"/>
      <c r="FTN5" s="74"/>
      <c r="FTO5" s="74"/>
      <c r="FTP5" s="74"/>
      <c r="FTQ5" s="74"/>
      <c r="FTR5" s="74"/>
      <c r="FTS5" s="74"/>
      <c r="FTT5" s="74"/>
      <c r="FTU5" s="74"/>
      <c r="FTV5" s="74"/>
      <c r="FTW5" s="74"/>
      <c r="FTX5" s="74"/>
      <c r="FTY5" s="74"/>
      <c r="FTZ5" s="74"/>
      <c r="FUA5" s="74"/>
      <c r="FUB5" s="74"/>
      <c r="FUC5" s="74"/>
      <c r="FUD5" s="74"/>
      <c r="FUE5" s="74"/>
      <c r="FUF5" s="74"/>
      <c r="FUG5" s="74"/>
      <c r="FUH5" s="74"/>
      <c r="FUI5" s="74"/>
      <c r="FUJ5" s="74"/>
      <c r="FUK5" s="74"/>
      <c r="FUL5" s="74"/>
      <c r="FUM5" s="74"/>
      <c r="FUN5" s="74"/>
      <c r="FUO5" s="74"/>
      <c r="FUP5" s="74"/>
      <c r="FUQ5" s="74"/>
      <c r="FUR5" s="74"/>
      <c r="FUS5" s="74"/>
      <c r="FUT5" s="74"/>
      <c r="FUU5" s="74"/>
      <c r="FUV5" s="74"/>
      <c r="FUW5" s="74"/>
      <c r="FUX5" s="74"/>
      <c r="FUY5" s="74"/>
      <c r="FUZ5" s="74"/>
      <c r="FVA5" s="74"/>
      <c r="FVB5" s="74"/>
      <c r="FVC5" s="74"/>
      <c r="FVD5" s="74"/>
      <c r="FVE5" s="74"/>
      <c r="FVF5" s="74"/>
      <c r="FVG5" s="74"/>
      <c r="FVH5" s="74"/>
      <c r="FVI5" s="74"/>
      <c r="FVJ5" s="74"/>
      <c r="FVK5" s="74"/>
      <c r="FVL5" s="74"/>
      <c r="FVM5" s="74"/>
      <c r="FVN5" s="74"/>
      <c r="FVO5" s="74"/>
      <c r="FVP5" s="74"/>
      <c r="FVQ5" s="74"/>
      <c r="FVR5" s="74"/>
      <c r="FVS5" s="74"/>
      <c r="FVT5" s="74"/>
      <c r="FVU5" s="74"/>
      <c r="FVV5" s="74"/>
      <c r="FVW5" s="74"/>
      <c r="FVX5" s="74"/>
      <c r="FVY5" s="74"/>
      <c r="FVZ5" s="74"/>
      <c r="FWA5" s="74"/>
      <c r="FWB5" s="74"/>
      <c r="FWC5" s="74"/>
      <c r="FWD5" s="74"/>
      <c r="FWE5" s="74"/>
      <c r="FWF5" s="74"/>
      <c r="FWG5" s="74"/>
      <c r="FWH5" s="74"/>
      <c r="FWI5" s="74"/>
      <c r="FWJ5" s="74"/>
      <c r="FWK5" s="74"/>
      <c r="FWL5" s="74"/>
      <c r="FWM5" s="74"/>
      <c r="FWN5" s="74"/>
      <c r="FWO5" s="74"/>
      <c r="FWP5" s="74"/>
      <c r="FWQ5" s="74"/>
      <c r="FWR5" s="74"/>
      <c r="FWS5" s="74"/>
      <c r="FWT5" s="74"/>
      <c r="FWU5" s="74"/>
      <c r="FWV5" s="74"/>
      <c r="FWW5" s="74"/>
      <c r="FWX5" s="74"/>
      <c r="FWY5" s="74"/>
      <c r="FWZ5" s="74"/>
      <c r="FXA5" s="74"/>
      <c r="FXB5" s="74"/>
      <c r="FXC5" s="74"/>
      <c r="FXD5" s="74"/>
      <c r="FXE5" s="74"/>
      <c r="FXF5" s="74"/>
      <c r="FXG5" s="74"/>
      <c r="FXH5" s="74"/>
      <c r="FXI5" s="74"/>
      <c r="FXJ5" s="74"/>
      <c r="FXK5" s="74"/>
      <c r="FXL5" s="74"/>
      <c r="FXM5" s="74"/>
      <c r="FXN5" s="74"/>
      <c r="FXO5" s="74"/>
      <c r="FXP5" s="74"/>
      <c r="FXQ5" s="74"/>
      <c r="FXR5" s="74"/>
      <c r="FXS5" s="74"/>
      <c r="FXT5" s="74"/>
      <c r="FXU5" s="74"/>
      <c r="FXV5" s="74"/>
      <c r="FXW5" s="74"/>
      <c r="FXX5" s="74"/>
      <c r="FXY5" s="74"/>
      <c r="FXZ5" s="74"/>
      <c r="FYA5" s="74"/>
      <c r="FYB5" s="74"/>
      <c r="FYC5" s="74"/>
      <c r="FYD5" s="74"/>
      <c r="FYE5" s="74"/>
      <c r="FYF5" s="74"/>
      <c r="FYG5" s="74"/>
      <c r="FYH5" s="74"/>
      <c r="FYI5" s="74"/>
      <c r="FYJ5" s="74"/>
      <c r="FYK5" s="74"/>
      <c r="FYL5" s="74"/>
      <c r="FYM5" s="74"/>
      <c r="FYN5" s="74"/>
      <c r="FYO5" s="74"/>
      <c r="FYP5" s="74"/>
      <c r="FYQ5" s="74"/>
      <c r="FYR5" s="74"/>
      <c r="FYS5" s="74"/>
      <c r="FYT5" s="74"/>
      <c r="FYU5" s="74"/>
      <c r="FYV5" s="74"/>
      <c r="FYW5" s="74"/>
      <c r="FYX5" s="74"/>
      <c r="FYY5" s="74"/>
      <c r="FYZ5" s="74"/>
      <c r="FZA5" s="74"/>
      <c r="FZB5" s="74"/>
      <c r="FZC5" s="74"/>
      <c r="FZD5" s="74"/>
      <c r="FZE5" s="74"/>
      <c r="FZF5" s="74"/>
      <c r="FZG5" s="74"/>
      <c r="FZH5" s="74"/>
      <c r="FZI5" s="74"/>
      <c r="FZJ5" s="74"/>
      <c r="FZK5" s="74"/>
      <c r="FZL5" s="74"/>
      <c r="FZM5" s="74"/>
      <c r="FZN5" s="74"/>
      <c r="FZO5" s="74"/>
      <c r="FZP5" s="74"/>
      <c r="FZQ5" s="74"/>
      <c r="FZR5" s="74"/>
      <c r="FZS5" s="74"/>
      <c r="FZT5" s="74"/>
      <c r="FZU5" s="74"/>
      <c r="FZV5" s="74"/>
      <c r="FZW5" s="74"/>
      <c r="FZX5" s="74"/>
      <c r="FZY5" s="74"/>
      <c r="FZZ5" s="74"/>
      <c r="GAA5" s="74"/>
      <c r="GAB5" s="74"/>
      <c r="GAC5" s="74"/>
      <c r="GAD5" s="74"/>
      <c r="GAE5" s="74"/>
      <c r="GAF5" s="74"/>
      <c r="GAG5" s="74"/>
      <c r="GAH5" s="74"/>
      <c r="GAI5" s="74"/>
      <c r="GAJ5" s="74"/>
      <c r="GAK5" s="74"/>
      <c r="GAL5" s="74"/>
      <c r="GAM5" s="74"/>
      <c r="GAN5" s="74"/>
      <c r="GAO5" s="74"/>
      <c r="GAP5" s="74"/>
      <c r="GAQ5" s="74"/>
      <c r="GAR5" s="74"/>
      <c r="GAS5" s="74"/>
      <c r="GAT5" s="74"/>
      <c r="GAU5" s="74"/>
      <c r="GAV5" s="74"/>
      <c r="GAW5" s="74"/>
      <c r="GAX5" s="74"/>
      <c r="GAY5" s="74"/>
      <c r="GAZ5" s="74"/>
      <c r="GBA5" s="74"/>
      <c r="GBB5" s="74"/>
      <c r="GBC5" s="74"/>
      <c r="GBD5" s="74"/>
      <c r="GBE5" s="74"/>
      <c r="GBF5" s="74"/>
      <c r="GBG5" s="74"/>
      <c r="GBH5" s="74"/>
      <c r="GBI5" s="74"/>
      <c r="GBJ5" s="74"/>
      <c r="GBK5" s="74"/>
      <c r="GBL5" s="74"/>
      <c r="GBM5" s="74"/>
      <c r="GBN5" s="74"/>
      <c r="GBO5" s="74"/>
      <c r="GBP5" s="74"/>
      <c r="GBQ5" s="74"/>
      <c r="GBR5" s="74"/>
      <c r="GBS5" s="74"/>
      <c r="GBT5" s="74"/>
      <c r="GBU5" s="74"/>
      <c r="GBV5" s="74"/>
      <c r="GBW5" s="74"/>
      <c r="GBX5" s="74"/>
      <c r="GBY5" s="74"/>
      <c r="GBZ5" s="74"/>
      <c r="GCA5" s="74"/>
      <c r="GCB5" s="74"/>
      <c r="GCC5" s="74"/>
      <c r="GCD5" s="74"/>
      <c r="GCE5" s="74"/>
      <c r="GCF5" s="74"/>
      <c r="GCG5" s="74"/>
      <c r="GCH5" s="74"/>
      <c r="GCI5" s="74"/>
      <c r="GCJ5" s="74"/>
      <c r="GCK5" s="74"/>
      <c r="GCL5" s="74"/>
      <c r="GCM5" s="74"/>
      <c r="GCN5" s="74"/>
      <c r="GCO5" s="74"/>
      <c r="GCP5" s="74"/>
      <c r="GCQ5" s="74"/>
      <c r="GCR5" s="74"/>
      <c r="GCS5" s="74"/>
      <c r="GCT5" s="74"/>
      <c r="GCU5" s="74"/>
      <c r="GCV5" s="74"/>
      <c r="GCW5" s="74"/>
      <c r="GCX5" s="74"/>
      <c r="GCY5" s="74"/>
      <c r="GCZ5" s="74"/>
      <c r="GDA5" s="74"/>
      <c r="GDB5" s="74"/>
      <c r="GDC5" s="74"/>
      <c r="GDD5" s="74"/>
      <c r="GDE5" s="74"/>
      <c r="GDF5" s="74"/>
      <c r="GDG5" s="74"/>
      <c r="GDH5" s="74"/>
      <c r="GDI5" s="74"/>
      <c r="GDJ5" s="74"/>
      <c r="GDK5" s="74"/>
      <c r="GDL5" s="74"/>
      <c r="GDM5" s="74"/>
      <c r="GDN5" s="74"/>
      <c r="GDO5" s="74"/>
      <c r="GDP5" s="74"/>
      <c r="GDQ5" s="74"/>
      <c r="GDR5" s="74"/>
      <c r="GDS5" s="74"/>
      <c r="GDT5" s="74"/>
      <c r="GDU5" s="74"/>
      <c r="GDV5" s="74"/>
      <c r="GDW5" s="74"/>
      <c r="GDX5" s="74"/>
      <c r="GDY5" s="74"/>
      <c r="GDZ5" s="74"/>
      <c r="GEA5" s="74"/>
      <c r="GEB5" s="74"/>
      <c r="GEC5" s="74"/>
      <c r="GED5" s="74"/>
      <c r="GEE5" s="74"/>
      <c r="GEF5" s="74"/>
      <c r="GEG5" s="74"/>
      <c r="GEH5" s="74"/>
      <c r="GEI5" s="74"/>
      <c r="GEJ5" s="74"/>
      <c r="GEK5" s="74"/>
      <c r="GEL5" s="74"/>
      <c r="GEM5" s="74"/>
      <c r="GEN5" s="74"/>
      <c r="GEO5" s="74"/>
      <c r="GEP5" s="74"/>
      <c r="GEQ5" s="74"/>
      <c r="GER5" s="74"/>
      <c r="GES5" s="74"/>
      <c r="GET5" s="74"/>
      <c r="GEU5" s="74"/>
      <c r="GEV5" s="74"/>
      <c r="GEW5" s="74"/>
      <c r="GEX5" s="74"/>
      <c r="GEY5" s="74"/>
      <c r="GEZ5" s="74"/>
      <c r="GFA5" s="74"/>
      <c r="GFB5" s="74"/>
      <c r="GFC5" s="74"/>
      <c r="GFD5" s="74"/>
      <c r="GFE5" s="74"/>
      <c r="GFF5" s="74"/>
      <c r="GFG5" s="74"/>
      <c r="GFH5" s="74"/>
      <c r="GFI5" s="74"/>
      <c r="GFJ5" s="74"/>
      <c r="GFK5" s="74"/>
      <c r="GFL5" s="74"/>
      <c r="GFM5" s="74"/>
      <c r="GFN5" s="74"/>
      <c r="GFO5" s="74"/>
      <c r="GFP5" s="74"/>
      <c r="GFQ5" s="74"/>
      <c r="GFR5" s="74"/>
      <c r="GFS5" s="74"/>
      <c r="GFT5" s="74"/>
      <c r="GFU5" s="74"/>
      <c r="GFV5" s="74"/>
      <c r="GFW5" s="74"/>
      <c r="GFX5" s="74"/>
      <c r="GFY5" s="74"/>
      <c r="GFZ5" s="74"/>
      <c r="GGA5" s="74"/>
      <c r="GGB5" s="74"/>
      <c r="GGC5" s="74"/>
      <c r="GGD5" s="74"/>
      <c r="GGE5" s="74"/>
      <c r="GGF5" s="74"/>
      <c r="GGG5" s="74"/>
      <c r="GGH5" s="74"/>
      <c r="GGI5" s="74"/>
      <c r="GGJ5" s="74"/>
      <c r="GGK5" s="74"/>
      <c r="GGL5" s="74"/>
      <c r="GGM5" s="74"/>
      <c r="GGN5" s="74"/>
      <c r="GGO5" s="74"/>
      <c r="GGP5" s="74"/>
      <c r="GGQ5" s="74"/>
      <c r="GGR5" s="74"/>
      <c r="GGS5" s="74"/>
      <c r="GGT5" s="74"/>
      <c r="GGU5" s="74"/>
      <c r="GGV5" s="74"/>
      <c r="GGW5" s="74"/>
      <c r="GGX5" s="74"/>
      <c r="GGY5" s="74"/>
      <c r="GGZ5" s="74"/>
      <c r="GHA5" s="74"/>
      <c r="GHB5" s="74"/>
      <c r="GHC5" s="74"/>
      <c r="GHD5" s="74"/>
      <c r="GHE5" s="74"/>
      <c r="GHF5" s="74"/>
      <c r="GHG5" s="74"/>
      <c r="GHH5" s="74"/>
      <c r="GHI5" s="74"/>
      <c r="GHJ5" s="74"/>
      <c r="GHK5" s="74"/>
      <c r="GHL5" s="74"/>
      <c r="GHM5" s="74"/>
      <c r="GHN5" s="74"/>
      <c r="GHO5" s="74"/>
      <c r="GHP5" s="74"/>
      <c r="GHQ5" s="74"/>
      <c r="GHR5" s="74"/>
      <c r="GHS5" s="74"/>
      <c r="GHT5" s="74"/>
      <c r="GHU5" s="74"/>
      <c r="GHV5" s="74"/>
      <c r="GHW5" s="74"/>
      <c r="GHX5" s="74"/>
      <c r="GHY5" s="74"/>
      <c r="GHZ5" s="74"/>
      <c r="GIA5" s="74"/>
      <c r="GIB5" s="74"/>
      <c r="GIC5" s="74"/>
      <c r="GID5" s="74"/>
      <c r="GIE5" s="74"/>
      <c r="GIF5" s="74"/>
      <c r="GIG5" s="74"/>
      <c r="GIH5" s="74"/>
      <c r="GII5" s="74"/>
      <c r="GIJ5" s="74"/>
      <c r="GIK5" s="74"/>
      <c r="GIL5" s="74"/>
      <c r="GIM5" s="74"/>
      <c r="GIN5" s="74"/>
      <c r="GIO5" s="74"/>
      <c r="GIP5" s="74"/>
      <c r="GIQ5" s="74"/>
      <c r="GIR5" s="74"/>
      <c r="GIS5" s="74"/>
      <c r="GIT5" s="74"/>
      <c r="GIU5" s="74"/>
      <c r="GIV5" s="74"/>
      <c r="GIW5" s="74"/>
      <c r="GIX5" s="74"/>
      <c r="GIY5" s="74"/>
      <c r="GIZ5" s="74"/>
      <c r="GJA5" s="74"/>
      <c r="GJB5" s="74"/>
      <c r="GJC5" s="74"/>
      <c r="GJD5" s="74"/>
      <c r="GJE5" s="74"/>
      <c r="GJF5" s="74"/>
      <c r="GJG5" s="74"/>
      <c r="GJH5" s="74"/>
      <c r="GJI5" s="74"/>
      <c r="GJJ5" s="74"/>
      <c r="GJK5" s="74"/>
      <c r="GJL5" s="74"/>
      <c r="GJM5" s="74"/>
      <c r="GJN5" s="74"/>
      <c r="GJO5" s="74"/>
      <c r="GJP5" s="74"/>
      <c r="GJQ5" s="74"/>
      <c r="GJR5" s="74"/>
      <c r="GJS5" s="74"/>
      <c r="GJT5" s="74"/>
      <c r="GJU5" s="74"/>
      <c r="GJV5" s="74"/>
      <c r="GJW5" s="74"/>
      <c r="GJX5" s="74"/>
      <c r="GJY5" s="74"/>
      <c r="GJZ5" s="74"/>
      <c r="GKA5" s="74"/>
      <c r="GKB5" s="74"/>
      <c r="GKC5" s="74"/>
      <c r="GKD5" s="74"/>
      <c r="GKE5" s="74"/>
      <c r="GKF5" s="74"/>
      <c r="GKG5" s="74"/>
      <c r="GKH5" s="74"/>
      <c r="GKI5" s="74"/>
      <c r="GKJ5" s="74"/>
      <c r="GKK5" s="74"/>
      <c r="GKL5" s="74"/>
      <c r="GKM5" s="74"/>
      <c r="GKN5" s="74"/>
      <c r="GKO5" s="74"/>
      <c r="GKP5" s="74"/>
      <c r="GKQ5" s="74"/>
      <c r="GKR5" s="74"/>
      <c r="GKS5" s="74"/>
      <c r="GKT5" s="74"/>
      <c r="GKU5" s="74"/>
      <c r="GKV5" s="74"/>
      <c r="GKW5" s="74"/>
      <c r="GKX5" s="74"/>
      <c r="GKY5" s="74"/>
      <c r="GKZ5" s="74"/>
      <c r="GLA5" s="74"/>
      <c r="GLB5" s="74"/>
      <c r="GLC5" s="74"/>
      <c r="GLD5" s="74"/>
      <c r="GLE5" s="74"/>
      <c r="GLF5" s="74"/>
      <c r="GLG5" s="74"/>
      <c r="GLH5" s="74"/>
      <c r="GLI5" s="74"/>
      <c r="GLJ5" s="74"/>
      <c r="GLK5" s="74"/>
      <c r="GLL5" s="74"/>
      <c r="GLM5" s="74"/>
      <c r="GLN5" s="74"/>
      <c r="GLO5" s="74"/>
      <c r="GLP5" s="74"/>
      <c r="GLQ5" s="74"/>
      <c r="GLR5" s="74"/>
      <c r="GLS5" s="74"/>
      <c r="GLT5" s="74"/>
      <c r="GLU5" s="74"/>
      <c r="GLV5" s="74"/>
      <c r="GLW5" s="74"/>
      <c r="GLX5" s="74"/>
      <c r="GLY5" s="74"/>
      <c r="GLZ5" s="74"/>
      <c r="GMA5" s="74"/>
      <c r="GMB5" s="74"/>
      <c r="GMC5" s="74"/>
      <c r="GMD5" s="74"/>
      <c r="GME5" s="74"/>
      <c r="GMF5" s="74"/>
      <c r="GMG5" s="74"/>
      <c r="GMH5" s="74"/>
      <c r="GMI5" s="74"/>
      <c r="GMJ5" s="74"/>
      <c r="GMK5" s="74"/>
      <c r="GML5" s="74"/>
      <c r="GMM5" s="74"/>
      <c r="GMN5" s="74"/>
      <c r="GMO5" s="74"/>
      <c r="GMP5" s="74"/>
      <c r="GMQ5" s="74"/>
      <c r="GMR5" s="74"/>
      <c r="GMS5" s="74"/>
      <c r="GMT5" s="74"/>
      <c r="GMU5" s="74"/>
      <c r="GMV5" s="74"/>
      <c r="GMW5" s="74"/>
      <c r="GMX5" s="74"/>
      <c r="GMY5" s="74"/>
      <c r="GMZ5" s="74"/>
      <c r="GNA5" s="74"/>
      <c r="GNB5" s="74"/>
      <c r="GNC5" s="74"/>
      <c r="GND5" s="74"/>
      <c r="GNE5" s="74"/>
      <c r="GNF5" s="74"/>
      <c r="GNG5" s="74"/>
      <c r="GNH5" s="74"/>
      <c r="GNI5" s="74"/>
      <c r="GNJ5" s="74"/>
      <c r="GNK5" s="74"/>
      <c r="GNL5" s="74"/>
      <c r="GNM5" s="74"/>
      <c r="GNN5" s="74"/>
      <c r="GNO5" s="74"/>
      <c r="GNP5" s="74"/>
      <c r="GNQ5" s="74"/>
      <c r="GNR5" s="74"/>
      <c r="GNS5" s="74"/>
      <c r="GNT5" s="74"/>
      <c r="GNU5" s="74"/>
      <c r="GNV5" s="74"/>
      <c r="GNW5" s="74"/>
      <c r="GNX5" s="74"/>
      <c r="GNY5" s="74"/>
      <c r="GNZ5" s="74"/>
      <c r="GOA5" s="74"/>
      <c r="GOB5" s="74"/>
      <c r="GOC5" s="74"/>
      <c r="GOD5" s="74"/>
      <c r="GOE5" s="74"/>
      <c r="GOF5" s="74"/>
      <c r="GOG5" s="74"/>
      <c r="GOH5" s="74"/>
      <c r="GOI5" s="74"/>
      <c r="GOJ5" s="74"/>
      <c r="GOK5" s="74"/>
      <c r="GOL5" s="74"/>
      <c r="GOM5" s="74"/>
      <c r="GON5" s="74"/>
      <c r="GOO5" s="74"/>
      <c r="GOP5" s="74"/>
      <c r="GOQ5" s="74"/>
      <c r="GOR5" s="74"/>
      <c r="GOS5" s="74"/>
      <c r="GOT5" s="74"/>
      <c r="GOU5" s="74"/>
      <c r="GOV5" s="74"/>
      <c r="GOW5" s="74"/>
      <c r="GOX5" s="74"/>
      <c r="GOY5" s="74"/>
      <c r="GOZ5" s="74"/>
      <c r="GPA5" s="74"/>
      <c r="GPB5" s="74"/>
      <c r="GPC5" s="74"/>
      <c r="GPD5" s="74"/>
      <c r="GPE5" s="74"/>
      <c r="GPF5" s="74"/>
      <c r="GPG5" s="74"/>
      <c r="GPH5" s="74"/>
      <c r="GPI5" s="74"/>
      <c r="GPJ5" s="74"/>
      <c r="GPK5" s="74"/>
      <c r="GPL5" s="74"/>
      <c r="GPM5" s="74"/>
      <c r="GPN5" s="74"/>
      <c r="GPO5" s="74"/>
      <c r="GPP5" s="74"/>
      <c r="GPQ5" s="74"/>
      <c r="GPR5" s="74"/>
      <c r="GPS5" s="74"/>
      <c r="GPT5" s="74"/>
      <c r="GPU5" s="74"/>
      <c r="GPV5" s="74"/>
      <c r="GPW5" s="74"/>
      <c r="GPX5" s="74"/>
      <c r="GPY5" s="74"/>
      <c r="GPZ5" s="74"/>
      <c r="GQA5" s="74"/>
      <c r="GQB5" s="74"/>
      <c r="GQC5" s="74"/>
      <c r="GQD5" s="74"/>
      <c r="GQE5" s="74"/>
      <c r="GQF5" s="74"/>
      <c r="GQG5" s="74"/>
      <c r="GQH5" s="74"/>
      <c r="GQI5" s="74"/>
      <c r="GQJ5" s="74"/>
      <c r="GQK5" s="74"/>
      <c r="GQL5" s="74"/>
      <c r="GQM5" s="74"/>
      <c r="GQN5" s="74"/>
      <c r="GQO5" s="74"/>
      <c r="GQP5" s="74"/>
      <c r="GQQ5" s="74"/>
      <c r="GQR5" s="74"/>
      <c r="GQS5" s="74"/>
      <c r="GQT5" s="74"/>
      <c r="GQU5" s="74"/>
      <c r="GQV5" s="74"/>
      <c r="GQW5" s="74"/>
      <c r="GQX5" s="74"/>
      <c r="GQY5" s="74"/>
      <c r="GQZ5" s="74"/>
      <c r="GRA5" s="74"/>
      <c r="GRB5" s="74"/>
      <c r="GRC5" s="74"/>
      <c r="GRD5" s="74"/>
      <c r="GRE5" s="74"/>
      <c r="GRF5" s="74"/>
      <c r="GRG5" s="74"/>
      <c r="GRH5" s="74"/>
      <c r="GRI5" s="74"/>
      <c r="GRJ5" s="74"/>
      <c r="GRK5" s="74"/>
      <c r="GRL5" s="74"/>
      <c r="GRM5" s="74"/>
      <c r="GRN5" s="74"/>
      <c r="GRO5" s="74"/>
      <c r="GRP5" s="74"/>
      <c r="GRQ5" s="74"/>
      <c r="GRR5" s="74"/>
      <c r="GRS5" s="74"/>
      <c r="GRT5" s="74"/>
      <c r="GRU5" s="74"/>
      <c r="GRV5" s="74"/>
      <c r="GRW5" s="74"/>
      <c r="GRX5" s="74"/>
      <c r="GRY5" s="74"/>
      <c r="GRZ5" s="74"/>
      <c r="GSA5" s="74"/>
      <c r="GSB5" s="74"/>
      <c r="GSC5" s="74"/>
      <c r="GSD5" s="74"/>
      <c r="GSE5" s="74"/>
      <c r="GSF5" s="74"/>
      <c r="GSG5" s="74"/>
      <c r="GSH5" s="74"/>
      <c r="GSI5" s="74"/>
      <c r="GSJ5" s="74"/>
      <c r="GSK5" s="74"/>
      <c r="GSL5" s="74"/>
      <c r="GSM5" s="74"/>
      <c r="GSN5" s="74"/>
      <c r="GSO5" s="74"/>
      <c r="GSP5" s="74"/>
      <c r="GSQ5" s="74"/>
      <c r="GSR5" s="74"/>
      <c r="GSS5" s="74"/>
      <c r="GST5" s="74"/>
      <c r="GSU5" s="74"/>
      <c r="GSV5" s="74"/>
      <c r="GSW5" s="74"/>
      <c r="GSX5" s="74"/>
      <c r="GSY5" s="74"/>
      <c r="GSZ5" s="74"/>
      <c r="GTA5" s="74"/>
      <c r="GTB5" s="74"/>
      <c r="GTC5" s="74"/>
      <c r="GTD5" s="74"/>
      <c r="GTE5" s="74"/>
      <c r="GTF5" s="74"/>
      <c r="GTG5" s="74"/>
      <c r="GTH5" s="74"/>
      <c r="GTI5" s="74"/>
      <c r="GTJ5" s="74"/>
      <c r="GTK5" s="74"/>
      <c r="GTL5" s="74"/>
      <c r="GTM5" s="74"/>
      <c r="GTN5" s="74"/>
      <c r="GTO5" s="74"/>
      <c r="GTP5" s="74"/>
      <c r="GTQ5" s="74"/>
      <c r="GTR5" s="74"/>
      <c r="GTS5" s="74"/>
      <c r="GTT5" s="74"/>
      <c r="GTU5" s="74"/>
      <c r="GTV5" s="74"/>
      <c r="GTW5" s="74"/>
      <c r="GTX5" s="74"/>
      <c r="GTY5" s="74"/>
      <c r="GTZ5" s="74"/>
      <c r="GUA5" s="74"/>
      <c r="GUB5" s="74"/>
      <c r="GUC5" s="74"/>
      <c r="GUD5" s="74"/>
      <c r="GUE5" s="74"/>
      <c r="GUF5" s="74"/>
      <c r="GUG5" s="74"/>
      <c r="GUH5" s="74"/>
      <c r="GUI5" s="74"/>
      <c r="GUJ5" s="74"/>
      <c r="GUK5" s="74"/>
      <c r="GUL5" s="74"/>
      <c r="GUM5" s="74"/>
      <c r="GUN5" s="74"/>
      <c r="GUO5" s="74"/>
      <c r="GUP5" s="74"/>
      <c r="GUQ5" s="74"/>
      <c r="GUR5" s="74"/>
      <c r="GUS5" s="74"/>
      <c r="GUT5" s="74"/>
      <c r="GUU5" s="74"/>
      <c r="GUV5" s="74"/>
      <c r="GUW5" s="74"/>
      <c r="GUX5" s="74"/>
      <c r="GUY5" s="74"/>
      <c r="GUZ5" s="74"/>
      <c r="GVA5" s="74"/>
      <c r="GVB5" s="74"/>
      <c r="GVC5" s="74"/>
      <c r="GVD5" s="74"/>
      <c r="GVE5" s="74"/>
      <c r="GVF5" s="74"/>
      <c r="GVG5" s="74"/>
      <c r="GVH5" s="74"/>
      <c r="GVI5" s="74"/>
      <c r="GVJ5" s="74"/>
      <c r="GVK5" s="74"/>
      <c r="GVL5" s="74"/>
      <c r="GVM5" s="74"/>
      <c r="GVN5" s="74"/>
      <c r="GVO5" s="74"/>
      <c r="GVP5" s="74"/>
      <c r="GVQ5" s="74"/>
      <c r="GVR5" s="74"/>
      <c r="GVS5" s="74"/>
      <c r="GVT5" s="74"/>
      <c r="GVU5" s="74"/>
      <c r="GVV5" s="74"/>
      <c r="GVW5" s="74"/>
      <c r="GVX5" s="74"/>
      <c r="GVY5" s="74"/>
      <c r="GVZ5" s="74"/>
      <c r="GWA5" s="74"/>
      <c r="GWB5" s="74"/>
      <c r="GWC5" s="74"/>
      <c r="GWD5" s="74"/>
      <c r="GWE5" s="74"/>
      <c r="GWF5" s="74"/>
      <c r="GWG5" s="74"/>
      <c r="GWH5" s="74"/>
      <c r="GWI5" s="74"/>
      <c r="GWJ5" s="74"/>
      <c r="GWK5" s="74"/>
      <c r="GWL5" s="74"/>
      <c r="GWM5" s="74"/>
      <c r="GWN5" s="74"/>
      <c r="GWO5" s="74"/>
      <c r="GWP5" s="74"/>
      <c r="GWQ5" s="74"/>
      <c r="GWR5" s="74"/>
      <c r="GWS5" s="74"/>
      <c r="GWT5" s="74"/>
      <c r="GWU5" s="74"/>
      <c r="GWV5" s="74"/>
      <c r="GWW5" s="74"/>
      <c r="GWX5" s="74"/>
      <c r="GWY5" s="74"/>
      <c r="GWZ5" s="74"/>
      <c r="GXA5" s="74"/>
      <c r="GXB5" s="74"/>
      <c r="GXC5" s="74"/>
      <c r="GXD5" s="74"/>
      <c r="GXE5" s="74"/>
      <c r="GXF5" s="74"/>
      <c r="GXG5" s="74"/>
      <c r="GXH5" s="74"/>
      <c r="GXI5" s="74"/>
      <c r="GXJ5" s="74"/>
      <c r="GXK5" s="74"/>
      <c r="GXL5" s="74"/>
      <c r="GXM5" s="74"/>
      <c r="GXN5" s="74"/>
      <c r="GXO5" s="74"/>
      <c r="GXP5" s="74"/>
      <c r="GXQ5" s="74"/>
      <c r="GXR5" s="74"/>
      <c r="GXS5" s="74"/>
      <c r="GXT5" s="74"/>
      <c r="GXU5" s="74"/>
      <c r="GXV5" s="74"/>
      <c r="GXW5" s="74"/>
      <c r="GXX5" s="74"/>
      <c r="GXY5" s="74"/>
      <c r="GXZ5" s="74"/>
      <c r="GYA5" s="74"/>
      <c r="GYB5" s="74"/>
      <c r="GYC5" s="74"/>
      <c r="GYD5" s="74"/>
      <c r="GYE5" s="74"/>
      <c r="GYF5" s="74"/>
      <c r="GYG5" s="74"/>
      <c r="GYH5" s="74"/>
      <c r="GYI5" s="74"/>
      <c r="GYJ5" s="74"/>
      <c r="GYK5" s="74"/>
      <c r="GYL5" s="74"/>
      <c r="GYM5" s="74"/>
      <c r="GYN5" s="74"/>
      <c r="GYO5" s="74"/>
      <c r="GYP5" s="74"/>
      <c r="GYQ5" s="74"/>
      <c r="GYR5" s="74"/>
      <c r="GYS5" s="74"/>
      <c r="GYT5" s="74"/>
      <c r="GYU5" s="74"/>
      <c r="GYV5" s="74"/>
      <c r="GYW5" s="74"/>
      <c r="GYX5" s="74"/>
      <c r="GYY5" s="74"/>
      <c r="GYZ5" s="74"/>
      <c r="GZA5" s="74"/>
      <c r="GZB5" s="74"/>
      <c r="GZC5" s="74"/>
      <c r="GZD5" s="74"/>
      <c r="GZE5" s="74"/>
      <c r="GZF5" s="74"/>
      <c r="GZG5" s="74"/>
      <c r="GZH5" s="74"/>
      <c r="GZI5" s="74"/>
      <c r="GZJ5" s="74"/>
      <c r="GZK5" s="74"/>
      <c r="GZL5" s="74"/>
      <c r="GZM5" s="74"/>
      <c r="GZN5" s="74"/>
      <c r="GZO5" s="74"/>
      <c r="GZP5" s="74"/>
      <c r="GZQ5" s="74"/>
      <c r="GZR5" s="74"/>
      <c r="GZS5" s="74"/>
      <c r="GZT5" s="74"/>
      <c r="GZU5" s="74"/>
      <c r="GZV5" s="74"/>
      <c r="GZW5" s="74"/>
      <c r="GZX5" s="74"/>
      <c r="GZY5" s="74"/>
      <c r="GZZ5" s="74"/>
      <c r="HAA5" s="74"/>
      <c r="HAB5" s="74"/>
      <c r="HAC5" s="74"/>
      <c r="HAD5" s="74"/>
      <c r="HAE5" s="74"/>
      <c r="HAF5" s="74"/>
      <c r="HAG5" s="74"/>
      <c r="HAH5" s="74"/>
      <c r="HAI5" s="74"/>
      <c r="HAJ5" s="74"/>
      <c r="HAK5" s="74"/>
      <c r="HAL5" s="74"/>
      <c r="HAM5" s="74"/>
      <c r="HAN5" s="74"/>
      <c r="HAO5" s="74"/>
      <c r="HAP5" s="74"/>
      <c r="HAQ5" s="74"/>
      <c r="HAR5" s="74"/>
      <c r="HAS5" s="74"/>
      <c r="HAT5" s="74"/>
      <c r="HAU5" s="74"/>
      <c r="HAV5" s="74"/>
      <c r="HAW5" s="74"/>
      <c r="HAX5" s="74"/>
      <c r="HAY5" s="74"/>
      <c r="HAZ5" s="74"/>
      <c r="HBA5" s="74"/>
      <c r="HBB5" s="74"/>
      <c r="HBC5" s="74"/>
      <c r="HBD5" s="74"/>
      <c r="HBE5" s="74"/>
      <c r="HBF5" s="74"/>
      <c r="HBG5" s="74"/>
      <c r="HBH5" s="74"/>
      <c r="HBI5" s="74"/>
      <c r="HBJ5" s="74"/>
      <c r="HBK5" s="74"/>
      <c r="HBL5" s="74"/>
      <c r="HBM5" s="74"/>
      <c r="HBN5" s="74"/>
      <c r="HBO5" s="74"/>
      <c r="HBP5" s="74"/>
      <c r="HBQ5" s="74"/>
      <c r="HBR5" s="74"/>
      <c r="HBS5" s="74"/>
      <c r="HBT5" s="74"/>
      <c r="HBU5" s="74"/>
      <c r="HBV5" s="74"/>
      <c r="HBW5" s="74"/>
      <c r="HBX5" s="74"/>
      <c r="HBY5" s="74"/>
      <c r="HBZ5" s="74"/>
      <c r="HCA5" s="74"/>
      <c r="HCB5" s="74"/>
      <c r="HCC5" s="74"/>
      <c r="HCD5" s="74"/>
      <c r="HCE5" s="74"/>
      <c r="HCF5" s="74"/>
      <c r="HCG5" s="74"/>
      <c r="HCH5" s="74"/>
      <c r="HCI5" s="74"/>
      <c r="HCJ5" s="74"/>
      <c r="HCK5" s="74"/>
      <c r="HCL5" s="74"/>
      <c r="HCM5" s="74"/>
      <c r="HCN5" s="74"/>
      <c r="HCO5" s="74"/>
      <c r="HCP5" s="74"/>
      <c r="HCQ5" s="74"/>
      <c r="HCR5" s="74"/>
      <c r="HCS5" s="74"/>
      <c r="HCT5" s="74"/>
      <c r="HCU5" s="74"/>
      <c r="HCV5" s="74"/>
      <c r="HCW5" s="74"/>
      <c r="HCX5" s="74"/>
      <c r="HCY5" s="74"/>
      <c r="HCZ5" s="74"/>
      <c r="HDA5" s="74"/>
      <c r="HDB5" s="74"/>
      <c r="HDC5" s="74"/>
      <c r="HDD5" s="74"/>
      <c r="HDE5" s="74"/>
      <c r="HDF5" s="74"/>
      <c r="HDG5" s="74"/>
      <c r="HDH5" s="74"/>
      <c r="HDI5" s="74"/>
      <c r="HDJ5" s="74"/>
      <c r="HDK5" s="74"/>
      <c r="HDL5" s="74"/>
      <c r="HDM5" s="74"/>
      <c r="HDN5" s="74"/>
      <c r="HDO5" s="74"/>
      <c r="HDP5" s="74"/>
      <c r="HDQ5" s="74"/>
      <c r="HDR5" s="74"/>
      <c r="HDS5" s="74"/>
      <c r="HDT5" s="74"/>
      <c r="HDU5" s="74"/>
      <c r="HDV5" s="74"/>
      <c r="HDW5" s="74"/>
      <c r="HDX5" s="74"/>
      <c r="HDY5" s="74"/>
      <c r="HDZ5" s="74"/>
      <c r="HEA5" s="74"/>
      <c r="HEB5" s="74"/>
      <c r="HEC5" s="74"/>
      <c r="HED5" s="74"/>
      <c r="HEE5" s="74"/>
      <c r="HEF5" s="74"/>
      <c r="HEG5" s="74"/>
      <c r="HEH5" s="74"/>
      <c r="HEI5" s="74"/>
      <c r="HEJ5" s="74"/>
      <c r="HEK5" s="74"/>
      <c r="HEL5" s="74"/>
      <c r="HEM5" s="74"/>
      <c r="HEN5" s="74"/>
      <c r="HEO5" s="74"/>
      <c r="HEP5" s="74"/>
      <c r="HEQ5" s="74"/>
      <c r="HER5" s="74"/>
      <c r="HES5" s="74"/>
      <c r="HET5" s="74"/>
      <c r="HEU5" s="74"/>
      <c r="HEV5" s="74"/>
      <c r="HEW5" s="74"/>
      <c r="HEX5" s="74"/>
      <c r="HEY5" s="74"/>
      <c r="HEZ5" s="74"/>
      <c r="HFA5" s="74"/>
      <c r="HFB5" s="74"/>
      <c r="HFC5" s="74"/>
      <c r="HFD5" s="74"/>
      <c r="HFE5" s="74"/>
      <c r="HFF5" s="74"/>
      <c r="HFG5" s="74"/>
      <c r="HFH5" s="74"/>
      <c r="HFI5" s="74"/>
      <c r="HFJ5" s="74"/>
      <c r="HFK5" s="74"/>
      <c r="HFL5" s="74"/>
      <c r="HFM5" s="74"/>
      <c r="HFN5" s="74"/>
      <c r="HFO5" s="74"/>
      <c r="HFP5" s="74"/>
      <c r="HFQ5" s="74"/>
      <c r="HFR5" s="74"/>
      <c r="HFS5" s="74"/>
      <c r="HFT5" s="74"/>
      <c r="HFU5" s="74"/>
      <c r="HFV5" s="74"/>
      <c r="HFW5" s="74"/>
      <c r="HFX5" s="74"/>
      <c r="HFY5" s="74"/>
      <c r="HFZ5" s="74"/>
      <c r="HGA5" s="74"/>
      <c r="HGB5" s="74"/>
      <c r="HGC5" s="74"/>
      <c r="HGD5" s="74"/>
      <c r="HGE5" s="74"/>
      <c r="HGF5" s="74"/>
      <c r="HGG5" s="74"/>
      <c r="HGH5" s="74"/>
      <c r="HGI5" s="74"/>
      <c r="HGJ5" s="74"/>
      <c r="HGK5" s="74"/>
      <c r="HGL5" s="74"/>
      <c r="HGM5" s="74"/>
      <c r="HGN5" s="74"/>
      <c r="HGO5" s="74"/>
      <c r="HGP5" s="74"/>
      <c r="HGQ5" s="74"/>
      <c r="HGR5" s="74"/>
      <c r="HGS5" s="74"/>
      <c r="HGT5" s="74"/>
      <c r="HGU5" s="74"/>
      <c r="HGV5" s="74"/>
      <c r="HGW5" s="74"/>
      <c r="HGX5" s="74"/>
      <c r="HGY5" s="74"/>
      <c r="HGZ5" s="74"/>
      <c r="HHA5" s="74"/>
      <c r="HHB5" s="74"/>
      <c r="HHC5" s="74"/>
      <c r="HHD5" s="74"/>
      <c r="HHE5" s="74"/>
      <c r="HHF5" s="74"/>
      <c r="HHG5" s="74"/>
      <c r="HHH5" s="74"/>
      <c r="HHI5" s="74"/>
      <c r="HHJ5" s="74"/>
      <c r="HHK5" s="74"/>
      <c r="HHL5" s="74"/>
      <c r="HHM5" s="74"/>
      <c r="HHN5" s="74"/>
      <c r="HHO5" s="74"/>
      <c r="HHP5" s="74"/>
      <c r="HHQ5" s="74"/>
      <c r="HHR5" s="74"/>
      <c r="HHS5" s="74"/>
      <c r="HHT5" s="74"/>
      <c r="HHU5" s="74"/>
      <c r="HHV5" s="74"/>
      <c r="HHW5" s="74"/>
      <c r="HHX5" s="74"/>
      <c r="HHY5" s="74"/>
      <c r="HHZ5" s="74"/>
      <c r="HIA5" s="74"/>
      <c r="HIB5" s="74"/>
      <c r="HIC5" s="74"/>
      <c r="HID5" s="74"/>
      <c r="HIE5" s="74"/>
      <c r="HIF5" s="74"/>
      <c r="HIG5" s="74"/>
      <c r="HIH5" s="74"/>
      <c r="HII5" s="74"/>
      <c r="HIJ5" s="74"/>
      <c r="HIK5" s="74"/>
      <c r="HIL5" s="74"/>
      <c r="HIM5" s="74"/>
      <c r="HIN5" s="74"/>
      <c r="HIO5" s="74"/>
      <c r="HIP5" s="74"/>
      <c r="HIQ5" s="74"/>
      <c r="HIR5" s="74"/>
      <c r="HIS5" s="74"/>
      <c r="HIT5" s="74"/>
      <c r="HIU5" s="74"/>
      <c r="HIV5" s="74"/>
      <c r="HIW5" s="74"/>
      <c r="HIX5" s="74"/>
      <c r="HIY5" s="74"/>
      <c r="HIZ5" s="74"/>
      <c r="HJA5" s="74"/>
      <c r="HJB5" s="74"/>
      <c r="HJC5" s="74"/>
      <c r="HJD5" s="74"/>
      <c r="HJE5" s="74"/>
      <c r="HJF5" s="74"/>
      <c r="HJG5" s="74"/>
      <c r="HJH5" s="74"/>
      <c r="HJI5" s="74"/>
      <c r="HJJ5" s="74"/>
      <c r="HJK5" s="74"/>
      <c r="HJL5" s="74"/>
      <c r="HJM5" s="74"/>
      <c r="HJN5" s="74"/>
      <c r="HJO5" s="74"/>
      <c r="HJP5" s="74"/>
      <c r="HJQ5" s="74"/>
      <c r="HJR5" s="74"/>
      <c r="HJS5" s="74"/>
      <c r="HJT5" s="74"/>
      <c r="HJU5" s="74"/>
      <c r="HJV5" s="74"/>
      <c r="HJW5" s="74"/>
      <c r="HJX5" s="74"/>
      <c r="HJY5" s="74"/>
      <c r="HJZ5" s="74"/>
      <c r="HKA5" s="74"/>
      <c r="HKB5" s="74"/>
      <c r="HKC5" s="74"/>
      <c r="HKD5" s="74"/>
      <c r="HKE5" s="74"/>
      <c r="HKF5" s="74"/>
      <c r="HKG5" s="74"/>
      <c r="HKH5" s="74"/>
      <c r="HKI5" s="74"/>
      <c r="HKJ5" s="74"/>
      <c r="HKK5" s="74"/>
      <c r="HKL5" s="74"/>
      <c r="HKM5" s="74"/>
      <c r="HKN5" s="74"/>
      <c r="HKO5" s="74"/>
      <c r="HKP5" s="74"/>
      <c r="HKQ5" s="74"/>
      <c r="HKR5" s="74"/>
      <c r="HKS5" s="74"/>
      <c r="HKT5" s="74"/>
      <c r="HKU5" s="74"/>
      <c r="HKV5" s="74"/>
      <c r="HKW5" s="74"/>
      <c r="HKX5" s="74"/>
      <c r="HKY5" s="74"/>
      <c r="HKZ5" s="74"/>
      <c r="HLA5" s="74"/>
      <c r="HLB5" s="74"/>
      <c r="HLC5" s="74"/>
      <c r="HLD5" s="74"/>
      <c r="HLE5" s="74"/>
      <c r="HLF5" s="74"/>
      <c r="HLG5" s="74"/>
      <c r="HLH5" s="74"/>
      <c r="HLI5" s="74"/>
      <c r="HLJ5" s="74"/>
      <c r="HLK5" s="74"/>
      <c r="HLL5" s="74"/>
      <c r="HLM5" s="74"/>
      <c r="HLN5" s="74"/>
      <c r="HLO5" s="74"/>
      <c r="HLP5" s="74"/>
      <c r="HLQ5" s="74"/>
      <c r="HLR5" s="74"/>
      <c r="HLS5" s="74"/>
      <c r="HLT5" s="74"/>
      <c r="HLU5" s="74"/>
      <c r="HLV5" s="74"/>
      <c r="HLW5" s="74"/>
      <c r="HLX5" s="74"/>
      <c r="HLY5" s="74"/>
      <c r="HLZ5" s="74"/>
      <c r="HMA5" s="74"/>
      <c r="HMB5" s="74"/>
      <c r="HMC5" s="74"/>
      <c r="HMD5" s="74"/>
      <c r="HME5" s="74"/>
      <c r="HMF5" s="74"/>
      <c r="HMG5" s="74"/>
      <c r="HMH5" s="74"/>
      <c r="HMI5" s="74"/>
      <c r="HMJ5" s="74"/>
      <c r="HMK5" s="74"/>
      <c r="HML5" s="74"/>
      <c r="HMM5" s="74"/>
      <c r="HMN5" s="74"/>
      <c r="HMO5" s="74"/>
      <c r="HMP5" s="74"/>
      <c r="HMQ5" s="74"/>
      <c r="HMR5" s="74"/>
      <c r="HMS5" s="74"/>
      <c r="HMT5" s="74"/>
      <c r="HMU5" s="74"/>
      <c r="HMV5" s="74"/>
      <c r="HMW5" s="74"/>
      <c r="HMX5" s="74"/>
      <c r="HMY5" s="74"/>
      <c r="HMZ5" s="74"/>
      <c r="HNA5" s="74"/>
      <c r="HNB5" s="74"/>
      <c r="HNC5" s="74"/>
      <c r="HND5" s="74"/>
      <c r="HNE5" s="74"/>
      <c r="HNF5" s="74"/>
      <c r="HNG5" s="74"/>
      <c r="HNH5" s="74"/>
      <c r="HNI5" s="74"/>
      <c r="HNJ5" s="74"/>
      <c r="HNK5" s="74"/>
      <c r="HNL5" s="74"/>
      <c r="HNM5" s="74"/>
      <c r="HNN5" s="74"/>
      <c r="HNO5" s="74"/>
      <c r="HNP5" s="74"/>
      <c r="HNQ5" s="74"/>
      <c r="HNR5" s="74"/>
      <c r="HNS5" s="74"/>
      <c r="HNT5" s="74"/>
      <c r="HNU5" s="74"/>
      <c r="HNV5" s="74"/>
      <c r="HNW5" s="74"/>
      <c r="HNX5" s="74"/>
      <c r="HNY5" s="74"/>
      <c r="HNZ5" s="74"/>
      <c r="HOA5" s="74"/>
      <c r="HOB5" s="74"/>
      <c r="HOC5" s="74"/>
      <c r="HOD5" s="74"/>
      <c r="HOE5" s="74"/>
      <c r="HOF5" s="74"/>
      <c r="HOG5" s="74"/>
      <c r="HOH5" s="74"/>
      <c r="HOI5" s="74"/>
      <c r="HOJ5" s="74"/>
      <c r="HOK5" s="74"/>
      <c r="HOL5" s="74"/>
      <c r="HOM5" s="74"/>
      <c r="HON5" s="74"/>
      <c r="HOO5" s="74"/>
      <c r="HOP5" s="74"/>
      <c r="HOQ5" s="74"/>
      <c r="HOR5" s="74"/>
      <c r="HOS5" s="74"/>
      <c r="HOT5" s="74"/>
      <c r="HOU5" s="74"/>
      <c r="HOV5" s="74"/>
      <c r="HOW5" s="74"/>
      <c r="HOX5" s="74"/>
      <c r="HOY5" s="74"/>
      <c r="HOZ5" s="74"/>
      <c r="HPA5" s="74"/>
      <c r="HPB5" s="74"/>
      <c r="HPC5" s="74"/>
      <c r="HPD5" s="74"/>
      <c r="HPE5" s="74"/>
      <c r="HPF5" s="74"/>
      <c r="HPG5" s="74"/>
      <c r="HPH5" s="74"/>
      <c r="HPI5" s="74"/>
      <c r="HPJ5" s="74"/>
      <c r="HPK5" s="74"/>
      <c r="HPL5" s="74"/>
      <c r="HPM5" s="74"/>
      <c r="HPN5" s="74"/>
      <c r="HPO5" s="74"/>
      <c r="HPP5" s="74"/>
      <c r="HPQ5" s="74"/>
      <c r="HPR5" s="74"/>
      <c r="HPS5" s="74"/>
      <c r="HPT5" s="74"/>
      <c r="HPU5" s="74"/>
      <c r="HPV5" s="74"/>
      <c r="HPW5" s="74"/>
      <c r="HPX5" s="74"/>
      <c r="HPY5" s="74"/>
      <c r="HPZ5" s="74"/>
      <c r="HQA5" s="74"/>
      <c r="HQB5" s="74"/>
      <c r="HQC5" s="74"/>
      <c r="HQD5" s="74"/>
      <c r="HQE5" s="74"/>
      <c r="HQF5" s="74"/>
      <c r="HQG5" s="74"/>
      <c r="HQH5" s="74"/>
      <c r="HQI5" s="74"/>
      <c r="HQJ5" s="74"/>
      <c r="HQK5" s="74"/>
      <c r="HQL5" s="74"/>
      <c r="HQM5" s="74"/>
      <c r="HQN5" s="74"/>
      <c r="HQO5" s="74"/>
      <c r="HQP5" s="74"/>
      <c r="HQQ5" s="74"/>
      <c r="HQR5" s="74"/>
      <c r="HQS5" s="74"/>
      <c r="HQT5" s="74"/>
      <c r="HQU5" s="74"/>
      <c r="HQV5" s="74"/>
      <c r="HQW5" s="74"/>
      <c r="HQX5" s="74"/>
      <c r="HQY5" s="74"/>
      <c r="HQZ5" s="74"/>
      <c r="HRA5" s="74"/>
      <c r="HRB5" s="74"/>
      <c r="HRC5" s="74"/>
      <c r="HRD5" s="74"/>
      <c r="HRE5" s="74"/>
      <c r="HRF5" s="74"/>
      <c r="HRG5" s="74"/>
      <c r="HRH5" s="74"/>
      <c r="HRI5" s="74"/>
      <c r="HRJ5" s="74"/>
      <c r="HRK5" s="74"/>
      <c r="HRL5" s="74"/>
      <c r="HRM5" s="74"/>
      <c r="HRN5" s="74"/>
      <c r="HRO5" s="74"/>
      <c r="HRP5" s="74"/>
      <c r="HRQ5" s="74"/>
      <c r="HRR5" s="74"/>
      <c r="HRS5" s="74"/>
      <c r="HRT5" s="74"/>
      <c r="HRU5" s="74"/>
      <c r="HRV5" s="74"/>
      <c r="HRW5" s="74"/>
      <c r="HRX5" s="74"/>
      <c r="HRY5" s="74"/>
      <c r="HRZ5" s="74"/>
      <c r="HSA5" s="74"/>
      <c r="HSB5" s="74"/>
      <c r="HSC5" s="74"/>
      <c r="HSD5" s="74"/>
      <c r="HSE5" s="74"/>
      <c r="HSF5" s="74"/>
      <c r="HSG5" s="74"/>
      <c r="HSH5" s="74"/>
      <c r="HSI5" s="74"/>
      <c r="HSJ5" s="74"/>
      <c r="HSK5" s="74"/>
      <c r="HSL5" s="74"/>
      <c r="HSM5" s="74"/>
      <c r="HSN5" s="74"/>
      <c r="HSO5" s="74"/>
      <c r="HSP5" s="74"/>
      <c r="HSQ5" s="74"/>
      <c r="HSR5" s="74"/>
      <c r="HSS5" s="74"/>
      <c r="HST5" s="74"/>
      <c r="HSU5" s="74"/>
      <c r="HSV5" s="74"/>
      <c r="HSW5" s="74"/>
      <c r="HSX5" s="74"/>
      <c r="HSY5" s="74"/>
      <c r="HSZ5" s="74"/>
      <c r="HTA5" s="74"/>
      <c r="HTB5" s="74"/>
      <c r="HTC5" s="74"/>
      <c r="HTD5" s="74"/>
      <c r="HTE5" s="74"/>
      <c r="HTF5" s="74"/>
      <c r="HTG5" s="74"/>
      <c r="HTH5" s="74"/>
      <c r="HTI5" s="74"/>
      <c r="HTJ5" s="74"/>
      <c r="HTK5" s="74"/>
      <c r="HTL5" s="74"/>
      <c r="HTM5" s="74"/>
      <c r="HTN5" s="74"/>
      <c r="HTO5" s="74"/>
      <c r="HTP5" s="74"/>
      <c r="HTQ5" s="74"/>
      <c r="HTR5" s="74"/>
      <c r="HTS5" s="74"/>
      <c r="HTT5" s="74"/>
      <c r="HTU5" s="74"/>
      <c r="HTV5" s="74"/>
      <c r="HTW5" s="74"/>
      <c r="HTX5" s="74"/>
      <c r="HTY5" s="74"/>
      <c r="HTZ5" s="74"/>
      <c r="HUA5" s="74"/>
      <c r="HUB5" s="74"/>
      <c r="HUC5" s="74"/>
      <c r="HUD5" s="74"/>
      <c r="HUE5" s="74"/>
      <c r="HUF5" s="74"/>
      <c r="HUG5" s="74"/>
      <c r="HUH5" s="74"/>
      <c r="HUI5" s="74"/>
      <c r="HUJ5" s="74"/>
      <c r="HUK5" s="74"/>
      <c r="HUL5" s="74"/>
      <c r="HUM5" s="74"/>
      <c r="HUN5" s="74"/>
      <c r="HUO5" s="74"/>
      <c r="HUP5" s="74"/>
      <c r="HUQ5" s="74"/>
      <c r="HUR5" s="74"/>
      <c r="HUS5" s="74"/>
      <c r="HUT5" s="74"/>
      <c r="HUU5" s="74"/>
      <c r="HUV5" s="74"/>
      <c r="HUW5" s="74"/>
      <c r="HUX5" s="74"/>
      <c r="HUY5" s="74"/>
      <c r="HUZ5" s="74"/>
      <c r="HVA5" s="74"/>
      <c r="HVB5" s="74"/>
      <c r="HVC5" s="74"/>
      <c r="HVD5" s="74"/>
      <c r="HVE5" s="74"/>
      <c r="HVF5" s="74"/>
      <c r="HVG5" s="74"/>
      <c r="HVH5" s="74"/>
      <c r="HVI5" s="74"/>
      <c r="HVJ5" s="74"/>
      <c r="HVK5" s="74"/>
      <c r="HVL5" s="74"/>
      <c r="HVM5" s="74"/>
      <c r="HVN5" s="74"/>
      <c r="HVO5" s="74"/>
      <c r="HVP5" s="74"/>
      <c r="HVQ5" s="74"/>
      <c r="HVR5" s="74"/>
      <c r="HVS5" s="74"/>
      <c r="HVT5" s="74"/>
      <c r="HVU5" s="74"/>
      <c r="HVV5" s="74"/>
      <c r="HVW5" s="74"/>
      <c r="HVX5" s="74"/>
      <c r="HVY5" s="74"/>
      <c r="HVZ5" s="74"/>
      <c r="HWA5" s="74"/>
      <c r="HWB5" s="74"/>
      <c r="HWC5" s="74"/>
      <c r="HWD5" s="74"/>
      <c r="HWE5" s="74"/>
      <c r="HWF5" s="74"/>
      <c r="HWG5" s="74"/>
      <c r="HWH5" s="74"/>
      <c r="HWI5" s="74"/>
      <c r="HWJ5" s="74"/>
      <c r="HWK5" s="74"/>
      <c r="HWL5" s="74"/>
      <c r="HWM5" s="74"/>
      <c r="HWN5" s="74"/>
      <c r="HWO5" s="74"/>
      <c r="HWP5" s="74"/>
      <c r="HWQ5" s="74"/>
      <c r="HWR5" s="74"/>
      <c r="HWS5" s="74"/>
      <c r="HWT5" s="74"/>
      <c r="HWU5" s="74"/>
      <c r="HWV5" s="74"/>
      <c r="HWW5" s="74"/>
      <c r="HWX5" s="74"/>
      <c r="HWY5" s="74"/>
      <c r="HWZ5" s="74"/>
      <c r="HXA5" s="74"/>
      <c r="HXB5" s="74"/>
      <c r="HXC5" s="74"/>
      <c r="HXD5" s="74"/>
      <c r="HXE5" s="74"/>
      <c r="HXF5" s="74"/>
      <c r="HXG5" s="74"/>
      <c r="HXH5" s="74"/>
      <c r="HXI5" s="74"/>
      <c r="HXJ5" s="74"/>
      <c r="HXK5" s="74"/>
      <c r="HXL5" s="74"/>
      <c r="HXM5" s="74"/>
      <c r="HXN5" s="74"/>
      <c r="HXO5" s="74"/>
      <c r="HXP5" s="74"/>
      <c r="HXQ5" s="74"/>
      <c r="HXR5" s="74"/>
      <c r="HXS5" s="74"/>
      <c r="HXT5" s="74"/>
      <c r="HXU5" s="74"/>
      <c r="HXV5" s="74"/>
      <c r="HXW5" s="74"/>
      <c r="HXX5" s="74"/>
      <c r="HXY5" s="74"/>
      <c r="HXZ5" s="74"/>
      <c r="HYA5" s="74"/>
      <c r="HYB5" s="74"/>
      <c r="HYC5" s="74"/>
      <c r="HYD5" s="74"/>
      <c r="HYE5" s="74"/>
      <c r="HYF5" s="74"/>
      <c r="HYG5" s="74"/>
      <c r="HYH5" s="74"/>
      <c r="HYI5" s="74"/>
      <c r="HYJ5" s="74"/>
      <c r="HYK5" s="74"/>
      <c r="HYL5" s="74"/>
      <c r="HYM5" s="74"/>
      <c r="HYN5" s="74"/>
      <c r="HYO5" s="74"/>
      <c r="HYP5" s="74"/>
      <c r="HYQ5" s="74"/>
      <c r="HYR5" s="74"/>
      <c r="HYS5" s="74"/>
      <c r="HYT5" s="74"/>
      <c r="HYU5" s="74"/>
      <c r="HYV5" s="74"/>
      <c r="HYW5" s="74"/>
      <c r="HYX5" s="74"/>
      <c r="HYY5" s="74"/>
      <c r="HYZ5" s="74"/>
      <c r="HZA5" s="74"/>
      <c r="HZB5" s="74"/>
      <c r="HZC5" s="74"/>
      <c r="HZD5" s="74"/>
      <c r="HZE5" s="74"/>
      <c r="HZF5" s="74"/>
      <c r="HZG5" s="74"/>
      <c r="HZH5" s="74"/>
      <c r="HZI5" s="74"/>
      <c r="HZJ5" s="74"/>
      <c r="HZK5" s="74"/>
      <c r="HZL5" s="74"/>
      <c r="HZM5" s="74"/>
      <c r="HZN5" s="74"/>
      <c r="HZO5" s="74"/>
      <c r="HZP5" s="74"/>
      <c r="HZQ5" s="74"/>
      <c r="HZR5" s="74"/>
      <c r="HZS5" s="74"/>
      <c r="HZT5" s="74"/>
      <c r="HZU5" s="74"/>
      <c r="HZV5" s="74"/>
      <c r="HZW5" s="74"/>
      <c r="HZX5" s="74"/>
      <c r="HZY5" s="74"/>
      <c r="HZZ5" s="74"/>
      <c r="IAA5" s="74"/>
      <c r="IAB5" s="74"/>
      <c r="IAC5" s="74"/>
      <c r="IAD5" s="74"/>
      <c r="IAE5" s="74"/>
      <c r="IAF5" s="74"/>
      <c r="IAG5" s="74"/>
      <c r="IAH5" s="74"/>
      <c r="IAI5" s="74"/>
      <c r="IAJ5" s="74"/>
      <c r="IAK5" s="74"/>
      <c r="IAL5" s="74"/>
      <c r="IAM5" s="74"/>
      <c r="IAN5" s="74"/>
      <c r="IAO5" s="74"/>
      <c r="IAP5" s="74"/>
      <c r="IAQ5" s="74"/>
      <c r="IAR5" s="74"/>
      <c r="IAS5" s="74"/>
      <c r="IAT5" s="74"/>
      <c r="IAU5" s="74"/>
      <c r="IAV5" s="74"/>
      <c r="IAW5" s="74"/>
      <c r="IAX5" s="74"/>
      <c r="IAY5" s="74"/>
      <c r="IAZ5" s="74"/>
      <c r="IBA5" s="74"/>
      <c r="IBB5" s="74"/>
      <c r="IBC5" s="74"/>
      <c r="IBD5" s="74"/>
      <c r="IBE5" s="74"/>
      <c r="IBF5" s="74"/>
      <c r="IBG5" s="74"/>
      <c r="IBH5" s="74"/>
      <c r="IBI5" s="74"/>
      <c r="IBJ5" s="74"/>
      <c r="IBK5" s="74"/>
      <c r="IBL5" s="74"/>
      <c r="IBM5" s="74"/>
      <c r="IBN5" s="74"/>
      <c r="IBO5" s="74"/>
      <c r="IBP5" s="74"/>
      <c r="IBQ5" s="74"/>
      <c r="IBR5" s="74"/>
      <c r="IBS5" s="74"/>
      <c r="IBT5" s="74"/>
      <c r="IBU5" s="74"/>
      <c r="IBV5" s="74"/>
      <c r="IBW5" s="74"/>
      <c r="IBX5" s="74"/>
      <c r="IBY5" s="74"/>
      <c r="IBZ5" s="74"/>
      <c r="ICA5" s="74"/>
      <c r="ICB5" s="74"/>
      <c r="ICC5" s="74"/>
      <c r="ICD5" s="74"/>
      <c r="ICE5" s="74"/>
      <c r="ICF5" s="74"/>
      <c r="ICG5" s="74"/>
      <c r="ICH5" s="74"/>
      <c r="ICI5" s="74"/>
      <c r="ICJ5" s="74"/>
      <c r="ICK5" s="74"/>
      <c r="ICL5" s="74"/>
      <c r="ICM5" s="74"/>
      <c r="ICN5" s="74"/>
      <c r="ICO5" s="74"/>
      <c r="ICP5" s="74"/>
      <c r="ICQ5" s="74"/>
      <c r="ICR5" s="74"/>
      <c r="ICS5" s="74"/>
      <c r="ICT5" s="74"/>
      <c r="ICU5" s="74"/>
      <c r="ICV5" s="74"/>
      <c r="ICW5" s="74"/>
      <c r="ICX5" s="74"/>
      <c r="ICY5" s="74"/>
      <c r="ICZ5" s="74"/>
      <c r="IDA5" s="74"/>
      <c r="IDB5" s="74"/>
      <c r="IDC5" s="74"/>
      <c r="IDD5" s="74"/>
      <c r="IDE5" s="74"/>
      <c r="IDF5" s="74"/>
      <c r="IDG5" s="74"/>
      <c r="IDH5" s="74"/>
      <c r="IDI5" s="74"/>
      <c r="IDJ5" s="74"/>
      <c r="IDK5" s="74"/>
      <c r="IDL5" s="74"/>
      <c r="IDM5" s="74"/>
      <c r="IDN5" s="74"/>
      <c r="IDO5" s="74"/>
      <c r="IDP5" s="74"/>
      <c r="IDQ5" s="74"/>
      <c r="IDR5" s="74"/>
      <c r="IDS5" s="74"/>
      <c r="IDT5" s="74"/>
      <c r="IDU5" s="74"/>
      <c r="IDV5" s="74"/>
      <c r="IDW5" s="74"/>
      <c r="IDX5" s="74"/>
      <c r="IDY5" s="74"/>
      <c r="IDZ5" s="74"/>
      <c r="IEA5" s="74"/>
      <c r="IEB5" s="74"/>
      <c r="IEC5" s="74"/>
      <c r="IED5" s="74"/>
      <c r="IEE5" s="74"/>
      <c r="IEF5" s="74"/>
      <c r="IEG5" s="74"/>
      <c r="IEH5" s="74"/>
      <c r="IEI5" s="74"/>
      <c r="IEJ5" s="74"/>
      <c r="IEK5" s="74"/>
      <c r="IEL5" s="74"/>
      <c r="IEM5" s="74"/>
      <c r="IEN5" s="74"/>
      <c r="IEO5" s="74"/>
      <c r="IEP5" s="74"/>
      <c r="IEQ5" s="74"/>
      <c r="IER5" s="74"/>
      <c r="IES5" s="74"/>
      <c r="IET5" s="74"/>
      <c r="IEU5" s="74"/>
      <c r="IEV5" s="74"/>
      <c r="IEW5" s="74"/>
      <c r="IEX5" s="74"/>
      <c r="IEY5" s="74"/>
      <c r="IEZ5" s="74"/>
      <c r="IFA5" s="74"/>
      <c r="IFB5" s="74"/>
      <c r="IFC5" s="74"/>
      <c r="IFD5" s="74"/>
      <c r="IFE5" s="74"/>
      <c r="IFF5" s="74"/>
      <c r="IFG5" s="74"/>
      <c r="IFH5" s="74"/>
      <c r="IFI5" s="74"/>
      <c r="IFJ5" s="74"/>
      <c r="IFK5" s="74"/>
      <c r="IFL5" s="74"/>
      <c r="IFM5" s="74"/>
      <c r="IFN5" s="74"/>
      <c r="IFO5" s="74"/>
      <c r="IFP5" s="74"/>
      <c r="IFQ5" s="74"/>
      <c r="IFR5" s="74"/>
      <c r="IFS5" s="74"/>
      <c r="IFT5" s="74"/>
      <c r="IFU5" s="74"/>
      <c r="IFV5" s="74"/>
      <c r="IFW5" s="74"/>
      <c r="IFX5" s="74"/>
      <c r="IFY5" s="74"/>
      <c r="IFZ5" s="74"/>
      <c r="IGA5" s="74"/>
      <c r="IGB5" s="74"/>
      <c r="IGC5" s="74"/>
      <c r="IGD5" s="74"/>
      <c r="IGE5" s="74"/>
      <c r="IGF5" s="74"/>
      <c r="IGG5" s="74"/>
      <c r="IGH5" s="74"/>
      <c r="IGI5" s="74"/>
      <c r="IGJ5" s="74"/>
      <c r="IGK5" s="74"/>
      <c r="IGL5" s="74"/>
      <c r="IGM5" s="74"/>
      <c r="IGN5" s="74"/>
      <c r="IGO5" s="74"/>
      <c r="IGP5" s="74"/>
      <c r="IGQ5" s="74"/>
      <c r="IGR5" s="74"/>
      <c r="IGS5" s="74"/>
      <c r="IGT5" s="74"/>
      <c r="IGU5" s="74"/>
      <c r="IGV5" s="74"/>
      <c r="IGW5" s="74"/>
      <c r="IGX5" s="74"/>
      <c r="IGY5" s="74"/>
      <c r="IGZ5" s="74"/>
      <c r="IHA5" s="74"/>
      <c r="IHB5" s="74"/>
      <c r="IHC5" s="74"/>
      <c r="IHD5" s="74"/>
      <c r="IHE5" s="74"/>
      <c r="IHF5" s="74"/>
      <c r="IHG5" s="74"/>
      <c r="IHH5" s="74"/>
      <c r="IHI5" s="74"/>
      <c r="IHJ5" s="74"/>
      <c r="IHK5" s="74"/>
      <c r="IHL5" s="74"/>
      <c r="IHM5" s="74"/>
      <c r="IHN5" s="74"/>
      <c r="IHO5" s="74"/>
      <c r="IHP5" s="74"/>
      <c r="IHQ5" s="74"/>
      <c r="IHR5" s="74"/>
      <c r="IHS5" s="74"/>
      <c r="IHT5" s="74"/>
      <c r="IHU5" s="74"/>
      <c r="IHV5" s="74"/>
      <c r="IHW5" s="74"/>
      <c r="IHX5" s="74"/>
      <c r="IHY5" s="74"/>
      <c r="IHZ5" s="74"/>
      <c r="IIA5" s="74"/>
      <c r="IIB5" s="74"/>
      <c r="IIC5" s="74"/>
      <c r="IID5" s="74"/>
      <c r="IIE5" s="74"/>
      <c r="IIF5" s="74"/>
      <c r="IIG5" s="74"/>
      <c r="IIH5" s="74"/>
      <c r="III5" s="74"/>
      <c r="IIJ5" s="74"/>
      <c r="IIK5" s="74"/>
      <c r="IIL5" s="74"/>
      <c r="IIM5" s="74"/>
      <c r="IIN5" s="74"/>
      <c r="IIO5" s="74"/>
      <c r="IIP5" s="74"/>
      <c r="IIQ5" s="74"/>
      <c r="IIR5" s="74"/>
      <c r="IIS5" s="74"/>
      <c r="IIT5" s="74"/>
      <c r="IIU5" s="74"/>
      <c r="IIV5" s="74"/>
      <c r="IIW5" s="74"/>
      <c r="IIX5" s="74"/>
      <c r="IIY5" s="74"/>
      <c r="IIZ5" s="74"/>
      <c r="IJA5" s="74"/>
      <c r="IJB5" s="74"/>
      <c r="IJC5" s="74"/>
      <c r="IJD5" s="74"/>
      <c r="IJE5" s="74"/>
      <c r="IJF5" s="74"/>
      <c r="IJG5" s="74"/>
      <c r="IJH5" s="74"/>
      <c r="IJI5" s="74"/>
      <c r="IJJ5" s="74"/>
      <c r="IJK5" s="74"/>
      <c r="IJL5" s="74"/>
      <c r="IJM5" s="74"/>
      <c r="IJN5" s="74"/>
      <c r="IJO5" s="74"/>
      <c r="IJP5" s="74"/>
      <c r="IJQ5" s="74"/>
      <c r="IJR5" s="74"/>
      <c r="IJS5" s="74"/>
      <c r="IJT5" s="74"/>
      <c r="IJU5" s="74"/>
      <c r="IJV5" s="74"/>
      <c r="IJW5" s="74"/>
      <c r="IJX5" s="74"/>
      <c r="IJY5" s="74"/>
      <c r="IJZ5" s="74"/>
      <c r="IKA5" s="74"/>
      <c r="IKB5" s="74"/>
      <c r="IKC5" s="74"/>
      <c r="IKD5" s="74"/>
      <c r="IKE5" s="74"/>
      <c r="IKF5" s="74"/>
      <c r="IKG5" s="74"/>
      <c r="IKH5" s="74"/>
      <c r="IKI5" s="74"/>
      <c r="IKJ5" s="74"/>
      <c r="IKK5" s="74"/>
      <c r="IKL5" s="74"/>
      <c r="IKM5" s="74"/>
      <c r="IKN5" s="74"/>
      <c r="IKO5" s="74"/>
      <c r="IKP5" s="74"/>
      <c r="IKQ5" s="74"/>
      <c r="IKR5" s="74"/>
      <c r="IKS5" s="74"/>
      <c r="IKT5" s="74"/>
      <c r="IKU5" s="74"/>
      <c r="IKV5" s="74"/>
      <c r="IKW5" s="74"/>
      <c r="IKX5" s="74"/>
      <c r="IKY5" s="74"/>
      <c r="IKZ5" s="74"/>
      <c r="ILA5" s="74"/>
      <c r="ILB5" s="74"/>
      <c r="ILC5" s="74"/>
      <c r="ILD5" s="74"/>
      <c r="ILE5" s="74"/>
      <c r="ILF5" s="74"/>
      <c r="ILG5" s="74"/>
      <c r="ILH5" s="74"/>
      <c r="ILI5" s="74"/>
      <c r="ILJ5" s="74"/>
      <c r="ILK5" s="74"/>
      <c r="ILL5" s="74"/>
      <c r="ILM5" s="74"/>
      <c r="ILN5" s="74"/>
      <c r="ILO5" s="74"/>
      <c r="ILP5" s="74"/>
      <c r="ILQ5" s="74"/>
      <c r="ILR5" s="74"/>
      <c r="ILS5" s="74"/>
      <c r="ILT5" s="74"/>
      <c r="ILU5" s="74"/>
      <c r="ILV5" s="74"/>
      <c r="ILW5" s="74"/>
      <c r="ILX5" s="74"/>
      <c r="ILY5" s="74"/>
      <c r="ILZ5" s="74"/>
      <c r="IMA5" s="74"/>
      <c r="IMB5" s="74"/>
      <c r="IMC5" s="74"/>
      <c r="IMD5" s="74"/>
      <c r="IME5" s="74"/>
      <c r="IMF5" s="74"/>
      <c r="IMG5" s="74"/>
      <c r="IMH5" s="74"/>
      <c r="IMI5" s="74"/>
      <c r="IMJ5" s="74"/>
      <c r="IMK5" s="74"/>
      <c r="IML5" s="74"/>
      <c r="IMM5" s="74"/>
      <c r="IMN5" s="74"/>
      <c r="IMO5" s="74"/>
      <c r="IMP5" s="74"/>
      <c r="IMQ5" s="74"/>
      <c r="IMR5" s="74"/>
      <c r="IMS5" s="74"/>
      <c r="IMT5" s="74"/>
      <c r="IMU5" s="74"/>
      <c r="IMV5" s="74"/>
      <c r="IMW5" s="74"/>
      <c r="IMX5" s="74"/>
      <c r="IMY5" s="74"/>
      <c r="IMZ5" s="74"/>
      <c r="INA5" s="74"/>
      <c r="INB5" s="74"/>
      <c r="INC5" s="74"/>
      <c r="IND5" s="74"/>
      <c r="INE5" s="74"/>
      <c r="INF5" s="74"/>
      <c r="ING5" s="74"/>
      <c r="INH5" s="74"/>
      <c r="INI5" s="74"/>
      <c r="INJ5" s="74"/>
      <c r="INK5" s="74"/>
      <c r="INL5" s="74"/>
      <c r="INM5" s="74"/>
      <c r="INN5" s="74"/>
      <c r="INO5" s="74"/>
      <c r="INP5" s="74"/>
      <c r="INQ5" s="74"/>
      <c r="INR5" s="74"/>
      <c r="INS5" s="74"/>
      <c r="INT5" s="74"/>
      <c r="INU5" s="74"/>
      <c r="INV5" s="74"/>
      <c r="INW5" s="74"/>
      <c r="INX5" s="74"/>
      <c r="INY5" s="74"/>
      <c r="INZ5" s="74"/>
      <c r="IOA5" s="74"/>
      <c r="IOB5" s="74"/>
      <c r="IOC5" s="74"/>
      <c r="IOD5" s="74"/>
      <c r="IOE5" s="74"/>
      <c r="IOF5" s="74"/>
      <c r="IOG5" s="74"/>
      <c r="IOH5" s="74"/>
      <c r="IOI5" s="74"/>
      <c r="IOJ5" s="74"/>
      <c r="IOK5" s="74"/>
      <c r="IOL5" s="74"/>
      <c r="IOM5" s="74"/>
      <c r="ION5" s="74"/>
      <c r="IOO5" s="74"/>
      <c r="IOP5" s="74"/>
      <c r="IOQ5" s="74"/>
      <c r="IOR5" s="74"/>
      <c r="IOS5" s="74"/>
      <c r="IOT5" s="74"/>
      <c r="IOU5" s="74"/>
      <c r="IOV5" s="74"/>
      <c r="IOW5" s="74"/>
      <c r="IOX5" s="74"/>
      <c r="IOY5" s="74"/>
      <c r="IOZ5" s="74"/>
      <c r="IPA5" s="74"/>
      <c r="IPB5" s="74"/>
      <c r="IPC5" s="74"/>
      <c r="IPD5" s="74"/>
      <c r="IPE5" s="74"/>
      <c r="IPF5" s="74"/>
      <c r="IPG5" s="74"/>
      <c r="IPH5" s="74"/>
      <c r="IPI5" s="74"/>
      <c r="IPJ5" s="74"/>
      <c r="IPK5" s="74"/>
      <c r="IPL5" s="74"/>
      <c r="IPM5" s="74"/>
      <c r="IPN5" s="74"/>
      <c r="IPO5" s="74"/>
      <c r="IPP5" s="74"/>
      <c r="IPQ5" s="74"/>
      <c r="IPR5" s="74"/>
      <c r="IPS5" s="74"/>
      <c r="IPT5" s="74"/>
      <c r="IPU5" s="74"/>
      <c r="IPV5" s="74"/>
      <c r="IPW5" s="74"/>
      <c r="IPX5" s="74"/>
      <c r="IPY5" s="74"/>
      <c r="IPZ5" s="74"/>
      <c r="IQA5" s="74"/>
      <c r="IQB5" s="74"/>
      <c r="IQC5" s="74"/>
      <c r="IQD5" s="74"/>
      <c r="IQE5" s="74"/>
      <c r="IQF5" s="74"/>
      <c r="IQG5" s="74"/>
      <c r="IQH5" s="74"/>
      <c r="IQI5" s="74"/>
      <c r="IQJ5" s="74"/>
      <c r="IQK5" s="74"/>
      <c r="IQL5" s="74"/>
      <c r="IQM5" s="74"/>
      <c r="IQN5" s="74"/>
      <c r="IQO5" s="74"/>
      <c r="IQP5" s="74"/>
      <c r="IQQ5" s="74"/>
      <c r="IQR5" s="74"/>
      <c r="IQS5" s="74"/>
      <c r="IQT5" s="74"/>
      <c r="IQU5" s="74"/>
      <c r="IQV5" s="74"/>
      <c r="IQW5" s="74"/>
      <c r="IQX5" s="74"/>
      <c r="IQY5" s="74"/>
      <c r="IQZ5" s="74"/>
      <c r="IRA5" s="74"/>
      <c r="IRB5" s="74"/>
      <c r="IRC5" s="74"/>
      <c r="IRD5" s="74"/>
      <c r="IRE5" s="74"/>
      <c r="IRF5" s="74"/>
      <c r="IRG5" s="74"/>
      <c r="IRH5" s="74"/>
      <c r="IRI5" s="74"/>
      <c r="IRJ5" s="74"/>
      <c r="IRK5" s="74"/>
      <c r="IRL5" s="74"/>
      <c r="IRM5" s="74"/>
      <c r="IRN5" s="74"/>
      <c r="IRO5" s="74"/>
      <c r="IRP5" s="74"/>
      <c r="IRQ5" s="74"/>
      <c r="IRR5" s="74"/>
      <c r="IRS5" s="74"/>
      <c r="IRT5" s="74"/>
      <c r="IRU5" s="74"/>
      <c r="IRV5" s="74"/>
      <c r="IRW5" s="74"/>
      <c r="IRX5" s="74"/>
      <c r="IRY5" s="74"/>
      <c r="IRZ5" s="74"/>
      <c r="ISA5" s="74"/>
      <c r="ISB5" s="74"/>
      <c r="ISC5" s="74"/>
      <c r="ISD5" s="74"/>
      <c r="ISE5" s="74"/>
      <c r="ISF5" s="74"/>
      <c r="ISG5" s="74"/>
      <c r="ISH5" s="74"/>
      <c r="ISI5" s="74"/>
      <c r="ISJ5" s="74"/>
      <c r="ISK5" s="74"/>
      <c r="ISL5" s="74"/>
      <c r="ISM5" s="74"/>
      <c r="ISN5" s="74"/>
      <c r="ISO5" s="74"/>
      <c r="ISP5" s="74"/>
      <c r="ISQ5" s="74"/>
      <c r="ISR5" s="74"/>
      <c r="ISS5" s="74"/>
      <c r="IST5" s="74"/>
      <c r="ISU5" s="74"/>
      <c r="ISV5" s="74"/>
      <c r="ISW5" s="74"/>
      <c r="ISX5" s="74"/>
      <c r="ISY5" s="74"/>
      <c r="ISZ5" s="74"/>
      <c r="ITA5" s="74"/>
      <c r="ITB5" s="74"/>
      <c r="ITC5" s="74"/>
      <c r="ITD5" s="74"/>
      <c r="ITE5" s="74"/>
      <c r="ITF5" s="74"/>
      <c r="ITG5" s="74"/>
      <c r="ITH5" s="74"/>
      <c r="ITI5" s="74"/>
      <c r="ITJ5" s="74"/>
      <c r="ITK5" s="74"/>
      <c r="ITL5" s="74"/>
      <c r="ITM5" s="74"/>
      <c r="ITN5" s="74"/>
      <c r="ITO5" s="74"/>
      <c r="ITP5" s="74"/>
      <c r="ITQ5" s="74"/>
      <c r="ITR5" s="74"/>
      <c r="ITS5" s="74"/>
      <c r="ITT5" s="74"/>
      <c r="ITU5" s="74"/>
      <c r="ITV5" s="74"/>
      <c r="ITW5" s="74"/>
      <c r="ITX5" s="74"/>
      <c r="ITY5" s="74"/>
      <c r="ITZ5" s="74"/>
      <c r="IUA5" s="74"/>
      <c r="IUB5" s="74"/>
      <c r="IUC5" s="74"/>
      <c r="IUD5" s="74"/>
      <c r="IUE5" s="74"/>
      <c r="IUF5" s="74"/>
      <c r="IUG5" s="74"/>
      <c r="IUH5" s="74"/>
      <c r="IUI5" s="74"/>
      <c r="IUJ5" s="74"/>
      <c r="IUK5" s="74"/>
      <c r="IUL5" s="74"/>
      <c r="IUM5" s="74"/>
      <c r="IUN5" s="74"/>
      <c r="IUO5" s="74"/>
      <c r="IUP5" s="74"/>
      <c r="IUQ5" s="74"/>
      <c r="IUR5" s="74"/>
      <c r="IUS5" s="74"/>
      <c r="IUT5" s="74"/>
      <c r="IUU5" s="74"/>
      <c r="IUV5" s="74"/>
      <c r="IUW5" s="74"/>
      <c r="IUX5" s="74"/>
      <c r="IUY5" s="74"/>
      <c r="IUZ5" s="74"/>
      <c r="IVA5" s="74"/>
      <c r="IVB5" s="74"/>
      <c r="IVC5" s="74"/>
      <c r="IVD5" s="74"/>
      <c r="IVE5" s="74"/>
      <c r="IVF5" s="74"/>
      <c r="IVG5" s="74"/>
      <c r="IVH5" s="74"/>
      <c r="IVI5" s="74"/>
      <c r="IVJ5" s="74"/>
      <c r="IVK5" s="74"/>
      <c r="IVL5" s="74"/>
      <c r="IVM5" s="74"/>
      <c r="IVN5" s="74"/>
      <c r="IVO5" s="74"/>
      <c r="IVP5" s="74"/>
      <c r="IVQ5" s="74"/>
      <c r="IVR5" s="74"/>
      <c r="IVS5" s="74"/>
      <c r="IVT5" s="74"/>
      <c r="IVU5" s="74"/>
      <c r="IVV5" s="74"/>
      <c r="IVW5" s="74"/>
      <c r="IVX5" s="74"/>
      <c r="IVY5" s="74"/>
      <c r="IVZ5" s="74"/>
      <c r="IWA5" s="74"/>
      <c r="IWB5" s="74"/>
      <c r="IWC5" s="74"/>
      <c r="IWD5" s="74"/>
      <c r="IWE5" s="74"/>
      <c r="IWF5" s="74"/>
      <c r="IWG5" s="74"/>
      <c r="IWH5" s="74"/>
      <c r="IWI5" s="74"/>
      <c r="IWJ5" s="74"/>
      <c r="IWK5" s="74"/>
      <c r="IWL5" s="74"/>
      <c r="IWM5" s="74"/>
      <c r="IWN5" s="74"/>
      <c r="IWO5" s="74"/>
      <c r="IWP5" s="74"/>
      <c r="IWQ5" s="74"/>
      <c r="IWR5" s="74"/>
      <c r="IWS5" s="74"/>
      <c r="IWT5" s="74"/>
      <c r="IWU5" s="74"/>
      <c r="IWV5" s="74"/>
      <c r="IWW5" s="74"/>
      <c r="IWX5" s="74"/>
      <c r="IWY5" s="74"/>
      <c r="IWZ5" s="74"/>
      <c r="IXA5" s="74"/>
      <c r="IXB5" s="74"/>
      <c r="IXC5" s="74"/>
      <c r="IXD5" s="74"/>
      <c r="IXE5" s="74"/>
      <c r="IXF5" s="74"/>
      <c r="IXG5" s="74"/>
      <c r="IXH5" s="74"/>
      <c r="IXI5" s="74"/>
      <c r="IXJ5" s="74"/>
      <c r="IXK5" s="74"/>
      <c r="IXL5" s="74"/>
      <c r="IXM5" s="74"/>
      <c r="IXN5" s="74"/>
      <c r="IXO5" s="74"/>
      <c r="IXP5" s="74"/>
      <c r="IXQ5" s="74"/>
      <c r="IXR5" s="74"/>
      <c r="IXS5" s="74"/>
      <c r="IXT5" s="74"/>
      <c r="IXU5" s="74"/>
      <c r="IXV5" s="74"/>
      <c r="IXW5" s="74"/>
      <c r="IXX5" s="74"/>
      <c r="IXY5" s="74"/>
      <c r="IXZ5" s="74"/>
      <c r="IYA5" s="74"/>
      <c r="IYB5" s="74"/>
      <c r="IYC5" s="74"/>
      <c r="IYD5" s="74"/>
      <c r="IYE5" s="74"/>
      <c r="IYF5" s="74"/>
      <c r="IYG5" s="74"/>
      <c r="IYH5" s="74"/>
      <c r="IYI5" s="74"/>
      <c r="IYJ5" s="74"/>
      <c r="IYK5" s="74"/>
      <c r="IYL5" s="74"/>
      <c r="IYM5" s="74"/>
      <c r="IYN5" s="74"/>
      <c r="IYO5" s="74"/>
      <c r="IYP5" s="74"/>
      <c r="IYQ5" s="74"/>
      <c r="IYR5" s="74"/>
      <c r="IYS5" s="74"/>
      <c r="IYT5" s="74"/>
      <c r="IYU5" s="74"/>
      <c r="IYV5" s="74"/>
      <c r="IYW5" s="74"/>
      <c r="IYX5" s="74"/>
      <c r="IYY5" s="74"/>
      <c r="IYZ5" s="74"/>
      <c r="IZA5" s="74"/>
      <c r="IZB5" s="74"/>
      <c r="IZC5" s="74"/>
      <c r="IZD5" s="74"/>
      <c r="IZE5" s="74"/>
      <c r="IZF5" s="74"/>
      <c r="IZG5" s="74"/>
      <c r="IZH5" s="74"/>
      <c r="IZI5" s="74"/>
      <c r="IZJ5" s="74"/>
      <c r="IZK5" s="74"/>
      <c r="IZL5" s="74"/>
      <c r="IZM5" s="74"/>
      <c r="IZN5" s="74"/>
      <c r="IZO5" s="74"/>
      <c r="IZP5" s="74"/>
      <c r="IZQ5" s="74"/>
      <c r="IZR5" s="74"/>
      <c r="IZS5" s="74"/>
      <c r="IZT5" s="74"/>
      <c r="IZU5" s="74"/>
      <c r="IZV5" s="74"/>
      <c r="IZW5" s="74"/>
      <c r="IZX5" s="74"/>
      <c r="IZY5" s="74"/>
      <c r="IZZ5" s="74"/>
      <c r="JAA5" s="74"/>
      <c r="JAB5" s="74"/>
      <c r="JAC5" s="74"/>
      <c r="JAD5" s="74"/>
      <c r="JAE5" s="74"/>
      <c r="JAF5" s="74"/>
      <c r="JAG5" s="74"/>
      <c r="JAH5" s="74"/>
      <c r="JAI5" s="74"/>
      <c r="JAJ5" s="74"/>
      <c r="JAK5" s="74"/>
      <c r="JAL5" s="74"/>
      <c r="JAM5" s="74"/>
      <c r="JAN5" s="74"/>
      <c r="JAO5" s="74"/>
      <c r="JAP5" s="74"/>
      <c r="JAQ5" s="74"/>
      <c r="JAR5" s="74"/>
      <c r="JAS5" s="74"/>
      <c r="JAT5" s="74"/>
      <c r="JAU5" s="74"/>
      <c r="JAV5" s="74"/>
      <c r="JAW5" s="74"/>
      <c r="JAX5" s="74"/>
      <c r="JAY5" s="74"/>
      <c r="JAZ5" s="74"/>
      <c r="JBA5" s="74"/>
      <c r="JBB5" s="74"/>
      <c r="JBC5" s="74"/>
      <c r="JBD5" s="74"/>
      <c r="JBE5" s="74"/>
      <c r="JBF5" s="74"/>
      <c r="JBG5" s="74"/>
      <c r="JBH5" s="74"/>
      <c r="JBI5" s="74"/>
      <c r="JBJ5" s="74"/>
      <c r="JBK5" s="74"/>
      <c r="JBL5" s="74"/>
      <c r="JBM5" s="74"/>
      <c r="JBN5" s="74"/>
      <c r="JBO5" s="74"/>
      <c r="JBP5" s="74"/>
      <c r="JBQ5" s="74"/>
      <c r="JBR5" s="74"/>
      <c r="JBS5" s="74"/>
      <c r="JBT5" s="74"/>
      <c r="JBU5" s="74"/>
      <c r="JBV5" s="74"/>
      <c r="JBW5" s="74"/>
      <c r="JBX5" s="74"/>
      <c r="JBY5" s="74"/>
      <c r="JBZ5" s="74"/>
      <c r="JCA5" s="74"/>
      <c r="JCB5" s="74"/>
      <c r="JCC5" s="74"/>
      <c r="JCD5" s="74"/>
      <c r="JCE5" s="74"/>
      <c r="JCF5" s="74"/>
      <c r="JCG5" s="74"/>
      <c r="JCH5" s="74"/>
      <c r="JCI5" s="74"/>
      <c r="JCJ5" s="74"/>
      <c r="JCK5" s="74"/>
      <c r="JCL5" s="74"/>
      <c r="JCM5" s="74"/>
      <c r="JCN5" s="74"/>
      <c r="JCO5" s="74"/>
      <c r="JCP5" s="74"/>
      <c r="JCQ5" s="74"/>
      <c r="JCR5" s="74"/>
      <c r="JCS5" s="74"/>
      <c r="JCT5" s="74"/>
      <c r="JCU5" s="74"/>
      <c r="JCV5" s="74"/>
      <c r="JCW5" s="74"/>
      <c r="JCX5" s="74"/>
      <c r="JCY5" s="74"/>
      <c r="JCZ5" s="74"/>
      <c r="JDA5" s="74"/>
      <c r="JDB5" s="74"/>
      <c r="JDC5" s="74"/>
      <c r="JDD5" s="74"/>
      <c r="JDE5" s="74"/>
      <c r="JDF5" s="74"/>
      <c r="JDG5" s="74"/>
      <c r="JDH5" s="74"/>
      <c r="JDI5" s="74"/>
      <c r="JDJ5" s="74"/>
      <c r="JDK5" s="74"/>
      <c r="JDL5" s="74"/>
      <c r="JDM5" s="74"/>
      <c r="JDN5" s="74"/>
      <c r="JDO5" s="74"/>
      <c r="JDP5" s="74"/>
      <c r="JDQ5" s="74"/>
      <c r="JDR5" s="74"/>
      <c r="JDS5" s="74"/>
      <c r="JDT5" s="74"/>
      <c r="JDU5" s="74"/>
      <c r="JDV5" s="74"/>
      <c r="JDW5" s="74"/>
      <c r="JDX5" s="74"/>
      <c r="JDY5" s="74"/>
      <c r="JDZ5" s="74"/>
      <c r="JEA5" s="74"/>
      <c r="JEB5" s="74"/>
      <c r="JEC5" s="74"/>
      <c r="JED5" s="74"/>
      <c r="JEE5" s="74"/>
      <c r="JEF5" s="74"/>
      <c r="JEG5" s="74"/>
      <c r="JEH5" s="74"/>
      <c r="JEI5" s="74"/>
      <c r="JEJ5" s="74"/>
      <c r="JEK5" s="74"/>
      <c r="JEL5" s="74"/>
      <c r="JEM5" s="74"/>
      <c r="JEN5" s="74"/>
      <c r="JEO5" s="74"/>
      <c r="JEP5" s="74"/>
      <c r="JEQ5" s="74"/>
      <c r="JER5" s="74"/>
      <c r="JES5" s="74"/>
      <c r="JET5" s="74"/>
      <c r="JEU5" s="74"/>
      <c r="JEV5" s="74"/>
      <c r="JEW5" s="74"/>
      <c r="JEX5" s="74"/>
      <c r="JEY5" s="74"/>
      <c r="JEZ5" s="74"/>
      <c r="JFA5" s="74"/>
      <c r="JFB5" s="74"/>
      <c r="JFC5" s="74"/>
      <c r="JFD5" s="74"/>
      <c r="JFE5" s="74"/>
      <c r="JFF5" s="74"/>
      <c r="JFG5" s="74"/>
      <c r="JFH5" s="74"/>
      <c r="JFI5" s="74"/>
      <c r="JFJ5" s="74"/>
      <c r="JFK5" s="74"/>
      <c r="JFL5" s="74"/>
      <c r="JFM5" s="74"/>
      <c r="JFN5" s="74"/>
      <c r="JFO5" s="74"/>
      <c r="JFP5" s="74"/>
      <c r="JFQ5" s="74"/>
      <c r="JFR5" s="74"/>
      <c r="JFS5" s="74"/>
      <c r="JFT5" s="74"/>
      <c r="JFU5" s="74"/>
      <c r="JFV5" s="74"/>
      <c r="JFW5" s="74"/>
      <c r="JFX5" s="74"/>
      <c r="JFY5" s="74"/>
      <c r="JFZ5" s="74"/>
      <c r="JGA5" s="74"/>
      <c r="JGB5" s="74"/>
      <c r="JGC5" s="74"/>
      <c r="JGD5" s="74"/>
      <c r="JGE5" s="74"/>
      <c r="JGF5" s="74"/>
      <c r="JGG5" s="74"/>
      <c r="JGH5" s="74"/>
      <c r="JGI5" s="74"/>
      <c r="JGJ5" s="74"/>
      <c r="JGK5" s="74"/>
      <c r="JGL5" s="74"/>
      <c r="JGM5" s="74"/>
      <c r="JGN5" s="74"/>
      <c r="JGO5" s="74"/>
      <c r="JGP5" s="74"/>
      <c r="JGQ5" s="74"/>
      <c r="JGR5" s="74"/>
      <c r="JGS5" s="74"/>
      <c r="JGT5" s="74"/>
      <c r="JGU5" s="74"/>
      <c r="JGV5" s="74"/>
      <c r="JGW5" s="74"/>
      <c r="JGX5" s="74"/>
      <c r="JGY5" s="74"/>
      <c r="JGZ5" s="74"/>
      <c r="JHA5" s="74"/>
      <c r="JHB5" s="74"/>
      <c r="JHC5" s="74"/>
      <c r="JHD5" s="74"/>
      <c r="JHE5" s="74"/>
      <c r="JHF5" s="74"/>
      <c r="JHG5" s="74"/>
      <c r="JHH5" s="74"/>
      <c r="JHI5" s="74"/>
      <c r="JHJ5" s="74"/>
      <c r="JHK5" s="74"/>
      <c r="JHL5" s="74"/>
      <c r="JHM5" s="74"/>
      <c r="JHN5" s="74"/>
      <c r="JHO5" s="74"/>
      <c r="JHP5" s="74"/>
      <c r="JHQ5" s="74"/>
      <c r="JHR5" s="74"/>
      <c r="JHS5" s="74"/>
      <c r="JHT5" s="74"/>
      <c r="JHU5" s="74"/>
      <c r="JHV5" s="74"/>
      <c r="JHW5" s="74"/>
      <c r="JHX5" s="74"/>
      <c r="JHY5" s="74"/>
      <c r="JHZ5" s="74"/>
      <c r="JIA5" s="74"/>
      <c r="JIB5" s="74"/>
      <c r="JIC5" s="74"/>
      <c r="JID5" s="74"/>
      <c r="JIE5" s="74"/>
      <c r="JIF5" s="74"/>
      <c r="JIG5" s="74"/>
      <c r="JIH5" s="74"/>
      <c r="JII5" s="74"/>
      <c r="JIJ5" s="74"/>
      <c r="JIK5" s="74"/>
      <c r="JIL5" s="74"/>
      <c r="JIM5" s="74"/>
      <c r="JIN5" s="74"/>
      <c r="JIO5" s="74"/>
      <c r="JIP5" s="74"/>
      <c r="JIQ5" s="74"/>
      <c r="JIR5" s="74"/>
      <c r="JIS5" s="74"/>
      <c r="JIT5" s="74"/>
      <c r="JIU5" s="74"/>
      <c r="JIV5" s="74"/>
      <c r="JIW5" s="74"/>
      <c r="JIX5" s="74"/>
      <c r="JIY5" s="74"/>
      <c r="JIZ5" s="74"/>
      <c r="JJA5" s="74"/>
      <c r="JJB5" s="74"/>
      <c r="JJC5" s="74"/>
      <c r="JJD5" s="74"/>
      <c r="JJE5" s="74"/>
      <c r="JJF5" s="74"/>
      <c r="JJG5" s="74"/>
      <c r="JJH5" s="74"/>
      <c r="JJI5" s="74"/>
      <c r="JJJ5" s="74"/>
      <c r="JJK5" s="74"/>
      <c r="JJL5" s="74"/>
      <c r="JJM5" s="74"/>
      <c r="JJN5" s="74"/>
      <c r="JJO5" s="74"/>
      <c r="JJP5" s="74"/>
      <c r="JJQ5" s="74"/>
      <c r="JJR5" s="74"/>
      <c r="JJS5" s="74"/>
      <c r="JJT5" s="74"/>
      <c r="JJU5" s="74"/>
      <c r="JJV5" s="74"/>
      <c r="JJW5" s="74"/>
      <c r="JJX5" s="74"/>
      <c r="JJY5" s="74"/>
      <c r="JJZ5" s="74"/>
      <c r="JKA5" s="74"/>
      <c r="JKB5" s="74"/>
      <c r="JKC5" s="74"/>
      <c r="JKD5" s="74"/>
      <c r="JKE5" s="74"/>
      <c r="JKF5" s="74"/>
      <c r="JKG5" s="74"/>
      <c r="JKH5" s="74"/>
      <c r="JKI5" s="74"/>
      <c r="JKJ5" s="74"/>
      <c r="JKK5" s="74"/>
      <c r="JKL5" s="74"/>
      <c r="JKM5" s="74"/>
      <c r="JKN5" s="74"/>
      <c r="JKO5" s="74"/>
      <c r="JKP5" s="74"/>
      <c r="JKQ5" s="74"/>
      <c r="JKR5" s="74"/>
      <c r="JKS5" s="74"/>
      <c r="JKT5" s="74"/>
      <c r="JKU5" s="74"/>
      <c r="JKV5" s="74"/>
      <c r="JKW5" s="74"/>
      <c r="JKX5" s="74"/>
      <c r="JKY5" s="74"/>
      <c r="JKZ5" s="74"/>
      <c r="JLA5" s="74"/>
      <c r="JLB5" s="74"/>
      <c r="JLC5" s="74"/>
      <c r="JLD5" s="74"/>
      <c r="JLE5" s="74"/>
      <c r="JLF5" s="74"/>
      <c r="JLG5" s="74"/>
      <c r="JLH5" s="74"/>
      <c r="JLI5" s="74"/>
      <c r="JLJ5" s="74"/>
      <c r="JLK5" s="74"/>
      <c r="JLL5" s="74"/>
      <c r="JLM5" s="74"/>
      <c r="JLN5" s="74"/>
      <c r="JLO5" s="74"/>
      <c r="JLP5" s="74"/>
      <c r="JLQ5" s="74"/>
      <c r="JLR5" s="74"/>
      <c r="JLS5" s="74"/>
      <c r="JLT5" s="74"/>
      <c r="JLU5" s="74"/>
      <c r="JLV5" s="74"/>
      <c r="JLW5" s="74"/>
      <c r="JLX5" s="74"/>
      <c r="JLY5" s="74"/>
      <c r="JLZ5" s="74"/>
      <c r="JMA5" s="74"/>
      <c r="JMB5" s="74"/>
      <c r="JMC5" s="74"/>
      <c r="JMD5" s="74"/>
      <c r="JME5" s="74"/>
      <c r="JMF5" s="74"/>
      <c r="JMG5" s="74"/>
      <c r="JMH5" s="74"/>
      <c r="JMI5" s="74"/>
      <c r="JMJ5" s="74"/>
      <c r="JMK5" s="74"/>
      <c r="JML5" s="74"/>
      <c r="JMM5" s="74"/>
      <c r="JMN5" s="74"/>
      <c r="JMO5" s="74"/>
      <c r="JMP5" s="74"/>
      <c r="JMQ5" s="74"/>
      <c r="JMR5" s="74"/>
      <c r="JMS5" s="74"/>
      <c r="JMT5" s="74"/>
      <c r="JMU5" s="74"/>
      <c r="JMV5" s="74"/>
      <c r="JMW5" s="74"/>
      <c r="JMX5" s="74"/>
      <c r="JMY5" s="74"/>
      <c r="JMZ5" s="74"/>
      <c r="JNA5" s="74"/>
      <c r="JNB5" s="74"/>
      <c r="JNC5" s="74"/>
      <c r="JND5" s="74"/>
      <c r="JNE5" s="74"/>
      <c r="JNF5" s="74"/>
      <c r="JNG5" s="74"/>
      <c r="JNH5" s="74"/>
      <c r="JNI5" s="74"/>
      <c r="JNJ5" s="74"/>
      <c r="JNK5" s="74"/>
      <c r="JNL5" s="74"/>
      <c r="JNM5" s="74"/>
      <c r="JNN5" s="74"/>
      <c r="JNO5" s="74"/>
      <c r="JNP5" s="74"/>
      <c r="JNQ5" s="74"/>
      <c r="JNR5" s="74"/>
      <c r="JNS5" s="74"/>
      <c r="JNT5" s="74"/>
      <c r="JNU5" s="74"/>
      <c r="JNV5" s="74"/>
      <c r="JNW5" s="74"/>
      <c r="JNX5" s="74"/>
      <c r="JNY5" s="74"/>
      <c r="JNZ5" s="74"/>
      <c r="JOA5" s="74"/>
      <c r="JOB5" s="74"/>
      <c r="JOC5" s="74"/>
      <c r="JOD5" s="74"/>
      <c r="JOE5" s="74"/>
      <c r="JOF5" s="74"/>
      <c r="JOG5" s="74"/>
      <c r="JOH5" s="74"/>
      <c r="JOI5" s="74"/>
      <c r="JOJ5" s="74"/>
      <c r="JOK5" s="74"/>
      <c r="JOL5" s="74"/>
      <c r="JOM5" s="74"/>
      <c r="JON5" s="74"/>
      <c r="JOO5" s="74"/>
      <c r="JOP5" s="74"/>
      <c r="JOQ5" s="74"/>
      <c r="JOR5" s="74"/>
      <c r="JOS5" s="74"/>
      <c r="JOT5" s="74"/>
      <c r="JOU5" s="74"/>
      <c r="JOV5" s="74"/>
      <c r="JOW5" s="74"/>
      <c r="JOX5" s="74"/>
      <c r="JOY5" s="74"/>
      <c r="JOZ5" s="74"/>
      <c r="JPA5" s="74"/>
      <c r="JPB5" s="74"/>
      <c r="JPC5" s="74"/>
      <c r="JPD5" s="74"/>
      <c r="JPE5" s="74"/>
      <c r="JPF5" s="74"/>
      <c r="JPG5" s="74"/>
      <c r="JPH5" s="74"/>
      <c r="JPI5" s="74"/>
      <c r="JPJ5" s="74"/>
      <c r="JPK5" s="74"/>
      <c r="JPL5" s="74"/>
      <c r="JPM5" s="74"/>
      <c r="JPN5" s="74"/>
      <c r="JPO5" s="74"/>
      <c r="JPP5" s="74"/>
      <c r="JPQ5" s="74"/>
      <c r="JPR5" s="74"/>
      <c r="JPS5" s="74"/>
      <c r="JPT5" s="74"/>
      <c r="JPU5" s="74"/>
      <c r="JPV5" s="74"/>
      <c r="JPW5" s="74"/>
      <c r="JPX5" s="74"/>
      <c r="JPY5" s="74"/>
      <c r="JPZ5" s="74"/>
      <c r="JQA5" s="74"/>
      <c r="JQB5" s="74"/>
      <c r="JQC5" s="74"/>
      <c r="JQD5" s="74"/>
      <c r="JQE5" s="74"/>
      <c r="JQF5" s="74"/>
      <c r="JQG5" s="74"/>
      <c r="JQH5" s="74"/>
      <c r="JQI5" s="74"/>
      <c r="JQJ5" s="74"/>
      <c r="JQK5" s="74"/>
      <c r="JQL5" s="74"/>
      <c r="JQM5" s="74"/>
      <c r="JQN5" s="74"/>
      <c r="JQO5" s="74"/>
      <c r="JQP5" s="74"/>
      <c r="JQQ5" s="74"/>
      <c r="JQR5" s="74"/>
      <c r="JQS5" s="74"/>
      <c r="JQT5" s="74"/>
      <c r="JQU5" s="74"/>
      <c r="JQV5" s="74"/>
      <c r="JQW5" s="74"/>
      <c r="JQX5" s="74"/>
      <c r="JQY5" s="74"/>
      <c r="JQZ5" s="74"/>
      <c r="JRA5" s="74"/>
      <c r="JRB5" s="74"/>
      <c r="JRC5" s="74"/>
      <c r="JRD5" s="74"/>
      <c r="JRE5" s="74"/>
      <c r="JRF5" s="74"/>
      <c r="JRG5" s="74"/>
      <c r="JRH5" s="74"/>
      <c r="JRI5" s="74"/>
      <c r="JRJ5" s="74"/>
      <c r="JRK5" s="74"/>
      <c r="JRL5" s="74"/>
      <c r="JRM5" s="74"/>
      <c r="JRN5" s="74"/>
      <c r="JRO5" s="74"/>
      <c r="JRP5" s="74"/>
      <c r="JRQ5" s="74"/>
      <c r="JRR5" s="74"/>
      <c r="JRS5" s="74"/>
      <c r="JRT5" s="74"/>
      <c r="JRU5" s="74"/>
      <c r="JRV5" s="74"/>
      <c r="JRW5" s="74"/>
      <c r="JRX5" s="74"/>
      <c r="JRY5" s="74"/>
      <c r="JRZ5" s="74"/>
      <c r="JSA5" s="74"/>
      <c r="JSB5" s="74"/>
      <c r="JSC5" s="74"/>
      <c r="JSD5" s="74"/>
      <c r="JSE5" s="74"/>
      <c r="JSF5" s="74"/>
      <c r="JSG5" s="74"/>
      <c r="JSH5" s="74"/>
      <c r="JSI5" s="74"/>
      <c r="JSJ5" s="74"/>
      <c r="JSK5" s="74"/>
      <c r="JSL5" s="74"/>
      <c r="JSM5" s="74"/>
      <c r="JSN5" s="74"/>
      <c r="JSO5" s="74"/>
      <c r="JSP5" s="74"/>
      <c r="JSQ5" s="74"/>
      <c r="JSR5" s="74"/>
      <c r="JSS5" s="74"/>
      <c r="JST5" s="74"/>
      <c r="JSU5" s="74"/>
      <c r="JSV5" s="74"/>
      <c r="JSW5" s="74"/>
      <c r="JSX5" s="74"/>
      <c r="JSY5" s="74"/>
      <c r="JSZ5" s="74"/>
      <c r="JTA5" s="74"/>
      <c r="JTB5" s="74"/>
      <c r="JTC5" s="74"/>
      <c r="JTD5" s="74"/>
      <c r="JTE5" s="74"/>
      <c r="JTF5" s="74"/>
      <c r="JTG5" s="74"/>
      <c r="JTH5" s="74"/>
      <c r="JTI5" s="74"/>
      <c r="JTJ5" s="74"/>
      <c r="JTK5" s="74"/>
      <c r="JTL5" s="74"/>
      <c r="JTM5" s="74"/>
      <c r="JTN5" s="74"/>
      <c r="JTO5" s="74"/>
      <c r="JTP5" s="74"/>
      <c r="JTQ5" s="74"/>
      <c r="JTR5" s="74"/>
      <c r="JTS5" s="74"/>
      <c r="JTT5" s="74"/>
      <c r="JTU5" s="74"/>
      <c r="JTV5" s="74"/>
      <c r="JTW5" s="74"/>
      <c r="JTX5" s="74"/>
      <c r="JTY5" s="74"/>
      <c r="JTZ5" s="74"/>
      <c r="JUA5" s="74"/>
      <c r="JUB5" s="74"/>
      <c r="JUC5" s="74"/>
      <c r="JUD5" s="74"/>
      <c r="JUE5" s="74"/>
      <c r="JUF5" s="74"/>
      <c r="JUG5" s="74"/>
      <c r="JUH5" s="74"/>
      <c r="JUI5" s="74"/>
      <c r="JUJ5" s="74"/>
      <c r="JUK5" s="74"/>
      <c r="JUL5" s="74"/>
      <c r="JUM5" s="74"/>
      <c r="JUN5" s="74"/>
      <c r="JUO5" s="74"/>
      <c r="JUP5" s="74"/>
      <c r="JUQ5" s="74"/>
      <c r="JUR5" s="74"/>
      <c r="JUS5" s="74"/>
      <c r="JUT5" s="74"/>
      <c r="JUU5" s="74"/>
      <c r="JUV5" s="74"/>
      <c r="JUW5" s="74"/>
      <c r="JUX5" s="74"/>
      <c r="JUY5" s="74"/>
      <c r="JUZ5" s="74"/>
      <c r="JVA5" s="74"/>
      <c r="JVB5" s="74"/>
      <c r="JVC5" s="74"/>
      <c r="JVD5" s="74"/>
      <c r="JVE5" s="74"/>
      <c r="JVF5" s="74"/>
      <c r="JVG5" s="74"/>
      <c r="JVH5" s="74"/>
      <c r="JVI5" s="74"/>
      <c r="JVJ5" s="74"/>
      <c r="JVK5" s="74"/>
      <c r="JVL5" s="74"/>
      <c r="JVM5" s="74"/>
      <c r="JVN5" s="74"/>
      <c r="JVO5" s="74"/>
      <c r="JVP5" s="74"/>
      <c r="JVQ5" s="74"/>
      <c r="JVR5" s="74"/>
      <c r="JVS5" s="74"/>
      <c r="JVT5" s="74"/>
      <c r="JVU5" s="74"/>
      <c r="JVV5" s="74"/>
      <c r="JVW5" s="74"/>
      <c r="JVX5" s="74"/>
      <c r="JVY5" s="74"/>
      <c r="JVZ5" s="74"/>
      <c r="JWA5" s="74"/>
      <c r="JWB5" s="74"/>
      <c r="JWC5" s="74"/>
      <c r="JWD5" s="74"/>
      <c r="JWE5" s="74"/>
      <c r="JWF5" s="74"/>
      <c r="JWG5" s="74"/>
      <c r="JWH5" s="74"/>
      <c r="JWI5" s="74"/>
      <c r="JWJ5" s="74"/>
      <c r="JWK5" s="74"/>
      <c r="JWL5" s="74"/>
      <c r="JWM5" s="74"/>
      <c r="JWN5" s="74"/>
      <c r="JWO5" s="74"/>
      <c r="JWP5" s="74"/>
      <c r="JWQ5" s="74"/>
      <c r="JWR5" s="74"/>
      <c r="JWS5" s="74"/>
      <c r="JWT5" s="74"/>
      <c r="JWU5" s="74"/>
      <c r="JWV5" s="74"/>
      <c r="JWW5" s="74"/>
      <c r="JWX5" s="74"/>
      <c r="JWY5" s="74"/>
      <c r="JWZ5" s="74"/>
      <c r="JXA5" s="74"/>
      <c r="JXB5" s="74"/>
      <c r="JXC5" s="74"/>
      <c r="JXD5" s="74"/>
      <c r="JXE5" s="74"/>
      <c r="JXF5" s="74"/>
      <c r="JXG5" s="74"/>
      <c r="JXH5" s="74"/>
      <c r="JXI5" s="74"/>
      <c r="JXJ5" s="74"/>
      <c r="JXK5" s="74"/>
      <c r="JXL5" s="74"/>
      <c r="JXM5" s="74"/>
      <c r="JXN5" s="74"/>
      <c r="JXO5" s="74"/>
      <c r="JXP5" s="74"/>
      <c r="JXQ5" s="74"/>
      <c r="JXR5" s="74"/>
      <c r="JXS5" s="74"/>
      <c r="JXT5" s="74"/>
      <c r="JXU5" s="74"/>
      <c r="JXV5" s="74"/>
      <c r="JXW5" s="74"/>
      <c r="JXX5" s="74"/>
      <c r="JXY5" s="74"/>
      <c r="JXZ5" s="74"/>
      <c r="JYA5" s="74"/>
      <c r="JYB5" s="74"/>
      <c r="JYC5" s="74"/>
      <c r="JYD5" s="74"/>
      <c r="JYE5" s="74"/>
      <c r="JYF5" s="74"/>
      <c r="JYG5" s="74"/>
      <c r="JYH5" s="74"/>
      <c r="JYI5" s="74"/>
      <c r="JYJ5" s="74"/>
      <c r="JYK5" s="74"/>
      <c r="JYL5" s="74"/>
      <c r="JYM5" s="74"/>
      <c r="JYN5" s="74"/>
      <c r="JYO5" s="74"/>
      <c r="JYP5" s="74"/>
      <c r="JYQ5" s="74"/>
      <c r="JYR5" s="74"/>
      <c r="JYS5" s="74"/>
      <c r="JYT5" s="74"/>
      <c r="JYU5" s="74"/>
      <c r="JYV5" s="74"/>
      <c r="JYW5" s="74"/>
      <c r="JYX5" s="74"/>
      <c r="JYY5" s="74"/>
      <c r="JYZ5" s="74"/>
      <c r="JZA5" s="74"/>
      <c r="JZB5" s="74"/>
      <c r="JZC5" s="74"/>
      <c r="JZD5" s="74"/>
      <c r="JZE5" s="74"/>
      <c r="JZF5" s="74"/>
      <c r="JZG5" s="74"/>
      <c r="JZH5" s="74"/>
      <c r="JZI5" s="74"/>
      <c r="JZJ5" s="74"/>
      <c r="JZK5" s="74"/>
      <c r="JZL5" s="74"/>
      <c r="JZM5" s="74"/>
      <c r="JZN5" s="74"/>
      <c r="JZO5" s="74"/>
      <c r="JZP5" s="74"/>
      <c r="JZQ5" s="74"/>
      <c r="JZR5" s="74"/>
      <c r="JZS5" s="74"/>
      <c r="JZT5" s="74"/>
      <c r="JZU5" s="74"/>
      <c r="JZV5" s="74"/>
      <c r="JZW5" s="74"/>
      <c r="JZX5" s="74"/>
      <c r="JZY5" s="74"/>
      <c r="JZZ5" s="74"/>
      <c r="KAA5" s="74"/>
      <c r="KAB5" s="74"/>
      <c r="KAC5" s="74"/>
      <c r="KAD5" s="74"/>
      <c r="KAE5" s="74"/>
      <c r="KAF5" s="74"/>
      <c r="KAG5" s="74"/>
      <c r="KAH5" s="74"/>
      <c r="KAI5" s="74"/>
      <c r="KAJ5" s="74"/>
      <c r="KAK5" s="74"/>
      <c r="KAL5" s="74"/>
      <c r="KAM5" s="74"/>
      <c r="KAN5" s="74"/>
      <c r="KAO5" s="74"/>
      <c r="KAP5" s="74"/>
      <c r="KAQ5" s="74"/>
      <c r="KAR5" s="74"/>
      <c r="KAS5" s="74"/>
      <c r="KAT5" s="74"/>
      <c r="KAU5" s="74"/>
      <c r="KAV5" s="74"/>
      <c r="KAW5" s="74"/>
      <c r="KAX5" s="74"/>
      <c r="KAY5" s="74"/>
      <c r="KAZ5" s="74"/>
      <c r="KBA5" s="74"/>
      <c r="KBB5" s="74"/>
      <c r="KBC5" s="74"/>
      <c r="KBD5" s="74"/>
      <c r="KBE5" s="74"/>
      <c r="KBF5" s="74"/>
      <c r="KBG5" s="74"/>
      <c r="KBH5" s="74"/>
      <c r="KBI5" s="74"/>
      <c r="KBJ5" s="74"/>
      <c r="KBK5" s="74"/>
      <c r="KBL5" s="74"/>
      <c r="KBM5" s="74"/>
      <c r="KBN5" s="74"/>
      <c r="KBO5" s="74"/>
      <c r="KBP5" s="74"/>
      <c r="KBQ5" s="74"/>
      <c r="KBR5" s="74"/>
      <c r="KBS5" s="74"/>
      <c r="KBT5" s="74"/>
      <c r="KBU5" s="74"/>
      <c r="KBV5" s="74"/>
      <c r="KBW5" s="74"/>
      <c r="KBX5" s="74"/>
      <c r="KBY5" s="74"/>
      <c r="KBZ5" s="74"/>
      <c r="KCA5" s="74"/>
      <c r="KCB5" s="74"/>
      <c r="KCC5" s="74"/>
      <c r="KCD5" s="74"/>
      <c r="KCE5" s="74"/>
      <c r="KCF5" s="74"/>
      <c r="KCG5" s="74"/>
      <c r="KCH5" s="74"/>
      <c r="KCI5" s="74"/>
      <c r="KCJ5" s="74"/>
      <c r="KCK5" s="74"/>
      <c r="KCL5" s="74"/>
      <c r="KCM5" s="74"/>
      <c r="KCN5" s="74"/>
      <c r="KCO5" s="74"/>
      <c r="KCP5" s="74"/>
      <c r="KCQ5" s="74"/>
      <c r="KCR5" s="74"/>
      <c r="KCS5" s="74"/>
      <c r="KCT5" s="74"/>
      <c r="KCU5" s="74"/>
      <c r="KCV5" s="74"/>
      <c r="KCW5" s="74"/>
      <c r="KCX5" s="74"/>
      <c r="KCY5" s="74"/>
      <c r="KCZ5" s="74"/>
      <c r="KDA5" s="74"/>
      <c r="KDB5" s="74"/>
      <c r="KDC5" s="74"/>
      <c r="KDD5" s="74"/>
      <c r="KDE5" s="74"/>
      <c r="KDF5" s="74"/>
      <c r="KDG5" s="74"/>
      <c r="KDH5" s="74"/>
      <c r="KDI5" s="74"/>
      <c r="KDJ5" s="74"/>
      <c r="KDK5" s="74"/>
      <c r="KDL5" s="74"/>
      <c r="KDM5" s="74"/>
      <c r="KDN5" s="74"/>
      <c r="KDO5" s="74"/>
      <c r="KDP5" s="74"/>
      <c r="KDQ5" s="74"/>
      <c r="KDR5" s="74"/>
      <c r="KDS5" s="74"/>
      <c r="KDT5" s="74"/>
      <c r="KDU5" s="74"/>
      <c r="KDV5" s="74"/>
      <c r="KDW5" s="74"/>
      <c r="KDX5" s="74"/>
      <c r="KDY5" s="74"/>
      <c r="KDZ5" s="74"/>
      <c r="KEA5" s="74"/>
      <c r="KEB5" s="74"/>
      <c r="KEC5" s="74"/>
      <c r="KED5" s="74"/>
      <c r="KEE5" s="74"/>
      <c r="KEF5" s="74"/>
      <c r="KEG5" s="74"/>
      <c r="KEH5" s="74"/>
      <c r="KEI5" s="74"/>
      <c r="KEJ5" s="74"/>
      <c r="KEK5" s="74"/>
      <c r="KEL5" s="74"/>
      <c r="KEM5" s="74"/>
      <c r="KEN5" s="74"/>
      <c r="KEO5" s="74"/>
      <c r="KEP5" s="74"/>
      <c r="KEQ5" s="74"/>
      <c r="KER5" s="74"/>
      <c r="KES5" s="74"/>
      <c r="KET5" s="74"/>
      <c r="KEU5" s="74"/>
      <c r="KEV5" s="74"/>
      <c r="KEW5" s="74"/>
      <c r="KEX5" s="74"/>
      <c r="KEY5" s="74"/>
      <c r="KEZ5" s="74"/>
      <c r="KFA5" s="74"/>
      <c r="KFB5" s="74"/>
      <c r="KFC5" s="74"/>
      <c r="KFD5" s="74"/>
      <c r="KFE5" s="74"/>
      <c r="KFF5" s="74"/>
      <c r="KFG5" s="74"/>
      <c r="KFH5" s="74"/>
      <c r="KFI5" s="74"/>
      <c r="KFJ5" s="74"/>
      <c r="KFK5" s="74"/>
      <c r="KFL5" s="74"/>
      <c r="KFM5" s="74"/>
      <c r="KFN5" s="74"/>
      <c r="KFO5" s="74"/>
      <c r="KFP5" s="74"/>
      <c r="KFQ5" s="74"/>
      <c r="KFR5" s="74"/>
      <c r="KFS5" s="74"/>
      <c r="KFT5" s="74"/>
      <c r="KFU5" s="74"/>
      <c r="KFV5" s="74"/>
      <c r="KFW5" s="74"/>
      <c r="KFX5" s="74"/>
      <c r="KFY5" s="74"/>
      <c r="KFZ5" s="74"/>
      <c r="KGA5" s="74"/>
      <c r="KGB5" s="74"/>
      <c r="KGC5" s="74"/>
      <c r="KGD5" s="74"/>
      <c r="KGE5" s="74"/>
      <c r="KGF5" s="74"/>
      <c r="KGG5" s="74"/>
      <c r="KGH5" s="74"/>
      <c r="KGI5" s="74"/>
      <c r="KGJ5" s="74"/>
      <c r="KGK5" s="74"/>
      <c r="KGL5" s="74"/>
      <c r="KGM5" s="74"/>
      <c r="KGN5" s="74"/>
      <c r="KGO5" s="74"/>
      <c r="KGP5" s="74"/>
      <c r="KGQ5" s="74"/>
      <c r="KGR5" s="74"/>
      <c r="KGS5" s="74"/>
      <c r="KGT5" s="74"/>
      <c r="KGU5" s="74"/>
      <c r="KGV5" s="74"/>
      <c r="KGW5" s="74"/>
      <c r="KGX5" s="74"/>
      <c r="KGY5" s="74"/>
      <c r="KGZ5" s="74"/>
      <c r="KHA5" s="74"/>
      <c r="KHB5" s="74"/>
      <c r="KHC5" s="74"/>
      <c r="KHD5" s="74"/>
      <c r="KHE5" s="74"/>
      <c r="KHF5" s="74"/>
      <c r="KHG5" s="74"/>
      <c r="KHH5" s="74"/>
      <c r="KHI5" s="74"/>
      <c r="KHJ5" s="74"/>
      <c r="KHK5" s="74"/>
      <c r="KHL5" s="74"/>
      <c r="KHM5" s="74"/>
      <c r="KHN5" s="74"/>
      <c r="KHO5" s="74"/>
      <c r="KHP5" s="74"/>
      <c r="KHQ5" s="74"/>
      <c r="KHR5" s="74"/>
      <c r="KHS5" s="74"/>
      <c r="KHT5" s="74"/>
      <c r="KHU5" s="74"/>
      <c r="KHV5" s="74"/>
      <c r="KHW5" s="74"/>
      <c r="KHX5" s="74"/>
      <c r="KHY5" s="74"/>
      <c r="KHZ5" s="74"/>
      <c r="KIA5" s="74"/>
      <c r="KIB5" s="74"/>
      <c r="KIC5" s="74"/>
      <c r="KID5" s="74"/>
      <c r="KIE5" s="74"/>
      <c r="KIF5" s="74"/>
      <c r="KIG5" s="74"/>
      <c r="KIH5" s="74"/>
      <c r="KII5" s="74"/>
      <c r="KIJ5" s="74"/>
      <c r="KIK5" s="74"/>
      <c r="KIL5" s="74"/>
      <c r="KIM5" s="74"/>
      <c r="KIN5" s="74"/>
      <c r="KIO5" s="74"/>
      <c r="KIP5" s="74"/>
      <c r="KIQ5" s="74"/>
      <c r="KIR5" s="74"/>
      <c r="KIS5" s="74"/>
      <c r="KIT5" s="74"/>
      <c r="KIU5" s="74"/>
      <c r="KIV5" s="74"/>
      <c r="KIW5" s="74"/>
      <c r="KIX5" s="74"/>
      <c r="KIY5" s="74"/>
      <c r="KIZ5" s="74"/>
      <c r="KJA5" s="74"/>
      <c r="KJB5" s="74"/>
      <c r="KJC5" s="74"/>
      <c r="KJD5" s="74"/>
      <c r="KJE5" s="74"/>
      <c r="KJF5" s="74"/>
      <c r="KJG5" s="74"/>
      <c r="KJH5" s="74"/>
      <c r="KJI5" s="74"/>
      <c r="KJJ5" s="74"/>
      <c r="KJK5" s="74"/>
      <c r="KJL5" s="74"/>
      <c r="KJM5" s="74"/>
      <c r="KJN5" s="74"/>
      <c r="KJO5" s="74"/>
      <c r="KJP5" s="74"/>
      <c r="KJQ5" s="74"/>
      <c r="KJR5" s="74"/>
      <c r="KJS5" s="74"/>
      <c r="KJT5" s="74"/>
      <c r="KJU5" s="74"/>
      <c r="KJV5" s="74"/>
      <c r="KJW5" s="74"/>
      <c r="KJX5" s="74"/>
      <c r="KJY5" s="74"/>
      <c r="KJZ5" s="74"/>
      <c r="KKA5" s="74"/>
      <c r="KKB5" s="74"/>
      <c r="KKC5" s="74"/>
      <c r="KKD5" s="74"/>
      <c r="KKE5" s="74"/>
      <c r="KKF5" s="74"/>
      <c r="KKG5" s="74"/>
      <c r="KKH5" s="74"/>
      <c r="KKI5" s="74"/>
      <c r="KKJ5" s="74"/>
      <c r="KKK5" s="74"/>
      <c r="KKL5" s="74"/>
      <c r="KKM5" s="74"/>
      <c r="KKN5" s="74"/>
      <c r="KKO5" s="74"/>
      <c r="KKP5" s="74"/>
      <c r="KKQ5" s="74"/>
      <c r="KKR5" s="74"/>
      <c r="KKS5" s="74"/>
      <c r="KKT5" s="74"/>
      <c r="KKU5" s="74"/>
      <c r="KKV5" s="74"/>
      <c r="KKW5" s="74"/>
      <c r="KKX5" s="74"/>
      <c r="KKY5" s="74"/>
      <c r="KKZ5" s="74"/>
      <c r="KLA5" s="74"/>
      <c r="KLB5" s="74"/>
      <c r="KLC5" s="74"/>
      <c r="KLD5" s="74"/>
      <c r="KLE5" s="74"/>
      <c r="KLF5" s="74"/>
      <c r="KLG5" s="74"/>
      <c r="KLH5" s="74"/>
      <c r="KLI5" s="74"/>
      <c r="KLJ5" s="74"/>
      <c r="KLK5" s="74"/>
      <c r="KLL5" s="74"/>
      <c r="KLM5" s="74"/>
      <c r="KLN5" s="74"/>
      <c r="KLO5" s="74"/>
      <c r="KLP5" s="74"/>
      <c r="KLQ5" s="74"/>
      <c r="KLR5" s="74"/>
      <c r="KLS5" s="74"/>
      <c r="KLT5" s="74"/>
      <c r="KLU5" s="74"/>
      <c r="KLV5" s="74"/>
      <c r="KLW5" s="74"/>
      <c r="KLX5" s="74"/>
      <c r="KLY5" s="74"/>
      <c r="KLZ5" s="74"/>
      <c r="KMA5" s="74"/>
      <c r="KMB5" s="74"/>
      <c r="KMC5" s="74"/>
      <c r="KMD5" s="74"/>
      <c r="KME5" s="74"/>
      <c r="KMF5" s="74"/>
      <c r="KMG5" s="74"/>
      <c r="KMH5" s="74"/>
      <c r="KMI5" s="74"/>
      <c r="KMJ5" s="74"/>
      <c r="KMK5" s="74"/>
      <c r="KML5" s="74"/>
      <c r="KMM5" s="74"/>
      <c r="KMN5" s="74"/>
      <c r="KMO5" s="74"/>
      <c r="KMP5" s="74"/>
      <c r="KMQ5" s="74"/>
      <c r="KMR5" s="74"/>
      <c r="KMS5" s="74"/>
      <c r="KMT5" s="74"/>
      <c r="KMU5" s="74"/>
      <c r="KMV5" s="74"/>
      <c r="KMW5" s="74"/>
      <c r="KMX5" s="74"/>
      <c r="KMY5" s="74"/>
      <c r="KMZ5" s="74"/>
      <c r="KNA5" s="74"/>
      <c r="KNB5" s="74"/>
      <c r="KNC5" s="74"/>
      <c r="KND5" s="74"/>
      <c r="KNE5" s="74"/>
      <c r="KNF5" s="74"/>
      <c r="KNG5" s="74"/>
      <c r="KNH5" s="74"/>
      <c r="KNI5" s="74"/>
      <c r="KNJ5" s="74"/>
      <c r="KNK5" s="74"/>
      <c r="KNL5" s="74"/>
      <c r="KNM5" s="74"/>
      <c r="KNN5" s="74"/>
      <c r="KNO5" s="74"/>
      <c r="KNP5" s="74"/>
      <c r="KNQ5" s="74"/>
      <c r="KNR5" s="74"/>
      <c r="KNS5" s="74"/>
      <c r="KNT5" s="74"/>
      <c r="KNU5" s="74"/>
      <c r="KNV5" s="74"/>
      <c r="KNW5" s="74"/>
      <c r="KNX5" s="74"/>
      <c r="KNY5" s="74"/>
      <c r="KNZ5" s="74"/>
      <c r="KOA5" s="74"/>
      <c r="KOB5" s="74"/>
      <c r="KOC5" s="74"/>
      <c r="KOD5" s="74"/>
      <c r="KOE5" s="74"/>
      <c r="KOF5" s="74"/>
      <c r="KOG5" s="74"/>
      <c r="KOH5" s="74"/>
      <c r="KOI5" s="74"/>
      <c r="KOJ5" s="74"/>
      <c r="KOK5" s="74"/>
      <c r="KOL5" s="74"/>
      <c r="KOM5" s="74"/>
      <c r="KON5" s="74"/>
      <c r="KOO5" s="74"/>
      <c r="KOP5" s="74"/>
      <c r="KOQ5" s="74"/>
      <c r="KOR5" s="74"/>
      <c r="KOS5" s="74"/>
      <c r="KOT5" s="74"/>
      <c r="KOU5" s="74"/>
      <c r="KOV5" s="74"/>
      <c r="KOW5" s="74"/>
      <c r="KOX5" s="74"/>
      <c r="KOY5" s="74"/>
      <c r="KOZ5" s="74"/>
      <c r="KPA5" s="74"/>
      <c r="KPB5" s="74"/>
      <c r="KPC5" s="74"/>
      <c r="KPD5" s="74"/>
      <c r="KPE5" s="74"/>
      <c r="KPF5" s="74"/>
      <c r="KPG5" s="74"/>
      <c r="KPH5" s="74"/>
      <c r="KPI5" s="74"/>
      <c r="KPJ5" s="74"/>
      <c r="KPK5" s="74"/>
      <c r="KPL5" s="74"/>
      <c r="KPM5" s="74"/>
      <c r="KPN5" s="74"/>
      <c r="KPO5" s="74"/>
      <c r="KPP5" s="74"/>
      <c r="KPQ5" s="74"/>
      <c r="KPR5" s="74"/>
      <c r="KPS5" s="74"/>
      <c r="KPT5" s="74"/>
      <c r="KPU5" s="74"/>
      <c r="KPV5" s="74"/>
      <c r="KPW5" s="74"/>
      <c r="KPX5" s="74"/>
      <c r="KPY5" s="74"/>
      <c r="KPZ5" s="74"/>
      <c r="KQA5" s="74"/>
      <c r="KQB5" s="74"/>
      <c r="KQC5" s="74"/>
      <c r="KQD5" s="74"/>
      <c r="KQE5" s="74"/>
      <c r="KQF5" s="74"/>
      <c r="KQG5" s="74"/>
      <c r="KQH5" s="74"/>
      <c r="KQI5" s="74"/>
      <c r="KQJ5" s="74"/>
      <c r="KQK5" s="74"/>
      <c r="KQL5" s="74"/>
      <c r="KQM5" s="74"/>
      <c r="KQN5" s="74"/>
      <c r="KQO5" s="74"/>
      <c r="KQP5" s="74"/>
      <c r="KQQ5" s="74"/>
      <c r="KQR5" s="74"/>
      <c r="KQS5" s="74"/>
      <c r="KQT5" s="74"/>
      <c r="KQU5" s="74"/>
      <c r="KQV5" s="74"/>
      <c r="KQW5" s="74"/>
      <c r="KQX5" s="74"/>
      <c r="KQY5" s="74"/>
      <c r="KQZ5" s="74"/>
      <c r="KRA5" s="74"/>
      <c r="KRB5" s="74"/>
      <c r="KRC5" s="74"/>
      <c r="KRD5" s="74"/>
      <c r="KRE5" s="74"/>
      <c r="KRF5" s="74"/>
      <c r="KRG5" s="74"/>
      <c r="KRH5" s="74"/>
      <c r="KRI5" s="74"/>
      <c r="KRJ5" s="74"/>
      <c r="KRK5" s="74"/>
      <c r="KRL5" s="74"/>
      <c r="KRM5" s="74"/>
      <c r="KRN5" s="74"/>
      <c r="KRO5" s="74"/>
      <c r="KRP5" s="74"/>
      <c r="KRQ5" s="74"/>
      <c r="KRR5" s="74"/>
      <c r="KRS5" s="74"/>
      <c r="KRT5" s="74"/>
      <c r="KRU5" s="74"/>
      <c r="KRV5" s="74"/>
      <c r="KRW5" s="74"/>
      <c r="KRX5" s="74"/>
      <c r="KRY5" s="74"/>
      <c r="KRZ5" s="74"/>
      <c r="KSA5" s="74"/>
      <c r="KSB5" s="74"/>
      <c r="KSC5" s="74"/>
      <c r="KSD5" s="74"/>
      <c r="KSE5" s="74"/>
      <c r="KSF5" s="74"/>
      <c r="KSG5" s="74"/>
      <c r="KSH5" s="74"/>
      <c r="KSI5" s="74"/>
      <c r="KSJ5" s="74"/>
      <c r="KSK5" s="74"/>
      <c r="KSL5" s="74"/>
      <c r="KSM5" s="74"/>
      <c r="KSN5" s="74"/>
      <c r="KSO5" s="74"/>
      <c r="KSP5" s="74"/>
      <c r="KSQ5" s="74"/>
      <c r="KSR5" s="74"/>
      <c r="KSS5" s="74"/>
      <c r="KST5" s="74"/>
      <c r="KSU5" s="74"/>
      <c r="KSV5" s="74"/>
      <c r="KSW5" s="74"/>
      <c r="KSX5" s="74"/>
      <c r="KSY5" s="74"/>
      <c r="KSZ5" s="74"/>
      <c r="KTA5" s="74"/>
      <c r="KTB5" s="74"/>
      <c r="KTC5" s="74"/>
      <c r="KTD5" s="74"/>
      <c r="KTE5" s="74"/>
      <c r="KTF5" s="74"/>
      <c r="KTG5" s="74"/>
      <c r="KTH5" s="74"/>
      <c r="KTI5" s="74"/>
      <c r="KTJ5" s="74"/>
      <c r="KTK5" s="74"/>
      <c r="KTL5" s="74"/>
      <c r="KTM5" s="74"/>
      <c r="KTN5" s="74"/>
      <c r="KTO5" s="74"/>
      <c r="KTP5" s="74"/>
      <c r="KTQ5" s="74"/>
      <c r="KTR5" s="74"/>
      <c r="KTS5" s="74"/>
      <c r="KTT5" s="74"/>
      <c r="KTU5" s="74"/>
      <c r="KTV5" s="74"/>
      <c r="KTW5" s="74"/>
      <c r="KTX5" s="74"/>
      <c r="KTY5" s="74"/>
      <c r="KTZ5" s="74"/>
      <c r="KUA5" s="74"/>
      <c r="KUB5" s="74"/>
      <c r="KUC5" s="74"/>
      <c r="KUD5" s="74"/>
      <c r="KUE5" s="74"/>
      <c r="KUF5" s="74"/>
      <c r="KUG5" s="74"/>
      <c r="KUH5" s="74"/>
      <c r="KUI5" s="74"/>
      <c r="KUJ5" s="74"/>
      <c r="KUK5" s="74"/>
      <c r="KUL5" s="74"/>
      <c r="KUM5" s="74"/>
      <c r="KUN5" s="74"/>
      <c r="KUO5" s="74"/>
      <c r="KUP5" s="74"/>
      <c r="KUQ5" s="74"/>
      <c r="KUR5" s="74"/>
      <c r="KUS5" s="74"/>
      <c r="KUT5" s="74"/>
      <c r="KUU5" s="74"/>
      <c r="KUV5" s="74"/>
      <c r="KUW5" s="74"/>
      <c r="KUX5" s="74"/>
      <c r="KUY5" s="74"/>
      <c r="KUZ5" s="74"/>
      <c r="KVA5" s="74"/>
      <c r="KVB5" s="74"/>
      <c r="KVC5" s="74"/>
      <c r="KVD5" s="74"/>
      <c r="KVE5" s="74"/>
      <c r="KVF5" s="74"/>
      <c r="KVG5" s="74"/>
      <c r="KVH5" s="74"/>
      <c r="KVI5" s="74"/>
      <c r="KVJ5" s="74"/>
      <c r="KVK5" s="74"/>
      <c r="KVL5" s="74"/>
      <c r="KVM5" s="74"/>
      <c r="KVN5" s="74"/>
      <c r="KVO5" s="74"/>
      <c r="KVP5" s="74"/>
      <c r="KVQ5" s="74"/>
      <c r="KVR5" s="74"/>
      <c r="KVS5" s="74"/>
      <c r="KVT5" s="74"/>
      <c r="KVU5" s="74"/>
      <c r="KVV5" s="74"/>
      <c r="KVW5" s="74"/>
      <c r="KVX5" s="74"/>
      <c r="KVY5" s="74"/>
      <c r="KVZ5" s="74"/>
      <c r="KWA5" s="74"/>
      <c r="KWB5" s="74"/>
      <c r="KWC5" s="74"/>
      <c r="KWD5" s="74"/>
      <c r="KWE5" s="74"/>
      <c r="KWF5" s="74"/>
      <c r="KWG5" s="74"/>
      <c r="KWH5" s="74"/>
      <c r="KWI5" s="74"/>
      <c r="KWJ5" s="74"/>
      <c r="KWK5" s="74"/>
      <c r="KWL5" s="74"/>
      <c r="KWM5" s="74"/>
      <c r="KWN5" s="74"/>
      <c r="KWO5" s="74"/>
      <c r="KWP5" s="74"/>
      <c r="KWQ5" s="74"/>
      <c r="KWR5" s="74"/>
      <c r="KWS5" s="74"/>
      <c r="KWT5" s="74"/>
      <c r="KWU5" s="74"/>
      <c r="KWV5" s="74"/>
      <c r="KWW5" s="74"/>
      <c r="KWX5" s="74"/>
      <c r="KWY5" s="74"/>
      <c r="KWZ5" s="74"/>
      <c r="KXA5" s="74"/>
      <c r="KXB5" s="74"/>
      <c r="KXC5" s="74"/>
      <c r="KXD5" s="74"/>
      <c r="KXE5" s="74"/>
      <c r="KXF5" s="74"/>
      <c r="KXG5" s="74"/>
      <c r="KXH5" s="74"/>
      <c r="KXI5" s="74"/>
      <c r="KXJ5" s="74"/>
      <c r="KXK5" s="74"/>
      <c r="KXL5" s="74"/>
      <c r="KXM5" s="74"/>
      <c r="KXN5" s="74"/>
      <c r="KXO5" s="74"/>
      <c r="KXP5" s="74"/>
      <c r="KXQ5" s="74"/>
      <c r="KXR5" s="74"/>
      <c r="KXS5" s="74"/>
      <c r="KXT5" s="74"/>
      <c r="KXU5" s="74"/>
      <c r="KXV5" s="74"/>
      <c r="KXW5" s="74"/>
      <c r="KXX5" s="74"/>
      <c r="KXY5" s="74"/>
      <c r="KXZ5" s="74"/>
      <c r="KYA5" s="74"/>
      <c r="KYB5" s="74"/>
      <c r="KYC5" s="74"/>
      <c r="KYD5" s="74"/>
      <c r="KYE5" s="74"/>
      <c r="KYF5" s="74"/>
      <c r="KYG5" s="74"/>
      <c r="KYH5" s="74"/>
      <c r="KYI5" s="74"/>
      <c r="KYJ5" s="74"/>
      <c r="KYK5" s="74"/>
      <c r="KYL5" s="74"/>
      <c r="KYM5" s="74"/>
      <c r="KYN5" s="74"/>
      <c r="KYO5" s="74"/>
      <c r="KYP5" s="74"/>
      <c r="KYQ5" s="74"/>
      <c r="KYR5" s="74"/>
      <c r="KYS5" s="74"/>
      <c r="KYT5" s="74"/>
      <c r="KYU5" s="74"/>
      <c r="KYV5" s="74"/>
      <c r="KYW5" s="74"/>
      <c r="KYX5" s="74"/>
      <c r="KYY5" s="74"/>
      <c r="KYZ5" s="74"/>
      <c r="KZA5" s="74"/>
      <c r="KZB5" s="74"/>
      <c r="KZC5" s="74"/>
      <c r="KZD5" s="74"/>
      <c r="KZE5" s="74"/>
      <c r="KZF5" s="74"/>
      <c r="KZG5" s="74"/>
      <c r="KZH5" s="74"/>
      <c r="KZI5" s="74"/>
      <c r="KZJ5" s="74"/>
      <c r="KZK5" s="74"/>
      <c r="KZL5" s="74"/>
      <c r="KZM5" s="74"/>
      <c r="KZN5" s="74"/>
      <c r="KZO5" s="74"/>
      <c r="KZP5" s="74"/>
      <c r="KZQ5" s="74"/>
      <c r="KZR5" s="74"/>
      <c r="KZS5" s="74"/>
      <c r="KZT5" s="74"/>
      <c r="KZU5" s="74"/>
      <c r="KZV5" s="74"/>
      <c r="KZW5" s="74"/>
      <c r="KZX5" s="74"/>
      <c r="KZY5" s="74"/>
      <c r="KZZ5" s="74"/>
      <c r="LAA5" s="74"/>
      <c r="LAB5" s="74"/>
      <c r="LAC5" s="74"/>
      <c r="LAD5" s="74"/>
      <c r="LAE5" s="74"/>
      <c r="LAF5" s="74"/>
      <c r="LAG5" s="74"/>
      <c r="LAH5" s="74"/>
      <c r="LAI5" s="74"/>
      <c r="LAJ5" s="74"/>
      <c r="LAK5" s="74"/>
      <c r="LAL5" s="74"/>
      <c r="LAM5" s="74"/>
      <c r="LAN5" s="74"/>
      <c r="LAO5" s="74"/>
      <c r="LAP5" s="74"/>
      <c r="LAQ5" s="74"/>
      <c r="LAR5" s="74"/>
      <c r="LAS5" s="74"/>
      <c r="LAT5" s="74"/>
      <c r="LAU5" s="74"/>
      <c r="LAV5" s="74"/>
      <c r="LAW5" s="74"/>
      <c r="LAX5" s="74"/>
      <c r="LAY5" s="74"/>
      <c r="LAZ5" s="74"/>
      <c r="LBA5" s="74"/>
      <c r="LBB5" s="74"/>
      <c r="LBC5" s="74"/>
      <c r="LBD5" s="74"/>
      <c r="LBE5" s="74"/>
      <c r="LBF5" s="74"/>
      <c r="LBG5" s="74"/>
      <c r="LBH5" s="74"/>
      <c r="LBI5" s="74"/>
      <c r="LBJ5" s="74"/>
      <c r="LBK5" s="74"/>
      <c r="LBL5" s="74"/>
      <c r="LBM5" s="74"/>
      <c r="LBN5" s="74"/>
      <c r="LBO5" s="74"/>
      <c r="LBP5" s="74"/>
      <c r="LBQ5" s="74"/>
      <c r="LBR5" s="74"/>
      <c r="LBS5" s="74"/>
      <c r="LBT5" s="74"/>
      <c r="LBU5" s="74"/>
      <c r="LBV5" s="74"/>
      <c r="LBW5" s="74"/>
      <c r="LBX5" s="74"/>
      <c r="LBY5" s="74"/>
      <c r="LBZ5" s="74"/>
      <c r="LCA5" s="74"/>
      <c r="LCB5" s="74"/>
      <c r="LCC5" s="74"/>
      <c r="LCD5" s="74"/>
      <c r="LCE5" s="74"/>
      <c r="LCF5" s="74"/>
      <c r="LCG5" s="74"/>
      <c r="LCH5" s="74"/>
      <c r="LCI5" s="74"/>
      <c r="LCJ5" s="74"/>
      <c r="LCK5" s="74"/>
      <c r="LCL5" s="74"/>
      <c r="LCM5" s="74"/>
      <c r="LCN5" s="74"/>
      <c r="LCO5" s="74"/>
      <c r="LCP5" s="74"/>
      <c r="LCQ5" s="74"/>
      <c r="LCR5" s="74"/>
      <c r="LCS5" s="74"/>
      <c r="LCT5" s="74"/>
      <c r="LCU5" s="74"/>
      <c r="LCV5" s="74"/>
      <c r="LCW5" s="74"/>
      <c r="LCX5" s="74"/>
      <c r="LCY5" s="74"/>
      <c r="LCZ5" s="74"/>
      <c r="LDA5" s="74"/>
      <c r="LDB5" s="74"/>
      <c r="LDC5" s="74"/>
      <c r="LDD5" s="74"/>
      <c r="LDE5" s="74"/>
      <c r="LDF5" s="74"/>
      <c r="LDG5" s="74"/>
      <c r="LDH5" s="74"/>
      <c r="LDI5" s="74"/>
      <c r="LDJ5" s="74"/>
      <c r="LDK5" s="74"/>
      <c r="LDL5" s="74"/>
      <c r="LDM5" s="74"/>
      <c r="LDN5" s="74"/>
      <c r="LDO5" s="74"/>
      <c r="LDP5" s="74"/>
      <c r="LDQ5" s="74"/>
      <c r="LDR5" s="74"/>
      <c r="LDS5" s="74"/>
      <c r="LDT5" s="74"/>
      <c r="LDU5" s="74"/>
      <c r="LDV5" s="74"/>
      <c r="LDW5" s="74"/>
      <c r="LDX5" s="74"/>
      <c r="LDY5" s="74"/>
      <c r="LDZ5" s="74"/>
      <c r="LEA5" s="74"/>
      <c r="LEB5" s="74"/>
      <c r="LEC5" s="74"/>
      <c r="LED5" s="74"/>
      <c r="LEE5" s="74"/>
      <c r="LEF5" s="74"/>
      <c r="LEG5" s="74"/>
      <c r="LEH5" s="74"/>
      <c r="LEI5" s="74"/>
      <c r="LEJ5" s="74"/>
      <c r="LEK5" s="74"/>
      <c r="LEL5" s="74"/>
      <c r="LEM5" s="74"/>
      <c r="LEN5" s="74"/>
      <c r="LEO5" s="74"/>
      <c r="LEP5" s="74"/>
      <c r="LEQ5" s="74"/>
      <c r="LER5" s="74"/>
      <c r="LES5" s="74"/>
      <c r="LET5" s="74"/>
      <c r="LEU5" s="74"/>
      <c r="LEV5" s="74"/>
      <c r="LEW5" s="74"/>
      <c r="LEX5" s="74"/>
      <c r="LEY5" s="74"/>
      <c r="LEZ5" s="74"/>
      <c r="LFA5" s="74"/>
      <c r="LFB5" s="74"/>
      <c r="LFC5" s="74"/>
      <c r="LFD5" s="74"/>
      <c r="LFE5" s="74"/>
      <c r="LFF5" s="74"/>
      <c r="LFG5" s="74"/>
      <c r="LFH5" s="74"/>
      <c r="LFI5" s="74"/>
      <c r="LFJ5" s="74"/>
      <c r="LFK5" s="74"/>
      <c r="LFL5" s="74"/>
      <c r="LFM5" s="74"/>
      <c r="LFN5" s="74"/>
      <c r="LFO5" s="74"/>
      <c r="LFP5" s="74"/>
      <c r="LFQ5" s="74"/>
      <c r="LFR5" s="74"/>
      <c r="LFS5" s="74"/>
      <c r="LFT5" s="74"/>
      <c r="LFU5" s="74"/>
      <c r="LFV5" s="74"/>
      <c r="LFW5" s="74"/>
      <c r="LFX5" s="74"/>
      <c r="LFY5" s="74"/>
      <c r="LFZ5" s="74"/>
      <c r="LGA5" s="74"/>
      <c r="LGB5" s="74"/>
      <c r="LGC5" s="74"/>
      <c r="LGD5" s="74"/>
      <c r="LGE5" s="74"/>
      <c r="LGF5" s="74"/>
      <c r="LGG5" s="74"/>
      <c r="LGH5" s="74"/>
      <c r="LGI5" s="74"/>
      <c r="LGJ5" s="74"/>
      <c r="LGK5" s="74"/>
      <c r="LGL5" s="74"/>
      <c r="LGM5" s="74"/>
      <c r="LGN5" s="74"/>
      <c r="LGO5" s="74"/>
      <c r="LGP5" s="74"/>
      <c r="LGQ5" s="74"/>
      <c r="LGR5" s="74"/>
      <c r="LGS5" s="74"/>
      <c r="LGT5" s="74"/>
      <c r="LGU5" s="74"/>
      <c r="LGV5" s="74"/>
      <c r="LGW5" s="74"/>
      <c r="LGX5" s="74"/>
      <c r="LGY5" s="74"/>
      <c r="LGZ5" s="74"/>
      <c r="LHA5" s="74"/>
      <c r="LHB5" s="74"/>
      <c r="LHC5" s="74"/>
      <c r="LHD5" s="74"/>
      <c r="LHE5" s="74"/>
      <c r="LHF5" s="74"/>
      <c r="LHG5" s="74"/>
      <c r="LHH5" s="74"/>
      <c r="LHI5" s="74"/>
      <c r="LHJ5" s="74"/>
      <c r="LHK5" s="74"/>
      <c r="LHL5" s="74"/>
      <c r="LHM5" s="74"/>
      <c r="LHN5" s="74"/>
      <c r="LHO5" s="74"/>
      <c r="LHP5" s="74"/>
      <c r="LHQ5" s="74"/>
      <c r="LHR5" s="74"/>
      <c r="LHS5" s="74"/>
      <c r="LHT5" s="74"/>
      <c r="LHU5" s="74"/>
      <c r="LHV5" s="74"/>
      <c r="LHW5" s="74"/>
      <c r="LHX5" s="74"/>
      <c r="LHY5" s="74"/>
      <c r="LHZ5" s="74"/>
      <c r="LIA5" s="74"/>
      <c r="LIB5" s="74"/>
      <c r="LIC5" s="74"/>
      <c r="LID5" s="74"/>
      <c r="LIE5" s="74"/>
      <c r="LIF5" s="74"/>
      <c r="LIG5" s="74"/>
      <c r="LIH5" s="74"/>
      <c r="LII5" s="74"/>
      <c r="LIJ5" s="74"/>
      <c r="LIK5" s="74"/>
      <c r="LIL5" s="74"/>
      <c r="LIM5" s="74"/>
      <c r="LIN5" s="74"/>
      <c r="LIO5" s="74"/>
      <c r="LIP5" s="74"/>
      <c r="LIQ5" s="74"/>
      <c r="LIR5" s="74"/>
      <c r="LIS5" s="74"/>
      <c r="LIT5" s="74"/>
      <c r="LIU5" s="74"/>
      <c r="LIV5" s="74"/>
      <c r="LIW5" s="74"/>
      <c r="LIX5" s="74"/>
      <c r="LIY5" s="74"/>
      <c r="LIZ5" s="74"/>
      <c r="LJA5" s="74"/>
      <c r="LJB5" s="74"/>
      <c r="LJC5" s="74"/>
      <c r="LJD5" s="74"/>
      <c r="LJE5" s="74"/>
      <c r="LJF5" s="74"/>
      <c r="LJG5" s="74"/>
      <c r="LJH5" s="74"/>
      <c r="LJI5" s="74"/>
      <c r="LJJ5" s="74"/>
      <c r="LJK5" s="74"/>
      <c r="LJL5" s="74"/>
      <c r="LJM5" s="74"/>
      <c r="LJN5" s="74"/>
      <c r="LJO5" s="74"/>
      <c r="LJP5" s="74"/>
      <c r="LJQ5" s="74"/>
      <c r="LJR5" s="74"/>
      <c r="LJS5" s="74"/>
      <c r="LJT5" s="74"/>
      <c r="LJU5" s="74"/>
      <c r="LJV5" s="74"/>
      <c r="LJW5" s="74"/>
      <c r="LJX5" s="74"/>
      <c r="LJY5" s="74"/>
      <c r="LJZ5" s="74"/>
      <c r="LKA5" s="74"/>
      <c r="LKB5" s="74"/>
      <c r="LKC5" s="74"/>
      <c r="LKD5" s="74"/>
      <c r="LKE5" s="74"/>
      <c r="LKF5" s="74"/>
      <c r="LKG5" s="74"/>
      <c r="LKH5" s="74"/>
      <c r="LKI5" s="74"/>
      <c r="LKJ5" s="74"/>
      <c r="LKK5" s="74"/>
      <c r="LKL5" s="74"/>
      <c r="LKM5" s="74"/>
      <c r="LKN5" s="74"/>
      <c r="LKO5" s="74"/>
      <c r="LKP5" s="74"/>
      <c r="LKQ5" s="74"/>
      <c r="LKR5" s="74"/>
      <c r="LKS5" s="74"/>
      <c r="LKT5" s="74"/>
      <c r="LKU5" s="74"/>
      <c r="LKV5" s="74"/>
      <c r="LKW5" s="74"/>
      <c r="LKX5" s="74"/>
      <c r="LKY5" s="74"/>
      <c r="LKZ5" s="74"/>
      <c r="LLA5" s="74"/>
      <c r="LLB5" s="74"/>
      <c r="LLC5" s="74"/>
      <c r="LLD5" s="74"/>
      <c r="LLE5" s="74"/>
      <c r="LLF5" s="74"/>
      <c r="LLG5" s="74"/>
      <c r="LLH5" s="74"/>
      <c r="LLI5" s="74"/>
      <c r="LLJ5" s="74"/>
      <c r="LLK5" s="74"/>
      <c r="LLL5" s="74"/>
      <c r="LLM5" s="74"/>
      <c r="LLN5" s="74"/>
      <c r="LLO5" s="74"/>
      <c r="LLP5" s="74"/>
      <c r="LLQ5" s="74"/>
      <c r="LLR5" s="74"/>
      <c r="LLS5" s="74"/>
      <c r="LLT5" s="74"/>
      <c r="LLU5" s="74"/>
      <c r="LLV5" s="74"/>
      <c r="LLW5" s="74"/>
      <c r="LLX5" s="74"/>
      <c r="LLY5" s="74"/>
      <c r="LLZ5" s="74"/>
      <c r="LMA5" s="74"/>
      <c r="LMB5" s="74"/>
      <c r="LMC5" s="74"/>
      <c r="LMD5" s="74"/>
      <c r="LME5" s="74"/>
      <c r="LMF5" s="74"/>
      <c r="LMG5" s="74"/>
      <c r="LMH5" s="74"/>
      <c r="LMI5" s="74"/>
      <c r="LMJ5" s="74"/>
      <c r="LMK5" s="74"/>
      <c r="LML5" s="74"/>
      <c r="LMM5" s="74"/>
      <c r="LMN5" s="74"/>
      <c r="LMO5" s="74"/>
      <c r="LMP5" s="74"/>
      <c r="LMQ5" s="74"/>
      <c r="LMR5" s="74"/>
      <c r="LMS5" s="74"/>
      <c r="LMT5" s="74"/>
      <c r="LMU5" s="74"/>
      <c r="LMV5" s="74"/>
      <c r="LMW5" s="74"/>
      <c r="LMX5" s="74"/>
      <c r="LMY5" s="74"/>
      <c r="LMZ5" s="74"/>
      <c r="LNA5" s="74"/>
      <c r="LNB5" s="74"/>
      <c r="LNC5" s="74"/>
      <c r="LND5" s="74"/>
      <c r="LNE5" s="74"/>
      <c r="LNF5" s="74"/>
      <c r="LNG5" s="74"/>
      <c r="LNH5" s="74"/>
      <c r="LNI5" s="74"/>
      <c r="LNJ5" s="74"/>
      <c r="LNK5" s="74"/>
      <c r="LNL5" s="74"/>
      <c r="LNM5" s="74"/>
      <c r="LNN5" s="74"/>
      <c r="LNO5" s="74"/>
      <c r="LNP5" s="74"/>
      <c r="LNQ5" s="74"/>
      <c r="LNR5" s="74"/>
      <c r="LNS5" s="74"/>
      <c r="LNT5" s="74"/>
      <c r="LNU5" s="74"/>
      <c r="LNV5" s="74"/>
      <c r="LNW5" s="74"/>
      <c r="LNX5" s="74"/>
      <c r="LNY5" s="74"/>
      <c r="LNZ5" s="74"/>
      <c r="LOA5" s="74"/>
      <c r="LOB5" s="74"/>
      <c r="LOC5" s="74"/>
      <c r="LOD5" s="74"/>
      <c r="LOE5" s="74"/>
      <c r="LOF5" s="74"/>
      <c r="LOG5" s="74"/>
      <c r="LOH5" s="74"/>
      <c r="LOI5" s="74"/>
      <c r="LOJ5" s="74"/>
      <c r="LOK5" s="74"/>
      <c r="LOL5" s="74"/>
      <c r="LOM5" s="74"/>
      <c r="LON5" s="74"/>
      <c r="LOO5" s="74"/>
      <c r="LOP5" s="74"/>
      <c r="LOQ5" s="74"/>
      <c r="LOR5" s="74"/>
      <c r="LOS5" s="74"/>
      <c r="LOT5" s="74"/>
      <c r="LOU5" s="74"/>
      <c r="LOV5" s="74"/>
      <c r="LOW5" s="74"/>
      <c r="LOX5" s="74"/>
      <c r="LOY5" s="74"/>
      <c r="LOZ5" s="74"/>
      <c r="LPA5" s="74"/>
      <c r="LPB5" s="74"/>
      <c r="LPC5" s="74"/>
      <c r="LPD5" s="74"/>
      <c r="LPE5" s="74"/>
      <c r="LPF5" s="74"/>
      <c r="LPG5" s="74"/>
      <c r="LPH5" s="74"/>
      <c r="LPI5" s="74"/>
      <c r="LPJ5" s="74"/>
      <c r="LPK5" s="74"/>
      <c r="LPL5" s="74"/>
      <c r="LPM5" s="74"/>
      <c r="LPN5" s="74"/>
      <c r="LPO5" s="74"/>
      <c r="LPP5" s="74"/>
      <c r="LPQ5" s="74"/>
      <c r="LPR5" s="74"/>
      <c r="LPS5" s="74"/>
      <c r="LPT5" s="74"/>
      <c r="LPU5" s="74"/>
      <c r="LPV5" s="74"/>
      <c r="LPW5" s="74"/>
      <c r="LPX5" s="74"/>
      <c r="LPY5" s="74"/>
      <c r="LPZ5" s="74"/>
      <c r="LQA5" s="74"/>
      <c r="LQB5" s="74"/>
      <c r="LQC5" s="74"/>
      <c r="LQD5" s="74"/>
      <c r="LQE5" s="74"/>
      <c r="LQF5" s="74"/>
      <c r="LQG5" s="74"/>
      <c r="LQH5" s="74"/>
      <c r="LQI5" s="74"/>
      <c r="LQJ5" s="74"/>
      <c r="LQK5" s="74"/>
      <c r="LQL5" s="74"/>
      <c r="LQM5" s="74"/>
      <c r="LQN5" s="74"/>
      <c r="LQO5" s="74"/>
      <c r="LQP5" s="74"/>
      <c r="LQQ5" s="74"/>
      <c r="LQR5" s="74"/>
      <c r="LQS5" s="74"/>
      <c r="LQT5" s="74"/>
      <c r="LQU5" s="74"/>
      <c r="LQV5" s="74"/>
      <c r="LQW5" s="74"/>
      <c r="LQX5" s="74"/>
      <c r="LQY5" s="74"/>
      <c r="LQZ5" s="74"/>
      <c r="LRA5" s="74"/>
      <c r="LRB5" s="74"/>
      <c r="LRC5" s="74"/>
      <c r="LRD5" s="74"/>
      <c r="LRE5" s="74"/>
      <c r="LRF5" s="74"/>
      <c r="LRG5" s="74"/>
      <c r="LRH5" s="74"/>
      <c r="LRI5" s="74"/>
      <c r="LRJ5" s="74"/>
      <c r="LRK5" s="74"/>
      <c r="LRL5" s="74"/>
      <c r="LRM5" s="74"/>
      <c r="LRN5" s="74"/>
      <c r="LRO5" s="74"/>
      <c r="LRP5" s="74"/>
      <c r="LRQ5" s="74"/>
      <c r="LRR5" s="74"/>
      <c r="LRS5" s="74"/>
      <c r="LRT5" s="74"/>
      <c r="LRU5" s="74"/>
      <c r="LRV5" s="74"/>
      <c r="LRW5" s="74"/>
      <c r="LRX5" s="74"/>
      <c r="LRY5" s="74"/>
      <c r="LRZ5" s="74"/>
      <c r="LSA5" s="74"/>
      <c r="LSB5" s="74"/>
      <c r="LSC5" s="74"/>
      <c r="LSD5" s="74"/>
      <c r="LSE5" s="74"/>
      <c r="LSF5" s="74"/>
      <c r="LSG5" s="74"/>
      <c r="LSH5" s="74"/>
      <c r="LSI5" s="74"/>
      <c r="LSJ5" s="74"/>
      <c r="LSK5" s="74"/>
      <c r="LSL5" s="74"/>
      <c r="LSM5" s="74"/>
      <c r="LSN5" s="74"/>
      <c r="LSO5" s="74"/>
      <c r="LSP5" s="74"/>
      <c r="LSQ5" s="74"/>
      <c r="LSR5" s="74"/>
      <c r="LSS5" s="74"/>
      <c r="LST5" s="74"/>
      <c r="LSU5" s="74"/>
      <c r="LSV5" s="74"/>
      <c r="LSW5" s="74"/>
      <c r="LSX5" s="74"/>
      <c r="LSY5" s="74"/>
      <c r="LSZ5" s="74"/>
      <c r="LTA5" s="74"/>
      <c r="LTB5" s="74"/>
      <c r="LTC5" s="74"/>
      <c r="LTD5" s="74"/>
      <c r="LTE5" s="74"/>
      <c r="LTF5" s="74"/>
      <c r="LTG5" s="74"/>
      <c r="LTH5" s="74"/>
      <c r="LTI5" s="74"/>
      <c r="LTJ5" s="74"/>
      <c r="LTK5" s="74"/>
      <c r="LTL5" s="74"/>
      <c r="LTM5" s="74"/>
      <c r="LTN5" s="74"/>
      <c r="LTO5" s="74"/>
      <c r="LTP5" s="74"/>
      <c r="LTQ5" s="74"/>
      <c r="LTR5" s="74"/>
      <c r="LTS5" s="74"/>
      <c r="LTT5" s="74"/>
      <c r="LTU5" s="74"/>
      <c r="LTV5" s="74"/>
      <c r="LTW5" s="74"/>
      <c r="LTX5" s="74"/>
      <c r="LTY5" s="74"/>
      <c r="LTZ5" s="74"/>
      <c r="LUA5" s="74"/>
      <c r="LUB5" s="74"/>
      <c r="LUC5" s="74"/>
      <c r="LUD5" s="74"/>
      <c r="LUE5" s="74"/>
      <c r="LUF5" s="74"/>
      <c r="LUG5" s="74"/>
      <c r="LUH5" s="74"/>
      <c r="LUI5" s="74"/>
      <c r="LUJ5" s="74"/>
      <c r="LUK5" s="74"/>
      <c r="LUL5" s="74"/>
      <c r="LUM5" s="74"/>
      <c r="LUN5" s="74"/>
      <c r="LUO5" s="74"/>
      <c r="LUP5" s="74"/>
      <c r="LUQ5" s="74"/>
      <c r="LUR5" s="74"/>
      <c r="LUS5" s="74"/>
      <c r="LUT5" s="74"/>
      <c r="LUU5" s="74"/>
      <c r="LUV5" s="74"/>
      <c r="LUW5" s="74"/>
      <c r="LUX5" s="74"/>
      <c r="LUY5" s="74"/>
      <c r="LUZ5" s="74"/>
      <c r="LVA5" s="74"/>
      <c r="LVB5" s="74"/>
      <c r="LVC5" s="74"/>
      <c r="LVD5" s="74"/>
      <c r="LVE5" s="74"/>
      <c r="LVF5" s="74"/>
      <c r="LVG5" s="74"/>
      <c r="LVH5" s="74"/>
      <c r="LVI5" s="74"/>
      <c r="LVJ5" s="74"/>
      <c r="LVK5" s="74"/>
      <c r="LVL5" s="74"/>
      <c r="LVM5" s="74"/>
      <c r="LVN5" s="74"/>
      <c r="LVO5" s="74"/>
      <c r="LVP5" s="74"/>
      <c r="LVQ5" s="74"/>
      <c r="LVR5" s="74"/>
      <c r="LVS5" s="74"/>
      <c r="LVT5" s="74"/>
      <c r="LVU5" s="74"/>
      <c r="LVV5" s="74"/>
      <c r="LVW5" s="74"/>
      <c r="LVX5" s="74"/>
      <c r="LVY5" s="74"/>
      <c r="LVZ5" s="74"/>
      <c r="LWA5" s="74"/>
      <c r="LWB5" s="74"/>
      <c r="LWC5" s="74"/>
      <c r="LWD5" s="74"/>
      <c r="LWE5" s="74"/>
      <c r="LWF5" s="74"/>
      <c r="LWG5" s="74"/>
      <c r="LWH5" s="74"/>
      <c r="LWI5" s="74"/>
      <c r="LWJ5" s="74"/>
      <c r="LWK5" s="74"/>
      <c r="LWL5" s="74"/>
      <c r="LWM5" s="74"/>
      <c r="LWN5" s="74"/>
      <c r="LWO5" s="74"/>
      <c r="LWP5" s="74"/>
      <c r="LWQ5" s="74"/>
      <c r="LWR5" s="74"/>
      <c r="LWS5" s="74"/>
      <c r="LWT5" s="74"/>
      <c r="LWU5" s="74"/>
      <c r="LWV5" s="74"/>
      <c r="LWW5" s="74"/>
      <c r="LWX5" s="74"/>
      <c r="LWY5" s="74"/>
      <c r="LWZ5" s="74"/>
      <c r="LXA5" s="74"/>
      <c r="LXB5" s="74"/>
      <c r="LXC5" s="74"/>
      <c r="LXD5" s="74"/>
      <c r="LXE5" s="74"/>
      <c r="LXF5" s="74"/>
      <c r="LXG5" s="74"/>
      <c r="LXH5" s="74"/>
      <c r="LXI5" s="74"/>
      <c r="LXJ5" s="74"/>
      <c r="LXK5" s="74"/>
      <c r="LXL5" s="74"/>
      <c r="LXM5" s="74"/>
      <c r="LXN5" s="74"/>
      <c r="LXO5" s="74"/>
      <c r="LXP5" s="74"/>
      <c r="LXQ5" s="74"/>
      <c r="LXR5" s="74"/>
      <c r="LXS5" s="74"/>
      <c r="LXT5" s="74"/>
      <c r="LXU5" s="74"/>
      <c r="LXV5" s="74"/>
      <c r="LXW5" s="74"/>
      <c r="LXX5" s="74"/>
      <c r="LXY5" s="74"/>
      <c r="LXZ5" s="74"/>
      <c r="LYA5" s="74"/>
      <c r="LYB5" s="74"/>
      <c r="LYC5" s="74"/>
      <c r="LYD5" s="74"/>
      <c r="LYE5" s="74"/>
      <c r="LYF5" s="74"/>
      <c r="LYG5" s="74"/>
      <c r="LYH5" s="74"/>
      <c r="LYI5" s="74"/>
      <c r="LYJ5" s="74"/>
      <c r="LYK5" s="74"/>
      <c r="LYL5" s="74"/>
      <c r="LYM5" s="74"/>
      <c r="LYN5" s="74"/>
      <c r="LYO5" s="74"/>
      <c r="LYP5" s="74"/>
      <c r="LYQ5" s="74"/>
      <c r="LYR5" s="74"/>
      <c r="LYS5" s="74"/>
      <c r="LYT5" s="74"/>
      <c r="LYU5" s="74"/>
      <c r="LYV5" s="74"/>
      <c r="LYW5" s="74"/>
      <c r="LYX5" s="74"/>
      <c r="LYY5" s="74"/>
      <c r="LYZ5" s="74"/>
      <c r="LZA5" s="74"/>
      <c r="LZB5" s="74"/>
      <c r="LZC5" s="74"/>
      <c r="LZD5" s="74"/>
      <c r="LZE5" s="74"/>
      <c r="LZF5" s="74"/>
      <c r="LZG5" s="74"/>
      <c r="LZH5" s="74"/>
      <c r="LZI5" s="74"/>
      <c r="LZJ5" s="74"/>
      <c r="LZK5" s="74"/>
      <c r="LZL5" s="74"/>
      <c r="LZM5" s="74"/>
      <c r="LZN5" s="74"/>
      <c r="LZO5" s="74"/>
      <c r="LZP5" s="74"/>
      <c r="LZQ5" s="74"/>
      <c r="LZR5" s="74"/>
      <c r="LZS5" s="74"/>
      <c r="LZT5" s="74"/>
      <c r="LZU5" s="74"/>
      <c r="LZV5" s="74"/>
      <c r="LZW5" s="74"/>
      <c r="LZX5" s="74"/>
      <c r="LZY5" s="74"/>
      <c r="LZZ5" s="74"/>
      <c r="MAA5" s="74"/>
      <c r="MAB5" s="74"/>
      <c r="MAC5" s="74"/>
      <c r="MAD5" s="74"/>
      <c r="MAE5" s="74"/>
      <c r="MAF5" s="74"/>
      <c r="MAG5" s="74"/>
      <c r="MAH5" s="74"/>
      <c r="MAI5" s="74"/>
      <c r="MAJ5" s="74"/>
      <c r="MAK5" s="74"/>
      <c r="MAL5" s="74"/>
      <c r="MAM5" s="74"/>
      <c r="MAN5" s="74"/>
      <c r="MAO5" s="74"/>
      <c r="MAP5" s="74"/>
      <c r="MAQ5" s="74"/>
      <c r="MAR5" s="74"/>
      <c r="MAS5" s="74"/>
      <c r="MAT5" s="74"/>
      <c r="MAU5" s="74"/>
      <c r="MAV5" s="74"/>
      <c r="MAW5" s="74"/>
      <c r="MAX5" s="74"/>
      <c r="MAY5" s="74"/>
      <c r="MAZ5" s="74"/>
      <c r="MBA5" s="74"/>
      <c r="MBB5" s="74"/>
      <c r="MBC5" s="74"/>
      <c r="MBD5" s="74"/>
      <c r="MBE5" s="74"/>
      <c r="MBF5" s="74"/>
      <c r="MBG5" s="74"/>
      <c r="MBH5" s="74"/>
      <c r="MBI5" s="74"/>
      <c r="MBJ5" s="74"/>
      <c r="MBK5" s="74"/>
      <c r="MBL5" s="74"/>
      <c r="MBM5" s="74"/>
      <c r="MBN5" s="74"/>
      <c r="MBO5" s="74"/>
      <c r="MBP5" s="74"/>
      <c r="MBQ5" s="74"/>
      <c r="MBR5" s="74"/>
      <c r="MBS5" s="74"/>
      <c r="MBT5" s="74"/>
      <c r="MBU5" s="74"/>
      <c r="MBV5" s="74"/>
      <c r="MBW5" s="74"/>
      <c r="MBX5" s="74"/>
      <c r="MBY5" s="74"/>
      <c r="MBZ5" s="74"/>
      <c r="MCA5" s="74"/>
      <c r="MCB5" s="74"/>
      <c r="MCC5" s="74"/>
      <c r="MCD5" s="74"/>
      <c r="MCE5" s="74"/>
      <c r="MCF5" s="74"/>
      <c r="MCG5" s="74"/>
      <c r="MCH5" s="74"/>
      <c r="MCI5" s="74"/>
      <c r="MCJ5" s="74"/>
      <c r="MCK5" s="74"/>
      <c r="MCL5" s="74"/>
      <c r="MCM5" s="74"/>
      <c r="MCN5" s="74"/>
      <c r="MCO5" s="74"/>
      <c r="MCP5" s="74"/>
      <c r="MCQ5" s="74"/>
      <c r="MCR5" s="74"/>
      <c r="MCS5" s="74"/>
      <c r="MCT5" s="74"/>
      <c r="MCU5" s="74"/>
      <c r="MCV5" s="74"/>
      <c r="MCW5" s="74"/>
      <c r="MCX5" s="74"/>
      <c r="MCY5" s="74"/>
      <c r="MCZ5" s="74"/>
      <c r="MDA5" s="74"/>
      <c r="MDB5" s="74"/>
      <c r="MDC5" s="74"/>
      <c r="MDD5" s="74"/>
      <c r="MDE5" s="74"/>
      <c r="MDF5" s="74"/>
      <c r="MDG5" s="74"/>
      <c r="MDH5" s="74"/>
      <c r="MDI5" s="74"/>
      <c r="MDJ5" s="74"/>
      <c r="MDK5" s="74"/>
      <c r="MDL5" s="74"/>
      <c r="MDM5" s="74"/>
      <c r="MDN5" s="74"/>
      <c r="MDO5" s="74"/>
      <c r="MDP5" s="74"/>
      <c r="MDQ5" s="74"/>
      <c r="MDR5" s="74"/>
      <c r="MDS5" s="74"/>
      <c r="MDT5" s="74"/>
      <c r="MDU5" s="74"/>
      <c r="MDV5" s="74"/>
      <c r="MDW5" s="74"/>
      <c r="MDX5" s="74"/>
      <c r="MDY5" s="74"/>
      <c r="MDZ5" s="74"/>
      <c r="MEA5" s="74"/>
      <c r="MEB5" s="74"/>
      <c r="MEC5" s="74"/>
      <c r="MED5" s="74"/>
      <c r="MEE5" s="74"/>
      <c r="MEF5" s="74"/>
      <c r="MEG5" s="74"/>
      <c r="MEH5" s="74"/>
      <c r="MEI5" s="74"/>
      <c r="MEJ5" s="74"/>
      <c r="MEK5" s="74"/>
      <c r="MEL5" s="74"/>
      <c r="MEM5" s="74"/>
      <c r="MEN5" s="74"/>
      <c r="MEO5" s="74"/>
      <c r="MEP5" s="74"/>
      <c r="MEQ5" s="74"/>
      <c r="MER5" s="74"/>
      <c r="MES5" s="74"/>
      <c r="MET5" s="74"/>
      <c r="MEU5" s="74"/>
      <c r="MEV5" s="74"/>
      <c r="MEW5" s="74"/>
      <c r="MEX5" s="74"/>
      <c r="MEY5" s="74"/>
      <c r="MEZ5" s="74"/>
      <c r="MFA5" s="74"/>
      <c r="MFB5" s="74"/>
      <c r="MFC5" s="74"/>
      <c r="MFD5" s="74"/>
      <c r="MFE5" s="74"/>
      <c r="MFF5" s="74"/>
      <c r="MFG5" s="74"/>
      <c r="MFH5" s="74"/>
      <c r="MFI5" s="74"/>
      <c r="MFJ5" s="74"/>
      <c r="MFK5" s="74"/>
      <c r="MFL5" s="74"/>
      <c r="MFM5" s="74"/>
      <c r="MFN5" s="74"/>
      <c r="MFO5" s="74"/>
      <c r="MFP5" s="74"/>
      <c r="MFQ5" s="74"/>
      <c r="MFR5" s="74"/>
      <c r="MFS5" s="74"/>
      <c r="MFT5" s="74"/>
      <c r="MFU5" s="74"/>
      <c r="MFV5" s="74"/>
      <c r="MFW5" s="74"/>
      <c r="MFX5" s="74"/>
      <c r="MFY5" s="74"/>
      <c r="MFZ5" s="74"/>
      <c r="MGA5" s="74"/>
      <c r="MGB5" s="74"/>
      <c r="MGC5" s="74"/>
      <c r="MGD5" s="74"/>
      <c r="MGE5" s="74"/>
      <c r="MGF5" s="74"/>
      <c r="MGG5" s="74"/>
      <c r="MGH5" s="74"/>
      <c r="MGI5" s="74"/>
      <c r="MGJ5" s="74"/>
      <c r="MGK5" s="74"/>
      <c r="MGL5" s="74"/>
      <c r="MGM5" s="74"/>
      <c r="MGN5" s="74"/>
      <c r="MGO5" s="74"/>
      <c r="MGP5" s="74"/>
      <c r="MGQ5" s="74"/>
      <c r="MGR5" s="74"/>
      <c r="MGS5" s="74"/>
      <c r="MGT5" s="74"/>
      <c r="MGU5" s="74"/>
      <c r="MGV5" s="74"/>
      <c r="MGW5" s="74"/>
      <c r="MGX5" s="74"/>
      <c r="MGY5" s="74"/>
      <c r="MGZ5" s="74"/>
      <c r="MHA5" s="74"/>
      <c r="MHB5" s="74"/>
      <c r="MHC5" s="74"/>
      <c r="MHD5" s="74"/>
      <c r="MHE5" s="74"/>
      <c r="MHF5" s="74"/>
      <c r="MHG5" s="74"/>
      <c r="MHH5" s="74"/>
      <c r="MHI5" s="74"/>
      <c r="MHJ5" s="74"/>
      <c r="MHK5" s="74"/>
      <c r="MHL5" s="74"/>
      <c r="MHM5" s="74"/>
      <c r="MHN5" s="74"/>
      <c r="MHO5" s="74"/>
      <c r="MHP5" s="74"/>
      <c r="MHQ5" s="74"/>
      <c r="MHR5" s="74"/>
      <c r="MHS5" s="74"/>
      <c r="MHT5" s="74"/>
      <c r="MHU5" s="74"/>
      <c r="MHV5" s="74"/>
      <c r="MHW5" s="74"/>
      <c r="MHX5" s="74"/>
      <c r="MHY5" s="74"/>
      <c r="MHZ5" s="74"/>
      <c r="MIA5" s="74"/>
      <c r="MIB5" s="74"/>
      <c r="MIC5" s="74"/>
      <c r="MID5" s="74"/>
      <c r="MIE5" s="74"/>
      <c r="MIF5" s="74"/>
      <c r="MIG5" s="74"/>
      <c r="MIH5" s="74"/>
      <c r="MII5" s="74"/>
      <c r="MIJ5" s="74"/>
      <c r="MIK5" s="74"/>
      <c r="MIL5" s="74"/>
      <c r="MIM5" s="74"/>
      <c r="MIN5" s="74"/>
      <c r="MIO5" s="74"/>
      <c r="MIP5" s="74"/>
      <c r="MIQ5" s="74"/>
      <c r="MIR5" s="74"/>
      <c r="MIS5" s="74"/>
      <c r="MIT5" s="74"/>
      <c r="MIU5" s="74"/>
      <c r="MIV5" s="74"/>
      <c r="MIW5" s="74"/>
      <c r="MIX5" s="74"/>
      <c r="MIY5" s="74"/>
      <c r="MIZ5" s="74"/>
      <c r="MJA5" s="74"/>
      <c r="MJB5" s="74"/>
      <c r="MJC5" s="74"/>
      <c r="MJD5" s="74"/>
      <c r="MJE5" s="74"/>
      <c r="MJF5" s="74"/>
      <c r="MJG5" s="74"/>
      <c r="MJH5" s="74"/>
      <c r="MJI5" s="74"/>
      <c r="MJJ5" s="74"/>
      <c r="MJK5" s="74"/>
      <c r="MJL5" s="74"/>
      <c r="MJM5" s="74"/>
      <c r="MJN5" s="74"/>
      <c r="MJO5" s="74"/>
      <c r="MJP5" s="74"/>
      <c r="MJQ5" s="74"/>
      <c r="MJR5" s="74"/>
      <c r="MJS5" s="74"/>
      <c r="MJT5" s="74"/>
      <c r="MJU5" s="74"/>
      <c r="MJV5" s="74"/>
      <c r="MJW5" s="74"/>
      <c r="MJX5" s="74"/>
      <c r="MJY5" s="74"/>
      <c r="MJZ5" s="74"/>
      <c r="MKA5" s="74"/>
      <c r="MKB5" s="74"/>
      <c r="MKC5" s="74"/>
      <c r="MKD5" s="74"/>
      <c r="MKE5" s="74"/>
      <c r="MKF5" s="74"/>
      <c r="MKG5" s="74"/>
      <c r="MKH5" s="74"/>
      <c r="MKI5" s="74"/>
      <c r="MKJ5" s="74"/>
      <c r="MKK5" s="74"/>
      <c r="MKL5" s="74"/>
      <c r="MKM5" s="74"/>
      <c r="MKN5" s="74"/>
      <c r="MKO5" s="74"/>
      <c r="MKP5" s="74"/>
      <c r="MKQ5" s="74"/>
      <c r="MKR5" s="74"/>
      <c r="MKS5" s="74"/>
      <c r="MKT5" s="74"/>
      <c r="MKU5" s="74"/>
      <c r="MKV5" s="74"/>
      <c r="MKW5" s="74"/>
      <c r="MKX5" s="74"/>
      <c r="MKY5" s="74"/>
      <c r="MKZ5" s="74"/>
      <c r="MLA5" s="74"/>
      <c r="MLB5" s="74"/>
      <c r="MLC5" s="74"/>
      <c r="MLD5" s="74"/>
      <c r="MLE5" s="74"/>
      <c r="MLF5" s="74"/>
      <c r="MLG5" s="74"/>
      <c r="MLH5" s="74"/>
      <c r="MLI5" s="74"/>
      <c r="MLJ5" s="74"/>
      <c r="MLK5" s="74"/>
      <c r="MLL5" s="74"/>
      <c r="MLM5" s="74"/>
      <c r="MLN5" s="74"/>
      <c r="MLO5" s="74"/>
      <c r="MLP5" s="74"/>
      <c r="MLQ5" s="74"/>
      <c r="MLR5" s="74"/>
      <c r="MLS5" s="74"/>
      <c r="MLT5" s="74"/>
      <c r="MLU5" s="74"/>
      <c r="MLV5" s="74"/>
      <c r="MLW5" s="74"/>
      <c r="MLX5" s="74"/>
      <c r="MLY5" s="74"/>
      <c r="MLZ5" s="74"/>
      <c r="MMA5" s="74"/>
      <c r="MMB5" s="74"/>
      <c r="MMC5" s="74"/>
      <c r="MMD5" s="74"/>
      <c r="MME5" s="74"/>
      <c r="MMF5" s="74"/>
      <c r="MMG5" s="74"/>
      <c r="MMH5" s="74"/>
      <c r="MMI5" s="74"/>
      <c r="MMJ5" s="74"/>
      <c r="MMK5" s="74"/>
      <c r="MML5" s="74"/>
      <c r="MMM5" s="74"/>
      <c r="MMN5" s="74"/>
      <c r="MMO5" s="74"/>
      <c r="MMP5" s="74"/>
      <c r="MMQ5" s="74"/>
      <c r="MMR5" s="74"/>
      <c r="MMS5" s="74"/>
      <c r="MMT5" s="74"/>
      <c r="MMU5" s="74"/>
      <c r="MMV5" s="74"/>
      <c r="MMW5" s="74"/>
      <c r="MMX5" s="74"/>
      <c r="MMY5" s="74"/>
      <c r="MMZ5" s="74"/>
      <c r="MNA5" s="74"/>
      <c r="MNB5" s="74"/>
      <c r="MNC5" s="74"/>
      <c r="MND5" s="74"/>
      <c r="MNE5" s="74"/>
      <c r="MNF5" s="74"/>
      <c r="MNG5" s="74"/>
      <c r="MNH5" s="74"/>
      <c r="MNI5" s="74"/>
      <c r="MNJ5" s="74"/>
      <c r="MNK5" s="74"/>
      <c r="MNL5" s="74"/>
      <c r="MNM5" s="74"/>
      <c r="MNN5" s="74"/>
      <c r="MNO5" s="74"/>
      <c r="MNP5" s="74"/>
      <c r="MNQ5" s="74"/>
      <c r="MNR5" s="74"/>
      <c r="MNS5" s="74"/>
      <c r="MNT5" s="74"/>
      <c r="MNU5" s="74"/>
      <c r="MNV5" s="74"/>
      <c r="MNW5" s="74"/>
      <c r="MNX5" s="74"/>
      <c r="MNY5" s="74"/>
      <c r="MNZ5" s="74"/>
      <c r="MOA5" s="74"/>
      <c r="MOB5" s="74"/>
      <c r="MOC5" s="74"/>
      <c r="MOD5" s="74"/>
      <c r="MOE5" s="74"/>
      <c r="MOF5" s="74"/>
      <c r="MOG5" s="74"/>
      <c r="MOH5" s="74"/>
      <c r="MOI5" s="74"/>
      <c r="MOJ5" s="74"/>
      <c r="MOK5" s="74"/>
      <c r="MOL5" s="74"/>
      <c r="MOM5" s="74"/>
      <c r="MON5" s="74"/>
      <c r="MOO5" s="74"/>
      <c r="MOP5" s="74"/>
      <c r="MOQ5" s="74"/>
      <c r="MOR5" s="74"/>
      <c r="MOS5" s="74"/>
      <c r="MOT5" s="74"/>
      <c r="MOU5" s="74"/>
      <c r="MOV5" s="74"/>
      <c r="MOW5" s="74"/>
      <c r="MOX5" s="74"/>
      <c r="MOY5" s="74"/>
      <c r="MOZ5" s="74"/>
      <c r="MPA5" s="74"/>
      <c r="MPB5" s="74"/>
      <c r="MPC5" s="74"/>
      <c r="MPD5" s="74"/>
      <c r="MPE5" s="74"/>
      <c r="MPF5" s="74"/>
      <c r="MPG5" s="74"/>
      <c r="MPH5" s="74"/>
      <c r="MPI5" s="74"/>
      <c r="MPJ5" s="74"/>
      <c r="MPK5" s="74"/>
      <c r="MPL5" s="74"/>
      <c r="MPM5" s="74"/>
      <c r="MPN5" s="74"/>
      <c r="MPO5" s="74"/>
      <c r="MPP5" s="74"/>
      <c r="MPQ5" s="74"/>
      <c r="MPR5" s="74"/>
      <c r="MPS5" s="74"/>
      <c r="MPT5" s="74"/>
      <c r="MPU5" s="74"/>
      <c r="MPV5" s="74"/>
      <c r="MPW5" s="74"/>
      <c r="MPX5" s="74"/>
      <c r="MPY5" s="74"/>
      <c r="MPZ5" s="74"/>
      <c r="MQA5" s="74"/>
      <c r="MQB5" s="74"/>
      <c r="MQC5" s="74"/>
      <c r="MQD5" s="74"/>
      <c r="MQE5" s="74"/>
      <c r="MQF5" s="74"/>
      <c r="MQG5" s="74"/>
      <c r="MQH5" s="74"/>
      <c r="MQI5" s="74"/>
      <c r="MQJ5" s="74"/>
      <c r="MQK5" s="74"/>
      <c r="MQL5" s="74"/>
      <c r="MQM5" s="74"/>
      <c r="MQN5" s="74"/>
      <c r="MQO5" s="74"/>
      <c r="MQP5" s="74"/>
      <c r="MQQ5" s="74"/>
      <c r="MQR5" s="74"/>
      <c r="MQS5" s="74"/>
      <c r="MQT5" s="74"/>
      <c r="MQU5" s="74"/>
      <c r="MQV5" s="74"/>
      <c r="MQW5" s="74"/>
      <c r="MQX5" s="74"/>
      <c r="MQY5" s="74"/>
      <c r="MQZ5" s="74"/>
      <c r="MRA5" s="74"/>
      <c r="MRB5" s="74"/>
      <c r="MRC5" s="74"/>
      <c r="MRD5" s="74"/>
      <c r="MRE5" s="74"/>
      <c r="MRF5" s="74"/>
      <c r="MRG5" s="74"/>
      <c r="MRH5" s="74"/>
      <c r="MRI5" s="74"/>
      <c r="MRJ5" s="74"/>
      <c r="MRK5" s="74"/>
      <c r="MRL5" s="74"/>
      <c r="MRM5" s="74"/>
      <c r="MRN5" s="74"/>
      <c r="MRO5" s="74"/>
      <c r="MRP5" s="74"/>
      <c r="MRQ5" s="74"/>
      <c r="MRR5" s="74"/>
      <c r="MRS5" s="74"/>
      <c r="MRT5" s="74"/>
      <c r="MRU5" s="74"/>
      <c r="MRV5" s="74"/>
      <c r="MRW5" s="74"/>
      <c r="MRX5" s="74"/>
      <c r="MRY5" s="74"/>
      <c r="MRZ5" s="74"/>
      <c r="MSA5" s="74"/>
      <c r="MSB5" s="74"/>
      <c r="MSC5" s="74"/>
      <c r="MSD5" s="74"/>
      <c r="MSE5" s="74"/>
      <c r="MSF5" s="74"/>
      <c r="MSG5" s="74"/>
      <c r="MSH5" s="74"/>
      <c r="MSI5" s="74"/>
      <c r="MSJ5" s="74"/>
      <c r="MSK5" s="74"/>
      <c r="MSL5" s="74"/>
      <c r="MSM5" s="74"/>
      <c r="MSN5" s="74"/>
      <c r="MSO5" s="74"/>
      <c r="MSP5" s="74"/>
      <c r="MSQ5" s="74"/>
      <c r="MSR5" s="74"/>
      <c r="MSS5" s="74"/>
      <c r="MST5" s="74"/>
      <c r="MSU5" s="74"/>
      <c r="MSV5" s="74"/>
      <c r="MSW5" s="74"/>
      <c r="MSX5" s="74"/>
      <c r="MSY5" s="74"/>
      <c r="MSZ5" s="74"/>
      <c r="MTA5" s="74"/>
      <c r="MTB5" s="74"/>
      <c r="MTC5" s="74"/>
      <c r="MTD5" s="74"/>
      <c r="MTE5" s="74"/>
      <c r="MTF5" s="74"/>
      <c r="MTG5" s="74"/>
      <c r="MTH5" s="74"/>
      <c r="MTI5" s="74"/>
      <c r="MTJ5" s="74"/>
      <c r="MTK5" s="74"/>
      <c r="MTL5" s="74"/>
      <c r="MTM5" s="74"/>
      <c r="MTN5" s="74"/>
      <c r="MTO5" s="74"/>
      <c r="MTP5" s="74"/>
      <c r="MTQ5" s="74"/>
      <c r="MTR5" s="74"/>
      <c r="MTS5" s="74"/>
      <c r="MTT5" s="74"/>
      <c r="MTU5" s="74"/>
      <c r="MTV5" s="74"/>
      <c r="MTW5" s="74"/>
      <c r="MTX5" s="74"/>
      <c r="MTY5" s="74"/>
      <c r="MTZ5" s="74"/>
      <c r="MUA5" s="74"/>
      <c r="MUB5" s="74"/>
      <c r="MUC5" s="74"/>
      <c r="MUD5" s="74"/>
      <c r="MUE5" s="74"/>
      <c r="MUF5" s="74"/>
      <c r="MUG5" s="74"/>
      <c r="MUH5" s="74"/>
      <c r="MUI5" s="74"/>
      <c r="MUJ5" s="74"/>
      <c r="MUK5" s="74"/>
      <c r="MUL5" s="74"/>
      <c r="MUM5" s="74"/>
      <c r="MUN5" s="74"/>
      <c r="MUO5" s="74"/>
      <c r="MUP5" s="74"/>
      <c r="MUQ5" s="74"/>
      <c r="MUR5" s="74"/>
      <c r="MUS5" s="74"/>
      <c r="MUT5" s="74"/>
      <c r="MUU5" s="74"/>
      <c r="MUV5" s="74"/>
      <c r="MUW5" s="74"/>
      <c r="MUX5" s="74"/>
      <c r="MUY5" s="74"/>
      <c r="MUZ5" s="74"/>
      <c r="MVA5" s="74"/>
      <c r="MVB5" s="74"/>
      <c r="MVC5" s="74"/>
      <c r="MVD5" s="74"/>
      <c r="MVE5" s="74"/>
      <c r="MVF5" s="74"/>
      <c r="MVG5" s="74"/>
      <c r="MVH5" s="74"/>
      <c r="MVI5" s="74"/>
      <c r="MVJ5" s="74"/>
      <c r="MVK5" s="74"/>
      <c r="MVL5" s="74"/>
      <c r="MVM5" s="74"/>
      <c r="MVN5" s="74"/>
      <c r="MVO5" s="74"/>
      <c r="MVP5" s="74"/>
      <c r="MVQ5" s="74"/>
      <c r="MVR5" s="74"/>
      <c r="MVS5" s="74"/>
      <c r="MVT5" s="74"/>
      <c r="MVU5" s="74"/>
      <c r="MVV5" s="74"/>
      <c r="MVW5" s="74"/>
      <c r="MVX5" s="74"/>
      <c r="MVY5" s="74"/>
      <c r="MVZ5" s="74"/>
      <c r="MWA5" s="74"/>
      <c r="MWB5" s="74"/>
      <c r="MWC5" s="74"/>
      <c r="MWD5" s="74"/>
      <c r="MWE5" s="74"/>
      <c r="MWF5" s="74"/>
      <c r="MWG5" s="74"/>
      <c r="MWH5" s="74"/>
      <c r="MWI5" s="74"/>
      <c r="MWJ5" s="74"/>
      <c r="MWK5" s="74"/>
      <c r="MWL5" s="74"/>
      <c r="MWM5" s="74"/>
      <c r="MWN5" s="74"/>
      <c r="MWO5" s="74"/>
      <c r="MWP5" s="74"/>
      <c r="MWQ5" s="74"/>
      <c r="MWR5" s="74"/>
      <c r="MWS5" s="74"/>
      <c r="MWT5" s="74"/>
      <c r="MWU5" s="74"/>
      <c r="MWV5" s="74"/>
      <c r="MWW5" s="74"/>
      <c r="MWX5" s="74"/>
      <c r="MWY5" s="74"/>
      <c r="MWZ5" s="74"/>
      <c r="MXA5" s="74"/>
      <c r="MXB5" s="74"/>
      <c r="MXC5" s="74"/>
      <c r="MXD5" s="74"/>
      <c r="MXE5" s="74"/>
      <c r="MXF5" s="74"/>
      <c r="MXG5" s="74"/>
      <c r="MXH5" s="74"/>
      <c r="MXI5" s="74"/>
      <c r="MXJ5" s="74"/>
      <c r="MXK5" s="74"/>
      <c r="MXL5" s="74"/>
      <c r="MXM5" s="74"/>
      <c r="MXN5" s="74"/>
      <c r="MXO5" s="74"/>
      <c r="MXP5" s="74"/>
      <c r="MXQ5" s="74"/>
      <c r="MXR5" s="74"/>
      <c r="MXS5" s="74"/>
      <c r="MXT5" s="74"/>
      <c r="MXU5" s="74"/>
      <c r="MXV5" s="74"/>
      <c r="MXW5" s="74"/>
      <c r="MXX5" s="74"/>
      <c r="MXY5" s="74"/>
      <c r="MXZ5" s="74"/>
      <c r="MYA5" s="74"/>
      <c r="MYB5" s="74"/>
      <c r="MYC5" s="74"/>
      <c r="MYD5" s="74"/>
      <c r="MYE5" s="74"/>
      <c r="MYF5" s="74"/>
      <c r="MYG5" s="74"/>
      <c r="MYH5" s="74"/>
      <c r="MYI5" s="74"/>
      <c r="MYJ5" s="74"/>
      <c r="MYK5" s="74"/>
      <c r="MYL5" s="74"/>
      <c r="MYM5" s="74"/>
      <c r="MYN5" s="74"/>
      <c r="MYO5" s="74"/>
      <c r="MYP5" s="74"/>
      <c r="MYQ5" s="74"/>
      <c r="MYR5" s="74"/>
      <c r="MYS5" s="74"/>
      <c r="MYT5" s="74"/>
      <c r="MYU5" s="74"/>
      <c r="MYV5" s="74"/>
      <c r="MYW5" s="74"/>
      <c r="MYX5" s="74"/>
      <c r="MYY5" s="74"/>
      <c r="MYZ5" s="74"/>
      <c r="MZA5" s="74"/>
      <c r="MZB5" s="74"/>
      <c r="MZC5" s="74"/>
      <c r="MZD5" s="74"/>
      <c r="MZE5" s="74"/>
      <c r="MZF5" s="74"/>
      <c r="MZG5" s="74"/>
      <c r="MZH5" s="74"/>
      <c r="MZI5" s="74"/>
      <c r="MZJ5" s="74"/>
      <c r="MZK5" s="74"/>
      <c r="MZL5" s="74"/>
      <c r="MZM5" s="74"/>
      <c r="MZN5" s="74"/>
      <c r="MZO5" s="74"/>
      <c r="MZP5" s="74"/>
      <c r="MZQ5" s="74"/>
      <c r="MZR5" s="74"/>
      <c r="MZS5" s="74"/>
      <c r="MZT5" s="74"/>
      <c r="MZU5" s="74"/>
      <c r="MZV5" s="74"/>
      <c r="MZW5" s="74"/>
      <c r="MZX5" s="74"/>
      <c r="MZY5" s="74"/>
      <c r="MZZ5" s="74"/>
      <c r="NAA5" s="74"/>
      <c r="NAB5" s="74"/>
      <c r="NAC5" s="74"/>
      <c r="NAD5" s="74"/>
      <c r="NAE5" s="74"/>
      <c r="NAF5" s="74"/>
      <c r="NAG5" s="74"/>
      <c r="NAH5" s="74"/>
      <c r="NAI5" s="74"/>
      <c r="NAJ5" s="74"/>
      <c r="NAK5" s="74"/>
      <c r="NAL5" s="74"/>
      <c r="NAM5" s="74"/>
      <c r="NAN5" s="74"/>
      <c r="NAO5" s="74"/>
      <c r="NAP5" s="74"/>
      <c r="NAQ5" s="74"/>
      <c r="NAR5" s="74"/>
      <c r="NAS5" s="74"/>
      <c r="NAT5" s="74"/>
      <c r="NAU5" s="74"/>
      <c r="NAV5" s="74"/>
      <c r="NAW5" s="74"/>
      <c r="NAX5" s="74"/>
      <c r="NAY5" s="74"/>
      <c r="NAZ5" s="74"/>
      <c r="NBA5" s="74"/>
      <c r="NBB5" s="74"/>
      <c r="NBC5" s="74"/>
      <c r="NBD5" s="74"/>
      <c r="NBE5" s="74"/>
      <c r="NBF5" s="74"/>
      <c r="NBG5" s="74"/>
      <c r="NBH5" s="74"/>
      <c r="NBI5" s="74"/>
      <c r="NBJ5" s="74"/>
      <c r="NBK5" s="74"/>
      <c r="NBL5" s="74"/>
      <c r="NBM5" s="74"/>
      <c r="NBN5" s="74"/>
      <c r="NBO5" s="74"/>
      <c r="NBP5" s="74"/>
      <c r="NBQ5" s="74"/>
      <c r="NBR5" s="74"/>
      <c r="NBS5" s="74"/>
      <c r="NBT5" s="74"/>
      <c r="NBU5" s="74"/>
      <c r="NBV5" s="74"/>
      <c r="NBW5" s="74"/>
      <c r="NBX5" s="74"/>
      <c r="NBY5" s="74"/>
      <c r="NBZ5" s="74"/>
      <c r="NCA5" s="74"/>
      <c r="NCB5" s="74"/>
      <c r="NCC5" s="74"/>
      <c r="NCD5" s="74"/>
      <c r="NCE5" s="74"/>
      <c r="NCF5" s="74"/>
      <c r="NCG5" s="74"/>
      <c r="NCH5" s="74"/>
      <c r="NCI5" s="74"/>
      <c r="NCJ5" s="74"/>
      <c r="NCK5" s="74"/>
      <c r="NCL5" s="74"/>
      <c r="NCM5" s="74"/>
      <c r="NCN5" s="74"/>
      <c r="NCO5" s="74"/>
      <c r="NCP5" s="74"/>
      <c r="NCQ5" s="74"/>
      <c r="NCR5" s="74"/>
      <c r="NCS5" s="74"/>
      <c r="NCT5" s="74"/>
      <c r="NCU5" s="74"/>
      <c r="NCV5" s="74"/>
      <c r="NCW5" s="74"/>
      <c r="NCX5" s="74"/>
      <c r="NCY5" s="74"/>
      <c r="NCZ5" s="74"/>
      <c r="NDA5" s="74"/>
      <c r="NDB5" s="74"/>
      <c r="NDC5" s="74"/>
      <c r="NDD5" s="74"/>
      <c r="NDE5" s="74"/>
      <c r="NDF5" s="74"/>
      <c r="NDG5" s="74"/>
      <c r="NDH5" s="74"/>
      <c r="NDI5" s="74"/>
      <c r="NDJ5" s="74"/>
      <c r="NDK5" s="74"/>
      <c r="NDL5" s="74"/>
      <c r="NDM5" s="74"/>
      <c r="NDN5" s="74"/>
      <c r="NDO5" s="74"/>
      <c r="NDP5" s="74"/>
      <c r="NDQ5" s="74"/>
      <c r="NDR5" s="74"/>
      <c r="NDS5" s="74"/>
      <c r="NDT5" s="74"/>
      <c r="NDU5" s="74"/>
      <c r="NDV5" s="74"/>
      <c r="NDW5" s="74"/>
      <c r="NDX5" s="74"/>
      <c r="NDY5" s="74"/>
      <c r="NDZ5" s="74"/>
      <c r="NEA5" s="74"/>
      <c r="NEB5" s="74"/>
      <c r="NEC5" s="74"/>
      <c r="NED5" s="74"/>
      <c r="NEE5" s="74"/>
      <c r="NEF5" s="74"/>
      <c r="NEG5" s="74"/>
      <c r="NEH5" s="74"/>
      <c r="NEI5" s="74"/>
      <c r="NEJ5" s="74"/>
      <c r="NEK5" s="74"/>
      <c r="NEL5" s="74"/>
      <c r="NEM5" s="74"/>
      <c r="NEN5" s="74"/>
      <c r="NEO5" s="74"/>
      <c r="NEP5" s="74"/>
      <c r="NEQ5" s="74"/>
      <c r="NER5" s="74"/>
      <c r="NES5" s="74"/>
      <c r="NET5" s="74"/>
      <c r="NEU5" s="74"/>
      <c r="NEV5" s="74"/>
      <c r="NEW5" s="74"/>
      <c r="NEX5" s="74"/>
      <c r="NEY5" s="74"/>
      <c r="NEZ5" s="74"/>
      <c r="NFA5" s="74"/>
      <c r="NFB5" s="74"/>
      <c r="NFC5" s="74"/>
      <c r="NFD5" s="74"/>
      <c r="NFE5" s="74"/>
      <c r="NFF5" s="74"/>
      <c r="NFG5" s="74"/>
      <c r="NFH5" s="74"/>
      <c r="NFI5" s="74"/>
      <c r="NFJ5" s="74"/>
      <c r="NFK5" s="74"/>
      <c r="NFL5" s="74"/>
      <c r="NFM5" s="74"/>
      <c r="NFN5" s="74"/>
      <c r="NFO5" s="74"/>
      <c r="NFP5" s="74"/>
      <c r="NFQ5" s="74"/>
      <c r="NFR5" s="74"/>
      <c r="NFS5" s="74"/>
      <c r="NFT5" s="74"/>
      <c r="NFU5" s="74"/>
      <c r="NFV5" s="74"/>
      <c r="NFW5" s="74"/>
      <c r="NFX5" s="74"/>
      <c r="NFY5" s="74"/>
      <c r="NFZ5" s="74"/>
      <c r="NGA5" s="74"/>
      <c r="NGB5" s="74"/>
      <c r="NGC5" s="74"/>
      <c r="NGD5" s="74"/>
      <c r="NGE5" s="74"/>
      <c r="NGF5" s="74"/>
      <c r="NGG5" s="74"/>
      <c r="NGH5" s="74"/>
      <c r="NGI5" s="74"/>
      <c r="NGJ5" s="74"/>
      <c r="NGK5" s="74"/>
      <c r="NGL5" s="74"/>
      <c r="NGM5" s="74"/>
      <c r="NGN5" s="74"/>
      <c r="NGO5" s="74"/>
      <c r="NGP5" s="74"/>
      <c r="NGQ5" s="74"/>
      <c r="NGR5" s="74"/>
      <c r="NGS5" s="74"/>
      <c r="NGT5" s="74"/>
      <c r="NGU5" s="74"/>
      <c r="NGV5" s="74"/>
      <c r="NGW5" s="74"/>
      <c r="NGX5" s="74"/>
      <c r="NGY5" s="74"/>
      <c r="NGZ5" s="74"/>
      <c r="NHA5" s="74"/>
      <c r="NHB5" s="74"/>
      <c r="NHC5" s="74"/>
      <c r="NHD5" s="74"/>
      <c r="NHE5" s="74"/>
      <c r="NHF5" s="74"/>
      <c r="NHG5" s="74"/>
      <c r="NHH5" s="74"/>
      <c r="NHI5" s="74"/>
      <c r="NHJ5" s="74"/>
      <c r="NHK5" s="74"/>
      <c r="NHL5" s="74"/>
      <c r="NHM5" s="74"/>
      <c r="NHN5" s="74"/>
      <c r="NHO5" s="74"/>
      <c r="NHP5" s="74"/>
      <c r="NHQ5" s="74"/>
      <c r="NHR5" s="74"/>
      <c r="NHS5" s="74"/>
      <c r="NHT5" s="74"/>
      <c r="NHU5" s="74"/>
      <c r="NHV5" s="74"/>
      <c r="NHW5" s="74"/>
      <c r="NHX5" s="74"/>
      <c r="NHY5" s="74"/>
      <c r="NHZ5" s="74"/>
      <c r="NIA5" s="74"/>
      <c r="NIB5" s="74"/>
      <c r="NIC5" s="74"/>
      <c r="NID5" s="74"/>
      <c r="NIE5" s="74"/>
      <c r="NIF5" s="74"/>
      <c r="NIG5" s="74"/>
      <c r="NIH5" s="74"/>
      <c r="NII5" s="74"/>
      <c r="NIJ5" s="74"/>
      <c r="NIK5" s="74"/>
      <c r="NIL5" s="74"/>
      <c r="NIM5" s="74"/>
      <c r="NIN5" s="74"/>
      <c r="NIO5" s="74"/>
      <c r="NIP5" s="74"/>
      <c r="NIQ5" s="74"/>
      <c r="NIR5" s="74"/>
      <c r="NIS5" s="74"/>
      <c r="NIT5" s="74"/>
      <c r="NIU5" s="74"/>
      <c r="NIV5" s="74"/>
      <c r="NIW5" s="74"/>
      <c r="NIX5" s="74"/>
      <c r="NIY5" s="74"/>
      <c r="NIZ5" s="74"/>
      <c r="NJA5" s="74"/>
      <c r="NJB5" s="74"/>
      <c r="NJC5" s="74"/>
      <c r="NJD5" s="74"/>
      <c r="NJE5" s="74"/>
      <c r="NJF5" s="74"/>
      <c r="NJG5" s="74"/>
      <c r="NJH5" s="74"/>
      <c r="NJI5" s="74"/>
      <c r="NJJ5" s="74"/>
      <c r="NJK5" s="74"/>
      <c r="NJL5" s="74"/>
      <c r="NJM5" s="74"/>
      <c r="NJN5" s="74"/>
      <c r="NJO5" s="74"/>
      <c r="NJP5" s="74"/>
      <c r="NJQ5" s="74"/>
      <c r="NJR5" s="74"/>
      <c r="NJS5" s="74"/>
      <c r="NJT5" s="74"/>
      <c r="NJU5" s="74"/>
      <c r="NJV5" s="74"/>
      <c r="NJW5" s="74"/>
      <c r="NJX5" s="74"/>
      <c r="NJY5" s="74"/>
      <c r="NJZ5" s="74"/>
      <c r="NKA5" s="74"/>
      <c r="NKB5" s="74"/>
      <c r="NKC5" s="74"/>
      <c r="NKD5" s="74"/>
      <c r="NKE5" s="74"/>
      <c r="NKF5" s="74"/>
      <c r="NKG5" s="74"/>
      <c r="NKH5" s="74"/>
      <c r="NKI5" s="74"/>
      <c r="NKJ5" s="74"/>
      <c r="NKK5" s="74"/>
      <c r="NKL5" s="74"/>
      <c r="NKM5" s="74"/>
      <c r="NKN5" s="74"/>
      <c r="NKO5" s="74"/>
      <c r="NKP5" s="74"/>
      <c r="NKQ5" s="74"/>
      <c r="NKR5" s="74"/>
      <c r="NKS5" s="74"/>
      <c r="NKT5" s="74"/>
      <c r="NKU5" s="74"/>
      <c r="NKV5" s="74"/>
      <c r="NKW5" s="74"/>
      <c r="NKX5" s="74"/>
      <c r="NKY5" s="74"/>
      <c r="NKZ5" s="74"/>
      <c r="NLA5" s="74"/>
      <c r="NLB5" s="74"/>
      <c r="NLC5" s="74"/>
      <c r="NLD5" s="74"/>
      <c r="NLE5" s="74"/>
      <c r="NLF5" s="74"/>
      <c r="NLG5" s="74"/>
      <c r="NLH5" s="74"/>
      <c r="NLI5" s="74"/>
      <c r="NLJ5" s="74"/>
      <c r="NLK5" s="74"/>
      <c r="NLL5" s="74"/>
      <c r="NLM5" s="74"/>
      <c r="NLN5" s="74"/>
      <c r="NLO5" s="74"/>
      <c r="NLP5" s="74"/>
      <c r="NLQ5" s="74"/>
      <c r="NLR5" s="74"/>
      <c r="NLS5" s="74"/>
      <c r="NLT5" s="74"/>
      <c r="NLU5" s="74"/>
      <c r="NLV5" s="74"/>
      <c r="NLW5" s="74"/>
      <c r="NLX5" s="74"/>
      <c r="NLY5" s="74"/>
      <c r="NLZ5" s="74"/>
      <c r="NMA5" s="74"/>
      <c r="NMB5" s="74"/>
      <c r="NMC5" s="74"/>
      <c r="NMD5" s="74"/>
      <c r="NME5" s="74"/>
      <c r="NMF5" s="74"/>
      <c r="NMG5" s="74"/>
      <c r="NMH5" s="74"/>
      <c r="NMI5" s="74"/>
      <c r="NMJ5" s="74"/>
      <c r="NMK5" s="74"/>
      <c r="NML5" s="74"/>
      <c r="NMM5" s="74"/>
      <c r="NMN5" s="74"/>
      <c r="NMO5" s="74"/>
      <c r="NMP5" s="74"/>
      <c r="NMQ5" s="74"/>
      <c r="NMR5" s="74"/>
      <c r="NMS5" s="74"/>
      <c r="NMT5" s="74"/>
      <c r="NMU5" s="74"/>
      <c r="NMV5" s="74"/>
      <c r="NMW5" s="74"/>
      <c r="NMX5" s="74"/>
      <c r="NMY5" s="74"/>
      <c r="NMZ5" s="74"/>
      <c r="NNA5" s="74"/>
      <c r="NNB5" s="74"/>
      <c r="NNC5" s="74"/>
      <c r="NND5" s="74"/>
      <c r="NNE5" s="74"/>
      <c r="NNF5" s="74"/>
      <c r="NNG5" s="74"/>
      <c r="NNH5" s="74"/>
      <c r="NNI5" s="74"/>
      <c r="NNJ5" s="74"/>
      <c r="NNK5" s="74"/>
      <c r="NNL5" s="74"/>
      <c r="NNM5" s="74"/>
      <c r="NNN5" s="74"/>
      <c r="NNO5" s="74"/>
      <c r="NNP5" s="74"/>
      <c r="NNQ5" s="74"/>
      <c r="NNR5" s="74"/>
      <c r="NNS5" s="74"/>
      <c r="NNT5" s="74"/>
      <c r="NNU5" s="74"/>
      <c r="NNV5" s="74"/>
      <c r="NNW5" s="74"/>
      <c r="NNX5" s="74"/>
      <c r="NNY5" s="74"/>
      <c r="NNZ5" s="74"/>
      <c r="NOA5" s="74"/>
      <c r="NOB5" s="74"/>
      <c r="NOC5" s="74"/>
      <c r="NOD5" s="74"/>
      <c r="NOE5" s="74"/>
      <c r="NOF5" s="74"/>
      <c r="NOG5" s="74"/>
      <c r="NOH5" s="74"/>
      <c r="NOI5" s="74"/>
      <c r="NOJ5" s="74"/>
      <c r="NOK5" s="74"/>
      <c r="NOL5" s="74"/>
      <c r="NOM5" s="74"/>
      <c r="NON5" s="74"/>
      <c r="NOO5" s="74"/>
      <c r="NOP5" s="74"/>
      <c r="NOQ5" s="74"/>
      <c r="NOR5" s="74"/>
      <c r="NOS5" s="74"/>
      <c r="NOT5" s="74"/>
      <c r="NOU5" s="74"/>
      <c r="NOV5" s="74"/>
      <c r="NOW5" s="74"/>
      <c r="NOX5" s="74"/>
      <c r="NOY5" s="74"/>
      <c r="NOZ5" s="74"/>
      <c r="NPA5" s="74"/>
      <c r="NPB5" s="74"/>
      <c r="NPC5" s="74"/>
      <c r="NPD5" s="74"/>
      <c r="NPE5" s="74"/>
      <c r="NPF5" s="74"/>
      <c r="NPG5" s="74"/>
      <c r="NPH5" s="74"/>
      <c r="NPI5" s="74"/>
      <c r="NPJ5" s="74"/>
      <c r="NPK5" s="74"/>
      <c r="NPL5" s="74"/>
      <c r="NPM5" s="74"/>
      <c r="NPN5" s="74"/>
      <c r="NPO5" s="74"/>
      <c r="NPP5" s="74"/>
      <c r="NPQ5" s="74"/>
      <c r="NPR5" s="74"/>
      <c r="NPS5" s="74"/>
      <c r="NPT5" s="74"/>
      <c r="NPU5" s="74"/>
      <c r="NPV5" s="74"/>
      <c r="NPW5" s="74"/>
      <c r="NPX5" s="74"/>
      <c r="NPY5" s="74"/>
      <c r="NPZ5" s="74"/>
      <c r="NQA5" s="74"/>
      <c r="NQB5" s="74"/>
      <c r="NQC5" s="74"/>
      <c r="NQD5" s="74"/>
      <c r="NQE5" s="74"/>
      <c r="NQF5" s="74"/>
      <c r="NQG5" s="74"/>
      <c r="NQH5" s="74"/>
      <c r="NQI5" s="74"/>
      <c r="NQJ5" s="74"/>
      <c r="NQK5" s="74"/>
      <c r="NQL5" s="74"/>
      <c r="NQM5" s="74"/>
      <c r="NQN5" s="74"/>
      <c r="NQO5" s="74"/>
      <c r="NQP5" s="74"/>
      <c r="NQQ5" s="74"/>
      <c r="NQR5" s="74"/>
      <c r="NQS5" s="74"/>
      <c r="NQT5" s="74"/>
      <c r="NQU5" s="74"/>
      <c r="NQV5" s="74"/>
      <c r="NQW5" s="74"/>
      <c r="NQX5" s="74"/>
      <c r="NQY5" s="74"/>
      <c r="NQZ5" s="74"/>
      <c r="NRA5" s="74"/>
      <c r="NRB5" s="74"/>
      <c r="NRC5" s="74"/>
      <c r="NRD5" s="74"/>
      <c r="NRE5" s="74"/>
      <c r="NRF5" s="74"/>
      <c r="NRG5" s="74"/>
      <c r="NRH5" s="74"/>
      <c r="NRI5" s="74"/>
      <c r="NRJ5" s="74"/>
      <c r="NRK5" s="74"/>
      <c r="NRL5" s="74"/>
      <c r="NRM5" s="74"/>
      <c r="NRN5" s="74"/>
      <c r="NRO5" s="74"/>
      <c r="NRP5" s="74"/>
      <c r="NRQ5" s="74"/>
      <c r="NRR5" s="74"/>
      <c r="NRS5" s="74"/>
      <c r="NRT5" s="74"/>
      <c r="NRU5" s="74"/>
      <c r="NRV5" s="74"/>
      <c r="NRW5" s="74"/>
      <c r="NRX5" s="74"/>
      <c r="NRY5" s="74"/>
      <c r="NRZ5" s="74"/>
      <c r="NSA5" s="74"/>
      <c r="NSB5" s="74"/>
      <c r="NSC5" s="74"/>
      <c r="NSD5" s="74"/>
      <c r="NSE5" s="74"/>
      <c r="NSF5" s="74"/>
      <c r="NSG5" s="74"/>
      <c r="NSH5" s="74"/>
      <c r="NSI5" s="74"/>
      <c r="NSJ5" s="74"/>
      <c r="NSK5" s="74"/>
      <c r="NSL5" s="74"/>
      <c r="NSM5" s="74"/>
      <c r="NSN5" s="74"/>
      <c r="NSO5" s="74"/>
      <c r="NSP5" s="74"/>
      <c r="NSQ5" s="74"/>
      <c r="NSR5" s="74"/>
      <c r="NSS5" s="74"/>
      <c r="NST5" s="74"/>
      <c r="NSU5" s="74"/>
      <c r="NSV5" s="74"/>
      <c r="NSW5" s="74"/>
      <c r="NSX5" s="74"/>
      <c r="NSY5" s="74"/>
      <c r="NSZ5" s="74"/>
      <c r="NTA5" s="74"/>
      <c r="NTB5" s="74"/>
      <c r="NTC5" s="74"/>
      <c r="NTD5" s="74"/>
      <c r="NTE5" s="74"/>
      <c r="NTF5" s="74"/>
      <c r="NTG5" s="74"/>
      <c r="NTH5" s="74"/>
      <c r="NTI5" s="74"/>
      <c r="NTJ5" s="74"/>
      <c r="NTK5" s="74"/>
      <c r="NTL5" s="74"/>
      <c r="NTM5" s="74"/>
      <c r="NTN5" s="74"/>
      <c r="NTO5" s="74"/>
      <c r="NTP5" s="74"/>
      <c r="NTQ5" s="74"/>
      <c r="NTR5" s="74"/>
      <c r="NTS5" s="74"/>
      <c r="NTT5" s="74"/>
      <c r="NTU5" s="74"/>
      <c r="NTV5" s="74"/>
      <c r="NTW5" s="74"/>
      <c r="NTX5" s="74"/>
      <c r="NTY5" s="74"/>
      <c r="NTZ5" s="74"/>
      <c r="NUA5" s="74"/>
      <c r="NUB5" s="74"/>
      <c r="NUC5" s="74"/>
      <c r="NUD5" s="74"/>
      <c r="NUE5" s="74"/>
      <c r="NUF5" s="74"/>
      <c r="NUG5" s="74"/>
      <c r="NUH5" s="74"/>
      <c r="NUI5" s="74"/>
      <c r="NUJ5" s="74"/>
      <c r="NUK5" s="74"/>
      <c r="NUL5" s="74"/>
      <c r="NUM5" s="74"/>
      <c r="NUN5" s="74"/>
      <c r="NUO5" s="74"/>
      <c r="NUP5" s="74"/>
      <c r="NUQ5" s="74"/>
      <c r="NUR5" s="74"/>
      <c r="NUS5" s="74"/>
      <c r="NUT5" s="74"/>
      <c r="NUU5" s="74"/>
      <c r="NUV5" s="74"/>
      <c r="NUW5" s="74"/>
      <c r="NUX5" s="74"/>
      <c r="NUY5" s="74"/>
      <c r="NUZ5" s="74"/>
      <c r="NVA5" s="74"/>
      <c r="NVB5" s="74"/>
      <c r="NVC5" s="74"/>
      <c r="NVD5" s="74"/>
      <c r="NVE5" s="74"/>
      <c r="NVF5" s="74"/>
      <c r="NVG5" s="74"/>
      <c r="NVH5" s="74"/>
      <c r="NVI5" s="74"/>
      <c r="NVJ5" s="74"/>
      <c r="NVK5" s="74"/>
      <c r="NVL5" s="74"/>
      <c r="NVM5" s="74"/>
      <c r="NVN5" s="74"/>
      <c r="NVO5" s="74"/>
      <c r="NVP5" s="74"/>
      <c r="NVQ5" s="74"/>
      <c r="NVR5" s="74"/>
      <c r="NVS5" s="74"/>
      <c r="NVT5" s="74"/>
      <c r="NVU5" s="74"/>
      <c r="NVV5" s="74"/>
      <c r="NVW5" s="74"/>
      <c r="NVX5" s="74"/>
      <c r="NVY5" s="74"/>
      <c r="NVZ5" s="74"/>
      <c r="NWA5" s="74"/>
      <c r="NWB5" s="74"/>
      <c r="NWC5" s="74"/>
      <c r="NWD5" s="74"/>
      <c r="NWE5" s="74"/>
      <c r="NWF5" s="74"/>
      <c r="NWG5" s="74"/>
      <c r="NWH5" s="74"/>
      <c r="NWI5" s="74"/>
      <c r="NWJ5" s="74"/>
      <c r="NWK5" s="74"/>
      <c r="NWL5" s="74"/>
      <c r="NWM5" s="74"/>
      <c r="NWN5" s="74"/>
      <c r="NWO5" s="74"/>
      <c r="NWP5" s="74"/>
      <c r="NWQ5" s="74"/>
      <c r="NWR5" s="74"/>
      <c r="NWS5" s="74"/>
      <c r="NWT5" s="74"/>
      <c r="NWU5" s="74"/>
      <c r="NWV5" s="74"/>
      <c r="NWW5" s="74"/>
      <c r="NWX5" s="74"/>
      <c r="NWY5" s="74"/>
      <c r="NWZ5" s="74"/>
      <c r="NXA5" s="74"/>
      <c r="NXB5" s="74"/>
      <c r="NXC5" s="74"/>
      <c r="NXD5" s="74"/>
      <c r="NXE5" s="74"/>
      <c r="NXF5" s="74"/>
      <c r="NXG5" s="74"/>
      <c r="NXH5" s="74"/>
      <c r="NXI5" s="74"/>
      <c r="NXJ5" s="74"/>
      <c r="NXK5" s="74"/>
      <c r="NXL5" s="74"/>
      <c r="NXM5" s="74"/>
      <c r="NXN5" s="74"/>
      <c r="NXO5" s="74"/>
      <c r="NXP5" s="74"/>
      <c r="NXQ5" s="74"/>
      <c r="NXR5" s="74"/>
      <c r="NXS5" s="74"/>
      <c r="NXT5" s="74"/>
      <c r="NXU5" s="74"/>
      <c r="NXV5" s="74"/>
      <c r="NXW5" s="74"/>
      <c r="NXX5" s="74"/>
      <c r="NXY5" s="74"/>
      <c r="NXZ5" s="74"/>
      <c r="NYA5" s="74"/>
      <c r="NYB5" s="74"/>
      <c r="NYC5" s="74"/>
      <c r="NYD5" s="74"/>
      <c r="NYE5" s="74"/>
      <c r="NYF5" s="74"/>
      <c r="NYG5" s="74"/>
      <c r="NYH5" s="74"/>
      <c r="NYI5" s="74"/>
      <c r="NYJ5" s="74"/>
      <c r="NYK5" s="74"/>
      <c r="NYL5" s="74"/>
      <c r="NYM5" s="74"/>
      <c r="NYN5" s="74"/>
      <c r="NYO5" s="74"/>
      <c r="NYP5" s="74"/>
      <c r="NYQ5" s="74"/>
      <c r="NYR5" s="74"/>
      <c r="NYS5" s="74"/>
      <c r="NYT5" s="74"/>
      <c r="NYU5" s="74"/>
      <c r="NYV5" s="74"/>
      <c r="NYW5" s="74"/>
      <c r="NYX5" s="74"/>
      <c r="NYY5" s="74"/>
      <c r="NYZ5" s="74"/>
      <c r="NZA5" s="74"/>
      <c r="NZB5" s="74"/>
      <c r="NZC5" s="74"/>
      <c r="NZD5" s="74"/>
      <c r="NZE5" s="74"/>
      <c r="NZF5" s="74"/>
      <c r="NZG5" s="74"/>
      <c r="NZH5" s="74"/>
      <c r="NZI5" s="74"/>
      <c r="NZJ5" s="74"/>
      <c r="NZK5" s="74"/>
      <c r="NZL5" s="74"/>
      <c r="NZM5" s="74"/>
      <c r="NZN5" s="74"/>
      <c r="NZO5" s="74"/>
      <c r="NZP5" s="74"/>
      <c r="NZQ5" s="74"/>
      <c r="NZR5" s="74"/>
      <c r="NZS5" s="74"/>
      <c r="NZT5" s="74"/>
      <c r="NZU5" s="74"/>
      <c r="NZV5" s="74"/>
      <c r="NZW5" s="74"/>
      <c r="NZX5" s="74"/>
      <c r="NZY5" s="74"/>
      <c r="NZZ5" s="74"/>
      <c r="OAA5" s="74"/>
      <c r="OAB5" s="74"/>
      <c r="OAC5" s="74"/>
      <c r="OAD5" s="74"/>
      <c r="OAE5" s="74"/>
      <c r="OAF5" s="74"/>
      <c r="OAG5" s="74"/>
      <c r="OAH5" s="74"/>
      <c r="OAI5" s="74"/>
      <c r="OAJ5" s="74"/>
      <c r="OAK5" s="74"/>
      <c r="OAL5" s="74"/>
      <c r="OAM5" s="74"/>
      <c r="OAN5" s="74"/>
      <c r="OAO5" s="74"/>
      <c r="OAP5" s="74"/>
      <c r="OAQ5" s="74"/>
      <c r="OAR5" s="74"/>
      <c r="OAS5" s="74"/>
      <c r="OAT5" s="74"/>
      <c r="OAU5" s="74"/>
      <c r="OAV5" s="74"/>
      <c r="OAW5" s="74"/>
      <c r="OAX5" s="74"/>
      <c r="OAY5" s="74"/>
      <c r="OAZ5" s="74"/>
      <c r="OBA5" s="74"/>
      <c r="OBB5" s="74"/>
      <c r="OBC5" s="74"/>
      <c r="OBD5" s="74"/>
      <c r="OBE5" s="74"/>
      <c r="OBF5" s="74"/>
      <c r="OBG5" s="74"/>
      <c r="OBH5" s="74"/>
      <c r="OBI5" s="74"/>
      <c r="OBJ5" s="74"/>
      <c r="OBK5" s="74"/>
      <c r="OBL5" s="74"/>
      <c r="OBM5" s="74"/>
      <c r="OBN5" s="74"/>
      <c r="OBO5" s="74"/>
      <c r="OBP5" s="74"/>
      <c r="OBQ5" s="74"/>
      <c r="OBR5" s="74"/>
      <c r="OBS5" s="74"/>
      <c r="OBT5" s="74"/>
      <c r="OBU5" s="74"/>
      <c r="OBV5" s="74"/>
      <c r="OBW5" s="74"/>
      <c r="OBX5" s="74"/>
      <c r="OBY5" s="74"/>
      <c r="OBZ5" s="74"/>
      <c r="OCA5" s="74"/>
      <c r="OCB5" s="74"/>
      <c r="OCC5" s="74"/>
      <c r="OCD5" s="74"/>
      <c r="OCE5" s="74"/>
      <c r="OCF5" s="74"/>
      <c r="OCG5" s="74"/>
      <c r="OCH5" s="74"/>
      <c r="OCI5" s="74"/>
      <c r="OCJ5" s="74"/>
      <c r="OCK5" s="74"/>
      <c r="OCL5" s="74"/>
      <c r="OCM5" s="74"/>
      <c r="OCN5" s="74"/>
      <c r="OCO5" s="74"/>
      <c r="OCP5" s="74"/>
      <c r="OCQ5" s="74"/>
      <c r="OCR5" s="74"/>
      <c r="OCS5" s="74"/>
      <c r="OCT5" s="74"/>
      <c r="OCU5" s="74"/>
      <c r="OCV5" s="74"/>
      <c r="OCW5" s="74"/>
      <c r="OCX5" s="74"/>
      <c r="OCY5" s="74"/>
      <c r="OCZ5" s="74"/>
      <c r="ODA5" s="74"/>
      <c r="ODB5" s="74"/>
      <c r="ODC5" s="74"/>
      <c r="ODD5" s="74"/>
      <c r="ODE5" s="74"/>
      <c r="ODF5" s="74"/>
      <c r="ODG5" s="74"/>
      <c r="ODH5" s="74"/>
      <c r="ODI5" s="74"/>
      <c r="ODJ5" s="74"/>
      <c r="ODK5" s="74"/>
      <c r="ODL5" s="74"/>
      <c r="ODM5" s="74"/>
      <c r="ODN5" s="74"/>
      <c r="ODO5" s="74"/>
      <c r="ODP5" s="74"/>
      <c r="ODQ5" s="74"/>
      <c r="ODR5" s="74"/>
      <c r="ODS5" s="74"/>
      <c r="ODT5" s="74"/>
      <c r="ODU5" s="74"/>
      <c r="ODV5" s="74"/>
      <c r="ODW5" s="74"/>
      <c r="ODX5" s="74"/>
      <c r="ODY5" s="74"/>
      <c r="ODZ5" s="74"/>
      <c r="OEA5" s="74"/>
      <c r="OEB5" s="74"/>
      <c r="OEC5" s="74"/>
      <c r="OED5" s="74"/>
      <c r="OEE5" s="74"/>
      <c r="OEF5" s="74"/>
      <c r="OEG5" s="74"/>
      <c r="OEH5" s="74"/>
      <c r="OEI5" s="74"/>
      <c r="OEJ5" s="74"/>
      <c r="OEK5" s="74"/>
      <c r="OEL5" s="74"/>
      <c r="OEM5" s="74"/>
      <c r="OEN5" s="74"/>
      <c r="OEO5" s="74"/>
      <c r="OEP5" s="74"/>
      <c r="OEQ5" s="74"/>
      <c r="OER5" s="74"/>
      <c r="OES5" s="74"/>
      <c r="OET5" s="74"/>
      <c r="OEU5" s="74"/>
      <c r="OEV5" s="74"/>
      <c r="OEW5" s="74"/>
      <c r="OEX5" s="74"/>
      <c r="OEY5" s="74"/>
      <c r="OEZ5" s="74"/>
      <c r="OFA5" s="74"/>
      <c r="OFB5" s="74"/>
      <c r="OFC5" s="74"/>
      <c r="OFD5" s="74"/>
      <c r="OFE5" s="74"/>
      <c r="OFF5" s="74"/>
      <c r="OFG5" s="74"/>
      <c r="OFH5" s="74"/>
      <c r="OFI5" s="74"/>
      <c r="OFJ5" s="74"/>
      <c r="OFK5" s="74"/>
      <c r="OFL5" s="74"/>
      <c r="OFM5" s="74"/>
      <c r="OFN5" s="74"/>
      <c r="OFO5" s="74"/>
      <c r="OFP5" s="74"/>
      <c r="OFQ5" s="74"/>
      <c r="OFR5" s="74"/>
      <c r="OFS5" s="74"/>
      <c r="OFT5" s="74"/>
      <c r="OFU5" s="74"/>
      <c r="OFV5" s="74"/>
      <c r="OFW5" s="74"/>
      <c r="OFX5" s="74"/>
      <c r="OFY5" s="74"/>
      <c r="OFZ5" s="74"/>
      <c r="OGA5" s="74"/>
      <c r="OGB5" s="74"/>
      <c r="OGC5" s="74"/>
      <c r="OGD5" s="74"/>
      <c r="OGE5" s="74"/>
      <c r="OGF5" s="74"/>
      <c r="OGG5" s="74"/>
      <c r="OGH5" s="74"/>
      <c r="OGI5" s="74"/>
      <c r="OGJ5" s="74"/>
      <c r="OGK5" s="74"/>
      <c r="OGL5" s="74"/>
      <c r="OGM5" s="74"/>
      <c r="OGN5" s="74"/>
      <c r="OGO5" s="74"/>
      <c r="OGP5" s="74"/>
      <c r="OGQ5" s="74"/>
      <c r="OGR5" s="74"/>
      <c r="OGS5" s="74"/>
      <c r="OGT5" s="74"/>
      <c r="OGU5" s="74"/>
      <c r="OGV5" s="74"/>
      <c r="OGW5" s="74"/>
      <c r="OGX5" s="74"/>
      <c r="OGY5" s="74"/>
      <c r="OGZ5" s="74"/>
      <c r="OHA5" s="74"/>
      <c r="OHB5" s="74"/>
      <c r="OHC5" s="74"/>
      <c r="OHD5" s="74"/>
      <c r="OHE5" s="74"/>
      <c r="OHF5" s="74"/>
      <c r="OHG5" s="74"/>
      <c r="OHH5" s="74"/>
      <c r="OHI5" s="74"/>
      <c r="OHJ5" s="74"/>
      <c r="OHK5" s="74"/>
      <c r="OHL5" s="74"/>
      <c r="OHM5" s="74"/>
      <c r="OHN5" s="74"/>
      <c r="OHO5" s="74"/>
      <c r="OHP5" s="74"/>
      <c r="OHQ5" s="74"/>
      <c r="OHR5" s="74"/>
      <c r="OHS5" s="74"/>
      <c r="OHT5" s="74"/>
      <c r="OHU5" s="74"/>
      <c r="OHV5" s="74"/>
      <c r="OHW5" s="74"/>
      <c r="OHX5" s="74"/>
      <c r="OHY5" s="74"/>
      <c r="OHZ5" s="74"/>
      <c r="OIA5" s="74"/>
      <c r="OIB5" s="74"/>
      <c r="OIC5" s="74"/>
      <c r="OID5" s="74"/>
      <c r="OIE5" s="74"/>
      <c r="OIF5" s="74"/>
      <c r="OIG5" s="74"/>
      <c r="OIH5" s="74"/>
      <c r="OII5" s="74"/>
      <c r="OIJ5" s="74"/>
      <c r="OIK5" s="74"/>
      <c r="OIL5" s="74"/>
      <c r="OIM5" s="74"/>
      <c r="OIN5" s="74"/>
      <c r="OIO5" s="74"/>
      <c r="OIP5" s="74"/>
      <c r="OIQ5" s="74"/>
      <c r="OIR5" s="74"/>
      <c r="OIS5" s="74"/>
      <c r="OIT5" s="74"/>
      <c r="OIU5" s="74"/>
      <c r="OIV5" s="74"/>
      <c r="OIW5" s="74"/>
      <c r="OIX5" s="74"/>
      <c r="OIY5" s="74"/>
      <c r="OIZ5" s="74"/>
      <c r="OJA5" s="74"/>
      <c r="OJB5" s="74"/>
      <c r="OJC5" s="74"/>
      <c r="OJD5" s="74"/>
      <c r="OJE5" s="74"/>
      <c r="OJF5" s="74"/>
      <c r="OJG5" s="74"/>
      <c r="OJH5" s="74"/>
      <c r="OJI5" s="74"/>
      <c r="OJJ5" s="74"/>
      <c r="OJK5" s="74"/>
      <c r="OJL5" s="74"/>
      <c r="OJM5" s="74"/>
      <c r="OJN5" s="74"/>
      <c r="OJO5" s="74"/>
      <c r="OJP5" s="74"/>
      <c r="OJQ5" s="74"/>
      <c r="OJR5" s="74"/>
      <c r="OJS5" s="74"/>
      <c r="OJT5" s="74"/>
      <c r="OJU5" s="74"/>
      <c r="OJV5" s="74"/>
      <c r="OJW5" s="74"/>
      <c r="OJX5" s="74"/>
      <c r="OJY5" s="74"/>
      <c r="OJZ5" s="74"/>
      <c r="OKA5" s="74"/>
      <c r="OKB5" s="74"/>
      <c r="OKC5" s="74"/>
      <c r="OKD5" s="74"/>
      <c r="OKE5" s="74"/>
      <c r="OKF5" s="74"/>
      <c r="OKG5" s="74"/>
      <c r="OKH5" s="74"/>
      <c r="OKI5" s="74"/>
      <c r="OKJ5" s="74"/>
      <c r="OKK5" s="74"/>
      <c r="OKL5" s="74"/>
      <c r="OKM5" s="74"/>
      <c r="OKN5" s="74"/>
      <c r="OKO5" s="74"/>
      <c r="OKP5" s="74"/>
      <c r="OKQ5" s="74"/>
      <c r="OKR5" s="74"/>
      <c r="OKS5" s="74"/>
      <c r="OKT5" s="74"/>
      <c r="OKU5" s="74"/>
      <c r="OKV5" s="74"/>
      <c r="OKW5" s="74"/>
      <c r="OKX5" s="74"/>
      <c r="OKY5" s="74"/>
      <c r="OKZ5" s="74"/>
      <c r="OLA5" s="74"/>
      <c r="OLB5" s="74"/>
      <c r="OLC5" s="74"/>
      <c r="OLD5" s="74"/>
      <c r="OLE5" s="74"/>
      <c r="OLF5" s="74"/>
      <c r="OLG5" s="74"/>
      <c r="OLH5" s="74"/>
      <c r="OLI5" s="74"/>
      <c r="OLJ5" s="74"/>
      <c r="OLK5" s="74"/>
      <c r="OLL5" s="74"/>
      <c r="OLM5" s="74"/>
      <c r="OLN5" s="74"/>
      <c r="OLO5" s="74"/>
      <c r="OLP5" s="74"/>
      <c r="OLQ5" s="74"/>
      <c r="OLR5" s="74"/>
      <c r="OLS5" s="74"/>
      <c r="OLT5" s="74"/>
      <c r="OLU5" s="74"/>
      <c r="OLV5" s="74"/>
      <c r="OLW5" s="74"/>
      <c r="OLX5" s="74"/>
      <c r="OLY5" s="74"/>
      <c r="OLZ5" s="74"/>
      <c r="OMA5" s="74"/>
      <c r="OMB5" s="74"/>
      <c r="OMC5" s="74"/>
      <c r="OMD5" s="74"/>
      <c r="OME5" s="74"/>
      <c r="OMF5" s="74"/>
      <c r="OMG5" s="74"/>
      <c r="OMH5" s="74"/>
      <c r="OMI5" s="74"/>
      <c r="OMJ5" s="74"/>
      <c r="OMK5" s="74"/>
      <c r="OML5" s="74"/>
      <c r="OMM5" s="74"/>
      <c r="OMN5" s="74"/>
      <c r="OMO5" s="74"/>
      <c r="OMP5" s="74"/>
      <c r="OMQ5" s="74"/>
      <c r="OMR5" s="74"/>
      <c r="OMS5" s="74"/>
      <c r="OMT5" s="74"/>
      <c r="OMU5" s="74"/>
      <c r="OMV5" s="74"/>
      <c r="OMW5" s="74"/>
      <c r="OMX5" s="74"/>
      <c r="OMY5" s="74"/>
      <c r="OMZ5" s="74"/>
      <c r="ONA5" s="74"/>
      <c r="ONB5" s="74"/>
      <c r="ONC5" s="74"/>
      <c r="OND5" s="74"/>
      <c r="ONE5" s="74"/>
      <c r="ONF5" s="74"/>
      <c r="ONG5" s="74"/>
      <c r="ONH5" s="74"/>
      <c r="ONI5" s="74"/>
      <c r="ONJ5" s="74"/>
      <c r="ONK5" s="74"/>
      <c r="ONL5" s="74"/>
      <c r="ONM5" s="74"/>
      <c r="ONN5" s="74"/>
      <c r="ONO5" s="74"/>
      <c r="ONP5" s="74"/>
      <c r="ONQ5" s="74"/>
      <c r="ONR5" s="74"/>
      <c r="ONS5" s="74"/>
      <c r="ONT5" s="74"/>
      <c r="ONU5" s="74"/>
      <c r="ONV5" s="74"/>
      <c r="ONW5" s="74"/>
      <c r="ONX5" s="74"/>
      <c r="ONY5" s="74"/>
      <c r="ONZ5" s="74"/>
      <c r="OOA5" s="74"/>
      <c r="OOB5" s="74"/>
      <c r="OOC5" s="74"/>
      <c r="OOD5" s="74"/>
      <c r="OOE5" s="74"/>
      <c r="OOF5" s="74"/>
      <c r="OOG5" s="74"/>
      <c r="OOH5" s="74"/>
      <c r="OOI5" s="74"/>
      <c r="OOJ5" s="74"/>
      <c r="OOK5" s="74"/>
      <c r="OOL5" s="74"/>
      <c r="OOM5" s="74"/>
      <c r="OON5" s="74"/>
      <c r="OOO5" s="74"/>
      <c r="OOP5" s="74"/>
      <c r="OOQ5" s="74"/>
      <c r="OOR5" s="74"/>
      <c r="OOS5" s="74"/>
      <c r="OOT5" s="74"/>
      <c r="OOU5" s="74"/>
      <c r="OOV5" s="74"/>
      <c r="OOW5" s="74"/>
      <c r="OOX5" s="74"/>
      <c r="OOY5" s="74"/>
      <c r="OOZ5" s="74"/>
      <c r="OPA5" s="74"/>
      <c r="OPB5" s="74"/>
      <c r="OPC5" s="74"/>
      <c r="OPD5" s="74"/>
      <c r="OPE5" s="74"/>
      <c r="OPF5" s="74"/>
      <c r="OPG5" s="74"/>
      <c r="OPH5" s="74"/>
      <c r="OPI5" s="74"/>
      <c r="OPJ5" s="74"/>
      <c r="OPK5" s="74"/>
      <c r="OPL5" s="74"/>
      <c r="OPM5" s="74"/>
      <c r="OPN5" s="74"/>
      <c r="OPO5" s="74"/>
      <c r="OPP5" s="74"/>
      <c r="OPQ5" s="74"/>
      <c r="OPR5" s="74"/>
      <c r="OPS5" s="74"/>
      <c r="OPT5" s="74"/>
      <c r="OPU5" s="74"/>
      <c r="OPV5" s="74"/>
      <c r="OPW5" s="74"/>
      <c r="OPX5" s="74"/>
      <c r="OPY5" s="74"/>
      <c r="OPZ5" s="74"/>
      <c r="OQA5" s="74"/>
      <c r="OQB5" s="74"/>
      <c r="OQC5" s="74"/>
      <c r="OQD5" s="74"/>
      <c r="OQE5" s="74"/>
      <c r="OQF5" s="74"/>
      <c r="OQG5" s="74"/>
      <c r="OQH5" s="74"/>
      <c r="OQI5" s="74"/>
      <c r="OQJ5" s="74"/>
      <c r="OQK5" s="74"/>
      <c r="OQL5" s="74"/>
      <c r="OQM5" s="74"/>
      <c r="OQN5" s="74"/>
      <c r="OQO5" s="74"/>
      <c r="OQP5" s="74"/>
      <c r="OQQ5" s="74"/>
      <c r="OQR5" s="74"/>
      <c r="OQS5" s="74"/>
      <c r="OQT5" s="74"/>
      <c r="OQU5" s="74"/>
      <c r="OQV5" s="74"/>
      <c r="OQW5" s="74"/>
      <c r="OQX5" s="74"/>
      <c r="OQY5" s="74"/>
      <c r="OQZ5" s="74"/>
      <c r="ORA5" s="74"/>
      <c r="ORB5" s="74"/>
      <c r="ORC5" s="74"/>
      <c r="ORD5" s="74"/>
      <c r="ORE5" s="74"/>
      <c r="ORF5" s="74"/>
      <c r="ORG5" s="74"/>
      <c r="ORH5" s="74"/>
      <c r="ORI5" s="74"/>
      <c r="ORJ5" s="74"/>
      <c r="ORK5" s="74"/>
      <c r="ORL5" s="74"/>
      <c r="ORM5" s="74"/>
      <c r="ORN5" s="74"/>
      <c r="ORO5" s="74"/>
      <c r="ORP5" s="74"/>
      <c r="ORQ5" s="74"/>
      <c r="ORR5" s="74"/>
      <c r="ORS5" s="74"/>
      <c r="ORT5" s="74"/>
      <c r="ORU5" s="74"/>
      <c r="ORV5" s="74"/>
      <c r="ORW5" s="74"/>
      <c r="ORX5" s="74"/>
      <c r="ORY5" s="74"/>
      <c r="ORZ5" s="74"/>
      <c r="OSA5" s="74"/>
      <c r="OSB5" s="74"/>
      <c r="OSC5" s="74"/>
      <c r="OSD5" s="74"/>
      <c r="OSE5" s="74"/>
      <c r="OSF5" s="74"/>
      <c r="OSG5" s="74"/>
      <c r="OSH5" s="74"/>
      <c r="OSI5" s="74"/>
      <c r="OSJ5" s="74"/>
      <c r="OSK5" s="74"/>
      <c r="OSL5" s="74"/>
      <c r="OSM5" s="74"/>
      <c r="OSN5" s="74"/>
      <c r="OSO5" s="74"/>
      <c r="OSP5" s="74"/>
      <c r="OSQ5" s="74"/>
      <c r="OSR5" s="74"/>
      <c r="OSS5" s="74"/>
      <c r="OST5" s="74"/>
      <c r="OSU5" s="74"/>
      <c r="OSV5" s="74"/>
      <c r="OSW5" s="74"/>
      <c r="OSX5" s="74"/>
      <c r="OSY5" s="74"/>
      <c r="OSZ5" s="74"/>
      <c r="OTA5" s="74"/>
      <c r="OTB5" s="74"/>
      <c r="OTC5" s="74"/>
      <c r="OTD5" s="74"/>
      <c r="OTE5" s="74"/>
      <c r="OTF5" s="74"/>
      <c r="OTG5" s="74"/>
      <c r="OTH5" s="74"/>
      <c r="OTI5" s="74"/>
      <c r="OTJ5" s="74"/>
      <c r="OTK5" s="74"/>
      <c r="OTL5" s="74"/>
      <c r="OTM5" s="74"/>
      <c r="OTN5" s="74"/>
      <c r="OTO5" s="74"/>
      <c r="OTP5" s="74"/>
      <c r="OTQ5" s="74"/>
      <c r="OTR5" s="74"/>
      <c r="OTS5" s="74"/>
      <c r="OTT5" s="74"/>
      <c r="OTU5" s="74"/>
      <c r="OTV5" s="74"/>
      <c r="OTW5" s="74"/>
      <c r="OTX5" s="74"/>
      <c r="OTY5" s="74"/>
      <c r="OTZ5" s="74"/>
      <c r="OUA5" s="74"/>
      <c r="OUB5" s="74"/>
      <c r="OUC5" s="74"/>
      <c r="OUD5" s="74"/>
      <c r="OUE5" s="74"/>
      <c r="OUF5" s="74"/>
      <c r="OUG5" s="74"/>
      <c r="OUH5" s="74"/>
      <c r="OUI5" s="74"/>
      <c r="OUJ5" s="74"/>
      <c r="OUK5" s="74"/>
      <c r="OUL5" s="74"/>
      <c r="OUM5" s="74"/>
      <c r="OUN5" s="74"/>
      <c r="OUO5" s="74"/>
      <c r="OUP5" s="74"/>
      <c r="OUQ5" s="74"/>
      <c r="OUR5" s="74"/>
      <c r="OUS5" s="74"/>
      <c r="OUT5" s="74"/>
      <c r="OUU5" s="74"/>
      <c r="OUV5" s="74"/>
      <c r="OUW5" s="74"/>
      <c r="OUX5" s="74"/>
      <c r="OUY5" s="74"/>
      <c r="OUZ5" s="74"/>
      <c r="OVA5" s="74"/>
      <c r="OVB5" s="74"/>
      <c r="OVC5" s="74"/>
      <c r="OVD5" s="74"/>
      <c r="OVE5" s="74"/>
      <c r="OVF5" s="74"/>
      <c r="OVG5" s="74"/>
      <c r="OVH5" s="74"/>
      <c r="OVI5" s="74"/>
      <c r="OVJ5" s="74"/>
      <c r="OVK5" s="74"/>
      <c r="OVL5" s="74"/>
      <c r="OVM5" s="74"/>
      <c r="OVN5" s="74"/>
      <c r="OVO5" s="74"/>
      <c r="OVP5" s="74"/>
      <c r="OVQ5" s="74"/>
      <c r="OVR5" s="74"/>
      <c r="OVS5" s="74"/>
      <c r="OVT5" s="74"/>
      <c r="OVU5" s="74"/>
      <c r="OVV5" s="74"/>
      <c r="OVW5" s="74"/>
      <c r="OVX5" s="74"/>
      <c r="OVY5" s="74"/>
      <c r="OVZ5" s="74"/>
      <c r="OWA5" s="74"/>
      <c r="OWB5" s="74"/>
      <c r="OWC5" s="74"/>
      <c r="OWD5" s="74"/>
      <c r="OWE5" s="74"/>
      <c r="OWF5" s="74"/>
      <c r="OWG5" s="74"/>
      <c r="OWH5" s="74"/>
      <c r="OWI5" s="74"/>
      <c r="OWJ5" s="74"/>
      <c r="OWK5" s="74"/>
      <c r="OWL5" s="74"/>
      <c r="OWM5" s="74"/>
      <c r="OWN5" s="74"/>
      <c r="OWO5" s="74"/>
      <c r="OWP5" s="74"/>
      <c r="OWQ5" s="74"/>
      <c r="OWR5" s="74"/>
      <c r="OWS5" s="74"/>
      <c r="OWT5" s="74"/>
      <c r="OWU5" s="74"/>
      <c r="OWV5" s="74"/>
      <c r="OWW5" s="74"/>
      <c r="OWX5" s="74"/>
      <c r="OWY5" s="74"/>
      <c r="OWZ5" s="74"/>
      <c r="OXA5" s="74"/>
      <c r="OXB5" s="74"/>
      <c r="OXC5" s="74"/>
      <c r="OXD5" s="74"/>
      <c r="OXE5" s="74"/>
      <c r="OXF5" s="74"/>
      <c r="OXG5" s="74"/>
      <c r="OXH5" s="74"/>
      <c r="OXI5" s="74"/>
      <c r="OXJ5" s="74"/>
      <c r="OXK5" s="74"/>
      <c r="OXL5" s="74"/>
      <c r="OXM5" s="74"/>
      <c r="OXN5" s="74"/>
      <c r="OXO5" s="74"/>
      <c r="OXP5" s="74"/>
      <c r="OXQ5" s="74"/>
      <c r="OXR5" s="74"/>
      <c r="OXS5" s="74"/>
      <c r="OXT5" s="74"/>
      <c r="OXU5" s="74"/>
      <c r="OXV5" s="74"/>
      <c r="OXW5" s="74"/>
      <c r="OXX5" s="74"/>
      <c r="OXY5" s="74"/>
      <c r="OXZ5" s="74"/>
      <c r="OYA5" s="74"/>
      <c r="OYB5" s="74"/>
      <c r="OYC5" s="74"/>
      <c r="OYD5" s="74"/>
      <c r="OYE5" s="74"/>
      <c r="OYF5" s="74"/>
      <c r="OYG5" s="74"/>
      <c r="OYH5" s="74"/>
      <c r="OYI5" s="74"/>
      <c r="OYJ5" s="74"/>
      <c r="OYK5" s="74"/>
      <c r="OYL5" s="74"/>
      <c r="OYM5" s="74"/>
      <c r="OYN5" s="74"/>
      <c r="OYO5" s="74"/>
      <c r="OYP5" s="74"/>
      <c r="OYQ5" s="74"/>
      <c r="OYR5" s="74"/>
      <c r="OYS5" s="74"/>
      <c r="OYT5" s="74"/>
      <c r="OYU5" s="74"/>
      <c r="OYV5" s="74"/>
      <c r="OYW5" s="74"/>
      <c r="OYX5" s="74"/>
      <c r="OYY5" s="74"/>
      <c r="OYZ5" s="74"/>
      <c r="OZA5" s="74"/>
      <c r="OZB5" s="74"/>
      <c r="OZC5" s="74"/>
      <c r="OZD5" s="74"/>
      <c r="OZE5" s="74"/>
      <c r="OZF5" s="74"/>
      <c r="OZG5" s="74"/>
      <c r="OZH5" s="74"/>
      <c r="OZI5" s="74"/>
      <c r="OZJ5" s="74"/>
      <c r="OZK5" s="74"/>
      <c r="OZL5" s="74"/>
      <c r="OZM5" s="74"/>
      <c r="OZN5" s="74"/>
      <c r="OZO5" s="74"/>
      <c r="OZP5" s="74"/>
      <c r="OZQ5" s="74"/>
      <c r="OZR5" s="74"/>
      <c r="OZS5" s="74"/>
      <c r="OZT5" s="74"/>
      <c r="OZU5" s="74"/>
      <c r="OZV5" s="74"/>
      <c r="OZW5" s="74"/>
      <c r="OZX5" s="74"/>
      <c r="OZY5" s="74"/>
      <c r="OZZ5" s="74"/>
      <c r="PAA5" s="74"/>
      <c r="PAB5" s="74"/>
      <c r="PAC5" s="74"/>
      <c r="PAD5" s="74"/>
      <c r="PAE5" s="74"/>
      <c r="PAF5" s="74"/>
      <c r="PAG5" s="74"/>
      <c r="PAH5" s="74"/>
      <c r="PAI5" s="74"/>
      <c r="PAJ5" s="74"/>
      <c r="PAK5" s="74"/>
      <c r="PAL5" s="74"/>
      <c r="PAM5" s="74"/>
      <c r="PAN5" s="74"/>
      <c r="PAO5" s="74"/>
      <c r="PAP5" s="74"/>
      <c r="PAQ5" s="74"/>
      <c r="PAR5" s="74"/>
      <c r="PAS5" s="74"/>
      <c r="PAT5" s="74"/>
      <c r="PAU5" s="74"/>
      <c r="PAV5" s="74"/>
      <c r="PAW5" s="74"/>
      <c r="PAX5" s="74"/>
      <c r="PAY5" s="74"/>
      <c r="PAZ5" s="74"/>
      <c r="PBA5" s="74"/>
      <c r="PBB5" s="74"/>
      <c r="PBC5" s="74"/>
      <c r="PBD5" s="74"/>
      <c r="PBE5" s="74"/>
      <c r="PBF5" s="74"/>
      <c r="PBG5" s="74"/>
      <c r="PBH5" s="74"/>
      <c r="PBI5" s="74"/>
      <c r="PBJ5" s="74"/>
      <c r="PBK5" s="74"/>
      <c r="PBL5" s="74"/>
      <c r="PBM5" s="74"/>
      <c r="PBN5" s="74"/>
      <c r="PBO5" s="74"/>
      <c r="PBP5" s="74"/>
      <c r="PBQ5" s="74"/>
      <c r="PBR5" s="74"/>
      <c r="PBS5" s="74"/>
      <c r="PBT5" s="74"/>
      <c r="PBU5" s="74"/>
      <c r="PBV5" s="74"/>
      <c r="PBW5" s="74"/>
      <c r="PBX5" s="74"/>
      <c r="PBY5" s="74"/>
      <c r="PBZ5" s="74"/>
      <c r="PCA5" s="74"/>
      <c r="PCB5" s="74"/>
      <c r="PCC5" s="74"/>
      <c r="PCD5" s="74"/>
      <c r="PCE5" s="74"/>
      <c r="PCF5" s="74"/>
      <c r="PCG5" s="74"/>
      <c r="PCH5" s="74"/>
      <c r="PCI5" s="74"/>
      <c r="PCJ5" s="74"/>
      <c r="PCK5" s="74"/>
      <c r="PCL5" s="74"/>
      <c r="PCM5" s="74"/>
      <c r="PCN5" s="74"/>
      <c r="PCO5" s="74"/>
      <c r="PCP5" s="74"/>
      <c r="PCQ5" s="74"/>
      <c r="PCR5" s="74"/>
      <c r="PCS5" s="74"/>
      <c r="PCT5" s="74"/>
      <c r="PCU5" s="74"/>
      <c r="PCV5" s="74"/>
      <c r="PCW5" s="74"/>
      <c r="PCX5" s="74"/>
      <c r="PCY5" s="74"/>
      <c r="PCZ5" s="74"/>
      <c r="PDA5" s="74"/>
      <c r="PDB5" s="74"/>
      <c r="PDC5" s="74"/>
      <c r="PDD5" s="74"/>
      <c r="PDE5" s="74"/>
      <c r="PDF5" s="74"/>
      <c r="PDG5" s="74"/>
      <c r="PDH5" s="74"/>
      <c r="PDI5" s="74"/>
      <c r="PDJ5" s="74"/>
      <c r="PDK5" s="74"/>
      <c r="PDL5" s="74"/>
      <c r="PDM5" s="74"/>
      <c r="PDN5" s="74"/>
      <c r="PDO5" s="74"/>
      <c r="PDP5" s="74"/>
      <c r="PDQ5" s="74"/>
      <c r="PDR5" s="74"/>
      <c r="PDS5" s="74"/>
      <c r="PDT5" s="74"/>
      <c r="PDU5" s="74"/>
      <c r="PDV5" s="74"/>
      <c r="PDW5" s="74"/>
      <c r="PDX5" s="74"/>
      <c r="PDY5" s="74"/>
      <c r="PDZ5" s="74"/>
      <c r="PEA5" s="74"/>
      <c r="PEB5" s="74"/>
      <c r="PEC5" s="74"/>
      <c r="PED5" s="74"/>
      <c r="PEE5" s="74"/>
      <c r="PEF5" s="74"/>
      <c r="PEG5" s="74"/>
      <c r="PEH5" s="74"/>
      <c r="PEI5" s="74"/>
      <c r="PEJ5" s="74"/>
      <c r="PEK5" s="74"/>
      <c r="PEL5" s="74"/>
      <c r="PEM5" s="74"/>
      <c r="PEN5" s="74"/>
      <c r="PEO5" s="74"/>
      <c r="PEP5" s="74"/>
      <c r="PEQ5" s="74"/>
      <c r="PER5" s="74"/>
      <c r="PES5" s="74"/>
      <c r="PET5" s="74"/>
      <c r="PEU5" s="74"/>
      <c r="PEV5" s="74"/>
      <c r="PEW5" s="74"/>
      <c r="PEX5" s="74"/>
      <c r="PEY5" s="74"/>
      <c r="PEZ5" s="74"/>
      <c r="PFA5" s="74"/>
      <c r="PFB5" s="74"/>
      <c r="PFC5" s="74"/>
      <c r="PFD5" s="74"/>
      <c r="PFE5" s="74"/>
      <c r="PFF5" s="74"/>
      <c r="PFG5" s="74"/>
      <c r="PFH5" s="74"/>
      <c r="PFI5" s="74"/>
      <c r="PFJ5" s="74"/>
      <c r="PFK5" s="74"/>
      <c r="PFL5" s="74"/>
      <c r="PFM5" s="74"/>
      <c r="PFN5" s="74"/>
      <c r="PFO5" s="74"/>
      <c r="PFP5" s="74"/>
      <c r="PFQ5" s="74"/>
      <c r="PFR5" s="74"/>
      <c r="PFS5" s="74"/>
      <c r="PFT5" s="74"/>
      <c r="PFU5" s="74"/>
      <c r="PFV5" s="74"/>
      <c r="PFW5" s="74"/>
      <c r="PFX5" s="74"/>
      <c r="PFY5" s="74"/>
      <c r="PFZ5" s="74"/>
      <c r="PGA5" s="74"/>
      <c r="PGB5" s="74"/>
      <c r="PGC5" s="74"/>
      <c r="PGD5" s="74"/>
      <c r="PGE5" s="74"/>
      <c r="PGF5" s="74"/>
      <c r="PGG5" s="74"/>
      <c r="PGH5" s="74"/>
      <c r="PGI5" s="74"/>
      <c r="PGJ5" s="74"/>
      <c r="PGK5" s="74"/>
      <c r="PGL5" s="74"/>
      <c r="PGM5" s="74"/>
      <c r="PGN5" s="74"/>
      <c r="PGO5" s="74"/>
      <c r="PGP5" s="74"/>
      <c r="PGQ5" s="74"/>
      <c r="PGR5" s="74"/>
      <c r="PGS5" s="74"/>
      <c r="PGT5" s="74"/>
      <c r="PGU5" s="74"/>
      <c r="PGV5" s="74"/>
      <c r="PGW5" s="74"/>
      <c r="PGX5" s="74"/>
      <c r="PGY5" s="74"/>
      <c r="PGZ5" s="74"/>
      <c r="PHA5" s="74"/>
      <c r="PHB5" s="74"/>
      <c r="PHC5" s="74"/>
      <c r="PHD5" s="74"/>
      <c r="PHE5" s="74"/>
      <c r="PHF5" s="74"/>
      <c r="PHG5" s="74"/>
      <c r="PHH5" s="74"/>
      <c r="PHI5" s="74"/>
      <c r="PHJ5" s="74"/>
      <c r="PHK5" s="74"/>
      <c r="PHL5" s="74"/>
      <c r="PHM5" s="74"/>
      <c r="PHN5" s="74"/>
      <c r="PHO5" s="74"/>
      <c r="PHP5" s="74"/>
      <c r="PHQ5" s="74"/>
      <c r="PHR5" s="74"/>
      <c r="PHS5" s="74"/>
      <c r="PHT5" s="74"/>
      <c r="PHU5" s="74"/>
      <c r="PHV5" s="74"/>
      <c r="PHW5" s="74"/>
      <c r="PHX5" s="74"/>
      <c r="PHY5" s="74"/>
      <c r="PHZ5" s="74"/>
      <c r="PIA5" s="74"/>
      <c r="PIB5" s="74"/>
      <c r="PIC5" s="74"/>
      <c r="PID5" s="74"/>
      <c r="PIE5" s="74"/>
      <c r="PIF5" s="74"/>
      <c r="PIG5" s="74"/>
      <c r="PIH5" s="74"/>
      <c r="PII5" s="74"/>
      <c r="PIJ5" s="74"/>
      <c r="PIK5" s="74"/>
      <c r="PIL5" s="74"/>
      <c r="PIM5" s="74"/>
      <c r="PIN5" s="74"/>
      <c r="PIO5" s="74"/>
      <c r="PIP5" s="74"/>
      <c r="PIQ5" s="74"/>
      <c r="PIR5" s="74"/>
      <c r="PIS5" s="74"/>
      <c r="PIT5" s="74"/>
      <c r="PIU5" s="74"/>
      <c r="PIV5" s="74"/>
      <c r="PIW5" s="74"/>
      <c r="PIX5" s="74"/>
      <c r="PIY5" s="74"/>
      <c r="PIZ5" s="74"/>
      <c r="PJA5" s="74"/>
      <c r="PJB5" s="74"/>
      <c r="PJC5" s="74"/>
      <c r="PJD5" s="74"/>
      <c r="PJE5" s="74"/>
      <c r="PJF5" s="74"/>
      <c r="PJG5" s="74"/>
      <c r="PJH5" s="74"/>
      <c r="PJI5" s="74"/>
      <c r="PJJ5" s="74"/>
      <c r="PJK5" s="74"/>
      <c r="PJL5" s="74"/>
      <c r="PJM5" s="74"/>
      <c r="PJN5" s="74"/>
      <c r="PJO5" s="74"/>
      <c r="PJP5" s="74"/>
      <c r="PJQ5" s="74"/>
      <c r="PJR5" s="74"/>
      <c r="PJS5" s="74"/>
      <c r="PJT5" s="74"/>
      <c r="PJU5" s="74"/>
      <c r="PJV5" s="74"/>
      <c r="PJW5" s="74"/>
      <c r="PJX5" s="74"/>
      <c r="PJY5" s="74"/>
      <c r="PJZ5" s="74"/>
      <c r="PKA5" s="74"/>
      <c r="PKB5" s="74"/>
      <c r="PKC5" s="74"/>
      <c r="PKD5" s="74"/>
      <c r="PKE5" s="74"/>
      <c r="PKF5" s="74"/>
      <c r="PKG5" s="74"/>
      <c r="PKH5" s="74"/>
      <c r="PKI5" s="74"/>
      <c r="PKJ5" s="74"/>
      <c r="PKK5" s="74"/>
      <c r="PKL5" s="74"/>
      <c r="PKM5" s="74"/>
      <c r="PKN5" s="74"/>
      <c r="PKO5" s="74"/>
      <c r="PKP5" s="74"/>
      <c r="PKQ5" s="74"/>
      <c r="PKR5" s="74"/>
      <c r="PKS5" s="74"/>
      <c r="PKT5" s="74"/>
      <c r="PKU5" s="74"/>
      <c r="PKV5" s="74"/>
      <c r="PKW5" s="74"/>
      <c r="PKX5" s="74"/>
      <c r="PKY5" s="74"/>
      <c r="PKZ5" s="74"/>
      <c r="PLA5" s="74"/>
      <c r="PLB5" s="74"/>
      <c r="PLC5" s="74"/>
      <c r="PLD5" s="74"/>
      <c r="PLE5" s="74"/>
      <c r="PLF5" s="74"/>
      <c r="PLG5" s="74"/>
      <c r="PLH5" s="74"/>
      <c r="PLI5" s="74"/>
      <c r="PLJ5" s="74"/>
      <c r="PLK5" s="74"/>
      <c r="PLL5" s="74"/>
      <c r="PLM5" s="74"/>
      <c r="PLN5" s="74"/>
      <c r="PLO5" s="74"/>
      <c r="PLP5" s="74"/>
      <c r="PLQ5" s="74"/>
      <c r="PLR5" s="74"/>
      <c r="PLS5" s="74"/>
      <c r="PLT5" s="74"/>
      <c r="PLU5" s="74"/>
      <c r="PLV5" s="74"/>
      <c r="PLW5" s="74"/>
      <c r="PLX5" s="74"/>
      <c r="PLY5" s="74"/>
      <c r="PLZ5" s="74"/>
      <c r="PMA5" s="74"/>
      <c r="PMB5" s="74"/>
      <c r="PMC5" s="74"/>
      <c r="PMD5" s="74"/>
      <c r="PME5" s="74"/>
      <c r="PMF5" s="74"/>
      <c r="PMG5" s="74"/>
      <c r="PMH5" s="74"/>
      <c r="PMI5" s="74"/>
      <c r="PMJ5" s="74"/>
      <c r="PMK5" s="74"/>
      <c r="PML5" s="74"/>
      <c r="PMM5" s="74"/>
      <c r="PMN5" s="74"/>
      <c r="PMO5" s="74"/>
      <c r="PMP5" s="74"/>
      <c r="PMQ5" s="74"/>
      <c r="PMR5" s="74"/>
      <c r="PMS5" s="74"/>
      <c r="PMT5" s="74"/>
      <c r="PMU5" s="74"/>
      <c r="PMV5" s="74"/>
      <c r="PMW5" s="74"/>
      <c r="PMX5" s="74"/>
      <c r="PMY5" s="74"/>
      <c r="PMZ5" s="74"/>
      <c r="PNA5" s="74"/>
      <c r="PNB5" s="74"/>
      <c r="PNC5" s="74"/>
      <c r="PND5" s="74"/>
      <c r="PNE5" s="74"/>
      <c r="PNF5" s="74"/>
      <c r="PNG5" s="74"/>
      <c r="PNH5" s="74"/>
      <c r="PNI5" s="74"/>
      <c r="PNJ5" s="74"/>
      <c r="PNK5" s="74"/>
      <c r="PNL5" s="74"/>
      <c r="PNM5" s="74"/>
      <c r="PNN5" s="74"/>
      <c r="PNO5" s="74"/>
      <c r="PNP5" s="74"/>
      <c r="PNQ5" s="74"/>
      <c r="PNR5" s="74"/>
      <c r="PNS5" s="74"/>
      <c r="PNT5" s="74"/>
      <c r="PNU5" s="74"/>
      <c r="PNV5" s="74"/>
      <c r="PNW5" s="74"/>
      <c r="PNX5" s="74"/>
      <c r="PNY5" s="74"/>
      <c r="PNZ5" s="74"/>
      <c r="POA5" s="74"/>
      <c r="POB5" s="74"/>
      <c r="POC5" s="74"/>
      <c r="POD5" s="74"/>
      <c r="POE5" s="74"/>
      <c r="POF5" s="74"/>
      <c r="POG5" s="74"/>
      <c r="POH5" s="74"/>
      <c r="POI5" s="74"/>
      <c r="POJ5" s="74"/>
      <c r="POK5" s="74"/>
      <c r="POL5" s="74"/>
      <c r="POM5" s="74"/>
      <c r="PON5" s="74"/>
      <c r="POO5" s="74"/>
      <c r="POP5" s="74"/>
      <c r="POQ5" s="74"/>
      <c r="POR5" s="74"/>
      <c r="POS5" s="74"/>
      <c r="POT5" s="74"/>
      <c r="POU5" s="74"/>
      <c r="POV5" s="74"/>
      <c r="POW5" s="74"/>
      <c r="POX5" s="74"/>
      <c r="POY5" s="74"/>
      <c r="POZ5" s="74"/>
      <c r="PPA5" s="74"/>
      <c r="PPB5" s="74"/>
      <c r="PPC5" s="74"/>
      <c r="PPD5" s="74"/>
      <c r="PPE5" s="74"/>
      <c r="PPF5" s="74"/>
      <c r="PPG5" s="74"/>
      <c r="PPH5" s="74"/>
      <c r="PPI5" s="74"/>
      <c r="PPJ5" s="74"/>
      <c r="PPK5" s="74"/>
      <c r="PPL5" s="74"/>
      <c r="PPM5" s="74"/>
      <c r="PPN5" s="74"/>
      <c r="PPO5" s="74"/>
      <c r="PPP5" s="74"/>
      <c r="PPQ5" s="74"/>
      <c r="PPR5" s="74"/>
      <c r="PPS5" s="74"/>
      <c r="PPT5" s="74"/>
      <c r="PPU5" s="74"/>
      <c r="PPV5" s="74"/>
      <c r="PPW5" s="74"/>
      <c r="PPX5" s="74"/>
      <c r="PPY5" s="74"/>
      <c r="PPZ5" s="74"/>
      <c r="PQA5" s="74"/>
      <c r="PQB5" s="74"/>
      <c r="PQC5" s="74"/>
      <c r="PQD5" s="74"/>
      <c r="PQE5" s="74"/>
      <c r="PQF5" s="74"/>
      <c r="PQG5" s="74"/>
      <c r="PQH5" s="74"/>
      <c r="PQI5" s="74"/>
      <c r="PQJ5" s="74"/>
      <c r="PQK5" s="74"/>
      <c r="PQL5" s="74"/>
      <c r="PQM5" s="74"/>
      <c r="PQN5" s="74"/>
      <c r="PQO5" s="74"/>
      <c r="PQP5" s="74"/>
      <c r="PQQ5" s="74"/>
      <c r="PQR5" s="74"/>
      <c r="PQS5" s="74"/>
      <c r="PQT5" s="74"/>
      <c r="PQU5" s="74"/>
      <c r="PQV5" s="74"/>
      <c r="PQW5" s="74"/>
      <c r="PQX5" s="74"/>
      <c r="PQY5" s="74"/>
      <c r="PQZ5" s="74"/>
      <c r="PRA5" s="74"/>
      <c r="PRB5" s="74"/>
      <c r="PRC5" s="74"/>
      <c r="PRD5" s="74"/>
      <c r="PRE5" s="74"/>
      <c r="PRF5" s="74"/>
      <c r="PRG5" s="74"/>
      <c r="PRH5" s="74"/>
      <c r="PRI5" s="74"/>
      <c r="PRJ5" s="74"/>
      <c r="PRK5" s="74"/>
      <c r="PRL5" s="74"/>
      <c r="PRM5" s="74"/>
      <c r="PRN5" s="74"/>
      <c r="PRO5" s="74"/>
      <c r="PRP5" s="74"/>
      <c r="PRQ5" s="74"/>
      <c r="PRR5" s="74"/>
      <c r="PRS5" s="74"/>
      <c r="PRT5" s="74"/>
      <c r="PRU5" s="74"/>
      <c r="PRV5" s="74"/>
      <c r="PRW5" s="74"/>
      <c r="PRX5" s="74"/>
      <c r="PRY5" s="74"/>
      <c r="PRZ5" s="74"/>
      <c r="PSA5" s="74"/>
      <c r="PSB5" s="74"/>
      <c r="PSC5" s="74"/>
      <c r="PSD5" s="74"/>
      <c r="PSE5" s="74"/>
      <c r="PSF5" s="74"/>
      <c r="PSG5" s="74"/>
      <c r="PSH5" s="74"/>
      <c r="PSI5" s="74"/>
      <c r="PSJ5" s="74"/>
      <c r="PSK5" s="74"/>
      <c r="PSL5" s="74"/>
      <c r="PSM5" s="74"/>
      <c r="PSN5" s="74"/>
      <c r="PSO5" s="74"/>
      <c r="PSP5" s="74"/>
      <c r="PSQ5" s="74"/>
      <c r="PSR5" s="74"/>
      <c r="PSS5" s="74"/>
      <c r="PST5" s="74"/>
      <c r="PSU5" s="74"/>
      <c r="PSV5" s="74"/>
      <c r="PSW5" s="74"/>
      <c r="PSX5" s="74"/>
      <c r="PSY5" s="74"/>
      <c r="PSZ5" s="74"/>
      <c r="PTA5" s="74"/>
      <c r="PTB5" s="74"/>
      <c r="PTC5" s="74"/>
      <c r="PTD5" s="74"/>
      <c r="PTE5" s="74"/>
      <c r="PTF5" s="74"/>
      <c r="PTG5" s="74"/>
      <c r="PTH5" s="74"/>
      <c r="PTI5" s="74"/>
      <c r="PTJ5" s="74"/>
      <c r="PTK5" s="74"/>
      <c r="PTL5" s="74"/>
      <c r="PTM5" s="74"/>
      <c r="PTN5" s="74"/>
      <c r="PTO5" s="74"/>
      <c r="PTP5" s="74"/>
      <c r="PTQ5" s="74"/>
      <c r="PTR5" s="74"/>
      <c r="PTS5" s="74"/>
      <c r="PTT5" s="74"/>
      <c r="PTU5" s="74"/>
      <c r="PTV5" s="74"/>
      <c r="PTW5" s="74"/>
      <c r="PTX5" s="74"/>
      <c r="PTY5" s="74"/>
      <c r="PTZ5" s="74"/>
      <c r="PUA5" s="74"/>
      <c r="PUB5" s="74"/>
      <c r="PUC5" s="74"/>
      <c r="PUD5" s="74"/>
      <c r="PUE5" s="74"/>
      <c r="PUF5" s="74"/>
      <c r="PUG5" s="74"/>
      <c r="PUH5" s="74"/>
      <c r="PUI5" s="74"/>
      <c r="PUJ5" s="74"/>
      <c r="PUK5" s="74"/>
      <c r="PUL5" s="74"/>
      <c r="PUM5" s="74"/>
      <c r="PUN5" s="74"/>
      <c r="PUO5" s="74"/>
      <c r="PUP5" s="74"/>
      <c r="PUQ5" s="74"/>
      <c r="PUR5" s="74"/>
      <c r="PUS5" s="74"/>
      <c r="PUT5" s="74"/>
      <c r="PUU5" s="74"/>
      <c r="PUV5" s="74"/>
      <c r="PUW5" s="74"/>
      <c r="PUX5" s="74"/>
      <c r="PUY5" s="74"/>
      <c r="PUZ5" s="74"/>
      <c r="PVA5" s="74"/>
      <c r="PVB5" s="74"/>
      <c r="PVC5" s="74"/>
      <c r="PVD5" s="74"/>
      <c r="PVE5" s="74"/>
      <c r="PVF5" s="74"/>
      <c r="PVG5" s="74"/>
      <c r="PVH5" s="74"/>
      <c r="PVI5" s="74"/>
      <c r="PVJ5" s="74"/>
      <c r="PVK5" s="74"/>
      <c r="PVL5" s="74"/>
      <c r="PVM5" s="74"/>
      <c r="PVN5" s="74"/>
      <c r="PVO5" s="74"/>
      <c r="PVP5" s="74"/>
      <c r="PVQ5" s="74"/>
      <c r="PVR5" s="74"/>
      <c r="PVS5" s="74"/>
      <c r="PVT5" s="74"/>
      <c r="PVU5" s="74"/>
      <c r="PVV5" s="74"/>
      <c r="PVW5" s="74"/>
      <c r="PVX5" s="74"/>
      <c r="PVY5" s="74"/>
      <c r="PVZ5" s="74"/>
      <c r="PWA5" s="74"/>
      <c r="PWB5" s="74"/>
      <c r="PWC5" s="74"/>
      <c r="PWD5" s="74"/>
      <c r="PWE5" s="74"/>
      <c r="PWF5" s="74"/>
      <c r="PWG5" s="74"/>
      <c r="PWH5" s="74"/>
      <c r="PWI5" s="74"/>
      <c r="PWJ5" s="74"/>
      <c r="PWK5" s="74"/>
      <c r="PWL5" s="74"/>
      <c r="PWM5" s="74"/>
      <c r="PWN5" s="74"/>
      <c r="PWO5" s="74"/>
      <c r="PWP5" s="74"/>
      <c r="PWQ5" s="74"/>
      <c r="PWR5" s="74"/>
      <c r="PWS5" s="74"/>
      <c r="PWT5" s="74"/>
      <c r="PWU5" s="74"/>
      <c r="PWV5" s="74"/>
      <c r="PWW5" s="74"/>
      <c r="PWX5" s="74"/>
      <c r="PWY5" s="74"/>
      <c r="PWZ5" s="74"/>
      <c r="PXA5" s="74"/>
      <c r="PXB5" s="74"/>
      <c r="PXC5" s="74"/>
      <c r="PXD5" s="74"/>
      <c r="PXE5" s="74"/>
      <c r="PXF5" s="74"/>
      <c r="PXG5" s="74"/>
      <c r="PXH5" s="74"/>
      <c r="PXI5" s="74"/>
      <c r="PXJ5" s="74"/>
      <c r="PXK5" s="74"/>
      <c r="PXL5" s="74"/>
      <c r="PXM5" s="74"/>
      <c r="PXN5" s="74"/>
      <c r="PXO5" s="74"/>
      <c r="PXP5" s="74"/>
      <c r="PXQ5" s="74"/>
      <c r="PXR5" s="74"/>
      <c r="PXS5" s="74"/>
      <c r="PXT5" s="74"/>
      <c r="PXU5" s="74"/>
      <c r="PXV5" s="74"/>
      <c r="PXW5" s="74"/>
      <c r="PXX5" s="74"/>
      <c r="PXY5" s="74"/>
      <c r="PXZ5" s="74"/>
      <c r="PYA5" s="74"/>
      <c r="PYB5" s="74"/>
      <c r="PYC5" s="74"/>
      <c r="PYD5" s="74"/>
      <c r="PYE5" s="74"/>
      <c r="PYF5" s="74"/>
      <c r="PYG5" s="74"/>
      <c r="PYH5" s="74"/>
      <c r="PYI5" s="74"/>
      <c r="PYJ5" s="74"/>
      <c r="PYK5" s="74"/>
      <c r="PYL5" s="74"/>
      <c r="PYM5" s="74"/>
      <c r="PYN5" s="74"/>
      <c r="PYO5" s="74"/>
      <c r="PYP5" s="74"/>
      <c r="PYQ5" s="74"/>
      <c r="PYR5" s="74"/>
      <c r="PYS5" s="74"/>
      <c r="PYT5" s="74"/>
      <c r="PYU5" s="74"/>
      <c r="PYV5" s="74"/>
      <c r="PYW5" s="74"/>
      <c r="PYX5" s="74"/>
      <c r="PYY5" s="74"/>
      <c r="PYZ5" s="74"/>
      <c r="PZA5" s="74"/>
      <c r="PZB5" s="74"/>
      <c r="PZC5" s="74"/>
      <c r="PZD5" s="74"/>
      <c r="PZE5" s="74"/>
      <c r="PZF5" s="74"/>
      <c r="PZG5" s="74"/>
      <c r="PZH5" s="74"/>
      <c r="PZI5" s="74"/>
      <c r="PZJ5" s="74"/>
      <c r="PZK5" s="74"/>
      <c r="PZL5" s="74"/>
      <c r="PZM5" s="74"/>
      <c r="PZN5" s="74"/>
      <c r="PZO5" s="74"/>
      <c r="PZP5" s="74"/>
      <c r="PZQ5" s="74"/>
      <c r="PZR5" s="74"/>
      <c r="PZS5" s="74"/>
      <c r="PZT5" s="74"/>
      <c r="PZU5" s="74"/>
      <c r="PZV5" s="74"/>
      <c r="PZW5" s="74"/>
      <c r="PZX5" s="74"/>
      <c r="PZY5" s="74"/>
      <c r="PZZ5" s="74"/>
      <c r="QAA5" s="74"/>
      <c r="QAB5" s="74"/>
      <c r="QAC5" s="74"/>
      <c r="QAD5" s="74"/>
      <c r="QAE5" s="74"/>
      <c r="QAF5" s="74"/>
      <c r="QAG5" s="74"/>
      <c r="QAH5" s="74"/>
      <c r="QAI5" s="74"/>
      <c r="QAJ5" s="74"/>
      <c r="QAK5" s="74"/>
      <c r="QAL5" s="74"/>
      <c r="QAM5" s="74"/>
      <c r="QAN5" s="74"/>
      <c r="QAO5" s="74"/>
      <c r="QAP5" s="74"/>
      <c r="QAQ5" s="74"/>
      <c r="QAR5" s="74"/>
      <c r="QAS5" s="74"/>
      <c r="QAT5" s="74"/>
      <c r="QAU5" s="74"/>
      <c r="QAV5" s="74"/>
      <c r="QAW5" s="74"/>
      <c r="QAX5" s="74"/>
      <c r="QAY5" s="74"/>
      <c r="QAZ5" s="74"/>
      <c r="QBA5" s="74"/>
      <c r="QBB5" s="74"/>
      <c r="QBC5" s="74"/>
      <c r="QBD5" s="74"/>
      <c r="QBE5" s="74"/>
      <c r="QBF5" s="74"/>
      <c r="QBG5" s="74"/>
      <c r="QBH5" s="74"/>
      <c r="QBI5" s="74"/>
      <c r="QBJ5" s="74"/>
      <c r="QBK5" s="74"/>
      <c r="QBL5" s="74"/>
      <c r="QBM5" s="74"/>
      <c r="QBN5" s="74"/>
      <c r="QBO5" s="74"/>
      <c r="QBP5" s="74"/>
      <c r="QBQ5" s="74"/>
      <c r="QBR5" s="74"/>
      <c r="QBS5" s="74"/>
      <c r="QBT5" s="74"/>
      <c r="QBU5" s="74"/>
      <c r="QBV5" s="74"/>
      <c r="QBW5" s="74"/>
      <c r="QBX5" s="74"/>
      <c r="QBY5" s="74"/>
      <c r="QBZ5" s="74"/>
      <c r="QCA5" s="74"/>
      <c r="QCB5" s="74"/>
      <c r="QCC5" s="74"/>
      <c r="QCD5" s="74"/>
      <c r="QCE5" s="74"/>
      <c r="QCF5" s="74"/>
      <c r="QCG5" s="74"/>
      <c r="QCH5" s="74"/>
      <c r="QCI5" s="74"/>
      <c r="QCJ5" s="74"/>
      <c r="QCK5" s="74"/>
      <c r="QCL5" s="74"/>
      <c r="QCM5" s="74"/>
      <c r="QCN5" s="74"/>
      <c r="QCO5" s="74"/>
      <c r="QCP5" s="74"/>
      <c r="QCQ5" s="74"/>
      <c r="QCR5" s="74"/>
      <c r="QCS5" s="74"/>
      <c r="QCT5" s="74"/>
      <c r="QCU5" s="74"/>
      <c r="QCV5" s="74"/>
      <c r="QCW5" s="74"/>
      <c r="QCX5" s="74"/>
      <c r="QCY5" s="74"/>
      <c r="QCZ5" s="74"/>
      <c r="QDA5" s="74"/>
      <c r="QDB5" s="74"/>
      <c r="QDC5" s="74"/>
      <c r="QDD5" s="74"/>
      <c r="QDE5" s="74"/>
      <c r="QDF5" s="74"/>
      <c r="QDG5" s="74"/>
      <c r="QDH5" s="74"/>
      <c r="QDI5" s="74"/>
      <c r="QDJ5" s="74"/>
      <c r="QDK5" s="74"/>
      <c r="QDL5" s="74"/>
      <c r="QDM5" s="74"/>
      <c r="QDN5" s="74"/>
      <c r="QDO5" s="74"/>
      <c r="QDP5" s="74"/>
      <c r="QDQ5" s="74"/>
      <c r="QDR5" s="74"/>
      <c r="QDS5" s="74"/>
      <c r="QDT5" s="74"/>
      <c r="QDU5" s="74"/>
      <c r="QDV5" s="74"/>
      <c r="QDW5" s="74"/>
      <c r="QDX5" s="74"/>
      <c r="QDY5" s="74"/>
      <c r="QDZ5" s="74"/>
      <c r="QEA5" s="74"/>
      <c r="QEB5" s="74"/>
      <c r="QEC5" s="74"/>
      <c r="QED5" s="74"/>
      <c r="QEE5" s="74"/>
      <c r="QEF5" s="74"/>
      <c r="QEG5" s="74"/>
      <c r="QEH5" s="74"/>
      <c r="QEI5" s="74"/>
      <c r="QEJ5" s="74"/>
      <c r="QEK5" s="74"/>
      <c r="QEL5" s="74"/>
      <c r="QEM5" s="74"/>
      <c r="QEN5" s="74"/>
      <c r="QEO5" s="74"/>
      <c r="QEP5" s="74"/>
      <c r="QEQ5" s="74"/>
      <c r="QER5" s="74"/>
      <c r="QES5" s="74"/>
      <c r="QET5" s="74"/>
      <c r="QEU5" s="74"/>
      <c r="QEV5" s="74"/>
      <c r="QEW5" s="74"/>
      <c r="QEX5" s="74"/>
      <c r="QEY5" s="74"/>
      <c r="QEZ5" s="74"/>
      <c r="QFA5" s="74"/>
      <c r="QFB5" s="74"/>
      <c r="QFC5" s="74"/>
      <c r="QFD5" s="74"/>
      <c r="QFE5" s="74"/>
      <c r="QFF5" s="74"/>
      <c r="QFG5" s="74"/>
      <c r="QFH5" s="74"/>
      <c r="QFI5" s="74"/>
      <c r="QFJ5" s="74"/>
      <c r="QFK5" s="74"/>
      <c r="QFL5" s="74"/>
      <c r="QFM5" s="74"/>
      <c r="QFN5" s="74"/>
      <c r="QFO5" s="74"/>
      <c r="QFP5" s="74"/>
      <c r="QFQ5" s="74"/>
      <c r="QFR5" s="74"/>
      <c r="QFS5" s="74"/>
      <c r="QFT5" s="74"/>
      <c r="QFU5" s="74"/>
      <c r="QFV5" s="74"/>
      <c r="QFW5" s="74"/>
      <c r="QFX5" s="74"/>
      <c r="QFY5" s="74"/>
      <c r="QFZ5" s="74"/>
      <c r="QGA5" s="74"/>
      <c r="QGB5" s="74"/>
      <c r="QGC5" s="74"/>
      <c r="QGD5" s="74"/>
      <c r="QGE5" s="74"/>
      <c r="QGF5" s="74"/>
      <c r="QGG5" s="74"/>
      <c r="QGH5" s="74"/>
      <c r="QGI5" s="74"/>
      <c r="QGJ5" s="74"/>
      <c r="QGK5" s="74"/>
      <c r="QGL5" s="74"/>
      <c r="QGM5" s="74"/>
      <c r="QGN5" s="74"/>
      <c r="QGO5" s="74"/>
      <c r="QGP5" s="74"/>
      <c r="QGQ5" s="74"/>
      <c r="QGR5" s="74"/>
      <c r="QGS5" s="74"/>
      <c r="QGT5" s="74"/>
      <c r="QGU5" s="74"/>
      <c r="QGV5" s="74"/>
      <c r="QGW5" s="74"/>
      <c r="QGX5" s="74"/>
      <c r="QGY5" s="74"/>
      <c r="QGZ5" s="74"/>
      <c r="QHA5" s="74"/>
      <c r="QHB5" s="74"/>
      <c r="QHC5" s="74"/>
      <c r="QHD5" s="74"/>
      <c r="QHE5" s="74"/>
      <c r="QHF5" s="74"/>
      <c r="QHG5" s="74"/>
      <c r="QHH5" s="74"/>
      <c r="QHI5" s="74"/>
      <c r="QHJ5" s="74"/>
      <c r="QHK5" s="74"/>
      <c r="QHL5" s="74"/>
      <c r="QHM5" s="74"/>
      <c r="QHN5" s="74"/>
      <c r="QHO5" s="74"/>
      <c r="QHP5" s="74"/>
      <c r="QHQ5" s="74"/>
      <c r="QHR5" s="74"/>
      <c r="QHS5" s="74"/>
      <c r="QHT5" s="74"/>
      <c r="QHU5" s="74"/>
      <c r="QHV5" s="74"/>
      <c r="QHW5" s="74"/>
      <c r="QHX5" s="74"/>
      <c r="QHY5" s="74"/>
      <c r="QHZ5" s="74"/>
      <c r="QIA5" s="74"/>
      <c r="QIB5" s="74"/>
      <c r="QIC5" s="74"/>
      <c r="QID5" s="74"/>
      <c r="QIE5" s="74"/>
      <c r="QIF5" s="74"/>
      <c r="QIG5" s="74"/>
      <c r="QIH5" s="74"/>
      <c r="QII5" s="74"/>
      <c r="QIJ5" s="74"/>
      <c r="QIK5" s="74"/>
      <c r="QIL5" s="74"/>
      <c r="QIM5" s="74"/>
      <c r="QIN5" s="74"/>
      <c r="QIO5" s="74"/>
      <c r="QIP5" s="74"/>
      <c r="QIQ5" s="74"/>
      <c r="QIR5" s="74"/>
      <c r="QIS5" s="74"/>
      <c r="QIT5" s="74"/>
      <c r="QIU5" s="74"/>
      <c r="QIV5" s="74"/>
      <c r="QIW5" s="74"/>
      <c r="QIX5" s="74"/>
      <c r="QIY5" s="74"/>
      <c r="QIZ5" s="74"/>
      <c r="QJA5" s="74"/>
      <c r="QJB5" s="74"/>
      <c r="QJC5" s="74"/>
      <c r="QJD5" s="74"/>
      <c r="QJE5" s="74"/>
      <c r="QJF5" s="74"/>
      <c r="QJG5" s="74"/>
      <c r="QJH5" s="74"/>
      <c r="QJI5" s="74"/>
      <c r="QJJ5" s="74"/>
      <c r="QJK5" s="74"/>
      <c r="QJL5" s="74"/>
      <c r="QJM5" s="74"/>
      <c r="QJN5" s="74"/>
      <c r="QJO5" s="74"/>
      <c r="QJP5" s="74"/>
      <c r="QJQ5" s="74"/>
      <c r="QJR5" s="74"/>
      <c r="QJS5" s="74"/>
      <c r="QJT5" s="74"/>
      <c r="QJU5" s="74"/>
      <c r="QJV5" s="74"/>
      <c r="QJW5" s="74"/>
      <c r="QJX5" s="74"/>
      <c r="QJY5" s="74"/>
      <c r="QJZ5" s="74"/>
      <c r="QKA5" s="74"/>
      <c r="QKB5" s="74"/>
      <c r="QKC5" s="74"/>
      <c r="QKD5" s="74"/>
      <c r="QKE5" s="74"/>
      <c r="QKF5" s="74"/>
      <c r="QKG5" s="74"/>
      <c r="QKH5" s="74"/>
      <c r="QKI5" s="74"/>
      <c r="QKJ5" s="74"/>
      <c r="QKK5" s="74"/>
      <c r="QKL5" s="74"/>
      <c r="QKM5" s="74"/>
      <c r="QKN5" s="74"/>
      <c r="QKO5" s="74"/>
      <c r="QKP5" s="74"/>
      <c r="QKQ5" s="74"/>
      <c r="QKR5" s="74"/>
      <c r="QKS5" s="74"/>
      <c r="QKT5" s="74"/>
      <c r="QKU5" s="74"/>
      <c r="QKV5" s="74"/>
      <c r="QKW5" s="74"/>
      <c r="QKX5" s="74"/>
      <c r="QKY5" s="74"/>
      <c r="QKZ5" s="74"/>
      <c r="QLA5" s="74"/>
      <c r="QLB5" s="74"/>
      <c r="QLC5" s="74"/>
      <c r="QLD5" s="74"/>
      <c r="QLE5" s="74"/>
      <c r="QLF5" s="74"/>
      <c r="QLG5" s="74"/>
      <c r="QLH5" s="74"/>
      <c r="QLI5" s="74"/>
      <c r="QLJ5" s="74"/>
      <c r="QLK5" s="74"/>
      <c r="QLL5" s="74"/>
      <c r="QLM5" s="74"/>
      <c r="QLN5" s="74"/>
      <c r="QLO5" s="74"/>
      <c r="QLP5" s="74"/>
      <c r="QLQ5" s="74"/>
      <c r="QLR5" s="74"/>
      <c r="QLS5" s="74"/>
      <c r="QLT5" s="74"/>
      <c r="QLU5" s="74"/>
      <c r="QLV5" s="74"/>
      <c r="QLW5" s="74"/>
      <c r="QLX5" s="74"/>
      <c r="QLY5" s="74"/>
      <c r="QLZ5" s="74"/>
      <c r="QMA5" s="74"/>
      <c r="QMB5" s="74"/>
      <c r="QMC5" s="74"/>
      <c r="QMD5" s="74"/>
      <c r="QME5" s="74"/>
      <c r="QMF5" s="74"/>
      <c r="QMG5" s="74"/>
      <c r="QMH5" s="74"/>
      <c r="QMI5" s="74"/>
      <c r="QMJ5" s="74"/>
      <c r="QMK5" s="74"/>
      <c r="QML5" s="74"/>
      <c r="QMM5" s="74"/>
      <c r="QMN5" s="74"/>
      <c r="QMO5" s="74"/>
      <c r="QMP5" s="74"/>
      <c r="QMQ5" s="74"/>
      <c r="QMR5" s="74"/>
      <c r="QMS5" s="74"/>
      <c r="QMT5" s="74"/>
      <c r="QMU5" s="74"/>
      <c r="QMV5" s="74"/>
      <c r="QMW5" s="74"/>
      <c r="QMX5" s="74"/>
      <c r="QMY5" s="74"/>
      <c r="QMZ5" s="74"/>
      <c r="QNA5" s="74"/>
      <c r="QNB5" s="74"/>
      <c r="QNC5" s="74"/>
      <c r="QND5" s="74"/>
      <c r="QNE5" s="74"/>
      <c r="QNF5" s="74"/>
      <c r="QNG5" s="74"/>
      <c r="QNH5" s="74"/>
      <c r="QNI5" s="74"/>
      <c r="QNJ5" s="74"/>
      <c r="QNK5" s="74"/>
      <c r="QNL5" s="74"/>
      <c r="QNM5" s="74"/>
      <c r="QNN5" s="74"/>
      <c r="QNO5" s="74"/>
      <c r="QNP5" s="74"/>
      <c r="QNQ5" s="74"/>
      <c r="QNR5" s="74"/>
      <c r="QNS5" s="74"/>
      <c r="QNT5" s="74"/>
      <c r="QNU5" s="74"/>
      <c r="QNV5" s="74"/>
      <c r="QNW5" s="74"/>
      <c r="QNX5" s="74"/>
      <c r="QNY5" s="74"/>
      <c r="QNZ5" s="74"/>
      <c r="QOA5" s="74"/>
      <c r="QOB5" s="74"/>
      <c r="QOC5" s="74"/>
      <c r="QOD5" s="74"/>
      <c r="QOE5" s="74"/>
      <c r="QOF5" s="74"/>
      <c r="QOG5" s="74"/>
      <c r="QOH5" s="74"/>
      <c r="QOI5" s="74"/>
      <c r="QOJ5" s="74"/>
      <c r="QOK5" s="74"/>
      <c r="QOL5" s="74"/>
      <c r="QOM5" s="74"/>
      <c r="QON5" s="74"/>
      <c r="QOO5" s="74"/>
      <c r="QOP5" s="74"/>
      <c r="QOQ5" s="74"/>
      <c r="QOR5" s="74"/>
      <c r="QOS5" s="74"/>
      <c r="QOT5" s="74"/>
      <c r="QOU5" s="74"/>
      <c r="QOV5" s="74"/>
      <c r="QOW5" s="74"/>
      <c r="QOX5" s="74"/>
      <c r="QOY5" s="74"/>
      <c r="QOZ5" s="74"/>
      <c r="QPA5" s="74"/>
      <c r="QPB5" s="74"/>
      <c r="QPC5" s="74"/>
      <c r="QPD5" s="74"/>
      <c r="QPE5" s="74"/>
      <c r="QPF5" s="74"/>
      <c r="QPG5" s="74"/>
      <c r="QPH5" s="74"/>
      <c r="QPI5" s="74"/>
      <c r="QPJ5" s="74"/>
      <c r="QPK5" s="74"/>
      <c r="QPL5" s="74"/>
      <c r="QPM5" s="74"/>
      <c r="QPN5" s="74"/>
      <c r="QPO5" s="74"/>
      <c r="QPP5" s="74"/>
      <c r="QPQ5" s="74"/>
      <c r="QPR5" s="74"/>
      <c r="QPS5" s="74"/>
      <c r="QPT5" s="74"/>
      <c r="QPU5" s="74"/>
      <c r="QPV5" s="74"/>
      <c r="QPW5" s="74"/>
      <c r="QPX5" s="74"/>
      <c r="QPY5" s="74"/>
      <c r="QPZ5" s="74"/>
      <c r="QQA5" s="74"/>
      <c r="QQB5" s="74"/>
      <c r="QQC5" s="74"/>
      <c r="QQD5" s="74"/>
      <c r="QQE5" s="74"/>
      <c r="QQF5" s="74"/>
      <c r="QQG5" s="74"/>
      <c r="QQH5" s="74"/>
      <c r="QQI5" s="74"/>
      <c r="QQJ5" s="74"/>
      <c r="QQK5" s="74"/>
      <c r="QQL5" s="74"/>
      <c r="QQM5" s="74"/>
      <c r="QQN5" s="74"/>
      <c r="QQO5" s="74"/>
      <c r="QQP5" s="74"/>
      <c r="QQQ5" s="74"/>
      <c r="QQR5" s="74"/>
      <c r="QQS5" s="74"/>
      <c r="QQT5" s="74"/>
      <c r="QQU5" s="74"/>
      <c r="QQV5" s="74"/>
      <c r="QQW5" s="74"/>
      <c r="QQX5" s="74"/>
      <c r="QQY5" s="74"/>
      <c r="QQZ5" s="74"/>
      <c r="QRA5" s="74"/>
      <c r="QRB5" s="74"/>
      <c r="QRC5" s="74"/>
      <c r="QRD5" s="74"/>
      <c r="QRE5" s="74"/>
      <c r="QRF5" s="74"/>
      <c r="QRG5" s="74"/>
      <c r="QRH5" s="74"/>
      <c r="QRI5" s="74"/>
      <c r="QRJ5" s="74"/>
      <c r="QRK5" s="74"/>
      <c r="QRL5" s="74"/>
      <c r="QRM5" s="74"/>
      <c r="QRN5" s="74"/>
      <c r="QRO5" s="74"/>
      <c r="QRP5" s="74"/>
      <c r="QRQ5" s="74"/>
      <c r="QRR5" s="74"/>
      <c r="QRS5" s="74"/>
      <c r="QRT5" s="74"/>
      <c r="QRU5" s="74"/>
      <c r="QRV5" s="74"/>
      <c r="QRW5" s="74"/>
      <c r="QRX5" s="74"/>
      <c r="QRY5" s="74"/>
      <c r="QRZ5" s="74"/>
      <c r="QSA5" s="74"/>
      <c r="QSB5" s="74"/>
      <c r="QSC5" s="74"/>
      <c r="QSD5" s="74"/>
      <c r="QSE5" s="74"/>
      <c r="QSF5" s="74"/>
      <c r="QSG5" s="74"/>
      <c r="QSH5" s="74"/>
      <c r="QSI5" s="74"/>
      <c r="QSJ5" s="74"/>
      <c r="QSK5" s="74"/>
      <c r="QSL5" s="74"/>
      <c r="QSM5" s="74"/>
      <c r="QSN5" s="74"/>
      <c r="QSO5" s="74"/>
      <c r="QSP5" s="74"/>
      <c r="QSQ5" s="74"/>
      <c r="QSR5" s="74"/>
      <c r="QSS5" s="74"/>
      <c r="QST5" s="74"/>
      <c r="QSU5" s="74"/>
      <c r="QSV5" s="74"/>
      <c r="QSW5" s="74"/>
      <c r="QSX5" s="74"/>
      <c r="QSY5" s="74"/>
      <c r="QSZ5" s="74"/>
      <c r="QTA5" s="74"/>
      <c r="QTB5" s="74"/>
      <c r="QTC5" s="74"/>
      <c r="QTD5" s="74"/>
      <c r="QTE5" s="74"/>
      <c r="QTF5" s="74"/>
      <c r="QTG5" s="74"/>
      <c r="QTH5" s="74"/>
      <c r="QTI5" s="74"/>
      <c r="QTJ5" s="74"/>
      <c r="QTK5" s="74"/>
      <c r="QTL5" s="74"/>
      <c r="QTM5" s="74"/>
      <c r="QTN5" s="74"/>
      <c r="QTO5" s="74"/>
      <c r="QTP5" s="74"/>
      <c r="QTQ5" s="74"/>
      <c r="QTR5" s="74"/>
      <c r="QTS5" s="74"/>
      <c r="QTT5" s="74"/>
      <c r="QTU5" s="74"/>
      <c r="QTV5" s="74"/>
      <c r="QTW5" s="74"/>
      <c r="QTX5" s="74"/>
      <c r="QTY5" s="74"/>
      <c r="QTZ5" s="74"/>
      <c r="QUA5" s="74"/>
      <c r="QUB5" s="74"/>
      <c r="QUC5" s="74"/>
      <c r="QUD5" s="74"/>
      <c r="QUE5" s="74"/>
      <c r="QUF5" s="74"/>
      <c r="QUG5" s="74"/>
      <c r="QUH5" s="74"/>
      <c r="QUI5" s="74"/>
      <c r="QUJ5" s="74"/>
      <c r="QUK5" s="74"/>
      <c r="QUL5" s="74"/>
      <c r="QUM5" s="74"/>
      <c r="QUN5" s="74"/>
      <c r="QUO5" s="74"/>
      <c r="QUP5" s="74"/>
      <c r="QUQ5" s="74"/>
      <c r="QUR5" s="74"/>
      <c r="QUS5" s="74"/>
      <c r="QUT5" s="74"/>
      <c r="QUU5" s="74"/>
      <c r="QUV5" s="74"/>
      <c r="QUW5" s="74"/>
      <c r="QUX5" s="74"/>
      <c r="QUY5" s="74"/>
      <c r="QUZ5" s="74"/>
      <c r="QVA5" s="74"/>
      <c r="QVB5" s="74"/>
      <c r="QVC5" s="74"/>
      <c r="QVD5" s="74"/>
      <c r="QVE5" s="74"/>
      <c r="QVF5" s="74"/>
      <c r="QVG5" s="74"/>
      <c r="QVH5" s="74"/>
      <c r="QVI5" s="74"/>
      <c r="QVJ5" s="74"/>
      <c r="QVK5" s="74"/>
      <c r="QVL5" s="74"/>
      <c r="QVM5" s="74"/>
      <c r="QVN5" s="74"/>
      <c r="QVO5" s="74"/>
      <c r="QVP5" s="74"/>
      <c r="QVQ5" s="74"/>
      <c r="QVR5" s="74"/>
      <c r="QVS5" s="74"/>
      <c r="QVT5" s="74"/>
      <c r="QVU5" s="74"/>
      <c r="QVV5" s="74"/>
      <c r="QVW5" s="74"/>
      <c r="QVX5" s="74"/>
      <c r="QVY5" s="74"/>
      <c r="QVZ5" s="74"/>
      <c r="QWA5" s="74"/>
      <c r="QWB5" s="74"/>
      <c r="QWC5" s="74"/>
      <c r="QWD5" s="74"/>
      <c r="QWE5" s="74"/>
      <c r="QWF5" s="74"/>
      <c r="QWG5" s="74"/>
      <c r="QWH5" s="74"/>
      <c r="QWI5" s="74"/>
      <c r="QWJ5" s="74"/>
      <c r="QWK5" s="74"/>
      <c r="QWL5" s="74"/>
      <c r="QWM5" s="74"/>
      <c r="QWN5" s="74"/>
      <c r="QWO5" s="74"/>
      <c r="QWP5" s="74"/>
      <c r="QWQ5" s="74"/>
      <c r="QWR5" s="74"/>
      <c r="QWS5" s="74"/>
      <c r="QWT5" s="74"/>
      <c r="QWU5" s="74"/>
      <c r="QWV5" s="74"/>
      <c r="QWW5" s="74"/>
      <c r="QWX5" s="74"/>
      <c r="QWY5" s="74"/>
      <c r="QWZ5" s="74"/>
      <c r="QXA5" s="74"/>
      <c r="QXB5" s="74"/>
      <c r="QXC5" s="74"/>
      <c r="QXD5" s="74"/>
      <c r="QXE5" s="74"/>
      <c r="QXF5" s="74"/>
      <c r="QXG5" s="74"/>
      <c r="QXH5" s="74"/>
      <c r="QXI5" s="74"/>
      <c r="QXJ5" s="74"/>
      <c r="QXK5" s="74"/>
      <c r="QXL5" s="74"/>
      <c r="QXM5" s="74"/>
      <c r="QXN5" s="74"/>
      <c r="QXO5" s="74"/>
      <c r="QXP5" s="74"/>
      <c r="QXQ5" s="74"/>
      <c r="QXR5" s="74"/>
      <c r="QXS5" s="74"/>
      <c r="QXT5" s="74"/>
      <c r="QXU5" s="74"/>
      <c r="QXV5" s="74"/>
      <c r="QXW5" s="74"/>
      <c r="QXX5" s="74"/>
      <c r="QXY5" s="74"/>
      <c r="QXZ5" s="74"/>
      <c r="QYA5" s="74"/>
      <c r="QYB5" s="74"/>
      <c r="QYC5" s="74"/>
      <c r="QYD5" s="74"/>
      <c r="QYE5" s="74"/>
      <c r="QYF5" s="74"/>
      <c r="QYG5" s="74"/>
      <c r="QYH5" s="74"/>
      <c r="QYI5" s="74"/>
      <c r="QYJ5" s="74"/>
      <c r="QYK5" s="74"/>
      <c r="QYL5" s="74"/>
      <c r="QYM5" s="74"/>
      <c r="QYN5" s="74"/>
      <c r="QYO5" s="74"/>
      <c r="QYP5" s="74"/>
      <c r="QYQ5" s="74"/>
      <c r="QYR5" s="74"/>
      <c r="QYS5" s="74"/>
      <c r="QYT5" s="74"/>
      <c r="QYU5" s="74"/>
      <c r="QYV5" s="74"/>
      <c r="QYW5" s="74"/>
      <c r="QYX5" s="74"/>
      <c r="QYY5" s="74"/>
      <c r="QYZ5" s="74"/>
      <c r="QZA5" s="74"/>
      <c r="QZB5" s="74"/>
      <c r="QZC5" s="74"/>
      <c r="QZD5" s="74"/>
      <c r="QZE5" s="74"/>
      <c r="QZF5" s="74"/>
      <c r="QZG5" s="74"/>
      <c r="QZH5" s="74"/>
      <c r="QZI5" s="74"/>
      <c r="QZJ5" s="74"/>
      <c r="QZK5" s="74"/>
      <c r="QZL5" s="74"/>
      <c r="QZM5" s="74"/>
      <c r="QZN5" s="74"/>
      <c r="QZO5" s="74"/>
      <c r="QZP5" s="74"/>
      <c r="QZQ5" s="74"/>
      <c r="QZR5" s="74"/>
      <c r="QZS5" s="74"/>
      <c r="QZT5" s="74"/>
      <c r="QZU5" s="74"/>
      <c r="QZV5" s="74"/>
      <c r="QZW5" s="74"/>
      <c r="QZX5" s="74"/>
      <c r="QZY5" s="74"/>
      <c r="QZZ5" s="74"/>
      <c r="RAA5" s="74"/>
      <c r="RAB5" s="74"/>
      <c r="RAC5" s="74"/>
      <c r="RAD5" s="74"/>
      <c r="RAE5" s="74"/>
      <c r="RAF5" s="74"/>
      <c r="RAG5" s="74"/>
      <c r="RAH5" s="74"/>
      <c r="RAI5" s="74"/>
      <c r="RAJ5" s="74"/>
      <c r="RAK5" s="74"/>
      <c r="RAL5" s="74"/>
      <c r="RAM5" s="74"/>
      <c r="RAN5" s="74"/>
      <c r="RAO5" s="74"/>
      <c r="RAP5" s="74"/>
      <c r="RAQ5" s="74"/>
      <c r="RAR5" s="74"/>
      <c r="RAS5" s="74"/>
      <c r="RAT5" s="74"/>
      <c r="RAU5" s="74"/>
      <c r="RAV5" s="74"/>
      <c r="RAW5" s="74"/>
      <c r="RAX5" s="74"/>
      <c r="RAY5" s="74"/>
      <c r="RAZ5" s="74"/>
      <c r="RBA5" s="74"/>
      <c r="RBB5" s="74"/>
      <c r="RBC5" s="74"/>
      <c r="RBD5" s="74"/>
      <c r="RBE5" s="74"/>
      <c r="RBF5" s="74"/>
      <c r="RBG5" s="74"/>
      <c r="RBH5" s="74"/>
      <c r="RBI5" s="74"/>
      <c r="RBJ5" s="74"/>
      <c r="RBK5" s="74"/>
      <c r="RBL5" s="74"/>
      <c r="RBM5" s="74"/>
      <c r="RBN5" s="74"/>
      <c r="RBO5" s="74"/>
      <c r="RBP5" s="74"/>
      <c r="RBQ5" s="74"/>
      <c r="RBR5" s="74"/>
      <c r="RBS5" s="74"/>
      <c r="RBT5" s="74"/>
      <c r="RBU5" s="74"/>
      <c r="RBV5" s="74"/>
      <c r="RBW5" s="74"/>
      <c r="RBX5" s="74"/>
      <c r="RBY5" s="74"/>
      <c r="RBZ5" s="74"/>
      <c r="RCA5" s="74"/>
      <c r="RCB5" s="74"/>
      <c r="RCC5" s="74"/>
      <c r="RCD5" s="74"/>
      <c r="RCE5" s="74"/>
      <c r="RCF5" s="74"/>
      <c r="RCG5" s="74"/>
      <c r="RCH5" s="74"/>
      <c r="RCI5" s="74"/>
      <c r="RCJ5" s="74"/>
      <c r="RCK5" s="74"/>
      <c r="RCL5" s="74"/>
      <c r="RCM5" s="74"/>
      <c r="RCN5" s="74"/>
      <c r="RCO5" s="74"/>
      <c r="RCP5" s="74"/>
      <c r="RCQ5" s="74"/>
      <c r="RCR5" s="74"/>
      <c r="RCS5" s="74"/>
      <c r="RCT5" s="74"/>
      <c r="RCU5" s="74"/>
      <c r="RCV5" s="74"/>
      <c r="RCW5" s="74"/>
      <c r="RCX5" s="74"/>
      <c r="RCY5" s="74"/>
      <c r="RCZ5" s="74"/>
      <c r="RDA5" s="74"/>
      <c r="RDB5" s="74"/>
      <c r="RDC5" s="74"/>
      <c r="RDD5" s="74"/>
      <c r="RDE5" s="74"/>
      <c r="RDF5" s="74"/>
      <c r="RDG5" s="74"/>
      <c r="RDH5" s="74"/>
      <c r="RDI5" s="74"/>
      <c r="RDJ5" s="74"/>
      <c r="RDK5" s="74"/>
      <c r="RDL5" s="74"/>
      <c r="RDM5" s="74"/>
      <c r="RDN5" s="74"/>
      <c r="RDO5" s="74"/>
      <c r="RDP5" s="74"/>
      <c r="RDQ5" s="74"/>
      <c r="RDR5" s="74"/>
      <c r="RDS5" s="74"/>
      <c r="RDT5" s="74"/>
      <c r="RDU5" s="74"/>
      <c r="RDV5" s="74"/>
      <c r="RDW5" s="74"/>
      <c r="RDX5" s="74"/>
      <c r="RDY5" s="74"/>
      <c r="RDZ5" s="74"/>
      <c r="REA5" s="74"/>
      <c r="REB5" s="74"/>
      <c r="REC5" s="74"/>
      <c r="RED5" s="74"/>
      <c r="REE5" s="74"/>
      <c r="REF5" s="74"/>
      <c r="REG5" s="74"/>
      <c r="REH5" s="74"/>
      <c r="REI5" s="74"/>
      <c r="REJ5" s="74"/>
      <c r="REK5" s="74"/>
      <c r="REL5" s="74"/>
      <c r="REM5" s="74"/>
      <c r="REN5" s="74"/>
      <c r="REO5" s="74"/>
      <c r="REP5" s="74"/>
      <c r="REQ5" s="74"/>
      <c r="RER5" s="74"/>
      <c r="RES5" s="74"/>
      <c r="RET5" s="74"/>
      <c r="REU5" s="74"/>
      <c r="REV5" s="74"/>
      <c r="REW5" s="74"/>
      <c r="REX5" s="74"/>
      <c r="REY5" s="74"/>
      <c r="REZ5" s="74"/>
      <c r="RFA5" s="74"/>
      <c r="RFB5" s="74"/>
      <c r="RFC5" s="74"/>
      <c r="RFD5" s="74"/>
      <c r="RFE5" s="74"/>
      <c r="RFF5" s="74"/>
      <c r="RFG5" s="74"/>
      <c r="RFH5" s="74"/>
      <c r="RFI5" s="74"/>
      <c r="RFJ5" s="74"/>
      <c r="RFK5" s="74"/>
      <c r="RFL5" s="74"/>
      <c r="RFM5" s="74"/>
      <c r="RFN5" s="74"/>
      <c r="RFO5" s="74"/>
      <c r="RFP5" s="74"/>
      <c r="RFQ5" s="74"/>
      <c r="RFR5" s="74"/>
      <c r="RFS5" s="74"/>
      <c r="RFT5" s="74"/>
      <c r="RFU5" s="74"/>
      <c r="RFV5" s="74"/>
      <c r="RFW5" s="74"/>
      <c r="RFX5" s="74"/>
      <c r="RFY5" s="74"/>
      <c r="RFZ5" s="74"/>
      <c r="RGA5" s="74"/>
      <c r="RGB5" s="74"/>
      <c r="RGC5" s="74"/>
      <c r="RGD5" s="74"/>
      <c r="RGE5" s="74"/>
      <c r="RGF5" s="74"/>
      <c r="RGG5" s="74"/>
      <c r="RGH5" s="74"/>
      <c r="RGI5" s="74"/>
      <c r="RGJ5" s="74"/>
      <c r="RGK5" s="74"/>
      <c r="RGL5" s="74"/>
      <c r="RGM5" s="74"/>
      <c r="RGN5" s="74"/>
      <c r="RGO5" s="74"/>
      <c r="RGP5" s="74"/>
      <c r="RGQ5" s="74"/>
      <c r="RGR5" s="74"/>
      <c r="RGS5" s="74"/>
      <c r="RGT5" s="74"/>
      <c r="RGU5" s="74"/>
      <c r="RGV5" s="74"/>
      <c r="RGW5" s="74"/>
      <c r="RGX5" s="74"/>
      <c r="RGY5" s="74"/>
      <c r="RGZ5" s="74"/>
      <c r="RHA5" s="74"/>
      <c r="RHB5" s="74"/>
      <c r="RHC5" s="74"/>
      <c r="RHD5" s="74"/>
      <c r="RHE5" s="74"/>
      <c r="RHF5" s="74"/>
      <c r="RHG5" s="74"/>
      <c r="RHH5" s="74"/>
      <c r="RHI5" s="74"/>
      <c r="RHJ5" s="74"/>
      <c r="RHK5" s="74"/>
      <c r="RHL5" s="74"/>
      <c r="RHM5" s="74"/>
      <c r="RHN5" s="74"/>
      <c r="RHO5" s="74"/>
      <c r="RHP5" s="74"/>
      <c r="RHQ5" s="74"/>
      <c r="RHR5" s="74"/>
      <c r="RHS5" s="74"/>
      <c r="RHT5" s="74"/>
      <c r="RHU5" s="74"/>
      <c r="RHV5" s="74"/>
      <c r="RHW5" s="74"/>
      <c r="RHX5" s="74"/>
      <c r="RHY5" s="74"/>
      <c r="RHZ5" s="74"/>
      <c r="RIA5" s="74"/>
      <c r="RIB5" s="74"/>
      <c r="RIC5" s="74"/>
      <c r="RID5" s="74"/>
      <c r="RIE5" s="74"/>
      <c r="RIF5" s="74"/>
      <c r="RIG5" s="74"/>
      <c r="RIH5" s="74"/>
      <c r="RII5" s="74"/>
      <c r="RIJ5" s="74"/>
      <c r="RIK5" s="74"/>
      <c r="RIL5" s="74"/>
      <c r="RIM5" s="74"/>
      <c r="RIN5" s="74"/>
      <c r="RIO5" s="74"/>
      <c r="RIP5" s="74"/>
      <c r="RIQ5" s="74"/>
      <c r="RIR5" s="74"/>
      <c r="RIS5" s="74"/>
      <c r="RIT5" s="74"/>
      <c r="RIU5" s="74"/>
      <c r="RIV5" s="74"/>
      <c r="RIW5" s="74"/>
      <c r="RIX5" s="74"/>
      <c r="RIY5" s="74"/>
      <c r="RIZ5" s="74"/>
      <c r="RJA5" s="74"/>
      <c r="RJB5" s="74"/>
      <c r="RJC5" s="74"/>
      <c r="RJD5" s="74"/>
      <c r="RJE5" s="74"/>
      <c r="RJF5" s="74"/>
      <c r="RJG5" s="74"/>
      <c r="RJH5" s="74"/>
      <c r="RJI5" s="74"/>
      <c r="RJJ5" s="74"/>
      <c r="RJK5" s="74"/>
      <c r="RJL5" s="74"/>
      <c r="RJM5" s="74"/>
      <c r="RJN5" s="74"/>
      <c r="RJO5" s="74"/>
      <c r="RJP5" s="74"/>
      <c r="RJQ5" s="74"/>
      <c r="RJR5" s="74"/>
      <c r="RJS5" s="74"/>
      <c r="RJT5" s="74"/>
      <c r="RJU5" s="74"/>
      <c r="RJV5" s="74"/>
      <c r="RJW5" s="74"/>
      <c r="RJX5" s="74"/>
      <c r="RJY5" s="74"/>
      <c r="RJZ5" s="74"/>
      <c r="RKA5" s="74"/>
      <c r="RKB5" s="74"/>
      <c r="RKC5" s="74"/>
      <c r="RKD5" s="74"/>
      <c r="RKE5" s="74"/>
      <c r="RKF5" s="74"/>
      <c r="RKG5" s="74"/>
      <c r="RKH5" s="74"/>
      <c r="RKI5" s="74"/>
      <c r="RKJ5" s="74"/>
      <c r="RKK5" s="74"/>
      <c r="RKL5" s="74"/>
      <c r="RKM5" s="74"/>
      <c r="RKN5" s="74"/>
      <c r="RKO5" s="74"/>
      <c r="RKP5" s="74"/>
      <c r="RKQ5" s="74"/>
      <c r="RKR5" s="74"/>
      <c r="RKS5" s="74"/>
      <c r="RKT5" s="74"/>
      <c r="RKU5" s="74"/>
      <c r="RKV5" s="74"/>
      <c r="RKW5" s="74"/>
      <c r="RKX5" s="74"/>
      <c r="RKY5" s="74"/>
      <c r="RKZ5" s="74"/>
      <c r="RLA5" s="74"/>
      <c r="RLB5" s="74"/>
      <c r="RLC5" s="74"/>
      <c r="RLD5" s="74"/>
      <c r="RLE5" s="74"/>
      <c r="RLF5" s="74"/>
      <c r="RLG5" s="74"/>
      <c r="RLH5" s="74"/>
      <c r="RLI5" s="74"/>
      <c r="RLJ5" s="74"/>
      <c r="RLK5" s="74"/>
      <c r="RLL5" s="74"/>
      <c r="RLM5" s="74"/>
      <c r="RLN5" s="74"/>
      <c r="RLO5" s="74"/>
      <c r="RLP5" s="74"/>
      <c r="RLQ5" s="74"/>
      <c r="RLR5" s="74"/>
      <c r="RLS5" s="74"/>
      <c r="RLT5" s="74"/>
      <c r="RLU5" s="74"/>
      <c r="RLV5" s="74"/>
      <c r="RLW5" s="74"/>
      <c r="RLX5" s="74"/>
      <c r="RLY5" s="74"/>
      <c r="RLZ5" s="74"/>
      <c r="RMA5" s="74"/>
      <c r="RMB5" s="74"/>
      <c r="RMC5" s="74"/>
      <c r="RMD5" s="74"/>
      <c r="RME5" s="74"/>
      <c r="RMF5" s="74"/>
      <c r="RMG5" s="74"/>
      <c r="RMH5" s="74"/>
      <c r="RMI5" s="74"/>
      <c r="RMJ5" s="74"/>
      <c r="RMK5" s="74"/>
      <c r="RML5" s="74"/>
      <c r="RMM5" s="74"/>
      <c r="RMN5" s="74"/>
      <c r="RMO5" s="74"/>
      <c r="RMP5" s="74"/>
      <c r="RMQ5" s="74"/>
      <c r="RMR5" s="74"/>
      <c r="RMS5" s="74"/>
      <c r="RMT5" s="74"/>
      <c r="RMU5" s="74"/>
      <c r="RMV5" s="74"/>
      <c r="RMW5" s="74"/>
      <c r="RMX5" s="74"/>
      <c r="RMY5" s="74"/>
      <c r="RMZ5" s="74"/>
      <c r="RNA5" s="74"/>
      <c r="RNB5" s="74"/>
      <c r="RNC5" s="74"/>
      <c r="RND5" s="74"/>
      <c r="RNE5" s="74"/>
      <c r="RNF5" s="74"/>
      <c r="RNG5" s="74"/>
      <c r="RNH5" s="74"/>
      <c r="RNI5" s="74"/>
      <c r="RNJ5" s="74"/>
      <c r="RNK5" s="74"/>
      <c r="RNL5" s="74"/>
      <c r="RNM5" s="74"/>
      <c r="RNN5" s="74"/>
      <c r="RNO5" s="74"/>
      <c r="RNP5" s="74"/>
      <c r="RNQ5" s="74"/>
      <c r="RNR5" s="74"/>
      <c r="RNS5" s="74"/>
      <c r="RNT5" s="74"/>
      <c r="RNU5" s="74"/>
      <c r="RNV5" s="74"/>
      <c r="RNW5" s="74"/>
      <c r="RNX5" s="74"/>
      <c r="RNY5" s="74"/>
      <c r="RNZ5" s="74"/>
      <c r="ROA5" s="74"/>
      <c r="ROB5" s="74"/>
      <c r="ROC5" s="74"/>
      <c r="ROD5" s="74"/>
      <c r="ROE5" s="74"/>
      <c r="ROF5" s="74"/>
      <c r="ROG5" s="74"/>
      <c r="ROH5" s="74"/>
      <c r="ROI5" s="74"/>
      <c r="ROJ5" s="74"/>
      <c r="ROK5" s="74"/>
      <c r="ROL5" s="74"/>
      <c r="ROM5" s="74"/>
      <c r="RON5" s="74"/>
      <c r="ROO5" s="74"/>
      <c r="ROP5" s="74"/>
      <c r="ROQ5" s="74"/>
      <c r="ROR5" s="74"/>
      <c r="ROS5" s="74"/>
      <c r="ROT5" s="74"/>
      <c r="ROU5" s="74"/>
      <c r="ROV5" s="74"/>
      <c r="ROW5" s="74"/>
      <c r="ROX5" s="74"/>
      <c r="ROY5" s="74"/>
      <c r="ROZ5" s="74"/>
      <c r="RPA5" s="74"/>
      <c r="RPB5" s="74"/>
      <c r="RPC5" s="74"/>
      <c r="RPD5" s="74"/>
      <c r="RPE5" s="74"/>
      <c r="RPF5" s="74"/>
      <c r="RPG5" s="74"/>
      <c r="RPH5" s="74"/>
      <c r="RPI5" s="74"/>
      <c r="RPJ5" s="74"/>
      <c r="RPK5" s="74"/>
      <c r="RPL5" s="74"/>
      <c r="RPM5" s="74"/>
      <c r="RPN5" s="74"/>
      <c r="RPO5" s="74"/>
      <c r="RPP5" s="74"/>
      <c r="RPQ5" s="74"/>
      <c r="RPR5" s="74"/>
      <c r="RPS5" s="74"/>
      <c r="RPT5" s="74"/>
      <c r="RPU5" s="74"/>
      <c r="RPV5" s="74"/>
      <c r="RPW5" s="74"/>
      <c r="RPX5" s="74"/>
      <c r="RPY5" s="74"/>
      <c r="RPZ5" s="74"/>
      <c r="RQA5" s="74"/>
      <c r="RQB5" s="74"/>
      <c r="RQC5" s="74"/>
      <c r="RQD5" s="74"/>
      <c r="RQE5" s="74"/>
      <c r="RQF5" s="74"/>
      <c r="RQG5" s="74"/>
      <c r="RQH5" s="74"/>
      <c r="RQI5" s="74"/>
      <c r="RQJ5" s="74"/>
      <c r="RQK5" s="74"/>
      <c r="RQL5" s="74"/>
      <c r="RQM5" s="74"/>
      <c r="RQN5" s="74"/>
      <c r="RQO5" s="74"/>
      <c r="RQP5" s="74"/>
      <c r="RQQ5" s="74"/>
      <c r="RQR5" s="74"/>
      <c r="RQS5" s="74"/>
      <c r="RQT5" s="74"/>
      <c r="RQU5" s="74"/>
      <c r="RQV5" s="74"/>
      <c r="RQW5" s="74"/>
      <c r="RQX5" s="74"/>
      <c r="RQY5" s="74"/>
      <c r="RQZ5" s="74"/>
      <c r="RRA5" s="74"/>
      <c r="RRB5" s="74"/>
      <c r="RRC5" s="74"/>
      <c r="RRD5" s="74"/>
      <c r="RRE5" s="74"/>
      <c r="RRF5" s="74"/>
      <c r="RRG5" s="74"/>
      <c r="RRH5" s="74"/>
      <c r="RRI5" s="74"/>
      <c r="RRJ5" s="74"/>
      <c r="RRK5" s="74"/>
      <c r="RRL5" s="74"/>
      <c r="RRM5" s="74"/>
      <c r="RRN5" s="74"/>
      <c r="RRO5" s="74"/>
      <c r="RRP5" s="74"/>
      <c r="RRQ5" s="74"/>
      <c r="RRR5" s="74"/>
      <c r="RRS5" s="74"/>
      <c r="RRT5" s="74"/>
      <c r="RRU5" s="74"/>
      <c r="RRV5" s="74"/>
      <c r="RRW5" s="74"/>
      <c r="RRX5" s="74"/>
      <c r="RRY5" s="74"/>
      <c r="RRZ5" s="74"/>
      <c r="RSA5" s="74"/>
      <c r="RSB5" s="74"/>
      <c r="RSC5" s="74"/>
      <c r="RSD5" s="74"/>
      <c r="RSE5" s="74"/>
      <c r="RSF5" s="74"/>
      <c r="RSG5" s="74"/>
      <c r="RSH5" s="74"/>
      <c r="RSI5" s="74"/>
      <c r="RSJ5" s="74"/>
      <c r="RSK5" s="74"/>
      <c r="RSL5" s="74"/>
      <c r="RSM5" s="74"/>
      <c r="RSN5" s="74"/>
      <c r="RSO5" s="74"/>
      <c r="RSP5" s="74"/>
      <c r="RSQ5" s="74"/>
      <c r="RSR5" s="74"/>
      <c r="RSS5" s="74"/>
      <c r="RST5" s="74"/>
      <c r="RSU5" s="74"/>
      <c r="RSV5" s="74"/>
      <c r="RSW5" s="74"/>
      <c r="RSX5" s="74"/>
      <c r="RSY5" s="74"/>
      <c r="RSZ5" s="74"/>
      <c r="RTA5" s="74"/>
      <c r="RTB5" s="74"/>
      <c r="RTC5" s="74"/>
      <c r="RTD5" s="74"/>
      <c r="RTE5" s="74"/>
      <c r="RTF5" s="74"/>
      <c r="RTG5" s="74"/>
      <c r="RTH5" s="74"/>
      <c r="RTI5" s="74"/>
      <c r="RTJ5" s="74"/>
      <c r="RTK5" s="74"/>
      <c r="RTL5" s="74"/>
      <c r="RTM5" s="74"/>
      <c r="RTN5" s="74"/>
      <c r="RTO5" s="74"/>
      <c r="RTP5" s="74"/>
      <c r="RTQ5" s="74"/>
      <c r="RTR5" s="74"/>
      <c r="RTS5" s="74"/>
      <c r="RTT5" s="74"/>
      <c r="RTU5" s="74"/>
      <c r="RTV5" s="74"/>
      <c r="RTW5" s="74"/>
      <c r="RTX5" s="74"/>
      <c r="RTY5" s="74"/>
      <c r="RTZ5" s="74"/>
      <c r="RUA5" s="74"/>
      <c r="RUB5" s="74"/>
      <c r="RUC5" s="74"/>
      <c r="RUD5" s="74"/>
      <c r="RUE5" s="74"/>
      <c r="RUF5" s="74"/>
      <c r="RUG5" s="74"/>
      <c r="RUH5" s="74"/>
      <c r="RUI5" s="74"/>
      <c r="RUJ5" s="74"/>
      <c r="RUK5" s="74"/>
      <c r="RUL5" s="74"/>
      <c r="RUM5" s="74"/>
      <c r="RUN5" s="74"/>
      <c r="RUO5" s="74"/>
      <c r="RUP5" s="74"/>
      <c r="RUQ5" s="74"/>
      <c r="RUR5" s="74"/>
      <c r="RUS5" s="74"/>
      <c r="RUT5" s="74"/>
      <c r="RUU5" s="74"/>
      <c r="RUV5" s="74"/>
      <c r="RUW5" s="74"/>
      <c r="RUX5" s="74"/>
      <c r="RUY5" s="74"/>
      <c r="RUZ5" s="74"/>
      <c r="RVA5" s="74"/>
      <c r="RVB5" s="74"/>
      <c r="RVC5" s="74"/>
      <c r="RVD5" s="74"/>
      <c r="RVE5" s="74"/>
      <c r="RVF5" s="74"/>
      <c r="RVG5" s="74"/>
      <c r="RVH5" s="74"/>
      <c r="RVI5" s="74"/>
      <c r="RVJ5" s="74"/>
      <c r="RVK5" s="74"/>
      <c r="RVL5" s="74"/>
      <c r="RVM5" s="74"/>
      <c r="RVN5" s="74"/>
      <c r="RVO5" s="74"/>
      <c r="RVP5" s="74"/>
      <c r="RVQ5" s="74"/>
      <c r="RVR5" s="74"/>
      <c r="RVS5" s="74"/>
      <c r="RVT5" s="74"/>
      <c r="RVU5" s="74"/>
      <c r="RVV5" s="74"/>
      <c r="RVW5" s="74"/>
      <c r="RVX5" s="74"/>
      <c r="RVY5" s="74"/>
      <c r="RVZ5" s="74"/>
      <c r="RWA5" s="74"/>
      <c r="RWB5" s="74"/>
      <c r="RWC5" s="74"/>
      <c r="RWD5" s="74"/>
      <c r="RWE5" s="74"/>
      <c r="RWF5" s="74"/>
      <c r="RWG5" s="74"/>
      <c r="RWH5" s="74"/>
      <c r="RWI5" s="74"/>
      <c r="RWJ5" s="74"/>
      <c r="RWK5" s="74"/>
      <c r="RWL5" s="74"/>
      <c r="RWM5" s="74"/>
      <c r="RWN5" s="74"/>
      <c r="RWO5" s="74"/>
      <c r="RWP5" s="74"/>
      <c r="RWQ5" s="74"/>
      <c r="RWR5" s="74"/>
      <c r="RWS5" s="74"/>
      <c r="RWT5" s="74"/>
      <c r="RWU5" s="74"/>
      <c r="RWV5" s="74"/>
      <c r="RWW5" s="74"/>
      <c r="RWX5" s="74"/>
      <c r="RWY5" s="74"/>
      <c r="RWZ5" s="74"/>
      <c r="RXA5" s="74"/>
      <c r="RXB5" s="74"/>
      <c r="RXC5" s="74"/>
      <c r="RXD5" s="74"/>
      <c r="RXE5" s="74"/>
      <c r="RXF5" s="74"/>
      <c r="RXG5" s="74"/>
      <c r="RXH5" s="74"/>
      <c r="RXI5" s="74"/>
      <c r="RXJ5" s="74"/>
      <c r="RXK5" s="74"/>
      <c r="RXL5" s="74"/>
      <c r="RXM5" s="74"/>
      <c r="RXN5" s="74"/>
      <c r="RXO5" s="74"/>
      <c r="RXP5" s="74"/>
      <c r="RXQ5" s="74"/>
      <c r="RXR5" s="74"/>
      <c r="RXS5" s="74"/>
      <c r="RXT5" s="74"/>
      <c r="RXU5" s="74"/>
      <c r="RXV5" s="74"/>
      <c r="RXW5" s="74"/>
      <c r="RXX5" s="74"/>
      <c r="RXY5" s="74"/>
      <c r="RXZ5" s="74"/>
      <c r="RYA5" s="74"/>
      <c r="RYB5" s="74"/>
      <c r="RYC5" s="74"/>
      <c r="RYD5" s="74"/>
      <c r="RYE5" s="74"/>
      <c r="RYF5" s="74"/>
      <c r="RYG5" s="74"/>
      <c r="RYH5" s="74"/>
      <c r="RYI5" s="74"/>
      <c r="RYJ5" s="74"/>
      <c r="RYK5" s="74"/>
      <c r="RYL5" s="74"/>
      <c r="RYM5" s="74"/>
      <c r="RYN5" s="74"/>
      <c r="RYO5" s="74"/>
      <c r="RYP5" s="74"/>
      <c r="RYQ5" s="74"/>
      <c r="RYR5" s="74"/>
      <c r="RYS5" s="74"/>
      <c r="RYT5" s="74"/>
      <c r="RYU5" s="74"/>
      <c r="RYV5" s="74"/>
      <c r="RYW5" s="74"/>
      <c r="RYX5" s="74"/>
      <c r="RYY5" s="74"/>
      <c r="RYZ5" s="74"/>
      <c r="RZA5" s="74"/>
      <c r="RZB5" s="74"/>
      <c r="RZC5" s="74"/>
      <c r="RZD5" s="74"/>
      <c r="RZE5" s="74"/>
      <c r="RZF5" s="74"/>
      <c r="RZG5" s="74"/>
      <c r="RZH5" s="74"/>
      <c r="RZI5" s="74"/>
      <c r="RZJ5" s="74"/>
      <c r="RZK5" s="74"/>
      <c r="RZL5" s="74"/>
      <c r="RZM5" s="74"/>
      <c r="RZN5" s="74"/>
      <c r="RZO5" s="74"/>
      <c r="RZP5" s="74"/>
      <c r="RZQ5" s="74"/>
      <c r="RZR5" s="74"/>
      <c r="RZS5" s="74"/>
      <c r="RZT5" s="74"/>
      <c r="RZU5" s="74"/>
      <c r="RZV5" s="74"/>
      <c r="RZW5" s="74"/>
      <c r="RZX5" s="74"/>
      <c r="RZY5" s="74"/>
      <c r="RZZ5" s="74"/>
      <c r="SAA5" s="74"/>
      <c r="SAB5" s="74"/>
      <c r="SAC5" s="74"/>
      <c r="SAD5" s="74"/>
      <c r="SAE5" s="74"/>
      <c r="SAF5" s="74"/>
      <c r="SAG5" s="74"/>
      <c r="SAH5" s="74"/>
      <c r="SAI5" s="74"/>
      <c r="SAJ5" s="74"/>
      <c r="SAK5" s="74"/>
      <c r="SAL5" s="74"/>
      <c r="SAM5" s="74"/>
      <c r="SAN5" s="74"/>
      <c r="SAO5" s="74"/>
      <c r="SAP5" s="74"/>
      <c r="SAQ5" s="74"/>
      <c r="SAR5" s="74"/>
      <c r="SAS5" s="74"/>
      <c r="SAT5" s="74"/>
      <c r="SAU5" s="74"/>
      <c r="SAV5" s="74"/>
      <c r="SAW5" s="74"/>
      <c r="SAX5" s="74"/>
      <c r="SAY5" s="74"/>
      <c r="SAZ5" s="74"/>
      <c r="SBA5" s="74"/>
      <c r="SBB5" s="74"/>
      <c r="SBC5" s="74"/>
      <c r="SBD5" s="74"/>
      <c r="SBE5" s="74"/>
      <c r="SBF5" s="74"/>
      <c r="SBG5" s="74"/>
      <c r="SBH5" s="74"/>
      <c r="SBI5" s="74"/>
      <c r="SBJ5" s="74"/>
      <c r="SBK5" s="74"/>
      <c r="SBL5" s="74"/>
      <c r="SBM5" s="74"/>
      <c r="SBN5" s="74"/>
      <c r="SBO5" s="74"/>
      <c r="SBP5" s="74"/>
      <c r="SBQ5" s="74"/>
      <c r="SBR5" s="74"/>
      <c r="SBS5" s="74"/>
      <c r="SBT5" s="74"/>
      <c r="SBU5" s="74"/>
      <c r="SBV5" s="74"/>
      <c r="SBW5" s="74"/>
      <c r="SBX5" s="74"/>
      <c r="SBY5" s="74"/>
      <c r="SBZ5" s="74"/>
      <c r="SCA5" s="74"/>
      <c r="SCB5" s="74"/>
      <c r="SCC5" s="74"/>
      <c r="SCD5" s="74"/>
      <c r="SCE5" s="74"/>
      <c r="SCF5" s="74"/>
      <c r="SCG5" s="74"/>
      <c r="SCH5" s="74"/>
      <c r="SCI5" s="74"/>
      <c r="SCJ5" s="74"/>
      <c r="SCK5" s="74"/>
      <c r="SCL5" s="74"/>
      <c r="SCM5" s="74"/>
      <c r="SCN5" s="74"/>
      <c r="SCO5" s="74"/>
      <c r="SCP5" s="74"/>
      <c r="SCQ5" s="74"/>
      <c r="SCR5" s="74"/>
      <c r="SCS5" s="74"/>
      <c r="SCT5" s="74"/>
      <c r="SCU5" s="74"/>
      <c r="SCV5" s="74"/>
      <c r="SCW5" s="74"/>
      <c r="SCX5" s="74"/>
      <c r="SCY5" s="74"/>
      <c r="SCZ5" s="74"/>
      <c r="SDA5" s="74"/>
      <c r="SDB5" s="74"/>
      <c r="SDC5" s="74"/>
      <c r="SDD5" s="74"/>
      <c r="SDE5" s="74"/>
      <c r="SDF5" s="74"/>
      <c r="SDG5" s="74"/>
      <c r="SDH5" s="74"/>
      <c r="SDI5" s="74"/>
      <c r="SDJ5" s="74"/>
      <c r="SDK5" s="74"/>
      <c r="SDL5" s="74"/>
      <c r="SDM5" s="74"/>
      <c r="SDN5" s="74"/>
      <c r="SDO5" s="74"/>
      <c r="SDP5" s="74"/>
      <c r="SDQ5" s="74"/>
      <c r="SDR5" s="74"/>
      <c r="SDS5" s="74"/>
      <c r="SDT5" s="74"/>
      <c r="SDU5" s="74"/>
      <c r="SDV5" s="74"/>
      <c r="SDW5" s="74"/>
      <c r="SDX5" s="74"/>
      <c r="SDY5" s="74"/>
      <c r="SDZ5" s="74"/>
      <c r="SEA5" s="74"/>
      <c r="SEB5" s="74"/>
      <c r="SEC5" s="74"/>
      <c r="SED5" s="74"/>
      <c r="SEE5" s="74"/>
      <c r="SEF5" s="74"/>
      <c r="SEG5" s="74"/>
      <c r="SEH5" s="74"/>
      <c r="SEI5" s="74"/>
      <c r="SEJ5" s="74"/>
      <c r="SEK5" s="74"/>
      <c r="SEL5" s="74"/>
      <c r="SEM5" s="74"/>
      <c r="SEN5" s="74"/>
      <c r="SEO5" s="74"/>
      <c r="SEP5" s="74"/>
      <c r="SEQ5" s="74"/>
      <c r="SER5" s="74"/>
      <c r="SES5" s="74"/>
      <c r="SET5" s="74"/>
      <c r="SEU5" s="74"/>
      <c r="SEV5" s="74"/>
      <c r="SEW5" s="74"/>
      <c r="SEX5" s="74"/>
      <c r="SEY5" s="74"/>
      <c r="SEZ5" s="74"/>
      <c r="SFA5" s="74"/>
      <c r="SFB5" s="74"/>
      <c r="SFC5" s="74"/>
      <c r="SFD5" s="74"/>
      <c r="SFE5" s="74"/>
      <c r="SFF5" s="74"/>
      <c r="SFG5" s="74"/>
      <c r="SFH5" s="74"/>
      <c r="SFI5" s="74"/>
      <c r="SFJ5" s="74"/>
      <c r="SFK5" s="74"/>
      <c r="SFL5" s="74"/>
      <c r="SFM5" s="74"/>
      <c r="SFN5" s="74"/>
      <c r="SFO5" s="74"/>
      <c r="SFP5" s="74"/>
      <c r="SFQ5" s="74"/>
      <c r="SFR5" s="74"/>
      <c r="SFS5" s="74"/>
      <c r="SFT5" s="74"/>
      <c r="SFU5" s="74"/>
      <c r="SFV5" s="74"/>
      <c r="SFW5" s="74"/>
      <c r="SFX5" s="74"/>
      <c r="SFY5" s="74"/>
      <c r="SFZ5" s="74"/>
      <c r="SGA5" s="74"/>
      <c r="SGB5" s="74"/>
      <c r="SGC5" s="74"/>
      <c r="SGD5" s="74"/>
      <c r="SGE5" s="74"/>
      <c r="SGF5" s="74"/>
      <c r="SGG5" s="74"/>
      <c r="SGH5" s="74"/>
      <c r="SGI5" s="74"/>
      <c r="SGJ5" s="74"/>
      <c r="SGK5" s="74"/>
      <c r="SGL5" s="74"/>
      <c r="SGM5" s="74"/>
      <c r="SGN5" s="74"/>
      <c r="SGO5" s="74"/>
      <c r="SGP5" s="74"/>
      <c r="SGQ5" s="74"/>
      <c r="SGR5" s="74"/>
      <c r="SGS5" s="74"/>
      <c r="SGT5" s="74"/>
      <c r="SGU5" s="74"/>
      <c r="SGV5" s="74"/>
      <c r="SGW5" s="74"/>
      <c r="SGX5" s="74"/>
      <c r="SGY5" s="74"/>
      <c r="SGZ5" s="74"/>
      <c r="SHA5" s="74"/>
      <c r="SHB5" s="74"/>
      <c r="SHC5" s="74"/>
      <c r="SHD5" s="74"/>
      <c r="SHE5" s="74"/>
      <c r="SHF5" s="74"/>
      <c r="SHG5" s="74"/>
      <c r="SHH5" s="74"/>
      <c r="SHI5" s="74"/>
      <c r="SHJ5" s="74"/>
      <c r="SHK5" s="74"/>
      <c r="SHL5" s="74"/>
      <c r="SHM5" s="74"/>
      <c r="SHN5" s="74"/>
      <c r="SHO5" s="74"/>
      <c r="SHP5" s="74"/>
      <c r="SHQ5" s="74"/>
      <c r="SHR5" s="74"/>
      <c r="SHS5" s="74"/>
      <c r="SHT5" s="74"/>
      <c r="SHU5" s="74"/>
      <c r="SHV5" s="74"/>
      <c r="SHW5" s="74"/>
      <c r="SHX5" s="74"/>
      <c r="SHY5" s="74"/>
      <c r="SHZ5" s="74"/>
      <c r="SIA5" s="74"/>
      <c r="SIB5" s="74"/>
      <c r="SIC5" s="74"/>
      <c r="SID5" s="74"/>
      <c r="SIE5" s="74"/>
      <c r="SIF5" s="74"/>
      <c r="SIG5" s="74"/>
      <c r="SIH5" s="74"/>
      <c r="SII5" s="74"/>
      <c r="SIJ5" s="74"/>
      <c r="SIK5" s="74"/>
      <c r="SIL5" s="74"/>
      <c r="SIM5" s="74"/>
      <c r="SIN5" s="74"/>
      <c r="SIO5" s="74"/>
      <c r="SIP5" s="74"/>
      <c r="SIQ5" s="74"/>
      <c r="SIR5" s="74"/>
      <c r="SIS5" s="74"/>
      <c r="SIT5" s="74"/>
      <c r="SIU5" s="74"/>
      <c r="SIV5" s="74"/>
      <c r="SIW5" s="74"/>
      <c r="SIX5" s="74"/>
      <c r="SIY5" s="74"/>
      <c r="SIZ5" s="74"/>
      <c r="SJA5" s="74"/>
      <c r="SJB5" s="74"/>
      <c r="SJC5" s="74"/>
      <c r="SJD5" s="74"/>
      <c r="SJE5" s="74"/>
      <c r="SJF5" s="74"/>
      <c r="SJG5" s="74"/>
      <c r="SJH5" s="74"/>
      <c r="SJI5" s="74"/>
      <c r="SJJ5" s="74"/>
      <c r="SJK5" s="74"/>
      <c r="SJL5" s="74"/>
      <c r="SJM5" s="74"/>
      <c r="SJN5" s="74"/>
      <c r="SJO5" s="74"/>
      <c r="SJP5" s="74"/>
      <c r="SJQ5" s="74"/>
      <c r="SJR5" s="74"/>
      <c r="SJS5" s="74"/>
      <c r="SJT5" s="74"/>
      <c r="SJU5" s="74"/>
      <c r="SJV5" s="74"/>
      <c r="SJW5" s="74"/>
      <c r="SJX5" s="74"/>
      <c r="SJY5" s="74"/>
      <c r="SJZ5" s="74"/>
      <c r="SKA5" s="74"/>
      <c r="SKB5" s="74"/>
      <c r="SKC5" s="74"/>
      <c r="SKD5" s="74"/>
      <c r="SKE5" s="74"/>
      <c r="SKF5" s="74"/>
      <c r="SKG5" s="74"/>
      <c r="SKH5" s="74"/>
      <c r="SKI5" s="74"/>
      <c r="SKJ5" s="74"/>
      <c r="SKK5" s="74"/>
      <c r="SKL5" s="74"/>
      <c r="SKM5" s="74"/>
      <c r="SKN5" s="74"/>
      <c r="SKO5" s="74"/>
      <c r="SKP5" s="74"/>
      <c r="SKQ5" s="74"/>
      <c r="SKR5" s="74"/>
      <c r="SKS5" s="74"/>
      <c r="SKT5" s="74"/>
      <c r="SKU5" s="74"/>
      <c r="SKV5" s="74"/>
      <c r="SKW5" s="74"/>
      <c r="SKX5" s="74"/>
      <c r="SKY5" s="74"/>
      <c r="SKZ5" s="74"/>
      <c r="SLA5" s="74"/>
      <c r="SLB5" s="74"/>
      <c r="SLC5" s="74"/>
      <c r="SLD5" s="74"/>
      <c r="SLE5" s="74"/>
      <c r="SLF5" s="74"/>
      <c r="SLG5" s="74"/>
      <c r="SLH5" s="74"/>
      <c r="SLI5" s="74"/>
      <c r="SLJ5" s="74"/>
      <c r="SLK5" s="74"/>
      <c r="SLL5" s="74"/>
      <c r="SLM5" s="74"/>
      <c r="SLN5" s="74"/>
      <c r="SLO5" s="74"/>
      <c r="SLP5" s="74"/>
      <c r="SLQ5" s="74"/>
      <c r="SLR5" s="74"/>
      <c r="SLS5" s="74"/>
      <c r="SLT5" s="74"/>
      <c r="SLU5" s="74"/>
      <c r="SLV5" s="74"/>
      <c r="SLW5" s="74"/>
      <c r="SLX5" s="74"/>
      <c r="SLY5" s="74"/>
      <c r="SLZ5" s="74"/>
      <c r="SMA5" s="74"/>
      <c r="SMB5" s="74"/>
      <c r="SMC5" s="74"/>
      <c r="SMD5" s="74"/>
      <c r="SME5" s="74"/>
      <c r="SMF5" s="74"/>
      <c r="SMG5" s="74"/>
      <c r="SMH5" s="74"/>
      <c r="SMI5" s="74"/>
      <c r="SMJ5" s="74"/>
      <c r="SMK5" s="74"/>
      <c r="SML5" s="74"/>
      <c r="SMM5" s="74"/>
      <c r="SMN5" s="74"/>
      <c r="SMO5" s="74"/>
      <c r="SMP5" s="74"/>
      <c r="SMQ5" s="74"/>
      <c r="SMR5" s="74"/>
      <c r="SMS5" s="74"/>
      <c r="SMT5" s="74"/>
      <c r="SMU5" s="74"/>
      <c r="SMV5" s="74"/>
      <c r="SMW5" s="74"/>
      <c r="SMX5" s="74"/>
      <c r="SMY5" s="74"/>
      <c r="SMZ5" s="74"/>
      <c r="SNA5" s="74"/>
      <c r="SNB5" s="74"/>
      <c r="SNC5" s="74"/>
      <c r="SND5" s="74"/>
      <c r="SNE5" s="74"/>
      <c r="SNF5" s="74"/>
      <c r="SNG5" s="74"/>
      <c r="SNH5" s="74"/>
      <c r="SNI5" s="74"/>
      <c r="SNJ5" s="74"/>
      <c r="SNK5" s="74"/>
      <c r="SNL5" s="74"/>
      <c r="SNM5" s="74"/>
      <c r="SNN5" s="74"/>
      <c r="SNO5" s="74"/>
      <c r="SNP5" s="74"/>
      <c r="SNQ5" s="74"/>
      <c r="SNR5" s="74"/>
      <c r="SNS5" s="74"/>
      <c r="SNT5" s="74"/>
      <c r="SNU5" s="74"/>
      <c r="SNV5" s="74"/>
      <c r="SNW5" s="74"/>
      <c r="SNX5" s="74"/>
      <c r="SNY5" s="74"/>
      <c r="SNZ5" s="74"/>
      <c r="SOA5" s="74"/>
      <c r="SOB5" s="74"/>
      <c r="SOC5" s="74"/>
      <c r="SOD5" s="74"/>
      <c r="SOE5" s="74"/>
      <c r="SOF5" s="74"/>
      <c r="SOG5" s="74"/>
      <c r="SOH5" s="74"/>
      <c r="SOI5" s="74"/>
      <c r="SOJ5" s="74"/>
      <c r="SOK5" s="74"/>
      <c r="SOL5" s="74"/>
      <c r="SOM5" s="74"/>
      <c r="SON5" s="74"/>
      <c r="SOO5" s="74"/>
      <c r="SOP5" s="74"/>
      <c r="SOQ5" s="74"/>
      <c r="SOR5" s="74"/>
      <c r="SOS5" s="74"/>
      <c r="SOT5" s="74"/>
      <c r="SOU5" s="74"/>
      <c r="SOV5" s="74"/>
      <c r="SOW5" s="74"/>
      <c r="SOX5" s="74"/>
      <c r="SOY5" s="74"/>
      <c r="SOZ5" s="74"/>
      <c r="SPA5" s="74"/>
      <c r="SPB5" s="74"/>
      <c r="SPC5" s="74"/>
      <c r="SPD5" s="74"/>
      <c r="SPE5" s="74"/>
      <c r="SPF5" s="74"/>
      <c r="SPG5" s="74"/>
      <c r="SPH5" s="74"/>
      <c r="SPI5" s="74"/>
      <c r="SPJ5" s="74"/>
      <c r="SPK5" s="74"/>
      <c r="SPL5" s="74"/>
      <c r="SPM5" s="74"/>
      <c r="SPN5" s="74"/>
      <c r="SPO5" s="74"/>
      <c r="SPP5" s="74"/>
      <c r="SPQ5" s="74"/>
      <c r="SPR5" s="74"/>
      <c r="SPS5" s="74"/>
      <c r="SPT5" s="74"/>
      <c r="SPU5" s="74"/>
      <c r="SPV5" s="74"/>
      <c r="SPW5" s="74"/>
      <c r="SPX5" s="74"/>
      <c r="SPY5" s="74"/>
      <c r="SPZ5" s="74"/>
      <c r="SQA5" s="74"/>
      <c r="SQB5" s="74"/>
      <c r="SQC5" s="74"/>
      <c r="SQD5" s="74"/>
      <c r="SQE5" s="74"/>
      <c r="SQF5" s="74"/>
      <c r="SQG5" s="74"/>
      <c r="SQH5" s="74"/>
      <c r="SQI5" s="74"/>
      <c r="SQJ5" s="74"/>
      <c r="SQK5" s="74"/>
      <c r="SQL5" s="74"/>
      <c r="SQM5" s="74"/>
      <c r="SQN5" s="74"/>
      <c r="SQO5" s="74"/>
      <c r="SQP5" s="74"/>
      <c r="SQQ5" s="74"/>
      <c r="SQR5" s="74"/>
      <c r="SQS5" s="74"/>
      <c r="SQT5" s="74"/>
      <c r="SQU5" s="74"/>
      <c r="SQV5" s="74"/>
      <c r="SQW5" s="74"/>
      <c r="SQX5" s="74"/>
      <c r="SQY5" s="74"/>
      <c r="SQZ5" s="74"/>
      <c r="SRA5" s="74"/>
      <c r="SRB5" s="74"/>
      <c r="SRC5" s="74"/>
      <c r="SRD5" s="74"/>
      <c r="SRE5" s="74"/>
      <c r="SRF5" s="74"/>
      <c r="SRG5" s="74"/>
      <c r="SRH5" s="74"/>
      <c r="SRI5" s="74"/>
      <c r="SRJ5" s="74"/>
      <c r="SRK5" s="74"/>
      <c r="SRL5" s="74"/>
      <c r="SRM5" s="74"/>
      <c r="SRN5" s="74"/>
      <c r="SRO5" s="74"/>
      <c r="SRP5" s="74"/>
      <c r="SRQ5" s="74"/>
      <c r="SRR5" s="74"/>
      <c r="SRS5" s="74"/>
      <c r="SRT5" s="74"/>
      <c r="SRU5" s="74"/>
      <c r="SRV5" s="74"/>
      <c r="SRW5" s="74"/>
      <c r="SRX5" s="74"/>
      <c r="SRY5" s="74"/>
      <c r="SRZ5" s="74"/>
      <c r="SSA5" s="74"/>
      <c r="SSB5" s="74"/>
      <c r="SSC5" s="74"/>
      <c r="SSD5" s="74"/>
      <c r="SSE5" s="74"/>
      <c r="SSF5" s="74"/>
      <c r="SSG5" s="74"/>
      <c r="SSH5" s="74"/>
      <c r="SSI5" s="74"/>
      <c r="SSJ5" s="74"/>
      <c r="SSK5" s="74"/>
      <c r="SSL5" s="74"/>
      <c r="SSM5" s="74"/>
      <c r="SSN5" s="74"/>
      <c r="SSO5" s="74"/>
      <c r="SSP5" s="74"/>
      <c r="SSQ5" s="74"/>
      <c r="SSR5" s="74"/>
      <c r="SSS5" s="74"/>
      <c r="SST5" s="74"/>
      <c r="SSU5" s="74"/>
      <c r="SSV5" s="74"/>
      <c r="SSW5" s="74"/>
      <c r="SSX5" s="74"/>
      <c r="SSY5" s="74"/>
      <c r="SSZ5" s="74"/>
      <c r="STA5" s="74"/>
      <c r="STB5" s="74"/>
      <c r="STC5" s="74"/>
      <c r="STD5" s="74"/>
      <c r="STE5" s="74"/>
      <c r="STF5" s="74"/>
      <c r="STG5" s="74"/>
      <c r="STH5" s="74"/>
      <c r="STI5" s="74"/>
      <c r="STJ5" s="74"/>
      <c r="STK5" s="74"/>
      <c r="STL5" s="74"/>
      <c r="STM5" s="74"/>
      <c r="STN5" s="74"/>
      <c r="STO5" s="74"/>
      <c r="STP5" s="74"/>
      <c r="STQ5" s="74"/>
      <c r="STR5" s="74"/>
      <c r="STS5" s="74"/>
      <c r="STT5" s="74"/>
      <c r="STU5" s="74"/>
      <c r="STV5" s="74"/>
      <c r="STW5" s="74"/>
      <c r="STX5" s="74"/>
      <c r="STY5" s="74"/>
      <c r="STZ5" s="74"/>
      <c r="SUA5" s="74"/>
      <c r="SUB5" s="74"/>
      <c r="SUC5" s="74"/>
      <c r="SUD5" s="74"/>
      <c r="SUE5" s="74"/>
      <c r="SUF5" s="74"/>
      <c r="SUG5" s="74"/>
      <c r="SUH5" s="74"/>
      <c r="SUI5" s="74"/>
      <c r="SUJ5" s="74"/>
      <c r="SUK5" s="74"/>
      <c r="SUL5" s="74"/>
      <c r="SUM5" s="74"/>
      <c r="SUN5" s="74"/>
      <c r="SUO5" s="74"/>
      <c r="SUP5" s="74"/>
      <c r="SUQ5" s="74"/>
      <c r="SUR5" s="74"/>
      <c r="SUS5" s="74"/>
      <c r="SUT5" s="74"/>
      <c r="SUU5" s="74"/>
      <c r="SUV5" s="74"/>
      <c r="SUW5" s="74"/>
      <c r="SUX5" s="74"/>
      <c r="SUY5" s="74"/>
      <c r="SUZ5" s="74"/>
      <c r="SVA5" s="74"/>
      <c r="SVB5" s="74"/>
      <c r="SVC5" s="74"/>
      <c r="SVD5" s="74"/>
      <c r="SVE5" s="74"/>
      <c r="SVF5" s="74"/>
      <c r="SVG5" s="74"/>
      <c r="SVH5" s="74"/>
      <c r="SVI5" s="74"/>
      <c r="SVJ5" s="74"/>
      <c r="SVK5" s="74"/>
      <c r="SVL5" s="74"/>
      <c r="SVM5" s="74"/>
      <c r="SVN5" s="74"/>
      <c r="SVO5" s="74"/>
      <c r="SVP5" s="74"/>
      <c r="SVQ5" s="74"/>
      <c r="SVR5" s="74"/>
      <c r="SVS5" s="74"/>
      <c r="SVT5" s="74"/>
      <c r="SVU5" s="74"/>
      <c r="SVV5" s="74"/>
      <c r="SVW5" s="74"/>
      <c r="SVX5" s="74"/>
      <c r="SVY5" s="74"/>
      <c r="SVZ5" s="74"/>
      <c r="SWA5" s="74"/>
      <c r="SWB5" s="74"/>
      <c r="SWC5" s="74"/>
      <c r="SWD5" s="74"/>
      <c r="SWE5" s="74"/>
      <c r="SWF5" s="74"/>
      <c r="SWG5" s="74"/>
      <c r="SWH5" s="74"/>
      <c r="SWI5" s="74"/>
      <c r="SWJ5" s="74"/>
      <c r="SWK5" s="74"/>
      <c r="SWL5" s="74"/>
      <c r="SWM5" s="74"/>
      <c r="SWN5" s="74"/>
      <c r="SWO5" s="74"/>
      <c r="SWP5" s="74"/>
      <c r="SWQ5" s="74"/>
      <c r="SWR5" s="74"/>
      <c r="SWS5" s="74"/>
      <c r="SWT5" s="74"/>
      <c r="SWU5" s="74"/>
      <c r="SWV5" s="74"/>
      <c r="SWW5" s="74"/>
      <c r="SWX5" s="74"/>
      <c r="SWY5" s="74"/>
      <c r="SWZ5" s="74"/>
      <c r="SXA5" s="74"/>
      <c r="SXB5" s="74"/>
      <c r="SXC5" s="74"/>
      <c r="SXD5" s="74"/>
      <c r="SXE5" s="74"/>
      <c r="SXF5" s="74"/>
      <c r="SXG5" s="74"/>
      <c r="SXH5" s="74"/>
      <c r="SXI5" s="74"/>
      <c r="SXJ5" s="74"/>
      <c r="SXK5" s="74"/>
      <c r="SXL5" s="74"/>
      <c r="SXM5" s="74"/>
      <c r="SXN5" s="74"/>
      <c r="SXO5" s="74"/>
      <c r="SXP5" s="74"/>
      <c r="SXQ5" s="74"/>
      <c r="SXR5" s="74"/>
      <c r="SXS5" s="74"/>
      <c r="SXT5" s="74"/>
      <c r="SXU5" s="74"/>
      <c r="SXV5" s="74"/>
      <c r="SXW5" s="74"/>
      <c r="SXX5" s="74"/>
      <c r="SXY5" s="74"/>
      <c r="SXZ5" s="74"/>
      <c r="SYA5" s="74"/>
      <c r="SYB5" s="74"/>
      <c r="SYC5" s="74"/>
      <c r="SYD5" s="74"/>
      <c r="SYE5" s="74"/>
      <c r="SYF5" s="74"/>
      <c r="SYG5" s="74"/>
      <c r="SYH5" s="74"/>
      <c r="SYI5" s="74"/>
      <c r="SYJ5" s="74"/>
      <c r="SYK5" s="74"/>
      <c r="SYL5" s="74"/>
      <c r="SYM5" s="74"/>
      <c r="SYN5" s="74"/>
      <c r="SYO5" s="74"/>
      <c r="SYP5" s="74"/>
      <c r="SYQ5" s="74"/>
      <c r="SYR5" s="74"/>
      <c r="SYS5" s="74"/>
      <c r="SYT5" s="74"/>
      <c r="SYU5" s="74"/>
      <c r="SYV5" s="74"/>
      <c r="SYW5" s="74"/>
      <c r="SYX5" s="74"/>
      <c r="SYY5" s="74"/>
      <c r="SYZ5" s="74"/>
      <c r="SZA5" s="74"/>
      <c r="SZB5" s="74"/>
      <c r="SZC5" s="74"/>
      <c r="SZD5" s="74"/>
      <c r="SZE5" s="74"/>
      <c r="SZF5" s="74"/>
      <c r="SZG5" s="74"/>
      <c r="SZH5" s="74"/>
      <c r="SZI5" s="74"/>
      <c r="SZJ5" s="74"/>
      <c r="SZK5" s="74"/>
      <c r="SZL5" s="74"/>
      <c r="SZM5" s="74"/>
      <c r="SZN5" s="74"/>
      <c r="SZO5" s="74"/>
      <c r="SZP5" s="74"/>
      <c r="SZQ5" s="74"/>
      <c r="SZR5" s="74"/>
      <c r="SZS5" s="74"/>
      <c r="SZT5" s="74"/>
      <c r="SZU5" s="74"/>
      <c r="SZV5" s="74"/>
      <c r="SZW5" s="74"/>
      <c r="SZX5" s="74"/>
      <c r="SZY5" s="74"/>
      <c r="SZZ5" s="74"/>
      <c r="TAA5" s="74"/>
      <c r="TAB5" s="74"/>
      <c r="TAC5" s="74"/>
      <c r="TAD5" s="74"/>
      <c r="TAE5" s="74"/>
      <c r="TAF5" s="74"/>
      <c r="TAG5" s="74"/>
      <c r="TAH5" s="74"/>
      <c r="TAI5" s="74"/>
      <c r="TAJ5" s="74"/>
      <c r="TAK5" s="74"/>
      <c r="TAL5" s="74"/>
      <c r="TAM5" s="74"/>
      <c r="TAN5" s="74"/>
      <c r="TAO5" s="74"/>
      <c r="TAP5" s="74"/>
      <c r="TAQ5" s="74"/>
      <c r="TAR5" s="74"/>
      <c r="TAS5" s="74"/>
      <c r="TAT5" s="74"/>
      <c r="TAU5" s="74"/>
      <c r="TAV5" s="74"/>
      <c r="TAW5" s="74"/>
      <c r="TAX5" s="74"/>
      <c r="TAY5" s="74"/>
      <c r="TAZ5" s="74"/>
      <c r="TBA5" s="74"/>
      <c r="TBB5" s="74"/>
      <c r="TBC5" s="74"/>
      <c r="TBD5" s="74"/>
      <c r="TBE5" s="74"/>
      <c r="TBF5" s="74"/>
      <c r="TBG5" s="74"/>
      <c r="TBH5" s="74"/>
      <c r="TBI5" s="74"/>
      <c r="TBJ5" s="74"/>
      <c r="TBK5" s="74"/>
      <c r="TBL5" s="74"/>
      <c r="TBM5" s="74"/>
      <c r="TBN5" s="74"/>
      <c r="TBO5" s="74"/>
      <c r="TBP5" s="74"/>
      <c r="TBQ5" s="74"/>
      <c r="TBR5" s="74"/>
      <c r="TBS5" s="74"/>
      <c r="TBT5" s="74"/>
      <c r="TBU5" s="74"/>
      <c r="TBV5" s="74"/>
      <c r="TBW5" s="74"/>
      <c r="TBX5" s="74"/>
      <c r="TBY5" s="74"/>
      <c r="TBZ5" s="74"/>
      <c r="TCA5" s="74"/>
      <c r="TCB5" s="74"/>
      <c r="TCC5" s="74"/>
      <c r="TCD5" s="74"/>
      <c r="TCE5" s="74"/>
      <c r="TCF5" s="74"/>
      <c r="TCG5" s="74"/>
      <c r="TCH5" s="74"/>
      <c r="TCI5" s="74"/>
      <c r="TCJ5" s="74"/>
      <c r="TCK5" s="74"/>
      <c r="TCL5" s="74"/>
      <c r="TCM5" s="74"/>
      <c r="TCN5" s="74"/>
      <c r="TCO5" s="74"/>
      <c r="TCP5" s="74"/>
      <c r="TCQ5" s="74"/>
      <c r="TCR5" s="74"/>
      <c r="TCS5" s="74"/>
      <c r="TCT5" s="74"/>
      <c r="TCU5" s="74"/>
      <c r="TCV5" s="74"/>
      <c r="TCW5" s="74"/>
      <c r="TCX5" s="74"/>
      <c r="TCY5" s="74"/>
      <c r="TCZ5" s="74"/>
      <c r="TDA5" s="74"/>
      <c r="TDB5" s="74"/>
      <c r="TDC5" s="74"/>
      <c r="TDD5" s="74"/>
      <c r="TDE5" s="74"/>
      <c r="TDF5" s="74"/>
      <c r="TDG5" s="74"/>
      <c r="TDH5" s="74"/>
      <c r="TDI5" s="74"/>
      <c r="TDJ5" s="74"/>
      <c r="TDK5" s="74"/>
      <c r="TDL5" s="74"/>
      <c r="TDM5" s="74"/>
      <c r="TDN5" s="74"/>
      <c r="TDO5" s="74"/>
      <c r="TDP5" s="74"/>
      <c r="TDQ5" s="74"/>
      <c r="TDR5" s="74"/>
      <c r="TDS5" s="74"/>
      <c r="TDT5" s="74"/>
      <c r="TDU5" s="74"/>
      <c r="TDV5" s="74"/>
      <c r="TDW5" s="74"/>
      <c r="TDX5" s="74"/>
      <c r="TDY5" s="74"/>
      <c r="TDZ5" s="74"/>
      <c r="TEA5" s="74"/>
      <c r="TEB5" s="74"/>
      <c r="TEC5" s="74"/>
      <c r="TED5" s="74"/>
      <c r="TEE5" s="74"/>
      <c r="TEF5" s="74"/>
      <c r="TEG5" s="74"/>
      <c r="TEH5" s="74"/>
      <c r="TEI5" s="74"/>
      <c r="TEJ5" s="74"/>
      <c r="TEK5" s="74"/>
      <c r="TEL5" s="74"/>
      <c r="TEM5" s="74"/>
      <c r="TEN5" s="74"/>
      <c r="TEO5" s="74"/>
      <c r="TEP5" s="74"/>
      <c r="TEQ5" s="74"/>
      <c r="TER5" s="74"/>
      <c r="TES5" s="74"/>
      <c r="TET5" s="74"/>
      <c r="TEU5" s="74"/>
      <c r="TEV5" s="74"/>
      <c r="TEW5" s="74"/>
      <c r="TEX5" s="74"/>
      <c r="TEY5" s="74"/>
      <c r="TEZ5" s="74"/>
      <c r="TFA5" s="74"/>
      <c r="TFB5" s="74"/>
      <c r="TFC5" s="74"/>
      <c r="TFD5" s="74"/>
      <c r="TFE5" s="74"/>
      <c r="TFF5" s="74"/>
      <c r="TFG5" s="74"/>
      <c r="TFH5" s="74"/>
      <c r="TFI5" s="74"/>
      <c r="TFJ5" s="74"/>
      <c r="TFK5" s="74"/>
      <c r="TFL5" s="74"/>
      <c r="TFM5" s="74"/>
      <c r="TFN5" s="74"/>
      <c r="TFO5" s="74"/>
      <c r="TFP5" s="74"/>
      <c r="TFQ5" s="74"/>
      <c r="TFR5" s="74"/>
      <c r="TFS5" s="74"/>
      <c r="TFT5" s="74"/>
      <c r="TFU5" s="74"/>
      <c r="TFV5" s="74"/>
      <c r="TFW5" s="74"/>
      <c r="TFX5" s="74"/>
      <c r="TFY5" s="74"/>
      <c r="TFZ5" s="74"/>
      <c r="TGA5" s="74"/>
      <c r="TGB5" s="74"/>
      <c r="TGC5" s="74"/>
      <c r="TGD5" s="74"/>
      <c r="TGE5" s="74"/>
      <c r="TGF5" s="74"/>
      <c r="TGG5" s="74"/>
      <c r="TGH5" s="74"/>
      <c r="TGI5" s="74"/>
      <c r="TGJ5" s="74"/>
      <c r="TGK5" s="74"/>
      <c r="TGL5" s="74"/>
      <c r="TGM5" s="74"/>
      <c r="TGN5" s="74"/>
      <c r="TGO5" s="74"/>
      <c r="TGP5" s="74"/>
      <c r="TGQ5" s="74"/>
      <c r="TGR5" s="74"/>
      <c r="TGS5" s="74"/>
      <c r="TGT5" s="74"/>
      <c r="TGU5" s="74"/>
      <c r="TGV5" s="74"/>
      <c r="TGW5" s="74"/>
      <c r="TGX5" s="74"/>
      <c r="TGY5" s="74"/>
      <c r="TGZ5" s="74"/>
      <c r="THA5" s="74"/>
      <c r="THB5" s="74"/>
      <c r="THC5" s="74"/>
      <c r="THD5" s="74"/>
      <c r="THE5" s="74"/>
      <c r="THF5" s="74"/>
      <c r="THG5" s="74"/>
      <c r="THH5" s="74"/>
      <c r="THI5" s="74"/>
      <c r="THJ5" s="74"/>
      <c r="THK5" s="74"/>
      <c r="THL5" s="74"/>
      <c r="THM5" s="74"/>
      <c r="THN5" s="74"/>
      <c r="THO5" s="74"/>
      <c r="THP5" s="74"/>
      <c r="THQ5" s="74"/>
      <c r="THR5" s="74"/>
      <c r="THS5" s="74"/>
      <c r="THT5" s="74"/>
      <c r="THU5" s="74"/>
      <c r="THV5" s="74"/>
      <c r="THW5" s="74"/>
      <c r="THX5" s="74"/>
      <c r="THY5" s="74"/>
      <c r="THZ5" s="74"/>
      <c r="TIA5" s="74"/>
      <c r="TIB5" s="74"/>
      <c r="TIC5" s="74"/>
      <c r="TID5" s="74"/>
      <c r="TIE5" s="74"/>
      <c r="TIF5" s="74"/>
      <c r="TIG5" s="74"/>
      <c r="TIH5" s="74"/>
      <c r="TII5" s="74"/>
      <c r="TIJ5" s="74"/>
      <c r="TIK5" s="74"/>
      <c r="TIL5" s="74"/>
      <c r="TIM5" s="74"/>
      <c r="TIN5" s="74"/>
      <c r="TIO5" s="74"/>
      <c r="TIP5" s="74"/>
      <c r="TIQ5" s="74"/>
      <c r="TIR5" s="74"/>
      <c r="TIS5" s="74"/>
      <c r="TIT5" s="74"/>
      <c r="TIU5" s="74"/>
      <c r="TIV5" s="74"/>
      <c r="TIW5" s="74"/>
      <c r="TIX5" s="74"/>
      <c r="TIY5" s="74"/>
      <c r="TIZ5" s="74"/>
      <c r="TJA5" s="74"/>
      <c r="TJB5" s="74"/>
      <c r="TJC5" s="74"/>
      <c r="TJD5" s="74"/>
      <c r="TJE5" s="74"/>
      <c r="TJF5" s="74"/>
      <c r="TJG5" s="74"/>
      <c r="TJH5" s="74"/>
      <c r="TJI5" s="74"/>
      <c r="TJJ5" s="74"/>
      <c r="TJK5" s="74"/>
      <c r="TJL5" s="74"/>
      <c r="TJM5" s="74"/>
      <c r="TJN5" s="74"/>
      <c r="TJO5" s="74"/>
      <c r="TJP5" s="74"/>
      <c r="TJQ5" s="74"/>
      <c r="TJR5" s="74"/>
      <c r="TJS5" s="74"/>
      <c r="TJT5" s="74"/>
      <c r="TJU5" s="74"/>
      <c r="TJV5" s="74"/>
      <c r="TJW5" s="74"/>
      <c r="TJX5" s="74"/>
      <c r="TJY5" s="74"/>
      <c r="TJZ5" s="74"/>
      <c r="TKA5" s="74"/>
      <c r="TKB5" s="74"/>
      <c r="TKC5" s="74"/>
      <c r="TKD5" s="74"/>
      <c r="TKE5" s="74"/>
      <c r="TKF5" s="74"/>
      <c r="TKG5" s="74"/>
      <c r="TKH5" s="74"/>
      <c r="TKI5" s="74"/>
      <c r="TKJ5" s="74"/>
      <c r="TKK5" s="74"/>
      <c r="TKL5" s="74"/>
      <c r="TKM5" s="74"/>
      <c r="TKN5" s="74"/>
      <c r="TKO5" s="74"/>
      <c r="TKP5" s="74"/>
      <c r="TKQ5" s="74"/>
      <c r="TKR5" s="74"/>
      <c r="TKS5" s="74"/>
      <c r="TKT5" s="74"/>
      <c r="TKU5" s="74"/>
      <c r="TKV5" s="74"/>
      <c r="TKW5" s="74"/>
      <c r="TKX5" s="74"/>
      <c r="TKY5" s="74"/>
      <c r="TKZ5" s="74"/>
      <c r="TLA5" s="74"/>
      <c r="TLB5" s="74"/>
      <c r="TLC5" s="74"/>
      <c r="TLD5" s="74"/>
      <c r="TLE5" s="74"/>
      <c r="TLF5" s="74"/>
      <c r="TLG5" s="74"/>
      <c r="TLH5" s="74"/>
      <c r="TLI5" s="74"/>
      <c r="TLJ5" s="74"/>
      <c r="TLK5" s="74"/>
      <c r="TLL5" s="74"/>
      <c r="TLM5" s="74"/>
      <c r="TLN5" s="74"/>
      <c r="TLO5" s="74"/>
      <c r="TLP5" s="74"/>
      <c r="TLQ5" s="74"/>
      <c r="TLR5" s="74"/>
      <c r="TLS5" s="74"/>
      <c r="TLT5" s="74"/>
      <c r="TLU5" s="74"/>
      <c r="TLV5" s="74"/>
      <c r="TLW5" s="74"/>
      <c r="TLX5" s="74"/>
      <c r="TLY5" s="74"/>
      <c r="TLZ5" s="74"/>
      <c r="TMA5" s="74"/>
      <c r="TMB5" s="74"/>
      <c r="TMC5" s="74"/>
      <c r="TMD5" s="74"/>
      <c r="TME5" s="74"/>
      <c r="TMF5" s="74"/>
      <c r="TMG5" s="74"/>
      <c r="TMH5" s="74"/>
      <c r="TMI5" s="74"/>
      <c r="TMJ5" s="74"/>
      <c r="TMK5" s="74"/>
      <c r="TML5" s="74"/>
      <c r="TMM5" s="74"/>
      <c r="TMN5" s="74"/>
      <c r="TMO5" s="74"/>
      <c r="TMP5" s="74"/>
      <c r="TMQ5" s="74"/>
      <c r="TMR5" s="74"/>
      <c r="TMS5" s="74"/>
      <c r="TMT5" s="74"/>
      <c r="TMU5" s="74"/>
      <c r="TMV5" s="74"/>
      <c r="TMW5" s="74"/>
      <c r="TMX5" s="74"/>
      <c r="TMY5" s="74"/>
      <c r="TMZ5" s="74"/>
      <c r="TNA5" s="74"/>
      <c r="TNB5" s="74"/>
      <c r="TNC5" s="74"/>
      <c r="TND5" s="74"/>
      <c r="TNE5" s="74"/>
      <c r="TNF5" s="74"/>
      <c r="TNG5" s="74"/>
      <c r="TNH5" s="74"/>
      <c r="TNI5" s="74"/>
      <c r="TNJ5" s="74"/>
      <c r="TNK5" s="74"/>
      <c r="TNL5" s="74"/>
      <c r="TNM5" s="74"/>
      <c r="TNN5" s="74"/>
      <c r="TNO5" s="74"/>
      <c r="TNP5" s="74"/>
      <c r="TNQ5" s="74"/>
      <c r="TNR5" s="74"/>
      <c r="TNS5" s="74"/>
      <c r="TNT5" s="74"/>
      <c r="TNU5" s="74"/>
      <c r="TNV5" s="74"/>
      <c r="TNW5" s="74"/>
      <c r="TNX5" s="74"/>
      <c r="TNY5" s="74"/>
      <c r="TNZ5" s="74"/>
      <c r="TOA5" s="74"/>
      <c r="TOB5" s="74"/>
      <c r="TOC5" s="74"/>
      <c r="TOD5" s="74"/>
      <c r="TOE5" s="74"/>
      <c r="TOF5" s="74"/>
      <c r="TOG5" s="74"/>
      <c r="TOH5" s="74"/>
      <c r="TOI5" s="74"/>
      <c r="TOJ5" s="74"/>
      <c r="TOK5" s="74"/>
      <c r="TOL5" s="74"/>
      <c r="TOM5" s="74"/>
      <c r="TON5" s="74"/>
      <c r="TOO5" s="74"/>
      <c r="TOP5" s="74"/>
      <c r="TOQ5" s="74"/>
      <c r="TOR5" s="74"/>
      <c r="TOS5" s="74"/>
      <c r="TOT5" s="74"/>
      <c r="TOU5" s="74"/>
      <c r="TOV5" s="74"/>
      <c r="TOW5" s="74"/>
      <c r="TOX5" s="74"/>
      <c r="TOY5" s="74"/>
      <c r="TOZ5" s="74"/>
      <c r="TPA5" s="74"/>
      <c r="TPB5" s="74"/>
      <c r="TPC5" s="74"/>
      <c r="TPD5" s="74"/>
      <c r="TPE5" s="74"/>
      <c r="TPF5" s="74"/>
      <c r="TPG5" s="74"/>
      <c r="TPH5" s="74"/>
      <c r="TPI5" s="74"/>
      <c r="TPJ5" s="74"/>
      <c r="TPK5" s="74"/>
      <c r="TPL5" s="74"/>
      <c r="TPM5" s="74"/>
      <c r="TPN5" s="74"/>
      <c r="TPO5" s="74"/>
      <c r="TPP5" s="74"/>
      <c r="TPQ5" s="74"/>
      <c r="TPR5" s="74"/>
      <c r="TPS5" s="74"/>
      <c r="TPT5" s="74"/>
      <c r="TPU5" s="74"/>
      <c r="TPV5" s="74"/>
      <c r="TPW5" s="74"/>
      <c r="TPX5" s="74"/>
      <c r="TPY5" s="74"/>
      <c r="TPZ5" s="74"/>
      <c r="TQA5" s="74"/>
      <c r="TQB5" s="74"/>
      <c r="TQC5" s="74"/>
      <c r="TQD5" s="74"/>
      <c r="TQE5" s="74"/>
      <c r="TQF5" s="74"/>
      <c r="TQG5" s="74"/>
      <c r="TQH5" s="74"/>
      <c r="TQI5" s="74"/>
      <c r="TQJ5" s="74"/>
      <c r="TQK5" s="74"/>
      <c r="TQL5" s="74"/>
      <c r="TQM5" s="74"/>
      <c r="TQN5" s="74"/>
      <c r="TQO5" s="74"/>
      <c r="TQP5" s="74"/>
      <c r="TQQ5" s="74"/>
      <c r="TQR5" s="74"/>
      <c r="TQS5" s="74"/>
      <c r="TQT5" s="74"/>
      <c r="TQU5" s="74"/>
      <c r="TQV5" s="74"/>
      <c r="TQW5" s="74"/>
      <c r="TQX5" s="74"/>
      <c r="TQY5" s="74"/>
      <c r="TQZ5" s="74"/>
      <c r="TRA5" s="74"/>
      <c r="TRB5" s="74"/>
      <c r="TRC5" s="74"/>
      <c r="TRD5" s="74"/>
      <c r="TRE5" s="74"/>
      <c r="TRF5" s="74"/>
      <c r="TRG5" s="74"/>
      <c r="TRH5" s="74"/>
      <c r="TRI5" s="74"/>
      <c r="TRJ5" s="74"/>
      <c r="TRK5" s="74"/>
      <c r="TRL5" s="74"/>
      <c r="TRM5" s="74"/>
      <c r="TRN5" s="74"/>
      <c r="TRO5" s="74"/>
      <c r="TRP5" s="74"/>
      <c r="TRQ5" s="74"/>
      <c r="TRR5" s="74"/>
      <c r="TRS5" s="74"/>
      <c r="TRT5" s="74"/>
      <c r="TRU5" s="74"/>
      <c r="TRV5" s="74"/>
      <c r="TRW5" s="74"/>
      <c r="TRX5" s="74"/>
      <c r="TRY5" s="74"/>
      <c r="TRZ5" s="74"/>
      <c r="TSA5" s="74"/>
      <c r="TSB5" s="74"/>
      <c r="TSC5" s="74"/>
      <c r="TSD5" s="74"/>
      <c r="TSE5" s="74"/>
      <c r="TSF5" s="74"/>
      <c r="TSG5" s="74"/>
      <c r="TSH5" s="74"/>
      <c r="TSI5" s="74"/>
      <c r="TSJ5" s="74"/>
      <c r="TSK5" s="74"/>
      <c r="TSL5" s="74"/>
      <c r="TSM5" s="74"/>
      <c r="TSN5" s="74"/>
      <c r="TSO5" s="74"/>
      <c r="TSP5" s="74"/>
      <c r="TSQ5" s="74"/>
      <c r="TSR5" s="74"/>
      <c r="TSS5" s="74"/>
      <c r="TST5" s="74"/>
      <c r="TSU5" s="74"/>
      <c r="TSV5" s="74"/>
      <c r="TSW5" s="74"/>
      <c r="TSX5" s="74"/>
      <c r="TSY5" s="74"/>
      <c r="TSZ5" s="74"/>
      <c r="TTA5" s="74"/>
      <c r="TTB5" s="74"/>
      <c r="TTC5" s="74"/>
      <c r="TTD5" s="74"/>
      <c r="TTE5" s="74"/>
      <c r="TTF5" s="74"/>
      <c r="TTG5" s="74"/>
      <c r="TTH5" s="74"/>
      <c r="TTI5" s="74"/>
      <c r="TTJ5" s="74"/>
      <c r="TTK5" s="74"/>
      <c r="TTL5" s="74"/>
      <c r="TTM5" s="74"/>
      <c r="TTN5" s="74"/>
      <c r="TTO5" s="74"/>
      <c r="TTP5" s="74"/>
      <c r="TTQ5" s="74"/>
      <c r="TTR5" s="74"/>
      <c r="TTS5" s="74"/>
      <c r="TTT5" s="74"/>
      <c r="TTU5" s="74"/>
      <c r="TTV5" s="74"/>
      <c r="TTW5" s="74"/>
      <c r="TTX5" s="74"/>
      <c r="TTY5" s="74"/>
      <c r="TTZ5" s="74"/>
      <c r="TUA5" s="74"/>
      <c r="TUB5" s="74"/>
      <c r="TUC5" s="74"/>
      <c r="TUD5" s="74"/>
      <c r="TUE5" s="74"/>
      <c r="TUF5" s="74"/>
      <c r="TUG5" s="74"/>
      <c r="TUH5" s="74"/>
      <c r="TUI5" s="74"/>
      <c r="TUJ5" s="74"/>
      <c r="TUK5" s="74"/>
      <c r="TUL5" s="74"/>
      <c r="TUM5" s="74"/>
      <c r="TUN5" s="74"/>
      <c r="TUO5" s="74"/>
      <c r="TUP5" s="74"/>
      <c r="TUQ5" s="74"/>
      <c r="TUR5" s="74"/>
      <c r="TUS5" s="74"/>
      <c r="TUT5" s="74"/>
      <c r="TUU5" s="74"/>
      <c r="TUV5" s="74"/>
      <c r="TUW5" s="74"/>
      <c r="TUX5" s="74"/>
      <c r="TUY5" s="74"/>
      <c r="TUZ5" s="74"/>
      <c r="TVA5" s="74"/>
      <c r="TVB5" s="74"/>
      <c r="TVC5" s="74"/>
      <c r="TVD5" s="74"/>
      <c r="TVE5" s="74"/>
      <c r="TVF5" s="74"/>
      <c r="TVG5" s="74"/>
      <c r="TVH5" s="74"/>
      <c r="TVI5" s="74"/>
      <c r="TVJ5" s="74"/>
      <c r="TVK5" s="74"/>
      <c r="TVL5" s="74"/>
      <c r="TVM5" s="74"/>
      <c r="TVN5" s="74"/>
      <c r="TVO5" s="74"/>
      <c r="TVP5" s="74"/>
      <c r="TVQ5" s="74"/>
      <c r="TVR5" s="74"/>
      <c r="TVS5" s="74"/>
      <c r="TVT5" s="74"/>
      <c r="TVU5" s="74"/>
      <c r="TVV5" s="74"/>
      <c r="TVW5" s="74"/>
      <c r="TVX5" s="74"/>
      <c r="TVY5" s="74"/>
      <c r="TVZ5" s="74"/>
      <c r="TWA5" s="74"/>
      <c r="TWB5" s="74"/>
      <c r="TWC5" s="74"/>
      <c r="TWD5" s="74"/>
      <c r="TWE5" s="74"/>
      <c r="TWF5" s="74"/>
      <c r="TWG5" s="74"/>
      <c r="TWH5" s="74"/>
      <c r="TWI5" s="74"/>
      <c r="TWJ5" s="74"/>
      <c r="TWK5" s="74"/>
      <c r="TWL5" s="74"/>
      <c r="TWM5" s="74"/>
      <c r="TWN5" s="74"/>
      <c r="TWO5" s="74"/>
      <c r="TWP5" s="74"/>
      <c r="TWQ5" s="74"/>
      <c r="TWR5" s="74"/>
      <c r="TWS5" s="74"/>
      <c r="TWT5" s="74"/>
      <c r="TWU5" s="74"/>
      <c r="TWV5" s="74"/>
      <c r="TWW5" s="74"/>
      <c r="TWX5" s="74"/>
      <c r="TWY5" s="74"/>
      <c r="TWZ5" s="74"/>
      <c r="TXA5" s="74"/>
      <c r="TXB5" s="74"/>
      <c r="TXC5" s="74"/>
      <c r="TXD5" s="74"/>
      <c r="TXE5" s="74"/>
      <c r="TXF5" s="74"/>
      <c r="TXG5" s="74"/>
      <c r="TXH5" s="74"/>
      <c r="TXI5" s="74"/>
      <c r="TXJ5" s="74"/>
      <c r="TXK5" s="74"/>
      <c r="TXL5" s="74"/>
      <c r="TXM5" s="74"/>
      <c r="TXN5" s="74"/>
      <c r="TXO5" s="74"/>
      <c r="TXP5" s="74"/>
      <c r="TXQ5" s="74"/>
      <c r="TXR5" s="74"/>
      <c r="TXS5" s="74"/>
      <c r="TXT5" s="74"/>
      <c r="TXU5" s="74"/>
      <c r="TXV5" s="74"/>
      <c r="TXW5" s="74"/>
      <c r="TXX5" s="74"/>
      <c r="TXY5" s="74"/>
      <c r="TXZ5" s="74"/>
      <c r="TYA5" s="74"/>
      <c r="TYB5" s="74"/>
      <c r="TYC5" s="74"/>
      <c r="TYD5" s="74"/>
      <c r="TYE5" s="74"/>
      <c r="TYF5" s="74"/>
      <c r="TYG5" s="74"/>
      <c r="TYH5" s="74"/>
      <c r="TYI5" s="74"/>
      <c r="TYJ5" s="74"/>
      <c r="TYK5" s="74"/>
      <c r="TYL5" s="74"/>
      <c r="TYM5" s="74"/>
      <c r="TYN5" s="74"/>
      <c r="TYO5" s="74"/>
      <c r="TYP5" s="74"/>
      <c r="TYQ5" s="74"/>
      <c r="TYR5" s="74"/>
      <c r="TYS5" s="74"/>
      <c r="TYT5" s="74"/>
      <c r="TYU5" s="74"/>
      <c r="TYV5" s="74"/>
      <c r="TYW5" s="74"/>
      <c r="TYX5" s="74"/>
      <c r="TYY5" s="74"/>
      <c r="TYZ5" s="74"/>
      <c r="TZA5" s="74"/>
      <c r="TZB5" s="74"/>
      <c r="TZC5" s="74"/>
      <c r="TZD5" s="74"/>
      <c r="TZE5" s="74"/>
      <c r="TZF5" s="74"/>
      <c r="TZG5" s="74"/>
      <c r="TZH5" s="74"/>
      <c r="TZI5" s="74"/>
      <c r="TZJ5" s="74"/>
      <c r="TZK5" s="74"/>
      <c r="TZL5" s="74"/>
      <c r="TZM5" s="74"/>
      <c r="TZN5" s="74"/>
      <c r="TZO5" s="74"/>
      <c r="TZP5" s="74"/>
      <c r="TZQ5" s="74"/>
      <c r="TZR5" s="74"/>
      <c r="TZS5" s="74"/>
      <c r="TZT5" s="74"/>
      <c r="TZU5" s="74"/>
      <c r="TZV5" s="74"/>
      <c r="TZW5" s="74"/>
      <c r="TZX5" s="74"/>
      <c r="TZY5" s="74"/>
      <c r="TZZ5" s="74"/>
      <c r="UAA5" s="74"/>
      <c r="UAB5" s="74"/>
      <c r="UAC5" s="74"/>
      <c r="UAD5" s="74"/>
      <c r="UAE5" s="74"/>
      <c r="UAF5" s="74"/>
      <c r="UAG5" s="74"/>
      <c r="UAH5" s="74"/>
      <c r="UAI5" s="74"/>
      <c r="UAJ5" s="74"/>
      <c r="UAK5" s="74"/>
      <c r="UAL5" s="74"/>
      <c r="UAM5" s="74"/>
      <c r="UAN5" s="74"/>
      <c r="UAO5" s="74"/>
      <c r="UAP5" s="74"/>
      <c r="UAQ5" s="74"/>
      <c r="UAR5" s="74"/>
      <c r="UAS5" s="74"/>
      <c r="UAT5" s="74"/>
      <c r="UAU5" s="74"/>
      <c r="UAV5" s="74"/>
      <c r="UAW5" s="74"/>
      <c r="UAX5" s="74"/>
      <c r="UAY5" s="74"/>
      <c r="UAZ5" s="74"/>
      <c r="UBA5" s="74"/>
      <c r="UBB5" s="74"/>
      <c r="UBC5" s="74"/>
      <c r="UBD5" s="74"/>
      <c r="UBE5" s="74"/>
      <c r="UBF5" s="74"/>
      <c r="UBG5" s="74"/>
      <c r="UBH5" s="74"/>
      <c r="UBI5" s="74"/>
      <c r="UBJ5" s="74"/>
      <c r="UBK5" s="74"/>
      <c r="UBL5" s="74"/>
      <c r="UBM5" s="74"/>
      <c r="UBN5" s="74"/>
      <c r="UBO5" s="74"/>
      <c r="UBP5" s="74"/>
      <c r="UBQ5" s="74"/>
      <c r="UBR5" s="74"/>
      <c r="UBS5" s="74"/>
      <c r="UBT5" s="74"/>
      <c r="UBU5" s="74"/>
      <c r="UBV5" s="74"/>
      <c r="UBW5" s="74"/>
      <c r="UBX5" s="74"/>
      <c r="UBY5" s="74"/>
      <c r="UBZ5" s="74"/>
      <c r="UCA5" s="74"/>
      <c r="UCB5" s="74"/>
      <c r="UCC5" s="74"/>
      <c r="UCD5" s="74"/>
      <c r="UCE5" s="74"/>
      <c r="UCF5" s="74"/>
      <c r="UCG5" s="74"/>
      <c r="UCH5" s="74"/>
      <c r="UCI5" s="74"/>
      <c r="UCJ5" s="74"/>
      <c r="UCK5" s="74"/>
      <c r="UCL5" s="74"/>
      <c r="UCM5" s="74"/>
      <c r="UCN5" s="74"/>
      <c r="UCO5" s="74"/>
      <c r="UCP5" s="74"/>
      <c r="UCQ5" s="74"/>
      <c r="UCR5" s="74"/>
      <c r="UCS5" s="74"/>
      <c r="UCT5" s="74"/>
      <c r="UCU5" s="74"/>
      <c r="UCV5" s="74"/>
      <c r="UCW5" s="74"/>
      <c r="UCX5" s="74"/>
      <c r="UCY5" s="74"/>
      <c r="UCZ5" s="74"/>
      <c r="UDA5" s="74"/>
      <c r="UDB5" s="74"/>
      <c r="UDC5" s="74"/>
      <c r="UDD5" s="74"/>
      <c r="UDE5" s="74"/>
      <c r="UDF5" s="74"/>
      <c r="UDG5" s="74"/>
      <c r="UDH5" s="74"/>
      <c r="UDI5" s="74"/>
      <c r="UDJ5" s="74"/>
      <c r="UDK5" s="74"/>
      <c r="UDL5" s="74"/>
      <c r="UDM5" s="74"/>
      <c r="UDN5" s="74"/>
      <c r="UDO5" s="74"/>
      <c r="UDP5" s="74"/>
      <c r="UDQ5" s="74"/>
      <c r="UDR5" s="74"/>
      <c r="UDS5" s="74"/>
      <c r="UDT5" s="74"/>
      <c r="UDU5" s="74"/>
      <c r="UDV5" s="74"/>
      <c r="UDW5" s="74"/>
      <c r="UDX5" s="74"/>
      <c r="UDY5" s="74"/>
      <c r="UDZ5" s="74"/>
      <c r="UEA5" s="74"/>
      <c r="UEB5" s="74"/>
      <c r="UEC5" s="74"/>
      <c r="UED5" s="74"/>
      <c r="UEE5" s="74"/>
      <c r="UEF5" s="74"/>
      <c r="UEG5" s="74"/>
      <c r="UEH5" s="74"/>
      <c r="UEI5" s="74"/>
      <c r="UEJ5" s="74"/>
      <c r="UEK5" s="74"/>
      <c r="UEL5" s="74"/>
      <c r="UEM5" s="74"/>
      <c r="UEN5" s="74"/>
      <c r="UEO5" s="74"/>
      <c r="UEP5" s="74"/>
      <c r="UEQ5" s="74"/>
      <c r="UER5" s="74"/>
      <c r="UES5" s="74"/>
      <c r="UET5" s="74"/>
      <c r="UEU5" s="74"/>
      <c r="UEV5" s="74"/>
      <c r="UEW5" s="74"/>
      <c r="UEX5" s="74"/>
      <c r="UEY5" s="74"/>
      <c r="UEZ5" s="74"/>
      <c r="UFA5" s="74"/>
      <c r="UFB5" s="74"/>
      <c r="UFC5" s="74"/>
      <c r="UFD5" s="74"/>
      <c r="UFE5" s="74"/>
      <c r="UFF5" s="74"/>
      <c r="UFG5" s="74"/>
      <c r="UFH5" s="74"/>
      <c r="UFI5" s="74"/>
      <c r="UFJ5" s="74"/>
      <c r="UFK5" s="74"/>
      <c r="UFL5" s="74"/>
      <c r="UFM5" s="74"/>
      <c r="UFN5" s="74"/>
      <c r="UFO5" s="74"/>
      <c r="UFP5" s="74"/>
      <c r="UFQ5" s="74"/>
      <c r="UFR5" s="74"/>
      <c r="UFS5" s="74"/>
      <c r="UFT5" s="74"/>
      <c r="UFU5" s="74"/>
      <c r="UFV5" s="74"/>
      <c r="UFW5" s="74"/>
      <c r="UFX5" s="74"/>
      <c r="UFY5" s="74"/>
      <c r="UFZ5" s="74"/>
      <c r="UGA5" s="74"/>
      <c r="UGB5" s="74"/>
      <c r="UGC5" s="74"/>
      <c r="UGD5" s="74"/>
      <c r="UGE5" s="74"/>
      <c r="UGF5" s="74"/>
      <c r="UGG5" s="74"/>
      <c r="UGH5" s="74"/>
      <c r="UGI5" s="74"/>
      <c r="UGJ5" s="74"/>
      <c r="UGK5" s="74"/>
      <c r="UGL5" s="74"/>
      <c r="UGM5" s="74"/>
      <c r="UGN5" s="74"/>
      <c r="UGO5" s="74"/>
      <c r="UGP5" s="74"/>
      <c r="UGQ5" s="74"/>
      <c r="UGR5" s="74"/>
      <c r="UGS5" s="74"/>
      <c r="UGT5" s="74"/>
      <c r="UGU5" s="74"/>
      <c r="UGV5" s="74"/>
      <c r="UGW5" s="74"/>
      <c r="UGX5" s="74"/>
      <c r="UGY5" s="74"/>
      <c r="UGZ5" s="74"/>
      <c r="UHA5" s="74"/>
      <c r="UHB5" s="74"/>
      <c r="UHC5" s="74"/>
      <c r="UHD5" s="74"/>
      <c r="UHE5" s="74"/>
      <c r="UHF5" s="74"/>
      <c r="UHG5" s="74"/>
      <c r="UHH5" s="74"/>
      <c r="UHI5" s="74"/>
      <c r="UHJ5" s="74"/>
      <c r="UHK5" s="74"/>
      <c r="UHL5" s="74"/>
      <c r="UHM5" s="74"/>
      <c r="UHN5" s="74"/>
      <c r="UHO5" s="74"/>
      <c r="UHP5" s="74"/>
      <c r="UHQ5" s="74"/>
      <c r="UHR5" s="74"/>
      <c r="UHS5" s="74"/>
      <c r="UHT5" s="74"/>
      <c r="UHU5" s="74"/>
      <c r="UHV5" s="74"/>
      <c r="UHW5" s="74"/>
      <c r="UHX5" s="74"/>
      <c r="UHY5" s="74"/>
      <c r="UHZ5" s="74"/>
      <c r="UIA5" s="74"/>
      <c r="UIB5" s="74"/>
      <c r="UIC5" s="74"/>
      <c r="UID5" s="74"/>
      <c r="UIE5" s="74"/>
      <c r="UIF5" s="74"/>
      <c r="UIG5" s="74"/>
      <c r="UIH5" s="74"/>
      <c r="UII5" s="74"/>
      <c r="UIJ5" s="74"/>
      <c r="UIK5" s="74"/>
      <c r="UIL5" s="74"/>
      <c r="UIM5" s="74"/>
      <c r="UIN5" s="74"/>
      <c r="UIO5" s="74"/>
      <c r="UIP5" s="74"/>
      <c r="UIQ5" s="74"/>
      <c r="UIR5" s="74"/>
      <c r="UIS5" s="74"/>
      <c r="UIT5" s="74"/>
      <c r="UIU5" s="74"/>
      <c r="UIV5" s="74"/>
      <c r="UIW5" s="74"/>
      <c r="UIX5" s="74"/>
      <c r="UIY5" s="74"/>
      <c r="UIZ5" s="74"/>
      <c r="UJA5" s="74"/>
      <c r="UJB5" s="74"/>
      <c r="UJC5" s="74"/>
      <c r="UJD5" s="74"/>
      <c r="UJE5" s="74"/>
      <c r="UJF5" s="74"/>
      <c r="UJG5" s="74"/>
      <c r="UJH5" s="74"/>
      <c r="UJI5" s="74"/>
      <c r="UJJ5" s="74"/>
      <c r="UJK5" s="74"/>
      <c r="UJL5" s="74"/>
      <c r="UJM5" s="74"/>
      <c r="UJN5" s="74"/>
      <c r="UJO5" s="74"/>
      <c r="UJP5" s="74"/>
      <c r="UJQ5" s="74"/>
      <c r="UJR5" s="74"/>
      <c r="UJS5" s="74"/>
      <c r="UJT5" s="74"/>
      <c r="UJU5" s="74"/>
      <c r="UJV5" s="74"/>
      <c r="UJW5" s="74"/>
      <c r="UJX5" s="74"/>
      <c r="UJY5" s="74"/>
      <c r="UJZ5" s="74"/>
      <c r="UKA5" s="74"/>
      <c r="UKB5" s="74"/>
      <c r="UKC5" s="74"/>
      <c r="UKD5" s="74"/>
      <c r="UKE5" s="74"/>
      <c r="UKF5" s="74"/>
      <c r="UKG5" s="74"/>
      <c r="UKH5" s="74"/>
      <c r="UKI5" s="74"/>
      <c r="UKJ5" s="74"/>
      <c r="UKK5" s="74"/>
      <c r="UKL5" s="74"/>
      <c r="UKM5" s="74"/>
      <c r="UKN5" s="74"/>
      <c r="UKO5" s="74"/>
      <c r="UKP5" s="74"/>
      <c r="UKQ5" s="74"/>
      <c r="UKR5" s="74"/>
      <c r="UKS5" s="74"/>
      <c r="UKT5" s="74"/>
      <c r="UKU5" s="74"/>
      <c r="UKV5" s="74"/>
      <c r="UKW5" s="74"/>
      <c r="UKX5" s="74"/>
      <c r="UKY5" s="74"/>
      <c r="UKZ5" s="74"/>
      <c r="ULA5" s="74"/>
      <c r="ULB5" s="74"/>
      <c r="ULC5" s="74"/>
      <c r="ULD5" s="74"/>
      <c r="ULE5" s="74"/>
      <c r="ULF5" s="74"/>
      <c r="ULG5" s="74"/>
      <c r="ULH5" s="74"/>
      <c r="ULI5" s="74"/>
      <c r="ULJ5" s="74"/>
      <c r="ULK5" s="74"/>
      <c r="ULL5" s="74"/>
      <c r="ULM5" s="74"/>
      <c r="ULN5" s="74"/>
      <c r="ULO5" s="74"/>
      <c r="ULP5" s="74"/>
      <c r="ULQ5" s="74"/>
      <c r="ULR5" s="74"/>
      <c r="ULS5" s="74"/>
      <c r="ULT5" s="74"/>
      <c r="ULU5" s="74"/>
      <c r="ULV5" s="74"/>
      <c r="ULW5" s="74"/>
      <c r="ULX5" s="74"/>
      <c r="ULY5" s="74"/>
      <c r="ULZ5" s="74"/>
      <c r="UMA5" s="74"/>
      <c r="UMB5" s="74"/>
      <c r="UMC5" s="74"/>
      <c r="UMD5" s="74"/>
      <c r="UME5" s="74"/>
      <c r="UMF5" s="74"/>
      <c r="UMG5" s="74"/>
      <c r="UMH5" s="74"/>
      <c r="UMI5" s="74"/>
      <c r="UMJ5" s="74"/>
      <c r="UMK5" s="74"/>
      <c r="UML5" s="74"/>
      <c r="UMM5" s="74"/>
      <c r="UMN5" s="74"/>
      <c r="UMO5" s="74"/>
      <c r="UMP5" s="74"/>
      <c r="UMQ5" s="74"/>
      <c r="UMR5" s="74"/>
      <c r="UMS5" s="74"/>
      <c r="UMT5" s="74"/>
      <c r="UMU5" s="74"/>
      <c r="UMV5" s="74"/>
      <c r="UMW5" s="74"/>
      <c r="UMX5" s="74"/>
      <c r="UMY5" s="74"/>
      <c r="UMZ5" s="74"/>
      <c r="UNA5" s="74"/>
      <c r="UNB5" s="74"/>
      <c r="UNC5" s="74"/>
      <c r="UND5" s="74"/>
      <c r="UNE5" s="74"/>
      <c r="UNF5" s="74"/>
      <c r="UNG5" s="74"/>
      <c r="UNH5" s="74"/>
      <c r="UNI5" s="74"/>
      <c r="UNJ5" s="74"/>
      <c r="UNK5" s="74"/>
      <c r="UNL5" s="74"/>
      <c r="UNM5" s="74"/>
      <c r="UNN5" s="74"/>
      <c r="UNO5" s="74"/>
      <c r="UNP5" s="74"/>
      <c r="UNQ5" s="74"/>
      <c r="UNR5" s="74"/>
      <c r="UNS5" s="74"/>
      <c r="UNT5" s="74"/>
      <c r="UNU5" s="74"/>
      <c r="UNV5" s="74"/>
      <c r="UNW5" s="74"/>
      <c r="UNX5" s="74"/>
      <c r="UNY5" s="74"/>
      <c r="UNZ5" s="74"/>
      <c r="UOA5" s="74"/>
      <c r="UOB5" s="74"/>
      <c r="UOC5" s="74"/>
      <c r="UOD5" s="74"/>
      <c r="UOE5" s="74"/>
      <c r="UOF5" s="74"/>
      <c r="UOG5" s="74"/>
      <c r="UOH5" s="74"/>
      <c r="UOI5" s="74"/>
      <c r="UOJ5" s="74"/>
      <c r="UOK5" s="74"/>
      <c r="UOL5" s="74"/>
      <c r="UOM5" s="74"/>
      <c r="UON5" s="74"/>
      <c r="UOO5" s="74"/>
      <c r="UOP5" s="74"/>
      <c r="UOQ5" s="74"/>
      <c r="UOR5" s="74"/>
      <c r="UOS5" s="74"/>
      <c r="UOT5" s="74"/>
      <c r="UOU5" s="74"/>
      <c r="UOV5" s="74"/>
      <c r="UOW5" s="74"/>
      <c r="UOX5" s="74"/>
      <c r="UOY5" s="74"/>
      <c r="UOZ5" s="74"/>
      <c r="UPA5" s="74"/>
      <c r="UPB5" s="74"/>
      <c r="UPC5" s="74"/>
      <c r="UPD5" s="74"/>
      <c r="UPE5" s="74"/>
      <c r="UPF5" s="74"/>
      <c r="UPG5" s="74"/>
      <c r="UPH5" s="74"/>
      <c r="UPI5" s="74"/>
      <c r="UPJ5" s="74"/>
      <c r="UPK5" s="74"/>
      <c r="UPL5" s="74"/>
      <c r="UPM5" s="74"/>
      <c r="UPN5" s="74"/>
      <c r="UPO5" s="74"/>
      <c r="UPP5" s="74"/>
      <c r="UPQ5" s="74"/>
      <c r="UPR5" s="74"/>
      <c r="UPS5" s="74"/>
      <c r="UPT5" s="74"/>
      <c r="UPU5" s="74"/>
      <c r="UPV5" s="74"/>
      <c r="UPW5" s="74"/>
      <c r="UPX5" s="74"/>
      <c r="UPY5" s="74"/>
      <c r="UPZ5" s="74"/>
      <c r="UQA5" s="74"/>
      <c r="UQB5" s="74"/>
      <c r="UQC5" s="74"/>
      <c r="UQD5" s="74"/>
      <c r="UQE5" s="74"/>
      <c r="UQF5" s="74"/>
      <c r="UQG5" s="74"/>
      <c r="UQH5" s="74"/>
      <c r="UQI5" s="74"/>
      <c r="UQJ5" s="74"/>
      <c r="UQK5" s="74"/>
      <c r="UQL5" s="74"/>
      <c r="UQM5" s="74"/>
      <c r="UQN5" s="74"/>
      <c r="UQO5" s="74"/>
      <c r="UQP5" s="74"/>
      <c r="UQQ5" s="74"/>
      <c r="UQR5" s="74"/>
      <c r="UQS5" s="74"/>
      <c r="UQT5" s="74"/>
      <c r="UQU5" s="74"/>
      <c r="UQV5" s="74"/>
      <c r="UQW5" s="74"/>
      <c r="UQX5" s="74"/>
      <c r="UQY5" s="74"/>
      <c r="UQZ5" s="74"/>
      <c r="URA5" s="74"/>
      <c r="URB5" s="74"/>
      <c r="URC5" s="74"/>
      <c r="URD5" s="74"/>
      <c r="URE5" s="74"/>
      <c r="URF5" s="74"/>
      <c r="URG5" s="74"/>
      <c r="URH5" s="74"/>
      <c r="URI5" s="74"/>
      <c r="URJ5" s="74"/>
      <c r="URK5" s="74"/>
      <c r="URL5" s="74"/>
      <c r="URM5" s="74"/>
      <c r="URN5" s="74"/>
      <c r="URO5" s="74"/>
      <c r="URP5" s="74"/>
      <c r="URQ5" s="74"/>
      <c r="URR5" s="74"/>
      <c r="URS5" s="74"/>
      <c r="URT5" s="74"/>
      <c r="URU5" s="74"/>
      <c r="URV5" s="74"/>
      <c r="URW5" s="74"/>
      <c r="URX5" s="74"/>
      <c r="URY5" s="74"/>
      <c r="URZ5" s="74"/>
      <c r="USA5" s="74"/>
      <c r="USB5" s="74"/>
      <c r="USC5" s="74"/>
      <c r="USD5" s="74"/>
      <c r="USE5" s="74"/>
      <c r="USF5" s="74"/>
      <c r="USG5" s="74"/>
      <c r="USH5" s="74"/>
      <c r="USI5" s="74"/>
      <c r="USJ5" s="74"/>
      <c r="USK5" s="74"/>
      <c r="USL5" s="74"/>
      <c r="USM5" s="74"/>
      <c r="USN5" s="74"/>
      <c r="USO5" s="74"/>
      <c r="USP5" s="74"/>
      <c r="USQ5" s="74"/>
      <c r="USR5" s="74"/>
      <c r="USS5" s="74"/>
      <c r="UST5" s="74"/>
      <c r="USU5" s="74"/>
      <c r="USV5" s="74"/>
      <c r="USW5" s="74"/>
      <c r="USX5" s="74"/>
      <c r="USY5" s="74"/>
      <c r="USZ5" s="74"/>
      <c r="UTA5" s="74"/>
      <c r="UTB5" s="74"/>
      <c r="UTC5" s="74"/>
      <c r="UTD5" s="74"/>
      <c r="UTE5" s="74"/>
      <c r="UTF5" s="74"/>
      <c r="UTG5" s="74"/>
      <c r="UTH5" s="74"/>
      <c r="UTI5" s="74"/>
      <c r="UTJ5" s="74"/>
      <c r="UTK5" s="74"/>
      <c r="UTL5" s="74"/>
      <c r="UTM5" s="74"/>
      <c r="UTN5" s="74"/>
      <c r="UTO5" s="74"/>
      <c r="UTP5" s="74"/>
      <c r="UTQ5" s="74"/>
      <c r="UTR5" s="74"/>
      <c r="UTS5" s="74"/>
      <c r="UTT5" s="74"/>
      <c r="UTU5" s="74"/>
      <c r="UTV5" s="74"/>
      <c r="UTW5" s="74"/>
      <c r="UTX5" s="74"/>
      <c r="UTY5" s="74"/>
      <c r="UTZ5" s="74"/>
      <c r="UUA5" s="74"/>
      <c r="UUB5" s="74"/>
      <c r="UUC5" s="74"/>
      <c r="UUD5" s="74"/>
      <c r="UUE5" s="74"/>
      <c r="UUF5" s="74"/>
      <c r="UUG5" s="74"/>
      <c r="UUH5" s="74"/>
      <c r="UUI5" s="74"/>
      <c r="UUJ5" s="74"/>
      <c r="UUK5" s="74"/>
      <c r="UUL5" s="74"/>
      <c r="UUM5" s="74"/>
      <c r="UUN5" s="74"/>
      <c r="UUO5" s="74"/>
      <c r="UUP5" s="74"/>
      <c r="UUQ5" s="74"/>
      <c r="UUR5" s="74"/>
      <c r="UUS5" s="74"/>
      <c r="UUT5" s="74"/>
      <c r="UUU5" s="74"/>
      <c r="UUV5" s="74"/>
      <c r="UUW5" s="74"/>
      <c r="UUX5" s="74"/>
      <c r="UUY5" s="74"/>
      <c r="UUZ5" s="74"/>
      <c r="UVA5" s="74"/>
      <c r="UVB5" s="74"/>
      <c r="UVC5" s="74"/>
      <c r="UVD5" s="74"/>
      <c r="UVE5" s="74"/>
      <c r="UVF5" s="74"/>
      <c r="UVG5" s="74"/>
      <c r="UVH5" s="74"/>
      <c r="UVI5" s="74"/>
      <c r="UVJ5" s="74"/>
      <c r="UVK5" s="74"/>
      <c r="UVL5" s="74"/>
      <c r="UVM5" s="74"/>
      <c r="UVN5" s="74"/>
      <c r="UVO5" s="74"/>
      <c r="UVP5" s="74"/>
      <c r="UVQ5" s="74"/>
      <c r="UVR5" s="74"/>
      <c r="UVS5" s="74"/>
      <c r="UVT5" s="74"/>
      <c r="UVU5" s="74"/>
      <c r="UVV5" s="74"/>
      <c r="UVW5" s="74"/>
      <c r="UVX5" s="74"/>
      <c r="UVY5" s="74"/>
      <c r="UVZ5" s="74"/>
      <c r="UWA5" s="74"/>
      <c r="UWB5" s="74"/>
      <c r="UWC5" s="74"/>
      <c r="UWD5" s="74"/>
      <c r="UWE5" s="74"/>
      <c r="UWF5" s="74"/>
      <c r="UWG5" s="74"/>
      <c r="UWH5" s="74"/>
      <c r="UWI5" s="74"/>
      <c r="UWJ5" s="74"/>
      <c r="UWK5" s="74"/>
      <c r="UWL5" s="74"/>
      <c r="UWM5" s="74"/>
      <c r="UWN5" s="74"/>
      <c r="UWO5" s="74"/>
      <c r="UWP5" s="74"/>
      <c r="UWQ5" s="74"/>
      <c r="UWR5" s="74"/>
      <c r="UWS5" s="74"/>
      <c r="UWT5" s="74"/>
      <c r="UWU5" s="74"/>
      <c r="UWV5" s="74"/>
      <c r="UWW5" s="74"/>
      <c r="UWX5" s="74"/>
      <c r="UWY5" s="74"/>
      <c r="UWZ5" s="74"/>
      <c r="UXA5" s="74"/>
      <c r="UXB5" s="74"/>
      <c r="UXC5" s="74"/>
      <c r="UXD5" s="74"/>
      <c r="UXE5" s="74"/>
      <c r="UXF5" s="74"/>
      <c r="UXG5" s="74"/>
      <c r="UXH5" s="74"/>
      <c r="UXI5" s="74"/>
      <c r="UXJ5" s="74"/>
      <c r="UXK5" s="74"/>
      <c r="UXL5" s="74"/>
      <c r="UXM5" s="74"/>
      <c r="UXN5" s="74"/>
      <c r="UXO5" s="74"/>
      <c r="UXP5" s="74"/>
      <c r="UXQ5" s="74"/>
      <c r="UXR5" s="74"/>
      <c r="UXS5" s="74"/>
      <c r="UXT5" s="74"/>
      <c r="UXU5" s="74"/>
      <c r="UXV5" s="74"/>
      <c r="UXW5" s="74"/>
      <c r="UXX5" s="74"/>
      <c r="UXY5" s="74"/>
      <c r="UXZ5" s="74"/>
      <c r="UYA5" s="74"/>
      <c r="UYB5" s="74"/>
      <c r="UYC5" s="74"/>
      <c r="UYD5" s="74"/>
      <c r="UYE5" s="74"/>
      <c r="UYF5" s="74"/>
      <c r="UYG5" s="74"/>
      <c r="UYH5" s="74"/>
      <c r="UYI5" s="74"/>
      <c r="UYJ5" s="74"/>
      <c r="UYK5" s="74"/>
      <c r="UYL5" s="74"/>
      <c r="UYM5" s="74"/>
      <c r="UYN5" s="74"/>
      <c r="UYO5" s="74"/>
      <c r="UYP5" s="74"/>
      <c r="UYQ5" s="74"/>
      <c r="UYR5" s="74"/>
      <c r="UYS5" s="74"/>
      <c r="UYT5" s="74"/>
      <c r="UYU5" s="74"/>
      <c r="UYV5" s="74"/>
      <c r="UYW5" s="74"/>
      <c r="UYX5" s="74"/>
      <c r="UYY5" s="74"/>
      <c r="UYZ5" s="74"/>
      <c r="UZA5" s="74"/>
      <c r="UZB5" s="74"/>
      <c r="UZC5" s="74"/>
      <c r="UZD5" s="74"/>
      <c r="UZE5" s="74"/>
      <c r="UZF5" s="74"/>
      <c r="UZG5" s="74"/>
      <c r="UZH5" s="74"/>
      <c r="UZI5" s="74"/>
      <c r="UZJ5" s="74"/>
      <c r="UZK5" s="74"/>
      <c r="UZL5" s="74"/>
      <c r="UZM5" s="74"/>
      <c r="UZN5" s="74"/>
      <c r="UZO5" s="74"/>
      <c r="UZP5" s="74"/>
      <c r="UZQ5" s="74"/>
      <c r="UZR5" s="74"/>
      <c r="UZS5" s="74"/>
      <c r="UZT5" s="74"/>
      <c r="UZU5" s="74"/>
      <c r="UZV5" s="74"/>
      <c r="UZW5" s="74"/>
      <c r="UZX5" s="74"/>
      <c r="UZY5" s="74"/>
      <c r="UZZ5" s="74"/>
      <c r="VAA5" s="74"/>
      <c r="VAB5" s="74"/>
      <c r="VAC5" s="74"/>
      <c r="VAD5" s="74"/>
      <c r="VAE5" s="74"/>
      <c r="VAF5" s="74"/>
      <c r="VAG5" s="74"/>
      <c r="VAH5" s="74"/>
      <c r="VAI5" s="74"/>
      <c r="VAJ5" s="74"/>
      <c r="VAK5" s="74"/>
      <c r="VAL5" s="74"/>
      <c r="VAM5" s="74"/>
      <c r="VAN5" s="74"/>
      <c r="VAO5" s="74"/>
      <c r="VAP5" s="74"/>
      <c r="VAQ5" s="74"/>
      <c r="VAR5" s="74"/>
      <c r="VAS5" s="74"/>
      <c r="VAT5" s="74"/>
      <c r="VAU5" s="74"/>
      <c r="VAV5" s="74"/>
      <c r="VAW5" s="74"/>
      <c r="VAX5" s="74"/>
      <c r="VAY5" s="74"/>
      <c r="VAZ5" s="74"/>
      <c r="VBA5" s="74"/>
      <c r="VBB5" s="74"/>
      <c r="VBC5" s="74"/>
      <c r="VBD5" s="74"/>
      <c r="VBE5" s="74"/>
      <c r="VBF5" s="74"/>
      <c r="VBG5" s="74"/>
      <c r="VBH5" s="74"/>
      <c r="VBI5" s="74"/>
      <c r="VBJ5" s="74"/>
      <c r="VBK5" s="74"/>
      <c r="VBL5" s="74"/>
      <c r="VBM5" s="74"/>
      <c r="VBN5" s="74"/>
      <c r="VBO5" s="74"/>
      <c r="VBP5" s="74"/>
      <c r="VBQ5" s="74"/>
      <c r="VBR5" s="74"/>
      <c r="VBS5" s="74"/>
      <c r="VBT5" s="74"/>
      <c r="VBU5" s="74"/>
      <c r="VBV5" s="74"/>
      <c r="VBW5" s="74"/>
      <c r="VBX5" s="74"/>
      <c r="VBY5" s="74"/>
      <c r="VBZ5" s="74"/>
      <c r="VCA5" s="74"/>
      <c r="VCB5" s="74"/>
      <c r="VCC5" s="74"/>
      <c r="VCD5" s="74"/>
      <c r="VCE5" s="74"/>
      <c r="VCF5" s="74"/>
      <c r="VCG5" s="74"/>
      <c r="VCH5" s="74"/>
      <c r="VCI5" s="74"/>
      <c r="VCJ5" s="74"/>
      <c r="VCK5" s="74"/>
      <c r="VCL5" s="74"/>
      <c r="VCM5" s="74"/>
      <c r="VCN5" s="74"/>
      <c r="VCO5" s="74"/>
      <c r="VCP5" s="74"/>
      <c r="VCQ5" s="74"/>
      <c r="VCR5" s="74"/>
      <c r="VCS5" s="74"/>
      <c r="VCT5" s="74"/>
      <c r="VCU5" s="74"/>
      <c r="VCV5" s="74"/>
      <c r="VCW5" s="74"/>
      <c r="VCX5" s="74"/>
      <c r="VCY5" s="74"/>
      <c r="VCZ5" s="74"/>
      <c r="VDA5" s="74"/>
      <c r="VDB5" s="74"/>
      <c r="VDC5" s="74"/>
      <c r="VDD5" s="74"/>
      <c r="VDE5" s="74"/>
      <c r="VDF5" s="74"/>
      <c r="VDG5" s="74"/>
      <c r="VDH5" s="74"/>
      <c r="VDI5" s="74"/>
      <c r="VDJ5" s="74"/>
      <c r="VDK5" s="74"/>
      <c r="VDL5" s="74"/>
      <c r="VDM5" s="74"/>
      <c r="VDN5" s="74"/>
      <c r="VDO5" s="74"/>
      <c r="VDP5" s="74"/>
      <c r="VDQ5" s="74"/>
      <c r="VDR5" s="74"/>
      <c r="VDS5" s="74"/>
      <c r="VDT5" s="74"/>
      <c r="VDU5" s="74"/>
      <c r="VDV5" s="74"/>
      <c r="VDW5" s="74"/>
      <c r="VDX5" s="74"/>
      <c r="VDY5" s="74"/>
      <c r="VDZ5" s="74"/>
      <c r="VEA5" s="74"/>
      <c r="VEB5" s="74"/>
      <c r="VEC5" s="74"/>
      <c r="VED5" s="74"/>
      <c r="VEE5" s="74"/>
      <c r="VEF5" s="74"/>
      <c r="VEG5" s="74"/>
      <c r="VEH5" s="74"/>
      <c r="VEI5" s="74"/>
      <c r="VEJ5" s="74"/>
      <c r="VEK5" s="74"/>
      <c r="VEL5" s="74"/>
      <c r="VEM5" s="74"/>
      <c r="VEN5" s="74"/>
      <c r="VEO5" s="74"/>
      <c r="VEP5" s="74"/>
      <c r="VEQ5" s="74"/>
      <c r="VER5" s="74"/>
      <c r="VES5" s="74"/>
      <c r="VET5" s="74"/>
      <c r="VEU5" s="74"/>
      <c r="VEV5" s="74"/>
      <c r="VEW5" s="74"/>
      <c r="VEX5" s="74"/>
      <c r="VEY5" s="74"/>
      <c r="VEZ5" s="74"/>
      <c r="VFA5" s="74"/>
      <c r="VFB5" s="74"/>
      <c r="VFC5" s="74"/>
      <c r="VFD5" s="74"/>
      <c r="VFE5" s="74"/>
      <c r="VFF5" s="74"/>
      <c r="VFG5" s="74"/>
      <c r="VFH5" s="74"/>
      <c r="VFI5" s="74"/>
      <c r="VFJ5" s="74"/>
      <c r="VFK5" s="74"/>
      <c r="VFL5" s="74"/>
      <c r="VFM5" s="74"/>
      <c r="VFN5" s="74"/>
      <c r="VFO5" s="74"/>
      <c r="VFP5" s="74"/>
      <c r="VFQ5" s="74"/>
      <c r="VFR5" s="74"/>
      <c r="VFS5" s="74"/>
      <c r="VFT5" s="74"/>
      <c r="VFU5" s="74"/>
      <c r="VFV5" s="74"/>
      <c r="VFW5" s="74"/>
      <c r="VFX5" s="74"/>
      <c r="VFY5" s="74"/>
      <c r="VFZ5" s="74"/>
      <c r="VGA5" s="74"/>
      <c r="VGB5" s="74"/>
      <c r="VGC5" s="74"/>
      <c r="VGD5" s="74"/>
      <c r="VGE5" s="74"/>
      <c r="VGF5" s="74"/>
      <c r="VGG5" s="74"/>
      <c r="VGH5" s="74"/>
      <c r="VGI5" s="74"/>
      <c r="VGJ5" s="74"/>
      <c r="VGK5" s="74"/>
      <c r="VGL5" s="74"/>
      <c r="VGM5" s="74"/>
      <c r="VGN5" s="74"/>
      <c r="VGO5" s="74"/>
      <c r="VGP5" s="74"/>
      <c r="VGQ5" s="74"/>
      <c r="VGR5" s="74"/>
      <c r="VGS5" s="74"/>
      <c r="VGT5" s="74"/>
      <c r="VGU5" s="74"/>
      <c r="VGV5" s="74"/>
      <c r="VGW5" s="74"/>
      <c r="VGX5" s="74"/>
      <c r="VGY5" s="74"/>
      <c r="VGZ5" s="74"/>
      <c r="VHA5" s="74"/>
      <c r="VHB5" s="74"/>
      <c r="VHC5" s="74"/>
      <c r="VHD5" s="74"/>
      <c r="VHE5" s="74"/>
      <c r="VHF5" s="74"/>
      <c r="VHG5" s="74"/>
      <c r="VHH5" s="74"/>
      <c r="VHI5" s="74"/>
      <c r="VHJ5" s="74"/>
      <c r="VHK5" s="74"/>
      <c r="VHL5" s="74"/>
      <c r="VHM5" s="74"/>
      <c r="VHN5" s="74"/>
      <c r="VHO5" s="74"/>
      <c r="VHP5" s="74"/>
      <c r="VHQ5" s="74"/>
      <c r="VHR5" s="74"/>
      <c r="VHS5" s="74"/>
      <c r="VHT5" s="74"/>
      <c r="VHU5" s="74"/>
      <c r="VHV5" s="74"/>
      <c r="VHW5" s="74"/>
      <c r="VHX5" s="74"/>
      <c r="VHY5" s="74"/>
      <c r="VHZ5" s="74"/>
      <c r="VIA5" s="74"/>
      <c r="VIB5" s="74"/>
      <c r="VIC5" s="74"/>
      <c r="VID5" s="74"/>
      <c r="VIE5" s="74"/>
      <c r="VIF5" s="74"/>
      <c r="VIG5" s="74"/>
      <c r="VIH5" s="74"/>
      <c r="VII5" s="74"/>
      <c r="VIJ5" s="74"/>
      <c r="VIK5" s="74"/>
      <c r="VIL5" s="74"/>
      <c r="VIM5" s="74"/>
      <c r="VIN5" s="74"/>
      <c r="VIO5" s="74"/>
      <c r="VIP5" s="74"/>
      <c r="VIQ5" s="74"/>
      <c r="VIR5" s="74"/>
      <c r="VIS5" s="74"/>
      <c r="VIT5" s="74"/>
      <c r="VIU5" s="74"/>
      <c r="VIV5" s="74"/>
      <c r="VIW5" s="74"/>
      <c r="VIX5" s="74"/>
      <c r="VIY5" s="74"/>
      <c r="VIZ5" s="74"/>
      <c r="VJA5" s="74"/>
      <c r="VJB5" s="74"/>
      <c r="VJC5" s="74"/>
      <c r="VJD5" s="74"/>
      <c r="VJE5" s="74"/>
      <c r="VJF5" s="74"/>
      <c r="VJG5" s="74"/>
      <c r="VJH5" s="74"/>
      <c r="VJI5" s="74"/>
      <c r="VJJ5" s="74"/>
      <c r="VJK5" s="74"/>
      <c r="VJL5" s="74"/>
      <c r="VJM5" s="74"/>
      <c r="VJN5" s="74"/>
      <c r="VJO5" s="74"/>
      <c r="VJP5" s="74"/>
      <c r="VJQ5" s="74"/>
      <c r="VJR5" s="74"/>
      <c r="VJS5" s="74"/>
      <c r="VJT5" s="74"/>
      <c r="VJU5" s="74"/>
      <c r="VJV5" s="74"/>
      <c r="VJW5" s="74"/>
      <c r="VJX5" s="74"/>
      <c r="VJY5" s="74"/>
      <c r="VJZ5" s="74"/>
      <c r="VKA5" s="74"/>
      <c r="VKB5" s="74"/>
      <c r="VKC5" s="74"/>
      <c r="VKD5" s="74"/>
      <c r="VKE5" s="74"/>
      <c r="VKF5" s="74"/>
      <c r="VKG5" s="74"/>
      <c r="VKH5" s="74"/>
      <c r="VKI5" s="74"/>
      <c r="VKJ5" s="74"/>
      <c r="VKK5" s="74"/>
      <c r="VKL5" s="74"/>
      <c r="VKM5" s="74"/>
      <c r="VKN5" s="74"/>
      <c r="VKO5" s="74"/>
      <c r="VKP5" s="74"/>
      <c r="VKQ5" s="74"/>
      <c r="VKR5" s="74"/>
      <c r="VKS5" s="74"/>
      <c r="VKT5" s="74"/>
      <c r="VKU5" s="74"/>
      <c r="VKV5" s="74"/>
      <c r="VKW5" s="74"/>
      <c r="VKX5" s="74"/>
      <c r="VKY5" s="74"/>
      <c r="VKZ5" s="74"/>
      <c r="VLA5" s="74"/>
      <c r="VLB5" s="74"/>
      <c r="VLC5" s="74"/>
      <c r="VLD5" s="74"/>
      <c r="VLE5" s="74"/>
      <c r="VLF5" s="74"/>
      <c r="VLG5" s="74"/>
      <c r="VLH5" s="74"/>
      <c r="VLI5" s="74"/>
      <c r="VLJ5" s="74"/>
      <c r="VLK5" s="74"/>
      <c r="VLL5" s="74"/>
      <c r="VLM5" s="74"/>
      <c r="VLN5" s="74"/>
      <c r="VLO5" s="74"/>
      <c r="VLP5" s="74"/>
      <c r="VLQ5" s="74"/>
      <c r="VLR5" s="74"/>
      <c r="VLS5" s="74"/>
      <c r="VLT5" s="74"/>
      <c r="VLU5" s="74"/>
      <c r="VLV5" s="74"/>
      <c r="VLW5" s="74"/>
      <c r="VLX5" s="74"/>
      <c r="VLY5" s="74"/>
      <c r="VLZ5" s="74"/>
      <c r="VMA5" s="74"/>
      <c r="VMB5" s="74"/>
      <c r="VMC5" s="74"/>
      <c r="VMD5" s="74"/>
      <c r="VME5" s="74"/>
      <c r="VMF5" s="74"/>
      <c r="VMG5" s="74"/>
      <c r="VMH5" s="74"/>
      <c r="VMI5" s="74"/>
      <c r="VMJ5" s="74"/>
      <c r="VMK5" s="74"/>
      <c r="VML5" s="74"/>
      <c r="VMM5" s="74"/>
      <c r="VMN5" s="74"/>
      <c r="VMO5" s="74"/>
      <c r="VMP5" s="74"/>
      <c r="VMQ5" s="74"/>
      <c r="VMR5" s="74"/>
      <c r="VMS5" s="74"/>
      <c r="VMT5" s="74"/>
      <c r="VMU5" s="74"/>
      <c r="VMV5" s="74"/>
      <c r="VMW5" s="74"/>
      <c r="VMX5" s="74"/>
      <c r="VMY5" s="74"/>
      <c r="VMZ5" s="74"/>
      <c r="VNA5" s="74"/>
      <c r="VNB5" s="74"/>
      <c r="VNC5" s="74"/>
      <c r="VND5" s="74"/>
      <c r="VNE5" s="74"/>
      <c r="VNF5" s="74"/>
      <c r="VNG5" s="74"/>
      <c r="VNH5" s="74"/>
      <c r="VNI5" s="74"/>
      <c r="VNJ5" s="74"/>
      <c r="VNK5" s="74"/>
      <c r="VNL5" s="74"/>
      <c r="VNM5" s="74"/>
      <c r="VNN5" s="74"/>
      <c r="VNO5" s="74"/>
      <c r="VNP5" s="74"/>
      <c r="VNQ5" s="74"/>
      <c r="VNR5" s="74"/>
      <c r="VNS5" s="74"/>
      <c r="VNT5" s="74"/>
      <c r="VNU5" s="74"/>
      <c r="VNV5" s="74"/>
      <c r="VNW5" s="74"/>
      <c r="VNX5" s="74"/>
      <c r="VNY5" s="74"/>
      <c r="VNZ5" s="74"/>
      <c r="VOA5" s="74"/>
      <c r="VOB5" s="74"/>
      <c r="VOC5" s="74"/>
      <c r="VOD5" s="74"/>
      <c r="VOE5" s="74"/>
      <c r="VOF5" s="74"/>
      <c r="VOG5" s="74"/>
      <c r="VOH5" s="74"/>
      <c r="VOI5" s="74"/>
      <c r="VOJ5" s="74"/>
      <c r="VOK5" s="74"/>
      <c r="VOL5" s="74"/>
      <c r="VOM5" s="74"/>
      <c r="VON5" s="74"/>
      <c r="VOO5" s="74"/>
      <c r="VOP5" s="74"/>
      <c r="VOQ5" s="74"/>
      <c r="VOR5" s="74"/>
      <c r="VOS5" s="74"/>
      <c r="VOT5" s="74"/>
      <c r="VOU5" s="74"/>
      <c r="VOV5" s="74"/>
      <c r="VOW5" s="74"/>
      <c r="VOX5" s="74"/>
      <c r="VOY5" s="74"/>
      <c r="VOZ5" s="74"/>
      <c r="VPA5" s="74"/>
      <c r="VPB5" s="74"/>
      <c r="VPC5" s="74"/>
      <c r="VPD5" s="74"/>
      <c r="VPE5" s="74"/>
      <c r="VPF5" s="74"/>
      <c r="VPG5" s="74"/>
      <c r="VPH5" s="74"/>
      <c r="VPI5" s="74"/>
      <c r="VPJ5" s="74"/>
      <c r="VPK5" s="74"/>
      <c r="VPL5" s="74"/>
      <c r="VPM5" s="74"/>
      <c r="VPN5" s="74"/>
      <c r="VPO5" s="74"/>
      <c r="VPP5" s="74"/>
      <c r="VPQ5" s="74"/>
      <c r="VPR5" s="74"/>
      <c r="VPS5" s="74"/>
      <c r="VPT5" s="74"/>
      <c r="VPU5" s="74"/>
      <c r="VPV5" s="74"/>
      <c r="VPW5" s="74"/>
      <c r="VPX5" s="74"/>
      <c r="VPY5" s="74"/>
      <c r="VPZ5" s="74"/>
      <c r="VQA5" s="74"/>
      <c r="VQB5" s="74"/>
      <c r="VQC5" s="74"/>
      <c r="VQD5" s="74"/>
      <c r="VQE5" s="74"/>
      <c r="VQF5" s="74"/>
      <c r="VQG5" s="74"/>
      <c r="VQH5" s="74"/>
      <c r="VQI5" s="74"/>
      <c r="VQJ5" s="74"/>
      <c r="VQK5" s="74"/>
      <c r="VQL5" s="74"/>
      <c r="VQM5" s="74"/>
      <c r="VQN5" s="74"/>
      <c r="VQO5" s="74"/>
      <c r="VQP5" s="74"/>
      <c r="VQQ5" s="74"/>
      <c r="VQR5" s="74"/>
      <c r="VQS5" s="74"/>
      <c r="VQT5" s="74"/>
      <c r="VQU5" s="74"/>
      <c r="VQV5" s="74"/>
      <c r="VQW5" s="74"/>
      <c r="VQX5" s="74"/>
      <c r="VQY5" s="74"/>
      <c r="VQZ5" s="74"/>
      <c r="VRA5" s="74"/>
      <c r="VRB5" s="74"/>
      <c r="VRC5" s="74"/>
      <c r="VRD5" s="74"/>
      <c r="VRE5" s="74"/>
      <c r="VRF5" s="74"/>
      <c r="VRG5" s="74"/>
      <c r="VRH5" s="74"/>
      <c r="VRI5" s="74"/>
      <c r="VRJ5" s="74"/>
      <c r="VRK5" s="74"/>
      <c r="VRL5" s="74"/>
      <c r="VRM5" s="74"/>
      <c r="VRN5" s="74"/>
      <c r="VRO5" s="74"/>
      <c r="VRP5" s="74"/>
      <c r="VRQ5" s="74"/>
      <c r="VRR5" s="74"/>
      <c r="VRS5" s="74"/>
      <c r="VRT5" s="74"/>
      <c r="VRU5" s="74"/>
      <c r="VRV5" s="74"/>
      <c r="VRW5" s="74"/>
      <c r="VRX5" s="74"/>
      <c r="VRY5" s="74"/>
      <c r="VRZ5" s="74"/>
      <c r="VSA5" s="74"/>
      <c r="VSB5" s="74"/>
      <c r="VSC5" s="74"/>
      <c r="VSD5" s="74"/>
      <c r="VSE5" s="74"/>
      <c r="VSF5" s="74"/>
      <c r="VSG5" s="74"/>
      <c r="VSH5" s="74"/>
      <c r="VSI5" s="74"/>
      <c r="VSJ5" s="74"/>
      <c r="VSK5" s="74"/>
      <c r="VSL5" s="74"/>
      <c r="VSM5" s="74"/>
      <c r="VSN5" s="74"/>
      <c r="VSO5" s="74"/>
      <c r="VSP5" s="74"/>
      <c r="VSQ5" s="74"/>
      <c r="VSR5" s="74"/>
      <c r="VSS5" s="74"/>
      <c r="VST5" s="74"/>
      <c r="VSU5" s="74"/>
      <c r="VSV5" s="74"/>
      <c r="VSW5" s="74"/>
      <c r="VSX5" s="74"/>
      <c r="VSY5" s="74"/>
      <c r="VSZ5" s="74"/>
      <c r="VTA5" s="74"/>
      <c r="VTB5" s="74"/>
      <c r="VTC5" s="74"/>
      <c r="VTD5" s="74"/>
      <c r="VTE5" s="74"/>
      <c r="VTF5" s="74"/>
      <c r="VTG5" s="74"/>
      <c r="VTH5" s="74"/>
      <c r="VTI5" s="74"/>
      <c r="VTJ5" s="74"/>
      <c r="VTK5" s="74"/>
      <c r="VTL5" s="74"/>
      <c r="VTM5" s="74"/>
      <c r="VTN5" s="74"/>
      <c r="VTO5" s="74"/>
      <c r="VTP5" s="74"/>
      <c r="VTQ5" s="74"/>
      <c r="VTR5" s="74"/>
      <c r="VTS5" s="74"/>
      <c r="VTT5" s="74"/>
      <c r="VTU5" s="74"/>
      <c r="VTV5" s="74"/>
      <c r="VTW5" s="74"/>
      <c r="VTX5" s="74"/>
      <c r="VTY5" s="74"/>
      <c r="VTZ5" s="74"/>
      <c r="VUA5" s="74"/>
      <c r="VUB5" s="74"/>
      <c r="VUC5" s="74"/>
      <c r="VUD5" s="74"/>
      <c r="VUE5" s="74"/>
      <c r="VUF5" s="74"/>
      <c r="VUG5" s="74"/>
      <c r="VUH5" s="74"/>
      <c r="VUI5" s="74"/>
      <c r="VUJ5" s="74"/>
      <c r="VUK5" s="74"/>
      <c r="VUL5" s="74"/>
      <c r="VUM5" s="74"/>
      <c r="VUN5" s="74"/>
      <c r="VUO5" s="74"/>
      <c r="VUP5" s="74"/>
      <c r="VUQ5" s="74"/>
      <c r="VUR5" s="74"/>
      <c r="VUS5" s="74"/>
      <c r="VUT5" s="74"/>
      <c r="VUU5" s="74"/>
      <c r="VUV5" s="74"/>
      <c r="VUW5" s="74"/>
      <c r="VUX5" s="74"/>
      <c r="VUY5" s="74"/>
      <c r="VUZ5" s="74"/>
      <c r="VVA5" s="74"/>
      <c r="VVB5" s="74"/>
      <c r="VVC5" s="74"/>
      <c r="VVD5" s="74"/>
      <c r="VVE5" s="74"/>
      <c r="VVF5" s="74"/>
      <c r="VVG5" s="74"/>
      <c r="VVH5" s="74"/>
      <c r="VVI5" s="74"/>
      <c r="VVJ5" s="74"/>
      <c r="VVK5" s="74"/>
      <c r="VVL5" s="74"/>
      <c r="VVM5" s="74"/>
      <c r="VVN5" s="74"/>
      <c r="VVO5" s="74"/>
      <c r="VVP5" s="74"/>
      <c r="VVQ5" s="74"/>
      <c r="VVR5" s="74"/>
      <c r="VVS5" s="74"/>
      <c r="VVT5" s="74"/>
      <c r="VVU5" s="74"/>
      <c r="VVV5" s="74"/>
      <c r="VVW5" s="74"/>
      <c r="VVX5" s="74"/>
      <c r="VVY5" s="74"/>
      <c r="VVZ5" s="74"/>
      <c r="VWA5" s="74"/>
      <c r="VWB5" s="74"/>
      <c r="VWC5" s="74"/>
      <c r="VWD5" s="74"/>
      <c r="VWE5" s="74"/>
      <c r="VWF5" s="74"/>
      <c r="VWG5" s="74"/>
      <c r="VWH5" s="74"/>
      <c r="VWI5" s="74"/>
      <c r="VWJ5" s="74"/>
      <c r="VWK5" s="74"/>
      <c r="VWL5" s="74"/>
      <c r="VWM5" s="74"/>
      <c r="VWN5" s="74"/>
      <c r="VWO5" s="74"/>
      <c r="VWP5" s="74"/>
      <c r="VWQ5" s="74"/>
      <c r="VWR5" s="74"/>
      <c r="VWS5" s="74"/>
      <c r="VWT5" s="74"/>
      <c r="VWU5" s="74"/>
      <c r="VWV5" s="74"/>
      <c r="VWW5" s="74"/>
      <c r="VWX5" s="74"/>
      <c r="VWY5" s="74"/>
      <c r="VWZ5" s="74"/>
      <c r="VXA5" s="74"/>
      <c r="VXB5" s="74"/>
      <c r="VXC5" s="74"/>
      <c r="VXD5" s="74"/>
      <c r="VXE5" s="74"/>
      <c r="VXF5" s="74"/>
      <c r="VXG5" s="74"/>
      <c r="VXH5" s="74"/>
      <c r="VXI5" s="74"/>
      <c r="VXJ5" s="74"/>
      <c r="VXK5" s="74"/>
      <c r="VXL5" s="74"/>
      <c r="VXM5" s="74"/>
      <c r="VXN5" s="74"/>
      <c r="VXO5" s="74"/>
      <c r="VXP5" s="74"/>
      <c r="VXQ5" s="74"/>
      <c r="VXR5" s="74"/>
      <c r="VXS5" s="74"/>
      <c r="VXT5" s="74"/>
      <c r="VXU5" s="74"/>
      <c r="VXV5" s="74"/>
      <c r="VXW5" s="74"/>
      <c r="VXX5" s="74"/>
      <c r="VXY5" s="74"/>
      <c r="VXZ5" s="74"/>
      <c r="VYA5" s="74"/>
      <c r="VYB5" s="74"/>
      <c r="VYC5" s="74"/>
      <c r="VYD5" s="74"/>
      <c r="VYE5" s="74"/>
      <c r="VYF5" s="74"/>
      <c r="VYG5" s="74"/>
      <c r="VYH5" s="74"/>
      <c r="VYI5" s="74"/>
      <c r="VYJ5" s="74"/>
      <c r="VYK5" s="74"/>
      <c r="VYL5" s="74"/>
      <c r="VYM5" s="74"/>
      <c r="VYN5" s="74"/>
      <c r="VYO5" s="74"/>
      <c r="VYP5" s="74"/>
      <c r="VYQ5" s="74"/>
      <c r="VYR5" s="74"/>
      <c r="VYS5" s="74"/>
      <c r="VYT5" s="74"/>
      <c r="VYU5" s="74"/>
      <c r="VYV5" s="74"/>
      <c r="VYW5" s="74"/>
      <c r="VYX5" s="74"/>
      <c r="VYY5" s="74"/>
      <c r="VYZ5" s="74"/>
      <c r="VZA5" s="74"/>
      <c r="VZB5" s="74"/>
      <c r="VZC5" s="74"/>
      <c r="VZD5" s="74"/>
      <c r="VZE5" s="74"/>
      <c r="VZF5" s="74"/>
      <c r="VZG5" s="74"/>
      <c r="VZH5" s="74"/>
      <c r="VZI5" s="74"/>
      <c r="VZJ5" s="74"/>
      <c r="VZK5" s="74"/>
      <c r="VZL5" s="74"/>
      <c r="VZM5" s="74"/>
      <c r="VZN5" s="74"/>
      <c r="VZO5" s="74"/>
      <c r="VZP5" s="74"/>
      <c r="VZQ5" s="74"/>
      <c r="VZR5" s="74"/>
      <c r="VZS5" s="74"/>
      <c r="VZT5" s="74"/>
      <c r="VZU5" s="74"/>
      <c r="VZV5" s="74"/>
      <c r="VZW5" s="74"/>
      <c r="VZX5" s="74"/>
      <c r="VZY5" s="74"/>
      <c r="VZZ5" s="74"/>
      <c r="WAA5" s="74"/>
      <c r="WAB5" s="74"/>
      <c r="WAC5" s="74"/>
      <c r="WAD5" s="74"/>
      <c r="WAE5" s="74"/>
      <c r="WAF5" s="74"/>
      <c r="WAG5" s="74"/>
      <c r="WAH5" s="74"/>
      <c r="WAI5" s="74"/>
      <c r="WAJ5" s="74"/>
      <c r="WAK5" s="74"/>
      <c r="WAL5" s="74"/>
      <c r="WAM5" s="74"/>
      <c r="WAN5" s="74"/>
      <c r="WAO5" s="74"/>
      <c r="WAP5" s="74"/>
      <c r="WAQ5" s="74"/>
      <c r="WAR5" s="74"/>
      <c r="WAS5" s="74"/>
      <c r="WAT5" s="74"/>
      <c r="WAU5" s="74"/>
      <c r="WAV5" s="74"/>
      <c r="WAW5" s="74"/>
      <c r="WAX5" s="74"/>
      <c r="WAY5" s="74"/>
      <c r="WAZ5" s="74"/>
      <c r="WBA5" s="74"/>
      <c r="WBB5" s="74"/>
      <c r="WBC5" s="74"/>
      <c r="WBD5" s="74"/>
      <c r="WBE5" s="74"/>
      <c r="WBF5" s="74"/>
      <c r="WBG5" s="74"/>
      <c r="WBH5" s="74"/>
      <c r="WBI5" s="74"/>
      <c r="WBJ5" s="74"/>
      <c r="WBK5" s="74"/>
      <c r="WBL5" s="74"/>
      <c r="WBM5" s="74"/>
      <c r="WBN5" s="74"/>
      <c r="WBO5" s="74"/>
      <c r="WBP5" s="74"/>
      <c r="WBQ5" s="74"/>
      <c r="WBR5" s="74"/>
      <c r="WBS5" s="74"/>
      <c r="WBT5" s="74"/>
      <c r="WBU5" s="74"/>
      <c r="WBV5" s="74"/>
      <c r="WBW5" s="74"/>
      <c r="WBX5" s="74"/>
      <c r="WBY5" s="74"/>
      <c r="WBZ5" s="74"/>
      <c r="WCA5" s="74"/>
      <c r="WCB5" s="74"/>
      <c r="WCC5" s="74"/>
      <c r="WCD5" s="74"/>
      <c r="WCE5" s="74"/>
      <c r="WCF5" s="74"/>
      <c r="WCG5" s="74"/>
      <c r="WCH5" s="74"/>
      <c r="WCI5" s="74"/>
      <c r="WCJ5" s="74"/>
      <c r="WCK5" s="74"/>
      <c r="WCL5" s="74"/>
      <c r="WCM5" s="74"/>
      <c r="WCN5" s="74"/>
      <c r="WCO5" s="74"/>
      <c r="WCP5" s="74"/>
      <c r="WCQ5" s="74"/>
      <c r="WCR5" s="74"/>
      <c r="WCS5" s="74"/>
      <c r="WCT5" s="74"/>
      <c r="WCU5" s="74"/>
      <c r="WCV5" s="74"/>
      <c r="WCW5" s="74"/>
      <c r="WCX5" s="74"/>
      <c r="WCY5" s="74"/>
      <c r="WCZ5" s="74"/>
      <c r="WDA5" s="74"/>
      <c r="WDB5" s="74"/>
      <c r="WDC5" s="74"/>
      <c r="WDD5" s="74"/>
      <c r="WDE5" s="74"/>
      <c r="WDF5" s="74"/>
      <c r="WDG5" s="74"/>
      <c r="WDH5" s="74"/>
      <c r="WDI5" s="74"/>
      <c r="WDJ5" s="74"/>
      <c r="WDK5" s="74"/>
      <c r="WDL5" s="74"/>
      <c r="WDM5" s="74"/>
      <c r="WDN5" s="74"/>
      <c r="WDO5" s="74"/>
      <c r="WDP5" s="74"/>
      <c r="WDQ5" s="74"/>
      <c r="WDR5" s="74"/>
      <c r="WDS5" s="74"/>
      <c r="WDT5" s="74"/>
      <c r="WDU5" s="74"/>
      <c r="WDV5" s="74"/>
      <c r="WDW5" s="74"/>
      <c r="WDX5" s="74"/>
      <c r="WDY5" s="74"/>
      <c r="WDZ5" s="74"/>
      <c r="WEA5" s="74"/>
      <c r="WEB5" s="74"/>
      <c r="WEC5" s="74"/>
      <c r="WED5" s="74"/>
      <c r="WEE5" s="74"/>
      <c r="WEF5" s="74"/>
      <c r="WEG5" s="74"/>
      <c r="WEH5" s="74"/>
      <c r="WEI5" s="74"/>
      <c r="WEJ5" s="74"/>
      <c r="WEK5" s="74"/>
      <c r="WEL5" s="74"/>
      <c r="WEM5" s="74"/>
      <c r="WEN5" s="74"/>
      <c r="WEO5" s="74"/>
      <c r="WEP5" s="74"/>
      <c r="WEQ5" s="74"/>
      <c r="WER5" s="74"/>
      <c r="WES5" s="74"/>
      <c r="WET5" s="74"/>
      <c r="WEU5" s="74"/>
      <c r="WEV5" s="74"/>
      <c r="WEW5" s="74"/>
      <c r="WEX5" s="74"/>
      <c r="WEY5" s="74"/>
      <c r="WEZ5" s="74"/>
      <c r="WFA5" s="74"/>
      <c r="WFB5" s="74"/>
      <c r="WFC5" s="74"/>
      <c r="WFD5" s="74"/>
      <c r="WFE5" s="74"/>
      <c r="WFF5" s="74"/>
      <c r="WFG5" s="74"/>
      <c r="WFH5" s="74"/>
      <c r="WFI5" s="74"/>
      <c r="WFJ5" s="74"/>
      <c r="WFK5" s="74"/>
      <c r="WFL5" s="74"/>
      <c r="WFM5" s="74"/>
      <c r="WFN5" s="74"/>
      <c r="WFO5" s="74"/>
      <c r="WFP5" s="74"/>
      <c r="WFQ5" s="74"/>
      <c r="WFR5" s="74"/>
      <c r="WFS5" s="74"/>
      <c r="WFT5" s="74"/>
      <c r="WFU5" s="74"/>
      <c r="WFV5" s="74"/>
      <c r="WFW5" s="74"/>
      <c r="WFX5" s="74"/>
      <c r="WFY5" s="74"/>
      <c r="WFZ5" s="74"/>
      <c r="WGA5" s="74"/>
      <c r="WGB5" s="74"/>
      <c r="WGC5" s="74"/>
      <c r="WGD5" s="74"/>
      <c r="WGE5" s="74"/>
      <c r="WGF5" s="74"/>
      <c r="WGG5" s="74"/>
      <c r="WGH5" s="74"/>
      <c r="WGI5" s="74"/>
      <c r="WGJ5" s="74"/>
      <c r="WGK5" s="74"/>
      <c r="WGL5" s="74"/>
      <c r="WGM5" s="74"/>
      <c r="WGN5" s="74"/>
      <c r="WGO5" s="74"/>
      <c r="WGP5" s="74"/>
      <c r="WGQ5" s="74"/>
      <c r="WGR5" s="74"/>
      <c r="WGS5" s="74"/>
      <c r="WGT5" s="74"/>
      <c r="WGU5" s="74"/>
      <c r="WGV5" s="74"/>
      <c r="WGW5" s="74"/>
      <c r="WGX5" s="74"/>
      <c r="WGY5" s="74"/>
      <c r="WGZ5" s="74"/>
      <c r="WHA5" s="74"/>
      <c r="WHB5" s="74"/>
      <c r="WHC5" s="74"/>
      <c r="WHD5" s="74"/>
      <c r="WHE5" s="74"/>
      <c r="WHF5" s="74"/>
      <c r="WHG5" s="74"/>
      <c r="WHH5" s="74"/>
      <c r="WHI5" s="74"/>
      <c r="WHJ5" s="74"/>
      <c r="WHK5" s="74"/>
      <c r="WHL5" s="74"/>
      <c r="WHM5" s="74"/>
      <c r="WHN5" s="74"/>
      <c r="WHO5" s="74"/>
      <c r="WHP5" s="74"/>
      <c r="WHQ5" s="74"/>
      <c r="WHR5" s="74"/>
      <c r="WHS5" s="74"/>
      <c r="WHT5" s="74"/>
      <c r="WHU5" s="74"/>
      <c r="WHV5" s="74"/>
      <c r="WHW5" s="74"/>
      <c r="WHX5" s="74"/>
      <c r="WHY5" s="74"/>
      <c r="WHZ5" s="74"/>
      <c r="WIA5" s="74"/>
      <c r="WIB5" s="74"/>
      <c r="WIC5" s="74"/>
      <c r="WID5" s="74"/>
      <c r="WIE5" s="74"/>
      <c r="WIF5" s="74"/>
      <c r="WIG5" s="74"/>
      <c r="WIH5" s="74"/>
      <c r="WII5" s="74"/>
      <c r="WIJ5" s="74"/>
      <c r="WIK5" s="74"/>
      <c r="WIL5" s="74"/>
      <c r="WIM5" s="74"/>
      <c r="WIN5" s="74"/>
      <c r="WIO5" s="74"/>
      <c r="WIP5" s="74"/>
      <c r="WIQ5" s="74"/>
      <c r="WIR5" s="74"/>
      <c r="WIS5" s="74"/>
      <c r="WIT5" s="74"/>
      <c r="WIU5" s="74"/>
      <c r="WIV5" s="74"/>
      <c r="WIW5" s="74"/>
      <c r="WIX5" s="74"/>
      <c r="WIY5" s="74"/>
      <c r="WIZ5" s="74"/>
      <c r="WJA5" s="74"/>
      <c r="WJB5" s="74"/>
      <c r="WJC5" s="74"/>
      <c r="WJD5" s="74"/>
      <c r="WJE5" s="74"/>
      <c r="WJF5" s="74"/>
      <c r="WJG5" s="74"/>
      <c r="WJH5" s="74"/>
      <c r="WJI5" s="74"/>
      <c r="WJJ5" s="74"/>
      <c r="WJK5" s="74"/>
      <c r="WJL5" s="74"/>
      <c r="WJM5" s="74"/>
      <c r="WJN5" s="74"/>
      <c r="WJO5" s="74"/>
      <c r="WJP5" s="74"/>
      <c r="WJQ5" s="74"/>
      <c r="WJR5" s="74"/>
      <c r="WJS5" s="74"/>
      <c r="WJT5" s="74"/>
      <c r="WJU5" s="74"/>
      <c r="WJV5" s="74"/>
      <c r="WJW5" s="74"/>
      <c r="WJX5" s="74"/>
      <c r="WJY5" s="74"/>
      <c r="WJZ5" s="74"/>
      <c r="WKA5" s="74"/>
      <c r="WKB5" s="74"/>
      <c r="WKC5" s="74"/>
      <c r="WKD5" s="74"/>
      <c r="WKE5" s="74"/>
      <c r="WKF5" s="74"/>
      <c r="WKG5" s="74"/>
      <c r="WKH5" s="74"/>
      <c r="WKI5" s="74"/>
      <c r="WKJ5" s="74"/>
      <c r="WKK5" s="74"/>
      <c r="WKL5" s="74"/>
      <c r="WKM5" s="74"/>
      <c r="WKN5" s="74"/>
      <c r="WKO5" s="74"/>
      <c r="WKP5" s="74"/>
      <c r="WKQ5" s="74"/>
      <c r="WKR5" s="74"/>
      <c r="WKS5" s="74"/>
      <c r="WKT5" s="74"/>
      <c r="WKU5" s="74"/>
      <c r="WKV5" s="74"/>
      <c r="WKW5" s="74"/>
      <c r="WKX5" s="74"/>
      <c r="WKY5" s="74"/>
      <c r="WKZ5" s="74"/>
      <c r="WLA5" s="74"/>
      <c r="WLB5" s="74"/>
      <c r="WLC5" s="74"/>
      <c r="WLD5" s="74"/>
      <c r="WLE5" s="74"/>
      <c r="WLF5" s="74"/>
      <c r="WLG5" s="74"/>
      <c r="WLH5" s="74"/>
      <c r="WLI5" s="74"/>
      <c r="WLJ5" s="74"/>
      <c r="WLK5" s="74"/>
      <c r="WLL5" s="74"/>
      <c r="WLM5" s="74"/>
      <c r="WLN5" s="74"/>
      <c r="WLO5" s="74"/>
      <c r="WLP5" s="74"/>
      <c r="WLQ5" s="74"/>
      <c r="WLR5" s="74"/>
      <c r="WLS5" s="74"/>
      <c r="WLT5" s="74"/>
      <c r="WLU5" s="74"/>
      <c r="WLV5" s="74"/>
      <c r="WLW5" s="74"/>
      <c r="WLX5" s="74"/>
      <c r="WLY5" s="74"/>
      <c r="WLZ5" s="74"/>
      <c r="WMA5" s="74"/>
      <c r="WMB5" s="74"/>
      <c r="WMC5" s="74"/>
      <c r="WMD5" s="74"/>
      <c r="WME5" s="74"/>
      <c r="WMF5" s="74"/>
      <c r="WMG5" s="74"/>
      <c r="WMH5" s="74"/>
      <c r="WMI5" s="74"/>
      <c r="WMJ5" s="74"/>
      <c r="WMK5" s="74"/>
      <c r="WML5" s="74"/>
      <c r="WMM5" s="74"/>
      <c r="WMN5" s="74"/>
      <c r="WMO5" s="74"/>
      <c r="WMP5" s="74"/>
      <c r="WMQ5" s="74"/>
      <c r="WMR5" s="74"/>
      <c r="WMS5" s="74"/>
      <c r="WMT5" s="74"/>
      <c r="WMU5" s="74"/>
      <c r="WMV5" s="74"/>
      <c r="WMW5" s="74"/>
      <c r="WMX5" s="74"/>
      <c r="WMY5" s="74"/>
      <c r="WMZ5" s="74"/>
      <c r="WNA5" s="74"/>
      <c r="WNB5" s="74"/>
      <c r="WNC5" s="74"/>
      <c r="WND5" s="74"/>
      <c r="WNE5" s="74"/>
      <c r="WNF5" s="74"/>
      <c r="WNG5" s="74"/>
      <c r="WNH5" s="74"/>
      <c r="WNI5" s="74"/>
      <c r="WNJ5" s="74"/>
      <c r="WNK5" s="74"/>
      <c r="WNL5" s="74"/>
      <c r="WNM5" s="74"/>
      <c r="WNN5" s="74"/>
      <c r="WNO5" s="74"/>
      <c r="WNP5" s="74"/>
      <c r="WNQ5" s="74"/>
      <c r="WNR5" s="74"/>
      <c r="WNS5" s="74"/>
      <c r="WNT5" s="74"/>
      <c r="WNU5" s="74"/>
      <c r="WNV5" s="74"/>
      <c r="WNW5" s="74"/>
      <c r="WNX5" s="74"/>
      <c r="WNY5" s="74"/>
      <c r="WNZ5" s="74"/>
      <c r="WOA5" s="74"/>
      <c r="WOB5" s="74"/>
      <c r="WOC5" s="74"/>
      <c r="WOD5" s="74"/>
      <c r="WOE5" s="74"/>
      <c r="WOF5" s="74"/>
      <c r="WOG5" s="74"/>
      <c r="WOH5" s="74"/>
      <c r="WOI5" s="74"/>
      <c r="WOJ5" s="74"/>
      <c r="WOK5" s="74"/>
      <c r="WOL5" s="74"/>
      <c r="WOM5" s="74"/>
      <c r="WON5" s="74"/>
      <c r="WOO5" s="74"/>
      <c r="WOP5" s="74"/>
      <c r="WOQ5" s="74"/>
      <c r="WOR5" s="74"/>
      <c r="WOS5" s="74"/>
      <c r="WOT5" s="74"/>
      <c r="WOU5" s="74"/>
      <c r="WOV5" s="74"/>
      <c r="WOW5" s="74"/>
      <c r="WOX5" s="74"/>
      <c r="WOY5" s="74"/>
      <c r="WOZ5" s="74"/>
      <c r="WPA5" s="74"/>
      <c r="WPB5" s="74"/>
      <c r="WPC5" s="74"/>
      <c r="WPD5" s="74"/>
      <c r="WPE5" s="74"/>
      <c r="WPF5" s="74"/>
      <c r="WPG5" s="74"/>
      <c r="WPH5" s="74"/>
      <c r="WPI5" s="74"/>
      <c r="WPJ5" s="74"/>
      <c r="WPK5" s="74"/>
      <c r="WPL5" s="74"/>
      <c r="WPM5" s="74"/>
      <c r="WPN5" s="74"/>
      <c r="WPO5" s="74"/>
      <c r="WPP5" s="74"/>
      <c r="WPQ5" s="74"/>
      <c r="WPR5" s="74"/>
      <c r="WPS5" s="74"/>
      <c r="WPT5" s="74"/>
      <c r="WPU5" s="74"/>
      <c r="WPV5" s="74"/>
      <c r="WPW5" s="74"/>
      <c r="WPX5" s="74"/>
      <c r="WPY5" s="74"/>
      <c r="WPZ5" s="74"/>
      <c r="WQA5" s="74"/>
      <c r="WQB5" s="74"/>
      <c r="WQC5" s="74"/>
      <c r="WQD5" s="74"/>
      <c r="WQE5" s="74"/>
      <c r="WQF5" s="74"/>
      <c r="WQG5" s="74"/>
      <c r="WQH5" s="74"/>
      <c r="WQI5" s="74"/>
      <c r="WQJ5" s="74"/>
      <c r="WQK5" s="74"/>
      <c r="WQL5" s="74"/>
      <c r="WQM5" s="74"/>
      <c r="WQN5" s="74"/>
      <c r="WQO5" s="74"/>
      <c r="WQP5" s="74"/>
      <c r="WQQ5" s="74"/>
      <c r="WQR5" s="74"/>
      <c r="WQS5" s="74"/>
      <c r="WQT5" s="74"/>
      <c r="WQU5" s="74"/>
      <c r="WQV5" s="74"/>
      <c r="WQW5" s="74"/>
      <c r="WQX5" s="74"/>
      <c r="WQY5" s="74"/>
      <c r="WQZ5" s="74"/>
      <c r="WRA5" s="74"/>
      <c r="WRB5" s="74"/>
      <c r="WRC5" s="74"/>
      <c r="WRD5" s="74"/>
      <c r="WRE5" s="74"/>
      <c r="WRF5" s="74"/>
      <c r="WRG5" s="74"/>
      <c r="WRH5" s="74"/>
      <c r="WRI5" s="74"/>
      <c r="WRJ5" s="74"/>
      <c r="WRK5" s="74"/>
      <c r="WRL5" s="74"/>
      <c r="WRM5" s="74"/>
      <c r="WRN5" s="74"/>
      <c r="WRO5" s="74"/>
      <c r="WRP5" s="74"/>
      <c r="WRQ5" s="74"/>
      <c r="WRR5" s="74"/>
      <c r="WRS5" s="74"/>
      <c r="WRT5" s="74"/>
      <c r="WRU5" s="74"/>
      <c r="WRV5" s="74"/>
      <c r="WRW5" s="74"/>
      <c r="WRX5" s="74"/>
      <c r="WRY5" s="74"/>
      <c r="WRZ5" s="74"/>
      <c r="WSA5" s="74"/>
      <c r="WSB5" s="74"/>
      <c r="WSC5" s="74"/>
      <c r="WSD5" s="74"/>
      <c r="WSE5" s="74"/>
      <c r="WSF5" s="74"/>
      <c r="WSG5" s="74"/>
      <c r="WSH5" s="74"/>
      <c r="WSI5" s="74"/>
      <c r="WSJ5" s="74"/>
      <c r="WSK5" s="74"/>
      <c r="WSL5" s="74"/>
      <c r="WSM5" s="74"/>
      <c r="WSN5" s="74"/>
      <c r="WSO5" s="74"/>
      <c r="WSP5" s="74"/>
      <c r="WSQ5" s="74"/>
      <c r="WSR5" s="74"/>
      <c r="WSS5" s="74"/>
      <c r="WST5" s="74"/>
      <c r="WSU5" s="74"/>
      <c r="WSV5" s="74"/>
      <c r="WSW5" s="74"/>
      <c r="WSX5" s="74"/>
      <c r="WSY5" s="74"/>
      <c r="WSZ5" s="74"/>
      <c r="WTA5" s="74"/>
      <c r="WTB5" s="74"/>
      <c r="WTC5" s="74"/>
      <c r="WTD5" s="74"/>
      <c r="WTE5" s="74"/>
      <c r="WTF5" s="74"/>
      <c r="WTG5" s="74"/>
      <c r="WTH5" s="74"/>
      <c r="WTI5" s="74"/>
      <c r="WTJ5" s="74"/>
      <c r="WTK5" s="74"/>
      <c r="WTL5" s="74"/>
      <c r="WTM5" s="74"/>
      <c r="WTN5" s="74"/>
      <c r="WTO5" s="74"/>
      <c r="WTP5" s="74"/>
      <c r="WTQ5" s="74"/>
      <c r="WTR5" s="74"/>
      <c r="WTS5" s="74"/>
      <c r="WTT5" s="74"/>
      <c r="WTU5" s="74"/>
      <c r="WTV5" s="74"/>
      <c r="WTW5" s="74"/>
      <c r="WTX5" s="74"/>
      <c r="WTY5" s="74"/>
      <c r="WTZ5" s="74"/>
      <c r="WUA5" s="74"/>
      <c r="WUB5" s="74"/>
      <c r="WUC5" s="74"/>
      <c r="WUD5" s="74"/>
      <c r="WUE5" s="74"/>
      <c r="WUF5" s="74"/>
      <c r="WUG5" s="74"/>
      <c r="WUH5" s="74"/>
      <c r="WUI5" s="74"/>
      <c r="WUJ5" s="74"/>
      <c r="WUK5" s="74"/>
      <c r="WUL5" s="74"/>
      <c r="WUM5" s="74"/>
      <c r="WUN5" s="74"/>
      <c r="WUO5" s="74"/>
      <c r="WUP5" s="74"/>
      <c r="WUQ5" s="74"/>
      <c r="WUR5" s="74"/>
      <c r="WUS5" s="74"/>
      <c r="WUT5" s="74"/>
      <c r="WUU5" s="74"/>
      <c r="WUV5" s="74"/>
      <c r="WUW5" s="74"/>
      <c r="WUX5" s="74"/>
      <c r="WUY5" s="74"/>
      <c r="WUZ5" s="74"/>
      <c r="WVA5" s="74"/>
      <c r="WVB5" s="74"/>
      <c r="WVC5" s="74"/>
      <c r="WVD5" s="74"/>
      <c r="WVE5" s="74"/>
      <c r="WVF5" s="74"/>
      <c r="WVG5" s="74"/>
      <c r="WVH5" s="74"/>
      <c r="WVI5" s="74"/>
      <c r="WVJ5" s="74"/>
      <c r="WVK5" s="74"/>
      <c r="WVL5" s="74"/>
      <c r="WVM5" s="74"/>
      <c r="WVN5" s="74"/>
      <c r="WVO5" s="74"/>
      <c r="WVP5" s="74"/>
      <c r="WVQ5" s="74"/>
      <c r="WVR5" s="74"/>
      <c r="WVS5" s="74"/>
      <c r="WVT5" s="74"/>
      <c r="WVU5" s="74"/>
      <c r="WVV5" s="74"/>
      <c r="WVW5" s="74"/>
      <c r="WVX5" s="74"/>
      <c r="WVY5" s="74"/>
      <c r="WVZ5" s="74"/>
      <c r="WWA5" s="74"/>
      <c r="WWB5" s="74"/>
      <c r="WWC5" s="74"/>
      <c r="WWD5" s="74"/>
      <c r="WWE5" s="74"/>
      <c r="WWF5" s="74"/>
      <c r="WWG5" s="74"/>
      <c r="WWH5" s="74"/>
      <c r="WWI5" s="74"/>
      <c r="WWJ5" s="74"/>
      <c r="WWK5" s="74"/>
      <c r="WWL5" s="74"/>
      <c r="WWM5" s="74"/>
      <c r="WWN5" s="74"/>
      <c r="WWO5" s="74"/>
      <c r="WWP5" s="74"/>
      <c r="WWQ5" s="74"/>
      <c r="WWR5" s="74"/>
      <c r="WWS5" s="74"/>
      <c r="WWT5" s="74"/>
      <c r="WWU5" s="74"/>
      <c r="WWV5" s="74"/>
      <c r="WWW5" s="74"/>
      <c r="WWX5" s="74"/>
      <c r="WWY5" s="74"/>
      <c r="WWZ5" s="74"/>
      <c r="WXA5" s="74"/>
      <c r="WXB5" s="74"/>
      <c r="WXC5" s="74"/>
      <c r="WXD5" s="74"/>
      <c r="WXE5" s="74"/>
      <c r="WXF5" s="74"/>
      <c r="WXG5" s="74"/>
      <c r="WXH5" s="74"/>
      <c r="WXI5" s="74"/>
      <c r="WXJ5" s="74"/>
      <c r="WXK5" s="74"/>
      <c r="WXL5" s="74"/>
      <c r="WXM5" s="74"/>
      <c r="WXN5" s="74"/>
      <c r="WXO5" s="74"/>
      <c r="WXP5" s="74"/>
      <c r="WXQ5" s="74"/>
      <c r="WXR5" s="74"/>
      <c r="WXS5" s="74"/>
      <c r="WXT5" s="74"/>
      <c r="WXU5" s="74"/>
      <c r="WXV5" s="74"/>
      <c r="WXW5" s="74"/>
      <c r="WXX5" s="74"/>
      <c r="WXY5" s="74"/>
      <c r="WXZ5" s="74"/>
      <c r="WYA5" s="74"/>
      <c r="WYB5" s="74"/>
      <c r="WYC5" s="74"/>
      <c r="WYD5" s="74"/>
      <c r="WYE5" s="74"/>
      <c r="WYF5" s="74"/>
      <c r="WYG5" s="74"/>
      <c r="WYH5" s="74"/>
      <c r="WYI5" s="74"/>
      <c r="WYJ5" s="74"/>
      <c r="WYK5" s="74"/>
      <c r="WYL5" s="74"/>
      <c r="WYM5" s="74"/>
      <c r="WYN5" s="74"/>
      <c r="WYO5" s="74"/>
      <c r="WYP5" s="74"/>
      <c r="WYQ5" s="74"/>
      <c r="WYR5" s="74"/>
      <c r="WYS5" s="74"/>
      <c r="WYT5" s="74"/>
      <c r="WYU5" s="74"/>
      <c r="WYV5" s="74"/>
      <c r="WYW5" s="74"/>
      <c r="WYX5" s="74"/>
      <c r="WYY5" s="74"/>
      <c r="WYZ5" s="74"/>
      <c r="WZA5" s="74"/>
      <c r="WZB5" s="74"/>
      <c r="WZC5" s="74"/>
      <c r="WZD5" s="74"/>
      <c r="WZE5" s="74"/>
      <c r="WZF5" s="74"/>
      <c r="WZG5" s="74"/>
      <c r="WZH5" s="74"/>
      <c r="WZI5" s="74"/>
      <c r="WZJ5" s="74"/>
      <c r="WZK5" s="74"/>
      <c r="WZL5" s="74"/>
      <c r="WZM5" s="74"/>
      <c r="WZN5" s="74"/>
      <c r="WZO5" s="74"/>
      <c r="WZP5" s="74"/>
      <c r="WZQ5" s="74"/>
      <c r="WZR5" s="74"/>
      <c r="WZS5" s="74"/>
      <c r="WZT5" s="74"/>
      <c r="WZU5" s="74"/>
      <c r="WZV5" s="74"/>
      <c r="WZW5" s="74"/>
      <c r="WZX5" s="74"/>
      <c r="WZY5" s="74"/>
      <c r="WZZ5" s="74"/>
      <c r="XAA5" s="74"/>
      <c r="XAB5" s="74"/>
      <c r="XAC5" s="74"/>
      <c r="XAD5" s="74"/>
      <c r="XAE5" s="74"/>
      <c r="XAF5" s="74"/>
      <c r="XAG5" s="74"/>
      <c r="XAH5" s="74"/>
      <c r="XAI5" s="74"/>
      <c r="XAJ5" s="74"/>
      <c r="XAK5" s="74"/>
      <c r="XAL5" s="74"/>
      <c r="XAM5" s="74"/>
      <c r="XAN5" s="74"/>
      <c r="XAO5" s="74"/>
      <c r="XAP5" s="74"/>
      <c r="XAQ5" s="74"/>
      <c r="XAR5" s="74"/>
      <c r="XAS5" s="74"/>
      <c r="XAT5" s="74"/>
      <c r="XAU5" s="74"/>
      <c r="XAV5" s="74"/>
      <c r="XAW5" s="74"/>
      <c r="XAX5" s="74"/>
      <c r="XAY5" s="74"/>
      <c r="XAZ5" s="74"/>
      <c r="XBA5" s="74"/>
      <c r="XBB5" s="74"/>
      <c r="XBC5" s="74"/>
      <c r="XBD5" s="74"/>
      <c r="XBE5" s="74"/>
      <c r="XBF5" s="74"/>
      <c r="XBG5" s="74"/>
      <c r="XBH5" s="74"/>
      <c r="XBI5" s="74"/>
      <c r="XBJ5" s="74"/>
      <c r="XBK5" s="74"/>
      <c r="XBL5" s="74"/>
      <c r="XBM5" s="74"/>
      <c r="XBN5" s="74"/>
      <c r="XBO5" s="74"/>
      <c r="XBP5" s="74"/>
      <c r="XBQ5" s="74"/>
      <c r="XBR5" s="74"/>
      <c r="XBS5" s="74"/>
      <c r="XBT5" s="74"/>
      <c r="XBU5" s="74"/>
      <c r="XBV5" s="74"/>
      <c r="XBW5" s="74"/>
      <c r="XBX5" s="74"/>
      <c r="XBY5" s="74"/>
      <c r="XBZ5" s="74"/>
      <c r="XCA5" s="74"/>
      <c r="XCB5" s="74"/>
      <c r="XCC5" s="74"/>
      <c r="XCD5" s="74"/>
      <c r="XCE5" s="74"/>
      <c r="XCF5" s="74"/>
      <c r="XCG5" s="74"/>
      <c r="XCH5" s="74"/>
      <c r="XCI5" s="74"/>
      <c r="XCJ5" s="74"/>
      <c r="XCK5" s="74"/>
      <c r="XCL5" s="74"/>
      <c r="XCM5" s="74"/>
      <c r="XCN5" s="74"/>
      <c r="XCO5" s="74"/>
      <c r="XCP5" s="74"/>
      <c r="XCQ5" s="74"/>
      <c r="XCR5" s="74"/>
      <c r="XCS5" s="74"/>
      <c r="XCT5" s="74"/>
      <c r="XCU5" s="74"/>
      <c r="XCV5" s="74"/>
      <c r="XCW5" s="74"/>
      <c r="XCX5" s="74"/>
      <c r="XCY5" s="74"/>
      <c r="XCZ5" s="74"/>
      <c r="XDA5" s="74"/>
      <c r="XDB5" s="74"/>
      <c r="XDC5" s="74"/>
      <c r="XDD5" s="74"/>
      <c r="XDE5" s="74"/>
      <c r="XDF5" s="74"/>
      <c r="XDG5" s="74"/>
      <c r="XDH5" s="74"/>
      <c r="XDI5" s="74"/>
      <c r="XDJ5" s="74"/>
      <c r="XDK5" s="74"/>
      <c r="XDL5" s="74"/>
      <c r="XDM5" s="74"/>
      <c r="XDN5" s="74"/>
      <c r="XDO5" s="74"/>
      <c r="XDP5" s="74"/>
      <c r="XDQ5" s="74"/>
      <c r="XDR5" s="74"/>
      <c r="XDS5" s="74"/>
      <c r="XDT5" s="74"/>
      <c r="XDU5" s="74"/>
      <c r="XDV5" s="74"/>
      <c r="XDW5" s="74"/>
      <c r="XDX5" s="74"/>
      <c r="XDY5" s="74"/>
      <c r="XDZ5" s="74"/>
      <c r="XEA5" s="74"/>
      <c r="XEB5" s="74"/>
      <c r="XEC5" s="74"/>
      <c r="XED5" s="74"/>
      <c r="XEE5" s="74"/>
      <c r="XEF5" s="74"/>
      <c r="XEG5" s="74"/>
      <c r="XEH5" s="74"/>
      <c r="XEI5" s="74"/>
      <c r="XEJ5" s="74"/>
      <c r="XEK5" s="74"/>
      <c r="XEL5" s="74"/>
      <c r="XEM5" s="74"/>
      <c r="XEN5" s="74"/>
      <c r="XEO5" s="74"/>
      <c r="XEP5" s="74"/>
      <c r="XEQ5" s="74"/>
      <c r="XER5" s="74"/>
      <c r="XES5" s="74"/>
      <c r="XET5" s="74"/>
      <c r="XEU5" s="74"/>
      <c r="XEV5" s="74"/>
      <c r="XEW5" s="74"/>
      <c r="XEX5" s="74"/>
      <c r="XEY5" s="74"/>
      <c r="XEZ5" s="74"/>
      <c r="XFA5" s="74"/>
      <c r="XFB5" s="74"/>
      <c r="XFC5" s="74"/>
    </row>
    <row r="6" spans="1:16383" s="209" customFormat="1" x14ac:dyDescent="0.25">
      <c r="A6" s="210" t="s">
        <v>0</v>
      </c>
      <c r="B6" s="211" t="s">
        <v>1</v>
      </c>
      <c r="C6" s="211" t="s">
        <v>2</v>
      </c>
      <c r="D6" s="212" t="s">
        <v>4</v>
      </c>
      <c r="E6" s="211" t="s">
        <v>3</v>
      </c>
      <c r="F6" s="212" t="s">
        <v>5</v>
      </c>
      <c r="G6" s="213" t="s">
        <v>6</v>
      </c>
      <c r="H6" s="211" t="s">
        <v>7</v>
      </c>
      <c r="I6" s="211" t="s">
        <v>8</v>
      </c>
      <c r="J6" s="211" t="s">
        <v>9</v>
      </c>
      <c r="K6" s="214" t="s">
        <v>10</v>
      </c>
      <c r="L6" s="215" t="s">
        <v>11</v>
      </c>
      <c r="M6" s="216" t="s">
        <v>12</v>
      </c>
      <c r="N6" s="217" t="s">
        <v>13</v>
      </c>
      <c r="O6" s="217" t="s">
        <v>14</v>
      </c>
      <c r="P6" s="217" t="s">
        <v>15</v>
      </c>
      <c r="Q6" s="217" t="s">
        <v>16</v>
      </c>
      <c r="R6" s="217" t="s">
        <v>17</v>
      </c>
      <c r="S6" s="215" t="s">
        <v>18</v>
      </c>
      <c r="T6" s="217" t="s">
        <v>19</v>
      </c>
      <c r="U6" s="217" t="s">
        <v>20</v>
      </c>
      <c r="V6" s="217" t="s">
        <v>21</v>
      </c>
      <c r="W6" s="217" t="s">
        <v>22</v>
      </c>
      <c r="X6" s="217" t="s">
        <v>23</v>
      </c>
      <c r="Y6" s="211" t="s">
        <v>24</v>
      </c>
      <c r="Z6" s="211" t="s">
        <v>25</v>
      </c>
      <c r="AA6" s="218" t="s">
        <v>26</v>
      </c>
      <c r="AB6" s="211" t="s">
        <v>27</v>
      </c>
      <c r="AC6" s="211" t="s">
        <v>28</v>
      </c>
      <c r="AD6" s="211" t="s">
        <v>29</v>
      </c>
      <c r="AE6" s="211" t="s">
        <v>30</v>
      </c>
      <c r="AF6" s="211" t="s">
        <v>31</v>
      </c>
      <c r="AG6" s="211" t="s">
        <v>32</v>
      </c>
      <c r="AH6" s="211" t="s">
        <v>33</v>
      </c>
      <c r="AI6" s="211" t="s">
        <v>34</v>
      </c>
      <c r="AJ6" s="211" t="s">
        <v>35</v>
      </c>
      <c r="AK6" s="211" t="s">
        <v>36</v>
      </c>
      <c r="AL6" s="211" t="s">
        <v>37</v>
      </c>
      <c r="AM6" s="211" t="s">
        <v>38</v>
      </c>
      <c r="AN6" s="211" t="s">
        <v>276</v>
      </c>
      <c r="AO6" s="209" t="s">
        <v>63</v>
      </c>
      <c r="AP6" s="209" t="s">
        <v>697</v>
      </c>
      <c r="AR6" s="220" t="s">
        <v>256</v>
      </c>
    </row>
    <row r="7" spans="1:16383" s="206" customFormat="1" x14ac:dyDescent="0.25">
      <c r="A7" s="222">
        <v>45689</v>
      </c>
      <c r="B7" s="206" t="s">
        <v>40</v>
      </c>
      <c r="C7" s="206" t="s">
        <v>41</v>
      </c>
      <c r="D7" s="206">
        <v>25708024</v>
      </c>
      <c r="E7" s="206">
        <v>25106557</v>
      </c>
      <c r="F7" s="206" t="s">
        <v>792</v>
      </c>
      <c r="G7" s="223">
        <v>45712</v>
      </c>
      <c r="H7" s="206" t="s">
        <v>793</v>
      </c>
      <c r="I7" s="206" t="s">
        <v>456</v>
      </c>
      <c r="J7" s="206" t="s">
        <v>794</v>
      </c>
      <c r="K7" s="206">
        <v>200</v>
      </c>
      <c r="L7" s="206" t="s">
        <v>42</v>
      </c>
      <c r="M7" s="206">
        <v>200</v>
      </c>
      <c r="N7" s="224">
        <v>515247</v>
      </c>
      <c r="O7" s="224">
        <v>103049400</v>
      </c>
      <c r="P7" s="224">
        <v>103049400</v>
      </c>
      <c r="Q7" s="206">
        <v>0</v>
      </c>
      <c r="R7" s="206">
        <v>0</v>
      </c>
      <c r="S7" s="206" t="s">
        <v>43</v>
      </c>
      <c r="T7" s="224">
        <v>55540992</v>
      </c>
      <c r="U7" s="224">
        <v>55540992</v>
      </c>
      <c r="V7" s="224">
        <v>47508408</v>
      </c>
      <c r="W7" s="224">
        <v>0.46102556637800002</v>
      </c>
      <c r="X7" s="224">
        <v>47508408</v>
      </c>
      <c r="Y7" s="206" t="s">
        <v>69</v>
      </c>
      <c r="Z7" s="206" t="s">
        <v>46</v>
      </c>
      <c r="AA7" s="225">
        <v>2309338</v>
      </c>
      <c r="AB7" s="206" t="s">
        <v>793</v>
      </c>
      <c r="AC7" s="206" t="s">
        <v>56</v>
      </c>
      <c r="AD7" s="206" t="s">
        <v>77</v>
      </c>
      <c r="AE7" s="206">
        <v>0</v>
      </c>
      <c r="AF7" s="206" t="s">
        <v>78</v>
      </c>
      <c r="AG7" s="206" t="s">
        <v>69</v>
      </c>
      <c r="AH7" s="206" t="s">
        <v>46</v>
      </c>
      <c r="AI7" s="206" t="s">
        <v>69</v>
      </c>
      <c r="AJ7" s="206" t="s">
        <v>46</v>
      </c>
      <c r="AK7" s="206" t="s">
        <v>54</v>
      </c>
      <c r="AL7" s="206" t="s">
        <v>48</v>
      </c>
      <c r="AM7" s="206" t="s">
        <v>64</v>
      </c>
      <c r="AN7" s="206" t="str">
        <f>IFERROR(VLOOKUP(I7,Sheet1!$A$1:$D$246,4,FALSE),"NO HSCODE")</f>
        <v>A210600</v>
      </c>
      <c r="AR7" s="206" t="s">
        <v>790</v>
      </c>
    </row>
    <row r="8" spans="1:16383" s="206" customFormat="1" x14ac:dyDescent="0.25">
      <c r="A8" s="222">
        <v>45689</v>
      </c>
      <c r="B8" s="206" t="s">
        <v>40</v>
      </c>
      <c r="C8" s="206" t="s">
        <v>41</v>
      </c>
      <c r="D8" s="206">
        <v>25708025</v>
      </c>
      <c r="E8" s="206">
        <v>25106557</v>
      </c>
      <c r="F8" s="206" t="s">
        <v>792</v>
      </c>
      <c r="G8" s="223">
        <v>45712</v>
      </c>
      <c r="H8" s="206" t="s">
        <v>793</v>
      </c>
      <c r="I8" s="206" t="s">
        <v>51</v>
      </c>
      <c r="J8" s="206" t="s">
        <v>79</v>
      </c>
      <c r="K8" s="206">
        <v>210</v>
      </c>
      <c r="L8" s="206" t="s">
        <v>42</v>
      </c>
      <c r="M8" s="206">
        <v>210</v>
      </c>
      <c r="N8" s="224">
        <v>307306</v>
      </c>
      <c r="O8" s="224">
        <v>64534260</v>
      </c>
      <c r="P8" s="224">
        <v>64534260</v>
      </c>
      <c r="Q8" s="206">
        <v>0</v>
      </c>
      <c r="R8" s="206">
        <v>0</v>
      </c>
      <c r="S8" s="206" t="s">
        <v>43</v>
      </c>
      <c r="T8" s="224">
        <v>28642871.5</v>
      </c>
      <c r="U8" s="224">
        <v>28642871.5</v>
      </c>
      <c r="V8" s="224">
        <v>35891388.5</v>
      </c>
      <c r="W8" s="224">
        <v>0.55616022404200005</v>
      </c>
      <c r="X8" s="224">
        <v>35891388.5</v>
      </c>
      <c r="Y8" s="206" t="s">
        <v>69</v>
      </c>
      <c r="Z8" s="206" t="s">
        <v>46</v>
      </c>
      <c r="AA8" s="225">
        <v>2309338</v>
      </c>
      <c r="AB8" s="206" t="s">
        <v>793</v>
      </c>
      <c r="AC8" s="206" t="s">
        <v>56</v>
      </c>
      <c r="AD8" s="206" t="s">
        <v>77</v>
      </c>
      <c r="AE8" s="206">
        <v>0</v>
      </c>
      <c r="AF8" s="206" t="s">
        <v>76</v>
      </c>
      <c r="AG8" s="206" t="s">
        <v>69</v>
      </c>
      <c r="AH8" s="206" t="s">
        <v>46</v>
      </c>
      <c r="AI8" s="206" t="s">
        <v>69</v>
      </c>
      <c r="AJ8" s="206" t="s">
        <v>46</v>
      </c>
      <c r="AK8" s="206" t="s">
        <v>47</v>
      </c>
      <c r="AL8" s="206" t="s">
        <v>48</v>
      </c>
      <c r="AM8" s="206" t="s">
        <v>64</v>
      </c>
      <c r="AN8" s="206" t="str">
        <f>IFERROR(VLOOKUP(I8,Sheet1!$A$1:$D$246,4,FALSE),"NO HSCODE")</f>
        <v>A210600</v>
      </c>
      <c r="AR8" s="206" t="s">
        <v>790</v>
      </c>
    </row>
    <row r="9" spans="1:16383" s="206" customFormat="1" x14ac:dyDescent="0.25">
      <c r="A9" s="222">
        <v>45689</v>
      </c>
      <c r="B9" s="206" t="s">
        <v>40</v>
      </c>
      <c r="C9" s="206" t="s">
        <v>41</v>
      </c>
      <c r="D9" s="206">
        <v>25708025</v>
      </c>
      <c r="E9" s="206">
        <v>25106557</v>
      </c>
      <c r="F9" s="206" t="s">
        <v>792</v>
      </c>
      <c r="G9" s="223">
        <v>45712</v>
      </c>
      <c r="H9" s="206" t="s">
        <v>793</v>
      </c>
      <c r="I9" s="206" t="s">
        <v>50</v>
      </c>
      <c r="J9" s="206" t="s">
        <v>74</v>
      </c>
      <c r="K9" s="206">
        <v>150</v>
      </c>
      <c r="L9" s="206" t="s">
        <v>42</v>
      </c>
      <c r="M9" s="206">
        <v>150</v>
      </c>
      <c r="N9" s="224">
        <v>307306</v>
      </c>
      <c r="O9" s="224">
        <v>46095900</v>
      </c>
      <c r="P9" s="224">
        <v>46095900</v>
      </c>
      <c r="Q9" s="206">
        <v>0</v>
      </c>
      <c r="R9" s="206">
        <v>0</v>
      </c>
      <c r="S9" s="206" t="s">
        <v>43</v>
      </c>
      <c r="T9" s="224">
        <v>24096015.039999999</v>
      </c>
      <c r="U9" s="224">
        <v>24096015.039999999</v>
      </c>
      <c r="V9" s="224">
        <v>21999884.960000001</v>
      </c>
      <c r="W9" s="224">
        <v>0.47726337830400001</v>
      </c>
      <c r="X9" s="224">
        <v>21999884.960000001</v>
      </c>
      <c r="Y9" s="206" t="s">
        <v>69</v>
      </c>
      <c r="Z9" s="206" t="s">
        <v>46</v>
      </c>
      <c r="AA9" s="225">
        <v>2309338</v>
      </c>
      <c r="AB9" s="206" t="s">
        <v>793</v>
      </c>
      <c r="AC9" s="206" t="s">
        <v>56</v>
      </c>
      <c r="AD9" s="206" t="s">
        <v>77</v>
      </c>
      <c r="AE9" s="206">
        <v>0</v>
      </c>
      <c r="AF9" s="206" t="s">
        <v>76</v>
      </c>
      <c r="AG9" s="206" t="s">
        <v>69</v>
      </c>
      <c r="AH9" s="206" t="s">
        <v>46</v>
      </c>
      <c r="AI9" s="206" t="s">
        <v>69</v>
      </c>
      <c r="AJ9" s="206" t="s">
        <v>46</v>
      </c>
      <c r="AK9" s="206" t="s">
        <v>47</v>
      </c>
      <c r="AL9" s="206" t="s">
        <v>48</v>
      </c>
      <c r="AM9" s="206" t="s">
        <v>64</v>
      </c>
      <c r="AN9" s="206" t="str">
        <f>IFERROR(VLOOKUP(I9,Sheet1!$A$1:$D$246,4,FALSE),"NO HSCODE")</f>
        <v>A210600</v>
      </c>
      <c r="AR9" s="206" t="s">
        <v>790</v>
      </c>
    </row>
    <row r="10" spans="1:16383" s="206" customFormat="1" x14ac:dyDescent="0.25">
      <c r="A10" s="222">
        <v>45689</v>
      </c>
      <c r="B10" s="206" t="s">
        <v>40</v>
      </c>
      <c r="C10" s="206" t="s">
        <v>41</v>
      </c>
      <c r="D10" s="206">
        <v>25708025</v>
      </c>
      <c r="E10" s="206">
        <v>25106557</v>
      </c>
      <c r="F10" s="206" t="s">
        <v>792</v>
      </c>
      <c r="G10" s="223">
        <v>45712</v>
      </c>
      <c r="H10" s="206" t="s">
        <v>793</v>
      </c>
      <c r="I10" s="206" t="s">
        <v>454</v>
      </c>
      <c r="J10" s="206" t="s">
        <v>795</v>
      </c>
      <c r="K10" s="206">
        <v>100</v>
      </c>
      <c r="L10" s="206" t="s">
        <v>42</v>
      </c>
      <c r="M10" s="206">
        <v>100</v>
      </c>
      <c r="N10" s="224">
        <v>763741</v>
      </c>
      <c r="O10" s="224">
        <v>76374100</v>
      </c>
      <c r="P10" s="224">
        <v>76374100</v>
      </c>
      <c r="Q10" s="206">
        <v>0</v>
      </c>
      <c r="R10" s="206">
        <v>0</v>
      </c>
      <c r="S10" s="206" t="s">
        <v>43</v>
      </c>
      <c r="T10" s="224">
        <v>39543535.289999999</v>
      </c>
      <c r="U10" s="224">
        <v>39543535.289999999</v>
      </c>
      <c r="V10" s="224">
        <v>36830564.710000001</v>
      </c>
      <c r="W10" s="224">
        <v>0.48223893584299998</v>
      </c>
      <c r="X10" s="224">
        <v>36830564.710000001</v>
      </c>
      <c r="Y10" s="206" t="s">
        <v>69</v>
      </c>
      <c r="Z10" s="206" t="s">
        <v>46</v>
      </c>
      <c r="AA10" s="225">
        <v>2309338</v>
      </c>
      <c r="AB10" s="206" t="s">
        <v>793</v>
      </c>
      <c r="AC10" s="206" t="s">
        <v>56</v>
      </c>
      <c r="AD10" s="206" t="s">
        <v>77</v>
      </c>
      <c r="AE10" s="206">
        <v>0</v>
      </c>
      <c r="AF10" s="206" t="s">
        <v>78</v>
      </c>
      <c r="AG10" s="206" t="s">
        <v>69</v>
      </c>
      <c r="AH10" s="206" t="s">
        <v>46</v>
      </c>
      <c r="AI10" s="206" t="s">
        <v>69</v>
      </c>
      <c r="AJ10" s="206" t="s">
        <v>46</v>
      </c>
      <c r="AK10" s="206" t="s">
        <v>54</v>
      </c>
      <c r="AL10" s="206" t="s">
        <v>48</v>
      </c>
      <c r="AM10" s="206" t="s">
        <v>64</v>
      </c>
      <c r="AN10" s="206" t="str">
        <f>IFERROR(VLOOKUP(I10,Sheet1!$A$1:$D$246,4,FALSE),"NO HSCODE")</f>
        <v>A210600</v>
      </c>
      <c r="AR10" s="206" t="s">
        <v>790</v>
      </c>
    </row>
    <row r="11" spans="1:16383" s="206" customFormat="1" x14ac:dyDescent="0.25">
      <c r="A11" s="222">
        <v>45689</v>
      </c>
      <c r="B11" s="206" t="s">
        <v>40</v>
      </c>
      <c r="C11" s="206" t="s">
        <v>41</v>
      </c>
      <c r="D11" s="206">
        <v>25708025</v>
      </c>
      <c r="E11" s="206">
        <v>25106557</v>
      </c>
      <c r="F11" s="206" t="s">
        <v>792</v>
      </c>
      <c r="G11" s="223">
        <v>45712</v>
      </c>
      <c r="H11" s="206" t="s">
        <v>793</v>
      </c>
      <c r="I11" s="206" t="s">
        <v>453</v>
      </c>
      <c r="J11" s="206" t="s">
        <v>796</v>
      </c>
      <c r="K11" s="206">
        <v>100</v>
      </c>
      <c r="L11" s="206" t="s">
        <v>42</v>
      </c>
      <c r="M11" s="206">
        <v>100</v>
      </c>
      <c r="N11" s="224">
        <v>783291</v>
      </c>
      <c r="O11" s="224">
        <v>78329100</v>
      </c>
      <c r="P11" s="224">
        <v>78329100</v>
      </c>
      <c r="Q11" s="206">
        <v>0</v>
      </c>
      <c r="R11" s="206">
        <v>0</v>
      </c>
      <c r="S11" s="206" t="s">
        <v>43</v>
      </c>
      <c r="T11" s="224">
        <v>38918749.57</v>
      </c>
      <c r="U11" s="224">
        <v>38918749.57</v>
      </c>
      <c r="V11" s="224">
        <v>39410350.43</v>
      </c>
      <c r="W11" s="224">
        <v>0.50313804741699997</v>
      </c>
      <c r="X11" s="224">
        <v>39410350.43</v>
      </c>
      <c r="Y11" s="206" t="s">
        <v>69</v>
      </c>
      <c r="Z11" s="206" t="s">
        <v>46</v>
      </c>
      <c r="AA11" s="225">
        <v>2309338</v>
      </c>
      <c r="AB11" s="206" t="s">
        <v>793</v>
      </c>
      <c r="AC11" s="206" t="s">
        <v>56</v>
      </c>
      <c r="AD11" s="206" t="s">
        <v>77</v>
      </c>
      <c r="AE11" s="206">
        <v>0</v>
      </c>
      <c r="AF11" s="206" t="s">
        <v>78</v>
      </c>
      <c r="AG11" s="206" t="s">
        <v>69</v>
      </c>
      <c r="AH11" s="206" t="s">
        <v>46</v>
      </c>
      <c r="AI11" s="206" t="s">
        <v>69</v>
      </c>
      <c r="AJ11" s="206" t="s">
        <v>46</v>
      </c>
      <c r="AK11" s="206" t="s">
        <v>54</v>
      </c>
      <c r="AL11" s="206" t="s">
        <v>48</v>
      </c>
      <c r="AM11" s="206" t="s">
        <v>64</v>
      </c>
      <c r="AN11" s="206" t="str">
        <f>IFERROR(VLOOKUP(I11,Sheet1!$A$1:$D$246,4,FALSE),"NO HSCODE")</f>
        <v>A210600</v>
      </c>
      <c r="AR11" s="206" t="s">
        <v>790</v>
      </c>
    </row>
    <row r="12" spans="1:16383" s="206" customFormat="1" x14ac:dyDescent="0.25">
      <c r="A12" s="222">
        <v>45689</v>
      </c>
      <c r="B12" s="206" t="s">
        <v>40</v>
      </c>
      <c r="C12" s="206" t="s">
        <v>41</v>
      </c>
      <c r="D12" s="206">
        <v>25708025</v>
      </c>
      <c r="E12" s="206">
        <v>25106557</v>
      </c>
      <c r="F12" s="206" t="s">
        <v>792</v>
      </c>
      <c r="G12" s="223">
        <v>45712</v>
      </c>
      <c r="H12" s="206" t="s">
        <v>793</v>
      </c>
      <c r="I12" s="206" t="s">
        <v>455</v>
      </c>
      <c r="J12" s="206" t="s">
        <v>797</v>
      </c>
      <c r="K12" s="206">
        <v>80</v>
      </c>
      <c r="L12" s="206" t="s">
        <v>42</v>
      </c>
      <c r="M12" s="206">
        <v>80</v>
      </c>
      <c r="N12" s="224">
        <v>997856</v>
      </c>
      <c r="O12" s="224">
        <v>79828480</v>
      </c>
      <c r="P12" s="224">
        <v>79828480</v>
      </c>
      <c r="Q12" s="206">
        <v>0</v>
      </c>
      <c r="R12" s="206">
        <v>0</v>
      </c>
      <c r="S12" s="206" t="s">
        <v>43</v>
      </c>
      <c r="T12" s="224">
        <v>45611031.380000003</v>
      </c>
      <c r="U12" s="224">
        <v>45611031.380000003</v>
      </c>
      <c r="V12" s="224">
        <v>34217448.619999997</v>
      </c>
      <c r="W12" s="224">
        <v>0.42863710570399999</v>
      </c>
      <c r="X12" s="224">
        <v>34217448.619999997</v>
      </c>
      <c r="Y12" s="206" t="s">
        <v>69</v>
      </c>
      <c r="Z12" s="206" t="s">
        <v>46</v>
      </c>
      <c r="AA12" s="225">
        <v>2309338</v>
      </c>
      <c r="AB12" s="206" t="s">
        <v>793</v>
      </c>
      <c r="AC12" s="206" t="s">
        <v>56</v>
      </c>
      <c r="AD12" s="206" t="s">
        <v>77</v>
      </c>
      <c r="AE12" s="206">
        <v>0</v>
      </c>
      <c r="AF12" s="206" t="s">
        <v>798</v>
      </c>
      <c r="AG12" s="206" t="s">
        <v>69</v>
      </c>
      <c r="AH12" s="206" t="s">
        <v>46</v>
      </c>
      <c r="AI12" s="206" t="s">
        <v>69</v>
      </c>
      <c r="AJ12" s="206" t="s">
        <v>46</v>
      </c>
      <c r="AK12" s="206" t="s">
        <v>54</v>
      </c>
      <c r="AL12" s="206" t="s">
        <v>48</v>
      </c>
      <c r="AM12" s="206" t="s">
        <v>64</v>
      </c>
      <c r="AN12" s="206" t="str">
        <f>IFERROR(VLOOKUP(I12,Sheet1!$A$1:$D$246,4,FALSE),"NO HSCODE")</f>
        <v>A210600</v>
      </c>
      <c r="AR12" s="206" t="s">
        <v>790</v>
      </c>
    </row>
    <row r="13" spans="1:16383" s="206" customFormat="1" x14ac:dyDescent="0.25">
      <c r="A13" s="222">
        <v>45748</v>
      </c>
      <c r="B13" s="206" t="s">
        <v>40</v>
      </c>
      <c r="C13" s="206" t="s">
        <v>41</v>
      </c>
      <c r="D13" s="206">
        <v>25708123</v>
      </c>
      <c r="E13" s="206">
        <v>25106581</v>
      </c>
      <c r="F13" s="206" t="s">
        <v>943</v>
      </c>
      <c r="G13" s="223">
        <v>45757</v>
      </c>
      <c r="H13" s="206" t="s">
        <v>793</v>
      </c>
      <c r="I13" s="206" t="s">
        <v>51</v>
      </c>
      <c r="J13" s="206" t="s">
        <v>79</v>
      </c>
      <c r="K13" s="206">
        <v>200</v>
      </c>
      <c r="L13" s="206" t="s">
        <v>42</v>
      </c>
      <c r="M13" s="206">
        <v>200</v>
      </c>
      <c r="N13" s="224">
        <v>309360</v>
      </c>
      <c r="O13" s="224">
        <v>61872000</v>
      </c>
      <c r="P13" s="224">
        <v>61872000</v>
      </c>
      <c r="Q13" s="206">
        <v>0</v>
      </c>
      <c r="R13" s="206">
        <v>0</v>
      </c>
      <c r="S13" s="206" t="s">
        <v>43</v>
      </c>
      <c r="T13" s="224">
        <v>26692684.27</v>
      </c>
      <c r="U13" s="224">
        <v>26692684.27</v>
      </c>
      <c r="V13" s="224">
        <v>35179315.729999997</v>
      </c>
      <c r="W13" s="224">
        <v>0.56858216527600003</v>
      </c>
      <c r="X13" s="224">
        <v>35179315.729999997</v>
      </c>
      <c r="Y13" s="206" t="s">
        <v>69</v>
      </c>
      <c r="Z13" s="206" t="s">
        <v>46</v>
      </c>
      <c r="AA13" s="225">
        <v>2309338</v>
      </c>
      <c r="AB13" s="206" t="s">
        <v>793</v>
      </c>
      <c r="AC13" s="206" t="s">
        <v>56</v>
      </c>
      <c r="AD13" s="206" t="s">
        <v>77</v>
      </c>
      <c r="AE13" s="206">
        <v>0</v>
      </c>
      <c r="AF13" s="206" t="s">
        <v>76</v>
      </c>
      <c r="AG13" s="206" t="s">
        <v>69</v>
      </c>
      <c r="AH13" s="206" t="s">
        <v>46</v>
      </c>
      <c r="AI13" s="206" t="s">
        <v>69</v>
      </c>
      <c r="AJ13" s="206" t="s">
        <v>46</v>
      </c>
      <c r="AK13" s="206" t="s">
        <v>47</v>
      </c>
      <c r="AL13" s="206" t="s">
        <v>48</v>
      </c>
      <c r="AM13" s="206" t="s">
        <v>64</v>
      </c>
      <c r="AN13" s="206" t="str">
        <f>IFERROR(VLOOKUP(I13,Sheet1!$A$1:$D$246,4,FALSE),"NO HSCODE")</f>
        <v>A210600</v>
      </c>
      <c r="AR13" s="206" t="s">
        <v>944</v>
      </c>
    </row>
    <row r="14" spans="1:16383" s="206" customFormat="1" x14ac:dyDescent="0.25">
      <c r="A14" s="222">
        <v>45748</v>
      </c>
      <c r="B14" s="206" t="s">
        <v>40</v>
      </c>
      <c r="C14" s="206" t="s">
        <v>41</v>
      </c>
      <c r="D14" s="206">
        <v>25708123</v>
      </c>
      <c r="E14" s="206">
        <v>25106581</v>
      </c>
      <c r="F14" s="206" t="s">
        <v>943</v>
      </c>
      <c r="G14" s="223">
        <v>45757</v>
      </c>
      <c r="H14" s="206" t="s">
        <v>793</v>
      </c>
      <c r="I14" s="206" t="s">
        <v>50</v>
      </c>
      <c r="J14" s="206" t="s">
        <v>74</v>
      </c>
      <c r="K14" s="206">
        <v>130</v>
      </c>
      <c r="L14" s="206" t="s">
        <v>42</v>
      </c>
      <c r="M14" s="206">
        <v>130</v>
      </c>
      <c r="N14" s="224">
        <v>309360</v>
      </c>
      <c r="O14" s="224">
        <v>40216800</v>
      </c>
      <c r="P14" s="224">
        <v>40216800</v>
      </c>
      <c r="Q14" s="206">
        <v>0</v>
      </c>
      <c r="R14" s="206">
        <v>0</v>
      </c>
      <c r="S14" s="206" t="s">
        <v>43</v>
      </c>
      <c r="T14" s="224">
        <v>20528222.57</v>
      </c>
      <c r="U14" s="224">
        <v>20528222.57</v>
      </c>
      <c r="V14" s="224">
        <v>19688577.43</v>
      </c>
      <c r="W14" s="224">
        <v>0.48956101504799998</v>
      </c>
      <c r="X14" s="224">
        <v>19688577.43</v>
      </c>
      <c r="Y14" s="206" t="s">
        <v>69</v>
      </c>
      <c r="Z14" s="206" t="s">
        <v>46</v>
      </c>
      <c r="AA14" s="225">
        <v>2309338</v>
      </c>
      <c r="AB14" s="206" t="s">
        <v>793</v>
      </c>
      <c r="AC14" s="206" t="s">
        <v>56</v>
      </c>
      <c r="AD14" s="206" t="s">
        <v>77</v>
      </c>
      <c r="AE14" s="206">
        <v>0</v>
      </c>
      <c r="AF14" s="206" t="s">
        <v>76</v>
      </c>
      <c r="AG14" s="206" t="s">
        <v>69</v>
      </c>
      <c r="AH14" s="206" t="s">
        <v>46</v>
      </c>
      <c r="AI14" s="206" t="s">
        <v>69</v>
      </c>
      <c r="AJ14" s="206" t="s">
        <v>46</v>
      </c>
      <c r="AK14" s="206" t="s">
        <v>47</v>
      </c>
      <c r="AL14" s="206" t="s">
        <v>48</v>
      </c>
      <c r="AM14" s="206" t="s">
        <v>64</v>
      </c>
      <c r="AN14" s="206" t="str">
        <f>IFERROR(VLOOKUP(I14,Sheet1!$A$1:$D$246,4,FALSE),"NO HSCODE")</f>
        <v>A210600</v>
      </c>
      <c r="AR14" s="206" t="s">
        <v>944</v>
      </c>
    </row>
    <row r="15" spans="1:16383" s="206" customFormat="1" x14ac:dyDescent="0.25">
      <c r="A15" s="222">
        <v>45748</v>
      </c>
      <c r="B15" s="206" t="s">
        <v>40</v>
      </c>
      <c r="C15" s="206" t="s">
        <v>41</v>
      </c>
      <c r="D15" s="206">
        <v>25708123</v>
      </c>
      <c r="E15" s="206">
        <v>25106581</v>
      </c>
      <c r="F15" s="206" t="s">
        <v>943</v>
      </c>
      <c r="G15" s="223">
        <v>45757</v>
      </c>
      <c r="H15" s="206" t="s">
        <v>793</v>
      </c>
      <c r="I15" s="206" t="s">
        <v>456</v>
      </c>
      <c r="J15" s="206" t="s">
        <v>794</v>
      </c>
      <c r="K15" s="206">
        <v>200</v>
      </c>
      <c r="L15" s="206" t="s">
        <v>42</v>
      </c>
      <c r="M15" s="206">
        <v>200</v>
      </c>
      <c r="N15" s="224">
        <v>355716</v>
      </c>
      <c r="O15" s="224">
        <v>71143200</v>
      </c>
      <c r="P15" s="224">
        <v>71143200</v>
      </c>
      <c r="Q15" s="206">
        <v>0</v>
      </c>
      <c r="R15" s="206">
        <v>0</v>
      </c>
      <c r="S15" s="206" t="s">
        <v>43</v>
      </c>
      <c r="T15" s="224">
        <v>38622802.479999997</v>
      </c>
      <c r="U15" s="224">
        <v>38622802.479999997</v>
      </c>
      <c r="V15" s="224">
        <v>32520397.52</v>
      </c>
      <c r="W15" s="224">
        <v>0.45711181841600002</v>
      </c>
      <c r="X15" s="224">
        <v>32520397.52</v>
      </c>
      <c r="Y15" s="206" t="s">
        <v>69</v>
      </c>
      <c r="Z15" s="206" t="s">
        <v>46</v>
      </c>
      <c r="AA15" s="225">
        <v>2309338</v>
      </c>
      <c r="AB15" s="206" t="s">
        <v>793</v>
      </c>
      <c r="AC15" s="206" t="s">
        <v>56</v>
      </c>
      <c r="AD15" s="206" t="s">
        <v>77</v>
      </c>
      <c r="AE15" s="206">
        <v>0</v>
      </c>
      <c r="AF15" s="206" t="s">
        <v>78</v>
      </c>
      <c r="AG15" s="206" t="s">
        <v>69</v>
      </c>
      <c r="AH15" s="206" t="s">
        <v>46</v>
      </c>
      <c r="AI15" s="206" t="s">
        <v>69</v>
      </c>
      <c r="AJ15" s="206" t="s">
        <v>46</v>
      </c>
      <c r="AK15" s="206" t="s">
        <v>54</v>
      </c>
      <c r="AL15" s="206" t="s">
        <v>48</v>
      </c>
      <c r="AM15" s="206" t="s">
        <v>64</v>
      </c>
      <c r="AN15" s="206" t="str">
        <f>IFERROR(VLOOKUP(I15,Sheet1!$A$1:$D$246,4,FALSE),"NO HSCODE")</f>
        <v>A210600</v>
      </c>
      <c r="AR15" s="206" t="s">
        <v>944</v>
      </c>
    </row>
    <row r="16" spans="1:16383" s="206" customFormat="1" x14ac:dyDescent="0.25">
      <c r="A16" s="222">
        <v>45748</v>
      </c>
      <c r="B16" s="206" t="s">
        <v>40</v>
      </c>
      <c r="C16" s="206" t="s">
        <v>41</v>
      </c>
      <c r="D16" s="206">
        <v>25708130</v>
      </c>
      <c r="E16" s="206">
        <v>25106581</v>
      </c>
      <c r="F16" s="206" t="s">
        <v>943</v>
      </c>
      <c r="G16" s="223">
        <v>45761</v>
      </c>
      <c r="H16" s="206" t="s">
        <v>953</v>
      </c>
      <c r="I16" s="206" t="s">
        <v>453</v>
      </c>
      <c r="J16" s="206" t="s">
        <v>664</v>
      </c>
      <c r="K16" s="206">
        <v>100</v>
      </c>
      <c r="L16" s="206" t="s">
        <v>42</v>
      </c>
      <c r="M16" s="206">
        <v>100</v>
      </c>
      <c r="N16" s="224">
        <v>584727</v>
      </c>
      <c r="O16" s="224">
        <v>58472700</v>
      </c>
      <c r="P16" s="224">
        <v>58472700</v>
      </c>
      <c r="Q16" s="206">
        <v>0</v>
      </c>
      <c r="R16" s="206">
        <v>0</v>
      </c>
      <c r="S16" s="206" t="s">
        <v>43</v>
      </c>
      <c r="T16" s="224">
        <v>40786654.630000003</v>
      </c>
      <c r="U16" s="224">
        <v>40786654.630000003</v>
      </c>
      <c r="V16" s="224">
        <v>17686045.370000001</v>
      </c>
      <c r="W16" s="224">
        <v>0.30246671301299999</v>
      </c>
      <c r="X16" s="224">
        <v>17686045.370000001</v>
      </c>
      <c r="Y16" s="206" t="s">
        <v>101</v>
      </c>
      <c r="Z16" s="206" t="s">
        <v>46</v>
      </c>
      <c r="AA16" s="225">
        <v>2309338</v>
      </c>
      <c r="AB16" s="206" t="s">
        <v>953</v>
      </c>
      <c r="AC16" s="206" t="s">
        <v>56</v>
      </c>
      <c r="AD16" s="206" t="s">
        <v>103</v>
      </c>
      <c r="AE16" s="206">
        <v>0</v>
      </c>
      <c r="AF16" s="206" t="s">
        <v>108</v>
      </c>
      <c r="AG16" s="206" t="s">
        <v>101</v>
      </c>
      <c r="AH16" s="206" t="s">
        <v>46</v>
      </c>
      <c r="AI16" s="206" t="s">
        <v>101</v>
      </c>
      <c r="AJ16" s="206" t="s">
        <v>46</v>
      </c>
      <c r="AK16" s="206" t="s">
        <v>54</v>
      </c>
      <c r="AL16" s="206" t="s">
        <v>48</v>
      </c>
      <c r="AM16" s="206" t="s">
        <v>64</v>
      </c>
      <c r="AN16" s="206" t="str">
        <f>IFERROR(VLOOKUP(I16,Sheet1!$A$1:$D$246,4,FALSE),"NO HSCODE")</f>
        <v>A210600</v>
      </c>
      <c r="AR16" s="206" t="s">
        <v>960</v>
      </c>
    </row>
    <row r="17" spans="1:44" s="206" customFormat="1" x14ac:dyDescent="0.25">
      <c r="A17" s="222">
        <v>45748</v>
      </c>
      <c r="B17" s="206" t="s">
        <v>40</v>
      </c>
      <c r="C17" s="206" t="s">
        <v>41</v>
      </c>
      <c r="D17" s="206">
        <v>25708130</v>
      </c>
      <c r="E17" s="206">
        <v>25106581</v>
      </c>
      <c r="F17" s="206" t="s">
        <v>943</v>
      </c>
      <c r="G17" s="223">
        <v>45761</v>
      </c>
      <c r="H17" s="206" t="s">
        <v>953</v>
      </c>
      <c r="I17" s="206" t="s">
        <v>454</v>
      </c>
      <c r="J17" s="206" t="s">
        <v>665</v>
      </c>
      <c r="K17" s="206">
        <v>100</v>
      </c>
      <c r="L17" s="206" t="s">
        <v>42</v>
      </c>
      <c r="M17" s="206">
        <v>100</v>
      </c>
      <c r="N17" s="224">
        <v>596112</v>
      </c>
      <c r="O17" s="224">
        <v>59611200</v>
      </c>
      <c r="P17" s="224">
        <v>59611200</v>
      </c>
      <c r="Q17" s="206">
        <v>0</v>
      </c>
      <c r="R17" s="206">
        <v>0</v>
      </c>
      <c r="S17" s="206" t="s">
        <v>43</v>
      </c>
      <c r="T17" s="224">
        <v>42690800.920000002</v>
      </c>
      <c r="U17" s="224">
        <v>42690800.920000002</v>
      </c>
      <c r="V17" s="224">
        <v>16920399.079999998</v>
      </c>
      <c r="W17" s="224">
        <v>0.28384597323900002</v>
      </c>
      <c r="X17" s="224">
        <v>16920399.079999998</v>
      </c>
      <c r="Y17" s="206" t="s">
        <v>101</v>
      </c>
      <c r="Z17" s="206" t="s">
        <v>46</v>
      </c>
      <c r="AA17" s="225">
        <v>2309338</v>
      </c>
      <c r="AB17" s="206" t="s">
        <v>953</v>
      </c>
      <c r="AC17" s="206" t="s">
        <v>56</v>
      </c>
      <c r="AD17" s="206" t="s">
        <v>103</v>
      </c>
      <c r="AE17" s="206">
        <v>0</v>
      </c>
      <c r="AF17" s="206" t="s">
        <v>108</v>
      </c>
      <c r="AG17" s="206" t="s">
        <v>101</v>
      </c>
      <c r="AH17" s="206" t="s">
        <v>46</v>
      </c>
      <c r="AI17" s="206" t="s">
        <v>101</v>
      </c>
      <c r="AJ17" s="206" t="s">
        <v>46</v>
      </c>
      <c r="AK17" s="206" t="s">
        <v>54</v>
      </c>
      <c r="AL17" s="206" t="s">
        <v>48</v>
      </c>
      <c r="AM17" s="206" t="s">
        <v>64</v>
      </c>
      <c r="AN17" s="206" t="str">
        <f>IFERROR(VLOOKUP(I17,Sheet1!$A$1:$D$246,4,FALSE),"NO HSCODE")</f>
        <v>A210600</v>
      </c>
      <c r="AR17" s="206" t="s">
        <v>960</v>
      </c>
    </row>
    <row r="18" spans="1:44" s="206" customFormat="1" x14ac:dyDescent="0.25">
      <c r="A18" s="222">
        <v>45748</v>
      </c>
      <c r="B18" s="206" t="s">
        <v>40</v>
      </c>
      <c r="C18" s="206" t="s">
        <v>41</v>
      </c>
      <c r="D18" s="206">
        <v>25708130</v>
      </c>
      <c r="E18" s="206">
        <v>25106581</v>
      </c>
      <c r="F18" s="206" t="s">
        <v>943</v>
      </c>
      <c r="G18" s="223">
        <v>45761</v>
      </c>
      <c r="H18" s="206" t="s">
        <v>953</v>
      </c>
      <c r="I18" s="206" t="s">
        <v>455</v>
      </c>
      <c r="J18" s="206" t="s">
        <v>666</v>
      </c>
      <c r="K18" s="206">
        <v>40</v>
      </c>
      <c r="L18" s="206" t="s">
        <v>42</v>
      </c>
      <c r="M18" s="206">
        <v>40</v>
      </c>
      <c r="N18" s="224">
        <v>871153</v>
      </c>
      <c r="O18" s="224">
        <v>34846120</v>
      </c>
      <c r="P18" s="224">
        <v>34846120</v>
      </c>
      <c r="Q18" s="206">
        <v>0</v>
      </c>
      <c r="R18" s="206">
        <v>0</v>
      </c>
      <c r="S18" s="206" t="s">
        <v>43</v>
      </c>
      <c r="T18" s="224">
        <v>22442004.920000002</v>
      </c>
      <c r="U18" s="224">
        <v>22442004.920000002</v>
      </c>
      <c r="V18" s="224">
        <v>12404115.08</v>
      </c>
      <c r="W18" s="224">
        <v>0.35596832818099999</v>
      </c>
      <c r="X18" s="224">
        <v>12404115.08</v>
      </c>
      <c r="Y18" s="206" t="s">
        <v>101</v>
      </c>
      <c r="Z18" s="206" t="s">
        <v>46</v>
      </c>
      <c r="AA18" s="225">
        <v>2309338</v>
      </c>
      <c r="AB18" s="206" t="s">
        <v>953</v>
      </c>
      <c r="AC18" s="206" t="s">
        <v>56</v>
      </c>
      <c r="AD18" s="206" t="s">
        <v>103</v>
      </c>
      <c r="AE18" s="206">
        <v>0</v>
      </c>
      <c r="AF18" s="206" t="s">
        <v>732</v>
      </c>
      <c r="AG18" s="206" t="s">
        <v>101</v>
      </c>
      <c r="AH18" s="206" t="s">
        <v>46</v>
      </c>
      <c r="AI18" s="206" t="s">
        <v>101</v>
      </c>
      <c r="AJ18" s="206" t="s">
        <v>46</v>
      </c>
      <c r="AK18" s="206" t="s">
        <v>54</v>
      </c>
      <c r="AL18" s="206" t="s">
        <v>48</v>
      </c>
      <c r="AM18" s="206" t="s">
        <v>64</v>
      </c>
      <c r="AN18" s="206" t="str">
        <f>IFERROR(VLOOKUP(I18,Sheet1!$A$1:$D$246,4,FALSE),"NO HSCODE")</f>
        <v>A210600</v>
      </c>
      <c r="AR18" s="206" t="s">
        <v>960</v>
      </c>
    </row>
    <row r="19" spans="1:44" s="206" customFormat="1" x14ac:dyDescent="0.25">
      <c r="A19" s="222">
        <v>45778</v>
      </c>
      <c r="B19" s="206" t="s">
        <v>40</v>
      </c>
      <c r="C19" s="206" t="s">
        <v>41</v>
      </c>
      <c r="D19" s="206">
        <v>25708208</v>
      </c>
      <c r="E19" s="206">
        <v>25106581</v>
      </c>
      <c r="F19" s="206" t="s">
        <v>943</v>
      </c>
      <c r="G19" s="223">
        <v>45792</v>
      </c>
      <c r="H19" s="206" t="s">
        <v>793</v>
      </c>
      <c r="I19" s="206" t="s">
        <v>51</v>
      </c>
      <c r="J19" s="206" t="s">
        <v>79</v>
      </c>
      <c r="K19" s="206">
        <v>230</v>
      </c>
      <c r="L19" s="206" t="s">
        <v>42</v>
      </c>
      <c r="M19" s="206">
        <v>230</v>
      </c>
      <c r="N19" s="224">
        <v>309360</v>
      </c>
      <c r="O19" s="224">
        <v>71152800</v>
      </c>
      <c r="P19" s="224">
        <v>71152800</v>
      </c>
      <c r="Q19" s="206">
        <v>0</v>
      </c>
      <c r="R19" s="206">
        <v>0</v>
      </c>
      <c r="S19" s="206" t="s">
        <v>43</v>
      </c>
      <c r="T19" s="224">
        <v>30696586.91</v>
      </c>
      <c r="U19" s="224">
        <v>30696586.91</v>
      </c>
      <c r="V19" s="224">
        <v>40456213.090000004</v>
      </c>
      <c r="W19" s="224">
        <v>0.56858216528299999</v>
      </c>
      <c r="X19" s="224">
        <v>40456213.090000004</v>
      </c>
      <c r="Y19" s="206" t="s">
        <v>69</v>
      </c>
      <c r="Z19" s="206" t="s">
        <v>46</v>
      </c>
      <c r="AA19" s="225">
        <v>2309338</v>
      </c>
      <c r="AB19" s="206" t="s">
        <v>793</v>
      </c>
      <c r="AC19" s="206" t="s">
        <v>56</v>
      </c>
      <c r="AD19" s="206" t="s">
        <v>77</v>
      </c>
      <c r="AE19" s="206">
        <v>0</v>
      </c>
      <c r="AF19" s="206" t="s">
        <v>76</v>
      </c>
      <c r="AG19" s="206" t="s">
        <v>69</v>
      </c>
      <c r="AH19" s="206" t="s">
        <v>46</v>
      </c>
      <c r="AI19" s="206" t="s">
        <v>69</v>
      </c>
      <c r="AJ19" s="206" t="s">
        <v>46</v>
      </c>
      <c r="AK19" s="206" t="s">
        <v>47</v>
      </c>
      <c r="AL19" s="206" t="s">
        <v>48</v>
      </c>
      <c r="AM19" s="206" t="s">
        <v>64</v>
      </c>
      <c r="AN19" s="206" t="str">
        <f>IFERROR(VLOOKUP(I19,Sheet1!$A$1:$D$246,4,FALSE),"NO HSCODE")</f>
        <v>A210600</v>
      </c>
      <c r="AR19" s="133" t="s">
        <v>1020</v>
      </c>
    </row>
    <row r="20" spans="1:44" s="206" customFormat="1" x14ac:dyDescent="0.25">
      <c r="A20" s="222">
        <v>45778</v>
      </c>
      <c r="B20" s="206" t="s">
        <v>40</v>
      </c>
      <c r="C20" s="206" t="s">
        <v>41</v>
      </c>
      <c r="D20" s="206">
        <v>25708208</v>
      </c>
      <c r="E20" s="206">
        <v>25106581</v>
      </c>
      <c r="F20" s="206" t="s">
        <v>943</v>
      </c>
      <c r="G20" s="223">
        <v>45792</v>
      </c>
      <c r="H20" s="206" t="s">
        <v>793</v>
      </c>
      <c r="I20" s="206" t="s">
        <v>50</v>
      </c>
      <c r="J20" s="206" t="s">
        <v>74</v>
      </c>
      <c r="K20" s="206">
        <v>170</v>
      </c>
      <c r="L20" s="206" t="s">
        <v>42</v>
      </c>
      <c r="M20" s="206">
        <v>170</v>
      </c>
      <c r="N20" s="224">
        <v>309360</v>
      </c>
      <c r="O20" s="224">
        <v>52591200</v>
      </c>
      <c r="P20" s="224">
        <v>52591200</v>
      </c>
      <c r="Q20" s="206">
        <v>0</v>
      </c>
      <c r="R20" s="206">
        <v>0</v>
      </c>
      <c r="S20" s="206" t="s">
        <v>43</v>
      </c>
      <c r="T20" s="224">
        <v>26844598.75</v>
      </c>
      <c r="U20" s="224">
        <v>26844598.75</v>
      </c>
      <c r="V20" s="224">
        <v>25746601.25</v>
      </c>
      <c r="W20" s="224">
        <v>0.48956101495999998</v>
      </c>
      <c r="X20" s="224">
        <v>25746601.25</v>
      </c>
      <c r="Y20" s="206" t="s">
        <v>69</v>
      </c>
      <c r="Z20" s="206" t="s">
        <v>46</v>
      </c>
      <c r="AA20" s="225">
        <v>2309338</v>
      </c>
      <c r="AB20" s="206" t="s">
        <v>793</v>
      </c>
      <c r="AC20" s="206" t="s">
        <v>56</v>
      </c>
      <c r="AD20" s="206" t="s">
        <v>77</v>
      </c>
      <c r="AE20" s="206">
        <v>0</v>
      </c>
      <c r="AF20" s="206" t="s">
        <v>76</v>
      </c>
      <c r="AG20" s="206" t="s">
        <v>69</v>
      </c>
      <c r="AH20" s="206" t="s">
        <v>46</v>
      </c>
      <c r="AI20" s="206" t="s">
        <v>69</v>
      </c>
      <c r="AJ20" s="206" t="s">
        <v>46</v>
      </c>
      <c r="AK20" s="206" t="s">
        <v>47</v>
      </c>
      <c r="AL20" s="206" t="s">
        <v>48</v>
      </c>
      <c r="AM20" s="206" t="s">
        <v>64</v>
      </c>
      <c r="AN20" s="206" t="str">
        <f>IFERROR(VLOOKUP(I20,Sheet1!$A$1:$D$246,4,FALSE),"NO HSCODE")</f>
        <v>A210600</v>
      </c>
      <c r="AR20" s="133" t="s">
        <v>1020</v>
      </c>
    </row>
    <row r="21" spans="1:44" s="206" customFormat="1" x14ac:dyDescent="0.25">
      <c r="A21" s="222">
        <v>45778</v>
      </c>
      <c r="B21" s="206" t="s">
        <v>40</v>
      </c>
      <c r="C21" s="206" t="s">
        <v>41</v>
      </c>
      <c r="D21" s="206">
        <v>25708208</v>
      </c>
      <c r="E21" s="206">
        <v>25106581</v>
      </c>
      <c r="F21" s="206" t="s">
        <v>943</v>
      </c>
      <c r="G21" s="223">
        <v>45792</v>
      </c>
      <c r="H21" s="206" t="s">
        <v>793</v>
      </c>
      <c r="I21" s="206" t="s">
        <v>456</v>
      </c>
      <c r="J21" s="206" t="s">
        <v>794</v>
      </c>
      <c r="K21" s="206">
        <v>275</v>
      </c>
      <c r="L21" s="206" t="s">
        <v>42</v>
      </c>
      <c r="M21" s="206">
        <v>275</v>
      </c>
      <c r="N21" s="224">
        <v>355716</v>
      </c>
      <c r="O21" s="224">
        <v>97821900</v>
      </c>
      <c r="P21" s="224">
        <v>97821900</v>
      </c>
      <c r="Q21" s="206">
        <v>0</v>
      </c>
      <c r="R21" s="206">
        <v>0</v>
      </c>
      <c r="S21" s="206" t="s">
        <v>43</v>
      </c>
      <c r="T21" s="224">
        <v>53106353.409999996</v>
      </c>
      <c r="U21" s="224">
        <v>53106353.409999996</v>
      </c>
      <c r="V21" s="224">
        <v>44715546.590000004</v>
      </c>
      <c r="W21" s="224">
        <v>0.45711181841600002</v>
      </c>
      <c r="X21" s="224">
        <v>44715546.590000004</v>
      </c>
      <c r="Y21" s="206" t="s">
        <v>69</v>
      </c>
      <c r="Z21" s="206" t="s">
        <v>46</v>
      </c>
      <c r="AA21" s="225">
        <v>2309338</v>
      </c>
      <c r="AB21" s="206" t="s">
        <v>793</v>
      </c>
      <c r="AC21" s="206" t="s">
        <v>56</v>
      </c>
      <c r="AD21" s="206" t="s">
        <v>77</v>
      </c>
      <c r="AE21" s="206">
        <v>0</v>
      </c>
      <c r="AF21" s="206" t="s">
        <v>78</v>
      </c>
      <c r="AG21" s="206" t="s">
        <v>69</v>
      </c>
      <c r="AH21" s="206" t="s">
        <v>46</v>
      </c>
      <c r="AI21" s="206" t="s">
        <v>69</v>
      </c>
      <c r="AJ21" s="206" t="s">
        <v>46</v>
      </c>
      <c r="AK21" s="206" t="s">
        <v>54</v>
      </c>
      <c r="AL21" s="206" t="s">
        <v>48</v>
      </c>
      <c r="AM21" s="206" t="s">
        <v>64</v>
      </c>
      <c r="AN21" s="206" t="str">
        <f>IFERROR(VLOOKUP(I21,Sheet1!$A$1:$D$246,4,FALSE),"NO HSCODE")</f>
        <v>A210600</v>
      </c>
      <c r="AR21" s="133" t="s">
        <v>1020</v>
      </c>
    </row>
    <row r="22" spans="1:44" s="206" customFormat="1" x14ac:dyDescent="0.25">
      <c r="A22" s="222">
        <v>45778</v>
      </c>
      <c r="B22" s="206" t="s">
        <v>40</v>
      </c>
      <c r="C22" s="206" t="s">
        <v>41</v>
      </c>
      <c r="D22" s="206">
        <v>25708208</v>
      </c>
      <c r="E22" s="206">
        <v>25106581</v>
      </c>
      <c r="F22" s="206" t="s">
        <v>943</v>
      </c>
      <c r="G22" s="223">
        <v>45792</v>
      </c>
      <c r="H22" s="206" t="s">
        <v>793</v>
      </c>
      <c r="I22" s="206" t="s">
        <v>453</v>
      </c>
      <c r="J22" s="206" t="s">
        <v>796</v>
      </c>
      <c r="K22" s="206">
        <v>110</v>
      </c>
      <c r="L22" s="206" t="s">
        <v>42</v>
      </c>
      <c r="M22" s="206">
        <v>110</v>
      </c>
      <c r="N22" s="224">
        <v>584727</v>
      </c>
      <c r="O22" s="224">
        <v>64319970</v>
      </c>
      <c r="P22" s="224">
        <v>64319970</v>
      </c>
      <c r="Q22" s="206">
        <v>0</v>
      </c>
      <c r="R22" s="206">
        <v>0</v>
      </c>
      <c r="S22" s="206" t="s">
        <v>43</v>
      </c>
      <c r="T22" s="224">
        <v>45331793.280000001</v>
      </c>
      <c r="U22" s="224">
        <v>45331793.280000001</v>
      </c>
      <c r="V22" s="224">
        <v>18988176.719999999</v>
      </c>
      <c r="W22" s="224">
        <v>0.295214327991</v>
      </c>
      <c r="X22" s="224">
        <v>18988176.719999999</v>
      </c>
      <c r="Y22" s="206" t="s">
        <v>69</v>
      </c>
      <c r="Z22" s="206" t="s">
        <v>46</v>
      </c>
      <c r="AA22" s="225">
        <v>2309338</v>
      </c>
      <c r="AB22" s="206" t="s">
        <v>793</v>
      </c>
      <c r="AC22" s="206" t="s">
        <v>56</v>
      </c>
      <c r="AD22" s="206" t="s">
        <v>77</v>
      </c>
      <c r="AE22" s="206">
        <v>0</v>
      </c>
      <c r="AF22" s="206" t="s">
        <v>78</v>
      </c>
      <c r="AG22" s="206" t="s">
        <v>69</v>
      </c>
      <c r="AH22" s="206" t="s">
        <v>46</v>
      </c>
      <c r="AI22" s="206" t="s">
        <v>69</v>
      </c>
      <c r="AJ22" s="206" t="s">
        <v>46</v>
      </c>
      <c r="AK22" s="206" t="s">
        <v>54</v>
      </c>
      <c r="AL22" s="206" t="s">
        <v>48</v>
      </c>
      <c r="AM22" s="206" t="s">
        <v>64</v>
      </c>
      <c r="AN22" s="206" t="str">
        <f>IFERROR(VLOOKUP(I22,Sheet1!$A$1:$D$246,4,FALSE),"NO HSCODE")</f>
        <v>A210600</v>
      </c>
      <c r="AR22" s="133" t="s">
        <v>1020</v>
      </c>
    </row>
    <row r="23" spans="1:44" s="206" customFormat="1" x14ac:dyDescent="0.25">
      <c r="A23" s="222">
        <v>45778</v>
      </c>
      <c r="B23" s="206" t="s">
        <v>40</v>
      </c>
      <c r="C23" s="206" t="s">
        <v>41</v>
      </c>
      <c r="D23" s="206">
        <v>25708208</v>
      </c>
      <c r="E23" s="206">
        <v>25106581</v>
      </c>
      <c r="F23" s="206" t="s">
        <v>943</v>
      </c>
      <c r="G23" s="223">
        <v>45792</v>
      </c>
      <c r="H23" s="206" t="s">
        <v>793</v>
      </c>
      <c r="I23" s="206" t="s">
        <v>454</v>
      </c>
      <c r="J23" s="206" t="s">
        <v>795</v>
      </c>
      <c r="K23" s="206">
        <v>110</v>
      </c>
      <c r="L23" s="206" t="s">
        <v>42</v>
      </c>
      <c r="M23" s="206">
        <v>110</v>
      </c>
      <c r="N23" s="224">
        <v>596112</v>
      </c>
      <c r="O23" s="224">
        <v>65572320</v>
      </c>
      <c r="P23" s="224">
        <v>65572320</v>
      </c>
      <c r="Q23" s="206">
        <v>0</v>
      </c>
      <c r="R23" s="206">
        <v>0</v>
      </c>
      <c r="S23" s="206" t="s">
        <v>43</v>
      </c>
      <c r="T23" s="224">
        <v>47262331.020000003</v>
      </c>
      <c r="U23" s="224">
        <v>47262331.020000003</v>
      </c>
      <c r="V23" s="224">
        <v>18309988.98</v>
      </c>
      <c r="W23" s="224">
        <v>0.27923350859000001</v>
      </c>
      <c r="X23" s="224">
        <v>18309988.98</v>
      </c>
      <c r="Y23" s="206" t="s">
        <v>69</v>
      </c>
      <c r="Z23" s="206" t="s">
        <v>46</v>
      </c>
      <c r="AA23" s="225">
        <v>2309338</v>
      </c>
      <c r="AB23" s="206" t="s">
        <v>793</v>
      </c>
      <c r="AC23" s="206" t="s">
        <v>56</v>
      </c>
      <c r="AD23" s="206" t="s">
        <v>77</v>
      </c>
      <c r="AE23" s="206">
        <v>0</v>
      </c>
      <c r="AF23" s="206" t="s">
        <v>78</v>
      </c>
      <c r="AG23" s="206" t="s">
        <v>69</v>
      </c>
      <c r="AH23" s="206" t="s">
        <v>46</v>
      </c>
      <c r="AI23" s="206" t="s">
        <v>69</v>
      </c>
      <c r="AJ23" s="206" t="s">
        <v>46</v>
      </c>
      <c r="AK23" s="206" t="s">
        <v>54</v>
      </c>
      <c r="AL23" s="206" t="s">
        <v>48</v>
      </c>
      <c r="AM23" s="206" t="s">
        <v>64</v>
      </c>
      <c r="AN23" s="206" t="str">
        <f>IFERROR(VLOOKUP(I23,Sheet1!$A$1:$D$246,4,FALSE),"NO HSCODE")</f>
        <v>A210600</v>
      </c>
      <c r="AR23" s="133" t="s">
        <v>1020</v>
      </c>
    </row>
    <row r="24" spans="1:44" s="206" customFormat="1" x14ac:dyDescent="0.25">
      <c r="A24" s="222">
        <v>45778</v>
      </c>
      <c r="B24" s="206" t="s">
        <v>40</v>
      </c>
      <c r="C24" s="206" t="s">
        <v>41</v>
      </c>
      <c r="D24" s="206">
        <v>25708208</v>
      </c>
      <c r="E24" s="206">
        <v>25106581</v>
      </c>
      <c r="F24" s="206" t="s">
        <v>943</v>
      </c>
      <c r="G24" s="223">
        <v>45792</v>
      </c>
      <c r="H24" s="206" t="s">
        <v>793</v>
      </c>
      <c r="I24" s="206" t="s">
        <v>455</v>
      </c>
      <c r="J24" s="206" t="s">
        <v>797</v>
      </c>
      <c r="K24" s="206">
        <v>80</v>
      </c>
      <c r="L24" s="206" t="s">
        <v>42</v>
      </c>
      <c r="M24" s="206">
        <v>80</v>
      </c>
      <c r="N24" s="224">
        <v>871153</v>
      </c>
      <c r="O24" s="224">
        <v>69692240</v>
      </c>
      <c r="P24" s="224">
        <v>69692240</v>
      </c>
      <c r="Q24" s="206">
        <v>0</v>
      </c>
      <c r="R24" s="206">
        <v>0</v>
      </c>
      <c r="S24" s="206" t="s">
        <v>43</v>
      </c>
      <c r="T24" s="224">
        <v>44557875.649999999</v>
      </c>
      <c r="U24" s="224">
        <v>44557875.649999999</v>
      </c>
      <c r="V24" s="224">
        <v>25134364.350000001</v>
      </c>
      <c r="W24" s="224">
        <v>0.36064796238399999</v>
      </c>
      <c r="X24" s="224">
        <v>25134364.350000001</v>
      </c>
      <c r="Y24" s="206" t="s">
        <v>69</v>
      </c>
      <c r="Z24" s="206" t="s">
        <v>46</v>
      </c>
      <c r="AA24" s="225">
        <v>2309338</v>
      </c>
      <c r="AB24" s="206" t="s">
        <v>793</v>
      </c>
      <c r="AC24" s="206" t="s">
        <v>56</v>
      </c>
      <c r="AD24" s="206" t="s">
        <v>77</v>
      </c>
      <c r="AE24" s="206">
        <v>0</v>
      </c>
      <c r="AF24" s="206" t="s">
        <v>798</v>
      </c>
      <c r="AG24" s="206" t="s">
        <v>69</v>
      </c>
      <c r="AH24" s="206" t="s">
        <v>46</v>
      </c>
      <c r="AI24" s="206" t="s">
        <v>69</v>
      </c>
      <c r="AJ24" s="206" t="s">
        <v>46</v>
      </c>
      <c r="AK24" s="206" t="s">
        <v>54</v>
      </c>
      <c r="AL24" s="206" t="s">
        <v>48</v>
      </c>
      <c r="AM24" s="206" t="s">
        <v>64</v>
      </c>
      <c r="AN24" s="206" t="str">
        <f>IFERROR(VLOOKUP(I24,Sheet1!$A$1:$D$246,4,FALSE),"NO HSCODE")</f>
        <v>A210600</v>
      </c>
      <c r="AR24" s="133" t="s">
        <v>1020</v>
      </c>
    </row>
    <row r="25" spans="1:44" s="206" customFormat="1" x14ac:dyDescent="0.25">
      <c r="A25" s="222">
        <v>45870</v>
      </c>
      <c r="B25" s="206" t="s">
        <v>40</v>
      </c>
      <c r="C25" s="206" t="s">
        <v>41</v>
      </c>
      <c r="D25" s="206">
        <v>25708470</v>
      </c>
      <c r="E25" s="206">
        <v>25106581</v>
      </c>
      <c r="F25" s="206" t="s">
        <v>943</v>
      </c>
      <c r="G25" s="223">
        <v>45894</v>
      </c>
      <c r="H25" s="206" t="s">
        <v>793</v>
      </c>
      <c r="I25" s="206" t="s">
        <v>51</v>
      </c>
      <c r="J25" s="206" t="s">
        <v>79</v>
      </c>
      <c r="K25" s="206">
        <v>190</v>
      </c>
      <c r="L25" s="206" t="s">
        <v>42</v>
      </c>
      <c r="M25" s="206">
        <v>190</v>
      </c>
      <c r="N25" s="224">
        <v>309360</v>
      </c>
      <c r="O25" s="224">
        <v>58778400</v>
      </c>
      <c r="P25" s="224">
        <v>58778400</v>
      </c>
      <c r="Q25" s="206">
        <v>0</v>
      </c>
      <c r="R25" s="206">
        <v>0</v>
      </c>
      <c r="S25" s="206" t="s">
        <v>43</v>
      </c>
      <c r="T25" s="224">
        <v>25799264.190000001</v>
      </c>
      <c r="U25" s="224">
        <v>25799264.190000001</v>
      </c>
      <c r="V25" s="224">
        <v>32979135.809999999</v>
      </c>
      <c r="W25" s="224">
        <v>0.56107576609700005</v>
      </c>
      <c r="X25" s="224">
        <v>32979135.809999999</v>
      </c>
      <c r="Y25" s="206" t="s">
        <v>69</v>
      </c>
      <c r="Z25" s="206" t="s">
        <v>46</v>
      </c>
      <c r="AA25" s="225">
        <v>2309338</v>
      </c>
      <c r="AB25" s="206" t="s">
        <v>793</v>
      </c>
      <c r="AC25" s="206" t="s">
        <v>56</v>
      </c>
      <c r="AD25" s="206" t="s">
        <v>77</v>
      </c>
      <c r="AE25" s="206">
        <v>0</v>
      </c>
      <c r="AF25" s="206" t="s">
        <v>76</v>
      </c>
      <c r="AG25" s="206" t="s">
        <v>69</v>
      </c>
      <c r="AH25" s="206" t="s">
        <v>46</v>
      </c>
      <c r="AI25" s="206" t="s">
        <v>69</v>
      </c>
      <c r="AJ25" s="206" t="s">
        <v>46</v>
      </c>
      <c r="AK25" s="206" t="s">
        <v>47</v>
      </c>
      <c r="AL25" s="206" t="s">
        <v>48</v>
      </c>
      <c r="AM25" s="206" t="s">
        <v>64</v>
      </c>
      <c r="AN25" s="206" t="str">
        <f>IFERROR(VLOOKUP(I25,Sheet1!$A$1:$D$246,4,FALSE),"NO HSCODE")</f>
        <v>A210600</v>
      </c>
      <c r="AR25" s="206" t="s">
        <v>1261</v>
      </c>
    </row>
    <row r="26" spans="1:44" s="206" customFormat="1" x14ac:dyDescent="0.25">
      <c r="A26" s="222">
        <v>45870</v>
      </c>
      <c r="B26" s="206" t="s">
        <v>40</v>
      </c>
      <c r="C26" s="206" t="s">
        <v>41</v>
      </c>
      <c r="D26" s="206">
        <v>25708470</v>
      </c>
      <c r="E26" s="206">
        <v>25106581</v>
      </c>
      <c r="F26" s="206" t="s">
        <v>943</v>
      </c>
      <c r="G26" s="223">
        <v>45894</v>
      </c>
      <c r="H26" s="206" t="s">
        <v>793</v>
      </c>
      <c r="I26" s="206" t="s">
        <v>50</v>
      </c>
      <c r="J26" s="206" t="s">
        <v>74</v>
      </c>
      <c r="K26" s="206">
        <v>130</v>
      </c>
      <c r="L26" s="206" t="s">
        <v>42</v>
      </c>
      <c r="M26" s="206">
        <v>130</v>
      </c>
      <c r="N26" s="224">
        <v>309360</v>
      </c>
      <c r="O26" s="224">
        <v>40216800</v>
      </c>
      <c r="P26" s="224">
        <v>40216800</v>
      </c>
      <c r="Q26" s="206">
        <v>0</v>
      </c>
      <c r="R26" s="206">
        <v>0</v>
      </c>
      <c r="S26" s="206" t="s">
        <v>43</v>
      </c>
      <c r="T26" s="224">
        <v>20428021.260000002</v>
      </c>
      <c r="U26" s="224">
        <v>20428021.260000002</v>
      </c>
      <c r="V26" s="224">
        <v>19788778.739999998</v>
      </c>
      <c r="W26" s="224">
        <v>0.492052543713</v>
      </c>
      <c r="X26" s="224">
        <v>19788778.739999998</v>
      </c>
      <c r="Y26" s="206" t="s">
        <v>69</v>
      </c>
      <c r="Z26" s="206" t="s">
        <v>46</v>
      </c>
      <c r="AA26" s="225">
        <v>2309338</v>
      </c>
      <c r="AB26" s="206" t="s">
        <v>793</v>
      </c>
      <c r="AC26" s="206" t="s">
        <v>56</v>
      </c>
      <c r="AD26" s="206" t="s">
        <v>77</v>
      </c>
      <c r="AE26" s="206">
        <v>0</v>
      </c>
      <c r="AF26" s="206" t="s">
        <v>76</v>
      </c>
      <c r="AG26" s="206" t="s">
        <v>69</v>
      </c>
      <c r="AH26" s="206" t="s">
        <v>46</v>
      </c>
      <c r="AI26" s="206" t="s">
        <v>69</v>
      </c>
      <c r="AJ26" s="206" t="s">
        <v>46</v>
      </c>
      <c r="AK26" s="206" t="s">
        <v>47</v>
      </c>
      <c r="AL26" s="206" t="s">
        <v>48</v>
      </c>
      <c r="AM26" s="206" t="s">
        <v>64</v>
      </c>
      <c r="AN26" s="206" t="str">
        <f>IFERROR(VLOOKUP(I26,Sheet1!$A$1:$D$246,4,FALSE),"NO HSCODE")</f>
        <v>A210600</v>
      </c>
      <c r="AR26" s="206" t="s">
        <v>1261</v>
      </c>
    </row>
    <row r="27" spans="1:44" s="206" customFormat="1" x14ac:dyDescent="0.25">
      <c r="A27" s="222">
        <v>45870</v>
      </c>
      <c r="B27" s="206" t="s">
        <v>40</v>
      </c>
      <c r="C27" s="206" t="s">
        <v>41</v>
      </c>
      <c r="D27" s="206">
        <v>25708470</v>
      </c>
      <c r="E27" s="206">
        <v>25106581</v>
      </c>
      <c r="F27" s="206" t="s">
        <v>943</v>
      </c>
      <c r="G27" s="223">
        <v>45894</v>
      </c>
      <c r="H27" s="206" t="s">
        <v>793</v>
      </c>
      <c r="I27" s="206" t="s">
        <v>456</v>
      </c>
      <c r="J27" s="206" t="s">
        <v>794</v>
      </c>
      <c r="K27" s="206">
        <v>125</v>
      </c>
      <c r="L27" s="206" t="s">
        <v>42</v>
      </c>
      <c r="M27" s="206">
        <v>125</v>
      </c>
      <c r="N27" s="224">
        <v>355716</v>
      </c>
      <c r="O27" s="224">
        <v>44464500</v>
      </c>
      <c r="P27" s="224">
        <v>44464500</v>
      </c>
      <c r="Q27" s="206">
        <v>0</v>
      </c>
      <c r="R27" s="206">
        <v>0</v>
      </c>
      <c r="S27" s="206" t="s">
        <v>43</v>
      </c>
      <c r="T27" s="224">
        <v>24243184.719999999</v>
      </c>
      <c r="U27" s="224">
        <v>24243184.719999999</v>
      </c>
      <c r="V27" s="224">
        <v>20221315.280000001</v>
      </c>
      <c r="W27" s="224">
        <v>0.45477437686200001</v>
      </c>
      <c r="X27" s="224">
        <v>20221315.280000001</v>
      </c>
      <c r="Y27" s="206" t="s">
        <v>69</v>
      </c>
      <c r="Z27" s="206" t="s">
        <v>46</v>
      </c>
      <c r="AA27" s="225">
        <v>2309338</v>
      </c>
      <c r="AB27" s="206" t="s">
        <v>793</v>
      </c>
      <c r="AC27" s="206" t="s">
        <v>56</v>
      </c>
      <c r="AD27" s="206" t="s">
        <v>77</v>
      </c>
      <c r="AE27" s="206">
        <v>0</v>
      </c>
      <c r="AF27" s="206" t="s">
        <v>78</v>
      </c>
      <c r="AG27" s="206" t="s">
        <v>69</v>
      </c>
      <c r="AH27" s="206" t="s">
        <v>46</v>
      </c>
      <c r="AI27" s="206" t="s">
        <v>69</v>
      </c>
      <c r="AJ27" s="206" t="s">
        <v>46</v>
      </c>
      <c r="AK27" s="206" t="s">
        <v>54</v>
      </c>
      <c r="AL27" s="206" t="s">
        <v>48</v>
      </c>
      <c r="AM27" s="206" t="s">
        <v>64</v>
      </c>
      <c r="AN27" s="206" t="str">
        <f>IFERROR(VLOOKUP(I27,Sheet1!$A$1:$D$246,4,FALSE),"NO HSCODE")</f>
        <v>A210600</v>
      </c>
      <c r="AR27" s="206" t="s">
        <v>1261</v>
      </c>
    </row>
    <row r="28" spans="1:44" s="206" customFormat="1" x14ac:dyDescent="0.25">
      <c r="A28" s="222">
        <v>45870</v>
      </c>
      <c r="B28" s="206" t="s">
        <v>40</v>
      </c>
      <c r="C28" s="206" t="s">
        <v>41</v>
      </c>
      <c r="D28" s="206">
        <v>25708470</v>
      </c>
      <c r="E28" s="206">
        <v>25106581</v>
      </c>
      <c r="F28" s="206" t="s">
        <v>943</v>
      </c>
      <c r="G28" s="223">
        <v>45894</v>
      </c>
      <c r="H28" s="206" t="s">
        <v>793</v>
      </c>
      <c r="I28" s="206" t="s">
        <v>453</v>
      </c>
      <c r="J28" s="206" t="s">
        <v>796</v>
      </c>
      <c r="K28" s="206">
        <v>100</v>
      </c>
      <c r="L28" s="206" t="s">
        <v>42</v>
      </c>
      <c r="M28" s="206">
        <v>100</v>
      </c>
      <c r="N28" s="224">
        <v>584727</v>
      </c>
      <c r="O28" s="224">
        <v>58472700</v>
      </c>
      <c r="P28" s="224">
        <v>58472700</v>
      </c>
      <c r="Q28" s="206">
        <v>0</v>
      </c>
      <c r="R28" s="206">
        <v>0</v>
      </c>
      <c r="S28" s="206" t="s">
        <v>43</v>
      </c>
      <c r="T28" s="224">
        <v>35074206.200000003</v>
      </c>
      <c r="U28" s="224">
        <v>35074206.200000003</v>
      </c>
      <c r="V28" s="224">
        <v>23398493.800000001</v>
      </c>
      <c r="W28" s="224">
        <v>0.40016099478900002</v>
      </c>
      <c r="X28" s="224">
        <v>23398493.800000001</v>
      </c>
      <c r="Y28" s="206" t="s">
        <v>69</v>
      </c>
      <c r="Z28" s="206" t="s">
        <v>46</v>
      </c>
      <c r="AA28" s="225">
        <v>2309338</v>
      </c>
      <c r="AB28" s="206" t="s">
        <v>793</v>
      </c>
      <c r="AC28" s="206" t="s">
        <v>56</v>
      </c>
      <c r="AD28" s="206" t="s">
        <v>77</v>
      </c>
      <c r="AE28" s="206">
        <v>0</v>
      </c>
      <c r="AF28" s="206" t="s">
        <v>78</v>
      </c>
      <c r="AG28" s="206" t="s">
        <v>69</v>
      </c>
      <c r="AH28" s="206" t="s">
        <v>46</v>
      </c>
      <c r="AI28" s="206" t="s">
        <v>69</v>
      </c>
      <c r="AJ28" s="206" t="s">
        <v>46</v>
      </c>
      <c r="AK28" s="206" t="s">
        <v>54</v>
      </c>
      <c r="AL28" s="206" t="s">
        <v>48</v>
      </c>
      <c r="AM28" s="206" t="s">
        <v>64</v>
      </c>
      <c r="AN28" s="206" t="str">
        <f>IFERROR(VLOOKUP(I28,Sheet1!$A$1:$D$246,4,FALSE),"NO HSCODE")</f>
        <v>A210600</v>
      </c>
      <c r="AR28" s="206" t="s">
        <v>1261</v>
      </c>
    </row>
    <row r="29" spans="1:44" s="206" customFormat="1" x14ac:dyDescent="0.25">
      <c r="A29" s="222">
        <v>45870</v>
      </c>
      <c r="B29" s="206" t="s">
        <v>40</v>
      </c>
      <c r="C29" s="206" t="s">
        <v>41</v>
      </c>
      <c r="D29" s="206">
        <v>25708470</v>
      </c>
      <c r="E29" s="206">
        <v>25106581</v>
      </c>
      <c r="F29" s="206" t="s">
        <v>943</v>
      </c>
      <c r="G29" s="223">
        <v>45894</v>
      </c>
      <c r="H29" s="206" t="s">
        <v>793</v>
      </c>
      <c r="I29" s="206" t="s">
        <v>454</v>
      </c>
      <c r="J29" s="206" t="s">
        <v>795</v>
      </c>
      <c r="K29" s="206">
        <v>90</v>
      </c>
      <c r="L29" s="206" t="s">
        <v>42</v>
      </c>
      <c r="M29" s="206">
        <v>90</v>
      </c>
      <c r="N29" s="224">
        <v>596112</v>
      </c>
      <c r="O29" s="224">
        <v>53650080</v>
      </c>
      <c r="P29" s="224">
        <v>53650080</v>
      </c>
      <c r="Q29" s="206">
        <v>0</v>
      </c>
      <c r="R29" s="206">
        <v>0</v>
      </c>
      <c r="S29" s="206" t="s">
        <v>43</v>
      </c>
      <c r="T29" s="224">
        <v>34566973.969999999</v>
      </c>
      <c r="U29" s="224">
        <v>34566973.969999999</v>
      </c>
      <c r="V29" s="224">
        <v>19083106.030000001</v>
      </c>
      <c r="W29" s="224">
        <v>0.35569576093799998</v>
      </c>
      <c r="X29" s="224">
        <v>19083106.030000001</v>
      </c>
      <c r="Y29" s="206" t="s">
        <v>69</v>
      </c>
      <c r="Z29" s="206" t="s">
        <v>46</v>
      </c>
      <c r="AA29" s="225">
        <v>2309338</v>
      </c>
      <c r="AB29" s="206" t="s">
        <v>793</v>
      </c>
      <c r="AC29" s="206" t="s">
        <v>56</v>
      </c>
      <c r="AD29" s="206" t="s">
        <v>77</v>
      </c>
      <c r="AE29" s="206">
        <v>0</v>
      </c>
      <c r="AF29" s="206" t="s">
        <v>78</v>
      </c>
      <c r="AG29" s="206" t="s">
        <v>69</v>
      </c>
      <c r="AH29" s="206" t="s">
        <v>46</v>
      </c>
      <c r="AI29" s="206" t="s">
        <v>69</v>
      </c>
      <c r="AJ29" s="206" t="s">
        <v>46</v>
      </c>
      <c r="AK29" s="206" t="s">
        <v>54</v>
      </c>
      <c r="AL29" s="206" t="s">
        <v>48</v>
      </c>
      <c r="AM29" s="206" t="s">
        <v>64</v>
      </c>
      <c r="AN29" s="206" t="str">
        <f>IFERROR(VLOOKUP(I29,Sheet1!$A$1:$D$246,4,FALSE),"NO HSCODE")</f>
        <v>A210600</v>
      </c>
      <c r="AR29" s="206" t="s">
        <v>1261</v>
      </c>
    </row>
    <row r="30" spans="1:44" s="206" customFormat="1" x14ac:dyDescent="0.25">
      <c r="A30" s="222">
        <v>45870</v>
      </c>
      <c r="B30" s="206" t="s">
        <v>40</v>
      </c>
      <c r="C30" s="206" t="s">
        <v>41</v>
      </c>
      <c r="D30" s="206">
        <v>25708470</v>
      </c>
      <c r="E30" s="206">
        <v>25106581</v>
      </c>
      <c r="F30" s="206" t="s">
        <v>943</v>
      </c>
      <c r="G30" s="223">
        <v>45894</v>
      </c>
      <c r="H30" s="206" t="s">
        <v>793</v>
      </c>
      <c r="I30" s="206" t="s">
        <v>455</v>
      </c>
      <c r="J30" s="206" t="s">
        <v>797</v>
      </c>
      <c r="K30" s="206">
        <v>40</v>
      </c>
      <c r="L30" s="206" t="s">
        <v>42</v>
      </c>
      <c r="M30" s="206">
        <v>40</v>
      </c>
      <c r="N30" s="224">
        <v>871153</v>
      </c>
      <c r="O30" s="224">
        <v>34846120</v>
      </c>
      <c r="P30" s="224">
        <v>34846120</v>
      </c>
      <c r="Q30" s="206">
        <v>0</v>
      </c>
      <c r="R30" s="206">
        <v>0</v>
      </c>
      <c r="S30" s="206" t="s">
        <v>43</v>
      </c>
      <c r="T30" s="224">
        <v>23317983.02</v>
      </c>
      <c r="U30" s="224">
        <v>23317983.02</v>
      </c>
      <c r="V30" s="224">
        <v>11528136.98</v>
      </c>
      <c r="W30" s="224">
        <v>0.33082985939300003</v>
      </c>
      <c r="X30" s="224">
        <v>11528136.98</v>
      </c>
      <c r="Y30" s="206" t="s">
        <v>69</v>
      </c>
      <c r="Z30" s="206" t="s">
        <v>46</v>
      </c>
      <c r="AA30" s="225">
        <v>2309338</v>
      </c>
      <c r="AB30" s="206" t="s">
        <v>793</v>
      </c>
      <c r="AC30" s="206" t="s">
        <v>56</v>
      </c>
      <c r="AD30" s="206" t="s">
        <v>77</v>
      </c>
      <c r="AE30" s="206">
        <v>0</v>
      </c>
      <c r="AF30" s="206" t="s">
        <v>798</v>
      </c>
      <c r="AG30" s="206" t="s">
        <v>69</v>
      </c>
      <c r="AH30" s="206" t="s">
        <v>46</v>
      </c>
      <c r="AI30" s="206" t="s">
        <v>69</v>
      </c>
      <c r="AJ30" s="206" t="s">
        <v>46</v>
      </c>
      <c r="AK30" s="206" t="s">
        <v>54</v>
      </c>
      <c r="AL30" s="206" t="s">
        <v>48</v>
      </c>
      <c r="AM30" s="206" t="s">
        <v>64</v>
      </c>
      <c r="AN30" s="206" t="str">
        <f>IFERROR(VLOOKUP(I30,Sheet1!$A$1:$D$246,4,FALSE),"NO HSCODE")</f>
        <v>A210600</v>
      </c>
      <c r="AR30" s="206" t="s">
        <v>1261</v>
      </c>
    </row>
    <row r="31" spans="1:44" x14ac:dyDescent="0.25">
      <c r="AN31" s="4" t="str">
        <f>IFERROR(VLOOKUP(I31,Sheet1!$A$1:$D$246,4,FALSE),"NO HSCODE")</f>
        <v>NO HSCODE</v>
      </c>
    </row>
    <row r="32" spans="1:44" x14ac:dyDescent="0.25">
      <c r="AN32" s="4" t="str">
        <f>IFERROR(VLOOKUP(I32,Sheet1!$A$1:$D$246,4,FALSE),"NO HSCODE")</f>
        <v>NO HSCODE</v>
      </c>
    </row>
    <row r="33" spans="40:40" x14ac:dyDescent="0.25">
      <c r="AN33" s="4" t="str">
        <f>IFERROR(VLOOKUP(I33,Sheet1!$A$1:$D$246,4,FALSE),"NO HSCODE")</f>
        <v>NO HSCODE</v>
      </c>
    </row>
    <row r="34" spans="40:40" x14ac:dyDescent="0.25">
      <c r="AN34" s="4" t="str">
        <f>IFERROR(VLOOKUP(I34,Sheet1!$A$1:$D$246,4,FALSE),"NO HSCODE")</f>
        <v>NO HSCODE</v>
      </c>
    </row>
    <row r="35" spans="40:40" x14ac:dyDescent="0.25">
      <c r="AN35" s="4" t="str">
        <f>IFERROR(VLOOKUP(I35,Sheet1!$A$1:$D$246,4,FALSE),"NO HSCODE")</f>
        <v>NO HSCODE</v>
      </c>
    </row>
    <row r="36" spans="40:40" x14ac:dyDescent="0.25">
      <c r="AN36" s="4" t="str">
        <f>IFERROR(VLOOKUP(I36,Sheet1!$A$1:$D$246,4,FALSE),"NO HSCODE")</f>
        <v>NO HSCODE</v>
      </c>
    </row>
    <row r="37" spans="40:40" x14ac:dyDescent="0.25">
      <c r="AN37" s="4" t="str">
        <f>IFERROR(VLOOKUP(I37,Sheet1!$A$1:$D$246,4,FALSE),"NO HSCODE")</f>
        <v>NO HSCODE</v>
      </c>
    </row>
    <row r="38" spans="40:40" x14ac:dyDescent="0.25">
      <c r="AN38" s="4" t="str">
        <f>IFERROR(VLOOKUP(I38,Sheet1!$A$1:$D$246,4,FALSE),"NO HSCODE")</f>
        <v>NO HSCODE</v>
      </c>
    </row>
    <row r="39" spans="40:40" x14ac:dyDescent="0.25">
      <c r="AN39" s="4" t="str">
        <f>IFERROR(VLOOKUP(I39,Sheet1!$A$1:$D$246,4,FALSE),"NO HSCODE")</f>
        <v>NO HSCODE</v>
      </c>
    </row>
    <row r="40" spans="40:40" x14ac:dyDescent="0.25">
      <c r="AN40" s="4" t="str">
        <f>IFERROR(VLOOKUP(I40,Sheet1!$A$1:$D$246,4,FALSE),"NO HSCODE")</f>
        <v>NO HSCODE</v>
      </c>
    </row>
    <row r="41" spans="40:40" x14ac:dyDescent="0.25">
      <c r="AN41" s="4" t="str">
        <f>IFERROR(VLOOKUP(I41,Sheet1!$A$1:$D$246,4,FALSE),"NO HSCODE")</f>
        <v>NO HSCODE</v>
      </c>
    </row>
    <row r="42" spans="40:40" x14ac:dyDescent="0.25">
      <c r="AN42" s="4" t="str">
        <f>IFERROR(VLOOKUP(I42,Sheet1!$A$1:$D$246,4,FALSE),"NO HSCODE")</f>
        <v>NO HSCODE</v>
      </c>
    </row>
    <row r="43" spans="40:40" x14ac:dyDescent="0.25">
      <c r="AN43" s="4" t="str">
        <f>IFERROR(VLOOKUP(I43,Sheet1!$A$1:$D$246,4,FALSE),"NO HSCODE")</f>
        <v>NO HSCODE</v>
      </c>
    </row>
    <row r="44" spans="40:40" x14ac:dyDescent="0.25">
      <c r="AN44" s="4" t="str">
        <f>IFERROR(VLOOKUP(I44,Sheet1!$A$1:$D$246,4,FALSE),"NO HSCODE")</f>
        <v>NO HSCODE</v>
      </c>
    </row>
    <row r="45" spans="40:40" x14ac:dyDescent="0.25">
      <c r="AN45" s="4" t="str">
        <f>IFERROR(VLOOKUP(I45,Sheet1!$A$1:$D$246,4,FALSE),"NO HSCODE")</f>
        <v>NO HSCODE</v>
      </c>
    </row>
    <row r="46" spans="40:40" x14ac:dyDescent="0.25">
      <c r="AN46" s="4" t="str">
        <f>IFERROR(VLOOKUP(I46,Sheet1!$A$1:$D$246,4,FALSE),"NO HSCODE")</f>
        <v>NO HSCODE</v>
      </c>
    </row>
    <row r="47" spans="40:40" x14ac:dyDescent="0.25">
      <c r="AN47" s="4" t="str">
        <f>IFERROR(VLOOKUP(I47,Sheet1!$A$1:$D$246,4,FALSE),"NO HSCODE")</f>
        <v>NO HSCODE</v>
      </c>
    </row>
    <row r="48" spans="40:40" x14ac:dyDescent="0.25">
      <c r="AN48" s="4" t="str">
        <f>IFERROR(VLOOKUP(I48,Sheet1!$A$1:$D$246,4,FALSE),"NO HSCODE")</f>
        <v>NO HSCODE</v>
      </c>
    </row>
    <row r="49" spans="40:40" x14ac:dyDescent="0.25">
      <c r="AN49" s="4" t="str">
        <f>IFERROR(VLOOKUP(I49,Sheet1!$A$1:$D$246,4,FALSE),"NO HSCODE")</f>
        <v>NO HSCODE</v>
      </c>
    </row>
    <row r="50" spans="40:40" x14ac:dyDescent="0.25">
      <c r="AN50" s="4" t="str">
        <f>IFERROR(VLOOKUP(I50,Sheet1!$A$1:$D$246,4,FALSE),"NO HSCODE")</f>
        <v>NO HSCODE</v>
      </c>
    </row>
    <row r="51" spans="40:40" x14ac:dyDescent="0.25">
      <c r="AN51" s="4" t="str">
        <f>IFERROR(VLOOKUP(I51,Sheet1!$A$1:$D$246,4,FALSE),"NO HSCODE")</f>
        <v>NO HSCODE</v>
      </c>
    </row>
    <row r="52" spans="40:40" x14ac:dyDescent="0.25">
      <c r="AN52" s="4" t="str">
        <f>IFERROR(VLOOKUP(I52,Sheet1!$A$1:$D$246,4,FALSE),"NO HSCODE")</f>
        <v>NO HSCODE</v>
      </c>
    </row>
    <row r="53" spans="40:40" x14ac:dyDescent="0.25">
      <c r="AN53" s="4" t="str">
        <f>IFERROR(VLOOKUP(I53,Sheet1!$A$1:$D$246,4,FALSE),"NO HSCODE")</f>
        <v>NO HSCODE</v>
      </c>
    </row>
    <row r="54" spans="40:40" x14ac:dyDescent="0.25">
      <c r="AN54" s="4" t="str">
        <f>IFERROR(VLOOKUP(I54,Sheet1!$A$1:$D$246,4,FALSE),"NO HSCODE")</f>
        <v>NO HSCODE</v>
      </c>
    </row>
    <row r="55" spans="40:40" x14ac:dyDescent="0.25">
      <c r="AN55" s="4" t="str">
        <f>IFERROR(VLOOKUP(I55,Sheet1!$A$1:$D$246,4,FALSE),"NO HSCODE")</f>
        <v>NO HSCODE</v>
      </c>
    </row>
    <row r="56" spans="40:40" x14ac:dyDescent="0.25">
      <c r="AN56" s="4" t="str">
        <f>IFERROR(VLOOKUP(I56,Sheet1!$A$1:$D$246,4,FALSE),"NO HSCODE")</f>
        <v>NO HSCODE</v>
      </c>
    </row>
    <row r="57" spans="40:40" x14ac:dyDescent="0.25">
      <c r="AN57" s="4" t="str">
        <f>IFERROR(VLOOKUP(I57,Sheet1!$A$1:$D$246,4,FALSE),"NO HSCODE")</f>
        <v>NO HSCODE</v>
      </c>
    </row>
    <row r="58" spans="40:40" x14ac:dyDescent="0.25">
      <c r="AN58" s="4" t="str">
        <f>IFERROR(VLOOKUP(I58,Sheet1!$A$1:$D$246,4,FALSE),"NO HSCODE")</f>
        <v>NO HSCODE</v>
      </c>
    </row>
    <row r="59" spans="40:40" x14ac:dyDescent="0.25">
      <c r="AN59" s="4" t="str">
        <f>IFERROR(VLOOKUP(I59,Sheet1!$A$1:$D$246,4,FALSE),"NO HSCODE")</f>
        <v>NO HSCODE</v>
      </c>
    </row>
    <row r="60" spans="40:40" x14ac:dyDescent="0.25">
      <c r="AN60" s="4" t="str">
        <f>IFERROR(VLOOKUP(I60,Sheet1!$A$1:$D$246,4,FALSE),"NO HSCODE")</f>
        <v>NO HSCODE</v>
      </c>
    </row>
    <row r="61" spans="40:40" x14ac:dyDescent="0.25">
      <c r="AN61" s="4" t="str">
        <f>IFERROR(VLOOKUP(I61,Sheet1!$A$1:$D$246,4,FALSE),"NO HSCODE")</f>
        <v>NO HSCODE</v>
      </c>
    </row>
    <row r="62" spans="40:40" x14ac:dyDescent="0.25">
      <c r="AN62" s="4" t="str">
        <f>IFERROR(VLOOKUP(I62,Sheet1!$A$1:$D$246,4,FALSE),"NO HSCODE")</f>
        <v>NO HSCODE</v>
      </c>
    </row>
    <row r="63" spans="40:40" x14ac:dyDescent="0.25">
      <c r="AN63" s="4" t="str">
        <f>IFERROR(VLOOKUP(I63,Sheet1!$A$1:$D$246,4,FALSE),"NO HSCODE")</f>
        <v>NO HSCODE</v>
      </c>
    </row>
    <row r="64" spans="40:40" x14ac:dyDescent="0.25">
      <c r="AN64" s="4" t="str">
        <f>IFERROR(VLOOKUP(I64,Sheet1!$A$1:$D$246,4,FALSE),"NO HSCODE")</f>
        <v>NO HSCODE</v>
      </c>
    </row>
    <row r="65" spans="40:40" x14ac:dyDescent="0.25">
      <c r="AN65" s="4" t="str">
        <f>IFERROR(VLOOKUP(I65,Sheet1!$A$1:$D$246,4,FALSE),"NO HSCODE")</f>
        <v>NO HSCODE</v>
      </c>
    </row>
    <row r="66" spans="40:40" x14ac:dyDescent="0.25">
      <c r="AN66" s="4" t="str">
        <f>IFERROR(VLOOKUP(I66,Sheet1!$A$1:$D$246,4,FALSE),"NO HSCODE")</f>
        <v>NO HSCODE</v>
      </c>
    </row>
    <row r="67" spans="40:40" x14ac:dyDescent="0.25">
      <c r="AN67" s="4" t="str">
        <f>IFERROR(VLOOKUP(I67,Sheet1!$A$1:$D$246,4,FALSE),"NO HSCODE")</f>
        <v>NO HSCODE</v>
      </c>
    </row>
    <row r="68" spans="40:40" x14ac:dyDescent="0.25">
      <c r="AN68" s="4" t="str">
        <f>IFERROR(VLOOKUP(I68,Sheet1!$A$1:$D$246,4,FALSE),"NO HSCODE")</f>
        <v>NO HSCODE</v>
      </c>
    </row>
    <row r="69" spans="40:40" x14ac:dyDescent="0.25">
      <c r="AN69" s="4" t="str">
        <f>IFERROR(VLOOKUP(I69,Sheet1!$A$1:$D$246,4,FALSE),"NO HSCODE")</f>
        <v>NO HSCODE</v>
      </c>
    </row>
    <row r="70" spans="40:40" x14ac:dyDescent="0.25">
      <c r="AN70" s="4" t="str">
        <f>IFERROR(VLOOKUP(I70,Sheet1!$A$1:$D$246,4,FALSE),"NO HSCODE")</f>
        <v>NO HSCODE</v>
      </c>
    </row>
    <row r="71" spans="40:40" x14ac:dyDescent="0.25">
      <c r="AN71" s="4" t="str">
        <f>IFERROR(VLOOKUP(I71,Sheet1!$A$1:$D$246,4,FALSE),"NO HSCODE")</f>
        <v>NO HSCODE</v>
      </c>
    </row>
    <row r="72" spans="40:40" x14ac:dyDescent="0.25">
      <c r="AN72" s="4" t="str">
        <f>IFERROR(VLOOKUP(I72,Sheet1!$A$1:$D$246,4,FALSE),"NO HSCODE")</f>
        <v>NO HSCODE</v>
      </c>
    </row>
    <row r="73" spans="40:40" x14ac:dyDescent="0.25">
      <c r="AN73" s="4" t="str">
        <f>IFERROR(VLOOKUP(I73,Sheet1!$A$1:$D$246,4,FALSE),"NO HSCODE")</f>
        <v>NO HSCODE</v>
      </c>
    </row>
    <row r="74" spans="40:40" x14ac:dyDescent="0.25">
      <c r="AN74" s="4" t="str">
        <f>IFERROR(VLOOKUP(I74,Sheet1!$A$1:$D$246,4,FALSE),"NO HSCODE")</f>
        <v>NO HSCODE</v>
      </c>
    </row>
    <row r="75" spans="40:40" x14ac:dyDescent="0.25">
      <c r="AN75" s="4" t="str">
        <f>IFERROR(VLOOKUP(I75,Sheet1!$A$1:$D$246,4,FALSE),"NO HSCODE")</f>
        <v>NO HSCODE</v>
      </c>
    </row>
    <row r="76" spans="40:40" x14ac:dyDescent="0.25">
      <c r="AN76" s="4" t="str">
        <f>IFERROR(VLOOKUP(I76,Sheet1!$A$1:$D$246,4,FALSE),"NO HSCODE")</f>
        <v>NO HSCODE</v>
      </c>
    </row>
    <row r="77" spans="40:40" x14ac:dyDescent="0.25">
      <c r="AN77" s="4" t="str">
        <f>IFERROR(VLOOKUP(I77,Sheet1!$A$1:$D$246,4,FALSE),"NO HSCODE")</f>
        <v>NO HSCODE</v>
      </c>
    </row>
    <row r="78" spans="40:40" x14ac:dyDescent="0.25">
      <c r="AN78" s="4" t="str">
        <f>IFERROR(VLOOKUP(I78,Sheet1!$A$1:$D$246,4,FALSE),"NO HSCODE")</f>
        <v>NO HSCODE</v>
      </c>
    </row>
    <row r="79" spans="40:40" x14ac:dyDescent="0.25">
      <c r="AN79" s="4" t="str">
        <f>IFERROR(VLOOKUP(I79,Sheet1!$A$1:$D$246,4,FALSE),"NO HSCODE")</f>
        <v>NO HSCODE</v>
      </c>
    </row>
    <row r="80" spans="40:40" x14ac:dyDescent="0.25">
      <c r="AN80" s="4" t="str">
        <f>IFERROR(VLOOKUP(I80,Sheet1!$A$1:$D$246,4,FALSE),"NO HSCODE")</f>
        <v>NO HSCODE</v>
      </c>
    </row>
    <row r="81" spans="40:40" x14ac:dyDescent="0.25">
      <c r="AN81" s="4" t="str">
        <f>IFERROR(VLOOKUP(I81,Sheet1!$A$1:$D$246,4,FALSE),"NO HSCODE")</f>
        <v>NO HSCODE</v>
      </c>
    </row>
    <row r="82" spans="40:40" x14ac:dyDescent="0.25">
      <c r="AN82" s="4" t="str">
        <f>IFERROR(VLOOKUP(I82,Sheet1!$A$1:$D$246,4,FALSE),"NO HSCODE")</f>
        <v>NO HSCODE</v>
      </c>
    </row>
    <row r="83" spans="40:40" x14ac:dyDescent="0.25">
      <c r="AN83" s="4" t="str">
        <f>IFERROR(VLOOKUP(I83,Sheet1!$A$1:$D$246,4,FALSE),"NO HSCODE")</f>
        <v>NO HSCODE</v>
      </c>
    </row>
    <row r="84" spans="40:40" x14ac:dyDescent="0.25">
      <c r="AN84" s="4" t="str">
        <f>IFERROR(VLOOKUP(I84,Sheet1!$A$1:$D$246,4,FALSE),"NO HSCODE")</f>
        <v>NO HSCODE</v>
      </c>
    </row>
    <row r="85" spans="40:40" x14ac:dyDescent="0.25">
      <c r="AN85" s="4" t="str">
        <f>IFERROR(VLOOKUP(I85,Sheet1!$A$1:$D$246,4,FALSE),"NO HSCODE")</f>
        <v>NO HSCODE</v>
      </c>
    </row>
    <row r="86" spans="40:40" x14ac:dyDescent="0.25">
      <c r="AN86" s="4" t="str">
        <f>IFERROR(VLOOKUP(I86,Sheet1!$A$1:$D$246,4,FALSE),"NO HSCODE")</f>
        <v>NO HSCODE</v>
      </c>
    </row>
    <row r="87" spans="40:40" x14ac:dyDescent="0.25">
      <c r="AN87" s="4" t="str">
        <f>IFERROR(VLOOKUP(I87,Sheet1!$A$1:$D$246,4,FALSE),"NO HSCODE")</f>
        <v>NO HSCODE</v>
      </c>
    </row>
    <row r="88" spans="40:40" x14ac:dyDescent="0.25">
      <c r="AN88" s="4" t="str">
        <f>IFERROR(VLOOKUP(I88,Sheet1!$A$1:$D$246,4,FALSE),"NO HSCODE")</f>
        <v>NO HSCODE</v>
      </c>
    </row>
    <row r="89" spans="40:40" x14ac:dyDescent="0.25">
      <c r="AN89" s="4" t="str">
        <f>IFERROR(VLOOKUP(I89,Sheet1!$A$1:$D$246,4,FALSE),"NO HSCODE")</f>
        <v>NO HSCODE</v>
      </c>
    </row>
    <row r="90" spans="40:40" x14ac:dyDescent="0.25">
      <c r="AN90" s="4" t="str">
        <f>IFERROR(VLOOKUP(I90,Sheet1!$A$1:$D$246,4,FALSE),"NO HSCODE")</f>
        <v>NO HSCODE</v>
      </c>
    </row>
    <row r="91" spans="40:40" x14ac:dyDescent="0.25">
      <c r="AN91" s="4" t="str">
        <f>IFERROR(VLOOKUP(I91,Sheet1!$A$1:$D$246,4,FALSE),"NO HSCODE")</f>
        <v>NO HSCODE</v>
      </c>
    </row>
    <row r="92" spans="40:40" x14ac:dyDescent="0.25">
      <c r="AN92" s="4" t="str">
        <f>IFERROR(VLOOKUP(I92,Sheet1!$A$1:$D$246,4,FALSE),"NO HSCODE")</f>
        <v>NO HSCODE</v>
      </c>
    </row>
    <row r="93" spans="40:40" x14ac:dyDescent="0.25">
      <c r="AN93" s="4" t="str">
        <f>IFERROR(VLOOKUP(I93,Sheet1!$A$1:$D$246,4,FALSE),"NO HSCODE")</f>
        <v>NO HSCODE</v>
      </c>
    </row>
    <row r="94" spans="40:40" x14ac:dyDescent="0.25">
      <c r="AN94" s="4" t="str">
        <f>IFERROR(VLOOKUP(I94,Sheet1!$A$1:$D$246,4,FALSE),"NO HSCODE")</f>
        <v>NO HSCODE</v>
      </c>
    </row>
    <row r="95" spans="40:40" x14ac:dyDescent="0.25">
      <c r="AN95" s="4" t="str">
        <f>IFERROR(VLOOKUP(I95,Sheet1!$A$1:$D$246,4,FALSE),"NO HSCODE")</f>
        <v>NO HSCODE</v>
      </c>
    </row>
    <row r="96" spans="40:40" x14ac:dyDescent="0.25">
      <c r="AN96" s="4" t="str">
        <f>IFERROR(VLOOKUP(I96,Sheet1!$A$1:$D$246,4,FALSE),"NO HSCODE")</f>
        <v>NO HSCODE</v>
      </c>
    </row>
    <row r="97" spans="40:40" x14ac:dyDescent="0.25">
      <c r="AN97" s="4" t="str">
        <f>IFERROR(VLOOKUP(I97,Sheet1!$A$1:$D$246,4,FALSE),"NO HSCODE")</f>
        <v>NO HSCODE</v>
      </c>
    </row>
    <row r="98" spans="40:40" x14ac:dyDescent="0.25">
      <c r="AN98" s="4" t="str">
        <f>IFERROR(VLOOKUP(I98,Sheet1!$A$1:$D$246,4,FALSE),"NO HSCODE")</f>
        <v>NO HSCODE</v>
      </c>
    </row>
    <row r="99" spans="40:40" x14ac:dyDescent="0.25">
      <c r="AN99" s="4" t="str">
        <f>IFERROR(VLOOKUP(I99,Sheet1!$A$1:$D$246,4,FALSE),"NO HSCODE")</f>
        <v>NO HSCODE</v>
      </c>
    </row>
    <row r="100" spans="40:40" x14ac:dyDescent="0.25">
      <c r="AN100" s="4" t="str">
        <f>IFERROR(VLOOKUP(I100,Sheet1!$A$1:$D$246,4,FALSE),"NO HSCODE")</f>
        <v>NO HSCODE</v>
      </c>
    </row>
    <row r="101" spans="40:40" x14ac:dyDescent="0.25">
      <c r="AN101" s="4" t="str">
        <f>IFERROR(VLOOKUP(I101,Sheet1!$A$1:$D$246,4,FALSE),"NO HSCODE")</f>
        <v>NO HSCODE</v>
      </c>
    </row>
    <row r="102" spans="40:40" x14ac:dyDescent="0.25">
      <c r="AN102" s="4" t="str">
        <f>IFERROR(VLOOKUP(I102,Sheet1!$A$1:$D$246,4,FALSE),"NO HSCODE")</f>
        <v>NO HSCODE</v>
      </c>
    </row>
    <row r="103" spans="40:40" x14ac:dyDescent="0.25">
      <c r="AN103" s="4" t="str">
        <f>IFERROR(VLOOKUP(I103,Sheet1!$A$1:$D$246,4,FALSE),"NO HSCODE")</f>
        <v>NO HSCODE</v>
      </c>
    </row>
    <row r="104" spans="40:40" x14ac:dyDescent="0.25">
      <c r="AN104" s="4" t="str">
        <f>IFERROR(VLOOKUP(I104,Sheet1!$A$1:$D$246,4,FALSE),"NO HSCODE")</f>
        <v>NO HSCODE</v>
      </c>
    </row>
    <row r="105" spans="40:40" x14ac:dyDescent="0.25">
      <c r="AN105" s="4" t="str">
        <f>IFERROR(VLOOKUP(I105,Sheet1!$A$1:$D$246,4,FALSE),"NO HSCODE")</f>
        <v>NO HSCODE</v>
      </c>
    </row>
    <row r="106" spans="40:40" x14ac:dyDescent="0.25">
      <c r="AN106" s="4" t="str">
        <f>IFERROR(VLOOKUP(I106,Sheet1!$A$1:$D$246,4,FALSE),"NO HSCODE")</f>
        <v>NO HSCODE</v>
      </c>
    </row>
    <row r="107" spans="40:40" x14ac:dyDescent="0.25">
      <c r="AN107" s="4" t="str">
        <f>IFERROR(VLOOKUP(I107,Sheet1!$A$1:$D$246,4,FALSE),"NO HSCODE")</f>
        <v>NO HSCODE</v>
      </c>
    </row>
    <row r="108" spans="40:40" x14ac:dyDescent="0.25">
      <c r="AN108" s="4" t="str">
        <f>IFERROR(VLOOKUP(I108,Sheet1!$A$1:$D$246,4,FALSE),"NO HSCODE")</f>
        <v>NO HSCODE</v>
      </c>
    </row>
    <row r="109" spans="40:40" x14ac:dyDescent="0.25">
      <c r="AN109" s="4" t="str">
        <f>IFERROR(VLOOKUP(I109,Sheet1!$A$1:$D$246,4,FALSE),"NO HSCODE")</f>
        <v>NO HSCODE</v>
      </c>
    </row>
    <row r="110" spans="40:40" x14ac:dyDescent="0.25">
      <c r="AN110" s="4" t="str">
        <f>IFERROR(VLOOKUP(I110,Sheet1!$A$1:$D$246,4,FALSE),"NO HSCODE")</f>
        <v>NO HSCODE</v>
      </c>
    </row>
    <row r="111" spans="40:40" x14ac:dyDescent="0.25">
      <c r="AN111" s="4" t="str">
        <f>IFERROR(VLOOKUP(I111,Sheet1!$A$1:$D$246,4,FALSE),"NO HSCODE")</f>
        <v>NO HSCODE</v>
      </c>
    </row>
    <row r="112" spans="40:40" x14ac:dyDescent="0.25">
      <c r="AN112" s="4" t="str">
        <f>IFERROR(VLOOKUP(I112,Sheet1!$A$1:$D$246,4,FALSE),"NO HSCODE")</f>
        <v>NO HSCODE</v>
      </c>
    </row>
    <row r="113" spans="40:40" x14ac:dyDescent="0.25">
      <c r="AN113" s="4" t="str">
        <f>IFERROR(VLOOKUP(I113,Sheet1!$A$1:$D$246,4,FALSE),"NO HSCODE")</f>
        <v>NO HSCODE</v>
      </c>
    </row>
    <row r="114" spans="40:40" x14ac:dyDescent="0.25">
      <c r="AN114" s="4" t="str">
        <f>IFERROR(VLOOKUP(I114,Sheet1!$A$1:$D$246,4,FALSE),"NO HSCODE")</f>
        <v>NO HSCODE</v>
      </c>
    </row>
    <row r="115" spans="40:40" x14ac:dyDescent="0.25">
      <c r="AN115" s="4" t="str">
        <f>IFERROR(VLOOKUP(I115,Sheet1!$A$1:$D$246,4,FALSE),"NO HSCODE")</f>
        <v>NO HSCODE</v>
      </c>
    </row>
    <row r="116" spans="40:40" x14ac:dyDescent="0.25">
      <c r="AN116" s="4" t="str">
        <f>IFERROR(VLOOKUP(I116,Sheet1!$A$1:$D$246,4,FALSE),"NO HSCODE")</f>
        <v>NO HSCODE</v>
      </c>
    </row>
    <row r="117" spans="40:40" x14ac:dyDescent="0.25">
      <c r="AN117" s="4" t="str">
        <f>IFERROR(VLOOKUP(I117,Sheet1!$A$1:$D$246,4,FALSE),"NO HSCODE")</f>
        <v>NO HSCODE</v>
      </c>
    </row>
    <row r="118" spans="40:40" x14ac:dyDescent="0.25">
      <c r="AN118" s="4" t="str">
        <f>IFERROR(VLOOKUP(I118,Sheet1!$A$1:$D$246,4,FALSE),"NO HSCODE")</f>
        <v>NO HSCODE</v>
      </c>
    </row>
    <row r="119" spans="40:40" x14ac:dyDescent="0.25">
      <c r="AN119" s="4" t="str">
        <f>IFERROR(VLOOKUP(I119,Sheet1!$A$1:$D$246,4,FALSE),"NO HSCODE")</f>
        <v>NO HSCODE</v>
      </c>
    </row>
    <row r="120" spans="40:40" x14ac:dyDescent="0.25">
      <c r="AN120" s="4" t="str">
        <f>IFERROR(VLOOKUP(I120,Sheet1!$A$1:$D$246,4,FALSE),"NO HSCODE")</f>
        <v>NO HSCODE</v>
      </c>
    </row>
    <row r="121" spans="40:40" x14ac:dyDescent="0.25">
      <c r="AN121" s="4" t="str">
        <f>IFERROR(VLOOKUP(I121,Sheet1!$A$1:$D$246,4,FALSE),"NO HSCODE")</f>
        <v>NO HSCODE</v>
      </c>
    </row>
    <row r="122" spans="40:40" x14ac:dyDescent="0.25">
      <c r="AN122" s="4" t="str">
        <f>IFERROR(VLOOKUP(I122,Sheet1!$A$1:$D$246,4,FALSE),"NO HSCODE")</f>
        <v>NO HSCODE</v>
      </c>
    </row>
    <row r="123" spans="40:40" x14ac:dyDescent="0.25">
      <c r="AN123" s="4" t="str">
        <f>IFERROR(VLOOKUP(I123,Sheet1!$A$1:$D$246,4,FALSE),"NO HSCODE")</f>
        <v>NO HSCODE</v>
      </c>
    </row>
    <row r="124" spans="40:40" x14ac:dyDescent="0.25">
      <c r="AN124" s="4" t="str">
        <f>IFERROR(VLOOKUP(I124,Sheet1!$A$1:$D$246,4,FALSE),"NO HSCODE")</f>
        <v>NO HSCODE</v>
      </c>
    </row>
    <row r="125" spans="40:40" x14ac:dyDescent="0.25">
      <c r="AN125" s="4" t="str">
        <f>IFERROR(VLOOKUP(I125,Sheet1!$A$1:$D$246,4,FALSE),"NO HSCODE")</f>
        <v>NO HSCODE</v>
      </c>
    </row>
    <row r="126" spans="40:40" x14ac:dyDescent="0.25">
      <c r="AN126" s="4" t="str">
        <f>IFERROR(VLOOKUP(I126,Sheet1!$A$1:$D$246,4,FALSE),"NO HSCODE")</f>
        <v>NO HSCODE</v>
      </c>
    </row>
    <row r="127" spans="40:40" x14ac:dyDescent="0.25">
      <c r="AN127" s="4" t="str">
        <f>IFERROR(VLOOKUP(I127,Sheet1!$A$1:$D$246,4,FALSE),"NO HSCODE")</f>
        <v>NO HSCODE</v>
      </c>
    </row>
    <row r="128" spans="40:40" x14ac:dyDescent="0.25">
      <c r="AN128" s="4" t="str">
        <f>IFERROR(VLOOKUP(I128,Sheet1!$A$1:$D$246,4,FALSE),"NO HSCODE")</f>
        <v>NO HSCODE</v>
      </c>
    </row>
    <row r="129" spans="40:40" x14ac:dyDescent="0.25">
      <c r="AN129" s="4" t="str">
        <f>IFERROR(VLOOKUP(I129,Sheet1!$A$1:$D$246,4,FALSE),"NO HSCODE")</f>
        <v>NO HSCODE</v>
      </c>
    </row>
    <row r="130" spans="40:40" x14ac:dyDescent="0.25">
      <c r="AN130" s="4" t="str">
        <f>IFERROR(VLOOKUP(I130,Sheet1!$A$1:$D$246,4,FALSE),"NO HSCODE")</f>
        <v>NO HSCODE</v>
      </c>
    </row>
    <row r="131" spans="40:40" x14ac:dyDescent="0.25">
      <c r="AN131" s="4" t="str">
        <f>IFERROR(VLOOKUP(I131,Sheet1!$A$1:$D$246,4,FALSE),"NO HSCODE")</f>
        <v>NO HSCODE</v>
      </c>
    </row>
    <row r="132" spans="40:40" x14ac:dyDescent="0.25">
      <c r="AN132" s="4" t="str">
        <f>IFERROR(VLOOKUP(I132,Sheet1!$A$1:$D$246,4,FALSE),"NO HSCODE")</f>
        <v>NO HSCODE</v>
      </c>
    </row>
    <row r="133" spans="40:40" x14ac:dyDescent="0.25">
      <c r="AN133" s="4" t="str">
        <f>IFERROR(VLOOKUP(I133,Sheet1!$A$1:$D$246,4,FALSE),"NO HSCODE")</f>
        <v>NO HSCODE</v>
      </c>
    </row>
    <row r="134" spans="40:40" x14ac:dyDescent="0.25">
      <c r="AN134" s="4" t="str">
        <f>IFERROR(VLOOKUP(I134,Sheet1!$A$1:$D$246,4,FALSE),"NO HSCODE")</f>
        <v>NO HSCODE</v>
      </c>
    </row>
    <row r="135" spans="40:40" x14ac:dyDescent="0.25">
      <c r="AN135" s="4" t="str">
        <f>IFERROR(VLOOKUP(I135,Sheet1!$A$1:$D$246,4,FALSE),"NO HSCODE")</f>
        <v>NO HSCODE</v>
      </c>
    </row>
    <row r="136" spans="40:40" x14ac:dyDescent="0.25">
      <c r="AN136" s="4" t="str">
        <f>IFERROR(VLOOKUP(I136,Sheet1!$A$1:$D$246,4,FALSE),"NO HSCODE")</f>
        <v>NO HSCODE</v>
      </c>
    </row>
    <row r="137" spans="40:40" x14ac:dyDescent="0.25">
      <c r="AN137" s="4" t="str">
        <f>IFERROR(VLOOKUP(I137,Sheet1!$A$1:$D$246,4,FALSE),"NO HSCODE")</f>
        <v>NO HSCODE</v>
      </c>
    </row>
    <row r="138" spans="40:40" x14ac:dyDescent="0.25">
      <c r="AN138" s="4" t="str">
        <f>IFERROR(VLOOKUP(I138,Sheet1!$A$1:$D$246,4,FALSE),"NO HSCODE")</f>
        <v>NO HSCODE</v>
      </c>
    </row>
    <row r="139" spans="40:40" x14ac:dyDescent="0.25">
      <c r="AN139" s="4" t="str">
        <f>IFERROR(VLOOKUP(I139,Sheet1!$A$1:$D$246,4,FALSE),"NO HSCODE")</f>
        <v>NO HSCODE</v>
      </c>
    </row>
    <row r="140" spans="40:40" x14ac:dyDescent="0.25">
      <c r="AN140" s="4" t="str">
        <f>IFERROR(VLOOKUP(I140,Sheet1!$A$1:$D$246,4,FALSE),"NO HSCODE")</f>
        <v>NO HSCODE</v>
      </c>
    </row>
    <row r="141" spans="40:40" x14ac:dyDescent="0.25">
      <c r="AN141" s="4" t="str">
        <f>IFERROR(VLOOKUP(I141,Sheet1!$A$1:$D$246,4,FALSE),"NO HSCODE")</f>
        <v>NO HSCODE</v>
      </c>
    </row>
    <row r="142" spans="40:40" x14ac:dyDescent="0.25">
      <c r="AN142" s="4" t="str">
        <f>IFERROR(VLOOKUP(I142,Sheet1!$A$1:$D$246,4,FALSE),"NO HSCODE")</f>
        <v>NO HSCODE</v>
      </c>
    </row>
    <row r="143" spans="40:40" x14ac:dyDescent="0.25">
      <c r="AN143" s="4" t="str">
        <f>IFERROR(VLOOKUP(I143,Sheet1!$A$1:$D$246,4,FALSE),"NO HSCODE")</f>
        <v>NO HSCODE</v>
      </c>
    </row>
    <row r="144" spans="40:40" x14ac:dyDescent="0.25">
      <c r="AN144" s="4" t="str">
        <f>IFERROR(VLOOKUP(I144,Sheet1!$A$1:$D$246,4,FALSE),"NO HSCODE")</f>
        <v>NO HSCODE</v>
      </c>
    </row>
    <row r="145" spans="40:40" x14ac:dyDescent="0.25">
      <c r="AN145" s="4" t="str">
        <f>IFERROR(VLOOKUP(I145,Sheet1!$A$1:$D$246,4,FALSE),"NO HSCODE")</f>
        <v>NO HSCODE</v>
      </c>
    </row>
    <row r="146" spans="40:40" x14ac:dyDescent="0.25">
      <c r="AN146" s="4" t="str">
        <f>IFERROR(VLOOKUP(I146,Sheet1!$A$1:$D$246,4,FALSE),"NO HSCODE")</f>
        <v>NO HSCODE</v>
      </c>
    </row>
    <row r="147" spans="40:40" x14ac:dyDescent="0.25">
      <c r="AN147" s="4" t="str">
        <f>IFERROR(VLOOKUP(I147,Sheet1!$A$1:$D$246,4,FALSE),"NO HSCODE")</f>
        <v>NO HSCODE</v>
      </c>
    </row>
    <row r="148" spans="40:40" x14ac:dyDescent="0.25">
      <c r="AN148" s="4" t="str">
        <f>IFERROR(VLOOKUP(I148,Sheet1!$A$1:$D$246,4,FALSE),"NO HSCODE")</f>
        <v>NO HSCODE</v>
      </c>
    </row>
    <row r="149" spans="40:40" x14ac:dyDescent="0.25">
      <c r="AN149" s="4" t="str">
        <f>IFERROR(VLOOKUP(I149,Sheet1!$A$1:$D$246,4,FALSE),"NO HSCODE")</f>
        <v>NO HSCODE</v>
      </c>
    </row>
    <row r="150" spans="40:40" x14ac:dyDescent="0.25">
      <c r="AN150" s="4" t="str">
        <f>IFERROR(VLOOKUP(I150,Sheet1!$A$1:$D$246,4,FALSE),"NO HSCODE")</f>
        <v>NO HSCODE</v>
      </c>
    </row>
    <row r="151" spans="40:40" x14ac:dyDescent="0.25">
      <c r="AN151" s="4" t="str">
        <f>IFERROR(VLOOKUP(I151,Sheet1!$A$1:$D$246,4,FALSE),"NO HSCODE")</f>
        <v>NO HSCODE</v>
      </c>
    </row>
    <row r="152" spans="40:40" x14ac:dyDescent="0.25">
      <c r="AN152" s="4" t="str">
        <f>IFERROR(VLOOKUP(I152,Sheet1!$A$1:$D$246,4,FALSE),"NO HSCODE")</f>
        <v>NO HSCODE</v>
      </c>
    </row>
    <row r="153" spans="40:40" x14ac:dyDescent="0.25">
      <c r="AN153" s="4" t="str">
        <f>IFERROR(VLOOKUP(I153,Sheet1!$A$1:$D$246,4,FALSE),"NO HSCODE")</f>
        <v>NO HSCODE</v>
      </c>
    </row>
    <row r="154" spans="40:40" x14ac:dyDescent="0.25">
      <c r="AN154" s="4" t="str">
        <f>IFERROR(VLOOKUP(I154,Sheet1!$A$1:$D$246,4,FALSE),"NO HSCODE")</f>
        <v>NO HSCODE</v>
      </c>
    </row>
    <row r="155" spans="40:40" x14ac:dyDescent="0.25">
      <c r="AN155" s="4" t="str">
        <f>IFERROR(VLOOKUP(I155,Sheet1!$A$1:$D$246,4,FALSE),"NO HSCODE")</f>
        <v>NO HSCODE</v>
      </c>
    </row>
    <row r="156" spans="40:40" x14ac:dyDescent="0.25">
      <c r="AN156" s="4" t="str">
        <f>IFERROR(VLOOKUP(I156,Sheet1!$A$1:$D$246,4,FALSE),"NO HSCODE")</f>
        <v>NO HSCODE</v>
      </c>
    </row>
    <row r="157" spans="40:40" x14ac:dyDescent="0.25">
      <c r="AN157" s="4" t="str">
        <f>IFERROR(VLOOKUP(I157,Sheet1!$A$1:$D$246,4,FALSE),"NO HSCODE")</f>
        <v>NO HSCODE</v>
      </c>
    </row>
    <row r="158" spans="40:40" x14ac:dyDescent="0.25">
      <c r="AN158" s="4" t="str">
        <f>IFERROR(VLOOKUP(I158,Sheet1!$A$1:$D$246,4,FALSE),"NO HSCODE")</f>
        <v>NO HSCODE</v>
      </c>
    </row>
    <row r="159" spans="40:40" x14ac:dyDescent="0.25">
      <c r="AN159" s="4" t="str">
        <f>IFERROR(VLOOKUP(I159,Sheet1!$A$1:$D$246,4,FALSE),"NO HSCODE")</f>
        <v>NO HSCODE</v>
      </c>
    </row>
    <row r="160" spans="40:40" x14ac:dyDescent="0.25">
      <c r="AN160" s="4" t="str">
        <f>IFERROR(VLOOKUP(I160,Sheet1!$A$1:$D$246,4,FALSE),"NO HSCODE")</f>
        <v>NO HSCODE</v>
      </c>
    </row>
    <row r="161" spans="40:40" x14ac:dyDescent="0.25">
      <c r="AN161" s="4" t="str">
        <f>IFERROR(VLOOKUP(I161,Sheet1!$A$1:$D$246,4,FALSE),"NO HSCODE")</f>
        <v>NO HSCODE</v>
      </c>
    </row>
    <row r="162" spans="40:40" x14ac:dyDescent="0.25">
      <c r="AN162" s="4" t="str">
        <f>IFERROR(VLOOKUP(I162,Sheet1!$A$1:$D$246,4,FALSE),"NO HSCODE")</f>
        <v>NO HSCODE</v>
      </c>
    </row>
    <row r="163" spans="40:40" x14ac:dyDescent="0.25">
      <c r="AN163" s="4" t="str">
        <f>IFERROR(VLOOKUP(I163,Sheet1!$A$1:$D$246,4,FALSE),"NO HSCODE")</f>
        <v>NO HSCODE</v>
      </c>
    </row>
    <row r="164" spans="40:40" x14ac:dyDescent="0.25">
      <c r="AN164" s="4" t="str">
        <f>IFERROR(VLOOKUP(I164,Sheet1!$A$1:$D$246,4,FALSE),"NO HSCODE")</f>
        <v>NO HSCODE</v>
      </c>
    </row>
    <row r="165" spans="40:40" x14ac:dyDescent="0.25">
      <c r="AN165" s="4" t="str">
        <f>IFERROR(VLOOKUP(I165,Sheet1!$A$1:$D$246,4,FALSE),"NO HSCODE")</f>
        <v>NO HSCODE</v>
      </c>
    </row>
    <row r="166" spans="40:40" x14ac:dyDescent="0.25">
      <c r="AN166" s="4" t="str">
        <f>IFERROR(VLOOKUP(I166,Sheet1!$A$1:$D$246,4,FALSE),"NO HSCODE")</f>
        <v>NO HSCODE</v>
      </c>
    </row>
    <row r="167" spans="40:40" x14ac:dyDescent="0.25">
      <c r="AN167" s="4" t="str">
        <f>IFERROR(VLOOKUP(I167,Sheet1!$A$1:$D$246,4,FALSE),"NO HSCODE")</f>
        <v>NO HSCODE</v>
      </c>
    </row>
    <row r="168" spans="40:40" x14ac:dyDescent="0.25">
      <c r="AN168" s="4" t="str">
        <f>IFERROR(VLOOKUP(I168,Sheet1!$A$1:$D$246,4,FALSE),"NO HSCODE")</f>
        <v>NO HSCODE</v>
      </c>
    </row>
    <row r="169" spans="40:40" x14ac:dyDescent="0.25">
      <c r="AN169" s="4" t="str">
        <f>IFERROR(VLOOKUP(I169,Sheet1!$A$1:$D$246,4,FALSE),"NO HSCODE")</f>
        <v>NO HSCODE</v>
      </c>
    </row>
    <row r="170" spans="40:40" x14ac:dyDescent="0.25">
      <c r="AN170" s="4" t="str">
        <f>IFERROR(VLOOKUP(I170,Sheet1!$A$1:$D$246,4,FALSE),"NO HSCODE")</f>
        <v>NO HSCODE</v>
      </c>
    </row>
    <row r="171" spans="40:40" x14ac:dyDescent="0.25">
      <c r="AN171" s="4" t="str">
        <f>IFERROR(VLOOKUP(I171,Sheet1!$A$1:$D$246,4,FALSE),"NO HSCODE")</f>
        <v>NO HSCODE</v>
      </c>
    </row>
    <row r="172" spans="40:40" x14ac:dyDescent="0.25">
      <c r="AN172" s="4" t="str">
        <f>IFERROR(VLOOKUP(I172,Sheet1!$A$1:$D$246,4,FALSE),"NO HSCODE")</f>
        <v>NO HSCODE</v>
      </c>
    </row>
    <row r="173" spans="40:40" x14ac:dyDescent="0.25">
      <c r="AN173" s="4" t="str">
        <f>IFERROR(VLOOKUP(I173,Sheet1!$A$1:$D$246,4,FALSE),"NO HSCODE")</f>
        <v>NO HSCODE</v>
      </c>
    </row>
    <row r="174" spans="40:40" x14ac:dyDescent="0.25">
      <c r="AN174" s="4" t="str">
        <f>IFERROR(VLOOKUP(I174,Sheet1!$A$1:$D$246,4,FALSE),"NO HSCODE")</f>
        <v>NO HSCODE</v>
      </c>
    </row>
    <row r="175" spans="40:40" x14ac:dyDescent="0.25">
      <c r="AN175" s="4" t="str">
        <f>IFERROR(VLOOKUP(I175,Sheet1!$A$1:$D$246,4,FALSE),"NO HSCODE")</f>
        <v>NO HSCODE</v>
      </c>
    </row>
    <row r="176" spans="40:40" x14ac:dyDescent="0.25">
      <c r="AN176" s="4" t="str">
        <f>IFERROR(VLOOKUP(I176,Sheet1!$A$1:$D$246,4,FALSE),"NO HSCODE")</f>
        <v>NO HSCODE</v>
      </c>
    </row>
    <row r="177" spans="40:40" x14ac:dyDescent="0.25">
      <c r="AN177" s="4" t="str">
        <f>IFERROR(VLOOKUP(I177,Sheet1!$A$1:$D$246,4,FALSE),"NO HSCODE")</f>
        <v>NO HSCODE</v>
      </c>
    </row>
    <row r="178" spans="40:40" x14ac:dyDescent="0.25">
      <c r="AN178" s="4" t="str">
        <f>IFERROR(VLOOKUP(I178,Sheet1!$A$1:$D$246,4,FALSE),"NO HSCODE")</f>
        <v>NO HSCODE</v>
      </c>
    </row>
    <row r="179" spans="40:40" x14ac:dyDescent="0.25">
      <c r="AN179" s="4" t="str">
        <f>IFERROR(VLOOKUP(I179,Sheet1!$A$1:$D$246,4,FALSE),"NO HSCODE")</f>
        <v>NO HSCODE</v>
      </c>
    </row>
    <row r="180" spans="40:40" x14ac:dyDescent="0.25">
      <c r="AN180" s="4" t="str">
        <f>IFERROR(VLOOKUP(I180,Sheet1!$A$1:$D$246,4,FALSE),"NO HSCODE")</f>
        <v>NO HSCODE</v>
      </c>
    </row>
    <row r="181" spans="40:40" x14ac:dyDescent="0.25">
      <c r="AN181" s="4" t="str">
        <f>IFERROR(VLOOKUP(I181,Sheet1!$A$1:$D$246,4,FALSE),"NO HSCODE")</f>
        <v>NO HSCODE</v>
      </c>
    </row>
    <row r="182" spans="40:40" x14ac:dyDescent="0.25">
      <c r="AN182" s="4" t="str">
        <f>IFERROR(VLOOKUP(I182,Sheet1!$A$1:$D$246,4,FALSE),"NO HSCODE")</f>
        <v>NO HSCODE</v>
      </c>
    </row>
    <row r="183" spans="40:40" x14ac:dyDescent="0.25">
      <c r="AN183" s="4" t="str">
        <f>IFERROR(VLOOKUP(I183,Sheet1!$A$1:$D$246,4,FALSE),"NO HSCODE")</f>
        <v>NO HSCODE</v>
      </c>
    </row>
    <row r="184" spans="40:40" x14ac:dyDescent="0.25">
      <c r="AN184" s="4" t="str">
        <f>IFERROR(VLOOKUP(I184,Sheet1!$A$1:$D$246,4,FALSE),"NO HSCODE")</f>
        <v>NO HSCODE</v>
      </c>
    </row>
    <row r="185" spans="40:40" x14ac:dyDescent="0.25">
      <c r="AN185" s="4" t="str">
        <f>IFERROR(VLOOKUP(I185,Sheet1!$A$1:$D$246,4,FALSE),"NO HSCODE")</f>
        <v>NO HSCODE</v>
      </c>
    </row>
    <row r="186" spans="40:40" x14ac:dyDescent="0.25">
      <c r="AN186" s="4" t="str">
        <f>IFERROR(VLOOKUP(I186,Sheet1!$A$1:$D$246,4,FALSE),"NO HSCODE")</f>
        <v>NO HSCODE</v>
      </c>
    </row>
    <row r="187" spans="40:40" x14ac:dyDescent="0.25">
      <c r="AN187" s="4" t="str">
        <f>IFERROR(VLOOKUP(I187,Sheet1!$A$1:$D$246,4,FALSE),"NO HSCODE")</f>
        <v>NO HSCODE</v>
      </c>
    </row>
    <row r="188" spans="40:40" x14ac:dyDescent="0.25">
      <c r="AN188" s="4" t="str">
        <f>IFERROR(VLOOKUP(I188,Sheet1!$A$1:$D$246,4,FALSE),"NO HSCODE")</f>
        <v>NO HSCODE</v>
      </c>
    </row>
    <row r="189" spans="40:40" x14ac:dyDescent="0.25">
      <c r="AN189" s="4" t="str">
        <f>IFERROR(VLOOKUP(I189,Sheet1!$A$1:$D$246,4,FALSE),"NO HSCODE")</f>
        <v>NO HSCODE</v>
      </c>
    </row>
    <row r="190" spans="40:40" x14ac:dyDescent="0.25">
      <c r="AN190" s="4" t="str">
        <f>IFERROR(VLOOKUP(I190,Sheet1!$A$1:$D$246,4,FALSE),"NO HSCODE")</f>
        <v>NO HSCODE</v>
      </c>
    </row>
    <row r="191" spans="40:40" x14ac:dyDescent="0.25">
      <c r="AN191" s="4" t="str">
        <f>IFERROR(VLOOKUP(I191,Sheet1!$A$1:$D$246,4,FALSE),"NO HSCODE")</f>
        <v>NO HSCODE</v>
      </c>
    </row>
    <row r="192" spans="40:40" x14ac:dyDescent="0.25">
      <c r="AN192" s="4" t="str">
        <f>IFERROR(VLOOKUP(I192,Sheet1!$A$1:$D$246,4,FALSE),"NO HSCODE")</f>
        <v>NO HSCODE</v>
      </c>
    </row>
    <row r="193" spans="40:40" x14ac:dyDescent="0.25">
      <c r="AN193" s="4" t="str">
        <f>IFERROR(VLOOKUP(I193,Sheet1!$A$1:$D$246,4,FALSE),"NO HSCODE")</f>
        <v>NO HSCODE</v>
      </c>
    </row>
    <row r="194" spans="40:40" x14ac:dyDescent="0.25">
      <c r="AN194" s="4" t="str">
        <f>IFERROR(VLOOKUP(I194,Sheet1!$A$1:$D$246,4,FALSE),"NO HSCODE")</f>
        <v>NO HSCODE</v>
      </c>
    </row>
    <row r="195" spans="40:40" x14ac:dyDescent="0.25">
      <c r="AN195" s="4" t="str">
        <f>IFERROR(VLOOKUP(I195,Sheet1!$A$1:$D$246,4,FALSE),"NO HSCODE")</f>
        <v>NO HSCODE</v>
      </c>
    </row>
    <row r="196" spans="40:40" x14ac:dyDescent="0.25">
      <c r="AN196" s="4" t="str">
        <f>IFERROR(VLOOKUP(I196,Sheet1!$A$1:$D$246,4,FALSE),"NO HSCODE")</f>
        <v>NO HSCODE</v>
      </c>
    </row>
    <row r="197" spans="40:40" x14ac:dyDescent="0.25">
      <c r="AN197" s="4" t="str">
        <f>IFERROR(VLOOKUP(I197,Sheet1!$A$1:$D$246,4,FALSE),"NO HSCODE")</f>
        <v>NO HSCODE</v>
      </c>
    </row>
    <row r="198" spans="40:40" x14ac:dyDescent="0.25">
      <c r="AN198" s="4" t="str">
        <f>IFERROR(VLOOKUP(I198,Sheet1!$A$1:$D$246,4,FALSE),"NO HSCODE")</f>
        <v>NO HSCODE</v>
      </c>
    </row>
    <row r="199" spans="40:40" x14ac:dyDescent="0.25">
      <c r="AN199" s="4" t="str">
        <f>IFERROR(VLOOKUP(I199,Sheet1!$A$1:$D$246,4,FALSE),"NO HSCODE")</f>
        <v>NO HSCODE</v>
      </c>
    </row>
    <row r="200" spans="40:40" x14ac:dyDescent="0.25">
      <c r="AN200" s="4" t="str">
        <f>IFERROR(VLOOKUP(I200,Sheet1!$A$1:$D$246,4,FALSE),"NO HSCODE")</f>
        <v>NO HSCODE</v>
      </c>
    </row>
    <row r="201" spans="40:40" x14ac:dyDescent="0.25">
      <c r="AN201" s="4" t="str">
        <f>IFERROR(VLOOKUP(I201,Sheet1!$A$1:$D$246,4,FALSE),"NO HSCODE")</f>
        <v>NO HSCODE</v>
      </c>
    </row>
    <row r="202" spans="40:40" x14ac:dyDescent="0.25">
      <c r="AN202" s="4" t="str">
        <f>IFERROR(VLOOKUP(I202,Sheet1!$A$1:$D$246,4,FALSE),"NO HSCODE")</f>
        <v>NO HSCODE</v>
      </c>
    </row>
    <row r="203" spans="40:40" x14ac:dyDescent="0.25">
      <c r="AN203" s="4" t="str">
        <f>IFERROR(VLOOKUP(I203,Sheet1!$A$1:$D$246,4,FALSE),"NO HSCODE")</f>
        <v>NO HSCODE</v>
      </c>
    </row>
    <row r="204" spans="40:40" x14ac:dyDescent="0.25">
      <c r="AN204" s="4" t="str">
        <f>IFERROR(VLOOKUP(I204,Sheet1!$A$1:$D$246,4,FALSE),"NO HSCODE")</f>
        <v>NO HSCODE</v>
      </c>
    </row>
    <row r="205" spans="40:40" x14ac:dyDescent="0.25">
      <c r="AN205" s="4" t="str">
        <f>IFERROR(VLOOKUP(I205,Sheet1!$A$1:$D$246,4,FALSE),"NO HSCODE")</f>
        <v>NO HSCODE</v>
      </c>
    </row>
    <row r="206" spans="40:40" x14ac:dyDescent="0.25">
      <c r="AN206" s="4" t="str">
        <f>IFERROR(VLOOKUP(I206,Sheet1!$A$1:$D$246,4,FALSE),"NO HSCODE")</f>
        <v>NO HSCODE</v>
      </c>
    </row>
    <row r="207" spans="40:40" x14ac:dyDescent="0.25">
      <c r="AN207" s="4" t="str">
        <f>IFERROR(VLOOKUP(I207,Sheet1!$A$1:$D$246,4,FALSE),"NO HSCODE")</f>
        <v>NO HSCODE</v>
      </c>
    </row>
    <row r="208" spans="40:40" x14ac:dyDescent="0.25">
      <c r="AN208" s="4" t="str">
        <f>IFERROR(VLOOKUP(I208,Sheet1!$A$1:$D$246,4,FALSE),"NO HSCODE")</f>
        <v>NO HSCODE</v>
      </c>
    </row>
    <row r="209" spans="40:40" x14ac:dyDescent="0.25">
      <c r="AN209" s="4" t="str">
        <f>IFERROR(VLOOKUP(I209,Sheet1!$A$1:$D$246,4,FALSE),"NO HSCODE")</f>
        <v>NO HSCODE</v>
      </c>
    </row>
    <row r="210" spans="40:40" x14ac:dyDescent="0.25">
      <c r="AN210" s="4" t="str">
        <f>IFERROR(VLOOKUP(I210,Sheet1!$A$1:$D$246,4,FALSE),"NO HSCODE")</f>
        <v>NO HSCODE</v>
      </c>
    </row>
    <row r="211" spans="40:40" x14ac:dyDescent="0.25">
      <c r="AN211" s="4" t="str">
        <f>IFERROR(VLOOKUP(I211,Sheet1!$A$1:$D$246,4,FALSE),"NO HSCODE")</f>
        <v>NO HSCODE</v>
      </c>
    </row>
    <row r="212" spans="40:40" x14ac:dyDescent="0.25">
      <c r="AN212" s="4" t="str">
        <f>IFERROR(VLOOKUP(I212,Sheet1!$A$1:$D$246,4,FALSE),"NO HSCODE")</f>
        <v>NO HSCODE</v>
      </c>
    </row>
    <row r="213" spans="40:40" x14ac:dyDescent="0.25">
      <c r="AN213" s="4" t="str">
        <f>IFERROR(VLOOKUP(I213,Sheet1!$A$1:$D$246,4,FALSE),"NO HSCODE")</f>
        <v>NO HSCODE</v>
      </c>
    </row>
    <row r="214" spans="40:40" x14ac:dyDescent="0.25">
      <c r="AN214" s="4" t="str">
        <f>IFERROR(VLOOKUP(I214,Sheet1!$A$1:$D$246,4,FALSE),"NO HSCODE")</f>
        <v>NO HSCODE</v>
      </c>
    </row>
    <row r="215" spans="40:40" x14ac:dyDescent="0.25">
      <c r="AN215" s="4" t="str">
        <f>IFERROR(VLOOKUP(I215,Sheet1!$A$1:$D$246,4,FALSE),"NO HSCODE")</f>
        <v>NO HSCODE</v>
      </c>
    </row>
    <row r="216" spans="40:40" x14ac:dyDescent="0.25">
      <c r="AN216" s="4" t="str">
        <f>IFERROR(VLOOKUP(I216,Sheet1!$A$1:$D$246,4,FALSE),"NO HSCODE")</f>
        <v>NO HSCODE</v>
      </c>
    </row>
    <row r="217" spans="40:40" x14ac:dyDescent="0.25">
      <c r="AN217" s="4" t="str">
        <f>IFERROR(VLOOKUP(I217,Sheet1!$A$1:$D$246,4,FALSE),"NO HSCODE")</f>
        <v>NO HSCODE</v>
      </c>
    </row>
    <row r="218" spans="40:40" x14ac:dyDescent="0.25">
      <c r="AN218" s="4" t="str">
        <f>IFERROR(VLOOKUP(I218,Sheet1!$A$1:$D$246,4,FALSE),"NO HSCODE")</f>
        <v>NO HSCODE</v>
      </c>
    </row>
    <row r="219" spans="40:40" x14ac:dyDescent="0.25">
      <c r="AN219" s="4" t="str">
        <f>IFERROR(VLOOKUP(I219,Sheet1!$A$1:$D$246,4,FALSE),"NO HSCODE")</f>
        <v>NO HSCODE</v>
      </c>
    </row>
    <row r="220" spans="40:40" x14ac:dyDescent="0.25">
      <c r="AN220" s="4" t="str">
        <f>IFERROR(VLOOKUP(I220,Sheet1!$A$1:$D$246,4,FALSE),"NO HSCODE")</f>
        <v>NO HSCODE</v>
      </c>
    </row>
    <row r="221" spans="40:40" x14ac:dyDescent="0.25">
      <c r="AN221" s="4" t="str">
        <f>IFERROR(VLOOKUP(I221,Sheet1!$A$1:$D$246,4,FALSE),"NO HSCODE")</f>
        <v>NO HSCODE</v>
      </c>
    </row>
    <row r="222" spans="40:40" x14ac:dyDescent="0.25">
      <c r="AN222" s="4" t="str">
        <f>IFERROR(VLOOKUP(I222,Sheet1!$A$1:$D$246,4,FALSE),"NO HSCODE")</f>
        <v>NO HSCODE</v>
      </c>
    </row>
    <row r="223" spans="40:40" x14ac:dyDescent="0.25">
      <c r="AN223" s="4" t="str">
        <f>IFERROR(VLOOKUP(I223,Sheet1!$A$1:$D$246,4,FALSE),"NO HSCODE")</f>
        <v>NO HSCODE</v>
      </c>
    </row>
    <row r="224" spans="40:40" x14ac:dyDescent="0.25">
      <c r="AN224" s="4" t="str">
        <f>IFERROR(VLOOKUP(I224,Sheet1!$A$1:$D$246,4,FALSE),"NO HSCODE")</f>
        <v>NO HSCODE</v>
      </c>
    </row>
    <row r="225" spans="40:40" x14ac:dyDescent="0.25">
      <c r="AN225" s="4" t="str">
        <f>IFERROR(VLOOKUP(I225,Sheet1!$A$1:$D$246,4,FALSE),"NO HSCODE")</f>
        <v>NO HSCODE</v>
      </c>
    </row>
    <row r="226" spans="40:40" x14ac:dyDescent="0.25">
      <c r="AN226" s="4" t="str">
        <f>IFERROR(VLOOKUP(I226,Sheet1!$A$1:$D$246,4,FALSE),"NO HSCODE")</f>
        <v>NO HSCODE</v>
      </c>
    </row>
    <row r="227" spans="40:40" x14ac:dyDescent="0.25">
      <c r="AN227" s="4" t="str">
        <f>IFERROR(VLOOKUP(I227,Sheet1!$A$1:$D$246,4,FALSE),"NO HSCODE")</f>
        <v>NO HSCODE</v>
      </c>
    </row>
    <row r="228" spans="40:40" x14ac:dyDescent="0.25">
      <c r="AN228" s="4" t="str">
        <f>IFERROR(VLOOKUP(I228,Sheet1!$A$1:$D$246,4,FALSE),"NO HSCODE")</f>
        <v>NO HSCODE</v>
      </c>
    </row>
    <row r="229" spans="40:40" x14ac:dyDescent="0.25">
      <c r="AN229" s="4" t="str">
        <f>IFERROR(VLOOKUP(I229,Sheet1!$A$1:$D$246,4,FALSE),"NO HSCODE")</f>
        <v>NO HSCODE</v>
      </c>
    </row>
    <row r="230" spans="40:40" x14ac:dyDescent="0.25">
      <c r="AN230" s="4" t="str">
        <f>IFERROR(VLOOKUP(I230,Sheet1!$A$1:$D$246,4,FALSE),"NO HSCODE")</f>
        <v>NO HSCODE</v>
      </c>
    </row>
    <row r="231" spans="40:40" x14ac:dyDescent="0.25">
      <c r="AN231" s="4" t="str">
        <f>IFERROR(VLOOKUP(I231,Sheet1!$A$1:$D$246,4,FALSE),"NO HSCODE")</f>
        <v>NO HSCODE</v>
      </c>
    </row>
    <row r="232" spans="40:40" x14ac:dyDescent="0.25">
      <c r="AN232" s="4" t="str">
        <f>IFERROR(VLOOKUP(I232,Sheet1!$A$1:$D$246,4,FALSE),"NO HSCODE")</f>
        <v>NO HSCODE</v>
      </c>
    </row>
    <row r="233" spans="40:40" x14ac:dyDescent="0.25">
      <c r="AN233" s="4" t="str">
        <f>IFERROR(VLOOKUP(I233,Sheet1!$A$1:$D$246,4,FALSE),"NO HSCODE")</f>
        <v>NO HSCODE</v>
      </c>
    </row>
    <row r="234" spans="40:40" x14ac:dyDescent="0.25">
      <c r="AN234" s="4" t="str">
        <f>IFERROR(VLOOKUP(I234,Sheet1!$A$1:$D$246,4,FALSE),"NO HSCODE")</f>
        <v>NO HSCODE</v>
      </c>
    </row>
    <row r="235" spans="40:40" x14ac:dyDescent="0.25">
      <c r="AN235" s="4" t="str">
        <f>IFERROR(VLOOKUP(I235,Sheet1!$A$1:$D$246,4,FALSE),"NO HSCODE")</f>
        <v>NO HSCODE</v>
      </c>
    </row>
    <row r="236" spans="40:40" x14ac:dyDescent="0.25">
      <c r="AN236" s="4" t="str">
        <f>IFERROR(VLOOKUP(I236,Sheet1!$A$1:$D$246,4,FALSE),"NO HSCODE")</f>
        <v>NO HSCODE</v>
      </c>
    </row>
    <row r="237" spans="40:40" x14ac:dyDescent="0.25">
      <c r="AN237" s="4" t="str">
        <f>IFERROR(VLOOKUP(I237,Sheet1!$A$1:$D$246,4,FALSE),"NO HSCODE")</f>
        <v>NO HSCODE</v>
      </c>
    </row>
    <row r="238" spans="40:40" x14ac:dyDescent="0.25">
      <c r="AN238" s="4" t="str">
        <f>IFERROR(VLOOKUP(I238,Sheet1!$A$1:$D$246,4,FALSE),"NO HSCODE")</f>
        <v>NO HSCODE</v>
      </c>
    </row>
    <row r="239" spans="40:40" x14ac:dyDescent="0.25">
      <c r="AN239" s="4" t="str">
        <f>IFERROR(VLOOKUP(I239,Sheet1!$A$1:$D$246,4,FALSE),"NO HSCODE")</f>
        <v>NO HSCODE</v>
      </c>
    </row>
    <row r="240" spans="40:40" x14ac:dyDescent="0.25">
      <c r="AN240" s="4" t="str">
        <f>IFERROR(VLOOKUP(I240,Sheet1!$A$1:$D$246,4,FALSE),"NO HSCODE")</f>
        <v>NO HSCODE</v>
      </c>
    </row>
    <row r="241" spans="40:40" x14ac:dyDescent="0.25">
      <c r="AN241" s="4" t="str">
        <f>IFERROR(VLOOKUP(I241,Sheet1!$A$1:$D$246,4,FALSE),"NO HSCODE")</f>
        <v>NO HSCODE</v>
      </c>
    </row>
    <row r="242" spans="40:40" x14ac:dyDescent="0.25">
      <c r="AN242" s="4" t="str">
        <f>IFERROR(VLOOKUP(I242,Sheet1!$A$1:$D$246,4,FALSE),"NO HSCODE")</f>
        <v>NO HSCODE</v>
      </c>
    </row>
    <row r="243" spans="40:40" x14ac:dyDescent="0.25">
      <c r="AN243" s="4" t="str">
        <f>IFERROR(VLOOKUP(I243,Sheet1!$A$1:$D$246,4,FALSE),"NO HSCODE")</f>
        <v>NO HSCODE</v>
      </c>
    </row>
    <row r="244" spans="40:40" x14ac:dyDescent="0.25">
      <c r="AN244" s="4" t="str">
        <f>IFERROR(VLOOKUP(I244,Sheet1!$A$1:$D$246,4,FALSE),"NO HSCODE")</f>
        <v>NO HSCODE</v>
      </c>
    </row>
    <row r="245" spans="40:40" x14ac:dyDescent="0.25">
      <c r="AN245" s="4" t="str">
        <f>IFERROR(VLOOKUP(I245,Sheet1!$A$1:$D$246,4,FALSE),"NO HSCODE")</f>
        <v>NO HSCODE</v>
      </c>
    </row>
    <row r="246" spans="40:40" x14ac:dyDescent="0.25">
      <c r="AN246" s="4" t="str">
        <f>IFERROR(VLOOKUP(I246,Sheet1!$A$1:$D$246,4,FALSE),"NO HSCODE")</f>
        <v>NO HSCODE</v>
      </c>
    </row>
    <row r="247" spans="40:40" x14ac:dyDescent="0.25">
      <c r="AN247" s="4" t="str">
        <f>IFERROR(VLOOKUP(I247,Sheet1!$A$1:$D$246,4,FALSE),"NO HSCODE")</f>
        <v>NO HSCODE</v>
      </c>
    </row>
    <row r="248" spans="40:40" x14ac:dyDescent="0.25">
      <c r="AN248" s="4" t="str">
        <f>IFERROR(VLOOKUP(I248,Sheet1!$A$1:$D$246,4,FALSE),"NO HSCODE")</f>
        <v>NO HSCODE</v>
      </c>
    </row>
    <row r="249" spans="40:40" x14ac:dyDescent="0.25">
      <c r="AN249" s="4" t="str">
        <f>IFERROR(VLOOKUP(I249,Sheet1!$A$1:$D$246,4,FALSE),"NO HSCODE")</f>
        <v>NO HSCODE</v>
      </c>
    </row>
    <row r="250" spans="40:40" x14ac:dyDescent="0.25">
      <c r="AN250" s="4" t="str">
        <f>IFERROR(VLOOKUP(I250,Sheet1!$A$1:$D$246,4,FALSE),"NO HSCODE")</f>
        <v>NO HSCODE</v>
      </c>
    </row>
    <row r="251" spans="40:40" x14ac:dyDescent="0.25">
      <c r="AN251" s="4" t="str">
        <f>IFERROR(VLOOKUP(I251,Sheet1!$A$1:$D$246,4,FALSE),"NO HSCODE")</f>
        <v>NO HSCODE</v>
      </c>
    </row>
    <row r="252" spans="40:40" x14ac:dyDescent="0.25">
      <c r="AN252" s="4" t="str">
        <f>IFERROR(VLOOKUP(I252,Sheet1!$A$1:$D$246,4,FALSE),"NO HSCODE")</f>
        <v>NO HSCODE</v>
      </c>
    </row>
    <row r="253" spans="40:40" x14ac:dyDescent="0.25">
      <c r="AN253" s="4" t="str">
        <f>IFERROR(VLOOKUP(I253,Sheet1!$A$1:$D$246,4,FALSE),"NO HSCODE")</f>
        <v>NO HSCODE</v>
      </c>
    </row>
    <row r="254" spans="40:40" x14ac:dyDescent="0.25">
      <c r="AN254" s="4" t="str">
        <f>IFERROR(VLOOKUP(I254,Sheet1!$A$1:$D$246,4,FALSE),"NO HSCODE")</f>
        <v>NO HSCODE</v>
      </c>
    </row>
    <row r="255" spans="40:40" x14ac:dyDescent="0.25">
      <c r="AN255" s="4" t="str">
        <f>IFERROR(VLOOKUP(I255,Sheet1!$A$1:$D$246,4,FALSE),"NO HSCODE")</f>
        <v>NO HSCODE</v>
      </c>
    </row>
    <row r="256" spans="40:40" x14ac:dyDescent="0.25">
      <c r="AN256" s="4" t="str">
        <f>IFERROR(VLOOKUP(I256,Sheet1!$A$1:$D$246,4,FALSE),"NO HSCODE")</f>
        <v>NO HSCODE</v>
      </c>
    </row>
    <row r="257" spans="40:40" x14ac:dyDescent="0.25">
      <c r="AN257" s="4" t="str">
        <f>IFERROR(VLOOKUP(I257,Sheet1!$A$1:$D$246,4,FALSE),"NO HSCODE")</f>
        <v>NO HSCODE</v>
      </c>
    </row>
    <row r="258" spans="40:40" x14ac:dyDescent="0.25">
      <c r="AN258" s="4" t="str">
        <f>IFERROR(VLOOKUP(I258,Sheet1!$A$1:$D$246,4,FALSE),"NO HSCODE")</f>
        <v>NO HSCODE</v>
      </c>
    </row>
    <row r="259" spans="40:40" x14ac:dyDescent="0.25">
      <c r="AN259" s="4" t="str">
        <f>IFERROR(VLOOKUP(I259,Sheet1!$A$1:$D$246,4,FALSE),"NO HSCODE")</f>
        <v>NO HSCODE</v>
      </c>
    </row>
    <row r="260" spans="40:40" x14ac:dyDescent="0.25">
      <c r="AN260" s="4" t="str">
        <f>IFERROR(VLOOKUP(I260,Sheet1!$A$1:$D$246,4,FALSE),"NO HSCODE")</f>
        <v>NO HSCODE</v>
      </c>
    </row>
    <row r="261" spans="40:40" x14ac:dyDescent="0.25">
      <c r="AN261" s="4" t="str">
        <f>IFERROR(VLOOKUP(I261,Sheet1!$A$1:$D$246,4,FALSE),"NO HSCODE")</f>
        <v>NO HSCODE</v>
      </c>
    </row>
    <row r="262" spans="40:40" x14ac:dyDescent="0.25">
      <c r="AN262" s="4" t="str">
        <f>IFERROR(VLOOKUP(I262,Sheet1!$A$1:$D$246,4,FALSE),"NO HSCODE")</f>
        <v>NO HSCODE</v>
      </c>
    </row>
    <row r="263" spans="40:40" x14ac:dyDescent="0.25">
      <c r="AN263" s="4" t="str">
        <f>IFERROR(VLOOKUP(I263,Sheet1!$A$1:$D$246,4,FALSE),"NO HSCODE")</f>
        <v>NO HSCODE</v>
      </c>
    </row>
    <row r="264" spans="40:40" x14ac:dyDescent="0.25">
      <c r="AN264" s="4" t="str">
        <f>IFERROR(VLOOKUP(I264,Sheet1!$A$1:$D$246,4,FALSE),"NO HSCODE")</f>
        <v>NO HSCODE</v>
      </c>
    </row>
    <row r="265" spans="40:40" x14ac:dyDescent="0.25">
      <c r="AN265" s="4" t="str">
        <f>IFERROR(VLOOKUP(I265,Sheet1!$A$1:$D$246,4,FALSE),"NO HSCODE")</f>
        <v>NO HSCODE</v>
      </c>
    </row>
    <row r="266" spans="40:40" x14ac:dyDescent="0.25">
      <c r="AN266" s="4" t="str">
        <f>IFERROR(VLOOKUP(I266,Sheet1!$A$1:$D$246,4,FALSE),"NO HSCODE")</f>
        <v>NO HSCODE</v>
      </c>
    </row>
    <row r="267" spans="40:40" x14ac:dyDescent="0.25">
      <c r="AN267" s="4" t="str">
        <f>IFERROR(VLOOKUP(I267,Sheet1!$A$1:$D$246,4,FALSE),"NO HSCODE")</f>
        <v>NO HSCODE</v>
      </c>
    </row>
    <row r="268" spans="40:40" x14ac:dyDescent="0.25">
      <c r="AN268" s="4" t="str">
        <f>IFERROR(VLOOKUP(I268,Sheet1!$A$1:$D$246,4,FALSE),"NO HSCODE")</f>
        <v>NO HSCODE</v>
      </c>
    </row>
    <row r="269" spans="40:40" x14ac:dyDescent="0.25">
      <c r="AN269" s="4" t="str">
        <f>IFERROR(VLOOKUP(I269,Sheet1!$A$1:$D$246,4,FALSE),"NO HSCODE")</f>
        <v>NO HSCODE</v>
      </c>
    </row>
    <row r="270" spans="40:40" x14ac:dyDescent="0.25">
      <c r="AN270" s="4" t="str">
        <f>IFERROR(VLOOKUP(I270,Sheet1!$A$1:$D$246,4,FALSE),"NO HSCODE")</f>
        <v>NO HSCODE</v>
      </c>
    </row>
    <row r="271" spans="40:40" x14ac:dyDescent="0.25">
      <c r="AN271" s="4" t="str">
        <f>IFERROR(VLOOKUP(I271,Sheet1!$A$1:$D$246,4,FALSE),"NO HSCODE")</f>
        <v>NO HSCODE</v>
      </c>
    </row>
    <row r="272" spans="40:40" x14ac:dyDescent="0.25">
      <c r="AN272" s="4" t="str">
        <f>IFERROR(VLOOKUP(I272,Sheet1!$A$1:$D$246,4,FALSE),"NO HSCODE")</f>
        <v>NO HSCODE</v>
      </c>
    </row>
    <row r="273" spans="40:40" x14ac:dyDescent="0.25">
      <c r="AN273" s="4" t="str">
        <f>IFERROR(VLOOKUP(I273,Sheet1!$A$1:$D$246,4,FALSE),"NO HSCODE")</f>
        <v>NO HSCODE</v>
      </c>
    </row>
    <row r="274" spans="40:40" x14ac:dyDescent="0.25">
      <c r="AN274" s="4" t="str">
        <f>IFERROR(VLOOKUP(I274,Sheet1!$A$1:$D$246,4,FALSE),"NO HSCODE")</f>
        <v>NO HSCODE</v>
      </c>
    </row>
    <row r="275" spans="40:40" x14ac:dyDescent="0.25">
      <c r="AN275" s="4" t="str">
        <f>IFERROR(VLOOKUP(I275,Sheet1!$A$1:$D$246,4,FALSE),"NO HSCODE")</f>
        <v>NO HSCODE</v>
      </c>
    </row>
    <row r="276" spans="40:40" x14ac:dyDescent="0.25">
      <c r="AN276" s="4" t="str">
        <f>IFERROR(VLOOKUP(I276,Sheet1!$A$1:$D$246,4,FALSE),"NO HSCODE")</f>
        <v>NO HSCODE</v>
      </c>
    </row>
    <row r="277" spans="40:40" x14ac:dyDescent="0.25">
      <c r="AN277" s="4" t="str">
        <f>IFERROR(VLOOKUP(I277,Sheet1!$A$1:$D$246,4,FALSE),"NO HSCODE")</f>
        <v>NO HSCODE</v>
      </c>
    </row>
    <row r="278" spans="40:40" x14ac:dyDescent="0.25">
      <c r="AN278" s="4" t="str">
        <f>IFERROR(VLOOKUP(I278,Sheet1!$A$1:$D$246,4,FALSE),"NO HSCODE")</f>
        <v>NO HSCODE</v>
      </c>
    </row>
    <row r="279" spans="40:40" x14ac:dyDescent="0.25">
      <c r="AN279" s="4" t="str">
        <f>IFERROR(VLOOKUP(I279,Sheet1!$A$1:$D$246,4,FALSE),"NO HSCODE")</f>
        <v>NO HSCODE</v>
      </c>
    </row>
    <row r="280" spans="40:40" x14ac:dyDescent="0.25">
      <c r="AN280" s="4" t="str">
        <f>IFERROR(VLOOKUP(I280,Sheet1!$A$1:$D$246,4,FALSE),"NO HSCODE")</f>
        <v>NO HSCODE</v>
      </c>
    </row>
    <row r="281" spans="40:40" x14ac:dyDescent="0.25">
      <c r="AN281" s="4" t="str">
        <f>IFERROR(VLOOKUP(I281,Sheet1!$A$1:$D$246,4,FALSE),"NO HSCODE")</f>
        <v>NO HSCODE</v>
      </c>
    </row>
    <row r="282" spans="40:40" x14ac:dyDescent="0.25">
      <c r="AN282" s="4" t="str">
        <f>IFERROR(VLOOKUP(I282,Sheet1!$A$1:$D$246,4,FALSE),"NO HSCODE")</f>
        <v>NO HSCODE</v>
      </c>
    </row>
    <row r="283" spans="40:40" x14ac:dyDescent="0.25">
      <c r="AN283" s="4" t="str">
        <f>IFERROR(VLOOKUP(I283,Sheet1!$A$1:$D$246,4,FALSE),"NO HSCODE")</f>
        <v>NO HSCODE</v>
      </c>
    </row>
    <row r="284" spans="40:40" x14ac:dyDescent="0.25">
      <c r="AN284" s="4" t="str">
        <f>IFERROR(VLOOKUP(I284,Sheet1!$A$1:$D$246,4,FALSE),"NO HSCODE")</f>
        <v>NO HSCODE</v>
      </c>
    </row>
    <row r="285" spans="40:40" x14ac:dyDescent="0.25">
      <c r="AN285" s="4" t="str">
        <f>IFERROR(VLOOKUP(I285,Sheet1!$A$1:$D$246,4,FALSE),"NO HSCODE")</f>
        <v>NO HSCODE</v>
      </c>
    </row>
    <row r="286" spans="40:40" x14ac:dyDescent="0.25">
      <c r="AN286" s="4" t="str">
        <f>IFERROR(VLOOKUP(I286,Sheet1!$A$1:$D$246,4,FALSE),"NO HSCODE")</f>
        <v>NO HSCODE</v>
      </c>
    </row>
    <row r="287" spans="40:40" x14ac:dyDescent="0.25">
      <c r="AN287" s="4" t="str">
        <f>IFERROR(VLOOKUP(I287,Sheet1!$A$1:$D$246,4,FALSE),"NO HSCODE")</f>
        <v>NO HSCODE</v>
      </c>
    </row>
    <row r="288" spans="40:40" x14ac:dyDescent="0.25">
      <c r="AN288" s="4" t="str">
        <f>IFERROR(VLOOKUP(I288,Sheet1!$A$1:$D$246,4,FALSE),"NO HSCODE")</f>
        <v>NO HSCODE</v>
      </c>
    </row>
    <row r="289" spans="40:40" x14ac:dyDescent="0.25">
      <c r="AN289" s="4" t="str">
        <f>IFERROR(VLOOKUP(I289,Sheet1!$A$1:$D$246,4,FALSE),"NO HSCODE")</f>
        <v>NO HSCODE</v>
      </c>
    </row>
    <row r="290" spans="40:40" x14ac:dyDescent="0.25">
      <c r="AN290" s="4" t="str">
        <f>IFERROR(VLOOKUP(I290,Sheet1!$A$1:$D$246,4,FALSE),"NO HSCODE")</f>
        <v>NO HSCODE</v>
      </c>
    </row>
    <row r="291" spans="40:40" x14ac:dyDescent="0.25">
      <c r="AN291" s="4" t="str">
        <f>IFERROR(VLOOKUP(I291,Sheet1!$A$1:$D$246,4,FALSE),"NO HSCODE")</f>
        <v>NO HSCODE</v>
      </c>
    </row>
    <row r="292" spans="40:40" x14ac:dyDescent="0.25">
      <c r="AN292" s="4" t="str">
        <f>IFERROR(VLOOKUP(I292,Sheet1!$A$1:$D$246,4,FALSE),"NO HSCODE")</f>
        <v>NO HSCODE</v>
      </c>
    </row>
    <row r="293" spans="40:40" x14ac:dyDescent="0.25">
      <c r="AN293" s="4" t="str">
        <f>IFERROR(VLOOKUP(I293,Sheet1!$A$1:$D$246,4,FALSE),"NO HSCODE")</f>
        <v>NO HSCODE</v>
      </c>
    </row>
    <row r="294" spans="40:40" x14ac:dyDescent="0.25">
      <c r="AN294" s="4" t="str">
        <f>IFERROR(VLOOKUP(I294,Sheet1!$A$1:$D$246,4,FALSE),"NO HSCODE")</f>
        <v>NO HSCODE</v>
      </c>
    </row>
    <row r="295" spans="40:40" x14ac:dyDescent="0.25">
      <c r="AN295" s="4" t="str">
        <f>IFERROR(VLOOKUP(I295,Sheet1!$A$1:$D$246,4,FALSE),"NO HSCODE")</f>
        <v>NO HSCODE</v>
      </c>
    </row>
    <row r="296" spans="40:40" x14ac:dyDescent="0.25">
      <c r="AN296" s="4" t="str">
        <f>IFERROR(VLOOKUP(I296,Sheet1!$A$1:$D$246,4,FALSE),"NO HSCODE")</f>
        <v>NO HSCODE</v>
      </c>
    </row>
    <row r="297" spans="40:40" x14ac:dyDescent="0.25">
      <c r="AN297" s="4" t="str">
        <f>IFERROR(VLOOKUP(I297,Sheet1!$A$1:$D$246,4,FALSE),"NO HSCODE")</f>
        <v>NO HSCODE</v>
      </c>
    </row>
    <row r="298" spans="40:40" x14ac:dyDescent="0.25">
      <c r="AN298" s="4" t="str">
        <f>IFERROR(VLOOKUP(I298,Sheet1!$A$1:$D$246,4,FALSE),"NO HSCODE")</f>
        <v>NO HSCODE</v>
      </c>
    </row>
    <row r="299" spans="40:40" x14ac:dyDescent="0.25">
      <c r="AN299" s="4" t="str">
        <f>IFERROR(VLOOKUP(I299,Sheet1!$A$1:$D$246,4,FALSE),"NO HSCODE")</f>
        <v>NO HSCODE</v>
      </c>
    </row>
    <row r="300" spans="40:40" x14ac:dyDescent="0.25">
      <c r="AN300" s="4" t="str">
        <f>IFERROR(VLOOKUP(I300,Sheet1!$A$1:$D$246,4,FALSE),"NO HSCODE")</f>
        <v>NO HSCODE</v>
      </c>
    </row>
    <row r="301" spans="40:40" x14ac:dyDescent="0.25">
      <c r="AN301" s="4" t="str">
        <f>IFERROR(VLOOKUP(I301,Sheet1!$A$1:$D$246,4,FALSE),"NO HSCODE")</f>
        <v>NO HSCODE</v>
      </c>
    </row>
    <row r="302" spans="40:40" x14ac:dyDescent="0.25">
      <c r="AN302" s="4" t="str">
        <f>IFERROR(VLOOKUP(I302,Sheet1!$A$1:$D$246,4,FALSE),"NO HSCODE")</f>
        <v>NO HSCODE</v>
      </c>
    </row>
    <row r="303" spans="40:40" x14ac:dyDescent="0.25">
      <c r="AN303" s="4" t="str">
        <f>IFERROR(VLOOKUP(I303,Sheet1!$A$1:$D$246,4,FALSE),"NO HSCODE")</f>
        <v>NO HSCODE</v>
      </c>
    </row>
    <row r="304" spans="40:40" x14ac:dyDescent="0.25">
      <c r="AN304" s="4" t="str">
        <f>IFERROR(VLOOKUP(I304,Sheet1!$A$1:$D$246,4,FALSE),"NO HSCODE")</f>
        <v>NO HSCODE</v>
      </c>
    </row>
    <row r="305" spans="40:40" x14ac:dyDescent="0.25">
      <c r="AN305" s="4" t="str">
        <f>IFERROR(VLOOKUP(I305,Sheet1!$A$1:$D$246,4,FALSE),"NO HSCODE")</f>
        <v>NO HSCODE</v>
      </c>
    </row>
    <row r="306" spans="40:40" x14ac:dyDescent="0.25">
      <c r="AN306" s="4" t="str">
        <f>IFERROR(VLOOKUP(I306,Sheet1!$A$1:$D$246,4,FALSE),"NO HSCODE")</f>
        <v>NO HSCODE</v>
      </c>
    </row>
    <row r="307" spans="40:40" x14ac:dyDescent="0.25">
      <c r="AN307" s="4" t="str">
        <f>IFERROR(VLOOKUP(I307,Sheet1!$A$1:$D$246,4,FALSE),"NO HSCODE")</f>
        <v>NO HSCODE</v>
      </c>
    </row>
    <row r="308" spans="40:40" x14ac:dyDescent="0.25">
      <c r="AN308" s="4" t="str">
        <f>IFERROR(VLOOKUP(I308,Sheet1!$A$1:$D$246,4,FALSE),"NO HSCODE")</f>
        <v>NO HSCODE</v>
      </c>
    </row>
    <row r="309" spans="40:40" x14ac:dyDescent="0.25">
      <c r="AN309" s="4" t="str">
        <f>IFERROR(VLOOKUP(I309,Sheet1!$A$1:$D$246,4,FALSE),"NO HSCODE")</f>
        <v>NO HSCODE</v>
      </c>
    </row>
    <row r="310" spans="40:40" x14ac:dyDescent="0.25">
      <c r="AN310" s="4" t="str">
        <f>IFERROR(VLOOKUP(I310,Sheet1!$A$1:$D$246,4,FALSE),"NO HSCODE")</f>
        <v>NO HSCODE</v>
      </c>
    </row>
    <row r="311" spans="40:40" x14ac:dyDescent="0.25">
      <c r="AN311" s="4" t="str">
        <f>IFERROR(VLOOKUP(I311,Sheet1!$A$1:$D$246,4,FALSE),"NO HSCODE")</f>
        <v>NO HSCODE</v>
      </c>
    </row>
    <row r="312" spans="40:40" x14ac:dyDescent="0.25">
      <c r="AN312" s="4" t="str">
        <f>IFERROR(VLOOKUP(I312,Sheet1!$A$1:$D$246,4,FALSE),"NO HSCODE")</f>
        <v>NO HSCODE</v>
      </c>
    </row>
    <row r="313" spans="40:40" x14ac:dyDescent="0.25">
      <c r="AN313" s="4" t="str">
        <f>IFERROR(VLOOKUP(I313,Sheet1!$A$1:$D$246,4,FALSE),"NO HSCODE")</f>
        <v>NO HSCODE</v>
      </c>
    </row>
    <row r="314" spans="40:40" x14ac:dyDescent="0.25">
      <c r="AN314" s="4" t="str">
        <f>IFERROR(VLOOKUP(I314,Sheet1!$A$1:$D$246,4,FALSE),"NO HSCODE")</f>
        <v>NO HSCODE</v>
      </c>
    </row>
    <row r="315" spans="40:40" x14ac:dyDescent="0.25">
      <c r="AN315" s="4" t="str">
        <f>IFERROR(VLOOKUP(I315,Sheet1!$A$1:$D$246,4,FALSE),"NO HSCODE")</f>
        <v>NO HSCODE</v>
      </c>
    </row>
    <row r="316" spans="40:40" x14ac:dyDescent="0.25">
      <c r="AN316" s="4" t="str">
        <f>IFERROR(VLOOKUP(I316,Sheet1!$A$1:$D$246,4,FALSE),"NO HSCODE")</f>
        <v>NO HSCODE</v>
      </c>
    </row>
    <row r="317" spans="40:40" x14ac:dyDescent="0.25">
      <c r="AN317" s="4" t="str">
        <f>IFERROR(VLOOKUP(I317,Sheet1!$A$1:$D$246,4,FALSE),"NO HSCODE")</f>
        <v>NO HSCODE</v>
      </c>
    </row>
    <row r="318" spans="40:40" x14ac:dyDescent="0.25">
      <c r="AN318" s="4" t="str">
        <f>IFERROR(VLOOKUP(I318,Sheet1!$A$1:$D$246,4,FALSE),"NO HSCODE")</f>
        <v>NO HSCODE</v>
      </c>
    </row>
    <row r="319" spans="40:40" x14ac:dyDescent="0.25">
      <c r="AN319" s="4" t="str">
        <f>IFERROR(VLOOKUP(I319,Sheet1!$A$1:$D$246,4,FALSE),"NO HSCODE")</f>
        <v>NO HSCODE</v>
      </c>
    </row>
    <row r="320" spans="40:40" x14ac:dyDescent="0.25">
      <c r="AN320" s="4" t="str">
        <f>IFERROR(VLOOKUP(I320,Sheet1!$A$1:$D$246,4,FALSE),"NO HSCODE")</f>
        <v>NO HSCODE</v>
      </c>
    </row>
    <row r="321" spans="40:40" x14ac:dyDescent="0.25">
      <c r="AN321" s="4" t="str">
        <f>IFERROR(VLOOKUP(I321,Sheet1!$A$1:$D$246,4,FALSE),"NO HSCODE")</f>
        <v>NO HSCODE</v>
      </c>
    </row>
    <row r="322" spans="40:40" x14ac:dyDescent="0.25">
      <c r="AN322" s="4" t="str">
        <f>IFERROR(VLOOKUP(I322,Sheet1!$A$1:$D$246,4,FALSE),"NO HSCODE")</f>
        <v>NO HSCODE</v>
      </c>
    </row>
    <row r="323" spans="40:40" x14ac:dyDescent="0.25">
      <c r="AN323" s="4" t="str">
        <f>IFERROR(VLOOKUP(I323,Sheet1!$A$1:$D$246,4,FALSE),"NO HSCODE")</f>
        <v>NO HSCODE</v>
      </c>
    </row>
    <row r="324" spans="40:40" x14ac:dyDescent="0.25">
      <c r="AN324" s="4" t="str">
        <f>IFERROR(VLOOKUP(I324,Sheet1!$A$1:$D$246,4,FALSE),"NO HSCODE")</f>
        <v>NO HSCODE</v>
      </c>
    </row>
    <row r="325" spans="40:40" x14ac:dyDescent="0.25">
      <c r="AN325" s="4" t="str">
        <f>IFERROR(VLOOKUP(I325,Sheet1!$A$1:$D$246,4,FALSE),"NO HSCODE")</f>
        <v>NO HSCODE</v>
      </c>
    </row>
    <row r="326" spans="40:40" x14ac:dyDescent="0.25">
      <c r="AN326" s="4" t="str">
        <f>IFERROR(VLOOKUP(I326,Sheet1!$A$1:$D$246,4,FALSE),"NO HSCODE")</f>
        <v>NO HSCODE</v>
      </c>
    </row>
    <row r="327" spans="40:40" x14ac:dyDescent="0.25">
      <c r="AN327" s="4" t="str">
        <f>IFERROR(VLOOKUP(I327,Sheet1!$A$1:$D$246,4,FALSE),"NO HSCODE")</f>
        <v>NO HSCODE</v>
      </c>
    </row>
    <row r="328" spans="40:40" x14ac:dyDescent="0.25">
      <c r="AN328" s="4" t="str">
        <f>IFERROR(VLOOKUP(I328,Sheet1!$A$1:$D$246,4,FALSE),"NO HSCODE")</f>
        <v>NO HSCODE</v>
      </c>
    </row>
    <row r="329" spans="40:40" x14ac:dyDescent="0.25">
      <c r="AN329" s="4" t="str">
        <f>IFERROR(VLOOKUP(I329,Sheet1!$A$1:$D$246,4,FALSE),"NO HSCODE")</f>
        <v>NO HSCODE</v>
      </c>
    </row>
    <row r="330" spans="40:40" x14ac:dyDescent="0.25">
      <c r="AN330" s="4" t="str">
        <f>IFERROR(VLOOKUP(I330,Sheet1!$A$1:$D$246,4,FALSE),"NO HSCODE")</f>
        <v>NO HSCODE</v>
      </c>
    </row>
    <row r="331" spans="40:40" x14ac:dyDescent="0.25">
      <c r="AN331" s="4" t="str">
        <f>IFERROR(VLOOKUP(I331,Sheet1!$A$1:$D$246,4,FALSE),"NO HSCODE")</f>
        <v>NO HSCODE</v>
      </c>
    </row>
    <row r="332" spans="40:40" x14ac:dyDescent="0.25">
      <c r="AN332" s="4" t="str">
        <f>IFERROR(VLOOKUP(I332,Sheet1!$A$1:$D$246,4,FALSE),"NO HSCODE")</f>
        <v>NO HSCODE</v>
      </c>
    </row>
    <row r="333" spans="40:40" x14ac:dyDescent="0.25">
      <c r="AN333" s="4" t="str">
        <f>IFERROR(VLOOKUP(I333,Sheet1!$A$1:$D$246,4,FALSE),"NO HSCODE")</f>
        <v>NO HSCODE</v>
      </c>
    </row>
    <row r="334" spans="40:40" x14ac:dyDescent="0.25">
      <c r="AN334" s="4" t="str">
        <f>IFERROR(VLOOKUP(I334,Sheet1!$A$1:$D$246,4,FALSE),"NO HSCODE")</f>
        <v>NO HSCODE</v>
      </c>
    </row>
    <row r="335" spans="40:40" x14ac:dyDescent="0.25">
      <c r="AN335" s="4" t="str">
        <f>IFERROR(VLOOKUP(I335,Sheet1!$A$1:$D$246,4,FALSE),"NO HSCODE")</f>
        <v>NO HSCODE</v>
      </c>
    </row>
    <row r="336" spans="40:40" x14ac:dyDescent="0.25">
      <c r="AN336" s="4" t="str">
        <f>IFERROR(VLOOKUP(I336,Sheet1!$A$1:$D$246,4,FALSE),"NO HSCODE")</f>
        <v>NO HSCODE</v>
      </c>
    </row>
    <row r="337" spans="40:40" x14ac:dyDescent="0.25">
      <c r="AN337" s="4" t="str">
        <f>IFERROR(VLOOKUP(I337,Sheet1!$A$1:$D$246,4,FALSE),"NO HSCODE")</f>
        <v>NO HSCODE</v>
      </c>
    </row>
    <row r="338" spans="40:40" x14ac:dyDescent="0.25">
      <c r="AN338" s="4" t="str">
        <f>IFERROR(VLOOKUP(I338,Sheet1!$A$1:$D$246,4,FALSE),"NO HSCODE")</f>
        <v>NO HSCODE</v>
      </c>
    </row>
    <row r="339" spans="40:40" x14ac:dyDescent="0.25">
      <c r="AN339" s="4" t="str">
        <f>IFERROR(VLOOKUP(I339,Sheet1!$A$1:$D$246,4,FALSE),"NO HSCODE")</f>
        <v>NO HSCODE</v>
      </c>
    </row>
    <row r="340" spans="40:40" x14ac:dyDescent="0.25">
      <c r="AN340" s="4" t="str">
        <f>IFERROR(VLOOKUP(I340,Sheet1!$A$1:$D$246,4,FALSE),"NO HSCODE")</f>
        <v>NO HSCODE</v>
      </c>
    </row>
    <row r="341" spans="40:40" x14ac:dyDescent="0.25">
      <c r="AN341" s="4" t="str">
        <f>IFERROR(VLOOKUP(I341,Sheet1!$A$1:$D$246,4,FALSE),"NO HSCODE")</f>
        <v>NO HSCODE</v>
      </c>
    </row>
    <row r="342" spans="40:40" x14ac:dyDescent="0.25">
      <c r="AN342" s="4" t="str">
        <f>IFERROR(VLOOKUP(I342,Sheet1!$A$1:$D$246,4,FALSE),"NO HSCODE")</f>
        <v>NO HSCODE</v>
      </c>
    </row>
    <row r="343" spans="40:40" x14ac:dyDescent="0.25">
      <c r="AN343" s="4" t="str">
        <f>IFERROR(VLOOKUP(I343,Sheet1!$A$1:$D$246,4,FALSE),"NO HSCODE")</f>
        <v>NO HSCODE</v>
      </c>
    </row>
    <row r="344" spans="40:40" x14ac:dyDescent="0.25">
      <c r="AN344" s="4" t="str">
        <f>IFERROR(VLOOKUP(I344,Sheet1!$A$1:$D$246,4,FALSE),"NO HSCODE")</f>
        <v>NO HSCODE</v>
      </c>
    </row>
    <row r="345" spans="40:40" x14ac:dyDescent="0.25">
      <c r="AN345" s="4" t="str">
        <f>IFERROR(VLOOKUP(I345,Sheet1!$A$1:$D$246,4,FALSE),"NO HSCODE")</f>
        <v>NO HSCODE</v>
      </c>
    </row>
    <row r="346" spans="40:40" x14ac:dyDescent="0.25">
      <c r="AN346" s="4" t="str">
        <f>IFERROR(VLOOKUP(I346,Sheet1!$A$1:$D$246,4,FALSE),"NO HSCODE")</f>
        <v>NO HSCODE</v>
      </c>
    </row>
    <row r="347" spans="40:40" x14ac:dyDescent="0.25">
      <c r="AN347" s="4" t="str">
        <f>IFERROR(VLOOKUP(I347,Sheet1!$A$1:$D$246,4,FALSE),"NO HSCODE")</f>
        <v>NO HSCODE</v>
      </c>
    </row>
    <row r="348" spans="40:40" x14ac:dyDescent="0.25">
      <c r="AN348" s="4" t="str">
        <f>IFERROR(VLOOKUP(I348,Sheet1!$A$1:$D$246,4,FALSE),"NO HSCODE")</f>
        <v>NO HSCODE</v>
      </c>
    </row>
    <row r="349" spans="40:40" x14ac:dyDescent="0.25">
      <c r="AN349" s="4" t="str">
        <f>IFERROR(VLOOKUP(I349,Sheet1!$A$1:$D$246,4,FALSE),"NO HSCODE")</f>
        <v>NO HSCODE</v>
      </c>
    </row>
    <row r="350" spans="40:40" x14ac:dyDescent="0.25">
      <c r="AN350" s="4" t="str">
        <f>IFERROR(VLOOKUP(I350,Sheet1!$A$1:$D$246,4,FALSE),"NO HSCODE")</f>
        <v>NO HSCODE</v>
      </c>
    </row>
    <row r="351" spans="40:40" x14ac:dyDescent="0.25">
      <c r="AN351" s="4" t="str">
        <f>IFERROR(VLOOKUP(I351,Sheet1!$A$1:$D$246,4,FALSE),"NO HSCODE")</f>
        <v>NO HSCODE</v>
      </c>
    </row>
    <row r="352" spans="40:40" x14ac:dyDescent="0.25">
      <c r="AN352" s="4" t="str">
        <f>IFERROR(VLOOKUP(I352,Sheet1!$A$1:$D$246,4,FALSE),"NO HSCODE")</f>
        <v>NO HSCODE</v>
      </c>
    </row>
    <row r="353" spans="40:40" x14ac:dyDescent="0.25">
      <c r="AN353" s="4" t="str">
        <f>IFERROR(VLOOKUP(I353,Sheet1!$A$1:$D$246,4,FALSE),"NO HSCODE")</f>
        <v>NO HSCODE</v>
      </c>
    </row>
    <row r="354" spans="40:40" x14ac:dyDescent="0.25">
      <c r="AN354" s="4" t="str">
        <f>IFERROR(VLOOKUP(I354,Sheet1!$A$1:$D$246,4,FALSE),"NO HSCODE")</f>
        <v>NO HSCODE</v>
      </c>
    </row>
    <row r="355" spans="40:40" x14ac:dyDescent="0.25">
      <c r="AN355" s="4" t="str">
        <f>IFERROR(VLOOKUP(I355,Sheet1!$A$1:$D$246,4,FALSE),"NO HSCODE")</f>
        <v>NO HSCODE</v>
      </c>
    </row>
    <row r="356" spans="40:40" x14ac:dyDescent="0.25">
      <c r="AN356" s="4" t="str">
        <f>IFERROR(VLOOKUP(I356,Sheet1!$A$1:$D$246,4,FALSE),"NO HSCODE")</f>
        <v>NO HSCODE</v>
      </c>
    </row>
    <row r="357" spans="40:40" x14ac:dyDescent="0.25">
      <c r="AN357" s="4" t="str">
        <f>IFERROR(VLOOKUP(I357,Sheet1!$A$1:$D$246,4,FALSE),"NO HSCODE")</f>
        <v>NO HSCODE</v>
      </c>
    </row>
    <row r="358" spans="40:40" x14ac:dyDescent="0.25">
      <c r="AN358" s="4" t="str">
        <f>IFERROR(VLOOKUP(I358,Sheet1!$A$1:$D$246,4,FALSE),"NO HSCODE")</f>
        <v>NO HSCODE</v>
      </c>
    </row>
    <row r="359" spans="40:40" x14ac:dyDescent="0.25">
      <c r="AN359" s="4" t="str">
        <f>IFERROR(VLOOKUP(I359,Sheet1!$A$1:$D$246,4,FALSE),"NO HSCODE")</f>
        <v>NO HSCODE</v>
      </c>
    </row>
    <row r="360" spans="40:40" x14ac:dyDescent="0.25">
      <c r="AN360" s="4" t="str">
        <f>IFERROR(VLOOKUP(I360,Sheet1!$A$1:$D$246,4,FALSE),"NO HSCODE")</f>
        <v>NO HSCODE</v>
      </c>
    </row>
    <row r="361" spans="40:40" x14ac:dyDescent="0.25">
      <c r="AN361" s="4" t="str">
        <f>IFERROR(VLOOKUP(I361,Sheet1!$A$1:$D$246,4,FALSE),"NO HSCODE")</f>
        <v>NO HSCODE</v>
      </c>
    </row>
    <row r="362" spans="40:40" x14ac:dyDescent="0.25">
      <c r="AN362" s="4" t="str">
        <f>IFERROR(VLOOKUP(I362,Sheet1!$A$1:$D$246,4,FALSE),"NO HSCODE")</f>
        <v>NO HSCODE</v>
      </c>
    </row>
    <row r="363" spans="40:40" x14ac:dyDescent="0.25">
      <c r="AN363" s="4" t="str">
        <f>IFERROR(VLOOKUP(I363,Sheet1!$A$1:$D$246,4,FALSE),"NO HSCODE")</f>
        <v>NO HSCODE</v>
      </c>
    </row>
    <row r="364" spans="40:40" x14ac:dyDescent="0.25">
      <c r="AN364" s="4" t="str">
        <f>IFERROR(VLOOKUP(I364,Sheet1!$A$1:$D$246,4,FALSE),"NO HSCODE")</f>
        <v>NO HSCODE</v>
      </c>
    </row>
    <row r="365" spans="40:40" x14ac:dyDescent="0.25">
      <c r="AN365" s="4" t="str">
        <f>IFERROR(VLOOKUP(I365,Sheet1!$A$1:$D$246,4,FALSE),"NO HSCODE")</f>
        <v>NO HSCODE</v>
      </c>
    </row>
    <row r="366" spans="40:40" x14ac:dyDescent="0.25">
      <c r="AN366" s="4" t="str">
        <f>IFERROR(VLOOKUP(I366,Sheet1!$A$1:$D$246,4,FALSE),"NO HSCODE")</f>
        <v>NO HSCODE</v>
      </c>
    </row>
    <row r="367" spans="40:40" x14ac:dyDescent="0.25">
      <c r="AN367" s="4" t="str">
        <f>IFERROR(VLOOKUP(I367,Sheet1!$A$1:$D$246,4,FALSE),"NO HSCODE")</f>
        <v>NO HSCODE</v>
      </c>
    </row>
    <row r="368" spans="40:40" x14ac:dyDescent="0.25">
      <c r="AN368" s="4" t="str">
        <f>IFERROR(VLOOKUP(I368,Sheet1!$A$1:$D$246,4,FALSE),"NO HSCODE")</f>
        <v>NO HSCODE</v>
      </c>
    </row>
    <row r="369" spans="40:40" x14ac:dyDescent="0.25">
      <c r="AN369" s="4" t="str">
        <f>IFERROR(VLOOKUP(I369,Sheet1!$A$1:$D$246,4,FALSE),"NO HSCODE")</f>
        <v>NO HSCODE</v>
      </c>
    </row>
    <row r="370" spans="40:40" x14ac:dyDescent="0.25">
      <c r="AN370" s="4" t="str">
        <f>IFERROR(VLOOKUP(I370,Sheet1!$A$1:$D$246,4,FALSE),"NO HSCODE")</f>
        <v>NO HSCODE</v>
      </c>
    </row>
    <row r="371" spans="40:40" x14ac:dyDescent="0.25">
      <c r="AN371" s="4" t="str">
        <f>IFERROR(VLOOKUP(I371,Sheet1!$A$1:$D$246,4,FALSE),"NO HSCODE")</f>
        <v>NO HSCODE</v>
      </c>
    </row>
    <row r="372" spans="40:40" x14ac:dyDescent="0.25">
      <c r="AN372" s="4" t="str">
        <f>IFERROR(VLOOKUP(I372,Sheet1!$A$1:$D$246,4,FALSE),"NO HSCODE")</f>
        <v>NO HSCODE</v>
      </c>
    </row>
    <row r="373" spans="40:40" x14ac:dyDescent="0.25">
      <c r="AN373" s="4" t="str">
        <f>IFERROR(VLOOKUP(I373,Sheet1!$A$1:$D$246,4,FALSE),"NO HSCODE")</f>
        <v>NO HSCODE</v>
      </c>
    </row>
    <row r="374" spans="40:40" x14ac:dyDescent="0.25">
      <c r="AN374" s="4" t="str">
        <f>IFERROR(VLOOKUP(I374,Sheet1!$A$1:$D$246,4,FALSE),"NO HSCODE")</f>
        <v>NO HSCODE</v>
      </c>
    </row>
    <row r="375" spans="40:40" x14ac:dyDescent="0.25">
      <c r="AN375" s="4" t="str">
        <f>IFERROR(VLOOKUP(I375,Sheet1!$A$1:$D$246,4,FALSE),"NO HSCODE")</f>
        <v>NO HSCODE</v>
      </c>
    </row>
    <row r="376" spans="40:40" x14ac:dyDescent="0.25">
      <c r="AN376" s="4" t="str">
        <f>IFERROR(VLOOKUP(I376,Sheet1!$A$1:$D$246,4,FALSE),"NO HSCODE")</f>
        <v>NO HSCODE</v>
      </c>
    </row>
    <row r="377" spans="40:40" x14ac:dyDescent="0.25">
      <c r="AN377" s="4" t="str">
        <f>IFERROR(VLOOKUP(I377,Sheet1!$A$1:$D$246,4,FALSE),"NO HSCODE")</f>
        <v>NO HSCODE</v>
      </c>
    </row>
    <row r="378" spans="40:40" x14ac:dyDescent="0.25">
      <c r="AN378" s="4" t="str">
        <f>IFERROR(VLOOKUP(I378,Sheet1!$A$1:$D$246,4,FALSE),"NO HSCODE")</f>
        <v>NO HSCODE</v>
      </c>
    </row>
    <row r="379" spans="40:40" x14ac:dyDescent="0.25">
      <c r="AN379" s="4" t="str">
        <f>IFERROR(VLOOKUP(I379,Sheet1!$A$1:$D$246,4,FALSE),"NO HSCODE")</f>
        <v>NO HSCODE</v>
      </c>
    </row>
    <row r="380" spans="40:40" x14ac:dyDescent="0.25">
      <c r="AN380" s="4" t="str">
        <f>IFERROR(VLOOKUP(I380,Sheet1!$A$1:$D$246,4,FALSE),"NO HSCODE")</f>
        <v>NO HSCODE</v>
      </c>
    </row>
    <row r="381" spans="40:40" x14ac:dyDescent="0.25">
      <c r="AN381" s="4" t="str">
        <f>IFERROR(VLOOKUP(I381,Sheet1!$A$1:$D$246,4,FALSE),"NO HSCODE")</f>
        <v>NO HSCODE</v>
      </c>
    </row>
    <row r="382" spans="40:40" x14ac:dyDescent="0.25">
      <c r="AN382" s="4" t="str">
        <f>IFERROR(VLOOKUP(I382,Sheet1!$A$1:$D$246,4,FALSE),"NO HSCODE")</f>
        <v>NO HSCODE</v>
      </c>
    </row>
    <row r="383" spans="40:40" x14ac:dyDescent="0.25">
      <c r="AN383" s="4" t="str">
        <f>IFERROR(VLOOKUP(I383,Sheet1!$A$1:$D$246,4,FALSE),"NO HSCODE")</f>
        <v>NO HSCODE</v>
      </c>
    </row>
    <row r="384" spans="40:40" x14ac:dyDescent="0.25">
      <c r="AN384" s="4" t="str">
        <f>IFERROR(VLOOKUP(I384,Sheet1!$A$1:$D$246,4,FALSE),"NO HSCODE")</f>
        <v>NO HSCODE</v>
      </c>
    </row>
    <row r="385" spans="40:40" x14ac:dyDescent="0.25">
      <c r="AN385" s="4" t="str">
        <f>IFERROR(VLOOKUP(I385,Sheet1!$A$1:$D$246,4,FALSE),"NO HSCODE")</f>
        <v>NO HSCODE</v>
      </c>
    </row>
    <row r="386" spans="40:40" x14ac:dyDescent="0.25">
      <c r="AN386" s="4" t="str">
        <f>IFERROR(VLOOKUP(I386,Sheet1!$A$1:$D$246,4,FALSE),"NO HSCODE")</f>
        <v>NO HSCODE</v>
      </c>
    </row>
    <row r="387" spans="40:40" x14ac:dyDescent="0.25">
      <c r="AN387" s="4" t="str">
        <f>IFERROR(VLOOKUP(I387,Sheet1!$A$1:$D$246,4,FALSE),"NO HSCODE")</f>
        <v>NO HSCODE</v>
      </c>
    </row>
    <row r="388" spans="40:40" x14ac:dyDescent="0.25">
      <c r="AN388" s="4" t="str">
        <f>IFERROR(VLOOKUP(I388,Sheet1!$A$1:$D$246,4,FALSE),"NO HSCODE")</f>
        <v>NO HSCODE</v>
      </c>
    </row>
    <row r="389" spans="40:40" x14ac:dyDescent="0.25">
      <c r="AN389" s="4" t="str">
        <f>IFERROR(VLOOKUP(I389,Sheet1!$A$1:$D$246,4,FALSE),"NO HSCODE")</f>
        <v>NO HSCODE</v>
      </c>
    </row>
    <row r="390" spans="40:40" x14ac:dyDescent="0.25">
      <c r="AN390" s="4" t="str">
        <f>IFERROR(VLOOKUP(I390,Sheet1!$A$1:$D$246,4,FALSE),"NO HSCODE")</f>
        <v>NO HSCODE</v>
      </c>
    </row>
    <row r="391" spans="40:40" x14ac:dyDescent="0.25">
      <c r="AN391" s="4" t="str">
        <f>IFERROR(VLOOKUP(I391,Sheet1!$A$1:$D$246,4,FALSE),"NO HSCODE")</f>
        <v>NO HSCODE</v>
      </c>
    </row>
    <row r="392" spans="40:40" x14ac:dyDescent="0.25">
      <c r="AN392" s="4" t="str">
        <f>IFERROR(VLOOKUP(I392,Sheet1!$A$1:$D$246,4,FALSE),"NO HSCODE")</f>
        <v>NO HSCODE</v>
      </c>
    </row>
    <row r="393" spans="40:40" x14ac:dyDescent="0.25">
      <c r="AN393" s="4" t="str">
        <f>IFERROR(VLOOKUP(I393,Sheet1!$A$1:$D$246,4,FALSE),"NO HSCODE")</f>
        <v>NO HSCODE</v>
      </c>
    </row>
    <row r="394" spans="40:40" x14ac:dyDescent="0.25">
      <c r="AN394" s="4" t="str">
        <f>IFERROR(VLOOKUP(I394,Sheet1!$A$1:$D$246,4,FALSE),"NO HSCODE")</f>
        <v>NO HSCODE</v>
      </c>
    </row>
    <row r="395" spans="40:40" x14ac:dyDescent="0.25">
      <c r="AN395" s="4" t="str">
        <f>IFERROR(VLOOKUP(I395,Sheet1!$A$1:$D$246,4,FALSE),"NO HSCODE")</f>
        <v>NO HSCODE</v>
      </c>
    </row>
    <row r="396" spans="40:40" x14ac:dyDescent="0.25">
      <c r="AN396" s="4" t="str">
        <f>IFERROR(VLOOKUP(I396,Sheet1!$A$1:$D$246,4,FALSE),"NO HSCODE")</f>
        <v>NO HSCODE</v>
      </c>
    </row>
    <row r="397" spans="40:40" x14ac:dyDescent="0.25">
      <c r="AN397" s="4" t="str">
        <f>IFERROR(VLOOKUP(I397,Sheet1!$A$1:$D$246,4,FALSE),"NO HSCODE")</f>
        <v>NO HSCODE</v>
      </c>
    </row>
    <row r="398" spans="40:40" x14ac:dyDescent="0.25">
      <c r="AN398" s="4" t="str">
        <f>IFERROR(VLOOKUP(I398,Sheet1!$A$1:$D$246,4,FALSE),"NO HSCODE")</f>
        <v>NO HSCODE</v>
      </c>
    </row>
    <row r="399" spans="40:40" x14ac:dyDescent="0.25">
      <c r="AN399" s="4" t="str">
        <f>IFERROR(VLOOKUP(I399,Sheet1!$A$1:$D$246,4,FALSE),"NO HSCODE")</f>
        <v>NO HSCODE</v>
      </c>
    </row>
    <row r="400" spans="40:40" x14ac:dyDescent="0.25">
      <c r="AN400" s="4" t="str">
        <f>IFERROR(VLOOKUP(I400,Sheet1!$A$1:$D$246,4,FALSE),"NO HSCODE")</f>
        <v>NO HSCODE</v>
      </c>
    </row>
    <row r="401" spans="40:40" x14ac:dyDescent="0.25">
      <c r="AN401" s="4" t="str">
        <f>IFERROR(VLOOKUP(I401,Sheet1!$A$1:$D$246,4,FALSE),"NO HSCODE")</f>
        <v>NO HSCODE</v>
      </c>
    </row>
    <row r="402" spans="40:40" x14ac:dyDescent="0.25">
      <c r="AN402" s="4" t="str">
        <f>IFERROR(VLOOKUP(I402,Sheet1!$A$1:$D$246,4,FALSE),"NO HSCODE")</f>
        <v>NO HSCODE</v>
      </c>
    </row>
    <row r="403" spans="40:40" x14ac:dyDescent="0.25">
      <c r="AN403" s="4" t="str">
        <f>IFERROR(VLOOKUP(I403,Sheet1!$A$1:$D$246,4,FALSE),"NO HSCODE")</f>
        <v>NO HSCODE</v>
      </c>
    </row>
    <row r="404" spans="40:40" x14ac:dyDescent="0.25">
      <c r="AN404" s="4" t="str">
        <f>IFERROR(VLOOKUP(I404,Sheet1!$A$1:$D$246,4,FALSE),"NO HSCODE")</f>
        <v>NO HSCODE</v>
      </c>
    </row>
    <row r="405" spans="40:40" x14ac:dyDescent="0.25">
      <c r="AN405" s="4" t="str">
        <f>IFERROR(VLOOKUP(I405,Sheet1!$A$1:$D$246,4,FALSE),"NO HSCODE")</f>
        <v>NO HSCODE</v>
      </c>
    </row>
    <row r="406" spans="40:40" x14ac:dyDescent="0.25">
      <c r="AN406" s="4" t="str">
        <f>IFERROR(VLOOKUP(I406,Sheet1!$A$1:$D$246,4,FALSE),"NO HSCODE")</f>
        <v>NO HSCODE</v>
      </c>
    </row>
    <row r="407" spans="40:40" x14ac:dyDescent="0.25">
      <c r="AN407" s="4" t="str">
        <f>IFERROR(VLOOKUP(I407,Sheet1!$A$1:$D$246,4,FALSE),"NO HSCODE")</f>
        <v>NO HSCODE</v>
      </c>
    </row>
    <row r="408" spans="40:40" x14ac:dyDescent="0.25">
      <c r="AN408" s="4" t="str">
        <f>IFERROR(VLOOKUP(I408,Sheet1!$A$1:$D$246,4,FALSE),"NO HSCODE")</f>
        <v>NO HSCODE</v>
      </c>
    </row>
    <row r="409" spans="40:40" x14ac:dyDescent="0.25">
      <c r="AN409" s="4" t="str">
        <f>IFERROR(VLOOKUP(I409,Sheet1!$A$1:$D$246,4,FALSE),"NO HSCODE")</f>
        <v>NO HSCODE</v>
      </c>
    </row>
    <row r="410" spans="40:40" x14ac:dyDescent="0.25">
      <c r="AN410" s="4" t="str">
        <f>IFERROR(VLOOKUP(I410,Sheet1!$A$1:$D$246,4,FALSE),"NO HSCODE")</f>
        <v>NO HSCODE</v>
      </c>
    </row>
    <row r="411" spans="40:40" x14ac:dyDescent="0.25">
      <c r="AN411" s="4" t="str">
        <f>IFERROR(VLOOKUP(I411,Sheet1!$A$1:$D$246,4,FALSE),"NO HSCODE")</f>
        <v>NO HSCODE</v>
      </c>
    </row>
    <row r="412" spans="40:40" x14ac:dyDescent="0.25">
      <c r="AN412" s="4" t="str">
        <f>IFERROR(VLOOKUP(I412,Sheet1!$A$1:$D$246,4,FALSE),"NO HSCODE")</f>
        <v>NO HSCODE</v>
      </c>
    </row>
    <row r="413" spans="40:40" x14ac:dyDescent="0.25">
      <c r="AN413" s="4" t="str">
        <f>IFERROR(VLOOKUP(I413,Sheet1!$A$1:$D$246,4,FALSE),"NO HSCODE")</f>
        <v>NO HSCODE</v>
      </c>
    </row>
    <row r="414" spans="40:40" x14ac:dyDescent="0.25">
      <c r="AN414" s="4" t="str">
        <f>IFERROR(VLOOKUP(I414,Sheet1!$A$1:$D$246,4,FALSE),"NO HSCODE")</f>
        <v>NO HSCODE</v>
      </c>
    </row>
    <row r="415" spans="40:40" x14ac:dyDescent="0.25">
      <c r="AN415" s="4" t="str">
        <f>IFERROR(VLOOKUP(I415,Sheet1!$A$1:$D$246,4,FALSE),"NO HSCODE")</f>
        <v>NO HSCODE</v>
      </c>
    </row>
    <row r="416" spans="40:40" x14ac:dyDescent="0.25">
      <c r="AN416" s="4" t="str">
        <f>IFERROR(VLOOKUP(I416,Sheet1!$A$1:$D$246,4,FALSE),"NO HSCODE")</f>
        <v>NO HSCODE</v>
      </c>
    </row>
    <row r="417" spans="40:40" x14ac:dyDescent="0.25">
      <c r="AN417" s="4" t="str">
        <f>IFERROR(VLOOKUP(I417,Sheet1!$A$1:$D$246,4,FALSE),"NO HSCODE")</f>
        <v>NO HSCODE</v>
      </c>
    </row>
    <row r="418" spans="40:40" x14ac:dyDescent="0.25">
      <c r="AN418" s="4" t="str">
        <f>IFERROR(VLOOKUP(I418,Sheet1!$A$1:$D$246,4,FALSE),"NO HSCODE")</f>
        <v>NO HSCODE</v>
      </c>
    </row>
    <row r="419" spans="40:40" x14ac:dyDescent="0.25">
      <c r="AN419" s="4" t="str">
        <f>IFERROR(VLOOKUP(I419,Sheet1!$A$1:$D$246,4,FALSE),"NO HSCODE")</f>
        <v>NO HSCODE</v>
      </c>
    </row>
    <row r="420" spans="40:40" x14ac:dyDescent="0.25">
      <c r="AN420" s="4" t="str">
        <f>IFERROR(VLOOKUP(I420,Sheet1!$A$1:$D$246,4,FALSE),"NO HSCODE")</f>
        <v>NO HSCODE</v>
      </c>
    </row>
    <row r="421" spans="40:40" x14ac:dyDescent="0.25">
      <c r="AN421" s="4" t="str">
        <f>IFERROR(VLOOKUP(I421,Sheet1!$A$1:$D$246,4,FALSE),"NO HSCODE")</f>
        <v>NO HSCODE</v>
      </c>
    </row>
    <row r="422" spans="40:40" x14ac:dyDescent="0.25">
      <c r="AN422" s="4" t="str">
        <f>IFERROR(VLOOKUP(I422,Sheet1!$A$1:$D$246,4,FALSE),"NO HSCODE")</f>
        <v>NO HSCODE</v>
      </c>
    </row>
    <row r="423" spans="40:40" x14ac:dyDescent="0.25">
      <c r="AN423" s="4" t="str">
        <f>IFERROR(VLOOKUP(I423,Sheet1!$A$1:$D$246,4,FALSE),"NO HSCODE")</f>
        <v>NO HSCODE</v>
      </c>
    </row>
    <row r="424" spans="40:40" x14ac:dyDescent="0.25">
      <c r="AN424" s="4" t="str">
        <f>IFERROR(VLOOKUP(I424,Sheet1!$A$1:$D$246,4,FALSE),"NO HSCODE")</f>
        <v>NO HSCODE</v>
      </c>
    </row>
    <row r="425" spans="40:40" x14ac:dyDescent="0.25">
      <c r="AN425" s="4" t="str">
        <f>IFERROR(VLOOKUP(I425,Sheet1!$A$1:$D$246,4,FALSE),"NO HSCODE")</f>
        <v>NO HSCODE</v>
      </c>
    </row>
    <row r="426" spans="40:40" x14ac:dyDescent="0.25">
      <c r="AN426" s="4" t="str">
        <f>IFERROR(VLOOKUP(I426,Sheet1!$A$1:$D$246,4,FALSE),"NO HSCODE")</f>
        <v>NO HSCODE</v>
      </c>
    </row>
    <row r="427" spans="40:40" x14ac:dyDescent="0.25">
      <c r="AN427" s="4" t="str">
        <f>IFERROR(VLOOKUP(I427,Sheet1!$A$1:$D$246,4,FALSE),"NO HSCODE")</f>
        <v>NO HSCODE</v>
      </c>
    </row>
    <row r="428" spans="40:40" x14ac:dyDescent="0.25">
      <c r="AN428" s="4" t="str">
        <f>IFERROR(VLOOKUP(I428,Sheet1!$A$1:$D$246,4,FALSE),"NO HSCODE")</f>
        <v>NO HSCODE</v>
      </c>
    </row>
    <row r="429" spans="40:40" x14ac:dyDescent="0.25">
      <c r="AN429" s="4" t="str">
        <f>IFERROR(VLOOKUP(I429,Sheet1!$A$1:$D$246,4,FALSE),"NO HSCODE")</f>
        <v>NO HSCODE</v>
      </c>
    </row>
    <row r="430" spans="40:40" x14ac:dyDescent="0.25">
      <c r="AN430" s="4" t="str">
        <f>IFERROR(VLOOKUP(I430,Sheet1!$A$1:$D$246,4,FALSE),"NO HSCODE")</f>
        <v>NO HSCODE</v>
      </c>
    </row>
    <row r="431" spans="40:40" x14ac:dyDescent="0.25">
      <c r="AN431" s="4" t="str">
        <f>IFERROR(VLOOKUP(I431,Sheet1!$A$1:$D$246,4,FALSE),"NO HSCODE")</f>
        <v>NO HSCODE</v>
      </c>
    </row>
    <row r="432" spans="40:40" x14ac:dyDescent="0.25">
      <c r="AN432" s="4" t="str">
        <f>IFERROR(VLOOKUP(I432,Sheet1!$A$1:$D$246,4,FALSE),"NO HSCODE")</f>
        <v>NO HSCODE</v>
      </c>
    </row>
    <row r="433" spans="40:40" x14ac:dyDescent="0.25">
      <c r="AN433" s="4" t="str">
        <f>IFERROR(VLOOKUP(I433,Sheet1!$A$1:$D$246,4,FALSE),"NO HSCODE")</f>
        <v>NO HSCODE</v>
      </c>
    </row>
    <row r="434" spans="40:40" x14ac:dyDescent="0.25">
      <c r="AN434" s="4" t="str">
        <f>IFERROR(VLOOKUP(I434,Sheet1!$A$1:$D$246,4,FALSE),"NO HSCODE")</f>
        <v>NO HSCODE</v>
      </c>
    </row>
    <row r="435" spans="40:40" x14ac:dyDescent="0.25">
      <c r="AN435" s="4" t="str">
        <f>IFERROR(VLOOKUP(I435,Sheet1!$A$1:$D$246,4,FALSE),"NO HSCODE")</f>
        <v>NO HSCODE</v>
      </c>
    </row>
    <row r="436" spans="40:40" x14ac:dyDescent="0.25">
      <c r="AN436" s="4" t="str">
        <f>IFERROR(VLOOKUP(I436,Sheet1!$A$1:$D$246,4,FALSE),"NO HSCODE")</f>
        <v>NO HSCODE</v>
      </c>
    </row>
    <row r="437" spans="40:40" x14ac:dyDescent="0.25">
      <c r="AN437" s="4" t="str">
        <f>IFERROR(VLOOKUP(I437,Sheet1!$A$1:$D$246,4,FALSE),"NO HSCODE")</f>
        <v>NO HSCODE</v>
      </c>
    </row>
    <row r="438" spans="40:40" x14ac:dyDescent="0.25">
      <c r="AN438" s="4" t="str">
        <f>IFERROR(VLOOKUP(I438,Sheet1!$A$1:$D$246,4,FALSE),"NO HSCODE")</f>
        <v>NO HSCODE</v>
      </c>
    </row>
    <row r="439" spans="40:40" x14ac:dyDescent="0.25">
      <c r="AN439" s="4" t="str">
        <f>IFERROR(VLOOKUP(I439,Sheet1!$A$1:$D$246,4,FALSE),"NO HSCODE")</f>
        <v>NO HSCODE</v>
      </c>
    </row>
    <row r="440" spans="40:40" x14ac:dyDescent="0.25">
      <c r="AN440" s="4" t="str">
        <f>IFERROR(VLOOKUP(I440,Sheet1!$A$1:$D$246,4,FALSE),"NO HSCODE")</f>
        <v>NO HSCODE</v>
      </c>
    </row>
    <row r="441" spans="40:40" x14ac:dyDescent="0.25">
      <c r="AN441" s="4" t="str">
        <f>IFERROR(VLOOKUP(I441,Sheet1!$A$1:$D$246,4,FALSE),"NO HSCODE")</f>
        <v>NO HSCODE</v>
      </c>
    </row>
    <row r="442" spans="40:40" x14ac:dyDescent="0.25">
      <c r="AN442" s="4" t="str">
        <f>IFERROR(VLOOKUP(I442,Sheet1!$A$1:$D$246,4,FALSE),"NO HSCODE")</f>
        <v>NO HSCODE</v>
      </c>
    </row>
    <row r="443" spans="40:40" x14ac:dyDescent="0.25">
      <c r="AN443" s="4" t="str">
        <f>IFERROR(VLOOKUP(I443,Sheet1!$A$1:$D$246,4,FALSE),"NO HSCODE")</f>
        <v>NO HSCODE</v>
      </c>
    </row>
    <row r="444" spans="40:40" x14ac:dyDescent="0.25">
      <c r="AN444" s="4" t="str">
        <f>IFERROR(VLOOKUP(I444,Sheet1!$A$1:$D$246,4,FALSE),"NO HSCODE")</f>
        <v>NO HSCODE</v>
      </c>
    </row>
    <row r="445" spans="40:40" x14ac:dyDescent="0.25">
      <c r="AN445" s="4" t="str">
        <f>IFERROR(VLOOKUP(I445,Sheet1!$A$1:$D$246,4,FALSE),"NO HSCODE")</f>
        <v>NO HSCODE</v>
      </c>
    </row>
    <row r="446" spans="40:40" x14ac:dyDescent="0.25">
      <c r="AN446" s="4" t="str">
        <f>IFERROR(VLOOKUP(I446,Sheet1!$A$1:$D$246,4,FALSE),"NO HSCODE")</f>
        <v>NO HSCODE</v>
      </c>
    </row>
    <row r="447" spans="40:40" x14ac:dyDescent="0.25">
      <c r="AN447" s="4" t="str">
        <f>IFERROR(VLOOKUP(I447,Sheet1!$A$1:$D$246,4,FALSE),"NO HSCODE")</f>
        <v>NO HSCODE</v>
      </c>
    </row>
    <row r="448" spans="40:40" x14ac:dyDescent="0.25">
      <c r="AN448" s="4" t="str">
        <f>IFERROR(VLOOKUP(I448,Sheet1!$A$1:$D$246,4,FALSE),"NO HSCODE")</f>
        <v>NO HSCODE</v>
      </c>
    </row>
    <row r="449" spans="40:40" x14ac:dyDescent="0.25">
      <c r="AN449" s="4" t="str">
        <f>IFERROR(VLOOKUP(I449,Sheet1!$A$1:$D$246,4,FALSE),"NO HSCODE")</f>
        <v>NO HSCODE</v>
      </c>
    </row>
    <row r="450" spans="40:40" x14ac:dyDescent="0.25">
      <c r="AN450" s="4" t="str">
        <f>IFERROR(VLOOKUP(I450,Sheet1!$A$1:$D$246,4,FALSE),"NO HSCODE")</f>
        <v>NO HSCODE</v>
      </c>
    </row>
    <row r="451" spans="40:40" x14ac:dyDescent="0.25">
      <c r="AN451" s="4" t="str">
        <f>IFERROR(VLOOKUP(I451,Sheet1!$A$1:$D$246,4,FALSE),"NO HSCODE")</f>
        <v>NO HSCODE</v>
      </c>
    </row>
    <row r="452" spans="40:40" x14ac:dyDescent="0.25">
      <c r="AN452" s="4" t="str">
        <f>IFERROR(VLOOKUP(I452,Sheet1!$A$1:$D$246,4,FALSE),"NO HSCODE")</f>
        <v>NO HSCODE</v>
      </c>
    </row>
    <row r="453" spans="40:40" x14ac:dyDescent="0.25">
      <c r="AN453" s="4" t="str">
        <f>IFERROR(VLOOKUP(I453,Sheet1!$A$1:$D$246,4,FALSE),"NO HSCODE")</f>
        <v>NO HSCODE</v>
      </c>
    </row>
    <row r="454" spans="40:40" x14ac:dyDescent="0.25">
      <c r="AN454" s="4" t="str">
        <f>IFERROR(VLOOKUP(I454,Sheet1!$A$1:$D$246,4,FALSE),"NO HSCODE")</f>
        <v>NO HSCODE</v>
      </c>
    </row>
    <row r="455" spans="40:40" x14ac:dyDescent="0.25">
      <c r="AN455" s="4" t="str">
        <f>IFERROR(VLOOKUP(I455,Sheet1!$A$1:$D$246,4,FALSE),"NO HSCODE")</f>
        <v>NO HSCODE</v>
      </c>
    </row>
    <row r="456" spans="40:40" x14ac:dyDescent="0.25">
      <c r="AN456" s="4" t="str">
        <f>IFERROR(VLOOKUP(I456,Sheet1!$A$1:$D$246,4,FALSE),"NO HSCODE")</f>
        <v>NO HSCODE</v>
      </c>
    </row>
    <row r="457" spans="40:40" x14ac:dyDescent="0.25">
      <c r="AN457" s="4" t="str">
        <f>IFERROR(VLOOKUP(I457,Sheet1!$A$1:$D$246,4,FALSE),"NO HSCODE")</f>
        <v>NO HSCODE</v>
      </c>
    </row>
    <row r="458" spans="40:40" x14ac:dyDescent="0.25">
      <c r="AN458" s="4" t="str">
        <f>IFERROR(VLOOKUP(I458,Sheet1!$A$1:$D$246,4,FALSE),"NO HSCODE")</f>
        <v>NO HSCODE</v>
      </c>
    </row>
    <row r="459" spans="40:40" x14ac:dyDescent="0.25">
      <c r="AN459" s="4" t="str">
        <f>IFERROR(VLOOKUP(I459,Sheet1!$A$1:$D$246,4,FALSE),"NO HSCODE")</f>
        <v>NO HSCODE</v>
      </c>
    </row>
    <row r="460" spans="40:40" x14ac:dyDescent="0.25">
      <c r="AN460" s="4" t="str">
        <f>IFERROR(VLOOKUP(I460,Sheet1!$A$1:$D$246,4,FALSE),"NO HSCODE")</f>
        <v>NO HSCODE</v>
      </c>
    </row>
    <row r="461" spans="40:40" x14ac:dyDescent="0.25">
      <c r="AN461" s="4" t="str">
        <f>IFERROR(VLOOKUP(I461,Sheet1!$A$1:$D$246,4,FALSE),"NO HSCODE")</f>
        <v>NO HSCODE</v>
      </c>
    </row>
    <row r="462" spans="40:40" x14ac:dyDescent="0.25">
      <c r="AN462" s="4" t="str">
        <f>IFERROR(VLOOKUP(I462,Sheet1!$A$1:$D$246,4,FALSE),"NO HSCODE")</f>
        <v>NO HSCODE</v>
      </c>
    </row>
    <row r="463" spans="40:40" x14ac:dyDescent="0.25">
      <c r="AN463" s="4" t="str">
        <f>IFERROR(VLOOKUP(I463,Sheet1!$A$1:$D$246,4,FALSE),"NO HSCODE")</f>
        <v>NO HSCODE</v>
      </c>
    </row>
    <row r="464" spans="40:40" x14ac:dyDescent="0.25">
      <c r="AN464" s="4" t="str">
        <f>IFERROR(VLOOKUP(I464,Sheet1!$A$1:$D$246,4,FALSE),"NO HSCODE")</f>
        <v>NO HSCODE</v>
      </c>
    </row>
    <row r="465" spans="40:40" x14ac:dyDescent="0.25">
      <c r="AN465" s="4" t="str">
        <f>IFERROR(VLOOKUP(I465,Sheet1!$A$1:$D$246,4,FALSE),"NO HSCODE")</f>
        <v>NO HSCODE</v>
      </c>
    </row>
    <row r="466" spans="40:40" x14ac:dyDescent="0.25">
      <c r="AN466" s="4" t="str">
        <f>IFERROR(VLOOKUP(I466,Sheet1!$A$1:$D$246,4,FALSE),"NO HSCODE")</f>
        <v>NO HSCODE</v>
      </c>
    </row>
    <row r="467" spans="40:40" x14ac:dyDescent="0.25">
      <c r="AN467" s="4" t="str">
        <f>IFERROR(VLOOKUP(I467,Sheet1!$A$1:$D$246,4,FALSE),"NO HSCODE")</f>
        <v>NO HSCODE</v>
      </c>
    </row>
    <row r="468" spans="40:40" x14ac:dyDescent="0.25">
      <c r="AN468" s="4" t="str">
        <f>IFERROR(VLOOKUP(I468,Sheet1!$A$1:$D$246,4,FALSE),"NO HSCODE")</f>
        <v>NO HSCODE</v>
      </c>
    </row>
    <row r="469" spans="40:40" x14ac:dyDescent="0.25">
      <c r="AN469" s="4" t="str">
        <f>IFERROR(VLOOKUP(I469,Sheet1!$A$1:$D$246,4,FALSE),"NO HSCODE")</f>
        <v>NO HSCODE</v>
      </c>
    </row>
    <row r="470" spans="40:40" x14ac:dyDescent="0.25">
      <c r="AN470" s="4" t="str">
        <f>IFERROR(VLOOKUP(I470,Sheet1!$A$1:$D$246,4,FALSE),"NO HSCODE")</f>
        <v>NO HSCODE</v>
      </c>
    </row>
    <row r="471" spans="40:40" x14ac:dyDescent="0.25">
      <c r="AN471" s="4" t="str">
        <f>IFERROR(VLOOKUP(I471,Sheet1!$A$1:$D$246,4,FALSE),"NO HSCODE")</f>
        <v>NO HSCODE</v>
      </c>
    </row>
    <row r="472" spans="40:40" x14ac:dyDescent="0.25">
      <c r="AN472" s="4" t="str">
        <f>IFERROR(VLOOKUP(I472,Sheet1!$A$1:$D$246,4,FALSE),"NO HSCODE")</f>
        <v>NO HSCODE</v>
      </c>
    </row>
    <row r="473" spans="40:40" x14ac:dyDescent="0.25">
      <c r="AN473" s="4" t="str">
        <f>IFERROR(VLOOKUP(I473,Sheet1!$A$1:$D$246,4,FALSE),"NO HSCODE")</f>
        <v>NO HSCODE</v>
      </c>
    </row>
    <row r="474" spans="40:40" x14ac:dyDescent="0.25">
      <c r="AN474" s="4" t="str">
        <f>IFERROR(VLOOKUP(I474,Sheet1!$A$1:$D$246,4,FALSE),"NO HSCODE")</f>
        <v>NO HSCODE</v>
      </c>
    </row>
    <row r="475" spans="40:40" x14ac:dyDescent="0.25">
      <c r="AN475" s="4" t="str">
        <f>IFERROR(VLOOKUP(I475,Sheet1!$A$1:$D$246,4,FALSE),"NO HSCODE")</f>
        <v>NO HSCODE</v>
      </c>
    </row>
    <row r="476" spans="40:40" x14ac:dyDescent="0.25">
      <c r="AN476" s="4" t="str">
        <f>IFERROR(VLOOKUP(I476,Sheet1!$A$1:$D$246,4,FALSE),"NO HSCODE")</f>
        <v>NO HSCODE</v>
      </c>
    </row>
    <row r="477" spans="40:40" x14ac:dyDescent="0.25">
      <c r="AN477" s="4" t="str">
        <f>IFERROR(VLOOKUP(I477,Sheet1!$A$1:$D$246,4,FALSE),"NO HSCODE")</f>
        <v>NO HSCODE</v>
      </c>
    </row>
    <row r="478" spans="40:40" x14ac:dyDescent="0.25">
      <c r="AN478" s="4" t="str">
        <f>IFERROR(VLOOKUP(I478,Sheet1!$A$1:$D$246,4,FALSE),"NO HSCODE")</f>
        <v>NO HSCODE</v>
      </c>
    </row>
    <row r="479" spans="40:40" x14ac:dyDescent="0.25">
      <c r="AN479" s="4" t="str">
        <f>IFERROR(VLOOKUP(I479,Sheet1!$A$1:$D$246,4,FALSE),"NO HSCODE")</f>
        <v>NO HSCODE</v>
      </c>
    </row>
    <row r="480" spans="40:40" x14ac:dyDescent="0.25">
      <c r="AN480" s="4" t="str">
        <f>IFERROR(VLOOKUP(I480,Sheet1!$A$1:$D$246,4,FALSE),"NO HSCODE")</f>
        <v>NO HSCODE</v>
      </c>
    </row>
    <row r="481" spans="40:40" x14ac:dyDescent="0.25">
      <c r="AN481" s="4" t="str">
        <f>IFERROR(VLOOKUP(I481,Sheet1!$A$1:$D$246,4,FALSE),"NO HSCODE")</f>
        <v>NO HSCODE</v>
      </c>
    </row>
    <row r="482" spans="40:40" x14ac:dyDescent="0.25">
      <c r="AN482" s="4" t="str">
        <f>IFERROR(VLOOKUP(I482,Sheet1!$A$1:$D$246,4,FALSE),"NO HSCODE")</f>
        <v>NO HSCODE</v>
      </c>
    </row>
    <row r="483" spans="40:40" x14ac:dyDescent="0.25">
      <c r="AN483" s="4" t="str">
        <f>IFERROR(VLOOKUP(I483,Sheet1!$A$1:$D$246,4,FALSE),"NO HSCODE")</f>
        <v>NO HSCODE</v>
      </c>
    </row>
    <row r="484" spans="40:40" x14ac:dyDescent="0.25">
      <c r="AN484" s="4" t="str">
        <f>IFERROR(VLOOKUP(I484,Sheet1!$A$1:$D$246,4,FALSE),"NO HSCODE")</f>
        <v>NO HSCODE</v>
      </c>
    </row>
    <row r="485" spans="40:40" x14ac:dyDescent="0.25">
      <c r="AN485" s="4" t="str">
        <f>IFERROR(VLOOKUP(I485,Sheet1!$A$1:$D$246,4,FALSE),"NO HSCODE")</f>
        <v>NO HSCODE</v>
      </c>
    </row>
    <row r="486" spans="40:40" x14ac:dyDescent="0.25">
      <c r="AN486" s="4" t="str">
        <f>IFERROR(VLOOKUP(I486,Sheet1!$A$1:$D$246,4,FALSE),"NO HSCODE")</f>
        <v>NO HSCODE</v>
      </c>
    </row>
    <row r="487" spans="40:40" x14ac:dyDescent="0.25">
      <c r="AN487" s="4" t="str">
        <f>IFERROR(VLOOKUP(I487,Sheet1!$A$1:$D$246,4,FALSE),"NO HSCODE")</f>
        <v>NO HSCODE</v>
      </c>
    </row>
    <row r="488" spans="40:40" x14ac:dyDescent="0.25">
      <c r="AN488" s="4" t="str">
        <f>IFERROR(VLOOKUP(I488,Sheet1!$A$1:$D$246,4,FALSE),"NO HSCODE")</f>
        <v>NO HSCODE</v>
      </c>
    </row>
    <row r="489" spans="40:40" x14ac:dyDescent="0.25">
      <c r="AN489" s="4" t="str">
        <f>IFERROR(VLOOKUP(I489,Sheet1!$A$1:$D$246,4,FALSE),"NO HSCODE")</f>
        <v>NO HSCODE</v>
      </c>
    </row>
    <row r="490" spans="40:40" x14ac:dyDescent="0.25">
      <c r="AN490" s="4" t="str">
        <f>IFERROR(VLOOKUP(I490,Sheet1!$A$1:$D$246,4,FALSE),"NO HSCODE")</f>
        <v>NO HSCODE</v>
      </c>
    </row>
    <row r="491" spans="40:40" x14ac:dyDescent="0.25">
      <c r="AN491" s="4" t="str">
        <f>IFERROR(VLOOKUP(I491,Sheet1!$A$1:$D$246,4,FALSE),"NO HSCODE")</f>
        <v>NO HSCODE</v>
      </c>
    </row>
    <row r="492" spans="40:40" x14ac:dyDescent="0.25">
      <c r="AN492" s="4" t="str">
        <f>IFERROR(VLOOKUP(I492,Sheet1!$A$1:$D$246,4,FALSE),"NO HSCODE")</f>
        <v>NO HSCODE</v>
      </c>
    </row>
    <row r="493" spans="40:40" x14ac:dyDescent="0.25">
      <c r="AN493" s="4" t="str">
        <f>IFERROR(VLOOKUP(I493,Sheet1!$A$1:$D$246,4,FALSE),"NO HSCODE")</f>
        <v>NO HSCODE</v>
      </c>
    </row>
    <row r="494" spans="40:40" x14ac:dyDescent="0.25">
      <c r="AN494" s="4" t="str">
        <f>IFERROR(VLOOKUP(I494,Sheet1!$A$1:$D$246,4,FALSE),"NO HSCODE")</f>
        <v>NO HSCODE</v>
      </c>
    </row>
    <row r="495" spans="40:40" x14ac:dyDescent="0.25">
      <c r="AN495" s="4" t="str">
        <f>IFERROR(VLOOKUP(I495,Sheet1!$A$1:$D$246,4,FALSE),"NO HSCODE")</f>
        <v>NO HSCODE</v>
      </c>
    </row>
    <row r="496" spans="40:40" x14ac:dyDescent="0.25">
      <c r="AN496" s="4" t="str">
        <f>IFERROR(VLOOKUP(I496,Sheet1!$A$1:$D$246,4,FALSE),"NO HSCODE")</f>
        <v>NO HSCODE</v>
      </c>
    </row>
    <row r="497" spans="40:40" x14ac:dyDescent="0.25">
      <c r="AN497" s="4" t="str">
        <f>IFERROR(VLOOKUP(I497,Sheet1!$A$1:$D$246,4,FALSE),"NO HSCODE")</f>
        <v>NO HSCODE</v>
      </c>
    </row>
    <row r="498" spans="40:40" x14ac:dyDescent="0.25">
      <c r="AN498" s="4" t="str">
        <f>IFERROR(VLOOKUP(I498,Sheet1!$A$1:$D$246,4,FALSE),"NO HSCODE")</f>
        <v>NO HSCODE</v>
      </c>
    </row>
    <row r="499" spans="40:40" x14ac:dyDescent="0.25">
      <c r="AN499" s="4" t="str">
        <f>IFERROR(VLOOKUP(I499,Sheet1!$A$1:$D$246,4,FALSE),"NO HSCODE")</f>
        <v>NO HSCODE</v>
      </c>
    </row>
    <row r="500" spans="40:40" x14ac:dyDescent="0.25">
      <c r="AN500" s="4" t="str">
        <f>IFERROR(VLOOKUP(I500,Sheet1!$A$1:$D$246,4,FALSE),"NO HSCODE")</f>
        <v>NO HSCODE</v>
      </c>
    </row>
    <row r="501" spans="40:40" x14ac:dyDescent="0.25">
      <c r="AN501" s="4" t="str">
        <f>IFERROR(VLOOKUP(I501,Sheet1!$A$1:$D$246,4,FALSE),"NO HSCODE")</f>
        <v>NO HSCODE</v>
      </c>
    </row>
  </sheetData>
  <autoFilter ref="A6:AP6" xr:uid="{3125E90E-A5FD-43BE-8363-F559CF1E61FC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796D-8FB6-4BDB-8ECF-5A4D689FD430}">
  <dimension ref="A1:AQ321"/>
  <sheetViews>
    <sheetView workbookViewId="0">
      <selection activeCell="A9" sqref="A9:XFD9"/>
    </sheetView>
  </sheetViews>
  <sheetFormatPr defaultRowHeight="15" x14ac:dyDescent="0.25"/>
  <cols>
    <col min="1" max="1" width="17.5703125" style="23" bestFit="1" customWidth="1"/>
    <col min="4" max="4" width="10.140625" bestFit="1" customWidth="1"/>
    <col min="5" max="5" width="17.5703125" bestFit="1" customWidth="1"/>
    <col min="7" max="7" width="11.85546875" style="30" bestFit="1" customWidth="1"/>
    <col min="8" max="8" width="37" bestFit="1" customWidth="1"/>
    <col min="14" max="14" width="10.5703125" bestFit="1" customWidth="1"/>
    <col min="15" max="15" width="14.28515625" bestFit="1" customWidth="1"/>
    <col min="16" max="16" width="33.140625" bestFit="1" customWidth="1"/>
    <col min="20" max="20" width="16.5703125" bestFit="1" customWidth="1"/>
    <col min="21" max="21" width="37.42578125" bestFit="1" customWidth="1"/>
    <col min="22" max="22" width="16.28515625" bestFit="1" customWidth="1"/>
    <col min="23" max="23" width="9.28515625" bestFit="1" customWidth="1"/>
    <col min="24" max="24" width="32.140625" bestFit="1" customWidth="1"/>
    <col min="41" max="41" width="9.140625" customWidth="1"/>
    <col min="42" max="42" width="94.5703125" hidden="1" customWidth="1"/>
    <col min="43" max="44" width="9.140625" customWidth="1"/>
  </cols>
  <sheetData>
    <row r="1" spans="1:43" s="74" customFormat="1" x14ac:dyDescent="0.25">
      <c r="A1" s="89"/>
      <c r="G1" s="90"/>
    </row>
    <row r="2" spans="1:43" s="74" customFormat="1" x14ac:dyDescent="0.25">
      <c r="A2" s="89"/>
      <c r="G2" s="90"/>
    </row>
    <row r="3" spans="1:43" s="74" customFormat="1" x14ac:dyDescent="0.25">
      <c r="A3" s="89"/>
      <c r="G3" s="90"/>
    </row>
    <row r="4" spans="1:43" s="74" customFormat="1" x14ac:dyDescent="0.25">
      <c r="A4" s="89"/>
      <c r="G4" s="90"/>
    </row>
    <row r="5" spans="1:43" s="74" customFormat="1" x14ac:dyDescent="0.25">
      <c r="A5" s="89" t="s">
        <v>230</v>
      </c>
      <c r="G5" s="90"/>
    </row>
    <row r="6" spans="1:43" s="106" customFormat="1" ht="15.75" thickBot="1" x14ac:dyDescent="0.3">
      <c r="A6" s="102" t="s">
        <v>0</v>
      </c>
      <c r="B6" s="103" t="s">
        <v>1</v>
      </c>
      <c r="C6" s="103" t="s">
        <v>2</v>
      </c>
      <c r="D6" s="103" t="s">
        <v>4</v>
      </c>
      <c r="E6" s="103" t="s">
        <v>3</v>
      </c>
      <c r="F6" s="103" t="s">
        <v>5</v>
      </c>
      <c r="G6" s="104" t="s">
        <v>6</v>
      </c>
      <c r="H6" s="103" t="s">
        <v>7</v>
      </c>
      <c r="I6" s="103" t="s">
        <v>8</v>
      </c>
      <c r="J6" s="103" t="s">
        <v>9</v>
      </c>
      <c r="K6" s="103" t="s">
        <v>10</v>
      </c>
      <c r="L6" s="103" t="s">
        <v>11</v>
      </c>
      <c r="M6" s="103" t="s">
        <v>12</v>
      </c>
      <c r="N6" s="105" t="s">
        <v>13</v>
      </c>
      <c r="O6" s="105" t="s">
        <v>14</v>
      </c>
      <c r="P6" s="105" t="s">
        <v>15</v>
      </c>
      <c r="Q6" s="103" t="s">
        <v>16</v>
      </c>
      <c r="R6" s="103" t="s">
        <v>17</v>
      </c>
      <c r="S6" s="103" t="s">
        <v>18</v>
      </c>
      <c r="T6" s="105" t="s">
        <v>19</v>
      </c>
      <c r="U6" s="105" t="s">
        <v>20</v>
      </c>
      <c r="V6" s="105" t="s">
        <v>21</v>
      </c>
      <c r="W6" s="105" t="s">
        <v>22</v>
      </c>
      <c r="X6" s="105" t="s">
        <v>23</v>
      </c>
      <c r="Y6" s="103" t="s">
        <v>24</v>
      </c>
      <c r="Z6" s="103" t="s">
        <v>25</v>
      </c>
      <c r="AA6" s="103" t="s">
        <v>26</v>
      </c>
      <c r="AB6" s="103" t="s">
        <v>27</v>
      </c>
      <c r="AC6" s="103" t="s">
        <v>28</v>
      </c>
      <c r="AD6" s="103" t="s">
        <v>29</v>
      </c>
      <c r="AE6" s="103" t="s">
        <v>30</v>
      </c>
      <c r="AF6" s="103" t="s">
        <v>31</v>
      </c>
      <c r="AG6" s="103" t="s">
        <v>32</v>
      </c>
      <c r="AH6" s="103" t="s">
        <v>33</v>
      </c>
      <c r="AI6" s="103" t="s">
        <v>34</v>
      </c>
      <c r="AJ6" s="103" t="s">
        <v>35</v>
      </c>
      <c r="AK6" s="103" t="s">
        <v>36</v>
      </c>
      <c r="AL6" s="103" t="s">
        <v>37</v>
      </c>
      <c r="AM6" s="103" t="s">
        <v>38</v>
      </c>
      <c r="AN6" s="103" t="s">
        <v>696</v>
      </c>
      <c r="AP6" s="313" t="s">
        <v>39</v>
      </c>
      <c r="AQ6" s="314"/>
    </row>
    <row r="7" spans="1:43" s="174" customFormat="1" thickBot="1" x14ac:dyDescent="0.25">
      <c r="A7" s="175">
        <v>45689</v>
      </c>
      <c r="B7" s="174" t="s">
        <v>40</v>
      </c>
      <c r="C7" s="174" t="s">
        <v>41</v>
      </c>
      <c r="D7" s="174">
        <v>25707993</v>
      </c>
      <c r="E7" s="174">
        <v>25106555</v>
      </c>
      <c r="F7" s="174" t="s">
        <v>760</v>
      </c>
      <c r="G7" s="177">
        <v>45700</v>
      </c>
      <c r="H7" s="174" t="s">
        <v>761</v>
      </c>
      <c r="I7" s="174" t="s">
        <v>50</v>
      </c>
      <c r="J7" s="174" t="s">
        <v>488</v>
      </c>
      <c r="K7" s="174">
        <v>1000</v>
      </c>
      <c r="L7" s="174" t="s">
        <v>42</v>
      </c>
      <c r="M7" s="174">
        <v>1000</v>
      </c>
      <c r="N7" s="178">
        <v>195935</v>
      </c>
      <c r="O7" s="178">
        <v>195935000</v>
      </c>
      <c r="P7" s="178">
        <v>195935000</v>
      </c>
      <c r="Q7" s="174">
        <v>0</v>
      </c>
      <c r="R7" s="174">
        <v>0</v>
      </c>
      <c r="S7" s="174" t="s">
        <v>43</v>
      </c>
      <c r="T7" s="178">
        <v>160640100.25999999</v>
      </c>
      <c r="U7" s="178">
        <v>160640100.25999999</v>
      </c>
      <c r="V7" s="178">
        <v>35294899.740000002</v>
      </c>
      <c r="W7" s="178">
        <v>0.18013575798000001</v>
      </c>
      <c r="X7" s="178">
        <v>35294899.740000002</v>
      </c>
      <c r="Y7" s="174" t="s">
        <v>101</v>
      </c>
      <c r="Z7" s="174" t="s">
        <v>46</v>
      </c>
      <c r="AA7" s="174">
        <v>15475</v>
      </c>
      <c r="AB7" s="174" t="s">
        <v>761</v>
      </c>
      <c r="AC7" s="174" t="s">
        <v>56</v>
      </c>
      <c r="AD7" s="174" t="s">
        <v>103</v>
      </c>
      <c r="AE7" s="174">
        <v>0</v>
      </c>
      <c r="AF7" s="174" t="s">
        <v>731</v>
      </c>
      <c r="AG7" s="174" t="s">
        <v>101</v>
      </c>
      <c r="AH7" s="174" t="s">
        <v>46</v>
      </c>
      <c r="AI7" s="174" t="s">
        <v>101</v>
      </c>
      <c r="AJ7" s="174" t="s">
        <v>46</v>
      </c>
      <c r="AK7" s="174" t="s">
        <v>47</v>
      </c>
      <c r="AL7" s="174" t="s">
        <v>48</v>
      </c>
      <c r="AM7" s="174" t="s">
        <v>49</v>
      </c>
      <c r="AN7" s="174" t="str">
        <f>VLOOKUP(I7,Sheet1!A:D,4,FALSE)</f>
        <v>A210600</v>
      </c>
      <c r="AP7" s="174" t="s">
        <v>762</v>
      </c>
    </row>
    <row r="8" spans="1:43" s="133" customFormat="1" thickBot="1" x14ac:dyDescent="0.25">
      <c r="A8" s="132">
        <v>45809</v>
      </c>
      <c r="B8" s="133" t="s">
        <v>40</v>
      </c>
      <c r="C8" s="133" t="s">
        <v>41</v>
      </c>
      <c r="D8" s="133">
        <v>25708287</v>
      </c>
      <c r="E8" s="252">
        <v>25106775</v>
      </c>
      <c r="F8" s="133" t="s">
        <v>1081</v>
      </c>
      <c r="G8" s="135">
        <v>45824</v>
      </c>
      <c r="H8" s="133" t="s">
        <v>1082</v>
      </c>
      <c r="I8" s="133" t="s">
        <v>50</v>
      </c>
      <c r="J8" s="133" t="s">
        <v>74</v>
      </c>
      <c r="K8" s="133">
        <v>1000</v>
      </c>
      <c r="L8" s="133" t="s">
        <v>42</v>
      </c>
      <c r="M8" s="133">
        <v>1000</v>
      </c>
      <c r="N8" s="133">
        <v>197194</v>
      </c>
      <c r="O8" s="133">
        <v>197194000</v>
      </c>
      <c r="P8" s="133">
        <v>197194000</v>
      </c>
      <c r="Q8" s="133">
        <v>0</v>
      </c>
      <c r="R8" s="133">
        <v>0</v>
      </c>
      <c r="S8" s="133" t="s">
        <v>43</v>
      </c>
      <c r="T8" s="133">
        <v>157152100.36000001</v>
      </c>
      <c r="U8" s="133">
        <v>157152100.36000001</v>
      </c>
      <c r="V8" s="133">
        <v>40041899.640000001</v>
      </c>
      <c r="W8" s="133">
        <v>0.20305840765899999</v>
      </c>
      <c r="X8" s="133">
        <v>40041899.640000001</v>
      </c>
      <c r="Y8" s="133" t="s">
        <v>69</v>
      </c>
      <c r="Z8" s="133" t="s">
        <v>46</v>
      </c>
      <c r="AA8" s="133">
        <v>15475</v>
      </c>
      <c r="AB8" s="133" t="s">
        <v>1082</v>
      </c>
      <c r="AC8" s="133" t="s">
        <v>56</v>
      </c>
      <c r="AD8" s="133" t="s">
        <v>77</v>
      </c>
      <c r="AE8" s="133">
        <v>0</v>
      </c>
      <c r="AF8" s="133" t="s">
        <v>76</v>
      </c>
      <c r="AG8" s="133" t="s">
        <v>69</v>
      </c>
      <c r="AH8" s="133" t="s">
        <v>46</v>
      </c>
      <c r="AI8" s="133" t="s">
        <v>69</v>
      </c>
      <c r="AJ8" s="133" t="s">
        <v>46</v>
      </c>
      <c r="AK8" s="133" t="s">
        <v>47</v>
      </c>
      <c r="AL8" s="133" t="s">
        <v>48</v>
      </c>
      <c r="AM8" s="133" t="s">
        <v>49</v>
      </c>
      <c r="AN8" s="133" t="str">
        <f>VLOOKUP(I8,Sheet1!A:D,4,FALSE)</f>
        <v>A210600</v>
      </c>
      <c r="AP8" s="133" t="s">
        <v>1085</v>
      </c>
    </row>
    <row r="9" spans="1:43" s="133" customFormat="1" ht="14.25" x14ac:dyDescent="0.2">
      <c r="A9" s="132">
        <v>45870</v>
      </c>
      <c r="B9" s="133" t="s">
        <v>40</v>
      </c>
      <c r="C9" s="133" t="s">
        <v>41</v>
      </c>
      <c r="D9" s="133">
        <v>25708455</v>
      </c>
      <c r="E9" s="133">
        <v>25106836</v>
      </c>
      <c r="F9" s="133" t="s">
        <v>1236</v>
      </c>
      <c r="G9" s="135">
        <v>45888</v>
      </c>
      <c r="H9" s="133" t="s">
        <v>1082</v>
      </c>
      <c r="I9" s="133" t="s">
        <v>50</v>
      </c>
      <c r="J9" s="133" t="s">
        <v>74</v>
      </c>
      <c r="K9" s="133">
        <v>1000</v>
      </c>
      <c r="L9" s="133" t="s">
        <v>42</v>
      </c>
      <c r="M9" s="133">
        <v>1000</v>
      </c>
      <c r="N9" s="133">
        <v>196068</v>
      </c>
      <c r="O9" s="133">
        <v>196068000</v>
      </c>
      <c r="P9" s="133">
        <v>196068000</v>
      </c>
      <c r="Q9" s="133">
        <v>0</v>
      </c>
      <c r="R9" s="133">
        <v>0</v>
      </c>
      <c r="S9" s="133" t="s">
        <v>43</v>
      </c>
      <c r="T9" s="133">
        <v>157138625.08000001</v>
      </c>
      <c r="U9" s="133">
        <v>157138625.08000001</v>
      </c>
      <c r="V9" s="133">
        <v>38929374.920000002</v>
      </c>
      <c r="W9" s="133">
        <v>0.198550374971</v>
      </c>
      <c r="X9" s="133">
        <v>38929374.920000002</v>
      </c>
      <c r="Y9" s="133" t="s">
        <v>69</v>
      </c>
      <c r="Z9" s="133" t="s">
        <v>46</v>
      </c>
      <c r="AA9" s="133">
        <v>15475</v>
      </c>
      <c r="AB9" s="133" t="s">
        <v>1082</v>
      </c>
      <c r="AC9" s="133" t="s">
        <v>56</v>
      </c>
      <c r="AD9" s="133" t="s">
        <v>77</v>
      </c>
      <c r="AE9" s="133">
        <v>0</v>
      </c>
      <c r="AF9" s="133" t="s">
        <v>76</v>
      </c>
      <c r="AG9" s="133" t="s">
        <v>69</v>
      </c>
      <c r="AH9" s="133" t="s">
        <v>46</v>
      </c>
      <c r="AI9" s="133" t="s">
        <v>69</v>
      </c>
      <c r="AJ9" s="133" t="s">
        <v>46</v>
      </c>
      <c r="AK9" s="133" t="s">
        <v>47</v>
      </c>
      <c r="AL9" s="133" t="s">
        <v>48</v>
      </c>
      <c r="AM9" s="133" t="s">
        <v>49</v>
      </c>
      <c r="AN9" s="133" t="str">
        <f>VLOOKUP(I9,Sheet1!A:D,4,FALSE)</f>
        <v>A210600</v>
      </c>
      <c r="AP9" s="133" t="s">
        <v>1237</v>
      </c>
    </row>
    <row r="10" spans="1:43" s="36" customFormat="1" ht="14.25" x14ac:dyDescent="0.2">
      <c r="A10" s="57"/>
      <c r="G10" s="58"/>
      <c r="AN10" s="36" t="e">
        <f>VLOOKUP(I10,Sheet1!A:D,4,FALSE)</f>
        <v>#N/A</v>
      </c>
    </row>
    <row r="11" spans="1:43" s="36" customFormat="1" ht="14.25" x14ac:dyDescent="0.2">
      <c r="A11" s="57"/>
      <c r="G11" s="58"/>
      <c r="AN11" s="36" t="e">
        <f>VLOOKUP(I11,Sheet1!A:D,4,FALSE)</f>
        <v>#N/A</v>
      </c>
    </row>
    <row r="12" spans="1:43" s="36" customFormat="1" ht="14.25" x14ac:dyDescent="0.2">
      <c r="A12" s="57"/>
      <c r="G12" s="58"/>
      <c r="AN12" s="36" t="e">
        <f>VLOOKUP(I12,Sheet1!A:D,4,FALSE)</f>
        <v>#N/A</v>
      </c>
    </row>
    <row r="13" spans="1:43" s="36" customFormat="1" ht="14.25" x14ac:dyDescent="0.2">
      <c r="A13" s="57"/>
      <c r="G13" s="58"/>
      <c r="AN13" s="36" t="e">
        <f>VLOOKUP(I13,Sheet1!A:D,4,FALSE)</f>
        <v>#N/A</v>
      </c>
    </row>
    <row r="14" spans="1:43" s="36" customFormat="1" ht="14.25" x14ac:dyDescent="0.2">
      <c r="A14" s="57"/>
      <c r="G14" s="58"/>
      <c r="AN14" s="36" t="e">
        <f>VLOOKUP(I14,Sheet1!A:D,4,FALSE)</f>
        <v>#N/A</v>
      </c>
    </row>
    <row r="15" spans="1:43" s="36" customFormat="1" ht="14.25" x14ac:dyDescent="0.2">
      <c r="A15" s="57"/>
      <c r="G15" s="58"/>
      <c r="AN15" s="36" t="e">
        <f>VLOOKUP(I15,Sheet1!A:D,4,FALSE)</f>
        <v>#N/A</v>
      </c>
    </row>
    <row r="16" spans="1:43" s="36" customFormat="1" ht="14.25" x14ac:dyDescent="0.2">
      <c r="A16" s="57"/>
      <c r="G16" s="58"/>
      <c r="AN16" s="36" t="e">
        <f>VLOOKUP(I16,Sheet1!A:D,4,FALSE)</f>
        <v>#N/A</v>
      </c>
    </row>
    <row r="17" spans="1:40" s="36" customFormat="1" ht="14.25" x14ac:dyDescent="0.2">
      <c r="A17" s="57"/>
      <c r="G17" s="58"/>
      <c r="AN17" s="36" t="e">
        <f>VLOOKUP(I17,Sheet1!A:D,4,FALSE)</f>
        <v>#N/A</v>
      </c>
    </row>
    <row r="18" spans="1:40" s="36" customFormat="1" ht="14.25" x14ac:dyDescent="0.2">
      <c r="A18" s="57"/>
      <c r="G18" s="58"/>
      <c r="AN18" s="36" t="e">
        <f>VLOOKUP(I18,Sheet1!A:D,4,FALSE)</f>
        <v>#N/A</v>
      </c>
    </row>
    <row r="19" spans="1:40" s="36" customFormat="1" ht="14.25" x14ac:dyDescent="0.2">
      <c r="A19" s="57"/>
      <c r="G19" s="58"/>
      <c r="AN19" s="36" t="e">
        <f>VLOOKUP(I19,Sheet1!A:D,4,FALSE)</f>
        <v>#N/A</v>
      </c>
    </row>
    <row r="20" spans="1:40" s="36" customFormat="1" ht="14.25" x14ac:dyDescent="0.2">
      <c r="A20" s="57"/>
      <c r="G20" s="58"/>
      <c r="AN20" s="36" t="e">
        <f>VLOOKUP(I20,Sheet1!A:D,4,FALSE)</f>
        <v>#N/A</v>
      </c>
    </row>
    <row r="21" spans="1:40" s="36" customFormat="1" ht="14.25" x14ac:dyDescent="0.2">
      <c r="A21" s="57"/>
      <c r="G21" s="58"/>
      <c r="AN21" s="36" t="e">
        <f>VLOOKUP(I21,Sheet1!A:D,4,FALSE)</f>
        <v>#N/A</v>
      </c>
    </row>
    <row r="22" spans="1:40" s="36" customFormat="1" ht="14.25" x14ac:dyDescent="0.2">
      <c r="A22" s="57"/>
      <c r="G22" s="58"/>
      <c r="AN22" s="36" t="e">
        <f>VLOOKUP(I22,Sheet1!A:D,4,FALSE)</f>
        <v>#N/A</v>
      </c>
    </row>
    <row r="23" spans="1:40" s="36" customFormat="1" ht="14.25" x14ac:dyDescent="0.2">
      <c r="A23" s="57"/>
      <c r="G23" s="58"/>
      <c r="AN23" s="36" t="e">
        <f>VLOOKUP(I23,Sheet1!A:D,4,FALSE)</f>
        <v>#N/A</v>
      </c>
    </row>
    <row r="24" spans="1:40" s="36" customFormat="1" ht="14.25" x14ac:dyDescent="0.2">
      <c r="A24" s="57"/>
      <c r="G24" s="58"/>
      <c r="AN24" s="36" t="e">
        <f>VLOOKUP(I24,Sheet1!A:D,4,FALSE)</f>
        <v>#N/A</v>
      </c>
    </row>
    <row r="25" spans="1:40" s="36" customFormat="1" ht="14.25" x14ac:dyDescent="0.2">
      <c r="A25" s="57"/>
      <c r="G25" s="58"/>
      <c r="AN25" s="36" t="e">
        <f>VLOOKUP(I25,Sheet1!A:D,4,FALSE)</f>
        <v>#N/A</v>
      </c>
    </row>
    <row r="26" spans="1:40" s="36" customFormat="1" ht="14.25" x14ac:dyDescent="0.2">
      <c r="A26" s="57"/>
      <c r="G26" s="58"/>
      <c r="AN26" s="36" t="e">
        <f>VLOOKUP(I26,Sheet1!A:D,4,FALSE)</f>
        <v>#N/A</v>
      </c>
    </row>
    <row r="27" spans="1:40" s="36" customFormat="1" ht="14.25" x14ac:dyDescent="0.2">
      <c r="A27" s="57"/>
      <c r="G27" s="58"/>
      <c r="AN27" s="36" t="e">
        <f>VLOOKUP(I27,Sheet1!A:D,4,FALSE)</f>
        <v>#N/A</v>
      </c>
    </row>
    <row r="28" spans="1:40" s="36" customFormat="1" ht="14.25" x14ac:dyDescent="0.2">
      <c r="A28" s="57"/>
      <c r="G28" s="58"/>
      <c r="AN28" s="36" t="e">
        <f>VLOOKUP(I28,Sheet1!A:D,4,FALSE)</f>
        <v>#N/A</v>
      </c>
    </row>
    <row r="29" spans="1:40" s="36" customFormat="1" ht="14.25" x14ac:dyDescent="0.2">
      <c r="A29" s="57"/>
      <c r="G29" s="58"/>
      <c r="AN29" s="36" t="e">
        <f>VLOOKUP(I29,Sheet1!A:D,4,FALSE)</f>
        <v>#N/A</v>
      </c>
    </row>
    <row r="30" spans="1:40" s="36" customFormat="1" ht="14.25" x14ac:dyDescent="0.2">
      <c r="A30" s="57"/>
      <c r="G30" s="58"/>
      <c r="AN30" s="36" t="e">
        <f>VLOOKUP(I30,Sheet1!A:D,4,FALSE)</f>
        <v>#N/A</v>
      </c>
    </row>
    <row r="31" spans="1:40" s="36" customFormat="1" ht="14.25" x14ac:dyDescent="0.2">
      <c r="A31" s="57"/>
      <c r="G31" s="58"/>
      <c r="AN31" s="36" t="e">
        <f>VLOOKUP(I31,Sheet1!A:D,4,FALSE)</f>
        <v>#N/A</v>
      </c>
    </row>
    <row r="32" spans="1:40" s="36" customFormat="1" ht="14.25" x14ac:dyDescent="0.2">
      <c r="A32" s="57"/>
      <c r="G32" s="58"/>
      <c r="AN32" s="36" t="e">
        <f>VLOOKUP(I32,Sheet1!A:D,4,FALSE)</f>
        <v>#N/A</v>
      </c>
    </row>
    <row r="33" spans="1:40" s="36" customFormat="1" ht="14.25" x14ac:dyDescent="0.2">
      <c r="A33" s="57"/>
      <c r="G33" s="58"/>
      <c r="AN33" s="36" t="e">
        <f>VLOOKUP(I33,Sheet1!A:D,4,FALSE)</f>
        <v>#N/A</v>
      </c>
    </row>
    <row r="34" spans="1:40" s="36" customFormat="1" ht="14.25" x14ac:dyDescent="0.2">
      <c r="A34" s="57"/>
      <c r="G34" s="58"/>
      <c r="AN34" s="36" t="e">
        <f>VLOOKUP(I34,Sheet1!A:D,4,FALSE)</f>
        <v>#N/A</v>
      </c>
    </row>
    <row r="35" spans="1:40" s="36" customFormat="1" ht="14.25" x14ac:dyDescent="0.2">
      <c r="A35" s="57"/>
      <c r="G35" s="58"/>
      <c r="AN35" s="36" t="e">
        <f>VLOOKUP(I35,Sheet1!A:D,4,FALSE)</f>
        <v>#N/A</v>
      </c>
    </row>
    <row r="36" spans="1:40" s="36" customFormat="1" ht="14.25" x14ac:dyDescent="0.2">
      <c r="A36" s="57"/>
      <c r="G36" s="58"/>
      <c r="AN36" s="36" t="e">
        <f>VLOOKUP(I36,Sheet1!A:D,4,FALSE)</f>
        <v>#N/A</v>
      </c>
    </row>
    <row r="37" spans="1:40" s="36" customFormat="1" ht="14.25" x14ac:dyDescent="0.2">
      <c r="A37" s="57"/>
      <c r="G37" s="58"/>
      <c r="AN37" s="36" t="e">
        <f>VLOOKUP(I37,Sheet1!A:D,4,FALSE)</f>
        <v>#N/A</v>
      </c>
    </row>
    <row r="38" spans="1:40" s="36" customFormat="1" ht="14.25" x14ac:dyDescent="0.2">
      <c r="A38" s="57"/>
      <c r="G38" s="58"/>
      <c r="AN38" s="36" t="e">
        <f>VLOOKUP(I38,Sheet1!A:D,4,FALSE)</f>
        <v>#N/A</v>
      </c>
    </row>
    <row r="39" spans="1:40" s="36" customFormat="1" ht="14.25" x14ac:dyDescent="0.2">
      <c r="A39" s="57"/>
      <c r="G39" s="58"/>
      <c r="AN39" s="36" t="e">
        <f>VLOOKUP(I39,Sheet1!A:D,4,FALSE)</f>
        <v>#N/A</v>
      </c>
    </row>
    <row r="40" spans="1:40" s="36" customFormat="1" ht="14.25" x14ac:dyDescent="0.2">
      <c r="A40" s="57"/>
      <c r="G40" s="58"/>
      <c r="AN40" s="36" t="e">
        <f>VLOOKUP(I40,Sheet1!A:D,4,FALSE)</f>
        <v>#N/A</v>
      </c>
    </row>
    <row r="41" spans="1:40" s="36" customFormat="1" ht="14.25" x14ac:dyDescent="0.2">
      <c r="A41" s="57"/>
      <c r="G41" s="58"/>
      <c r="AN41" s="36" t="e">
        <f>VLOOKUP(I41,Sheet1!A:D,4,FALSE)</f>
        <v>#N/A</v>
      </c>
    </row>
    <row r="42" spans="1:40" s="36" customFormat="1" ht="14.25" x14ac:dyDescent="0.2">
      <c r="A42" s="57"/>
      <c r="G42" s="58"/>
      <c r="AN42" s="36" t="e">
        <f>VLOOKUP(I42,Sheet1!A:D,4,FALSE)</f>
        <v>#N/A</v>
      </c>
    </row>
    <row r="43" spans="1:40" s="36" customFormat="1" ht="14.25" x14ac:dyDescent="0.2">
      <c r="A43" s="57"/>
      <c r="G43" s="58"/>
      <c r="AN43" s="36" t="e">
        <f>VLOOKUP(I43,Sheet1!A:D,4,FALSE)</f>
        <v>#N/A</v>
      </c>
    </row>
    <row r="44" spans="1:40" s="36" customFormat="1" ht="14.25" x14ac:dyDescent="0.2">
      <c r="A44" s="57"/>
      <c r="G44" s="58"/>
      <c r="AN44" s="36" t="e">
        <f>VLOOKUP(I44,Sheet1!A:D,4,FALSE)</f>
        <v>#N/A</v>
      </c>
    </row>
    <row r="45" spans="1:40" s="36" customFormat="1" ht="14.25" x14ac:dyDescent="0.2">
      <c r="A45" s="57"/>
      <c r="G45" s="58"/>
      <c r="AN45" s="36" t="e">
        <f>VLOOKUP(I45,Sheet1!A:D,4,FALSE)</f>
        <v>#N/A</v>
      </c>
    </row>
    <row r="46" spans="1:40" s="36" customFormat="1" ht="14.25" x14ac:dyDescent="0.2">
      <c r="A46" s="57"/>
      <c r="G46" s="58"/>
      <c r="AN46" s="36" t="e">
        <f>VLOOKUP(I46,Sheet1!A:D,4,FALSE)</f>
        <v>#N/A</v>
      </c>
    </row>
    <row r="47" spans="1:40" s="36" customFormat="1" ht="14.25" x14ac:dyDescent="0.2">
      <c r="A47" s="57"/>
      <c r="G47" s="58"/>
      <c r="AN47" s="36" t="e">
        <f>VLOOKUP(I47,Sheet1!A:D,4,FALSE)</f>
        <v>#N/A</v>
      </c>
    </row>
    <row r="48" spans="1:40" s="36" customFormat="1" ht="14.25" x14ac:dyDescent="0.2">
      <c r="A48" s="57"/>
      <c r="G48" s="58"/>
      <c r="AN48" s="36" t="e">
        <f>VLOOKUP(I48,Sheet1!A:D,4,FALSE)</f>
        <v>#N/A</v>
      </c>
    </row>
    <row r="49" spans="1:40" s="36" customFormat="1" ht="14.25" x14ac:dyDescent="0.2">
      <c r="A49" s="57"/>
      <c r="G49" s="58"/>
      <c r="AN49" s="36" t="e">
        <f>VLOOKUP(I49,Sheet1!A:D,4,FALSE)</f>
        <v>#N/A</v>
      </c>
    </row>
    <row r="50" spans="1:40" s="36" customFormat="1" ht="14.25" x14ac:dyDescent="0.2">
      <c r="A50" s="57"/>
      <c r="G50" s="58"/>
      <c r="AN50" s="36" t="e">
        <f>VLOOKUP(I50,Sheet1!A:D,4,FALSE)</f>
        <v>#N/A</v>
      </c>
    </row>
    <row r="51" spans="1:40" s="36" customFormat="1" ht="14.25" x14ac:dyDescent="0.2">
      <c r="A51" s="57"/>
      <c r="G51" s="58"/>
      <c r="AN51" s="36" t="e">
        <f>VLOOKUP(I51,Sheet1!A:D,4,FALSE)</f>
        <v>#N/A</v>
      </c>
    </row>
    <row r="52" spans="1:40" s="36" customFormat="1" ht="14.25" x14ac:dyDescent="0.2">
      <c r="A52" s="57"/>
      <c r="G52" s="58"/>
      <c r="AN52" s="36" t="e">
        <f>VLOOKUP(I52,Sheet1!A:D,4,FALSE)</f>
        <v>#N/A</v>
      </c>
    </row>
    <row r="53" spans="1:40" s="36" customFormat="1" ht="14.25" x14ac:dyDescent="0.2">
      <c r="A53" s="57"/>
      <c r="G53" s="58"/>
      <c r="AN53" s="36" t="e">
        <f>VLOOKUP(I53,Sheet1!A:D,4,FALSE)</f>
        <v>#N/A</v>
      </c>
    </row>
    <row r="54" spans="1:40" s="36" customFormat="1" ht="14.25" x14ac:dyDescent="0.2">
      <c r="A54" s="57"/>
      <c r="G54" s="58"/>
      <c r="AN54" s="36" t="e">
        <f>VLOOKUP(I54,Sheet1!A:D,4,FALSE)</f>
        <v>#N/A</v>
      </c>
    </row>
    <row r="55" spans="1:40" s="36" customFormat="1" ht="14.25" x14ac:dyDescent="0.2">
      <c r="A55" s="57"/>
      <c r="G55" s="58"/>
      <c r="AN55" s="36" t="e">
        <f>VLOOKUP(I55,Sheet1!A:D,4,FALSE)</f>
        <v>#N/A</v>
      </c>
    </row>
    <row r="56" spans="1:40" s="36" customFormat="1" ht="14.25" x14ac:dyDescent="0.2">
      <c r="A56" s="57"/>
      <c r="G56" s="58"/>
      <c r="AN56" s="36" t="e">
        <f>VLOOKUP(I56,Sheet1!A:D,4,FALSE)</f>
        <v>#N/A</v>
      </c>
    </row>
    <row r="57" spans="1:40" s="36" customFormat="1" ht="14.25" x14ac:dyDescent="0.2">
      <c r="A57" s="57"/>
      <c r="G57" s="58"/>
      <c r="AN57" s="36" t="e">
        <f>VLOOKUP(I57,Sheet1!A:D,4,FALSE)</f>
        <v>#N/A</v>
      </c>
    </row>
    <row r="58" spans="1:40" s="36" customFormat="1" ht="14.25" x14ac:dyDescent="0.2">
      <c r="A58" s="57"/>
      <c r="G58" s="58"/>
      <c r="AN58" s="36" t="e">
        <f>VLOOKUP(I58,Sheet1!A:D,4,FALSE)</f>
        <v>#N/A</v>
      </c>
    </row>
    <row r="59" spans="1:40" s="36" customFormat="1" ht="14.25" x14ac:dyDescent="0.2">
      <c r="A59" s="57"/>
      <c r="G59" s="58"/>
      <c r="AN59" s="36" t="e">
        <f>VLOOKUP(I59,Sheet1!A:D,4,FALSE)</f>
        <v>#N/A</v>
      </c>
    </row>
    <row r="60" spans="1:40" s="36" customFormat="1" ht="14.25" x14ac:dyDescent="0.2">
      <c r="A60" s="57"/>
      <c r="G60" s="58"/>
      <c r="AN60" s="36" t="e">
        <f>VLOOKUP(I60,Sheet1!A:D,4,FALSE)</f>
        <v>#N/A</v>
      </c>
    </row>
    <row r="61" spans="1:40" s="36" customFormat="1" ht="14.25" x14ac:dyDescent="0.2">
      <c r="A61" s="57"/>
      <c r="G61" s="58"/>
      <c r="AN61" s="36" t="e">
        <f>VLOOKUP(I61,Sheet1!A:D,4,FALSE)</f>
        <v>#N/A</v>
      </c>
    </row>
    <row r="62" spans="1:40" s="36" customFormat="1" ht="14.25" x14ac:dyDescent="0.2">
      <c r="A62" s="57"/>
      <c r="G62" s="58"/>
      <c r="AN62" s="36" t="e">
        <f>VLOOKUP(I62,Sheet1!A:D,4,FALSE)</f>
        <v>#N/A</v>
      </c>
    </row>
    <row r="63" spans="1:40" s="36" customFormat="1" ht="14.25" x14ac:dyDescent="0.2">
      <c r="A63" s="57"/>
      <c r="G63" s="58"/>
      <c r="AN63" s="36" t="e">
        <f>VLOOKUP(I63,Sheet1!A:D,4,FALSE)</f>
        <v>#N/A</v>
      </c>
    </row>
    <row r="64" spans="1:40" s="36" customFormat="1" ht="14.25" x14ac:dyDescent="0.2">
      <c r="A64" s="57"/>
      <c r="G64" s="58"/>
      <c r="AN64" s="36" t="e">
        <f>VLOOKUP(I64,Sheet1!A:D,4,FALSE)</f>
        <v>#N/A</v>
      </c>
    </row>
    <row r="65" spans="1:40" s="36" customFormat="1" ht="14.25" x14ac:dyDescent="0.2">
      <c r="A65" s="57"/>
      <c r="G65" s="58"/>
      <c r="AN65" s="36" t="e">
        <f>VLOOKUP(I65,Sheet1!A:D,4,FALSE)</f>
        <v>#N/A</v>
      </c>
    </row>
    <row r="66" spans="1:40" s="36" customFormat="1" ht="14.25" x14ac:dyDescent="0.2">
      <c r="A66" s="57"/>
      <c r="G66" s="58"/>
      <c r="AN66" s="36" t="e">
        <f>VLOOKUP(I66,Sheet1!A:D,4,FALSE)</f>
        <v>#N/A</v>
      </c>
    </row>
    <row r="67" spans="1:40" s="36" customFormat="1" ht="14.25" x14ac:dyDescent="0.2">
      <c r="A67" s="57"/>
      <c r="G67" s="58"/>
      <c r="AN67" s="36" t="e">
        <f>VLOOKUP(I67,Sheet1!A:D,4,FALSE)</f>
        <v>#N/A</v>
      </c>
    </row>
    <row r="68" spans="1:40" s="36" customFormat="1" ht="14.25" x14ac:dyDescent="0.2">
      <c r="A68" s="57"/>
      <c r="G68" s="58"/>
      <c r="AN68" s="36" t="e">
        <f>VLOOKUP(I68,Sheet1!A:D,4,FALSE)</f>
        <v>#N/A</v>
      </c>
    </row>
    <row r="69" spans="1:40" s="36" customFormat="1" ht="14.25" x14ac:dyDescent="0.2">
      <c r="A69" s="57"/>
      <c r="G69" s="58"/>
      <c r="AN69" s="36" t="e">
        <f>VLOOKUP(I69,Sheet1!A:D,4,FALSE)</f>
        <v>#N/A</v>
      </c>
    </row>
    <row r="70" spans="1:40" s="36" customFormat="1" ht="14.25" x14ac:dyDescent="0.2">
      <c r="A70" s="57"/>
      <c r="G70" s="58"/>
      <c r="AN70" s="36" t="e">
        <f>VLOOKUP(I70,Sheet1!A:D,4,FALSE)</f>
        <v>#N/A</v>
      </c>
    </row>
    <row r="71" spans="1:40" s="36" customFormat="1" ht="14.25" x14ac:dyDescent="0.2">
      <c r="A71" s="57"/>
      <c r="G71" s="58"/>
      <c r="AN71" s="36" t="e">
        <f>VLOOKUP(I71,Sheet1!A:D,4,FALSE)</f>
        <v>#N/A</v>
      </c>
    </row>
    <row r="72" spans="1:40" s="36" customFormat="1" ht="14.25" x14ac:dyDescent="0.2">
      <c r="A72" s="57"/>
      <c r="G72" s="58"/>
      <c r="AN72" s="36" t="e">
        <f>VLOOKUP(I72,Sheet1!A:D,4,FALSE)</f>
        <v>#N/A</v>
      </c>
    </row>
    <row r="73" spans="1:40" s="36" customFormat="1" ht="14.25" x14ac:dyDescent="0.2">
      <c r="A73" s="57"/>
      <c r="G73" s="58"/>
      <c r="AN73" s="36" t="e">
        <f>VLOOKUP(I73,Sheet1!A:D,4,FALSE)</f>
        <v>#N/A</v>
      </c>
    </row>
    <row r="74" spans="1:40" s="36" customFormat="1" ht="14.25" x14ac:dyDescent="0.2">
      <c r="A74" s="57"/>
      <c r="G74" s="58"/>
      <c r="AN74" s="36" t="e">
        <f>VLOOKUP(I74,Sheet1!A:D,4,FALSE)</f>
        <v>#N/A</v>
      </c>
    </row>
    <row r="75" spans="1:40" s="36" customFormat="1" ht="14.25" x14ac:dyDescent="0.2">
      <c r="A75" s="57"/>
      <c r="G75" s="58"/>
      <c r="AN75" s="36" t="e">
        <f>VLOOKUP(I75,Sheet1!A:D,4,FALSE)</f>
        <v>#N/A</v>
      </c>
    </row>
    <row r="76" spans="1:40" s="36" customFormat="1" ht="14.25" x14ac:dyDescent="0.2">
      <c r="A76" s="57"/>
      <c r="G76" s="58"/>
      <c r="AN76" s="36" t="e">
        <f>VLOOKUP(I76,Sheet1!A:D,4,FALSE)</f>
        <v>#N/A</v>
      </c>
    </row>
    <row r="77" spans="1:40" s="36" customFormat="1" ht="14.25" x14ac:dyDescent="0.2">
      <c r="A77" s="57"/>
      <c r="G77" s="58"/>
      <c r="AN77" s="36" t="e">
        <f>VLOOKUP(I77,Sheet1!A:D,4,FALSE)</f>
        <v>#N/A</v>
      </c>
    </row>
    <row r="78" spans="1:40" s="36" customFormat="1" ht="14.25" x14ac:dyDescent="0.2">
      <c r="A78" s="57"/>
      <c r="G78" s="58"/>
      <c r="AN78" s="36" t="e">
        <f>VLOOKUP(I78,Sheet1!A:D,4,FALSE)</f>
        <v>#N/A</v>
      </c>
    </row>
    <row r="79" spans="1:40" s="36" customFormat="1" ht="14.25" x14ac:dyDescent="0.2">
      <c r="A79" s="57"/>
      <c r="G79" s="58"/>
      <c r="AN79" s="36" t="e">
        <f>VLOOKUP(I79,Sheet1!A:D,4,FALSE)</f>
        <v>#N/A</v>
      </c>
    </row>
    <row r="80" spans="1:40" s="36" customFormat="1" ht="14.25" x14ac:dyDescent="0.2">
      <c r="A80" s="57"/>
      <c r="G80" s="58"/>
      <c r="AN80" s="36" t="e">
        <f>VLOOKUP(I80,Sheet1!A:D,4,FALSE)</f>
        <v>#N/A</v>
      </c>
    </row>
    <row r="81" spans="1:40" s="36" customFormat="1" ht="14.25" x14ac:dyDescent="0.2">
      <c r="A81" s="57"/>
      <c r="G81" s="58"/>
      <c r="AN81" s="36" t="e">
        <f>VLOOKUP(I81,Sheet1!A:D,4,FALSE)</f>
        <v>#N/A</v>
      </c>
    </row>
    <row r="82" spans="1:40" s="36" customFormat="1" ht="14.25" x14ac:dyDescent="0.2">
      <c r="A82" s="57"/>
      <c r="G82" s="58"/>
      <c r="AN82" s="36" t="e">
        <f>VLOOKUP(I82,Sheet1!A:D,4,FALSE)</f>
        <v>#N/A</v>
      </c>
    </row>
    <row r="83" spans="1:40" s="36" customFormat="1" ht="14.25" x14ac:dyDescent="0.2">
      <c r="A83" s="57"/>
      <c r="G83" s="58"/>
      <c r="AN83" s="36" t="e">
        <f>VLOOKUP(I83,Sheet1!A:D,4,FALSE)</f>
        <v>#N/A</v>
      </c>
    </row>
    <row r="84" spans="1:40" s="36" customFormat="1" ht="14.25" x14ac:dyDescent="0.2">
      <c r="A84" s="57"/>
      <c r="G84" s="58"/>
      <c r="AN84" s="36" t="e">
        <f>VLOOKUP(I84,Sheet1!A:D,4,FALSE)</f>
        <v>#N/A</v>
      </c>
    </row>
    <row r="85" spans="1:40" s="36" customFormat="1" ht="14.25" x14ac:dyDescent="0.2">
      <c r="A85" s="57"/>
      <c r="G85" s="58"/>
      <c r="AN85" s="36" t="e">
        <f>VLOOKUP(I85,Sheet1!A:D,4,FALSE)</f>
        <v>#N/A</v>
      </c>
    </row>
    <row r="86" spans="1:40" s="36" customFormat="1" ht="14.25" x14ac:dyDescent="0.2">
      <c r="A86" s="57"/>
      <c r="G86" s="58"/>
      <c r="AN86" s="36" t="e">
        <f>VLOOKUP(I86,Sheet1!A:D,4,FALSE)</f>
        <v>#N/A</v>
      </c>
    </row>
    <row r="87" spans="1:40" s="36" customFormat="1" ht="14.25" x14ac:dyDescent="0.2">
      <c r="A87" s="57"/>
      <c r="G87" s="58"/>
      <c r="AN87" s="36" t="e">
        <f>VLOOKUP(I87,Sheet1!A:D,4,FALSE)</f>
        <v>#N/A</v>
      </c>
    </row>
    <row r="88" spans="1:40" s="36" customFormat="1" ht="14.25" x14ac:dyDescent="0.2">
      <c r="A88" s="57"/>
      <c r="G88" s="58"/>
      <c r="AN88" s="36" t="e">
        <f>VLOOKUP(I88,Sheet1!A:D,4,FALSE)</f>
        <v>#N/A</v>
      </c>
    </row>
    <row r="89" spans="1:40" s="36" customFormat="1" ht="14.25" x14ac:dyDescent="0.2">
      <c r="A89" s="57"/>
      <c r="G89" s="58"/>
      <c r="AN89" s="36" t="e">
        <f>VLOOKUP(I89,Sheet1!A:D,4,FALSE)</f>
        <v>#N/A</v>
      </c>
    </row>
    <row r="90" spans="1:40" s="36" customFormat="1" ht="14.25" x14ac:dyDescent="0.2">
      <c r="A90" s="57"/>
      <c r="G90" s="58"/>
      <c r="AN90" s="36" t="e">
        <f>VLOOKUP(I90,Sheet1!A:D,4,FALSE)</f>
        <v>#N/A</v>
      </c>
    </row>
    <row r="91" spans="1:40" s="36" customFormat="1" ht="14.25" x14ac:dyDescent="0.2">
      <c r="A91" s="57"/>
      <c r="G91" s="58"/>
      <c r="AN91" s="36" t="e">
        <f>VLOOKUP(I91,Sheet1!A:D,4,FALSE)</f>
        <v>#N/A</v>
      </c>
    </row>
    <row r="92" spans="1:40" s="36" customFormat="1" ht="14.25" x14ac:dyDescent="0.2">
      <c r="A92" s="57"/>
      <c r="G92" s="58"/>
      <c r="AN92" s="36" t="e">
        <f>VLOOKUP(I92,Sheet1!A:D,4,FALSE)</f>
        <v>#N/A</v>
      </c>
    </row>
    <row r="93" spans="1:40" s="36" customFormat="1" ht="14.25" x14ac:dyDescent="0.2">
      <c r="A93" s="57"/>
      <c r="G93" s="58"/>
      <c r="AN93" s="36" t="e">
        <f>VLOOKUP(I93,Sheet1!A:D,4,FALSE)</f>
        <v>#N/A</v>
      </c>
    </row>
    <row r="94" spans="1:40" s="36" customFormat="1" ht="14.25" x14ac:dyDescent="0.2">
      <c r="A94" s="57"/>
      <c r="G94" s="58"/>
      <c r="AN94" s="36" t="e">
        <f>VLOOKUP(I94,Sheet1!A:D,4,FALSE)</f>
        <v>#N/A</v>
      </c>
    </row>
    <row r="95" spans="1:40" s="36" customFormat="1" ht="14.25" x14ac:dyDescent="0.2">
      <c r="A95" s="57"/>
      <c r="G95" s="58"/>
      <c r="AN95" s="36" t="e">
        <f>VLOOKUP(I95,Sheet1!A:D,4,FALSE)</f>
        <v>#N/A</v>
      </c>
    </row>
    <row r="96" spans="1:40" s="36" customFormat="1" ht="14.25" x14ac:dyDescent="0.2">
      <c r="A96" s="57"/>
      <c r="G96" s="58"/>
      <c r="AN96" s="36" t="e">
        <f>VLOOKUP(I96,Sheet1!A:D,4,FALSE)</f>
        <v>#N/A</v>
      </c>
    </row>
    <row r="97" spans="1:40" s="36" customFormat="1" ht="14.25" x14ac:dyDescent="0.2">
      <c r="A97" s="57"/>
      <c r="G97" s="58"/>
      <c r="AN97" s="36" t="e">
        <f>VLOOKUP(I97,Sheet1!A:D,4,FALSE)</f>
        <v>#N/A</v>
      </c>
    </row>
    <row r="98" spans="1:40" s="36" customFormat="1" ht="14.25" x14ac:dyDescent="0.2">
      <c r="A98" s="57"/>
      <c r="G98" s="58"/>
      <c r="AN98" s="36" t="e">
        <f>VLOOKUP(I98,Sheet1!A:D,4,FALSE)</f>
        <v>#N/A</v>
      </c>
    </row>
    <row r="99" spans="1:40" s="36" customFormat="1" ht="14.25" x14ac:dyDescent="0.2">
      <c r="A99" s="57"/>
      <c r="G99" s="58"/>
      <c r="AN99" s="36" t="e">
        <f>VLOOKUP(I99,Sheet1!A:D,4,FALSE)</f>
        <v>#N/A</v>
      </c>
    </row>
    <row r="100" spans="1:40" s="36" customFormat="1" ht="14.25" x14ac:dyDescent="0.2">
      <c r="A100" s="57"/>
      <c r="G100" s="58"/>
      <c r="AN100" s="36" t="e">
        <f>VLOOKUP(I100,Sheet1!A:D,4,FALSE)</f>
        <v>#N/A</v>
      </c>
    </row>
    <row r="101" spans="1:40" s="36" customFormat="1" ht="14.25" x14ac:dyDescent="0.2">
      <c r="A101" s="57"/>
      <c r="G101" s="58"/>
      <c r="AN101" s="36" t="e">
        <f>VLOOKUP(I101,Sheet1!A:D,4,FALSE)</f>
        <v>#N/A</v>
      </c>
    </row>
    <row r="102" spans="1:40" s="36" customFormat="1" ht="14.25" x14ac:dyDescent="0.2">
      <c r="A102" s="57"/>
      <c r="G102" s="58"/>
      <c r="AN102" s="36" t="e">
        <f>VLOOKUP(I102,Sheet1!A:D,4,FALSE)</f>
        <v>#N/A</v>
      </c>
    </row>
    <row r="103" spans="1:40" s="36" customFormat="1" ht="14.25" x14ac:dyDescent="0.2">
      <c r="A103" s="57"/>
      <c r="G103" s="58"/>
      <c r="AN103" s="36" t="e">
        <f>VLOOKUP(I103,Sheet1!A:D,4,FALSE)</f>
        <v>#N/A</v>
      </c>
    </row>
    <row r="104" spans="1:40" s="36" customFormat="1" ht="14.25" x14ac:dyDescent="0.2">
      <c r="A104" s="57"/>
      <c r="G104" s="58"/>
      <c r="AN104" s="36" t="e">
        <f>VLOOKUP(I104,Sheet1!A:D,4,FALSE)</f>
        <v>#N/A</v>
      </c>
    </row>
    <row r="105" spans="1:40" s="36" customFormat="1" ht="14.25" x14ac:dyDescent="0.2">
      <c r="A105" s="57"/>
      <c r="G105" s="58"/>
      <c r="AN105" s="36" t="e">
        <f>VLOOKUP(I105,Sheet1!A:D,4,FALSE)</f>
        <v>#N/A</v>
      </c>
    </row>
    <row r="106" spans="1:40" s="36" customFormat="1" ht="14.25" x14ac:dyDescent="0.2">
      <c r="A106" s="57"/>
      <c r="G106" s="58"/>
      <c r="AN106" s="36" t="e">
        <f>VLOOKUP(I106,Sheet1!A:D,4,FALSE)</f>
        <v>#N/A</v>
      </c>
    </row>
    <row r="107" spans="1:40" s="36" customFormat="1" ht="14.25" x14ac:dyDescent="0.2">
      <c r="A107" s="57"/>
      <c r="G107" s="58"/>
      <c r="AN107" s="36" t="e">
        <f>VLOOKUP(I107,Sheet1!A:D,4,FALSE)</f>
        <v>#N/A</v>
      </c>
    </row>
    <row r="108" spans="1:40" s="36" customFormat="1" ht="14.25" x14ac:dyDescent="0.2">
      <c r="A108" s="57"/>
      <c r="G108" s="58"/>
      <c r="AN108" s="36" t="e">
        <f>VLOOKUP(I108,Sheet1!A:D,4,FALSE)</f>
        <v>#N/A</v>
      </c>
    </row>
    <row r="109" spans="1:40" s="36" customFormat="1" ht="14.25" x14ac:dyDescent="0.2">
      <c r="A109" s="57"/>
      <c r="G109" s="58"/>
      <c r="AN109" s="36" t="e">
        <f>VLOOKUP(I109,Sheet1!A:D,4,FALSE)</f>
        <v>#N/A</v>
      </c>
    </row>
    <row r="110" spans="1:40" s="36" customFormat="1" ht="14.25" x14ac:dyDescent="0.2">
      <c r="A110" s="57"/>
      <c r="G110" s="58"/>
      <c r="AN110" s="36" t="e">
        <f>VLOOKUP(I110,Sheet1!A:D,4,FALSE)</f>
        <v>#N/A</v>
      </c>
    </row>
    <row r="111" spans="1:40" s="36" customFormat="1" ht="14.25" x14ac:dyDescent="0.2">
      <c r="A111" s="57"/>
      <c r="G111" s="58"/>
      <c r="AN111" s="36" t="e">
        <f>VLOOKUP(I111,Sheet1!A:D,4,FALSE)</f>
        <v>#N/A</v>
      </c>
    </row>
    <row r="112" spans="1:40" s="36" customFormat="1" ht="14.25" x14ac:dyDescent="0.2">
      <c r="A112" s="57"/>
      <c r="G112" s="58"/>
      <c r="AN112" s="36" t="e">
        <f>VLOOKUP(I112,Sheet1!A:D,4,FALSE)</f>
        <v>#N/A</v>
      </c>
    </row>
    <row r="113" spans="1:40" s="36" customFormat="1" ht="14.25" x14ac:dyDescent="0.2">
      <c r="A113" s="57"/>
      <c r="G113" s="58"/>
      <c r="AN113" s="36" t="e">
        <f>VLOOKUP(I113,Sheet1!A:D,4,FALSE)</f>
        <v>#N/A</v>
      </c>
    </row>
    <row r="114" spans="1:40" s="36" customFormat="1" ht="14.25" x14ac:dyDescent="0.2">
      <c r="A114" s="57"/>
      <c r="G114" s="58"/>
      <c r="AN114" s="36" t="e">
        <f>VLOOKUP(I114,Sheet1!A:D,4,FALSE)</f>
        <v>#N/A</v>
      </c>
    </row>
    <row r="115" spans="1:40" s="36" customFormat="1" ht="14.25" x14ac:dyDescent="0.2">
      <c r="A115" s="57"/>
      <c r="G115" s="58"/>
      <c r="AN115" s="36" t="e">
        <f>VLOOKUP(I115,Sheet1!A:D,4,FALSE)</f>
        <v>#N/A</v>
      </c>
    </row>
    <row r="116" spans="1:40" s="36" customFormat="1" ht="14.25" x14ac:dyDescent="0.2">
      <c r="A116" s="57"/>
      <c r="G116" s="58"/>
      <c r="AN116" s="36" t="e">
        <f>VLOOKUP(I116,Sheet1!A:D,4,FALSE)</f>
        <v>#N/A</v>
      </c>
    </row>
    <row r="117" spans="1:40" s="36" customFormat="1" ht="14.25" x14ac:dyDescent="0.2">
      <c r="A117" s="57"/>
      <c r="G117" s="58"/>
      <c r="AN117" s="36" t="e">
        <f>VLOOKUP(I117,Sheet1!A:D,4,FALSE)</f>
        <v>#N/A</v>
      </c>
    </row>
    <row r="118" spans="1:40" s="36" customFormat="1" ht="14.25" x14ac:dyDescent="0.2">
      <c r="A118" s="57"/>
      <c r="G118" s="58"/>
      <c r="AN118" s="36" t="e">
        <f>VLOOKUP(I118,Sheet1!A:D,4,FALSE)</f>
        <v>#N/A</v>
      </c>
    </row>
    <row r="119" spans="1:40" s="36" customFormat="1" ht="14.25" x14ac:dyDescent="0.2">
      <c r="A119" s="57"/>
      <c r="G119" s="58"/>
      <c r="AN119" s="36" t="e">
        <f>VLOOKUP(I119,Sheet1!A:D,4,FALSE)</f>
        <v>#N/A</v>
      </c>
    </row>
    <row r="120" spans="1:40" s="36" customFormat="1" ht="14.25" x14ac:dyDescent="0.2">
      <c r="A120" s="57"/>
      <c r="G120" s="58"/>
      <c r="AN120" s="36" t="e">
        <f>VLOOKUP(I120,Sheet1!A:D,4,FALSE)</f>
        <v>#N/A</v>
      </c>
    </row>
    <row r="121" spans="1:40" s="36" customFormat="1" ht="14.25" x14ac:dyDescent="0.2">
      <c r="A121" s="57"/>
      <c r="G121" s="58"/>
      <c r="AN121" s="36" t="e">
        <f>VLOOKUP(I121,Sheet1!A:D,4,FALSE)</f>
        <v>#N/A</v>
      </c>
    </row>
    <row r="122" spans="1:40" s="36" customFormat="1" ht="14.25" x14ac:dyDescent="0.2">
      <c r="A122" s="57"/>
      <c r="G122" s="58"/>
      <c r="AN122" s="36" t="e">
        <f>VLOOKUP(I122,Sheet1!A:D,4,FALSE)</f>
        <v>#N/A</v>
      </c>
    </row>
    <row r="123" spans="1:40" s="36" customFormat="1" ht="14.25" x14ac:dyDescent="0.2">
      <c r="A123" s="57"/>
      <c r="G123" s="58"/>
      <c r="AN123" s="36" t="e">
        <f>VLOOKUP(I123,Sheet1!A:D,4,FALSE)</f>
        <v>#N/A</v>
      </c>
    </row>
    <row r="124" spans="1:40" s="36" customFormat="1" ht="14.25" x14ac:dyDescent="0.2">
      <c r="A124" s="57"/>
      <c r="G124" s="58"/>
      <c r="AN124" s="36" t="e">
        <f>VLOOKUP(I124,Sheet1!A:D,4,FALSE)</f>
        <v>#N/A</v>
      </c>
    </row>
    <row r="125" spans="1:40" s="36" customFormat="1" ht="14.25" x14ac:dyDescent="0.2">
      <c r="A125" s="57"/>
      <c r="G125" s="58"/>
      <c r="AN125" s="36" t="e">
        <f>VLOOKUP(I125,Sheet1!A:D,4,FALSE)</f>
        <v>#N/A</v>
      </c>
    </row>
    <row r="126" spans="1:40" s="36" customFormat="1" ht="14.25" x14ac:dyDescent="0.2">
      <c r="A126" s="57"/>
      <c r="G126" s="58"/>
      <c r="AN126" s="36" t="e">
        <f>VLOOKUP(I126,Sheet1!A:D,4,FALSE)</f>
        <v>#N/A</v>
      </c>
    </row>
    <row r="127" spans="1:40" s="36" customFormat="1" ht="14.25" x14ac:dyDescent="0.2">
      <c r="A127" s="57"/>
      <c r="G127" s="58"/>
      <c r="AN127" s="36" t="e">
        <f>VLOOKUP(I127,Sheet1!A:D,4,FALSE)</f>
        <v>#N/A</v>
      </c>
    </row>
    <row r="128" spans="1:40" s="36" customFormat="1" ht="14.25" x14ac:dyDescent="0.2">
      <c r="A128" s="57"/>
      <c r="G128" s="58"/>
      <c r="AN128" s="36" t="e">
        <f>VLOOKUP(I128,Sheet1!A:D,4,FALSE)</f>
        <v>#N/A</v>
      </c>
    </row>
    <row r="129" spans="1:40" s="36" customFormat="1" ht="14.25" x14ac:dyDescent="0.2">
      <c r="A129" s="57"/>
      <c r="G129" s="58"/>
      <c r="AN129" s="36" t="e">
        <f>VLOOKUP(I129,Sheet1!A:D,4,FALSE)</f>
        <v>#N/A</v>
      </c>
    </row>
    <row r="130" spans="1:40" s="36" customFormat="1" ht="14.25" x14ac:dyDescent="0.2">
      <c r="A130" s="57"/>
      <c r="G130" s="58"/>
      <c r="AN130" s="36" t="e">
        <f>VLOOKUP(I130,Sheet1!A:D,4,FALSE)</f>
        <v>#N/A</v>
      </c>
    </row>
    <row r="131" spans="1:40" s="36" customFormat="1" ht="14.25" x14ac:dyDescent="0.2">
      <c r="A131" s="57"/>
      <c r="G131" s="58"/>
      <c r="AN131" s="36" t="e">
        <f>VLOOKUP(I131,Sheet1!A:D,4,FALSE)</f>
        <v>#N/A</v>
      </c>
    </row>
    <row r="132" spans="1:40" s="36" customFormat="1" ht="14.25" x14ac:dyDescent="0.2">
      <c r="A132" s="57"/>
      <c r="G132" s="58"/>
      <c r="AN132" s="36" t="e">
        <f>VLOOKUP(I132,Sheet1!A:D,4,FALSE)</f>
        <v>#N/A</v>
      </c>
    </row>
    <row r="133" spans="1:40" s="36" customFormat="1" ht="14.25" x14ac:dyDescent="0.2">
      <c r="A133" s="57"/>
      <c r="G133" s="58"/>
      <c r="AN133" s="36" t="e">
        <f>VLOOKUP(I133,Sheet1!A:D,4,FALSE)</f>
        <v>#N/A</v>
      </c>
    </row>
    <row r="134" spans="1:40" s="36" customFormat="1" ht="14.25" x14ac:dyDescent="0.2">
      <c r="A134" s="57"/>
      <c r="G134" s="58"/>
      <c r="AN134" s="36" t="e">
        <f>VLOOKUP(I134,Sheet1!A:D,4,FALSE)</f>
        <v>#N/A</v>
      </c>
    </row>
    <row r="135" spans="1:40" s="36" customFormat="1" ht="14.25" x14ac:dyDescent="0.2">
      <c r="A135" s="57"/>
      <c r="G135" s="58"/>
      <c r="AN135" s="36" t="e">
        <f>VLOOKUP(I135,Sheet1!A:D,4,FALSE)</f>
        <v>#N/A</v>
      </c>
    </row>
    <row r="136" spans="1:40" s="36" customFormat="1" ht="14.25" x14ac:dyDescent="0.2">
      <c r="A136" s="57"/>
      <c r="G136" s="58"/>
      <c r="AN136" s="36" t="e">
        <f>VLOOKUP(I136,Sheet1!A:D,4,FALSE)</f>
        <v>#N/A</v>
      </c>
    </row>
    <row r="137" spans="1:40" s="36" customFormat="1" ht="14.25" x14ac:dyDescent="0.2">
      <c r="A137" s="57"/>
      <c r="G137" s="58"/>
      <c r="AN137" s="36" t="e">
        <f>VLOOKUP(I137,Sheet1!A:D,4,FALSE)</f>
        <v>#N/A</v>
      </c>
    </row>
    <row r="138" spans="1:40" s="36" customFormat="1" ht="14.25" x14ac:dyDescent="0.2">
      <c r="A138" s="57"/>
      <c r="G138" s="58"/>
      <c r="AN138" s="36" t="e">
        <f>VLOOKUP(I138,Sheet1!A:D,4,FALSE)</f>
        <v>#N/A</v>
      </c>
    </row>
    <row r="139" spans="1:40" s="36" customFormat="1" ht="14.25" x14ac:dyDescent="0.2">
      <c r="A139" s="57"/>
      <c r="G139" s="58"/>
      <c r="AN139" s="36" t="e">
        <f>VLOOKUP(I139,Sheet1!A:D,4,FALSE)</f>
        <v>#N/A</v>
      </c>
    </row>
    <row r="140" spans="1:40" s="36" customFormat="1" ht="14.25" x14ac:dyDescent="0.2">
      <c r="A140" s="57"/>
      <c r="G140" s="58"/>
      <c r="AN140" s="36" t="e">
        <f>VLOOKUP(I140,Sheet1!A:D,4,FALSE)</f>
        <v>#N/A</v>
      </c>
    </row>
    <row r="141" spans="1:40" s="36" customFormat="1" ht="14.25" x14ac:dyDescent="0.2">
      <c r="A141" s="57"/>
      <c r="G141" s="58"/>
      <c r="AN141" s="36" t="e">
        <f>VLOOKUP(I141,Sheet1!A:D,4,FALSE)</f>
        <v>#N/A</v>
      </c>
    </row>
    <row r="142" spans="1:40" s="36" customFormat="1" ht="14.25" x14ac:dyDescent="0.2">
      <c r="A142" s="57"/>
      <c r="G142" s="58"/>
      <c r="AN142" s="36" t="e">
        <f>VLOOKUP(I142,Sheet1!A:D,4,FALSE)</f>
        <v>#N/A</v>
      </c>
    </row>
    <row r="143" spans="1:40" s="36" customFormat="1" ht="14.25" x14ac:dyDescent="0.2">
      <c r="A143" s="57"/>
      <c r="G143" s="58"/>
      <c r="AN143" s="36" t="e">
        <f>VLOOKUP(I143,Sheet1!A:D,4,FALSE)</f>
        <v>#N/A</v>
      </c>
    </row>
    <row r="144" spans="1:40" s="36" customFormat="1" ht="14.25" x14ac:dyDescent="0.2">
      <c r="A144" s="57"/>
      <c r="G144" s="58"/>
      <c r="AN144" s="36" t="e">
        <f>VLOOKUP(I144,Sheet1!A:D,4,FALSE)</f>
        <v>#N/A</v>
      </c>
    </row>
    <row r="145" spans="1:40" s="36" customFormat="1" ht="14.25" x14ac:dyDescent="0.2">
      <c r="A145" s="57"/>
      <c r="G145" s="58"/>
      <c r="AN145" s="36" t="e">
        <f>VLOOKUP(I145,Sheet1!A:D,4,FALSE)</f>
        <v>#N/A</v>
      </c>
    </row>
    <row r="146" spans="1:40" s="36" customFormat="1" ht="14.25" x14ac:dyDescent="0.2">
      <c r="A146" s="57"/>
      <c r="G146" s="58"/>
      <c r="AN146" s="36" t="e">
        <f>VLOOKUP(I146,Sheet1!A:D,4,FALSE)</f>
        <v>#N/A</v>
      </c>
    </row>
    <row r="147" spans="1:40" s="36" customFormat="1" ht="14.25" x14ac:dyDescent="0.2">
      <c r="A147" s="57"/>
      <c r="G147" s="58"/>
      <c r="AN147" s="36" t="e">
        <f>VLOOKUP(I147,Sheet1!A:D,4,FALSE)</f>
        <v>#N/A</v>
      </c>
    </row>
    <row r="148" spans="1:40" s="36" customFormat="1" ht="14.25" x14ac:dyDescent="0.2">
      <c r="A148" s="57"/>
      <c r="G148" s="58"/>
      <c r="AN148" s="36" t="e">
        <f>VLOOKUP(I148,Sheet1!A:D,4,FALSE)</f>
        <v>#N/A</v>
      </c>
    </row>
    <row r="149" spans="1:40" s="36" customFormat="1" ht="14.25" x14ac:dyDescent="0.2">
      <c r="A149" s="57"/>
      <c r="G149" s="58"/>
      <c r="AN149" s="36" t="e">
        <f>VLOOKUP(I149,Sheet1!A:D,4,FALSE)</f>
        <v>#N/A</v>
      </c>
    </row>
    <row r="150" spans="1:40" s="36" customFormat="1" ht="14.25" x14ac:dyDescent="0.2">
      <c r="A150" s="57"/>
      <c r="G150" s="58"/>
      <c r="AN150" s="36" t="e">
        <f>VLOOKUP(I150,Sheet1!A:D,4,FALSE)</f>
        <v>#N/A</v>
      </c>
    </row>
    <row r="151" spans="1:40" s="36" customFormat="1" ht="14.25" x14ac:dyDescent="0.2">
      <c r="A151" s="57"/>
      <c r="G151" s="58"/>
      <c r="AN151" s="36" t="e">
        <f>VLOOKUP(I151,Sheet1!A:D,4,FALSE)</f>
        <v>#N/A</v>
      </c>
    </row>
    <row r="152" spans="1:40" s="36" customFormat="1" ht="14.25" x14ac:dyDescent="0.2">
      <c r="A152" s="57"/>
      <c r="G152" s="58"/>
      <c r="AN152" s="36" t="e">
        <f>VLOOKUP(I152,Sheet1!A:D,4,FALSE)</f>
        <v>#N/A</v>
      </c>
    </row>
    <row r="153" spans="1:40" s="36" customFormat="1" ht="14.25" x14ac:dyDescent="0.2">
      <c r="A153" s="57"/>
      <c r="G153" s="58"/>
      <c r="AN153" s="36" t="e">
        <f>VLOOKUP(I153,Sheet1!A:D,4,FALSE)</f>
        <v>#N/A</v>
      </c>
    </row>
    <row r="154" spans="1:40" s="36" customFormat="1" ht="14.25" x14ac:dyDescent="0.2">
      <c r="A154" s="57"/>
      <c r="G154" s="58"/>
      <c r="AN154" s="36" t="e">
        <f>VLOOKUP(I154,Sheet1!A:D,4,FALSE)</f>
        <v>#N/A</v>
      </c>
    </row>
    <row r="155" spans="1:40" s="36" customFormat="1" ht="14.25" x14ac:dyDescent="0.2">
      <c r="A155" s="57"/>
      <c r="G155" s="58"/>
      <c r="AN155" s="36" t="e">
        <f>VLOOKUP(I155,Sheet1!A:D,4,FALSE)</f>
        <v>#N/A</v>
      </c>
    </row>
    <row r="156" spans="1:40" s="36" customFormat="1" ht="14.25" x14ac:dyDescent="0.2">
      <c r="A156" s="57"/>
      <c r="G156" s="58"/>
      <c r="AN156" s="36" t="e">
        <f>VLOOKUP(I156,Sheet1!A:D,4,FALSE)</f>
        <v>#N/A</v>
      </c>
    </row>
    <row r="157" spans="1:40" s="36" customFormat="1" ht="14.25" x14ac:dyDescent="0.2">
      <c r="A157" s="57"/>
      <c r="G157" s="58"/>
      <c r="AN157" s="36" t="e">
        <f>VLOOKUP(I157,Sheet1!A:D,4,FALSE)</f>
        <v>#N/A</v>
      </c>
    </row>
    <row r="158" spans="1:40" s="36" customFormat="1" ht="14.25" x14ac:dyDescent="0.2">
      <c r="A158" s="57"/>
      <c r="G158" s="58"/>
      <c r="AN158" s="36" t="e">
        <f>VLOOKUP(I158,Sheet1!A:D,4,FALSE)</f>
        <v>#N/A</v>
      </c>
    </row>
    <row r="159" spans="1:40" s="36" customFormat="1" ht="14.25" x14ac:dyDescent="0.2">
      <c r="A159" s="57"/>
      <c r="G159" s="58"/>
      <c r="AN159" s="36" t="e">
        <f>VLOOKUP(I159,Sheet1!A:D,4,FALSE)</f>
        <v>#N/A</v>
      </c>
    </row>
    <row r="160" spans="1:40" s="36" customFormat="1" ht="14.25" x14ac:dyDescent="0.2">
      <c r="A160" s="57"/>
      <c r="G160" s="58"/>
      <c r="AN160" s="36" t="e">
        <f>VLOOKUP(I160,Sheet1!A:D,4,FALSE)</f>
        <v>#N/A</v>
      </c>
    </row>
    <row r="161" spans="1:40" s="36" customFormat="1" ht="14.25" x14ac:dyDescent="0.2">
      <c r="A161" s="57"/>
      <c r="G161" s="58"/>
      <c r="AN161" s="36" t="e">
        <f>VLOOKUP(I161,Sheet1!A:D,4,FALSE)</f>
        <v>#N/A</v>
      </c>
    </row>
    <row r="162" spans="1:40" s="36" customFormat="1" ht="14.25" x14ac:dyDescent="0.2">
      <c r="A162" s="57"/>
      <c r="G162" s="58"/>
      <c r="AN162" s="36" t="e">
        <f>VLOOKUP(I162,Sheet1!A:D,4,FALSE)</f>
        <v>#N/A</v>
      </c>
    </row>
    <row r="163" spans="1:40" s="36" customFormat="1" ht="14.25" x14ac:dyDescent="0.2">
      <c r="A163" s="57"/>
      <c r="G163" s="58"/>
      <c r="AN163" s="36" t="e">
        <f>VLOOKUP(I163,Sheet1!A:D,4,FALSE)</f>
        <v>#N/A</v>
      </c>
    </row>
    <row r="164" spans="1:40" s="36" customFormat="1" ht="14.25" x14ac:dyDescent="0.2">
      <c r="A164" s="57"/>
      <c r="G164" s="58"/>
      <c r="AN164" s="36" t="e">
        <f>VLOOKUP(I164,Sheet1!A:D,4,FALSE)</f>
        <v>#N/A</v>
      </c>
    </row>
    <row r="165" spans="1:40" s="36" customFormat="1" ht="14.25" x14ac:dyDescent="0.2">
      <c r="A165" s="57"/>
      <c r="G165" s="58"/>
      <c r="AN165" s="36" t="e">
        <f>VLOOKUP(I165,Sheet1!A:D,4,FALSE)</f>
        <v>#N/A</v>
      </c>
    </row>
    <row r="166" spans="1:40" s="36" customFormat="1" ht="14.25" x14ac:dyDescent="0.2">
      <c r="A166" s="57"/>
      <c r="G166" s="58"/>
      <c r="AN166" s="36" t="e">
        <f>VLOOKUP(I166,Sheet1!A:D,4,FALSE)</f>
        <v>#N/A</v>
      </c>
    </row>
    <row r="167" spans="1:40" s="36" customFormat="1" ht="14.25" x14ac:dyDescent="0.2">
      <c r="A167" s="57"/>
      <c r="G167" s="58"/>
      <c r="AN167" s="36" t="e">
        <f>VLOOKUP(I167,Sheet1!A:D,4,FALSE)</f>
        <v>#N/A</v>
      </c>
    </row>
    <row r="168" spans="1:40" s="36" customFormat="1" ht="14.25" x14ac:dyDescent="0.2">
      <c r="A168" s="57"/>
      <c r="G168" s="58"/>
      <c r="AN168" s="36" t="e">
        <f>VLOOKUP(I168,Sheet1!A:D,4,FALSE)</f>
        <v>#N/A</v>
      </c>
    </row>
    <row r="169" spans="1:40" s="36" customFormat="1" ht="14.25" x14ac:dyDescent="0.2">
      <c r="A169" s="57"/>
      <c r="G169" s="58"/>
      <c r="AN169" s="36" t="e">
        <f>VLOOKUP(I169,Sheet1!A:D,4,FALSE)</f>
        <v>#N/A</v>
      </c>
    </row>
    <row r="170" spans="1:40" s="36" customFormat="1" ht="14.25" x14ac:dyDescent="0.2">
      <c r="A170" s="57"/>
      <c r="G170" s="58"/>
      <c r="AN170" s="36" t="e">
        <f>VLOOKUP(I170,Sheet1!A:D,4,FALSE)</f>
        <v>#N/A</v>
      </c>
    </row>
    <row r="171" spans="1:40" s="36" customFormat="1" ht="14.25" x14ac:dyDescent="0.2">
      <c r="A171" s="57"/>
      <c r="G171" s="58"/>
      <c r="AN171" s="36" t="e">
        <f>VLOOKUP(I171,Sheet1!A:D,4,FALSE)</f>
        <v>#N/A</v>
      </c>
    </row>
    <row r="172" spans="1:40" s="36" customFormat="1" ht="14.25" x14ac:dyDescent="0.2">
      <c r="A172" s="57"/>
      <c r="G172" s="58"/>
      <c r="AN172" s="36" t="e">
        <f>VLOOKUP(I172,Sheet1!A:D,4,FALSE)</f>
        <v>#N/A</v>
      </c>
    </row>
    <row r="173" spans="1:40" s="36" customFormat="1" ht="14.25" x14ac:dyDescent="0.2">
      <c r="A173" s="57"/>
      <c r="G173" s="58"/>
      <c r="AN173" s="36" t="e">
        <f>VLOOKUP(I173,Sheet1!A:D,4,FALSE)</f>
        <v>#N/A</v>
      </c>
    </row>
    <row r="174" spans="1:40" s="36" customFormat="1" ht="14.25" x14ac:dyDescent="0.2">
      <c r="A174" s="57"/>
      <c r="G174" s="58"/>
      <c r="AN174" s="36" t="e">
        <f>VLOOKUP(I174,Sheet1!A:D,4,FALSE)</f>
        <v>#N/A</v>
      </c>
    </row>
    <row r="175" spans="1:40" s="36" customFormat="1" ht="14.25" x14ac:dyDescent="0.2">
      <c r="A175" s="57"/>
      <c r="G175" s="58"/>
      <c r="AN175" s="36" t="e">
        <f>VLOOKUP(I175,Sheet1!A:D,4,FALSE)</f>
        <v>#N/A</v>
      </c>
    </row>
    <row r="176" spans="1:40" s="36" customFormat="1" ht="14.25" x14ac:dyDescent="0.2">
      <c r="A176" s="57"/>
      <c r="G176" s="58"/>
      <c r="AN176" s="36" t="e">
        <f>VLOOKUP(I176,Sheet1!A:D,4,FALSE)</f>
        <v>#N/A</v>
      </c>
    </row>
    <row r="177" spans="1:40" s="36" customFormat="1" ht="14.25" x14ac:dyDescent="0.2">
      <c r="A177" s="57"/>
      <c r="G177" s="58"/>
      <c r="AN177" s="36" t="e">
        <f>VLOOKUP(I177,Sheet1!A:D,4,FALSE)</f>
        <v>#N/A</v>
      </c>
    </row>
    <row r="178" spans="1:40" s="36" customFormat="1" ht="14.25" x14ac:dyDescent="0.2">
      <c r="A178" s="57"/>
      <c r="G178" s="58"/>
      <c r="AN178" s="36" t="e">
        <f>VLOOKUP(I178,Sheet1!A:D,4,FALSE)</f>
        <v>#N/A</v>
      </c>
    </row>
    <row r="179" spans="1:40" s="36" customFormat="1" ht="14.25" x14ac:dyDescent="0.2">
      <c r="A179" s="57"/>
      <c r="G179" s="58"/>
      <c r="AN179" s="36" t="e">
        <f>VLOOKUP(I179,Sheet1!A:D,4,FALSE)</f>
        <v>#N/A</v>
      </c>
    </row>
    <row r="180" spans="1:40" s="36" customFormat="1" ht="14.25" x14ac:dyDescent="0.2">
      <c r="A180" s="57"/>
      <c r="G180" s="58"/>
      <c r="AN180" s="36" t="e">
        <f>VLOOKUP(I180,Sheet1!A:D,4,FALSE)</f>
        <v>#N/A</v>
      </c>
    </row>
    <row r="181" spans="1:40" s="36" customFormat="1" ht="14.25" x14ac:dyDescent="0.2">
      <c r="A181" s="57"/>
      <c r="G181" s="58"/>
      <c r="AN181" s="36" t="e">
        <f>VLOOKUP(I181,Sheet1!A:D,4,FALSE)</f>
        <v>#N/A</v>
      </c>
    </row>
    <row r="182" spans="1:40" s="36" customFormat="1" ht="14.25" x14ac:dyDescent="0.2">
      <c r="A182" s="57"/>
      <c r="G182" s="58"/>
      <c r="AN182" s="36" t="e">
        <f>VLOOKUP(I182,Sheet1!A:D,4,FALSE)</f>
        <v>#N/A</v>
      </c>
    </row>
    <row r="183" spans="1:40" s="36" customFormat="1" ht="14.25" x14ac:dyDescent="0.2">
      <c r="A183" s="57"/>
      <c r="G183" s="58"/>
      <c r="AN183" s="36" t="e">
        <f>VLOOKUP(I183,Sheet1!A:D,4,FALSE)</f>
        <v>#N/A</v>
      </c>
    </row>
    <row r="184" spans="1:40" s="36" customFormat="1" ht="14.25" x14ac:dyDescent="0.2">
      <c r="A184" s="57"/>
      <c r="G184" s="58"/>
      <c r="AN184" s="36" t="e">
        <f>VLOOKUP(I184,Sheet1!A:D,4,FALSE)</f>
        <v>#N/A</v>
      </c>
    </row>
    <row r="185" spans="1:40" s="36" customFormat="1" ht="14.25" x14ac:dyDescent="0.2">
      <c r="A185" s="57"/>
      <c r="G185" s="58"/>
      <c r="AN185" s="36" t="e">
        <f>VLOOKUP(I185,Sheet1!A:D,4,FALSE)</f>
        <v>#N/A</v>
      </c>
    </row>
    <row r="186" spans="1:40" s="36" customFormat="1" ht="14.25" x14ac:dyDescent="0.2">
      <c r="A186" s="57"/>
      <c r="G186" s="58"/>
      <c r="AN186" s="36" t="e">
        <f>VLOOKUP(I186,Sheet1!A:D,4,FALSE)</f>
        <v>#N/A</v>
      </c>
    </row>
    <row r="187" spans="1:40" s="36" customFormat="1" ht="14.25" x14ac:dyDescent="0.2">
      <c r="A187" s="57"/>
      <c r="G187" s="58"/>
      <c r="AN187" s="36" t="e">
        <f>VLOOKUP(I187,Sheet1!A:D,4,FALSE)</f>
        <v>#N/A</v>
      </c>
    </row>
    <row r="188" spans="1:40" s="36" customFormat="1" ht="14.25" x14ac:dyDescent="0.2">
      <c r="A188" s="57"/>
      <c r="G188" s="58"/>
      <c r="AN188" s="36" t="e">
        <f>VLOOKUP(I188,Sheet1!A:D,4,FALSE)</f>
        <v>#N/A</v>
      </c>
    </row>
    <row r="189" spans="1:40" s="36" customFormat="1" ht="14.25" x14ac:dyDescent="0.2">
      <c r="A189" s="57"/>
      <c r="G189" s="58"/>
      <c r="AN189" s="36" t="e">
        <f>VLOOKUP(I189,Sheet1!A:D,4,FALSE)</f>
        <v>#N/A</v>
      </c>
    </row>
    <row r="190" spans="1:40" s="36" customFormat="1" ht="14.25" x14ac:dyDescent="0.2">
      <c r="A190" s="57"/>
      <c r="G190" s="58"/>
      <c r="AN190" s="36" t="e">
        <f>VLOOKUP(I190,Sheet1!A:D,4,FALSE)</f>
        <v>#N/A</v>
      </c>
    </row>
    <row r="191" spans="1:40" s="36" customFormat="1" ht="14.25" x14ac:dyDescent="0.2">
      <c r="A191" s="57"/>
      <c r="G191" s="58"/>
      <c r="AN191" s="36" t="e">
        <f>VLOOKUP(I191,Sheet1!A:D,4,FALSE)</f>
        <v>#N/A</v>
      </c>
    </row>
    <row r="192" spans="1:40" s="36" customFormat="1" ht="14.25" x14ac:dyDescent="0.2">
      <c r="A192" s="57"/>
      <c r="G192" s="58"/>
      <c r="AN192" s="36" t="e">
        <f>VLOOKUP(I192,Sheet1!A:D,4,FALSE)</f>
        <v>#N/A</v>
      </c>
    </row>
    <row r="193" spans="1:40" s="36" customFormat="1" ht="14.25" x14ac:dyDescent="0.2">
      <c r="A193" s="57"/>
      <c r="G193" s="58"/>
      <c r="AN193" s="36" t="e">
        <f>VLOOKUP(I193,Sheet1!A:D,4,FALSE)</f>
        <v>#N/A</v>
      </c>
    </row>
    <row r="194" spans="1:40" s="36" customFormat="1" ht="14.25" x14ac:dyDescent="0.2">
      <c r="A194" s="57"/>
      <c r="G194" s="58"/>
      <c r="AN194" s="36" t="e">
        <f>VLOOKUP(I194,Sheet1!A:D,4,FALSE)</f>
        <v>#N/A</v>
      </c>
    </row>
    <row r="195" spans="1:40" s="36" customFormat="1" ht="14.25" x14ac:dyDescent="0.2">
      <c r="A195" s="57"/>
      <c r="G195" s="58"/>
      <c r="AN195" s="36" t="e">
        <f>VLOOKUP(I195,Sheet1!A:D,4,FALSE)</f>
        <v>#N/A</v>
      </c>
    </row>
    <row r="196" spans="1:40" s="36" customFormat="1" ht="14.25" x14ac:dyDescent="0.2">
      <c r="A196" s="57"/>
      <c r="G196" s="58"/>
      <c r="AN196" s="36" t="e">
        <f>VLOOKUP(I196,Sheet1!A:D,4,FALSE)</f>
        <v>#N/A</v>
      </c>
    </row>
    <row r="197" spans="1:40" s="36" customFormat="1" ht="14.25" x14ac:dyDescent="0.2">
      <c r="A197" s="57"/>
      <c r="G197" s="58"/>
      <c r="AN197" s="36" t="e">
        <f>VLOOKUP(I197,Sheet1!A:D,4,FALSE)</f>
        <v>#N/A</v>
      </c>
    </row>
    <row r="198" spans="1:40" s="36" customFormat="1" ht="14.25" x14ac:dyDescent="0.2">
      <c r="A198" s="57"/>
      <c r="G198" s="58"/>
      <c r="AN198" s="36" t="e">
        <f>VLOOKUP(I198,Sheet1!A:D,4,FALSE)</f>
        <v>#N/A</v>
      </c>
    </row>
    <row r="199" spans="1:40" s="36" customFormat="1" ht="14.25" x14ac:dyDescent="0.2">
      <c r="A199" s="57"/>
      <c r="G199" s="58"/>
      <c r="AN199" s="36" t="e">
        <f>VLOOKUP(I199,Sheet1!A:D,4,FALSE)</f>
        <v>#N/A</v>
      </c>
    </row>
    <row r="200" spans="1:40" s="36" customFormat="1" ht="14.25" x14ac:dyDescent="0.2">
      <c r="A200" s="57"/>
      <c r="G200" s="58"/>
      <c r="AN200" s="36" t="e">
        <f>VLOOKUP(I200,Sheet1!A:D,4,FALSE)</f>
        <v>#N/A</v>
      </c>
    </row>
    <row r="201" spans="1:40" s="36" customFormat="1" ht="14.25" x14ac:dyDescent="0.2">
      <c r="A201" s="57"/>
      <c r="G201" s="58"/>
      <c r="AN201" s="36" t="e">
        <f>VLOOKUP(I201,Sheet1!A:D,4,FALSE)</f>
        <v>#N/A</v>
      </c>
    </row>
    <row r="202" spans="1:40" s="36" customFormat="1" ht="14.25" x14ac:dyDescent="0.2">
      <c r="A202" s="57"/>
      <c r="G202" s="58"/>
      <c r="AN202" s="36" t="e">
        <f>VLOOKUP(I202,Sheet1!A:D,4,FALSE)</f>
        <v>#N/A</v>
      </c>
    </row>
    <row r="203" spans="1:40" s="36" customFormat="1" ht="14.25" x14ac:dyDescent="0.2">
      <c r="A203" s="57"/>
      <c r="G203" s="58"/>
      <c r="AN203" s="36" t="e">
        <f>VLOOKUP(I203,Sheet1!A:D,4,FALSE)</f>
        <v>#N/A</v>
      </c>
    </row>
    <row r="204" spans="1:40" s="36" customFormat="1" ht="14.25" x14ac:dyDescent="0.2">
      <c r="A204" s="57"/>
      <c r="G204" s="58"/>
      <c r="AN204" s="36" t="e">
        <f>VLOOKUP(I204,Sheet1!A:D,4,FALSE)</f>
        <v>#N/A</v>
      </c>
    </row>
    <row r="205" spans="1:40" s="36" customFormat="1" ht="14.25" x14ac:dyDescent="0.2">
      <c r="A205" s="57"/>
      <c r="G205" s="58"/>
      <c r="AN205" s="36" t="e">
        <f>VLOOKUP(I205,Sheet1!A:D,4,FALSE)</f>
        <v>#N/A</v>
      </c>
    </row>
    <row r="206" spans="1:40" s="36" customFormat="1" ht="14.25" x14ac:dyDescent="0.2">
      <c r="A206" s="57"/>
      <c r="G206" s="58"/>
      <c r="AN206" s="36" t="e">
        <f>VLOOKUP(I206,Sheet1!A:D,4,FALSE)</f>
        <v>#N/A</v>
      </c>
    </row>
    <row r="207" spans="1:40" s="36" customFormat="1" ht="14.25" x14ac:dyDescent="0.2">
      <c r="A207" s="57"/>
      <c r="G207" s="58"/>
      <c r="AN207" s="36" t="e">
        <f>VLOOKUP(I207,Sheet1!A:D,4,FALSE)</f>
        <v>#N/A</v>
      </c>
    </row>
    <row r="208" spans="1:40" s="36" customFormat="1" ht="14.25" x14ac:dyDescent="0.2">
      <c r="A208" s="57"/>
      <c r="G208" s="58"/>
      <c r="AN208" s="36" t="e">
        <f>VLOOKUP(I208,Sheet1!A:D,4,FALSE)</f>
        <v>#N/A</v>
      </c>
    </row>
    <row r="209" spans="1:40" s="36" customFormat="1" ht="14.25" x14ac:dyDescent="0.2">
      <c r="A209" s="57"/>
      <c r="G209" s="58"/>
      <c r="AN209" s="36" t="e">
        <f>VLOOKUP(I209,Sheet1!A:D,4,FALSE)</f>
        <v>#N/A</v>
      </c>
    </row>
    <row r="210" spans="1:40" s="36" customFormat="1" ht="14.25" x14ac:dyDescent="0.2">
      <c r="A210" s="57"/>
      <c r="G210" s="58"/>
      <c r="AN210" s="36" t="e">
        <f>VLOOKUP(I210,Sheet1!A:D,4,FALSE)</f>
        <v>#N/A</v>
      </c>
    </row>
    <row r="211" spans="1:40" s="36" customFormat="1" ht="14.25" x14ac:dyDescent="0.2">
      <c r="A211" s="57"/>
      <c r="G211" s="58"/>
      <c r="AN211" s="36" t="e">
        <f>VLOOKUP(I211,Sheet1!A:D,4,FALSE)</f>
        <v>#N/A</v>
      </c>
    </row>
    <row r="212" spans="1:40" s="36" customFormat="1" ht="14.25" x14ac:dyDescent="0.2">
      <c r="A212" s="57"/>
      <c r="G212" s="58"/>
      <c r="AN212" s="36" t="e">
        <f>VLOOKUP(I212,Sheet1!A:D,4,FALSE)</f>
        <v>#N/A</v>
      </c>
    </row>
    <row r="213" spans="1:40" s="36" customFormat="1" ht="14.25" x14ac:dyDescent="0.2">
      <c r="A213" s="57"/>
      <c r="G213" s="58"/>
      <c r="AN213" s="36" t="e">
        <f>VLOOKUP(I213,Sheet1!A:D,4,FALSE)</f>
        <v>#N/A</v>
      </c>
    </row>
    <row r="214" spans="1:40" s="36" customFormat="1" ht="14.25" x14ac:dyDescent="0.2">
      <c r="A214" s="57"/>
      <c r="G214" s="58"/>
      <c r="AN214" s="36" t="e">
        <f>VLOOKUP(I214,Sheet1!A:D,4,FALSE)</f>
        <v>#N/A</v>
      </c>
    </row>
    <row r="215" spans="1:40" s="36" customFormat="1" ht="14.25" x14ac:dyDescent="0.2">
      <c r="A215" s="57"/>
      <c r="G215" s="58"/>
      <c r="AN215" s="36" t="e">
        <f>VLOOKUP(I215,Sheet1!A:D,4,FALSE)</f>
        <v>#N/A</v>
      </c>
    </row>
    <row r="216" spans="1:40" s="36" customFormat="1" ht="14.25" x14ac:dyDescent="0.2">
      <c r="A216" s="57"/>
      <c r="G216" s="58"/>
      <c r="AN216" s="36" t="e">
        <f>VLOOKUP(I216,Sheet1!A:D,4,FALSE)</f>
        <v>#N/A</v>
      </c>
    </row>
    <row r="217" spans="1:40" s="36" customFormat="1" ht="14.25" x14ac:dyDescent="0.2">
      <c r="A217" s="57"/>
      <c r="G217" s="58"/>
      <c r="AN217" s="36" t="e">
        <f>VLOOKUP(I217,Sheet1!A:D,4,FALSE)</f>
        <v>#N/A</v>
      </c>
    </row>
    <row r="218" spans="1:40" s="36" customFormat="1" ht="14.25" x14ac:dyDescent="0.2">
      <c r="A218" s="57"/>
      <c r="G218" s="58"/>
      <c r="AN218" s="36" t="e">
        <f>VLOOKUP(I218,Sheet1!A:D,4,FALSE)</f>
        <v>#N/A</v>
      </c>
    </row>
    <row r="219" spans="1:40" s="36" customFormat="1" ht="14.25" x14ac:dyDescent="0.2">
      <c r="A219" s="57"/>
      <c r="G219" s="58"/>
      <c r="AN219" s="36" t="e">
        <f>VLOOKUP(I219,Sheet1!A:D,4,FALSE)</f>
        <v>#N/A</v>
      </c>
    </row>
    <row r="220" spans="1:40" s="36" customFormat="1" ht="14.25" x14ac:dyDescent="0.2">
      <c r="A220" s="57"/>
      <c r="G220" s="58"/>
      <c r="AN220" s="36" t="e">
        <f>VLOOKUP(I220,Sheet1!A:D,4,FALSE)</f>
        <v>#N/A</v>
      </c>
    </row>
    <row r="221" spans="1:40" s="36" customFormat="1" ht="14.25" x14ac:dyDescent="0.2">
      <c r="A221" s="57"/>
      <c r="G221" s="58"/>
      <c r="AN221" s="36" t="e">
        <f>VLOOKUP(I221,Sheet1!A:D,4,FALSE)</f>
        <v>#N/A</v>
      </c>
    </row>
    <row r="222" spans="1:40" s="36" customFormat="1" ht="14.25" x14ac:dyDescent="0.2">
      <c r="A222" s="57"/>
      <c r="G222" s="58"/>
      <c r="AN222" s="36" t="e">
        <f>VLOOKUP(I222,Sheet1!A:D,4,FALSE)</f>
        <v>#N/A</v>
      </c>
    </row>
    <row r="223" spans="1:40" s="36" customFormat="1" ht="14.25" x14ac:dyDescent="0.2">
      <c r="A223" s="57"/>
      <c r="G223" s="58"/>
      <c r="AN223" s="36" t="e">
        <f>VLOOKUP(I223,Sheet1!A:D,4,FALSE)</f>
        <v>#N/A</v>
      </c>
    </row>
    <row r="224" spans="1:40" s="36" customFormat="1" ht="14.25" x14ac:dyDescent="0.2">
      <c r="A224" s="57"/>
      <c r="G224" s="58"/>
      <c r="AN224" s="36" t="e">
        <f>VLOOKUP(I224,Sheet1!A:D,4,FALSE)</f>
        <v>#N/A</v>
      </c>
    </row>
    <row r="225" spans="1:40" s="36" customFormat="1" ht="14.25" x14ac:dyDescent="0.2">
      <c r="A225" s="57"/>
      <c r="G225" s="58"/>
      <c r="AN225" s="36" t="e">
        <f>VLOOKUP(I225,Sheet1!A:D,4,FALSE)</f>
        <v>#N/A</v>
      </c>
    </row>
    <row r="226" spans="1:40" s="36" customFormat="1" ht="14.25" x14ac:dyDescent="0.2">
      <c r="A226" s="57"/>
      <c r="G226" s="58"/>
      <c r="AN226" s="36" t="e">
        <f>VLOOKUP(I226,Sheet1!A:D,4,FALSE)</f>
        <v>#N/A</v>
      </c>
    </row>
    <row r="227" spans="1:40" s="36" customFormat="1" ht="14.25" x14ac:dyDescent="0.2">
      <c r="A227" s="57"/>
      <c r="G227" s="58"/>
      <c r="AN227" s="36" t="e">
        <f>VLOOKUP(I227,Sheet1!A:D,4,FALSE)</f>
        <v>#N/A</v>
      </c>
    </row>
    <row r="228" spans="1:40" s="36" customFormat="1" ht="14.25" x14ac:dyDescent="0.2">
      <c r="A228" s="57"/>
      <c r="G228" s="58"/>
      <c r="AN228" s="36" t="e">
        <f>VLOOKUP(I228,Sheet1!A:D,4,FALSE)</f>
        <v>#N/A</v>
      </c>
    </row>
    <row r="229" spans="1:40" s="36" customFormat="1" ht="14.25" x14ac:dyDescent="0.2">
      <c r="A229" s="57"/>
      <c r="G229" s="58"/>
      <c r="AN229" s="36" t="e">
        <f>VLOOKUP(I229,Sheet1!A:D,4,FALSE)</f>
        <v>#N/A</v>
      </c>
    </row>
    <row r="230" spans="1:40" s="36" customFormat="1" ht="14.25" x14ac:dyDescent="0.2">
      <c r="A230" s="57"/>
      <c r="G230" s="58"/>
      <c r="AN230" s="36" t="e">
        <f>VLOOKUP(I230,Sheet1!A:D,4,FALSE)</f>
        <v>#N/A</v>
      </c>
    </row>
    <row r="231" spans="1:40" s="36" customFormat="1" ht="14.25" x14ac:dyDescent="0.2">
      <c r="A231" s="57"/>
      <c r="G231" s="58"/>
      <c r="AN231" s="36" t="e">
        <f>VLOOKUP(I231,Sheet1!A:D,4,FALSE)</f>
        <v>#N/A</v>
      </c>
    </row>
    <row r="232" spans="1:40" s="36" customFormat="1" ht="14.25" x14ac:dyDescent="0.2">
      <c r="A232" s="57"/>
      <c r="G232" s="58"/>
      <c r="AN232" s="36" t="e">
        <f>VLOOKUP(I232,Sheet1!A:D,4,FALSE)</f>
        <v>#N/A</v>
      </c>
    </row>
    <row r="233" spans="1:40" s="36" customFormat="1" ht="14.25" x14ac:dyDescent="0.2">
      <c r="A233" s="57"/>
      <c r="G233" s="58"/>
      <c r="AN233" s="36" t="e">
        <f>VLOOKUP(I233,Sheet1!A:D,4,FALSE)</f>
        <v>#N/A</v>
      </c>
    </row>
    <row r="234" spans="1:40" s="36" customFormat="1" ht="14.25" x14ac:dyDescent="0.2">
      <c r="A234" s="57"/>
      <c r="G234" s="58"/>
      <c r="AN234" s="36" t="e">
        <f>VLOOKUP(I234,Sheet1!A:D,4,FALSE)</f>
        <v>#N/A</v>
      </c>
    </row>
    <row r="235" spans="1:40" s="36" customFormat="1" ht="14.25" x14ac:dyDescent="0.2">
      <c r="A235" s="57"/>
      <c r="G235" s="58"/>
      <c r="AN235" s="36" t="e">
        <f>VLOOKUP(I235,Sheet1!A:D,4,FALSE)</f>
        <v>#N/A</v>
      </c>
    </row>
    <row r="236" spans="1:40" x14ac:dyDescent="0.25">
      <c r="AN236" t="e">
        <f>VLOOKUP(I236,Sheet1!A:D,4,FALSE)</f>
        <v>#N/A</v>
      </c>
    </row>
    <row r="237" spans="1:40" x14ac:dyDescent="0.25">
      <c r="AN237" t="e">
        <f>VLOOKUP(I237,Sheet1!A:D,4,FALSE)</f>
        <v>#N/A</v>
      </c>
    </row>
    <row r="238" spans="1:40" x14ac:dyDescent="0.25">
      <c r="AN238" t="e">
        <f>VLOOKUP(I238,Sheet1!A:D,4,FALSE)</f>
        <v>#N/A</v>
      </c>
    </row>
    <row r="239" spans="1:40" x14ac:dyDescent="0.25">
      <c r="AN239" t="e">
        <f>VLOOKUP(I239,Sheet1!A:D,4,FALSE)</f>
        <v>#N/A</v>
      </c>
    </row>
    <row r="240" spans="1:40" x14ac:dyDescent="0.25">
      <c r="AN240" t="e">
        <f>VLOOKUP(I240,Sheet1!A:D,4,FALSE)</f>
        <v>#N/A</v>
      </c>
    </row>
    <row r="241" spans="40:40" x14ac:dyDescent="0.25">
      <c r="AN241" t="e">
        <f>VLOOKUP(I241,Sheet1!A:D,4,FALSE)</f>
        <v>#N/A</v>
      </c>
    </row>
    <row r="242" spans="40:40" x14ac:dyDescent="0.25">
      <c r="AN242" t="e">
        <f>VLOOKUP(I242,Sheet1!A:D,4,FALSE)</f>
        <v>#N/A</v>
      </c>
    </row>
    <row r="243" spans="40:40" x14ac:dyDescent="0.25">
      <c r="AN243" t="e">
        <f>VLOOKUP(I243,Sheet1!A:D,4,FALSE)</f>
        <v>#N/A</v>
      </c>
    </row>
    <row r="244" spans="40:40" x14ac:dyDescent="0.25">
      <c r="AN244" t="e">
        <f>VLOOKUP(I244,Sheet1!A:D,4,FALSE)</f>
        <v>#N/A</v>
      </c>
    </row>
    <row r="245" spans="40:40" x14ac:dyDescent="0.25">
      <c r="AN245" t="e">
        <f>VLOOKUP(I245,Sheet1!A:D,4,FALSE)</f>
        <v>#N/A</v>
      </c>
    </row>
    <row r="246" spans="40:40" x14ac:dyDescent="0.25">
      <c r="AN246" t="e">
        <f>VLOOKUP(I246,Sheet1!A:D,4,FALSE)</f>
        <v>#N/A</v>
      </c>
    </row>
    <row r="247" spans="40:40" x14ac:dyDescent="0.25">
      <c r="AN247" t="e">
        <f>VLOOKUP(I247,Sheet1!A:D,4,FALSE)</f>
        <v>#N/A</v>
      </c>
    </row>
    <row r="248" spans="40:40" x14ac:dyDescent="0.25">
      <c r="AN248" t="e">
        <f>VLOOKUP(I248,Sheet1!A:D,4,FALSE)</f>
        <v>#N/A</v>
      </c>
    </row>
    <row r="249" spans="40:40" x14ac:dyDescent="0.25">
      <c r="AN249" t="e">
        <f>VLOOKUP(I249,Sheet1!A:D,4,FALSE)</f>
        <v>#N/A</v>
      </c>
    </row>
    <row r="250" spans="40:40" x14ac:dyDescent="0.25">
      <c r="AN250" t="e">
        <f>VLOOKUP(I250,Sheet1!A:D,4,FALSE)</f>
        <v>#N/A</v>
      </c>
    </row>
    <row r="251" spans="40:40" x14ac:dyDescent="0.25">
      <c r="AN251" t="e">
        <f>VLOOKUP(I251,Sheet1!A:D,4,FALSE)</f>
        <v>#N/A</v>
      </c>
    </row>
    <row r="252" spans="40:40" x14ac:dyDescent="0.25">
      <c r="AN252" t="e">
        <f>VLOOKUP(I252,Sheet1!A:D,4,FALSE)</f>
        <v>#N/A</v>
      </c>
    </row>
    <row r="253" spans="40:40" x14ac:dyDescent="0.25">
      <c r="AN253" t="e">
        <f>VLOOKUP(I253,Sheet1!A:D,4,FALSE)</f>
        <v>#N/A</v>
      </c>
    </row>
    <row r="254" spans="40:40" x14ac:dyDescent="0.25">
      <c r="AN254" t="e">
        <f>VLOOKUP(I254,Sheet1!A:D,4,FALSE)</f>
        <v>#N/A</v>
      </c>
    </row>
    <row r="255" spans="40:40" x14ac:dyDescent="0.25">
      <c r="AN255" t="e">
        <f>VLOOKUP(I255,Sheet1!A:D,4,FALSE)</f>
        <v>#N/A</v>
      </c>
    </row>
    <row r="256" spans="40:40" x14ac:dyDescent="0.25">
      <c r="AN256" t="e">
        <f>VLOOKUP(I256,Sheet1!A:D,4,FALSE)</f>
        <v>#N/A</v>
      </c>
    </row>
    <row r="257" spans="40:40" x14ac:dyDescent="0.25">
      <c r="AN257" t="e">
        <f>VLOOKUP(I257,Sheet1!A:D,4,FALSE)</f>
        <v>#N/A</v>
      </c>
    </row>
    <row r="258" spans="40:40" x14ac:dyDescent="0.25">
      <c r="AN258" t="e">
        <f>VLOOKUP(I258,Sheet1!A:D,4,FALSE)</f>
        <v>#N/A</v>
      </c>
    </row>
    <row r="259" spans="40:40" x14ac:dyDescent="0.25">
      <c r="AN259" t="e">
        <f>VLOOKUP(I259,Sheet1!A:D,4,FALSE)</f>
        <v>#N/A</v>
      </c>
    </row>
    <row r="260" spans="40:40" x14ac:dyDescent="0.25">
      <c r="AN260" t="e">
        <f>VLOOKUP(I260,Sheet1!A:D,4,FALSE)</f>
        <v>#N/A</v>
      </c>
    </row>
    <row r="261" spans="40:40" x14ac:dyDescent="0.25">
      <c r="AN261" t="e">
        <f>VLOOKUP(I261,Sheet1!A:D,4,FALSE)</f>
        <v>#N/A</v>
      </c>
    </row>
    <row r="262" spans="40:40" x14ac:dyDescent="0.25">
      <c r="AN262" t="e">
        <f>VLOOKUP(I262,Sheet1!A:D,4,FALSE)</f>
        <v>#N/A</v>
      </c>
    </row>
    <row r="263" spans="40:40" x14ac:dyDescent="0.25">
      <c r="AN263" t="e">
        <f>VLOOKUP(I263,Sheet1!A:D,4,FALSE)</f>
        <v>#N/A</v>
      </c>
    </row>
    <row r="264" spans="40:40" x14ac:dyDescent="0.25">
      <c r="AN264" t="e">
        <f>VLOOKUP(I264,Sheet1!A:D,4,FALSE)</f>
        <v>#N/A</v>
      </c>
    </row>
    <row r="265" spans="40:40" x14ac:dyDescent="0.25">
      <c r="AN265" t="e">
        <f>VLOOKUP(I265,Sheet1!A:D,4,FALSE)</f>
        <v>#N/A</v>
      </c>
    </row>
    <row r="266" spans="40:40" x14ac:dyDescent="0.25">
      <c r="AN266" t="e">
        <f>VLOOKUP(I266,Sheet1!A:D,4,FALSE)</f>
        <v>#N/A</v>
      </c>
    </row>
    <row r="267" spans="40:40" x14ac:dyDescent="0.25">
      <c r="AN267" t="e">
        <f>VLOOKUP(I267,Sheet1!A:D,4,FALSE)</f>
        <v>#N/A</v>
      </c>
    </row>
    <row r="268" spans="40:40" x14ac:dyDescent="0.25">
      <c r="AN268" t="e">
        <f>VLOOKUP(I268,Sheet1!A:D,4,FALSE)</f>
        <v>#N/A</v>
      </c>
    </row>
    <row r="269" spans="40:40" x14ac:dyDescent="0.25">
      <c r="AN269" t="e">
        <f>VLOOKUP(I269,Sheet1!A:D,4,FALSE)</f>
        <v>#N/A</v>
      </c>
    </row>
    <row r="270" spans="40:40" x14ac:dyDescent="0.25">
      <c r="AN270" t="e">
        <f>VLOOKUP(I270,Sheet1!A:D,4,FALSE)</f>
        <v>#N/A</v>
      </c>
    </row>
    <row r="271" spans="40:40" x14ac:dyDescent="0.25">
      <c r="AN271" t="e">
        <f>VLOOKUP(I271,Sheet1!A:D,4,FALSE)</f>
        <v>#N/A</v>
      </c>
    </row>
    <row r="272" spans="40:40" x14ac:dyDescent="0.25">
      <c r="AN272" t="e">
        <f>VLOOKUP(I272,Sheet1!A:D,4,FALSE)</f>
        <v>#N/A</v>
      </c>
    </row>
    <row r="273" spans="40:40" x14ac:dyDescent="0.25">
      <c r="AN273" t="e">
        <f>VLOOKUP(I273,Sheet1!A:D,4,FALSE)</f>
        <v>#N/A</v>
      </c>
    </row>
    <row r="274" spans="40:40" x14ac:dyDescent="0.25">
      <c r="AN274" t="e">
        <f>VLOOKUP(I274,Sheet1!A:D,4,FALSE)</f>
        <v>#N/A</v>
      </c>
    </row>
    <row r="275" spans="40:40" x14ac:dyDescent="0.25">
      <c r="AN275" t="e">
        <f>VLOOKUP(I275,Sheet1!A:D,4,FALSE)</f>
        <v>#N/A</v>
      </c>
    </row>
    <row r="276" spans="40:40" x14ac:dyDescent="0.25">
      <c r="AN276" t="e">
        <f>VLOOKUP(I276,Sheet1!A:D,4,FALSE)</f>
        <v>#N/A</v>
      </c>
    </row>
    <row r="277" spans="40:40" x14ac:dyDescent="0.25">
      <c r="AN277" t="e">
        <f>VLOOKUP(I277,Sheet1!A:D,4,FALSE)</f>
        <v>#N/A</v>
      </c>
    </row>
    <row r="278" spans="40:40" x14ac:dyDescent="0.25">
      <c r="AN278" t="e">
        <f>VLOOKUP(I278,Sheet1!A:D,4,FALSE)</f>
        <v>#N/A</v>
      </c>
    </row>
    <row r="279" spans="40:40" x14ac:dyDescent="0.25">
      <c r="AN279" t="e">
        <f>VLOOKUP(I279,Sheet1!A:D,4,FALSE)</f>
        <v>#N/A</v>
      </c>
    </row>
    <row r="280" spans="40:40" x14ac:dyDescent="0.25">
      <c r="AN280" t="e">
        <f>VLOOKUP(I280,Sheet1!A:D,4,FALSE)</f>
        <v>#N/A</v>
      </c>
    </row>
    <row r="281" spans="40:40" x14ac:dyDescent="0.25">
      <c r="AN281" t="e">
        <f>VLOOKUP(I281,Sheet1!A:D,4,FALSE)</f>
        <v>#N/A</v>
      </c>
    </row>
    <row r="282" spans="40:40" x14ac:dyDescent="0.25">
      <c r="AN282" t="e">
        <f>VLOOKUP(I282,Sheet1!A:D,4,FALSE)</f>
        <v>#N/A</v>
      </c>
    </row>
    <row r="283" spans="40:40" x14ac:dyDescent="0.25">
      <c r="AN283" t="e">
        <f>VLOOKUP(I283,Sheet1!A:D,4,FALSE)</f>
        <v>#N/A</v>
      </c>
    </row>
    <row r="284" spans="40:40" x14ac:dyDescent="0.25">
      <c r="AN284" t="e">
        <f>VLOOKUP(I284,Sheet1!A:D,4,FALSE)</f>
        <v>#N/A</v>
      </c>
    </row>
    <row r="285" spans="40:40" x14ac:dyDescent="0.25">
      <c r="AN285" t="e">
        <f>VLOOKUP(I285,Sheet1!A:D,4,FALSE)</f>
        <v>#N/A</v>
      </c>
    </row>
    <row r="286" spans="40:40" x14ac:dyDescent="0.25">
      <c r="AN286" t="e">
        <f>VLOOKUP(I286,Sheet1!A:D,4,FALSE)</f>
        <v>#N/A</v>
      </c>
    </row>
    <row r="287" spans="40:40" x14ac:dyDescent="0.25">
      <c r="AN287" t="e">
        <f>VLOOKUP(I287,Sheet1!A:D,4,FALSE)</f>
        <v>#N/A</v>
      </c>
    </row>
    <row r="288" spans="40:40" x14ac:dyDescent="0.25">
      <c r="AN288" t="e">
        <f>VLOOKUP(I288,Sheet1!A:D,4,FALSE)</f>
        <v>#N/A</v>
      </c>
    </row>
    <row r="289" spans="40:40" x14ac:dyDescent="0.25">
      <c r="AN289" t="e">
        <f>VLOOKUP(I289,Sheet1!A:D,4,FALSE)</f>
        <v>#N/A</v>
      </c>
    </row>
    <row r="290" spans="40:40" x14ac:dyDescent="0.25">
      <c r="AN290" t="e">
        <f>VLOOKUP(I290,Sheet1!A:D,4,FALSE)</f>
        <v>#N/A</v>
      </c>
    </row>
    <row r="291" spans="40:40" x14ac:dyDescent="0.25">
      <c r="AN291" t="e">
        <f>VLOOKUP(I291,Sheet1!A:D,4,FALSE)</f>
        <v>#N/A</v>
      </c>
    </row>
    <row r="292" spans="40:40" x14ac:dyDescent="0.25">
      <c r="AN292" t="e">
        <f>VLOOKUP(I292,Sheet1!A:D,4,FALSE)</f>
        <v>#N/A</v>
      </c>
    </row>
    <row r="293" spans="40:40" x14ac:dyDescent="0.25">
      <c r="AN293" t="e">
        <f>VLOOKUP(I293,Sheet1!A:D,4,FALSE)</f>
        <v>#N/A</v>
      </c>
    </row>
    <row r="294" spans="40:40" x14ac:dyDescent="0.25">
      <c r="AN294" t="e">
        <f>VLOOKUP(I294,Sheet1!A:D,4,FALSE)</f>
        <v>#N/A</v>
      </c>
    </row>
    <row r="295" spans="40:40" x14ac:dyDescent="0.25">
      <c r="AN295" t="e">
        <f>VLOOKUP(I295,Sheet1!A:D,4,FALSE)</f>
        <v>#N/A</v>
      </c>
    </row>
    <row r="296" spans="40:40" x14ac:dyDescent="0.25">
      <c r="AN296" t="e">
        <f>VLOOKUP(I296,Sheet1!A:D,4,FALSE)</f>
        <v>#N/A</v>
      </c>
    </row>
    <row r="297" spans="40:40" x14ac:dyDescent="0.25">
      <c r="AN297" t="e">
        <f>VLOOKUP(I297,Sheet1!A:D,4,FALSE)</f>
        <v>#N/A</v>
      </c>
    </row>
    <row r="298" spans="40:40" x14ac:dyDescent="0.25">
      <c r="AN298" t="e">
        <f>VLOOKUP(I298,Sheet1!A:D,4,FALSE)</f>
        <v>#N/A</v>
      </c>
    </row>
    <row r="299" spans="40:40" x14ac:dyDescent="0.25">
      <c r="AN299" t="e">
        <f>VLOOKUP(I299,Sheet1!A:D,4,FALSE)</f>
        <v>#N/A</v>
      </c>
    </row>
    <row r="300" spans="40:40" x14ac:dyDescent="0.25">
      <c r="AN300" t="e">
        <f>VLOOKUP(I300,Sheet1!A:D,4,FALSE)</f>
        <v>#N/A</v>
      </c>
    </row>
    <row r="301" spans="40:40" x14ac:dyDescent="0.25">
      <c r="AN301" t="e">
        <f>VLOOKUP(I301,Sheet1!A:D,4,FALSE)</f>
        <v>#N/A</v>
      </c>
    </row>
    <row r="302" spans="40:40" x14ac:dyDescent="0.25">
      <c r="AN302" t="e">
        <f>VLOOKUP(I302,Sheet1!A:D,4,FALSE)</f>
        <v>#N/A</v>
      </c>
    </row>
    <row r="303" spans="40:40" x14ac:dyDescent="0.25">
      <c r="AN303" t="e">
        <f>VLOOKUP(I303,Sheet1!A:D,4,FALSE)</f>
        <v>#N/A</v>
      </c>
    </row>
    <row r="304" spans="40:40" x14ac:dyDescent="0.25">
      <c r="AN304" t="e">
        <f>VLOOKUP(I304,Sheet1!A:D,4,FALSE)</f>
        <v>#N/A</v>
      </c>
    </row>
    <row r="305" spans="40:40" x14ac:dyDescent="0.25">
      <c r="AN305" t="e">
        <f>VLOOKUP(I305,Sheet1!A:D,4,FALSE)</f>
        <v>#N/A</v>
      </c>
    </row>
    <row r="306" spans="40:40" x14ac:dyDescent="0.25">
      <c r="AN306" t="e">
        <f>VLOOKUP(I306,Sheet1!A:D,4,FALSE)</f>
        <v>#N/A</v>
      </c>
    </row>
    <row r="307" spans="40:40" x14ac:dyDescent="0.25">
      <c r="AN307" t="e">
        <f>VLOOKUP(I307,Sheet1!A:D,4,FALSE)</f>
        <v>#N/A</v>
      </c>
    </row>
    <row r="308" spans="40:40" x14ac:dyDescent="0.25">
      <c r="AN308" t="e">
        <f>VLOOKUP(I308,Sheet1!A:D,4,FALSE)</f>
        <v>#N/A</v>
      </c>
    </row>
    <row r="309" spans="40:40" x14ac:dyDescent="0.25">
      <c r="AN309" t="e">
        <f>VLOOKUP(I309,Sheet1!A:D,4,FALSE)</f>
        <v>#N/A</v>
      </c>
    </row>
    <row r="310" spans="40:40" x14ac:dyDescent="0.25">
      <c r="AN310" t="e">
        <f>VLOOKUP(I310,Sheet1!A:D,4,FALSE)</f>
        <v>#N/A</v>
      </c>
    </row>
    <row r="311" spans="40:40" x14ac:dyDescent="0.25">
      <c r="AN311" t="e">
        <f>VLOOKUP(I311,Sheet1!A:D,4,FALSE)</f>
        <v>#N/A</v>
      </c>
    </row>
    <row r="312" spans="40:40" x14ac:dyDescent="0.25">
      <c r="AN312" t="e">
        <f>VLOOKUP(I312,Sheet1!A:D,4,FALSE)</f>
        <v>#N/A</v>
      </c>
    </row>
    <row r="313" spans="40:40" x14ac:dyDescent="0.25">
      <c r="AN313" t="e">
        <f>VLOOKUP(I313,Sheet1!A:D,4,FALSE)</f>
        <v>#N/A</v>
      </c>
    </row>
    <row r="314" spans="40:40" x14ac:dyDescent="0.25">
      <c r="AN314" t="e">
        <f>VLOOKUP(I314,Sheet1!A:D,4,FALSE)</f>
        <v>#N/A</v>
      </c>
    </row>
    <row r="315" spans="40:40" x14ac:dyDescent="0.25">
      <c r="AN315" t="e">
        <f>VLOOKUP(I315,Sheet1!A:D,4,FALSE)</f>
        <v>#N/A</v>
      </c>
    </row>
    <row r="316" spans="40:40" x14ac:dyDescent="0.25">
      <c r="AN316" t="e">
        <f>VLOOKUP(I316,Sheet1!A:D,4,FALSE)</f>
        <v>#N/A</v>
      </c>
    </row>
    <row r="317" spans="40:40" x14ac:dyDescent="0.25">
      <c r="AN317" t="e">
        <f>VLOOKUP(I317,Sheet1!A:D,4,FALSE)</f>
        <v>#N/A</v>
      </c>
    </row>
    <row r="318" spans="40:40" x14ac:dyDescent="0.25">
      <c r="AN318" t="e">
        <f>VLOOKUP(I318,Sheet1!A:D,4,FALSE)</f>
        <v>#N/A</v>
      </c>
    </row>
    <row r="319" spans="40:40" x14ac:dyDescent="0.25">
      <c r="AN319" t="e">
        <f>VLOOKUP(I319,Sheet1!A:D,4,FALSE)</f>
        <v>#N/A</v>
      </c>
    </row>
    <row r="320" spans="40:40" x14ac:dyDescent="0.25">
      <c r="AN320" t="e">
        <f>VLOOKUP(I320,Sheet1!A:D,4,FALSE)</f>
        <v>#N/A</v>
      </c>
    </row>
    <row r="321" spans="40:40" x14ac:dyDescent="0.25">
      <c r="AN321" s="56" t="e">
        <f>VLOOKUP(I321,Sheet1!A:D,4,FALSE)</f>
        <v>#N/A</v>
      </c>
    </row>
  </sheetData>
  <autoFilter ref="A6:AN6" xr:uid="{CA66796D-8FB6-4BDB-8ECF-5A4D689FD430}"/>
  <mergeCells count="1">
    <mergeCell ref="AP6:AQ6"/>
  </mergeCells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80F2-F288-4EEE-8933-6ACFCABEB239}">
  <dimension ref="A1:AP212"/>
  <sheetViews>
    <sheetView workbookViewId="0">
      <selection activeCell="G23" sqref="G23"/>
    </sheetView>
  </sheetViews>
  <sheetFormatPr defaultRowHeight="15" x14ac:dyDescent="0.25"/>
  <cols>
    <col min="1" max="1" width="17.28515625" style="23" bestFit="1" customWidth="1"/>
    <col min="4" max="5" width="10.140625" bestFit="1" customWidth="1"/>
    <col min="7" max="7" width="11.85546875" style="30" bestFit="1" customWidth="1"/>
    <col min="11" max="11" width="9.42578125" style="25" bestFit="1" customWidth="1"/>
    <col min="12" max="12" width="9.140625" style="25"/>
    <col min="13" max="13" width="9.42578125" style="25" bestFit="1" customWidth="1"/>
    <col min="14" max="16" width="13.140625" style="25" bestFit="1" customWidth="1"/>
    <col min="17" max="18" width="9.42578125" style="25" bestFit="1" customWidth="1"/>
    <col min="19" max="19" width="9.140625" style="25"/>
    <col min="20" max="22" width="11.85546875" style="25" bestFit="1" customWidth="1"/>
    <col min="23" max="23" width="9.42578125" style="25" bestFit="1" customWidth="1"/>
    <col min="24" max="24" width="11.85546875" style="25" bestFit="1" customWidth="1"/>
    <col min="25" max="26" width="9.140625" style="25"/>
    <col min="27" max="27" width="11.85546875" style="30" bestFit="1" customWidth="1"/>
    <col min="31" max="31" width="9.28515625" bestFit="1" customWidth="1"/>
    <col min="42" max="42" width="99.28515625" hidden="1" customWidth="1"/>
  </cols>
  <sheetData>
    <row r="1" spans="1:42" s="74" customFormat="1" x14ac:dyDescent="0.25">
      <c r="A1" s="89"/>
      <c r="G1" s="90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90"/>
    </row>
    <row r="2" spans="1:42" s="74" customFormat="1" x14ac:dyDescent="0.25">
      <c r="A2" s="89"/>
      <c r="G2" s="90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90"/>
    </row>
    <row r="3" spans="1:42" s="74" customFormat="1" x14ac:dyDescent="0.25">
      <c r="A3" s="89"/>
      <c r="G3" s="90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90"/>
    </row>
    <row r="4" spans="1:42" s="74" customFormat="1" x14ac:dyDescent="0.25">
      <c r="A4" s="89"/>
      <c r="G4" s="90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90"/>
    </row>
    <row r="5" spans="1:42" s="74" customFormat="1" x14ac:dyDescent="0.25">
      <c r="A5" s="89" t="s">
        <v>230</v>
      </c>
      <c r="G5" s="90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90"/>
    </row>
    <row r="6" spans="1:42" s="48" customFormat="1" x14ac:dyDescent="0.25">
      <c r="A6" s="83" t="s">
        <v>0</v>
      </c>
      <c r="B6" s="84" t="s">
        <v>1</v>
      </c>
      <c r="C6" s="84" t="s">
        <v>2</v>
      </c>
      <c r="D6" s="84" t="s">
        <v>4</v>
      </c>
      <c r="E6" s="84" t="s">
        <v>3</v>
      </c>
      <c r="F6" s="84" t="s">
        <v>5</v>
      </c>
      <c r="G6" s="85" t="s">
        <v>6</v>
      </c>
      <c r="H6" s="84" t="s">
        <v>7</v>
      </c>
      <c r="I6" s="84" t="s">
        <v>8</v>
      </c>
      <c r="J6" s="84" t="s">
        <v>9</v>
      </c>
      <c r="K6" s="86" t="s">
        <v>10</v>
      </c>
      <c r="L6" s="86" t="s">
        <v>11</v>
      </c>
      <c r="M6" s="86" t="s">
        <v>12</v>
      </c>
      <c r="N6" s="86" t="s">
        <v>13</v>
      </c>
      <c r="O6" s="86" t="s">
        <v>14</v>
      </c>
      <c r="P6" s="86" t="s">
        <v>15</v>
      </c>
      <c r="Q6" s="86" t="s">
        <v>16</v>
      </c>
      <c r="R6" s="86" t="s">
        <v>17</v>
      </c>
      <c r="S6" s="86" t="s">
        <v>18</v>
      </c>
      <c r="T6" s="86" t="s">
        <v>19</v>
      </c>
      <c r="U6" s="86" t="s">
        <v>20</v>
      </c>
      <c r="V6" s="86" t="s">
        <v>21</v>
      </c>
      <c r="W6" s="86" t="s">
        <v>22</v>
      </c>
      <c r="X6" s="86" t="s">
        <v>23</v>
      </c>
      <c r="Y6" s="86" t="s">
        <v>24</v>
      </c>
      <c r="Z6" s="86" t="s">
        <v>25</v>
      </c>
      <c r="AA6" s="85" t="s">
        <v>26</v>
      </c>
      <c r="AB6" s="84" t="s">
        <v>27</v>
      </c>
      <c r="AC6" s="84" t="s">
        <v>28</v>
      </c>
      <c r="AD6" s="84" t="s">
        <v>29</v>
      </c>
      <c r="AE6" s="84" t="s">
        <v>30</v>
      </c>
      <c r="AF6" s="84" t="s">
        <v>31</v>
      </c>
      <c r="AG6" s="84" t="s">
        <v>32</v>
      </c>
      <c r="AH6" s="84" t="s">
        <v>33</v>
      </c>
      <c r="AI6" s="84" t="s">
        <v>34</v>
      </c>
      <c r="AJ6" s="84" t="s">
        <v>35</v>
      </c>
      <c r="AK6" s="84" t="s">
        <v>36</v>
      </c>
      <c r="AL6" s="84" t="s">
        <v>37</v>
      </c>
      <c r="AM6" s="84" t="s">
        <v>38</v>
      </c>
      <c r="AN6" s="84"/>
      <c r="AP6" s="88" t="s">
        <v>39</v>
      </c>
    </row>
    <row r="7" spans="1:42" s="133" customFormat="1" ht="14.25" x14ac:dyDescent="0.2">
      <c r="A7" s="132">
        <v>45658</v>
      </c>
      <c r="B7" s="133" t="s">
        <v>40</v>
      </c>
      <c r="C7" s="133" t="s">
        <v>41</v>
      </c>
      <c r="D7" s="133">
        <v>25707929</v>
      </c>
      <c r="E7" s="133">
        <v>24106530</v>
      </c>
      <c r="F7" s="133" t="s">
        <v>192</v>
      </c>
      <c r="G7" s="135">
        <v>45673</v>
      </c>
      <c r="H7" s="133" t="s">
        <v>193</v>
      </c>
      <c r="I7" s="133" t="s">
        <v>146</v>
      </c>
      <c r="J7" s="133" t="s">
        <v>194</v>
      </c>
      <c r="K7" s="136">
        <v>1</v>
      </c>
      <c r="L7" s="136" t="s">
        <v>42</v>
      </c>
      <c r="M7" s="136">
        <v>1</v>
      </c>
      <c r="N7" s="136">
        <v>10748749</v>
      </c>
      <c r="O7" s="136">
        <v>10748749</v>
      </c>
      <c r="P7" s="136">
        <v>10748749</v>
      </c>
      <c r="Q7" s="136">
        <v>0</v>
      </c>
      <c r="R7" s="136">
        <v>0</v>
      </c>
      <c r="S7" s="136" t="s">
        <v>43</v>
      </c>
      <c r="T7" s="136">
        <v>6479281.5</v>
      </c>
      <c r="U7" s="136">
        <v>6479281.5</v>
      </c>
      <c r="V7" s="136">
        <v>4269467.5</v>
      </c>
      <c r="W7" s="136">
        <v>0.39720599113400001</v>
      </c>
      <c r="X7" s="136">
        <v>4269467.5</v>
      </c>
      <c r="Y7" s="136" t="s">
        <v>101</v>
      </c>
      <c r="Z7" s="136" t="s">
        <v>46</v>
      </c>
      <c r="AA7" s="135">
        <v>2304247</v>
      </c>
      <c r="AB7" s="133" t="s">
        <v>193</v>
      </c>
      <c r="AC7" s="133" t="s">
        <v>56</v>
      </c>
      <c r="AD7" s="133" t="s">
        <v>103</v>
      </c>
      <c r="AE7" s="133">
        <v>0</v>
      </c>
      <c r="AF7" s="133" t="s">
        <v>191</v>
      </c>
      <c r="AG7" s="133" t="s">
        <v>101</v>
      </c>
      <c r="AH7" s="133" t="s">
        <v>46</v>
      </c>
      <c r="AI7" s="133" t="s">
        <v>101</v>
      </c>
      <c r="AJ7" s="133" t="s">
        <v>46</v>
      </c>
      <c r="AK7" s="133" t="s">
        <v>54</v>
      </c>
      <c r="AL7" s="133" t="s">
        <v>48</v>
      </c>
      <c r="AM7" s="133" t="s">
        <v>49</v>
      </c>
      <c r="AN7" s="133" t="str">
        <f>VLOOKUP(I7,Sheet1!A:D,4,FALSE)</f>
        <v>A320400</v>
      </c>
      <c r="AP7" s="133" t="s">
        <v>229</v>
      </c>
    </row>
    <row r="8" spans="1:42" s="133" customFormat="1" ht="14.25" x14ac:dyDescent="0.2">
      <c r="A8" s="132">
        <v>45809</v>
      </c>
      <c r="B8" s="133" t="s">
        <v>40</v>
      </c>
      <c r="C8" s="133" t="s">
        <v>41</v>
      </c>
      <c r="D8" s="133">
        <v>25708262</v>
      </c>
      <c r="E8" s="133">
        <v>25106700</v>
      </c>
      <c r="F8" s="133" t="s">
        <v>1056</v>
      </c>
      <c r="G8" s="135">
        <v>45811</v>
      </c>
      <c r="H8" s="133" t="s">
        <v>1057</v>
      </c>
      <c r="I8" s="133" t="s">
        <v>146</v>
      </c>
      <c r="J8" s="133" t="s">
        <v>147</v>
      </c>
      <c r="K8" s="136">
        <v>1</v>
      </c>
      <c r="L8" s="136" t="s">
        <v>42</v>
      </c>
      <c r="M8" s="136">
        <v>1</v>
      </c>
      <c r="N8" s="136">
        <v>11326480</v>
      </c>
      <c r="O8" s="136">
        <v>11326480</v>
      </c>
      <c r="P8" s="136">
        <v>11326480</v>
      </c>
      <c r="Q8" s="136">
        <v>0</v>
      </c>
      <c r="R8" s="136">
        <v>0</v>
      </c>
      <c r="S8" s="136" t="s">
        <v>43</v>
      </c>
      <c r="T8" s="136">
        <v>6959199.6200000001</v>
      </c>
      <c r="U8" s="136">
        <v>6959199.6200000001</v>
      </c>
      <c r="V8" s="136">
        <v>4367280.38</v>
      </c>
      <c r="W8" s="136">
        <v>0.38558143218300001</v>
      </c>
      <c r="X8" s="136">
        <v>4367280.38</v>
      </c>
      <c r="Y8" s="136" t="s">
        <v>69</v>
      </c>
      <c r="Z8" s="136" t="s">
        <v>46</v>
      </c>
      <c r="AA8" s="135">
        <v>2304247</v>
      </c>
      <c r="AB8" s="133" t="s">
        <v>1057</v>
      </c>
      <c r="AC8" s="133" t="s">
        <v>56</v>
      </c>
      <c r="AD8" s="133" t="s">
        <v>77</v>
      </c>
      <c r="AE8" s="133">
        <v>0</v>
      </c>
      <c r="AF8" s="133" t="s">
        <v>68</v>
      </c>
      <c r="AG8" s="133" t="s">
        <v>69</v>
      </c>
      <c r="AH8" s="133" t="s">
        <v>46</v>
      </c>
      <c r="AI8" s="133" t="s">
        <v>69</v>
      </c>
      <c r="AJ8" s="133" t="s">
        <v>46</v>
      </c>
      <c r="AK8" s="133" t="s">
        <v>54</v>
      </c>
      <c r="AL8" s="133" t="s">
        <v>48</v>
      </c>
      <c r="AM8" s="133" t="s">
        <v>49</v>
      </c>
      <c r="AN8" s="133" t="str">
        <f>VLOOKUP(I8,Sheet1!A:D,4,FALSE)</f>
        <v>A320400</v>
      </c>
      <c r="AP8" s="133" t="s">
        <v>1069</v>
      </c>
    </row>
    <row r="9" spans="1:42" s="254" customFormat="1" ht="14.25" x14ac:dyDescent="0.2">
      <c r="A9" s="253">
        <v>45870</v>
      </c>
      <c r="B9" s="254" t="s">
        <v>40</v>
      </c>
      <c r="C9" s="254" t="s">
        <v>41</v>
      </c>
      <c r="D9" s="254">
        <v>25708407</v>
      </c>
      <c r="E9" s="254">
        <v>25106850</v>
      </c>
      <c r="F9" s="254" t="s">
        <v>1190</v>
      </c>
      <c r="G9" s="255">
        <v>45875</v>
      </c>
      <c r="H9" s="254" t="s">
        <v>1057</v>
      </c>
      <c r="I9" s="254" t="s">
        <v>146</v>
      </c>
      <c r="J9" s="254" t="s">
        <v>147</v>
      </c>
      <c r="K9" s="256">
        <v>1</v>
      </c>
      <c r="L9" s="256" t="s">
        <v>42</v>
      </c>
      <c r="M9" s="256">
        <v>1</v>
      </c>
      <c r="N9" s="256">
        <v>10884291</v>
      </c>
      <c r="O9" s="256">
        <v>10884291</v>
      </c>
      <c r="P9" s="256">
        <v>10884291</v>
      </c>
      <c r="Q9" s="256">
        <v>0</v>
      </c>
      <c r="R9" s="256">
        <v>0</v>
      </c>
      <c r="S9" s="256" t="s">
        <v>43</v>
      </c>
      <c r="T9" s="256">
        <v>7100423.8200000003</v>
      </c>
      <c r="U9" s="256">
        <v>7100423.8200000003</v>
      </c>
      <c r="V9" s="256">
        <v>3783867.18</v>
      </c>
      <c r="W9" s="256">
        <v>0.34764480111700002</v>
      </c>
      <c r="X9" s="256">
        <v>3783867.18</v>
      </c>
      <c r="Y9" s="256" t="s">
        <v>69</v>
      </c>
      <c r="Z9" s="256" t="s">
        <v>46</v>
      </c>
      <c r="AA9" s="255">
        <v>2304247</v>
      </c>
      <c r="AB9" s="254" t="s">
        <v>1057</v>
      </c>
      <c r="AC9" s="254" t="s">
        <v>56</v>
      </c>
      <c r="AD9" s="254" t="s">
        <v>77</v>
      </c>
      <c r="AE9" s="254">
        <v>0</v>
      </c>
      <c r="AF9" s="254" t="s">
        <v>68</v>
      </c>
      <c r="AG9" s="254" t="s">
        <v>69</v>
      </c>
      <c r="AH9" s="254" t="s">
        <v>46</v>
      </c>
      <c r="AI9" s="254" t="s">
        <v>69</v>
      </c>
      <c r="AJ9" s="254" t="s">
        <v>46</v>
      </c>
      <c r="AK9" s="254" t="s">
        <v>54</v>
      </c>
      <c r="AL9" s="254" t="s">
        <v>48</v>
      </c>
      <c r="AM9" s="254" t="s">
        <v>49</v>
      </c>
      <c r="AN9" s="254" t="str">
        <f>VLOOKUP(I9,Sheet1!A:D,4,FALSE)</f>
        <v>A320400</v>
      </c>
      <c r="AP9" s="254" t="s">
        <v>1196</v>
      </c>
    </row>
    <row r="10" spans="1:42" s="36" customFormat="1" ht="14.25" x14ac:dyDescent="0.2">
      <c r="A10" s="57"/>
      <c r="G10" s="58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58"/>
      <c r="AN10" s="36" t="e">
        <f>VLOOKUP(I10,Sheet1!A:D,4,FALSE)</f>
        <v>#N/A</v>
      </c>
    </row>
    <row r="11" spans="1:42" s="36" customFormat="1" ht="14.25" x14ac:dyDescent="0.2">
      <c r="A11" s="57"/>
      <c r="G11" s="58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58"/>
      <c r="AN11" s="36" t="e">
        <f>VLOOKUP(I11,Sheet1!A:D,4,FALSE)</f>
        <v>#N/A</v>
      </c>
    </row>
    <row r="12" spans="1:42" s="36" customFormat="1" ht="14.25" x14ac:dyDescent="0.2">
      <c r="A12" s="57"/>
      <c r="G12" s="58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58"/>
      <c r="AN12" s="36" t="e">
        <f>VLOOKUP(I12,Sheet1!A:D,4,FALSE)</f>
        <v>#N/A</v>
      </c>
    </row>
    <row r="13" spans="1:42" s="36" customFormat="1" ht="14.25" x14ac:dyDescent="0.2">
      <c r="A13" s="57"/>
      <c r="G13" s="58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58"/>
      <c r="AN13" s="36" t="e">
        <f>VLOOKUP(I13,Sheet1!A:D,4,FALSE)</f>
        <v>#N/A</v>
      </c>
    </row>
    <row r="14" spans="1:42" s="36" customFormat="1" ht="14.25" x14ac:dyDescent="0.2">
      <c r="A14" s="57"/>
      <c r="G14" s="58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58"/>
      <c r="AN14" s="36" t="e">
        <f>VLOOKUP(I14,Sheet1!A:D,4,FALSE)</f>
        <v>#N/A</v>
      </c>
    </row>
    <row r="15" spans="1:42" s="36" customFormat="1" ht="14.25" x14ac:dyDescent="0.2">
      <c r="A15" s="57"/>
      <c r="G15" s="58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58"/>
      <c r="AN15" s="36" t="e">
        <f>VLOOKUP(I15,Sheet1!A:D,4,FALSE)</f>
        <v>#N/A</v>
      </c>
    </row>
    <row r="16" spans="1:42" s="36" customFormat="1" ht="14.25" x14ac:dyDescent="0.2">
      <c r="A16" s="57"/>
      <c r="G16" s="58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58"/>
      <c r="AN16" s="36" t="e">
        <f>VLOOKUP(I16,Sheet1!A:D,4,FALSE)</f>
        <v>#N/A</v>
      </c>
    </row>
    <row r="17" spans="1:40" s="36" customFormat="1" ht="14.25" x14ac:dyDescent="0.2">
      <c r="A17" s="57"/>
      <c r="G17" s="58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58"/>
      <c r="AN17" s="36" t="e">
        <f>VLOOKUP(I17,Sheet1!A:D,4,FALSE)</f>
        <v>#N/A</v>
      </c>
    </row>
    <row r="18" spans="1:40" s="36" customFormat="1" ht="14.25" x14ac:dyDescent="0.2">
      <c r="A18" s="57"/>
      <c r="G18" s="58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58"/>
      <c r="AN18" s="36" t="e">
        <f>VLOOKUP(I18,Sheet1!A:D,4,FALSE)</f>
        <v>#N/A</v>
      </c>
    </row>
    <row r="19" spans="1:40" s="36" customFormat="1" ht="14.25" x14ac:dyDescent="0.2">
      <c r="A19" s="57"/>
      <c r="G19" s="58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58"/>
      <c r="AN19" s="36" t="e">
        <f>VLOOKUP(I19,Sheet1!A:D,4,FALSE)</f>
        <v>#N/A</v>
      </c>
    </row>
    <row r="20" spans="1:40" s="36" customFormat="1" ht="14.25" x14ac:dyDescent="0.2">
      <c r="A20" s="57"/>
      <c r="G20" s="58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58"/>
      <c r="AN20" s="36" t="e">
        <f>VLOOKUP(I20,Sheet1!A:D,4,FALSE)</f>
        <v>#N/A</v>
      </c>
    </row>
    <row r="21" spans="1:40" s="36" customFormat="1" ht="14.25" x14ac:dyDescent="0.2">
      <c r="A21" s="57"/>
      <c r="G21" s="58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58"/>
      <c r="AN21" s="36" t="e">
        <f>VLOOKUP(I21,Sheet1!A:D,4,FALSE)</f>
        <v>#N/A</v>
      </c>
    </row>
    <row r="22" spans="1:40" s="36" customFormat="1" ht="14.25" x14ac:dyDescent="0.2">
      <c r="A22" s="57"/>
      <c r="G22" s="58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58"/>
      <c r="AN22" s="36" t="e">
        <f>VLOOKUP(I22,Sheet1!A:D,4,FALSE)</f>
        <v>#N/A</v>
      </c>
    </row>
    <row r="23" spans="1:40" s="36" customFormat="1" ht="14.25" x14ac:dyDescent="0.2">
      <c r="A23" s="57"/>
      <c r="G23" s="58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58"/>
      <c r="AN23" s="36" t="e">
        <f>VLOOKUP(I23,Sheet1!A:D,4,FALSE)</f>
        <v>#N/A</v>
      </c>
    </row>
    <row r="24" spans="1:40" s="36" customFormat="1" ht="14.25" x14ac:dyDescent="0.2">
      <c r="A24" s="57"/>
      <c r="G24" s="58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58"/>
      <c r="AN24" s="36" t="e">
        <f>VLOOKUP(I24,Sheet1!A:D,4,FALSE)</f>
        <v>#N/A</v>
      </c>
    </row>
    <row r="25" spans="1:40" s="36" customFormat="1" ht="14.25" x14ac:dyDescent="0.2">
      <c r="A25" s="57"/>
      <c r="G25" s="58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58"/>
      <c r="AN25" s="36" t="e">
        <f>VLOOKUP(I25,Sheet1!A:D,4,FALSE)</f>
        <v>#N/A</v>
      </c>
    </row>
    <row r="26" spans="1:40" s="36" customFormat="1" ht="14.25" x14ac:dyDescent="0.2">
      <c r="A26" s="57"/>
      <c r="G26" s="58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58"/>
      <c r="AN26" s="36" t="e">
        <f>VLOOKUP(I26,Sheet1!A:D,4,FALSE)</f>
        <v>#N/A</v>
      </c>
    </row>
    <row r="27" spans="1:40" s="36" customFormat="1" ht="14.25" x14ac:dyDescent="0.2">
      <c r="A27" s="57"/>
      <c r="G27" s="58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58"/>
      <c r="AN27" s="36" t="e">
        <f>VLOOKUP(I27,Sheet1!A:D,4,FALSE)</f>
        <v>#N/A</v>
      </c>
    </row>
    <row r="28" spans="1:40" s="36" customFormat="1" ht="14.25" x14ac:dyDescent="0.2">
      <c r="A28" s="57"/>
      <c r="G28" s="58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58"/>
      <c r="AN28" s="36" t="e">
        <f>VLOOKUP(I28,Sheet1!A:D,4,FALSE)</f>
        <v>#N/A</v>
      </c>
    </row>
    <row r="29" spans="1:40" s="36" customFormat="1" ht="14.25" x14ac:dyDescent="0.2">
      <c r="A29" s="57"/>
      <c r="G29" s="58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58"/>
      <c r="AN29" s="36" t="e">
        <f>VLOOKUP(I29,Sheet1!A:D,4,FALSE)</f>
        <v>#N/A</v>
      </c>
    </row>
    <row r="30" spans="1:40" s="36" customFormat="1" ht="14.25" x14ac:dyDescent="0.2">
      <c r="A30" s="57"/>
      <c r="G30" s="58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58"/>
      <c r="AN30" s="36" t="e">
        <f>VLOOKUP(I30,Sheet1!A:D,4,FALSE)</f>
        <v>#N/A</v>
      </c>
    </row>
    <row r="31" spans="1:40" s="36" customFormat="1" ht="14.25" x14ac:dyDescent="0.2">
      <c r="A31" s="57"/>
      <c r="G31" s="58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58"/>
      <c r="AN31" s="36" t="e">
        <f>VLOOKUP(I31,Sheet1!A:D,4,FALSE)</f>
        <v>#N/A</v>
      </c>
    </row>
    <row r="32" spans="1:40" s="36" customFormat="1" ht="14.25" x14ac:dyDescent="0.2">
      <c r="A32" s="57"/>
      <c r="G32" s="58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58"/>
      <c r="AN32" s="36" t="e">
        <f>VLOOKUP(I32,Sheet1!A:D,4,FALSE)</f>
        <v>#N/A</v>
      </c>
    </row>
    <row r="33" spans="1:40" s="36" customFormat="1" ht="14.25" x14ac:dyDescent="0.2">
      <c r="A33" s="57"/>
      <c r="G33" s="58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58"/>
      <c r="AN33" s="36" t="e">
        <f>VLOOKUP(I33,Sheet1!A:D,4,FALSE)</f>
        <v>#N/A</v>
      </c>
    </row>
    <row r="34" spans="1:40" s="36" customFormat="1" ht="14.25" x14ac:dyDescent="0.2">
      <c r="A34" s="57"/>
      <c r="G34" s="58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58"/>
      <c r="AN34" s="36" t="e">
        <f>VLOOKUP(I34,Sheet1!A:D,4,FALSE)</f>
        <v>#N/A</v>
      </c>
    </row>
    <row r="35" spans="1:40" s="36" customFormat="1" ht="14.25" x14ac:dyDescent="0.2">
      <c r="A35" s="57"/>
      <c r="G35" s="58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58"/>
      <c r="AN35" s="36" t="e">
        <f>VLOOKUP(I35,Sheet1!A:D,4,FALSE)</f>
        <v>#N/A</v>
      </c>
    </row>
    <row r="36" spans="1:40" s="36" customFormat="1" ht="14.25" x14ac:dyDescent="0.2">
      <c r="A36" s="57"/>
      <c r="G36" s="58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58"/>
      <c r="AN36" s="36" t="e">
        <f>VLOOKUP(I36,Sheet1!A:D,4,FALSE)</f>
        <v>#N/A</v>
      </c>
    </row>
    <row r="37" spans="1:40" s="36" customFormat="1" ht="14.25" x14ac:dyDescent="0.2">
      <c r="A37" s="57"/>
      <c r="G37" s="58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58"/>
      <c r="AN37" s="36" t="e">
        <f>VLOOKUP(I37,Sheet1!A:D,4,FALSE)</f>
        <v>#N/A</v>
      </c>
    </row>
    <row r="38" spans="1:40" s="36" customFormat="1" ht="14.25" x14ac:dyDescent="0.2">
      <c r="A38" s="57"/>
      <c r="G38" s="58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58"/>
      <c r="AN38" s="36" t="e">
        <f>VLOOKUP(I38,Sheet1!A:D,4,FALSE)</f>
        <v>#N/A</v>
      </c>
    </row>
    <row r="39" spans="1:40" s="36" customFormat="1" ht="14.25" x14ac:dyDescent="0.2">
      <c r="A39" s="57"/>
      <c r="G39" s="58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58"/>
      <c r="AN39" s="36" t="e">
        <f>VLOOKUP(I39,Sheet1!A:D,4,FALSE)</f>
        <v>#N/A</v>
      </c>
    </row>
    <row r="40" spans="1:40" s="36" customFormat="1" ht="14.25" x14ac:dyDescent="0.2">
      <c r="A40" s="57"/>
      <c r="G40" s="5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58"/>
      <c r="AN40" s="36" t="e">
        <f>VLOOKUP(I40,Sheet1!A:D,4,FALSE)</f>
        <v>#N/A</v>
      </c>
    </row>
    <row r="41" spans="1:40" s="36" customFormat="1" ht="14.25" x14ac:dyDescent="0.2">
      <c r="A41" s="57"/>
      <c r="G41" s="5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58"/>
      <c r="AN41" s="36" t="e">
        <f>VLOOKUP(I41,Sheet1!A:D,4,FALSE)</f>
        <v>#N/A</v>
      </c>
    </row>
    <row r="42" spans="1:40" s="36" customFormat="1" ht="14.25" x14ac:dyDescent="0.2">
      <c r="A42" s="57"/>
      <c r="G42" s="5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58"/>
      <c r="AN42" s="36" t="e">
        <f>VLOOKUP(I42,Sheet1!A:D,4,FALSE)</f>
        <v>#N/A</v>
      </c>
    </row>
    <row r="43" spans="1:40" s="36" customFormat="1" ht="14.25" x14ac:dyDescent="0.2">
      <c r="A43" s="57"/>
      <c r="G43" s="5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58"/>
      <c r="AN43" s="36" t="e">
        <f>VLOOKUP(I43,Sheet1!A:D,4,FALSE)</f>
        <v>#N/A</v>
      </c>
    </row>
    <row r="44" spans="1:40" s="36" customFormat="1" ht="14.25" x14ac:dyDescent="0.2">
      <c r="A44" s="57"/>
      <c r="G44" s="5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58"/>
      <c r="AN44" s="36" t="e">
        <f>VLOOKUP(I44,Sheet1!A:D,4,FALSE)</f>
        <v>#N/A</v>
      </c>
    </row>
    <row r="45" spans="1:40" s="36" customFormat="1" ht="14.25" x14ac:dyDescent="0.2">
      <c r="A45" s="57"/>
      <c r="G45" s="5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58"/>
      <c r="AN45" s="36" t="e">
        <f>VLOOKUP(I45,Sheet1!A:D,4,FALSE)</f>
        <v>#N/A</v>
      </c>
    </row>
    <row r="46" spans="1:40" s="36" customFormat="1" ht="14.25" x14ac:dyDescent="0.2">
      <c r="A46" s="57"/>
      <c r="G46" s="5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58"/>
      <c r="AN46" s="36" t="e">
        <f>VLOOKUP(I46,Sheet1!A:D,4,FALSE)</f>
        <v>#N/A</v>
      </c>
    </row>
    <row r="47" spans="1:40" s="36" customFormat="1" ht="14.25" x14ac:dyDescent="0.2">
      <c r="A47" s="57"/>
      <c r="G47" s="5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58"/>
      <c r="AN47" s="36" t="e">
        <f>VLOOKUP(I47,Sheet1!A:D,4,FALSE)</f>
        <v>#N/A</v>
      </c>
    </row>
    <row r="48" spans="1:40" s="36" customFormat="1" ht="14.25" x14ac:dyDescent="0.2">
      <c r="A48" s="57"/>
      <c r="G48" s="5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58"/>
      <c r="AN48" s="36" t="e">
        <f>VLOOKUP(I48,Sheet1!A:D,4,FALSE)</f>
        <v>#N/A</v>
      </c>
    </row>
    <row r="49" spans="1:40" s="36" customFormat="1" ht="14.25" x14ac:dyDescent="0.2">
      <c r="A49" s="57"/>
      <c r="G49" s="5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58"/>
      <c r="AN49" s="36" t="e">
        <f>VLOOKUP(I49,Sheet1!A:D,4,FALSE)</f>
        <v>#N/A</v>
      </c>
    </row>
    <row r="50" spans="1:40" s="36" customFormat="1" ht="14.25" x14ac:dyDescent="0.2">
      <c r="A50" s="57"/>
      <c r="G50" s="5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58"/>
      <c r="AN50" s="36" t="e">
        <f>VLOOKUP(I50,Sheet1!A:D,4,FALSE)</f>
        <v>#N/A</v>
      </c>
    </row>
    <row r="51" spans="1:40" s="36" customFormat="1" ht="14.25" x14ac:dyDescent="0.2">
      <c r="A51" s="57"/>
      <c r="G51" s="5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58"/>
      <c r="AN51" s="36" t="e">
        <f>VLOOKUP(I51,Sheet1!A:D,4,FALSE)</f>
        <v>#N/A</v>
      </c>
    </row>
    <row r="52" spans="1:40" s="36" customFormat="1" ht="14.25" x14ac:dyDescent="0.2">
      <c r="A52" s="57"/>
      <c r="G52" s="5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58"/>
      <c r="AN52" s="36" t="e">
        <f>VLOOKUP(I52,Sheet1!A:D,4,FALSE)</f>
        <v>#N/A</v>
      </c>
    </row>
    <row r="53" spans="1:40" s="36" customFormat="1" ht="14.25" x14ac:dyDescent="0.2">
      <c r="A53" s="57"/>
      <c r="G53" s="5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58"/>
      <c r="AN53" s="36" t="e">
        <f>VLOOKUP(I53,Sheet1!A:D,4,FALSE)</f>
        <v>#N/A</v>
      </c>
    </row>
    <row r="54" spans="1:40" s="36" customFormat="1" ht="14.25" x14ac:dyDescent="0.2">
      <c r="A54" s="57"/>
      <c r="G54" s="5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58"/>
      <c r="AN54" s="36" t="e">
        <f>VLOOKUP(I54,Sheet1!A:D,4,FALSE)</f>
        <v>#N/A</v>
      </c>
    </row>
    <row r="55" spans="1:40" s="36" customFormat="1" ht="14.25" x14ac:dyDescent="0.2">
      <c r="A55" s="57"/>
      <c r="G55" s="5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58"/>
      <c r="AN55" s="36" t="e">
        <f>VLOOKUP(I55,Sheet1!A:D,4,FALSE)</f>
        <v>#N/A</v>
      </c>
    </row>
    <row r="56" spans="1:40" s="36" customFormat="1" ht="14.25" x14ac:dyDescent="0.2">
      <c r="A56" s="57"/>
      <c r="G56" s="5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58"/>
      <c r="AN56" s="36" t="e">
        <f>VLOOKUP(I56,Sheet1!A:D,4,FALSE)</f>
        <v>#N/A</v>
      </c>
    </row>
    <row r="57" spans="1:40" s="36" customFormat="1" ht="14.25" x14ac:dyDescent="0.2">
      <c r="A57" s="57"/>
      <c r="G57" s="5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58"/>
      <c r="AN57" s="36" t="e">
        <f>VLOOKUP(I57,Sheet1!A:D,4,FALSE)</f>
        <v>#N/A</v>
      </c>
    </row>
    <row r="58" spans="1:40" s="36" customFormat="1" ht="14.25" x14ac:dyDescent="0.2">
      <c r="A58" s="57"/>
      <c r="G58" s="5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58"/>
      <c r="AN58" s="36" t="e">
        <f>VLOOKUP(I58,Sheet1!A:D,4,FALSE)</f>
        <v>#N/A</v>
      </c>
    </row>
    <row r="59" spans="1:40" s="36" customFormat="1" ht="14.25" x14ac:dyDescent="0.2">
      <c r="A59" s="57"/>
      <c r="G59" s="58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58"/>
      <c r="AN59" s="36" t="e">
        <f>VLOOKUP(I59,Sheet1!A:D,4,FALSE)</f>
        <v>#N/A</v>
      </c>
    </row>
    <row r="60" spans="1:40" s="36" customFormat="1" ht="14.25" x14ac:dyDescent="0.2">
      <c r="A60" s="57"/>
      <c r="G60" s="58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58"/>
      <c r="AN60" s="36" t="e">
        <f>VLOOKUP(I60,Sheet1!A:D,4,FALSE)</f>
        <v>#N/A</v>
      </c>
    </row>
    <row r="61" spans="1:40" s="36" customFormat="1" ht="14.25" x14ac:dyDescent="0.2">
      <c r="A61" s="57"/>
      <c r="G61" s="58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58"/>
      <c r="AN61" s="36" t="e">
        <f>VLOOKUP(I61,Sheet1!A:D,4,FALSE)</f>
        <v>#N/A</v>
      </c>
    </row>
    <row r="62" spans="1:40" s="36" customFormat="1" ht="14.25" x14ac:dyDescent="0.2">
      <c r="A62" s="57"/>
      <c r="G62" s="58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58"/>
      <c r="AN62" s="36" t="e">
        <f>VLOOKUP(I62,Sheet1!A:D,4,FALSE)</f>
        <v>#N/A</v>
      </c>
    </row>
    <row r="63" spans="1:40" s="36" customFormat="1" ht="14.25" x14ac:dyDescent="0.2">
      <c r="A63" s="57"/>
      <c r="G63" s="58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58"/>
      <c r="AN63" s="36" t="e">
        <f>VLOOKUP(I63,Sheet1!A:D,4,FALSE)</f>
        <v>#N/A</v>
      </c>
    </row>
    <row r="64" spans="1:40" s="36" customFormat="1" ht="14.25" x14ac:dyDescent="0.2">
      <c r="A64" s="57"/>
      <c r="G64" s="58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58"/>
      <c r="AN64" s="36" t="e">
        <f>VLOOKUP(I64,Sheet1!A:D,4,FALSE)</f>
        <v>#N/A</v>
      </c>
    </row>
    <row r="65" spans="1:40" s="36" customFormat="1" ht="14.25" x14ac:dyDescent="0.2">
      <c r="A65" s="57"/>
      <c r="G65" s="58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58"/>
      <c r="AN65" s="36" t="e">
        <f>VLOOKUP(I65,Sheet1!A:D,4,FALSE)</f>
        <v>#N/A</v>
      </c>
    </row>
    <row r="66" spans="1:40" s="36" customFormat="1" ht="14.25" x14ac:dyDescent="0.2">
      <c r="A66" s="57"/>
      <c r="G66" s="58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58"/>
      <c r="AN66" s="36" t="e">
        <f>VLOOKUP(I66,Sheet1!A:D,4,FALSE)</f>
        <v>#N/A</v>
      </c>
    </row>
    <row r="67" spans="1:40" s="36" customFormat="1" ht="14.25" x14ac:dyDescent="0.2">
      <c r="A67" s="57"/>
      <c r="G67" s="58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58"/>
      <c r="AN67" s="36" t="e">
        <f>VLOOKUP(I67,Sheet1!A:D,4,FALSE)</f>
        <v>#N/A</v>
      </c>
    </row>
    <row r="68" spans="1:40" s="36" customFormat="1" ht="14.25" x14ac:dyDescent="0.2">
      <c r="A68" s="57"/>
      <c r="G68" s="58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58"/>
      <c r="AN68" s="36" t="e">
        <f>VLOOKUP(I68,Sheet1!A:D,4,FALSE)</f>
        <v>#N/A</v>
      </c>
    </row>
    <row r="69" spans="1:40" s="36" customFormat="1" ht="14.25" x14ac:dyDescent="0.2">
      <c r="A69" s="57"/>
      <c r="G69" s="58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58"/>
      <c r="AN69" s="36" t="e">
        <f>VLOOKUP(I69,Sheet1!A:D,4,FALSE)</f>
        <v>#N/A</v>
      </c>
    </row>
    <row r="70" spans="1:40" s="36" customFormat="1" ht="14.25" x14ac:dyDescent="0.2">
      <c r="A70" s="57"/>
      <c r="G70" s="58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58"/>
      <c r="AN70" s="36" t="e">
        <f>VLOOKUP(I70,Sheet1!A:D,4,FALSE)</f>
        <v>#N/A</v>
      </c>
    </row>
    <row r="71" spans="1:40" s="36" customFormat="1" ht="14.25" x14ac:dyDescent="0.2">
      <c r="A71" s="57"/>
      <c r="G71" s="58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58"/>
      <c r="AN71" s="36" t="e">
        <f>VLOOKUP(I71,Sheet1!A:D,4,FALSE)</f>
        <v>#N/A</v>
      </c>
    </row>
    <row r="72" spans="1:40" s="36" customFormat="1" ht="14.25" x14ac:dyDescent="0.2">
      <c r="A72" s="57"/>
      <c r="G72" s="58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58"/>
      <c r="AN72" s="36" t="e">
        <f>VLOOKUP(I72,Sheet1!A:D,4,FALSE)</f>
        <v>#N/A</v>
      </c>
    </row>
    <row r="73" spans="1:40" s="36" customFormat="1" ht="14.25" x14ac:dyDescent="0.2">
      <c r="A73" s="57"/>
      <c r="G73" s="58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58"/>
      <c r="AN73" s="36" t="e">
        <f>VLOOKUP(I73,Sheet1!A:D,4,FALSE)</f>
        <v>#N/A</v>
      </c>
    </row>
    <row r="74" spans="1:40" s="36" customFormat="1" ht="14.25" x14ac:dyDescent="0.2">
      <c r="A74" s="57"/>
      <c r="G74" s="58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58"/>
      <c r="AN74" s="36" t="e">
        <f>VLOOKUP(I74,Sheet1!A:D,4,FALSE)</f>
        <v>#N/A</v>
      </c>
    </row>
    <row r="75" spans="1:40" s="36" customFormat="1" ht="14.25" x14ac:dyDescent="0.2">
      <c r="A75" s="57"/>
      <c r="G75" s="58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58"/>
      <c r="AN75" s="36" t="e">
        <f>VLOOKUP(I75,Sheet1!A:D,4,FALSE)</f>
        <v>#N/A</v>
      </c>
    </row>
    <row r="76" spans="1:40" s="36" customFormat="1" ht="14.25" x14ac:dyDescent="0.2">
      <c r="A76" s="57"/>
      <c r="G76" s="58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58"/>
      <c r="AN76" s="36" t="e">
        <f>VLOOKUP(I76,Sheet1!A:D,4,FALSE)</f>
        <v>#N/A</v>
      </c>
    </row>
    <row r="77" spans="1:40" s="36" customFormat="1" ht="14.25" x14ac:dyDescent="0.2">
      <c r="A77" s="57"/>
      <c r="G77" s="58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58"/>
      <c r="AN77" s="36" t="e">
        <f>VLOOKUP(I77,Sheet1!A:D,4,FALSE)</f>
        <v>#N/A</v>
      </c>
    </row>
    <row r="78" spans="1:40" s="36" customFormat="1" ht="14.25" x14ac:dyDescent="0.2">
      <c r="A78" s="57"/>
      <c r="G78" s="58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58"/>
      <c r="AN78" s="36" t="e">
        <f>VLOOKUP(I78,Sheet1!A:D,4,FALSE)</f>
        <v>#N/A</v>
      </c>
    </row>
    <row r="79" spans="1:40" s="36" customFormat="1" ht="14.25" x14ac:dyDescent="0.2">
      <c r="A79" s="57"/>
      <c r="G79" s="58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58"/>
      <c r="AN79" s="36" t="e">
        <f>VLOOKUP(I79,Sheet1!A:D,4,FALSE)</f>
        <v>#N/A</v>
      </c>
    </row>
    <row r="80" spans="1:40" s="36" customFormat="1" ht="14.25" x14ac:dyDescent="0.2">
      <c r="A80" s="57"/>
      <c r="G80" s="58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58"/>
      <c r="AN80" s="36" t="e">
        <f>VLOOKUP(I80,Sheet1!A:D,4,FALSE)</f>
        <v>#N/A</v>
      </c>
    </row>
    <row r="81" spans="1:40" s="36" customFormat="1" ht="14.25" x14ac:dyDescent="0.2">
      <c r="A81" s="57"/>
      <c r="G81" s="58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58"/>
      <c r="AN81" s="36" t="e">
        <f>VLOOKUP(I81,Sheet1!A:D,4,FALSE)</f>
        <v>#N/A</v>
      </c>
    </row>
    <row r="82" spans="1:40" s="36" customFormat="1" ht="14.25" x14ac:dyDescent="0.2">
      <c r="A82" s="57"/>
      <c r="G82" s="58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58"/>
      <c r="AN82" s="36" t="e">
        <f>VLOOKUP(I82,Sheet1!A:D,4,FALSE)</f>
        <v>#N/A</v>
      </c>
    </row>
    <row r="83" spans="1:40" s="36" customFormat="1" ht="14.25" x14ac:dyDescent="0.2">
      <c r="A83" s="57"/>
      <c r="G83" s="58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58"/>
      <c r="AN83" s="36" t="e">
        <f>VLOOKUP(I83,Sheet1!A:D,4,FALSE)</f>
        <v>#N/A</v>
      </c>
    </row>
    <row r="84" spans="1:40" s="36" customFormat="1" ht="14.25" x14ac:dyDescent="0.2">
      <c r="A84" s="57"/>
      <c r="G84" s="58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58"/>
      <c r="AN84" s="36" t="e">
        <f>VLOOKUP(I84,Sheet1!A:D,4,FALSE)</f>
        <v>#N/A</v>
      </c>
    </row>
    <row r="85" spans="1:40" s="36" customFormat="1" ht="14.25" x14ac:dyDescent="0.2">
      <c r="A85" s="57"/>
      <c r="G85" s="58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58"/>
      <c r="AN85" s="36" t="e">
        <f>VLOOKUP(I85,Sheet1!A:D,4,FALSE)</f>
        <v>#N/A</v>
      </c>
    </row>
    <row r="86" spans="1:40" s="62" customFormat="1" ht="14.25" x14ac:dyDescent="0.2">
      <c r="A86" s="61"/>
      <c r="G86" s="63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3"/>
      <c r="AN86" s="62" t="e">
        <f>VLOOKUP(I86,Sheet1!A:D,4,FALSE)</f>
        <v>#N/A</v>
      </c>
    </row>
    <row r="87" spans="1:40" s="62" customFormat="1" ht="14.25" x14ac:dyDescent="0.2">
      <c r="A87" s="61"/>
      <c r="G87" s="63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3"/>
      <c r="AN87" s="62" t="e">
        <f>VLOOKUP(I87,Sheet1!A:D,4,FALSE)</f>
        <v>#N/A</v>
      </c>
    </row>
    <row r="88" spans="1:40" s="62" customFormat="1" ht="14.25" x14ac:dyDescent="0.2">
      <c r="A88" s="61"/>
      <c r="G88" s="63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3"/>
      <c r="AN88" s="62" t="e">
        <f>VLOOKUP(I88,Sheet1!A:D,4,FALSE)</f>
        <v>#N/A</v>
      </c>
    </row>
    <row r="89" spans="1:40" s="62" customFormat="1" ht="14.25" x14ac:dyDescent="0.2">
      <c r="A89" s="61"/>
      <c r="G89" s="63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3"/>
      <c r="AN89" s="62" t="e">
        <f>VLOOKUP(I89,Sheet1!A:D,4,FALSE)</f>
        <v>#N/A</v>
      </c>
    </row>
    <row r="90" spans="1:40" s="62" customFormat="1" ht="14.25" x14ac:dyDescent="0.2">
      <c r="A90" s="61"/>
      <c r="G90" s="63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3"/>
      <c r="AN90" s="62" t="e">
        <f>VLOOKUP(I90,Sheet1!A:D,4,FALSE)</f>
        <v>#N/A</v>
      </c>
    </row>
    <row r="91" spans="1:40" s="62" customFormat="1" ht="14.25" x14ac:dyDescent="0.2">
      <c r="A91" s="61"/>
      <c r="G91" s="63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3"/>
      <c r="AN91" s="62" t="e">
        <f>VLOOKUP(I91,Sheet1!A:D,4,FALSE)</f>
        <v>#N/A</v>
      </c>
    </row>
    <row r="92" spans="1:40" s="62" customFormat="1" ht="14.25" x14ac:dyDescent="0.2">
      <c r="A92" s="61"/>
      <c r="G92" s="63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3"/>
      <c r="AN92" s="62" t="e">
        <f>VLOOKUP(I92,Sheet1!A:D,4,FALSE)</f>
        <v>#N/A</v>
      </c>
    </row>
    <row r="93" spans="1:40" s="62" customFormat="1" ht="14.25" x14ac:dyDescent="0.2">
      <c r="A93" s="61"/>
      <c r="G93" s="63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3"/>
      <c r="AN93" s="62" t="e">
        <f>VLOOKUP(I93,Sheet1!A:D,4,FALSE)</f>
        <v>#N/A</v>
      </c>
    </row>
    <row r="94" spans="1:40" s="62" customFormat="1" ht="14.25" x14ac:dyDescent="0.2">
      <c r="A94" s="61"/>
      <c r="G94" s="63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3"/>
      <c r="AN94" s="62" t="e">
        <f>VLOOKUP(I94,Sheet1!A:D,4,FALSE)</f>
        <v>#N/A</v>
      </c>
    </row>
    <row r="95" spans="1:40" s="62" customFormat="1" ht="14.25" x14ac:dyDescent="0.2">
      <c r="A95" s="61"/>
      <c r="G95" s="63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3"/>
      <c r="AN95" s="62" t="e">
        <f>VLOOKUP(I95,Sheet1!A:D,4,FALSE)</f>
        <v>#N/A</v>
      </c>
    </row>
    <row r="96" spans="1:40" s="62" customFormat="1" ht="14.25" x14ac:dyDescent="0.2">
      <c r="A96" s="61"/>
      <c r="G96" s="63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3"/>
      <c r="AN96" s="62" t="e">
        <f>VLOOKUP(I96,Sheet1!A:D,4,FALSE)</f>
        <v>#N/A</v>
      </c>
    </row>
    <row r="97" spans="1:40" s="62" customFormat="1" ht="14.25" x14ac:dyDescent="0.2">
      <c r="A97" s="61"/>
      <c r="G97" s="63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3"/>
      <c r="AN97" s="62" t="e">
        <f>VLOOKUP(I97,Sheet1!A:D,4,FALSE)</f>
        <v>#N/A</v>
      </c>
    </row>
    <row r="98" spans="1:40" s="62" customFormat="1" ht="14.25" x14ac:dyDescent="0.2">
      <c r="A98" s="61"/>
      <c r="G98" s="63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3"/>
      <c r="AN98" s="62" t="e">
        <f>VLOOKUP(I98,Sheet1!A:D,4,FALSE)</f>
        <v>#N/A</v>
      </c>
    </row>
    <row r="99" spans="1:40" s="62" customFormat="1" ht="14.25" x14ac:dyDescent="0.2">
      <c r="A99" s="61"/>
      <c r="G99" s="63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3"/>
      <c r="AN99" s="62" t="e">
        <f>VLOOKUP(I99,Sheet1!A:D,4,FALSE)</f>
        <v>#N/A</v>
      </c>
    </row>
    <row r="100" spans="1:40" s="62" customFormat="1" ht="14.25" x14ac:dyDescent="0.2">
      <c r="A100" s="61"/>
      <c r="G100" s="63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3"/>
      <c r="AN100" s="62" t="e">
        <f>VLOOKUP(I100,Sheet1!A:D,4,FALSE)</f>
        <v>#N/A</v>
      </c>
    </row>
    <row r="101" spans="1:40" s="62" customFormat="1" ht="14.25" x14ac:dyDescent="0.2">
      <c r="A101" s="61"/>
      <c r="G101" s="63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3"/>
      <c r="AN101" s="62" t="e">
        <f>VLOOKUP(I101,Sheet1!A:D,4,FALSE)</f>
        <v>#N/A</v>
      </c>
    </row>
    <row r="102" spans="1:40" s="62" customFormat="1" ht="14.25" x14ac:dyDescent="0.2">
      <c r="A102" s="61"/>
      <c r="G102" s="63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3"/>
      <c r="AN102" s="62" t="e">
        <f>VLOOKUP(I102,Sheet1!A:D,4,FALSE)</f>
        <v>#N/A</v>
      </c>
    </row>
    <row r="103" spans="1:40" s="62" customFormat="1" ht="14.25" x14ac:dyDescent="0.2">
      <c r="A103" s="61"/>
      <c r="G103" s="63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3"/>
      <c r="AN103" s="62" t="e">
        <f>VLOOKUP(I103,Sheet1!A:D,4,FALSE)</f>
        <v>#N/A</v>
      </c>
    </row>
    <row r="104" spans="1:40" s="62" customFormat="1" ht="14.25" x14ac:dyDescent="0.2">
      <c r="A104" s="61"/>
      <c r="G104" s="63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3"/>
      <c r="AN104" s="62" t="e">
        <f>VLOOKUP(I104,Sheet1!A:D,4,FALSE)</f>
        <v>#N/A</v>
      </c>
    </row>
    <row r="105" spans="1:40" s="62" customFormat="1" ht="14.25" x14ac:dyDescent="0.2">
      <c r="A105" s="61"/>
      <c r="G105" s="63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3"/>
      <c r="AN105" s="62" t="e">
        <f>VLOOKUP(I105,Sheet1!A:D,4,FALSE)</f>
        <v>#N/A</v>
      </c>
    </row>
    <row r="106" spans="1:40" s="62" customFormat="1" ht="14.25" x14ac:dyDescent="0.2">
      <c r="A106" s="61"/>
      <c r="G106" s="63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3"/>
      <c r="AN106" s="62" t="e">
        <f>VLOOKUP(I106,Sheet1!A:D,4,FALSE)</f>
        <v>#N/A</v>
      </c>
    </row>
    <row r="107" spans="1:40" s="62" customFormat="1" ht="14.25" x14ac:dyDescent="0.2">
      <c r="A107" s="61"/>
      <c r="G107" s="63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3"/>
      <c r="AN107" s="62" t="e">
        <f>VLOOKUP(I107,Sheet1!A:D,4,FALSE)</f>
        <v>#N/A</v>
      </c>
    </row>
    <row r="108" spans="1:40" s="62" customFormat="1" ht="14.25" x14ac:dyDescent="0.2">
      <c r="A108" s="61"/>
      <c r="G108" s="63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3"/>
      <c r="AN108" s="62" t="e">
        <f>VLOOKUP(I108,Sheet1!A:D,4,FALSE)</f>
        <v>#N/A</v>
      </c>
    </row>
    <row r="109" spans="1:40" s="62" customFormat="1" ht="14.25" x14ac:dyDescent="0.2">
      <c r="A109" s="61"/>
      <c r="G109" s="63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3"/>
      <c r="AN109" s="62" t="e">
        <f>VLOOKUP(I109,Sheet1!A:D,4,FALSE)</f>
        <v>#N/A</v>
      </c>
    </row>
    <row r="110" spans="1:40" s="62" customFormat="1" ht="14.25" x14ac:dyDescent="0.2">
      <c r="A110" s="61"/>
      <c r="G110" s="63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3"/>
      <c r="AN110" s="62" t="e">
        <f>VLOOKUP(I110,Sheet1!A:D,4,FALSE)</f>
        <v>#N/A</v>
      </c>
    </row>
    <row r="111" spans="1:40" s="62" customFormat="1" ht="14.25" x14ac:dyDescent="0.2">
      <c r="A111" s="61"/>
      <c r="G111" s="63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3"/>
      <c r="AN111" s="62" t="e">
        <f>VLOOKUP(I111,Sheet1!A:D,4,FALSE)</f>
        <v>#N/A</v>
      </c>
    </row>
    <row r="112" spans="1:40" s="62" customFormat="1" ht="14.25" x14ac:dyDescent="0.2">
      <c r="A112" s="61"/>
      <c r="G112" s="63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3"/>
      <c r="AN112" s="62" t="e">
        <f>VLOOKUP(I112,Sheet1!A:D,4,FALSE)</f>
        <v>#N/A</v>
      </c>
    </row>
    <row r="113" spans="1:40" s="62" customFormat="1" ht="14.25" x14ac:dyDescent="0.2">
      <c r="A113" s="61"/>
      <c r="G113" s="63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3"/>
      <c r="AN113" s="62" t="e">
        <f>VLOOKUP(I113,Sheet1!A:D,4,FALSE)</f>
        <v>#N/A</v>
      </c>
    </row>
    <row r="114" spans="1:40" s="62" customFormat="1" ht="14.25" x14ac:dyDescent="0.2">
      <c r="A114" s="61"/>
      <c r="G114" s="63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3"/>
      <c r="AN114" s="62" t="e">
        <f>VLOOKUP(I114,Sheet1!A:D,4,FALSE)</f>
        <v>#N/A</v>
      </c>
    </row>
    <row r="115" spans="1:40" s="62" customFormat="1" ht="14.25" x14ac:dyDescent="0.2">
      <c r="A115" s="61"/>
      <c r="G115" s="63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3"/>
      <c r="AN115" s="62" t="e">
        <f>VLOOKUP(I115,Sheet1!A:D,4,FALSE)</f>
        <v>#N/A</v>
      </c>
    </row>
    <row r="116" spans="1:40" s="62" customFormat="1" ht="14.25" x14ac:dyDescent="0.2">
      <c r="A116" s="61"/>
      <c r="G116" s="63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3"/>
      <c r="AN116" s="62" t="e">
        <f>VLOOKUP(I116,Sheet1!A:D,4,FALSE)</f>
        <v>#N/A</v>
      </c>
    </row>
    <row r="117" spans="1:40" s="62" customFormat="1" ht="14.25" x14ac:dyDescent="0.2">
      <c r="A117" s="61"/>
      <c r="G117" s="63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3"/>
      <c r="AN117" s="62" t="e">
        <f>VLOOKUP(I117,Sheet1!A:D,4,FALSE)</f>
        <v>#N/A</v>
      </c>
    </row>
    <row r="118" spans="1:40" s="62" customFormat="1" ht="14.25" x14ac:dyDescent="0.2">
      <c r="A118" s="61"/>
      <c r="G118" s="63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3"/>
      <c r="AN118" s="62" t="e">
        <f>VLOOKUP(I118,Sheet1!A:D,4,FALSE)</f>
        <v>#N/A</v>
      </c>
    </row>
    <row r="119" spans="1:40" s="62" customFormat="1" ht="14.25" x14ac:dyDescent="0.2">
      <c r="A119" s="61"/>
      <c r="G119" s="63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3"/>
      <c r="AN119" s="62" t="e">
        <f>VLOOKUP(I119,Sheet1!A:D,4,FALSE)</f>
        <v>#N/A</v>
      </c>
    </row>
    <row r="120" spans="1:40" s="62" customFormat="1" ht="14.25" x14ac:dyDescent="0.2">
      <c r="A120" s="61"/>
      <c r="G120" s="63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3"/>
      <c r="AN120" s="62" t="e">
        <f>VLOOKUP(I120,Sheet1!A:D,4,FALSE)</f>
        <v>#N/A</v>
      </c>
    </row>
    <row r="121" spans="1:40" s="62" customFormat="1" ht="14.25" x14ac:dyDescent="0.2">
      <c r="A121" s="61"/>
      <c r="G121" s="63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3"/>
      <c r="AN121" s="62" t="e">
        <f>VLOOKUP(I121,Sheet1!A:D,4,FALSE)</f>
        <v>#N/A</v>
      </c>
    </row>
    <row r="122" spans="1:40" s="62" customFormat="1" ht="14.25" x14ac:dyDescent="0.2">
      <c r="A122" s="61"/>
      <c r="G122" s="63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3"/>
      <c r="AN122" s="62" t="e">
        <f>VLOOKUP(I122,Sheet1!A:D,4,FALSE)</f>
        <v>#N/A</v>
      </c>
    </row>
    <row r="123" spans="1:40" s="62" customFormat="1" ht="14.25" x14ac:dyDescent="0.2">
      <c r="A123" s="61"/>
      <c r="G123" s="63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3"/>
      <c r="AN123" s="62" t="e">
        <f>VLOOKUP(I123,Sheet1!A:D,4,FALSE)</f>
        <v>#N/A</v>
      </c>
    </row>
    <row r="124" spans="1:40" s="62" customFormat="1" ht="14.25" x14ac:dyDescent="0.2">
      <c r="A124" s="61"/>
      <c r="G124" s="63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3"/>
      <c r="AN124" s="62" t="e">
        <f>VLOOKUP(I124,Sheet1!A:D,4,FALSE)</f>
        <v>#N/A</v>
      </c>
    </row>
    <row r="125" spans="1:40" s="62" customFormat="1" ht="14.25" x14ac:dyDescent="0.2">
      <c r="A125" s="61"/>
      <c r="G125" s="63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3"/>
      <c r="AN125" s="62" t="e">
        <f>VLOOKUP(I125,Sheet1!A:D,4,FALSE)</f>
        <v>#N/A</v>
      </c>
    </row>
    <row r="126" spans="1:40" s="62" customFormat="1" ht="14.25" x14ac:dyDescent="0.2">
      <c r="A126" s="61"/>
      <c r="G126" s="63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3"/>
      <c r="AN126" s="62" t="e">
        <f>VLOOKUP(I126,Sheet1!A:D,4,FALSE)</f>
        <v>#N/A</v>
      </c>
    </row>
    <row r="127" spans="1:40" s="62" customFormat="1" ht="14.25" x14ac:dyDescent="0.2">
      <c r="A127" s="61"/>
      <c r="G127" s="63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3"/>
      <c r="AN127" s="62" t="e">
        <f>VLOOKUP(I127,Sheet1!A:D,4,FALSE)</f>
        <v>#N/A</v>
      </c>
    </row>
    <row r="128" spans="1:40" s="62" customFormat="1" ht="14.25" x14ac:dyDescent="0.2">
      <c r="A128" s="61"/>
      <c r="G128" s="63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3"/>
      <c r="AN128" s="62" t="e">
        <f>VLOOKUP(I128,Sheet1!A:D,4,FALSE)</f>
        <v>#N/A</v>
      </c>
    </row>
    <row r="129" spans="1:40" s="62" customFormat="1" ht="14.25" x14ac:dyDescent="0.2">
      <c r="A129" s="61"/>
      <c r="G129" s="63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3"/>
      <c r="AN129" s="62" t="e">
        <f>VLOOKUP(I129,Sheet1!A:D,4,FALSE)</f>
        <v>#N/A</v>
      </c>
    </row>
    <row r="130" spans="1:40" s="62" customFormat="1" ht="14.25" x14ac:dyDescent="0.2">
      <c r="A130" s="61"/>
      <c r="G130" s="63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3"/>
      <c r="AN130" s="62" t="e">
        <f>VLOOKUP(I130,Sheet1!A:D,4,FALSE)</f>
        <v>#N/A</v>
      </c>
    </row>
    <row r="131" spans="1:40" s="62" customFormat="1" ht="14.25" x14ac:dyDescent="0.2">
      <c r="A131" s="61"/>
      <c r="G131" s="63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3"/>
      <c r="AN131" s="62" t="e">
        <f>VLOOKUP(I131,Sheet1!A:D,4,FALSE)</f>
        <v>#N/A</v>
      </c>
    </row>
    <row r="132" spans="1:40" s="62" customFormat="1" ht="14.25" x14ac:dyDescent="0.2">
      <c r="A132" s="61"/>
      <c r="G132" s="63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3"/>
      <c r="AN132" s="62" t="e">
        <f>VLOOKUP(I132,Sheet1!A:D,4,FALSE)</f>
        <v>#N/A</v>
      </c>
    </row>
    <row r="133" spans="1:40" s="62" customFormat="1" ht="14.25" x14ac:dyDescent="0.2">
      <c r="A133" s="61"/>
      <c r="G133" s="63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3"/>
      <c r="AN133" s="62" t="e">
        <f>VLOOKUP(I133,Sheet1!A:D,4,FALSE)</f>
        <v>#N/A</v>
      </c>
    </row>
    <row r="134" spans="1:40" s="62" customFormat="1" ht="14.25" x14ac:dyDescent="0.2">
      <c r="A134" s="61"/>
      <c r="G134" s="63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3"/>
      <c r="AN134" s="62" t="e">
        <f>VLOOKUP(I134,Sheet1!A:D,4,FALSE)</f>
        <v>#N/A</v>
      </c>
    </row>
    <row r="135" spans="1:40" s="62" customFormat="1" ht="14.25" x14ac:dyDescent="0.2">
      <c r="A135" s="61"/>
      <c r="G135" s="63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3"/>
      <c r="AN135" s="62" t="e">
        <f>VLOOKUP(I135,Sheet1!A:D,4,FALSE)</f>
        <v>#N/A</v>
      </c>
    </row>
    <row r="136" spans="1:40" s="62" customFormat="1" ht="14.25" x14ac:dyDescent="0.2">
      <c r="A136" s="61"/>
      <c r="G136" s="63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3"/>
      <c r="AN136" s="62" t="e">
        <f>VLOOKUP(I136,Sheet1!A:D,4,FALSE)</f>
        <v>#N/A</v>
      </c>
    </row>
    <row r="137" spans="1:40" s="62" customFormat="1" ht="14.25" x14ac:dyDescent="0.2">
      <c r="A137" s="61"/>
      <c r="G137" s="63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3"/>
      <c r="AN137" s="62" t="e">
        <f>VLOOKUP(I137,Sheet1!A:D,4,FALSE)</f>
        <v>#N/A</v>
      </c>
    </row>
    <row r="138" spans="1:40" s="62" customFormat="1" ht="14.25" x14ac:dyDescent="0.2">
      <c r="A138" s="61"/>
      <c r="G138" s="63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3"/>
      <c r="AN138" s="62" t="e">
        <f>VLOOKUP(I138,Sheet1!A:D,4,FALSE)</f>
        <v>#N/A</v>
      </c>
    </row>
    <row r="139" spans="1:40" s="62" customFormat="1" ht="14.25" x14ac:dyDescent="0.2">
      <c r="A139" s="61"/>
      <c r="G139" s="63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3"/>
      <c r="AN139" s="62" t="e">
        <f>VLOOKUP(I139,Sheet1!A:D,4,FALSE)</f>
        <v>#N/A</v>
      </c>
    </row>
    <row r="140" spans="1:40" s="62" customFormat="1" ht="14.25" x14ac:dyDescent="0.2">
      <c r="A140" s="61"/>
      <c r="G140" s="63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3"/>
      <c r="AN140" s="62" t="e">
        <f>VLOOKUP(I140,Sheet1!A:D,4,FALSE)</f>
        <v>#N/A</v>
      </c>
    </row>
    <row r="141" spans="1:40" s="62" customFormat="1" ht="14.25" x14ac:dyDescent="0.2">
      <c r="A141" s="61"/>
      <c r="G141" s="63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3"/>
      <c r="AN141" s="62" t="e">
        <f>VLOOKUP(I141,Sheet1!A:D,4,FALSE)</f>
        <v>#N/A</v>
      </c>
    </row>
    <row r="142" spans="1:40" s="62" customFormat="1" ht="14.25" x14ac:dyDescent="0.2">
      <c r="A142" s="61"/>
      <c r="G142" s="63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3"/>
      <c r="AN142" s="62" t="e">
        <f>VLOOKUP(I142,Sheet1!A:D,4,FALSE)</f>
        <v>#N/A</v>
      </c>
    </row>
    <row r="143" spans="1:40" s="62" customFormat="1" ht="14.25" x14ac:dyDescent="0.2">
      <c r="A143" s="61"/>
      <c r="G143" s="63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3"/>
      <c r="AN143" s="62" t="e">
        <f>VLOOKUP(I143,Sheet1!A:D,4,FALSE)</f>
        <v>#N/A</v>
      </c>
    </row>
    <row r="144" spans="1:40" s="62" customFormat="1" ht="14.25" x14ac:dyDescent="0.2">
      <c r="A144" s="61"/>
      <c r="G144" s="63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3"/>
      <c r="AN144" s="62" t="e">
        <f>VLOOKUP(I144,Sheet1!A:D,4,FALSE)</f>
        <v>#N/A</v>
      </c>
    </row>
    <row r="145" spans="1:40" s="62" customFormat="1" ht="14.25" x14ac:dyDescent="0.2">
      <c r="A145" s="61"/>
      <c r="G145" s="63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3"/>
      <c r="AN145" s="62" t="e">
        <f>VLOOKUP(I145,Sheet1!A:D,4,FALSE)</f>
        <v>#N/A</v>
      </c>
    </row>
    <row r="146" spans="1:40" s="62" customFormat="1" ht="14.25" x14ac:dyDescent="0.2">
      <c r="A146" s="61"/>
      <c r="G146" s="63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3"/>
      <c r="AN146" s="62" t="e">
        <f>VLOOKUP(I146,Sheet1!A:D,4,FALSE)</f>
        <v>#N/A</v>
      </c>
    </row>
    <row r="147" spans="1:40" s="62" customFormat="1" ht="14.25" x14ac:dyDescent="0.2">
      <c r="A147" s="61"/>
      <c r="G147" s="63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3"/>
      <c r="AN147" s="62" t="e">
        <f>VLOOKUP(I147,Sheet1!A:D,4,FALSE)</f>
        <v>#N/A</v>
      </c>
    </row>
    <row r="148" spans="1:40" s="62" customFormat="1" ht="14.25" x14ac:dyDescent="0.2">
      <c r="A148" s="61"/>
      <c r="G148" s="63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3"/>
      <c r="AN148" s="62" t="e">
        <f>VLOOKUP(I148,Sheet1!A:D,4,FALSE)</f>
        <v>#N/A</v>
      </c>
    </row>
    <row r="149" spans="1:40" s="62" customFormat="1" ht="14.25" x14ac:dyDescent="0.2">
      <c r="A149" s="61"/>
      <c r="G149" s="63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3"/>
      <c r="AN149" s="62" t="e">
        <f>VLOOKUP(I149,Sheet1!A:D,4,FALSE)</f>
        <v>#N/A</v>
      </c>
    </row>
    <row r="150" spans="1:40" s="62" customFormat="1" ht="14.25" x14ac:dyDescent="0.2">
      <c r="A150" s="61"/>
      <c r="G150" s="63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3"/>
      <c r="AN150" s="62" t="e">
        <f>VLOOKUP(I150,Sheet1!A:D,4,FALSE)</f>
        <v>#N/A</v>
      </c>
    </row>
    <row r="151" spans="1:40" s="62" customFormat="1" ht="14.25" x14ac:dyDescent="0.2">
      <c r="A151" s="61"/>
      <c r="G151" s="63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3"/>
      <c r="AN151" s="62" t="e">
        <f>VLOOKUP(I151,Sheet1!A:D,4,FALSE)</f>
        <v>#N/A</v>
      </c>
    </row>
    <row r="152" spans="1:40" s="62" customFormat="1" ht="14.25" x14ac:dyDescent="0.2">
      <c r="A152" s="61"/>
      <c r="G152" s="63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3"/>
      <c r="AN152" s="62" t="e">
        <f>VLOOKUP(I152,Sheet1!A:D,4,FALSE)</f>
        <v>#N/A</v>
      </c>
    </row>
    <row r="153" spans="1:40" s="62" customFormat="1" ht="14.25" x14ac:dyDescent="0.2">
      <c r="A153" s="61"/>
      <c r="G153" s="63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3"/>
      <c r="AN153" s="62" t="e">
        <f>VLOOKUP(I153,Sheet1!A:D,4,FALSE)</f>
        <v>#N/A</v>
      </c>
    </row>
    <row r="154" spans="1:40" s="62" customFormat="1" ht="14.25" x14ac:dyDescent="0.2">
      <c r="A154" s="61"/>
      <c r="G154" s="63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3"/>
      <c r="AN154" s="62" t="e">
        <f>VLOOKUP(I154,Sheet1!A:D,4,FALSE)</f>
        <v>#N/A</v>
      </c>
    </row>
    <row r="155" spans="1:40" s="62" customFormat="1" ht="14.25" x14ac:dyDescent="0.2">
      <c r="A155" s="61"/>
      <c r="G155" s="63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3"/>
      <c r="AN155" s="62" t="e">
        <f>VLOOKUP(I155,Sheet1!A:D,4,FALSE)</f>
        <v>#N/A</v>
      </c>
    </row>
    <row r="156" spans="1:40" s="62" customFormat="1" ht="14.25" x14ac:dyDescent="0.2">
      <c r="A156" s="61"/>
      <c r="G156" s="63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3"/>
      <c r="AN156" s="62" t="e">
        <f>VLOOKUP(I156,Sheet1!A:D,4,FALSE)</f>
        <v>#N/A</v>
      </c>
    </row>
    <row r="157" spans="1:40" s="62" customFormat="1" ht="14.25" x14ac:dyDescent="0.2">
      <c r="A157" s="61"/>
      <c r="G157" s="63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3"/>
      <c r="AN157" s="62" t="e">
        <f>VLOOKUP(I157,Sheet1!A:D,4,FALSE)</f>
        <v>#N/A</v>
      </c>
    </row>
    <row r="158" spans="1:40" s="62" customFormat="1" ht="14.25" x14ac:dyDescent="0.2">
      <c r="A158" s="61"/>
      <c r="G158" s="63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3"/>
      <c r="AN158" s="62" t="e">
        <f>VLOOKUP(I158,Sheet1!A:D,4,FALSE)</f>
        <v>#N/A</v>
      </c>
    </row>
    <row r="159" spans="1:40" s="62" customFormat="1" ht="14.25" x14ac:dyDescent="0.2">
      <c r="A159" s="61"/>
      <c r="G159" s="63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3"/>
      <c r="AN159" s="62" t="e">
        <f>VLOOKUP(I159,Sheet1!A:D,4,FALSE)</f>
        <v>#N/A</v>
      </c>
    </row>
    <row r="160" spans="1:40" x14ac:dyDescent="0.25">
      <c r="AN160" t="e">
        <f>VLOOKUP(I160,Sheet1!A:D,4,FALSE)</f>
        <v>#N/A</v>
      </c>
    </row>
    <row r="161" spans="40:40" x14ac:dyDescent="0.25">
      <c r="AN161" t="e">
        <f>VLOOKUP(I161,Sheet1!A:D,4,FALSE)</f>
        <v>#N/A</v>
      </c>
    </row>
    <row r="162" spans="40:40" x14ac:dyDescent="0.25">
      <c r="AN162" t="e">
        <f>VLOOKUP(I162,Sheet1!A:D,4,FALSE)</f>
        <v>#N/A</v>
      </c>
    </row>
    <row r="163" spans="40:40" x14ac:dyDescent="0.25">
      <c r="AN163" t="e">
        <f>VLOOKUP(I163,Sheet1!A:D,4,FALSE)</f>
        <v>#N/A</v>
      </c>
    </row>
    <row r="164" spans="40:40" x14ac:dyDescent="0.25">
      <c r="AN164" t="e">
        <f>VLOOKUP(I164,Sheet1!A:D,4,FALSE)</f>
        <v>#N/A</v>
      </c>
    </row>
    <row r="165" spans="40:40" x14ac:dyDescent="0.25">
      <c r="AN165" t="e">
        <f>VLOOKUP(I165,Sheet1!A:D,4,FALSE)</f>
        <v>#N/A</v>
      </c>
    </row>
    <row r="166" spans="40:40" x14ac:dyDescent="0.25">
      <c r="AN166" t="e">
        <f>VLOOKUP(I166,Sheet1!A:D,4,FALSE)</f>
        <v>#N/A</v>
      </c>
    </row>
    <row r="167" spans="40:40" x14ac:dyDescent="0.25">
      <c r="AN167" t="e">
        <f>VLOOKUP(I167,Sheet1!A:D,4,FALSE)</f>
        <v>#N/A</v>
      </c>
    </row>
    <row r="168" spans="40:40" x14ac:dyDescent="0.25">
      <c r="AN168" t="e">
        <f>VLOOKUP(I168,Sheet1!A:D,4,FALSE)</f>
        <v>#N/A</v>
      </c>
    </row>
    <row r="169" spans="40:40" x14ac:dyDescent="0.25">
      <c r="AN169" t="e">
        <f>VLOOKUP(I169,Sheet1!A:D,4,FALSE)</f>
        <v>#N/A</v>
      </c>
    </row>
    <row r="170" spans="40:40" x14ac:dyDescent="0.25">
      <c r="AN170" t="e">
        <f>VLOOKUP(I170,Sheet1!A:D,4,FALSE)</f>
        <v>#N/A</v>
      </c>
    </row>
    <row r="171" spans="40:40" x14ac:dyDescent="0.25">
      <c r="AN171" t="e">
        <f>VLOOKUP(I171,Sheet1!A:D,4,FALSE)</f>
        <v>#N/A</v>
      </c>
    </row>
    <row r="172" spans="40:40" x14ac:dyDescent="0.25">
      <c r="AN172" t="e">
        <f>VLOOKUP(I172,Sheet1!A:D,4,FALSE)</f>
        <v>#N/A</v>
      </c>
    </row>
    <row r="173" spans="40:40" x14ac:dyDescent="0.25">
      <c r="AN173" t="e">
        <f>VLOOKUP(I173,Sheet1!A:D,4,FALSE)</f>
        <v>#N/A</v>
      </c>
    </row>
    <row r="174" spans="40:40" x14ac:dyDescent="0.25">
      <c r="AN174" t="e">
        <f>VLOOKUP(I174,Sheet1!A:D,4,FALSE)</f>
        <v>#N/A</v>
      </c>
    </row>
    <row r="175" spans="40:40" x14ac:dyDescent="0.25">
      <c r="AN175" t="e">
        <f>VLOOKUP(I175,Sheet1!A:D,4,FALSE)</f>
        <v>#N/A</v>
      </c>
    </row>
    <row r="176" spans="40:40" x14ac:dyDescent="0.25">
      <c r="AN176" t="e">
        <f>VLOOKUP(I176,Sheet1!A:D,4,FALSE)</f>
        <v>#N/A</v>
      </c>
    </row>
    <row r="177" spans="40:40" x14ac:dyDescent="0.25">
      <c r="AN177" t="e">
        <f>VLOOKUP(I177,Sheet1!A:D,4,FALSE)</f>
        <v>#N/A</v>
      </c>
    </row>
    <row r="178" spans="40:40" x14ac:dyDescent="0.25">
      <c r="AN178" t="e">
        <f>VLOOKUP(I178,Sheet1!A:D,4,FALSE)</f>
        <v>#N/A</v>
      </c>
    </row>
    <row r="179" spans="40:40" x14ac:dyDescent="0.25">
      <c r="AN179" t="e">
        <f>VLOOKUP(I179,Sheet1!A:D,4,FALSE)</f>
        <v>#N/A</v>
      </c>
    </row>
    <row r="180" spans="40:40" x14ac:dyDescent="0.25">
      <c r="AN180" t="e">
        <f>VLOOKUP(I180,Sheet1!A:D,4,FALSE)</f>
        <v>#N/A</v>
      </c>
    </row>
    <row r="181" spans="40:40" x14ac:dyDescent="0.25">
      <c r="AN181" t="e">
        <f>VLOOKUP(I181,Sheet1!A:D,4,FALSE)</f>
        <v>#N/A</v>
      </c>
    </row>
    <row r="182" spans="40:40" x14ac:dyDescent="0.25">
      <c r="AN182" t="e">
        <f>VLOOKUP(I182,Sheet1!A:D,4,FALSE)</f>
        <v>#N/A</v>
      </c>
    </row>
    <row r="183" spans="40:40" x14ac:dyDescent="0.25">
      <c r="AN183" t="e">
        <f>VLOOKUP(I183,Sheet1!A:D,4,FALSE)</f>
        <v>#N/A</v>
      </c>
    </row>
    <row r="184" spans="40:40" x14ac:dyDescent="0.25">
      <c r="AN184" t="e">
        <f>VLOOKUP(I184,Sheet1!A:D,4,FALSE)</f>
        <v>#N/A</v>
      </c>
    </row>
    <row r="185" spans="40:40" x14ac:dyDescent="0.25">
      <c r="AN185" t="e">
        <f>VLOOKUP(I185,Sheet1!A:D,4,FALSE)</f>
        <v>#N/A</v>
      </c>
    </row>
    <row r="186" spans="40:40" x14ac:dyDescent="0.25">
      <c r="AN186" t="e">
        <f>VLOOKUP(I186,Sheet1!A:D,4,FALSE)</f>
        <v>#N/A</v>
      </c>
    </row>
    <row r="187" spans="40:40" x14ac:dyDescent="0.25">
      <c r="AN187" t="e">
        <f>VLOOKUP(I187,Sheet1!A:D,4,FALSE)</f>
        <v>#N/A</v>
      </c>
    </row>
    <row r="188" spans="40:40" x14ac:dyDescent="0.25">
      <c r="AN188" t="e">
        <f>VLOOKUP(I188,Sheet1!A:D,4,FALSE)</f>
        <v>#N/A</v>
      </c>
    </row>
    <row r="189" spans="40:40" x14ac:dyDescent="0.25">
      <c r="AN189" t="e">
        <f>VLOOKUP(I189,Sheet1!A:D,4,FALSE)</f>
        <v>#N/A</v>
      </c>
    </row>
    <row r="190" spans="40:40" x14ac:dyDescent="0.25">
      <c r="AN190" t="e">
        <f>VLOOKUP(I190,Sheet1!A:D,4,FALSE)</f>
        <v>#N/A</v>
      </c>
    </row>
    <row r="191" spans="40:40" x14ac:dyDescent="0.25">
      <c r="AN191" t="e">
        <f>VLOOKUP(I191,Sheet1!A:D,4,FALSE)</f>
        <v>#N/A</v>
      </c>
    </row>
    <row r="192" spans="40:40" x14ac:dyDescent="0.25">
      <c r="AN192" t="e">
        <f>VLOOKUP(I192,Sheet1!A:D,4,FALSE)</f>
        <v>#N/A</v>
      </c>
    </row>
    <row r="193" spans="40:40" x14ac:dyDescent="0.25">
      <c r="AN193" t="e">
        <f>VLOOKUP(I193,Sheet1!A:D,4,FALSE)</f>
        <v>#N/A</v>
      </c>
    </row>
    <row r="194" spans="40:40" x14ac:dyDescent="0.25">
      <c r="AN194" t="e">
        <f>VLOOKUP(I194,Sheet1!A:D,4,FALSE)</f>
        <v>#N/A</v>
      </c>
    </row>
    <row r="195" spans="40:40" x14ac:dyDescent="0.25">
      <c r="AN195" t="e">
        <f>VLOOKUP(I195,Sheet1!A:D,4,FALSE)</f>
        <v>#N/A</v>
      </c>
    </row>
    <row r="196" spans="40:40" x14ac:dyDescent="0.25">
      <c r="AN196" t="e">
        <f>VLOOKUP(I196,Sheet1!A:D,4,FALSE)</f>
        <v>#N/A</v>
      </c>
    </row>
    <row r="197" spans="40:40" x14ac:dyDescent="0.25">
      <c r="AN197" t="e">
        <f>VLOOKUP(I197,Sheet1!A:D,4,FALSE)</f>
        <v>#N/A</v>
      </c>
    </row>
    <row r="198" spans="40:40" x14ac:dyDescent="0.25">
      <c r="AN198" t="e">
        <f>VLOOKUP(I198,Sheet1!A:D,4,FALSE)</f>
        <v>#N/A</v>
      </c>
    </row>
    <row r="199" spans="40:40" x14ac:dyDescent="0.25">
      <c r="AN199" t="e">
        <f>VLOOKUP(I199,Sheet1!A:D,4,FALSE)</f>
        <v>#N/A</v>
      </c>
    </row>
    <row r="200" spans="40:40" x14ac:dyDescent="0.25">
      <c r="AN200" t="e">
        <f>VLOOKUP(I200,Sheet1!A:D,4,FALSE)</f>
        <v>#N/A</v>
      </c>
    </row>
    <row r="201" spans="40:40" x14ac:dyDescent="0.25">
      <c r="AN201" t="e">
        <f>VLOOKUP(I201,Sheet1!A:D,4,FALSE)</f>
        <v>#N/A</v>
      </c>
    </row>
    <row r="202" spans="40:40" x14ac:dyDescent="0.25">
      <c r="AN202" t="e">
        <f>VLOOKUP(I202,Sheet1!A:D,4,FALSE)</f>
        <v>#N/A</v>
      </c>
    </row>
    <row r="203" spans="40:40" x14ac:dyDescent="0.25">
      <c r="AN203" t="e">
        <f>VLOOKUP(I203,Sheet1!A:D,4,FALSE)</f>
        <v>#N/A</v>
      </c>
    </row>
    <row r="204" spans="40:40" x14ac:dyDescent="0.25">
      <c r="AN204" t="e">
        <f>VLOOKUP(I204,Sheet1!A:D,4,FALSE)</f>
        <v>#N/A</v>
      </c>
    </row>
    <row r="205" spans="40:40" x14ac:dyDescent="0.25">
      <c r="AN205" t="e">
        <f>VLOOKUP(I205,Sheet1!A:D,4,FALSE)</f>
        <v>#N/A</v>
      </c>
    </row>
    <row r="206" spans="40:40" x14ac:dyDescent="0.25">
      <c r="AN206" t="e">
        <f>VLOOKUP(I206,Sheet1!A:D,4,FALSE)</f>
        <v>#N/A</v>
      </c>
    </row>
    <row r="207" spans="40:40" x14ac:dyDescent="0.25">
      <c r="AN207" t="e">
        <f>VLOOKUP(I207,Sheet1!A:D,4,FALSE)</f>
        <v>#N/A</v>
      </c>
    </row>
    <row r="208" spans="40:40" x14ac:dyDescent="0.25">
      <c r="AN208" t="e">
        <f>VLOOKUP(I208,Sheet1!A:D,4,FALSE)</f>
        <v>#N/A</v>
      </c>
    </row>
    <row r="209" spans="40:40" x14ac:dyDescent="0.25">
      <c r="AN209" t="e">
        <f>VLOOKUP(I209,Sheet1!A:D,4,FALSE)</f>
        <v>#N/A</v>
      </c>
    </row>
    <row r="210" spans="40:40" x14ac:dyDescent="0.25">
      <c r="AN210" t="e">
        <f>VLOOKUP(I210,Sheet1!A:D,4,FALSE)</f>
        <v>#N/A</v>
      </c>
    </row>
    <row r="211" spans="40:40" x14ac:dyDescent="0.25">
      <c r="AN211" t="e">
        <f>VLOOKUP(I211,Sheet1!A:D,4,FALSE)</f>
        <v>#N/A</v>
      </c>
    </row>
    <row r="212" spans="40:40" x14ac:dyDescent="0.25">
      <c r="AN212" t="e">
        <f>VLOOKUP(I212,Sheet1!A:D,4,FALSE)</f>
        <v>#N/A</v>
      </c>
    </row>
  </sheetData>
  <autoFilter ref="A6:AR6" xr:uid="{E86380F2-F288-4EEE-8933-6ACFCABEB239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60D5-6222-4464-81B9-5F14682F6602}">
  <dimension ref="A1:AP184"/>
  <sheetViews>
    <sheetView workbookViewId="0">
      <selection activeCell="A9" sqref="A9:XFD10"/>
    </sheetView>
  </sheetViews>
  <sheetFormatPr defaultRowHeight="15" x14ac:dyDescent="0.25"/>
  <cols>
    <col min="1" max="1" width="18" style="23" bestFit="1" customWidth="1"/>
    <col min="4" max="4" width="10.140625" style="185" bestFit="1" customWidth="1"/>
    <col min="5" max="5" width="17.5703125" style="185" bestFit="1" customWidth="1"/>
    <col min="6" max="6" width="23.140625" style="185" bestFit="1" customWidth="1"/>
    <col min="7" max="7" width="11.85546875" style="30" bestFit="1" customWidth="1"/>
    <col min="11" max="11" width="9.28515625" style="25" bestFit="1" customWidth="1"/>
    <col min="12" max="12" width="9.140625" style="25"/>
    <col min="13" max="13" width="9.28515625" style="25" bestFit="1" customWidth="1"/>
    <col min="14" max="14" width="11.85546875" style="25" bestFit="1" customWidth="1"/>
    <col min="15" max="16" width="13.140625" style="25" bestFit="1" customWidth="1"/>
    <col min="17" max="18" width="9.28515625" style="25" bestFit="1" customWidth="1"/>
    <col min="19" max="19" width="9.140625" style="25"/>
    <col min="20" max="21" width="11.5703125" style="25" bestFit="1" customWidth="1"/>
    <col min="22" max="22" width="13.140625" style="25" bestFit="1" customWidth="1"/>
    <col min="23" max="23" width="9.42578125" style="25" bestFit="1" customWidth="1"/>
    <col min="24" max="24" width="13.140625" style="25" bestFit="1" customWidth="1"/>
    <col min="25" max="26" width="9.140625" style="25"/>
    <col min="27" max="27" width="11.85546875" style="241" bestFit="1" customWidth="1"/>
    <col min="42" max="42" width="176.85546875" hidden="1" customWidth="1"/>
  </cols>
  <sheetData>
    <row r="1" spans="1:42" s="74" customFormat="1" x14ac:dyDescent="0.25">
      <c r="A1" s="89"/>
      <c r="D1" s="181"/>
      <c r="E1" s="181"/>
      <c r="F1" s="181"/>
      <c r="G1" s="90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237"/>
    </row>
    <row r="2" spans="1:42" s="74" customFormat="1" x14ac:dyDescent="0.25">
      <c r="A2" s="89"/>
      <c r="D2" s="181"/>
      <c r="E2" s="181"/>
      <c r="F2" s="181"/>
      <c r="G2" s="90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237"/>
    </row>
    <row r="3" spans="1:42" s="74" customFormat="1" x14ac:dyDescent="0.25">
      <c r="A3" s="89"/>
      <c r="D3" s="181"/>
      <c r="E3" s="181"/>
      <c r="F3" s="181"/>
      <c r="G3" s="90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237"/>
    </row>
    <row r="4" spans="1:42" s="74" customFormat="1" x14ac:dyDescent="0.25">
      <c r="A4" s="89"/>
      <c r="D4" s="181"/>
      <c r="E4" s="181"/>
      <c r="F4" s="181"/>
      <c r="G4" s="90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237"/>
    </row>
    <row r="5" spans="1:42" s="74" customFormat="1" x14ac:dyDescent="0.25">
      <c r="A5" s="89" t="s">
        <v>230</v>
      </c>
      <c r="D5" s="181"/>
      <c r="E5" s="181"/>
      <c r="F5" s="181"/>
      <c r="G5" s="90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237"/>
    </row>
    <row r="6" spans="1:42" s="48" customFormat="1" x14ac:dyDescent="0.25">
      <c r="A6" s="83" t="s">
        <v>0</v>
      </c>
      <c r="B6" s="84" t="s">
        <v>1</v>
      </c>
      <c r="C6" s="84" t="s">
        <v>2</v>
      </c>
      <c r="D6" s="182" t="s">
        <v>4</v>
      </c>
      <c r="E6" s="182" t="s">
        <v>3</v>
      </c>
      <c r="F6" s="182" t="s">
        <v>5</v>
      </c>
      <c r="G6" s="85" t="s">
        <v>6</v>
      </c>
      <c r="H6" s="84" t="s">
        <v>7</v>
      </c>
      <c r="I6" s="84" t="s">
        <v>8</v>
      </c>
      <c r="J6" s="84" t="s">
        <v>9</v>
      </c>
      <c r="K6" s="86" t="s">
        <v>10</v>
      </c>
      <c r="L6" s="86" t="s">
        <v>11</v>
      </c>
      <c r="M6" s="86" t="s">
        <v>12</v>
      </c>
      <c r="N6" s="86" t="s">
        <v>13</v>
      </c>
      <c r="O6" s="86" t="s">
        <v>14</v>
      </c>
      <c r="P6" s="86" t="s">
        <v>15</v>
      </c>
      <c r="Q6" s="86" t="s">
        <v>16</v>
      </c>
      <c r="R6" s="86" t="s">
        <v>17</v>
      </c>
      <c r="S6" s="86" t="s">
        <v>18</v>
      </c>
      <c r="T6" s="86" t="s">
        <v>19</v>
      </c>
      <c r="U6" s="86" t="s">
        <v>20</v>
      </c>
      <c r="V6" s="86" t="s">
        <v>21</v>
      </c>
      <c r="W6" s="86" t="s">
        <v>22</v>
      </c>
      <c r="X6" s="86" t="s">
        <v>23</v>
      </c>
      <c r="Y6" s="86" t="s">
        <v>24</v>
      </c>
      <c r="Z6" s="86" t="s">
        <v>25</v>
      </c>
      <c r="AA6" s="238" t="s">
        <v>26</v>
      </c>
      <c r="AB6" s="84" t="s">
        <v>27</v>
      </c>
      <c r="AC6" s="84" t="s">
        <v>28</v>
      </c>
      <c r="AD6" s="84" t="s">
        <v>29</v>
      </c>
      <c r="AE6" s="84" t="s">
        <v>30</v>
      </c>
      <c r="AF6" s="84" t="s">
        <v>31</v>
      </c>
      <c r="AG6" s="84" t="s">
        <v>32</v>
      </c>
      <c r="AH6" s="84" t="s">
        <v>33</v>
      </c>
      <c r="AI6" s="84" t="s">
        <v>34</v>
      </c>
      <c r="AJ6" s="84" t="s">
        <v>35</v>
      </c>
      <c r="AK6" s="84" t="s">
        <v>36</v>
      </c>
      <c r="AL6" s="84" t="s">
        <v>37</v>
      </c>
      <c r="AM6" s="84" t="s">
        <v>38</v>
      </c>
      <c r="AN6" s="84" t="s">
        <v>696</v>
      </c>
      <c r="AO6" s="84"/>
      <c r="AP6" s="88" t="s">
        <v>39</v>
      </c>
    </row>
    <row r="7" spans="1:42" s="133" customFormat="1" ht="14.25" x14ac:dyDescent="0.2">
      <c r="A7" s="132">
        <v>45748</v>
      </c>
      <c r="B7" s="133" t="s">
        <v>40</v>
      </c>
      <c r="C7" s="133" t="s">
        <v>41</v>
      </c>
      <c r="D7" s="134">
        <v>25708122</v>
      </c>
      <c r="E7" s="134">
        <v>25106652</v>
      </c>
      <c r="F7" s="134" t="s">
        <v>939</v>
      </c>
      <c r="G7" s="135">
        <v>45758</v>
      </c>
      <c r="H7" s="133" t="s">
        <v>940</v>
      </c>
      <c r="I7" s="133" t="s">
        <v>444</v>
      </c>
      <c r="J7" s="133" t="s">
        <v>941</v>
      </c>
      <c r="K7" s="136">
        <v>15</v>
      </c>
      <c r="L7" s="136" t="s">
        <v>42</v>
      </c>
      <c r="M7" s="136">
        <v>15</v>
      </c>
      <c r="N7" s="136">
        <v>1363524</v>
      </c>
      <c r="O7" s="136">
        <v>20452860</v>
      </c>
      <c r="P7" s="136">
        <v>20452860</v>
      </c>
      <c r="Q7" s="136">
        <v>0</v>
      </c>
      <c r="R7" s="136">
        <v>0</v>
      </c>
      <c r="S7" s="136" t="s">
        <v>43</v>
      </c>
      <c r="T7" s="136">
        <v>9704716.3200000003</v>
      </c>
      <c r="U7" s="136">
        <v>9704716.3200000003</v>
      </c>
      <c r="V7" s="136">
        <v>10748143.68</v>
      </c>
      <c r="W7" s="136">
        <v>0.52550810400100001</v>
      </c>
      <c r="X7" s="136">
        <v>10748143.68</v>
      </c>
      <c r="Y7" s="136" t="s">
        <v>69</v>
      </c>
      <c r="Z7" s="136" t="s">
        <v>46</v>
      </c>
      <c r="AA7" s="242">
        <v>2308723</v>
      </c>
      <c r="AB7" s="133" t="s">
        <v>940</v>
      </c>
      <c r="AC7" s="133" t="s">
        <v>56</v>
      </c>
      <c r="AD7" s="133" t="s">
        <v>77</v>
      </c>
      <c r="AE7" s="133">
        <v>0</v>
      </c>
      <c r="AF7" s="133" t="s">
        <v>942</v>
      </c>
      <c r="AG7" s="133" t="s">
        <v>69</v>
      </c>
      <c r="AH7" s="133" t="s">
        <v>46</v>
      </c>
      <c r="AI7" s="133" t="s">
        <v>69</v>
      </c>
      <c r="AJ7" s="133" t="s">
        <v>46</v>
      </c>
      <c r="AK7" s="133" t="s">
        <v>54</v>
      </c>
      <c r="AL7" s="133" t="s">
        <v>48</v>
      </c>
      <c r="AM7" s="133" t="s">
        <v>64</v>
      </c>
      <c r="AN7" s="133" t="str">
        <f>VLOOKUP(I7,Sheet1!A:D,4,FALSE)</f>
        <v>A210600</v>
      </c>
      <c r="AP7" s="133" t="s">
        <v>944</v>
      </c>
    </row>
    <row r="8" spans="1:42" s="133" customFormat="1" ht="14.25" x14ac:dyDescent="0.2">
      <c r="A8" s="132">
        <v>45809</v>
      </c>
      <c r="B8" s="133" t="s">
        <v>40</v>
      </c>
      <c r="C8" s="133" t="s">
        <v>41</v>
      </c>
      <c r="D8" s="134">
        <v>25708304</v>
      </c>
      <c r="E8" s="134">
        <v>25106784</v>
      </c>
      <c r="F8" s="134" t="s">
        <v>1104</v>
      </c>
      <c r="G8" s="135">
        <v>45832</v>
      </c>
      <c r="H8" s="133" t="s">
        <v>940</v>
      </c>
      <c r="I8" s="133" t="s">
        <v>444</v>
      </c>
      <c r="J8" s="133" t="s">
        <v>941</v>
      </c>
      <c r="K8" s="136">
        <v>5</v>
      </c>
      <c r="L8" s="136" t="s">
        <v>42</v>
      </c>
      <c r="M8" s="136">
        <v>5</v>
      </c>
      <c r="N8" s="136">
        <v>1346841</v>
      </c>
      <c r="O8" s="136">
        <v>6734205</v>
      </c>
      <c r="P8" s="136">
        <v>6734205</v>
      </c>
      <c r="Q8" s="136">
        <v>0</v>
      </c>
      <c r="R8" s="136">
        <v>0</v>
      </c>
      <c r="S8" s="136" t="s">
        <v>43</v>
      </c>
      <c r="T8" s="136">
        <v>2945603.24</v>
      </c>
      <c r="U8" s="136">
        <v>2945603.24</v>
      </c>
      <c r="V8" s="136">
        <v>3788601.76</v>
      </c>
      <c r="W8" s="136">
        <v>0.56259079728000005</v>
      </c>
      <c r="X8" s="136">
        <v>3788601.76</v>
      </c>
      <c r="Y8" s="136" t="s">
        <v>69</v>
      </c>
      <c r="Z8" s="136" t="s">
        <v>46</v>
      </c>
      <c r="AA8" s="242">
        <v>2308723</v>
      </c>
      <c r="AB8" s="133" t="s">
        <v>940</v>
      </c>
      <c r="AC8" s="133" t="s">
        <v>56</v>
      </c>
      <c r="AD8" s="133" t="s">
        <v>77</v>
      </c>
      <c r="AE8" s="133">
        <v>0</v>
      </c>
      <c r="AF8" s="133" t="s">
        <v>942</v>
      </c>
      <c r="AG8" s="133" t="s">
        <v>69</v>
      </c>
      <c r="AH8" s="133" t="s">
        <v>46</v>
      </c>
      <c r="AI8" s="133" t="s">
        <v>69</v>
      </c>
      <c r="AJ8" s="133" t="s">
        <v>46</v>
      </c>
      <c r="AK8" s="133" t="s">
        <v>54</v>
      </c>
      <c r="AL8" s="133" t="s">
        <v>48</v>
      </c>
      <c r="AM8" s="133" t="s">
        <v>64</v>
      </c>
      <c r="AN8" s="133" t="str">
        <f>VLOOKUP(I8,Sheet1!A:D,4,FALSE)</f>
        <v>A210600</v>
      </c>
      <c r="AP8" s="133" t="s">
        <v>1108</v>
      </c>
    </row>
    <row r="9" spans="1:42" s="133" customFormat="1" x14ac:dyDescent="0.25">
      <c r="A9" s="132">
        <v>45839</v>
      </c>
      <c r="B9" s="133" t="s">
        <v>40</v>
      </c>
      <c r="C9" s="133" t="s">
        <v>41</v>
      </c>
      <c r="D9" s="134">
        <v>25708344</v>
      </c>
      <c r="E9" s="134">
        <v>25106784</v>
      </c>
      <c r="F9" s="134" t="s">
        <v>1104</v>
      </c>
      <c r="G9" s="135">
        <v>45845</v>
      </c>
      <c r="H9" s="133" t="s">
        <v>940</v>
      </c>
      <c r="I9" s="133" t="s">
        <v>444</v>
      </c>
      <c r="J9" s="133" t="s">
        <v>941</v>
      </c>
      <c r="K9" s="136">
        <v>10</v>
      </c>
      <c r="L9" s="136" t="s">
        <v>42</v>
      </c>
      <c r="M9" s="136">
        <v>10</v>
      </c>
      <c r="N9" s="136">
        <v>1346841</v>
      </c>
      <c r="O9" s="136">
        <v>13468410</v>
      </c>
      <c r="P9" s="136">
        <v>13468410</v>
      </c>
      <c r="Q9" s="136">
        <v>0</v>
      </c>
      <c r="R9" s="136">
        <v>0</v>
      </c>
      <c r="S9" s="136" t="s">
        <v>43</v>
      </c>
      <c r="T9" s="136">
        <v>6073165.3700000001</v>
      </c>
      <c r="U9" s="136">
        <v>6073165.3700000001</v>
      </c>
      <c r="V9" s="136">
        <v>7395244.6299999999</v>
      </c>
      <c r="W9" s="136">
        <v>0.54908074746699997</v>
      </c>
      <c r="X9" s="136">
        <v>7395244.6299999999</v>
      </c>
      <c r="Y9" s="136" t="s">
        <v>69</v>
      </c>
      <c r="Z9" s="136" t="s">
        <v>46</v>
      </c>
      <c r="AA9" s="242">
        <v>2308723</v>
      </c>
      <c r="AB9" s="133" t="s">
        <v>940</v>
      </c>
      <c r="AC9" s="133" t="s">
        <v>56</v>
      </c>
      <c r="AD9" s="133" t="s">
        <v>77</v>
      </c>
      <c r="AE9" s="133">
        <v>0</v>
      </c>
      <c r="AF9" s="133" t="s">
        <v>942</v>
      </c>
      <c r="AG9" s="133" t="s">
        <v>69</v>
      </c>
      <c r="AH9" s="133" t="s">
        <v>46</v>
      </c>
      <c r="AI9" s="133" t="s">
        <v>69</v>
      </c>
      <c r="AJ9" s="133" t="s">
        <v>46</v>
      </c>
      <c r="AK9" s="133" t="s">
        <v>54</v>
      </c>
      <c r="AL9" s="133" t="s">
        <v>48</v>
      </c>
      <c r="AM9" s="133" t="s">
        <v>64</v>
      </c>
      <c r="AN9" s="133" t="str">
        <f>VLOOKUP(I9,Sheet1!A:D,4,FALSE)</f>
        <v>A210600</v>
      </c>
      <c r="AP9" s="206" t="s">
        <v>1142</v>
      </c>
    </row>
    <row r="10" spans="1:42" s="133" customFormat="1" x14ac:dyDescent="0.25">
      <c r="A10" s="132">
        <v>45839</v>
      </c>
      <c r="B10" s="133" t="s">
        <v>40</v>
      </c>
      <c r="C10" s="133" t="s">
        <v>41</v>
      </c>
      <c r="D10" s="134">
        <v>25708345</v>
      </c>
      <c r="E10" s="134">
        <v>25106793</v>
      </c>
      <c r="F10" s="134" t="s">
        <v>1131</v>
      </c>
      <c r="G10" s="135">
        <v>45845</v>
      </c>
      <c r="H10" s="133" t="s">
        <v>940</v>
      </c>
      <c r="I10" s="133" t="s">
        <v>444</v>
      </c>
      <c r="J10" s="133" t="s">
        <v>941</v>
      </c>
      <c r="K10" s="136">
        <v>35</v>
      </c>
      <c r="L10" s="136" t="s">
        <v>42</v>
      </c>
      <c r="M10" s="136">
        <v>35</v>
      </c>
      <c r="N10" s="136">
        <v>1346841</v>
      </c>
      <c r="O10" s="136">
        <v>47139435</v>
      </c>
      <c r="P10" s="136">
        <v>47139435</v>
      </c>
      <c r="Q10" s="136">
        <v>0</v>
      </c>
      <c r="R10" s="136">
        <v>0</v>
      </c>
      <c r="S10" s="136" t="s">
        <v>43</v>
      </c>
      <c r="T10" s="136">
        <v>21256078.800000001</v>
      </c>
      <c r="U10" s="136">
        <v>21256078.800000001</v>
      </c>
      <c r="V10" s="136">
        <v>25883356.199999999</v>
      </c>
      <c r="W10" s="136">
        <v>0.54908074736099999</v>
      </c>
      <c r="X10" s="136">
        <v>25883356.199999999</v>
      </c>
      <c r="Y10" s="136" t="s">
        <v>69</v>
      </c>
      <c r="Z10" s="136" t="s">
        <v>46</v>
      </c>
      <c r="AA10" s="242">
        <v>2308723</v>
      </c>
      <c r="AB10" s="133" t="s">
        <v>940</v>
      </c>
      <c r="AC10" s="133" t="s">
        <v>56</v>
      </c>
      <c r="AD10" s="133" t="s">
        <v>77</v>
      </c>
      <c r="AE10" s="133">
        <v>0</v>
      </c>
      <c r="AF10" s="133" t="s">
        <v>942</v>
      </c>
      <c r="AG10" s="133" t="s">
        <v>69</v>
      </c>
      <c r="AH10" s="133" t="s">
        <v>46</v>
      </c>
      <c r="AI10" s="133" t="s">
        <v>69</v>
      </c>
      <c r="AJ10" s="133" t="s">
        <v>46</v>
      </c>
      <c r="AK10" s="133" t="s">
        <v>54</v>
      </c>
      <c r="AL10" s="133" t="s">
        <v>48</v>
      </c>
      <c r="AM10" s="133" t="s">
        <v>64</v>
      </c>
      <c r="AN10" s="133" t="str">
        <f>VLOOKUP(I10,Sheet1!A:D,4,FALSE)</f>
        <v>A210600</v>
      </c>
      <c r="AP10" s="206" t="s">
        <v>1142</v>
      </c>
    </row>
    <row r="11" spans="1:42" s="36" customFormat="1" ht="14.25" x14ac:dyDescent="0.2">
      <c r="A11" s="57"/>
      <c r="D11" s="183"/>
      <c r="E11" s="183"/>
      <c r="F11" s="183"/>
      <c r="G11" s="58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239"/>
      <c r="AN11" s="36" t="e">
        <f>VLOOKUP(I11,Sheet1!A:D,4,FALSE)</f>
        <v>#N/A</v>
      </c>
    </row>
    <row r="12" spans="1:42" s="36" customFormat="1" ht="14.25" x14ac:dyDescent="0.2">
      <c r="A12" s="57"/>
      <c r="D12" s="183"/>
      <c r="E12" s="183"/>
      <c r="F12" s="183"/>
      <c r="G12" s="58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239"/>
      <c r="AN12" s="36" t="e">
        <f>VLOOKUP(I12,Sheet1!A:D,4,FALSE)</f>
        <v>#N/A</v>
      </c>
    </row>
    <row r="13" spans="1:42" s="36" customFormat="1" ht="14.25" x14ac:dyDescent="0.2">
      <c r="A13" s="57"/>
      <c r="D13" s="183"/>
      <c r="E13" s="183"/>
      <c r="F13" s="183"/>
      <c r="G13" s="58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239"/>
      <c r="AN13" s="36" t="e">
        <f>VLOOKUP(I13,Sheet1!A:D,4,FALSE)</f>
        <v>#N/A</v>
      </c>
    </row>
    <row r="14" spans="1:42" s="36" customFormat="1" ht="14.25" x14ac:dyDescent="0.2">
      <c r="A14" s="57"/>
      <c r="D14" s="183"/>
      <c r="E14" s="183"/>
      <c r="F14" s="183"/>
      <c r="G14" s="58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239"/>
      <c r="AN14" s="36" t="e">
        <f>VLOOKUP(I14,Sheet1!A:D,4,FALSE)</f>
        <v>#N/A</v>
      </c>
    </row>
    <row r="15" spans="1:42" s="36" customFormat="1" ht="14.25" x14ac:dyDescent="0.2">
      <c r="A15" s="57"/>
      <c r="D15" s="183"/>
      <c r="E15" s="183"/>
      <c r="F15" s="183"/>
      <c r="G15" s="58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239"/>
      <c r="AN15" s="36" t="e">
        <f>VLOOKUP(I15,Sheet1!A:D,4,FALSE)</f>
        <v>#N/A</v>
      </c>
    </row>
    <row r="16" spans="1:42" s="36" customFormat="1" ht="14.25" x14ac:dyDescent="0.2">
      <c r="A16" s="57"/>
      <c r="D16" s="183"/>
      <c r="E16" s="183"/>
      <c r="F16" s="183"/>
      <c r="G16" s="58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239"/>
      <c r="AN16" s="36" t="e">
        <f>VLOOKUP(I16,Sheet1!A:D,4,FALSE)</f>
        <v>#N/A</v>
      </c>
    </row>
    <row r="17" spans="1:40" s="36" customFormat="1" ht="14.25" x14ac:dyDescent="0.2">
      <c r="A17" s="57"/>
      <c r="D17" s="183"/>
      <c r="E17" s="183"/>
      <c r="F17" s="183"/>
      <c r="G17" s="58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239"/>
      <c r="AN17" s="36" t="e">
        <f>VLOOKUP(I17,Sheet1!A:D,4,FALSE)</f>
        <v>#N/A</v>
      </c>
    </row>
    <row r="18" spans="1:40" s="36" customFormat="1" ht="14.25" x14ac:dyDescent="0.2">
      <c r="A18" s="57"/>
      <c r="D18" s="183"/>
      <c r="E18" s="183"/>
      <c r="F18" s="183"/>
      <c r="G18" s="58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239"/>
      <c r="AN18" s="36" t="e">
        <f>VLOOKUP(I18,Sheet1!A:D,4,FALSE)</f>
        <v>#N/A</v>
      </c>
    </row>
    <row r="19" spans="1:40" s="36" customFormat="1" ht="14.25" x14ac:dyDescent="0.2">
      <c r="A19" s="57"/>
      <c r="D19" s="183"/>
      <c r="E19" s="183"/>
      <c r="F19" s="183"/>
      <c r="G19" s="58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239"/>
      <c r="AN19" s="36" t="e">
        <f>VLOOKUP(I19,Sheet1!A:D,4,FALSE)</f>
        <v>#N/A</v>
      </c>
    </row>
    <row r="20" spans="1:40" s="36" customFormat="1" ht="14.25" x14ac:dyDescent="0.2">
      <c r="A20" s="57"/>
      <c r="D20" s="183"/>
      <c r="E20" s="183"/>
      <c r="F20" s="183"/>
      <c r="G20" s="58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239"/>
      <c r="AN20" s="36" t="e">
        <f>VLOOKUP(I20,Sheet1!A:D,4,FALSE)</f>
        <v>#N/A</v>
      </c>
    </row>
    <row r="21" spans="1:40" s="36" customFormat="1" ht="14.25" x14ac:dyDescent="0.2">
      <c r="A21" s="57"/>
      <c r="D21" s="183"/>
      <c r="E21" s="183"/>
      <c r="F21" s="183"/>
      <c r="G21" s="58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239"/>
      <c r="AN21" s="36" t="e">
        <f>VLOOKUP(I21,Sheet1!A:D,4,FALSE)</f>
        <v>#N/A</v>
      </c>
    </row>
    <row r="22" spans="1:40" s="36" customFormat="1" ht="14.25" x14ac:dyDescent="0.2">
      <c r="A22" s="57"/>
      <c r="D22" s="183"/>
      <c r="E22" s="183"/>
      <c r="F22" s="183"/>
      <c r="G22" s="58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239"/>
      <c r="AN22" s="36" t="e">
        <f>VLOOKUP(I22,Sheet1!A:D,4,FALSE)</f>
        <v>#N/A</v>
      </c>
    </row>
    <row r="23" spans="1:40" s="36" customFormat="1" ht="14.25" x14ac:dyDescent="0.2">
      <c r="A23" s="57"/>
      <c r="D23" s="183"/>
      <c r="E23" s="183"/>
      <c r="F23" s="183"/>
      <c r="G23" s="58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239"/>
      <c r="AN23" s="36" t="e">
        <f>VLOOKUP(I23,Sheet1!A:D,4,FALSE)</f>
        <v>#N/A</v>
      </c>
    </row>
    <row r="24" spans="1:40" s="36" customFormat="1" ht="14.25" x14ac:dyDescent="0.2">
      <c r="A24" s="57"/>
      <c r="D24" s="183"/>
      <c r="E24" s="183"/>
      <c r="F24" s="183"/>
      <c r="G24" s="58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239"/>
      <c r="AN24" s="36" t="e">
        <f>VLOOKUP(I24,Sheet1!A:D,4,FALSE)</f>
        <v>#N/A</v>
      </c>
    </row>
    <row r="25" spans="1:40" s="36" customFormat="1" ht="14.25" x14ac:dyDescent="0.2">
      <c r="A25" s="57"/>
      <c r="D25" s="183"/>
      <c r="E25" s="183"/>
      <c r="F25" s="183"/>
      <c r="G25" s="58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239"/>
      <c r="AN25" s="36" t="e">
        <f>VLOOKUP(I25,Sheet1!A:D,4,FALSE)</f>
        <v>#N/A</v>
      </c>
    </row>
    <row r="26" spans="1:40" s="36" customFormat="1" ht="14.25" x14ac:dyDescent="0.2">
      <c r="A26" s="57"/>
      <c r="D26" s="183"/>
      <c r="E26" s="183"/>
      <c r="F26" s="183"/>
      <c r="G26" s="58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239"/>
      <c r="AN26" s="36" t="e">
        <f>VLOOKUP(I26,Sheet1!A:D,4,FALSE)</f>
        <v>#N/A</v>
      </c>
    </row>
    <row r="27" spans="1:40" s="36" customFormat="1" ht="14.25" x14ac:dyDescent="0.2">
      <c r="A27" s="57"/>
      <c r="D27" s="183"/>
      <c r="E27" s="183"/>
      <c r="F27" s="183"/>
      <c r="G27" s="58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239"/>
      <c r="AN27" s="36" t="e">
        <f>VLOOKUP(I27,Sheet1!A:D,4,FALSE)</f>
        <v>#N/A</v>
      </c>
    </row>
    <row r="28" spans="1:40" s="36" customFormat="1" ht="14.25" x14ac:dyDescent="0.2">
      <c r="A28" s="57"/>
      <c r="D28" s="183"/>
      <c r="E28" s="183"/>
      <c r="F28" s="183"/>
      <c r="G28" s="58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239"/>
      <c r="AN28" s="36" t="e">
        <f>VLOOKUP(I28,Sheet1!A:D,4,FALSE)</f>
        <v>#N/A</v>
      </c>
    </row>
    <row r="29" spans="1:40" s="36" customFormat="1" ht="14.25" x14ac:dyDescent="0.2">
      <c r="A29" s="57"/>
      <c r="D29" s="183"/>
      <c r="E29" s="183"/>
      <c r="F29" s="183"/>
      <c r="G29" s="58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239"/>
      <c r="AN29" s="36" t="e">
        <f>VLOOKUP(I29,Sheet1!A:D,4,FALSE)</f>
        <v>#N/A</v>
      </c>
    </row>
    <row r="30" spans="1:40" s="36" customFormat="1" ht="14.25" x14ac:dyDescent="0.2">
      <c r="A30" s="57"/>
      <c r="D30" s="183"/>
      <c r="E30" s="183"/>
      <c r="F30" s="183"/>
      <c r="G30" s="58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239"/>
      <c r="AN30" s="36" t="e">
        <f>VLOOKUP(I30,Sheet1!A:D,4,FALSE)</f>
        <v>#N/A</v>
      </c>
    </row>
    <row r="31" spans="1:40" s="36" customFormat="1" ht="14.25" x14ac:dyDescent="0.2">
      <c r="A31" s="57"/>
      <c r="D31" s="183"/>
      <c r="E31" s="183"/>
      <c r="F31" s="183"/>
      <c r="G31" s="58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239"/>
      <c r="AN31" s="36" t="e">
        <f>VLOOKUP(I31,Sheet1!A:D,4,FALSE)</f>
        <v>#N/A</v>
      </c>
    </row>
    <row r="32" spans="1:40" s="36" customFormat="1" ht="14.25" x14ac:dyDescent="0.2">
      <c r="A32" s="57"/>
      <c r="D32" s="183"/>
      <c r="E32" s="183"/>
      <c r="F32" s="183"/>
      <c r="G32" s="58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239"/>
      <c r="AN32" s="36" t="e">
        <f>VLOOKUP(I32,Sheet1!A:D,4,FALSE)</f>
        <v>#N/A</v>
      </c>
    </row>
    <row r="33" spans="1:40" s="36" customFormat="1" ht="14.25" x14ac:dyDescent="0.2">
      <c r="A33" s="57"/>
      <c r="D33" s="183"/>
      <c r="E33" s="183"/>
      <c r="F33" s="183"/>
      <c r="G33" s="58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239"/>
      <c r="AN33" s="36" t="e">
        <f>VLOOKUP(I33,Sheet1!A:D,4,FALSE)</f>
        <v>#N/A</v>
      </c>
    </row>
    <row r="34" spans="1:40" s="36" customFormat="1" ht="14.25" x14ac:dyDescent="0.2">
      <c r="A34" s="57"/>
      <c r="D34" s="183"/>
      <c r="E34" s="183"/>
      <c r="F34" s="183"/>
      <c r="G34" s="58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239"/>
      <c r="AN34" s="36" t="e">
        <f>VLOOKUP(I34,Sheet1!A:D,4,FALSE)</f>
        <v>#N/A</v>
      </c>
    </row>
    <row r="35" spans="1:40" s="36" customFormat="1" ht="14.25" x14ac:dyDescent="0.2">
      <c r="A35" s="57"/>
      <c r="D35" s="183"/>
      <c r="E35" s="183"/>
      <c r="F35" s="183"/>
      <c r="G35" s="58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239"/>
      <c r="AN35" s="36" t="e">
        <f>VLOOKUP(I35,Sheet1!A:D,4,FALSE)</f>
        <v>#N/A</v>
      </c>
    </row>
    <row r="36" spans="1:40" s="36" customFormat="1" ht="14.25" x14ac:dyDescent="0.2">
      <c r="A36" s="57"/>
      <c r="D36" s="183"/>
      <c r="E36" s="183"/>
      <c r="F36" s="183"/>
      <c r="G36" s="58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239"/>
      <c r="AN36" s="36" t="e">
        <f>VLOOKUP(I36,Sheet1!A:D,4,FALSE)</f>
        <v>#N/A</v>
      </c>
    </row>
    <row r="37" spans="1:40" s="36" customFormat="1" ht="14.25" x14ac:dyDescent="0.2">
      <c r="A37" s="57"/>
      <c r="D37" s="183"/>
      <c r="E37" s="183"/>
      <c r="F37" s="183"/>
      <c r="G37" s="58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239"/>
      <c r="AN37" s="36" t="e">
        <f>VLOOKUP(I37,Sheet1!A:D,4,FALSE)</f>
        <v>#N/A</v>
      </c>
    </row>
    <row r="38" spans="1:40" s="36" customFormat="1" ht="14.25" x14ac:dyDescent="0.2">
      <c r="A38" s="57"/>
      <c r="D38" s="183"/>
      <c r="E38" s="183"/>
      <c r="F38" s="183"/>
      <c r="G38" s="58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239"/>
      <c r="AN38" s="36" t="e">
        <f>VLOOKUP(I38,Sheet1!A:D,4,FALSE)</f>
        <v>#N/A</v>
      </c>
    </row>
    <row r="39" spans="1:40" s="36" customFormat="1" ht="14.25" x14ac:dyDescent="0.2">
      <c r="A39" s="57"/>
      <c r="D39" s="183"/>
      <c r="E39" s="183"/>
      <c r="F39" s="183"/>
      <c r="G39" s="58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239"/>
      <c r="AN39" s="36" t="e">
        <f>VLOOKUP(I39,Sheet1!A:D,4,FALSE)</f>
        <v>#N/A</v>
      </c>
    </row>
    <row r="40" spans="1:40" s="36" customFormat="1" ht="14.25" x14ac:dyDescent="0.2">
      <c r="A40" s="57"/>
      <c r="D40" s="183"/>
      <c r="E40" s="183"/>
      <c r="F40" s="183"/>
      <c r="G40" s="5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239"/>
      <c r="AN40" s="36" t="e">
        <f>VLOOKUP(I40,Sheet1!A:D,4,FALSE)</f>
        <v>#N/A</v>
      </c>
    </row>
    <row r="41" spans="1:40" s="36" customFormat="1" ht="14.25" x14ac:dyDescent="0.2">
      <c r="A41" s="57"/>
      <c r="D41" s="183"/>
      <c r="E41" s="183"/>
      <c r="F41" s="183"/>
      <c r="G41" s="5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239"/>
      <c r="AN41" s="36" t="e">
        <f>VLOOKUP(I41,Sheet1!A:D,4,FALSE)</f>
        <v>#N/A</v>
      </c>
    </row>
    <row r="42" spans="1:40" s="36" customFormat="1" ht="14.25" x14ac:dyDescent="0.2">
      <c r="A42" s="57"/>
      <c r="D42" s="183"/>
      <c r="E42" s="183"/>
      <c r="F42" s="183"/>
      <c r="G42" s="5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239"/>
      <c r="AN42" s="36" t="e">
        <f>VLOOKUP(I42,Sheet1!A:D,4,FALSE)</f>
        <v>#N/A</v>
      </c>
    </row>
    <row r="43" spans="1:40" s="36" customFormat="1" ht="14.25" x14ac:dyDescent="0.2">
      <c r="A43" s="57"/>
      <c r="D43" s="183"/>
      <c r="E43" s="183"/>
      <c r="F43" s="183"/>
      <c r="G43" s="5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239"/>
      <c r="AN43" s="36" t="e">
        <f>VLOOKUP(I43,Sheet1!A:D,4,FALSE)</f>
        <v>#N/A</v>
      </c>
    </row>
    <row r="44" spans="1:40" s="36" customFormat="1" ht="14.25" x14ac:dyDescent="0.2">
      <c r="A44" s="57"/>
      <c r="D44" s="183"/>
      <c r="E44" s="183"/>
      <c r="F44" s="183"/>
      <c r="G44" s="5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239"/>
      <c r="AN44" s="36" t="e">
        <f>VLOOKUP(I44,Sheet1!A:D,4,FALSE)</f>
        <v>#N/A</v>
      </c>
    </row>
    <row r="45" spans="1:40" s="36" customFormat="1" ht="14.25" x14ac:dyDescent="0.2">
      <c r="A45" s="57"/>
      <c r="D45" s="183"/>
      <c r="E45" s="183"/>
      <c r="F45" s="183"/>
      <c r="G45" s="5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239"/>
      <c r="AN45" s="36" t="e">
        <f>VLOOKUP(I45,Sheet1!A:D,4,FALSE)</f>
        <v>#N/A</v>
      </c>
    </row>
    <row r="46" spans="1:40" s="36" customFormat="1" ht="14.25" x14ac:dyDescent="0.2">
      <c r="A46" s="57"/>
      <c r="D46" s="183"/>
      <c r="E46" s="183"/>
      <c r="F46" s="183"/>
      <c r="G46" s="5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239"/>
      <c r="AN46" s="36" t="e">
        <f>VLOOKUP(I46,Sheet1!A:D,4,FALSE)</f>
        <v>#N/A</v>
      </c>
    </row>
    <row r="47" spans="1:40" s="36" customFormat="1" ht="14.25" x14ac:dyDescent="0.2">
      <c r="A47" s="57"/>
      <c r="D47" s="183"/>
      <c r="E47" s="183"/>
      <c r="F47" s="183"/>
      <c r="G47" s="5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239"/>
      <c r="AN47" s="36" t="e">
        <f>VLOOKUP(I47,Sheet1!A:D,4,FALSE)</f>
        <v>#N/A</v>
      </c>
    </row>
    <row r="48" spans="1:40" s="36" customFormat="1" ht="14.25" x14ac:dyDescent="0.2">
      <c r="A48" s="57"/>
      <c r="D48" s="183"/>
      <c r="E48" s="183"/>
      <c r="F48" s="183"/>
      <c r="G48" s="5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239"/>
      <c r="AN48" s="36" t="e">
        <f>VLOOKUP(I48,Sheet1!A:D,4,FALSE)</f>
        <v>#N/A</v>
      </c>
    </row>
    <row r="49" spans="1:40" s="36" customFormat="1" ht="14.25" x14ac:dyDescent="0.2">
      <c r="A49" s="57"/>
      <c r="D49" s="183"/>
      <c r="E49" s="183"/>
      <c r="F49" s="183"/>
      <c r="G49" s="5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239"/>
      <c r="AN49" s="36" t="e">
        <f>VLOOKUP(I49,Sheet1!A:D,4,FALSE)</f>
        <v>#N/A</v>
      </c>
    </row>
    <row r="50" spans="1:40" s="36" customFormat="1" ht="14.25" x14ac:dyDescent="0.2">
      <c r="A50" s="57"/>
      <c r="D50" s="183"/>
      <c r="E50" s="183"/>
      <c r="F50" s="183"/>
      <c r="G50" s="5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239"/>
      <c r="AN50" s="36" t="e">
        <f>VLOOKUP(I50,Sheet1!A:D,4,FALSE)</f>
        <v>#N/A</v>
      </c>
    </row>
    <row r="51" spans="1:40" s="36" customFormat="1" ht="14.25" x14ac:dyDescent="0.2">
      <c r="A51" s="57"/>
      <c r="D51" s="183"/>
      <c r="E51" s="183"/>
      <c r="F51" s="183"/>
      <c r="G51" s="5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239"/>
      <c r="AN51" s="36" t="e">
        <f>VLOOKUP(I51,Sheet1!A:D,4,FALSE)</f>
        <v>#N/A</v>
      </c>
    </row>
    <row r="52" spans="1:40" s="36" customFormat="1" ht="14.25" x14ac:dyDescent="0.2">
      <c r="A52" s="57"/>
      <c r="D52" s="183"/>
      <c r="E52" s="183"/>
      <c r="F52" s="183"/>
      <c r="G52" s="5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239"/>
      <c r="AN52" s="36" t="e">
        <f>VLOOKUP(I52,Sheet1!A:D,4,FALSE)</f>
        <v>#N/A</v>
      </c>
    </row>
    <row r="53" spans="1:40" s="36" customFormat="1" ht="14.25" x14ac:dyDescent="0.2">
      <c r="A53" s="57"/>
      <c r="D53" s="183"/>
      <c r="E53" s="183"/>
      <c r="F53" s="183"/>
      <c r="G53" s="5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239"/>
      <c r="AN53" s="36" t="e">
        <f>VLOOKUP(I53,Sheet1!A:D,4,FALSE)</f>
        <v>#N/A</v>
      </c>
    </row>
    <row r="54" spans="1:40" s="36" customFormat="1" ht="14.25" x14ac:dyDescent="0.2">
      <c r="A54" s="57"/>
      <c r="D54" s="183"/>
      <c r="E54" s="183"/>
      <c r="F54" s="183"/>
      <c r="G54" s="5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239"/>
      <c r="AN54" s="36" t="e">
        <f>VLOOKUP(I54,Sheet1!A:D,4,FALSE)</f>
        <v>#N/A</v>
      </c>
    </row>
    <row r="55" spans="1:40" s="36" customFormat="1" ht="14.25" x14ac:dyDescent="0.2">
      <c r="A55" s="57"/>
      <c r="D55" s="183"/>
      <c r="E55" s="183"/>
      <c r="F55" s="183"/>
      <c r="G55" s="5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239"/>
      <c r="AN55" s="36" t="e">
        <f>VLOOKUP(I55,Sheet1!A:D,4,FALSE)</f>
        <v>#N/A</v>
      </c>
    </row>
    <row r="56" spans="1:40" s="36" customFormat="1" ht="14.25" x14ac:dyDescent="0.2">
      <c r="A56" s="57"/>
      <c r="D56" s="183"/>
      <c r="E56" s="183"/>
      <c r="F56" s="183"/>
      <c r="G56" s="5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239"/>
      <c r="AN56" s="36" t="e">
        <f>VLOOKUP(I56,Sheet1!A:D,4,FALSE)</f>
        <v>#N/A</v>
      </c>
    </row>
    <row r="57" spans="1:40" s="36" customFormat="1" ht="14.25" x14ac:dyDescent="0.2">
      <c r="A57" s="57"/>
      <c r="D57" s="183"/>
      <c r="E57" s="183"/>
      <c r="F57" s="183"/>
      <c r="G57" s="5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239"/>
      <c r="AN57" s="36" t="e">
        <f>VLOOKUP(I57,Sheet1!A:D,4,FALSE)</f>
        <v>#N/A</v>
      </c>
    </row>
    <row r="58" spans="1:40" s="36" customFormat="1" ht="14.25" x14ac:dyDescent="0.2">
      <c r="A58" s="57"/>
      <c r="D58" s="183"/>
      <c r="E58" s="183"/>
      <c r="F58" s="183"/>
      <c r="G58" s="5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239"/>
      <c r="AN58" s="36" t="e">
        <f>VLOOKUP(I58,Sheet1!A:D,4,FALSE)</f>
        <v>#N/A</v>
      </c>
    </row>
    <row r="59" spans="1:40" s="36" customFormat="1" ht="14.25" x14ac:dyDescent="0.2">
      <c r="A59" s="57"/>
      <c r="D59" s="183"/>
      <c r="E59" s="183"/>
      <c r="F59" s="183"/>
      <c r="G59" s="58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239"/>
      <c r="AN59" s="36" t="e">
        <f>VLOOKUP(I59,Sheet1!A:D,4,FALSE)</f>
        <v>#N/A</v>
      </c>
    </row>
    <row r="60" spans="1:40" s="36" customFormat="1" ht="14.25" x14ac:dyDescent="0.2">
      <c r="A60" s="57"/>
      <c r="D60" s="183"/>
      <c r="E60" s="183"/>
      <c r="F60" s="183"/>
      <c r="G60" s="58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239"/>
      <c r="AN60" s="36" t="e">
        <f>VLOOKUP(I60,Sheet1!A:D,4,FALSE)</f>
        <v>#N/A</v>
      </c>
    </row>
    <row r="61" spans="1:40" s="36" customFormat="1" ht="14.25" x14ac:dyDescent="0.2">
      <c r="A61" s="57"/>
      <c r="D61" s="183"/>
      <c r="E61" s="183"/>
      <c r="F61" s="183"/>
      <c r="G61" s="58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239"/>
      <c r="AN61" s="36" t="e">
        <f>VLOOKUP(I61,Sheet1!A:D,4,FALSE)</f>
        <v>#N/A</v>
      </c>
    </row>
    <row r="62" spans="1:40" s="36" customFormat="1" ht="14.25" x14ac:dyDescent="0.2">
      <c r="A62" s="57"/>
      <c r="D62" s="183"/>
      <c r="E62" s="183"/>
      <c r="F62" s="183"/>
      <c r="G62" s="58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239"/>
      <c r="AN62" s="36" t="e">
        <f>VLOOKUP(I62,Sheet1!A:D,4,FALSE)</f>
        <v>#N/A</v>
      </c>
    </row>
    <row r="63" spans="1:40" s="36" customFormat="1" ht="14.25" x14ac:dyDescent="0.2">
      <c r="A63" s="57"/>
      <c r="D63" s="183"/>
      <c r="E63" s="183"/>
      <c r="F63" s="183"/>
      <c r="G63" s="58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239"/>
      <c r="AN63" s="36" t="e">
        <f>VLOOKUP(I63,Sheet1!A:D,4,FALSE)</f>
        <v>#N/A</v>
      </c>
    </row>
    <row r="64" spans="1:40" s="36" customFormat="1" ht="14.25" x14ac:dyDescent="0.2">
      <c r="A64" s="57"/>
      <c r="D64" s="183"/>
      <c r="E64" s="183"/>
      <c r="F64" s="183"/>
      <c r="G64" s="58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239"/>
      <c r="AN64" s="36" t="e">
        <f>VLOOKUP(I64,Sheet1!A:D,4,FALSE)</f>
        <v>#N/A</v>
      </c>
    </row>
    <row r="65" spans="1:40" s="36" customFormat="1" ht="14.25" x14ac:dyDescent="0.2">
      <c r="A65" s="57"/>
      <c r="D65" s="183"/>
      <c r="E65" s="183"/>
      <c r="F65" s="183"/>
      <c r="G65" s="58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239"/>
      <c r="AN65" s="36" t="e">
        <f>VLOOKUP(I65,Sheet1!A:D,4,FALSE)</f>
        <v>#N/A</v>
      </c>
    </row>
    <row r="66" spans="1:40" s="36" customFormat="1" ht="14.25" x14ac:dyDescent="0.2">
      <c r="A66" s="57"/>
      <c r="D66" s="183"/>
      <c r="E66" s="183"/>
      <c r="F66" s="183"/>
      <c r="G66" s="58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239"/>
      <c r="AN66" s="36" t="e">
        <f>VLOOKUP(I66,Sheet1!A:D,4,FALSE)</f>
        <v>#N/A</v>
      </c>
    </row>
    <row r="67" spans="1:40" s="36" customFormat="1" ht="14.25" x14ac:dyDescent="0.2">
      <c r="A67" s="57"/>
      <c r="D67" s="183"/>
      <c r="E67" s="183"/>
      <c r="F67" s="183"/>
      <c r="G67" s="58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239"/>
      <c r="AN67" s="36" t="e">
        <f>VLOOKUP(I67,Sheet1!A:D,4,FALSE)</f>
        <v>#N/A</v>
      </c>
    </row>
    <row r="68" spans="1:40" s="36" customFormat="1" ht="14.25" x14ac:dyDescent="0.2">
      <c r="A68" s="57"/>
      <c r="D68" s="183"/>
      <c r="E68" s="183"/>
      <c r="F68" s="183"/>
      <c r="G68" s="58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239"/>
      <c r="AN68" s="36" t="e">
        <f>VLOOKUP(I68,Sheet1!A:D,4,FALSE)</f>
        <v>#N/A</v>
      </c>
    </row>
    <row r="69" spans="1:40" s="36" customFormat="1" ht="14.25" x14ac:dyDescent="0.2">
      <c r="A69" s="57"/>
      <c r="D69" s="183"/>
      <c r="E69" s="183"/>
      <c r="F69" s="183"/>
      <c r="G69" s="58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239"/>
      <c r="AN69" s="36" t="e">
        <f>VLOOKUP(I69,Sheet1!A:D,4,FALSE)</f>
        <v>#N/A</v>
      </c>
    </row>
    <row r="70" spans="1:40" s="36" customFormat="1" ht="14.25" x14ac:dyDescent="0.2">
      <c r="A70" s="57"/>
      <c r="D70" s="183"/>
      <c r="E70" s="183"/>
      <c r="F70" s="183"/>
      <c r="G70" s="58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239"/>
      <c r="AN70" s="36" t="e">
        <f>VLOOKUP(I70,Sheet1!A:D,4,FALSE)</f>
        <v>#N/A</v>
      </c>
    </row>
    <row r="71" spans="1:40" s="36" customFormat="1" ht="14.25" x14ac:dyDescent="0.2">
      <c r="A71" s="57"/>
      <c r="D71" s="183"/>
      <c r="E71" s="183"/>
      <c r="F71" s="183"/>
      <c r="G71" s="58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239"/>
      <c r="AN71" s="36" t="e">
        <f>VLOOKUP(I71,Sheet1!A:D,4,FALSE)</f>
        <v>#N/A</v>
      </c>
    </row>
    <row r="72" spans="1:40" s="36" customFormat="1" ht="14.25" x14ac:dyDescent="0.2">
      <c r="A72" s="57"/>
      <c r="D72" s="183"/>
      <c r="E72" s="183"/>
      <c r="F72" s="183"/>
      <c r="G72" s="58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239"/>
      <c r="AN72" s="36" t="e">
        <f>VLOOKUP(I72,Sheet1!A:D,4,FALSE)</f>
        <v>#N/A</v>
      </c>
    </row>
    <row r="73" spans="1:40" s="36" customFormat="1" ht="14.25" x14ac:dyDescent="0.2">
      <c r="A73" s="57"/>
      <c r="D73" s="183"/>
      <c r="E73" s="183"/>
      <c r="F73" s="183"/>
      <c r="G73" s="58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239"/>
      <c r="AN73" s="36" t="e">
        <f>VLOOKUP(I73,Sheet1!A:D,4,FALSE)</f>
        <v>#N/A</v>
      </c>
    </row>
    <row r="74" spans="1:40" s="36" customFormat="1" ht="14.25" x14ac:dyDescent="0.2">
      <c r="A74" s="57"/>
      <c r="D74" s="183"/>
      <c r="E74" s="183"/>
      <c r="F74" s="183"/>
      <c r="G74" s="58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239"/>
      <c r="AN74" s="36" t="e">
        <f>VLOOKUP(I74,Sheet1!A:D,4,FALSE)</f>
        <v>#N/A</v>
      </c>
    </row>
    <row r="75" spans="1:40" s="36" customFormat="1" ht="14.25" x14ac:dyDescent="0.2">
      <c r="A75" s="57"/>
      <c r="D75" s="183"/>
      <c r="E75" s="183"/>
      <c r="F75" s="183"/>
      <c r="G75" s="58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239"/>
      <c r="AN75" s="36" t="e">
        <f>VLOOKUP(I75,Sheet1!A:D,4,FALSE)</f>
        <v>#N/A</v>
      </c>
    </row>
    <row r="76" spans="1:40" s="36" customFormat="1" ht="14.25" x14ac:dyDescent="0.2">
      <c r="A76" s="57"/>
      <c r="D76" s="183"/>
      <c r="E76" s="183"/>
      <c r="F76" s="183"/>
      <c r="G76" s="58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239"/>
      <c r="AN76" s="36" t="e">
        <f>VLOOKUP(I76,Sheet1!A:D,4,FALSE)</f>
        <v>#N/A</v>
      </c>
    </row>
    <row r="77" spans="1:40" s="36" customFormat="1" ht="14.25" x14ac:dyDescent="0.2">
      <c r="A77" s="57"/>
      <c r="D77" s="183"/>
      <c r="E77" s="183"/>
      <c r="F77" s="183"/>
      <c r="G77" s="58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239"/>
      <c r="AN77" s="36" t="e">
        <f>VLOOKUP(I77,Sheet1!A:D,4,FALSE)</f>
        <v>#N/A</v>
      </c>
    </row>
    <row r="78" spans="1:40" s="36" customFormat="1" ht="14.25" x14ac:dyDescent="0.2">
      <c r="A78" s="57"/>
      <c r="D78" s="183"/>
      <c r="E78" s="183"/>
      <c r="F78" s="183"/>
      <c r="G78" s="58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239"/>
      <c r="AN78" s="36" t="e">
        <f>VLOOKUP(I78,Sheet1!A:D,4,FALSE)</f>
        <v>#N/A</v>
      </c>
    </row>
    <row r="79" spans="1:40" s="36" customFormat="1" ht="14.25" x14ac:dyDescent="0.2">
      <c r="A79" s="57"/>
      <c r="D79" s="183"/>
      <c r="E79" s="183"/>
      <c r="F79" s="183"/>
      <c r="G79" s="58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239"/>
      <c r="AN79" s="36" t="e">
        <f>VLOOKUP(I79,Sheet1!A:D,4,FALSE)</f>
        <v>#N/A</v>
      </c>
    </row>
    <row r="80" spans="1:40" s="36" customFormat="1" ht="14.25" x14ac:dyDescent="0.2">
      <c r="A80" s="57"/>
      <c r="D80" s="183"/>
      <c r="E80" s="183"/>
      <c r="F80" s="183"/>
      <c r="G80" s="58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239"/>
      <c r="AN80" s="36" t="e">
        <f>VLOOKUP(I80,Sheet1!A:D,4,FALSE)</f>
        <v>#N/A</v>
      </c>
    </row>
    <row r="81" spans="1:40" s="36" customFormat="1" ht="14.25" x14ac:dyDescent="0.2">
      <c r="A81" s="57"/>
      <c r="D81" s="183"/>
      <c r="E81" s="183"/>
      <c r="F81" s="183"/>
      <c r="G81" s="58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239"/>
      <c r="AN81" s="36" t="e">
        <f>VLOOKUP(I81,Sheet1!A:D,4,FALSE)</f>
        <v>#N/A</v>
      </c>
    </row>
    <row r="82" spans="1:40" s="36" customFormat="1" ht="14.25" x14ac:dyDescent="0.2">
      <c r="A82" s="57"/>
      <c r="D82" s="183"/>
      <c r="E82" s="183"/>
      <c r="F82" s="183"/>
      <c r="G82" s="58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239"/>
      <c r="AN82" s="36" t="e">
        <f>VLOOKUP(I82,Sheet1!A:D,4,FALSE)</f>
        <v>#N/A</v>
      </c>
    </row>
    <row r="83" spans="1:40" s="36" customFormat="1" ht="14.25" x14ac:dyDescent="0.2">
      <c r="A83" s="57"/>
      <c r="D83" s="183"/>
      <c r="E83" s="183"/>
      <c r="F83" s="183"/>
      <c r="G83" s="58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239"/>
      <c r="AN83" s="36" t="e">
        <f>VLOOKUP(I83,Sheet1!A:D,4,FALSE)</f>
        <v>#N/A</v>
      </c>
    </row>
    <row r="84" spans="1:40" s="36" customFormat="1" ht="14.25" x14ac:dyDescent="0.2">
      <c r="A84" s="57"/>
      <c r="D84" s="183"/>
      <c r="E84" s="183"/>
      <c r="F84" s="183"/>
      <c r="G84" s="58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239"/>
      <c r="AN84" s="36" t="e">
        <f>VLOOKUP(I84,Sheet1!A:D,4,FALSE)</f>
        <v>#N/A</v>
      </c>
    </row>
    <row r="85" spans="1:40" s="36" customFormat="1" ht="14.25" x14ac:dyDescent="0.2">
      <c r="A85" s="57"/>
      <c r="D85" s="183"/>
      <c r="E85" s="183"/>
      <c r="F85" s="183"/>
      <c r="G85" s="58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239"/>
      <c r="AN85" s="36" t="e">
        <f>VLOOKUP(I85,Sheet1!A:D,4,FALSE)</f>
        <v>#N/A</v>
      </c>
    </row>
    <row r="86" spans="1:40" s="36" customFormat="1" ht="14.25" x14ac:dyDescent="0.2">
      <c r="A86" s="57"/>
      <c r="D86" s="183"/>
      <c r="E86" s="183"/>
      <c r="F86" s="183"/>
      <c r="G86" s="58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239"/>
      <c r="AN86" s="36" t="e">
        <f>VLOOKUP(I86,Sheet1!A:D,4,FALSE)</f>
        <v>#N/A</v>
      </c>
    </row>
    <row r="87" spans="1:40" s="36" customFormat="1" ht="14.25" x14ac:dyDescent="0.2">
      <c r="A87" s="57"/>
      <c r="D87" s="183"/>
      <c r="E87" s="183"/>
      <c r="F87" s="183"/>
      <c r="G87" s="58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239"/>
      <c r="AN87" s="36" t="e">
        <f>VLOOKUP(I87,Sheet1!A:D,4,FALSE)</f>
        <v>#N/A</v>
      </c>
    </row>
    <row r="88" spans="1:40" s="36" customFormat="1" ht="14.25" x14ac:dyDescent="0.2">
      <c r="A88" s="57"/>
      <c r="D88" s="183"/>
      <c r="E88" s="183"/>
      <c r="F88" s="183"/>
      <c r="G88" s="58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239"/>
      <c r="AN88" s="36" t="e">
        <f>VLOOKUP(I88,Sheet1!A:D,4,FALSE)</f>
        <v>#N/A</v>
      </c>
    </row>
    <row r="89" spans="1:40" s="36" customFormat="1" ht="14.25" x14ac:dyDescent="0.2">
      <c r="A89" s="57"/>
      <c r="D89" s="183"/>
      <c r="E89" s="183"/>
      <c r="F89" s="183"/>
      <c r="G89" s="58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239"/>
      <c r="AN89" s="36" t="e">
        <f>VLOOKUP(I89,Sheet1!A:D,4,FALSE)</f>
        <v>#N/A</v>
      </c>
    </row>
    <row r="90" spans="1:40" s="36" customFormat="1" ht="14.25" x14ac:dyDescent="0.2">
      <c r="A90" s="57"/>
      <c r="D90" s="183"/>
      <c r="E90" s="183"/>
      <c r="F90" s="183"/>
      <c r="G90" s="58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239"/>
      <c r="AN90" s="36" t="e">
        <f>VLOOKUP(I90,Sheet1!A:D,4,FALSE)</f>
        <v>#N/A</v>
      </c>
    </row>
    <row r="91" spans="1:40" s="36" customFormat="1" ht="14.25" x14ac:dyDescent="0.2">
      <c r="A91" s="57"/>
      <c r="D91" s="183"/>
      <c r="E91" s="183"/>
      <c r="F91" s="183"/>
      <c r="G91" s="58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239"/>
      <c r="AN91" s="36" t="e">
        <f>VLOOKUP(I91,Sheet1!A:D,4,FALSE)</f>
        <v>#N/A</v>
      </c>
    </row>
    <row r="92" spans="1:40" s="36" customFormat="1" ht="14.25" x14ac:dyDescent="0.2">
      <c r="A92" s="57"/>
      <c r="D92" s="183"/>
      <c r="E92" s="183"/>
      <c r="F92" s="183"/>
      <c r="G92" s="58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239"/>
      <c r="AN92" s="36" t="e">
        <f>VLOOKUP(I92,Sheet1!A:D,4,FALSE)</f>
        <v>#N/A</v>
      </c>
    </row>
    <row r="93" spans="1:40" s="36" customFormat="1" ht="14.25" x14ac:dyDescent="0.2">
      <c r="A93" s="57"/>
      <c r="D93" s="183"/>
      <c r="E93" s="183"/>
      <c r="F93" s="183"/>
      <c r="G93" s="58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239"/>
      <c r="AN93" s="36" t="e">
        <f>VLOOKUP(I93,Sheet1!A:D,4,FALSE)</f>
        <v>#N/A</v>
      </c>
    </row>
    <row r="94" spans="1:40" s="36" customFormat="1" ht="14.25" x14ac:dyDescent="0.2">
      <c r="A94" s="57"/>
      <c r="D94" s="183"/>
      <c r="E94" s="183"/>
      <c r="F94" s="183"/>
      <c r="G94" s="58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239"/>
      <c r="AN94" s="36" t="e">
        <f>VLOOKUP(I94,Sheet1!A:D,4,FALSE)</f>
        <v>#N/A</v>
      </c>
    </row>
    <row r="95" spans="1:40" s="36" customFormat="1" ht="14.25" x14ac:dyDescent="0.2">
      <c r="A95" s="57"/>
      <c r="D95" s="183"/>
      <c r="E95" s="183"/>
      <c r="F95" s="183"/>
      <c r="G95" s="58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239"/>
      <c r="AN95" s="36" t="e">
        <f>VLOOKUP(I95,Sheet1!A:D,4,FALSE)</f>
        <v>#N/A</v>
      </c>
    </row>
    <row r="96" spans="1:40" s="36" customFormat="1" ht="14.25" x14ac:dyDescent="0.2">
      <c r="A96" s="57"/>
      <c r="D96" s="183"/>
      <c r="E96" s="183"/>
      <c r="F96" s="183"/>
      <c r="G96" s="58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239"/>
      <c r="AN96" s="36" t="e">
        <f>VLOOKUP(I96,Sheet1!A:D,4,FALSE)</f>
        <v>#N/A</v>
      </c>
    </row>
    <row r="97" spans="1:40" s="36" customFormat="1" ht="14.25" x14ac:dyDescent="0.2">
      <c r="A97" s="57"/>
      <c r="D97" s="183"/>
      <c r="E97" s="183"/>
      <c r="F97" s="183"/>
      <c r="G97" s="58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239"/>
      <c r="AN97" s="36" t="e">
        <f>VLOOKUP(I97,Sheet1!A:D,4,FALSE)</f>
        <v>#N/A</v>
      </c>
    </row>
    <row r="98" spans="1:40" s="36" customFormat="1" ht="14.25" x14ac:dyDescent="0.2">
      <c r="A98" s="57"/>
      <c r="D98" s="183"/>
      <c r="E98" s="183"/>
      <c r="F98" s="183"/>
      <c r="G98" s="58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239"/>
      <c r="AN98" s="36" t="e">
        <f>VLOOKUP(I98,Sheet1!A:D,4,FALSE)</f>
        <v>#N/A</v>
      </c>
    </row>
    <row r="99" spans="1:40" s="36" customFormat="1" ht="14.25" x14ac:dyDescent="0.2">
      <c r="A99" s="57"/>
      <c r="D99" s="183"/>
      <c r="E99" s="183"/>
      <c r="F99" s="183"/>
      <c r="G99" s="58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239"/>
      <c r="AN99" s="36" t="e">
        <f>VLOOKUP(I99,Sheet1!A:D,4,FALSE)</f>
        <v>#N/A</v>
      </c>
    </row>
    <row r="100" spans="1:40" s="36" customFormat="1" ht="14.25" x14ac:dyDescent="0.2">
      <c r="A100" s="57"/>
      <c r="D100" s="183"/>
      <c r="E100" s="183"/>
      <c r="F100" s="183"/>
      <c r="G100" s="58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239"/>
      <c r="AN100" s="36" t="e">
        <f>VLOOKUP(I100,Sheet1!A:D,4,FALSE)</f>
        <v>#N/A</v>
      </c>
    </row>
    <row r="101" spans="1:40" s="36" customFormat="1" ht="14.25" x14ac:dyDescent="0.2">
      <c r="A101" s="57"/>
      <c r="D101" s="183"/>
      <c r="E101" s="183"/>
      <c r="F101" s="183"/>
      <c r="G101" s="58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239"/>
      <c r="AN101" s="36" t="e">
        <f>VLOOKUP(I101,Sheet1!A:D,4,FALSE)</f>
        <v>#N/A</v>
      </c>
    </row>
    <row r="102" spans="1:40" s="36" customFormat="1" ht="14.25" x14ac:dyDescent="0.2">
      <c r="A102" s="57"/>
      <c r="D102" s="183"/>
      <c r="E102" s="183"/>
      <c r="F102" s="183"/>
      <c r="G102" s="58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239"/>
      <c r="AN102" s="36" t="e">
        <f>VLOOKUP(I102,Sheet1!A:D,4,FALSE)</f>
        <v>#N/A</v>
      </c>
    </row>
    <row r="103" spans="1:40" s="36" customFormat="1" ht="14.25" x14ac:dyDescent="0.2">
      <c r="A103" s="57"/>
      <c r="D103" s="183"/>
      <c r="E103" s="183"/>
      <c r="F103" s="183"/>
      <c r="G103" s="58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239"/>
      <c r="AN103" s="36" t="e">
        <f>VLOOKUP(I103,Sheet1!A:D,4,FALSE)</f>
        <v>#N/A</v>
      </c>
    </row>
    <row r="104" spans="1:40" s="36" customFormat="1" ht="14.25" x14ac:dyDescent="0.2">
      <c r="A104" s="57"/>
      <c r="D104" s="183"/>
      <c r="E104" s="183"/>
      <c r="F104" s="183"/>
      <c r="G104" s="58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239"/>
      <c r="AN104" s="36" t="e">
        <f>VLOOKUP(I104,Sheet1!A:D,4,FALSE)</f>
        <v>#N/A</v>
      </c>
    </row>
    <row r="105" spans="1:40" s="36" customFormat="1" ht="14.25" x14ac:dyDescent="0.2">
      <c r="A105" s="57"/>
      <c r="D105" s="183"/>
      <c r="E105" s="183"/>
      <c r="F105" s="183"/>
      <c r="G105" s="58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239"/>
      <c r="AN105" s="36" t="e">
        <f>VLOOKUP(I105,Sheet1!A:D,4,FALSE)</f>
        <v>#N/A</v>
      </c>
    </row>
    <row r="106" spans="1:40" s="36" customFormat="1" ht="14.25" x14ac:dyDescent="0.2">
      <c r="A106" s="57"/>
      <c r="D106" s="183"/>
      <c r="E106" s="183"/>
      <c r="F106" s="183"/>
      <c r="G106" s="58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239"/>
      <c r="AN106" s="36" t="e">
        <f>VLOOKUP(I106,Sheet1!A:D,4,FALSE)</f>
        <v>#N/A</v>
      </c>
    </row>
    <row r="107" spans="1:40" s="36" customFormat="1" ht="14.25" x14ac:dyDescent="0.2">
      <c r="A107" s="57"/>
      <c r="D107" s="183"/>
      <c r="E107" s="183"/>
      <c r="F107" s="183"/>
      <c r="G107" s="58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239"/>
      <c r="AN107" s="36" t="e">
        <f>VLOOKUP(I107,Sheet1!A:D,4,FALSE)</f>
        <v>#N/A</v>
      </c>
    </row>
    <row r="108" spans="1:40" s="36" customFormat="1" ht="14.25" x14ac:dyDescent="0.2">
      <c r="A108" s="57"/>
      <c r="D108" s="183"/>
      <c r="E108" s="183"/>
      <c r="F108" s="183"/>
      <c r="G108" s="58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239"/>
      <c r="AN108" s="36" t="e">
        <f>VLOOKUP(I108,Sheet1!A:D,4,FALSE)</f>
        <v>#N/A</v>
      </c>
    </row>
    <row r="109" spans="1:40" s="36" customFormat="1" ht="14.25" x14ac:dyDescent="0.2">
      <c r="A109" s="57"/>
      <c r="D109" s="183"/>
      <c r="E109" s="183"/>
      <c r="F109" s="183"/>
      <c r="G109" s="58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239"/>
      <c r="AN109" s="36" t="e">
        <f>VLOOKUP(I109,Sheet1!A:D,4,FALSE)</f>
        <v>#N/A</v>
      </c>
    </row>
    <row r="110" spans="1:40" s="36" customFormat="1" ht="14.25" x14ac:dyDescent="0.2">
      <c r="A110" s="57"/>
      <c r="D110" s="183"/>
      <c r="E110" s="183"/>
      <c r="F110" s="183"/>
      <c r="G110" s="58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239"/>
      <c r="AN110" s="36" t="e">
        <f>VLOOKUP(I110,Sheet1!A:D,4,FALSE)</f>
        <v>#N/A</v>
      </c>
    </row>
    <row r="111" spans="1:40" s="36" customFormat="1" ht="14.25" x14ac:dyDescent="0.2">
      <c r="A111" s="57"/>
      <c r="D111" s="183"/>
      <c r="E111" s="183"/>
      <c r="F111" s="183"/>
      <c r="G111" s="58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239"/>
      <c r="AN111" s="36" t="e">
        <f>VLOOKUP(I111,Sheet1!A:D,4,FALSE)</f>
        <v>#N/A</v>
      </c>
    </row>
    <row r="112" spans="1:40" s="36" customFormat="1" ht="14.25" x14ac:dyDescent="0.2">
      <c r="A112" s="57"/>
      <c r="D112" s="183"/>
      <c r="E112" s="183"/>
      <c r="F112" s="183"/>
      <c r="G112" s="58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239"/>
      <c r="AN112" s="36" t="e">
        <f>VLOOKUP(I112,Sheet1!A:D,4,FALSE)</f>
        <v>#N/A</v>
      </c>
    </row>
    <row r="113" spans="1:40" s="36" customFormat="1" ht="14.25" x14ac:dyDescent="0.2">
      <c r="A113" s="57"/>
      <c r="D113" s="183"/>
      <c r="E113" s="183"/>
      <c r="F113" s="183"/>
      <c r="G113" s="58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239"/>
      <c r="AN113" s="36" t="e">
        <f>VLOOKUP(I113,Sheet1!A:D,4,FALSE)</f>
        <v>#N/A</v>
      </c>
    </row>
    <row r="114" spans="1:40" s="36" customFormat="1" ht="14.25" x14ac:dyDescent="0.2">
      <c r="A114" s="57"/>
      <c r="D114" s="183"/>
      <c r="E114" s="183"/>
      <c r="F114" s="183"/>
      <c r="G114" s="58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239"/>
      <c r="AN114" s="36" t="e">
        <f>VLOOKUP(I114,Sheet1!A:D,4,FALSE)</f>
        <v>#N/A</v>
      </c>
    </row>
    <row r="115" spans="1:40" s="36" customFormat="1" ht="14.25" x14ac:dyDescent="0.2">
      <c r="A115" s="57"/>
      <c r="D115" s="183"/>
      <c r="E115" s="183"/>
      <c r="F115" s="183"/>
      <c r="G115" s="58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239"/>
      <c r="AN115" s="36" t="e">
        <f>VLOOKUP(I115,Sheet1!A:D,4,FALSE)</f>
        <v>#N/A</v>
      </c>
    </row>
    <row r="116" spans="1:40" s="36" customFormat="1" ht="14.25" x14ac:dyDescent="0.2">
      <c r="A116" s="57"/>
      <c r="D116" s="183"/>
      <c r="E116" s="183"/>
      <c r="F116" s="183"/>
      <c r="G116" s="58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239"/>
      <c r="AN116" s="36" t="e">
        <f>VLOOKUP(I116,Sheet1!A:D,4,FALSE)</f>
        <v>#N/A</v>
      </c>
    </row>
    <row r="117" spans="1:40" s="36" customFormat="1" ht="14.25" x14ac:dyDescent="0.2">
      <c r="A117" s="57"/>
      <c r="D117" s="183"/>
      <c r="E117" s="183"/>
      <c r="F117" s="183"/>
      <c r="G117" s="58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239"/>
      <c r="AN117" s="36" t="e">
        <f>VLOOKUP(I117,Sheet1!A:D,4,FALSE)</f>
        <v>#N/A</v>
      </c>
    </row>
    <row r="118" spans="1:40" s="36" customFormat="1" ht="14.25" x14ac:dyDescent="0.2">
      <c r="A118" s="57"/>
      <c r="D118" s="183"/>
      <c r="E118" s="183"/>
      <c r="F118" s="183"/>
      <c r="G118" s="58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239"/>
      <c r="AN118" s="36" t="e">
        <f>VLOOKUP(I118,Sheet1!A:D,4,FALSE)</f>
        <v>#N/A</v>
      </c>
    </row>
    <row r="119" spans="1:40" s="36" customFormat="1" ht="14.25" x14ac:dyDescent="0.2">
      <c r="A119" s="57"/>
      <c r="D119" s="183"/>
      <c r="E119" s="183"/>
      <c r="F119" s="183"/>
      <c r="G119" s="58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239"/>
      <c r="AN119" s="36" t="e">
        <f>VLOOKUP(I119,Sheet1!A:D,4,FALSE)</f>
        <v>#N/A</v>
      </c>
    </row>
    <row r="120" spans="1:40" s="36" customFormat="1" ht="14.25" x14ac:dyDescent="0.2">
      <c r="A120" s="57"/>
      <c r="D120" s="183"/>
      <c r="E120" s="183"/>
      <c r="F120" s="183"/>
      <c r="G120" s="58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239"/>
      <c r="AN120" s="36" t="e">
        <f>VLOOKUP(I120,Sheet1!A:D,4,FALSE)</f>
        <v>#N/A</v>
      </c>
    </row>
    <row r="121" spans="1:40" s="36" customFormat="1" ht="14.25" x14ac:dyDescent="0.2">
      <c r="A121" s="57"/>
      <c r="D121" s="183"/>
      <c r="E121" s="183"/>
      <c r="F121" s="183"/>
      <c r="G121" s="58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239"/>
      <c r="AN121" s="36" t="e">
        <f>VLOOKUP(I121,Sheet1!A:D,4,FALSE)</f>
        <v>#N/A</v>
      </c>
    </row>
    <row r="122" spans="1:40" s="62" customFormat="1" ht="14.25" x14ac:dyDescent="0.2">
      <c r="A122" s="61"/>
      <c r="D122" s="184"/>
      <c r="E122" s="184"/>
      <c r="F122" s="184"/>
      <c r="G122" s="63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240"/>
      <c r="AN122" s="62" t="e">
        <f>VLOOKUP(I122,Sheet1!A:D,4,FALSE)</f>
        <v>#N/A</v>
      </c>
    </row>
    <row r="123" spans="1:40" s="62" customFormat="1" ht="14.25" x14ac:dyDescent="0.2">
      <c r="A123" s="61"/>
      <c r="D123" s="184"/>
      <c r="E123" s="184"/>
      <c r="F123" s="184"/>
      <c r="G123" s="63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240"/>
      <c r="AN123" s="62" t="e">
        <f>VLOOKUP(I123,Sheet1!A:D,4,FALSE)</f>
        <v>#N/A</v>
      </c>
    </row>
    <row r="124" spans="1:40" s="62" customFormat="1" ht="14.25" x14ac:dyDescent="0.2">
      <c r="A124" s="61"/>
      <c r="D124" s="184"/>
      <c r="E124" s="184"/>
      <c r="F124" s="184"/>
      <c r="G124" s="63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240"/>
      <c r="AN124" s="62" t="e">
        <f>VLOOKUP(I124,Sheet1!A:D,4,FALSE)</f>
        <v>#N/A</v>
      </c>
    </row>
    <row r="125" spans="1:40" s="62" customFormat="1" ht="14.25" x14ac:dyDescent="0.2">
      <c r="A125" s="61"/>
      <c r="D125" s="184"/>
      <c r="E125" s="184"/>
      <c r="F125" s="184"/>
      <c r="G125" s="63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240"/>
      <c r="AN125" s="62" t="e">
        <f>VLOOKUP(I125,Sheet1!A:D,4,FALSE)</f>
        <v>#N/A</v>
      </c>
    </row>
    <row r="126" spans="1:40" s="62" customFormat="1" ht="14.25" x14ac:dyDescent="0.2">
      <c r="A126" s="61"/>
      <c r="D126" s="184"/>
      <c r="E126" s="184"/>
      <c r="F126" s="184"/>
      <c r="G126" s="63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240"/>
      <c r="AN126" s="62" t="e">
        <f>VLOOKUP(I126,Sheet1!A:D,4,FALSE)</f>
        <v>#N/A</v>
      </c>
    </row>
    <row r="127" spans="1:40" s="62" customFormat="1" ht="14.25" x14ac:dyDescent="0.2">
      <c r="A127" s="61"/>
      <c r="D127" s="184"/>
      <c r="E127" s="184"/>
      <c r="F127" s="184"/>
      <c r="G127" s="63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240"/>
      <c r="AN127" s="62" t="e">
        <f>VLOOKUP(I127,Sheet1!A:D,4,FALSE)</f>
        <v>#N/A</v>
      </c>
    </row>
    <row r="128" spans="1:40" s="62" customFormat="1" ht="14.25" x14ac:dyDescent="0.2">
      <c r="A128" s="61"/>
      <c r="D128" s="184"/>
      <c r="E128" s="184"/>
      <c r="F128" s="184"/>
      <c r="G128" s="63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240"/>
      <c r="AN128" s="62" t="e">
        <f>VLOOKUP(I128,Sheet1!A:D,4,FALSE)</f>
        <v>#N/A</v>
      </c>
    </row>
    <row r="129" spans="1:40" s="62" customFormat="1" ht="14.25" x14ac:dyDescent="0.2">
      <c r="A129" s="61"/>
      <c r="D129" s="184"/>
      <c r="E129" s="184"/>
      <c r="F129" s="184"/>
      <c r="G129" s="63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240"/>
      <c r="AN129" s="62" t="e">
        <f>VLOOKUP(I129,Sheet1!A:D,4,FALSE)</f>
        <v>#N/A</v>
      </c>
    </row>
    <row r="130" spans="1:40" s="62" customFormat="1" ht="14.25" x14ac:dyDescent="0.2">
      <c r="A130" s="61"/>
      <c r="D130" s="184"/>
      <c r="E130" s="184"/>
      <c r="F130" s="184"/>
      <c r="G130" s="63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240"/>
      <c r="AN130" s="62" t="e">
        <f>VLOOKUP(I130,Sheet1!A:D,4,FALSE)</f>
        <v>#N/A</v>
      </c>
    </row>
    <row r="131" spans="1:40" s="62" customFormat="1" ht="14.25" x14ac:dyDescent="0.2">
      <c r="A131" s="61"/>
      <c r="D131" s="184"/>
      <c r="E131" s="184"/>
      <c r="F131" s="184"/>
      <c r="G131" s="63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240"/>
      <c r="AN131" s="62" t="e">
        <f>VLOOKUP(I131,Sheet1!A:D,4,FALSE)</f>
        <v>#N/A</v>
      </c>
    </row>
    <row r="132" spans="1:40" s="62" customFormat="1" ht="14.25" x14ac:dyDescent="0.2">
      <c r="A132" s="61"/>
      <c r="D132" s="184"/>
      <c r="E132" s="184"/>
      <c r="F132" s="184"/>
      <c r="G132" s="63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240"/>
      <c r="AN132" s="62" t="e">
        <f>VLOOKUP(I132,Sheet1!A:D,4,FALSE)</f>
        <v>#N/A</v>
      </c>
    </row>
    <row r="133" spans="1:40" s="62" customFormat="1" ht="14.25" x14ac:dyDescent="0.2">
      <c r="A133" s="61"/>
      <c r="D133" s="184"/>
      <c r="E133" s="184"/>
      <c r="F133" s="184"/>
      <c r="G133" s="63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240"/>
      <c r="AN133" s="62" t="e">
        <f>VLOOKUP(I133,Sheet1!A:D,4,FALSE)</f>
        <v>#N/A</v>
      </c>
    </row>
    <row r="134" spans="1:40" s="62" customFormat="1" ht="14.25" x14ac:dyDescent="0.2">
      <c r="A134" s="61"/>
      <c r="D134" s="184"/>
      <c r="E134" s="184"/>
      <c r="F134" s="184"/>
      <c r="G134" s="63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240"/>
      <c r="AN134" s="62" t="e">
        <f>VLOOKUP(I134,Sheet1!A:D,4,FALSE)</f>
        <v>#N/A</v>
      </c>
    </row>
    <row r="135" spans="1:40" s="62" customFormat="1" ht="14.25" x14ac:dyDescent="0.2">
      <c r="A135" s="61"/>
      <c r="D135" s="184"/>
      <c r="E135" s="184"/>
      <c r="F135" s="184"/>
      <c r="G135" s="63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240"/>
      <c r="AN135" s="62" t="e">
        <f>VLOOKUP(I135,Sheet1!A:D,4,FALSE)</f>
        <v>#N/A</v>
      </c>
    </row>
    <row r="136" spans="1:40" s="62" customFormat="1" ht="14.25" x14ac:dyDescent="0.2">
      <c r="A136" s="61"/>
      <c r="D136" s="184"/>
      <c r="E136" s="184"/>
      <c r="F136" s="184"/>
      <c r="G136" s="63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240"/>
      <c r="AN136" s="62" t="e">
        <f>VLOOKUP(I136,Sheet1!A:D,4,FALSE)</f>
        <v>#N/A</v>
      </c>
    </row>
    <row r="137" spans="1:40" s="62" customFormat="1" ht="14.25" x14ac:dyDescent="0.2">
      <c r="A137" s="61"/>
      <c r="D137" s="184"/>
      <c r="E137" s="184"/>
      <c r="F137" s="184"/>
      <c r="G137" s="63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240"/>
      <c r="AN137" s="62" t="e">
        <f>VLOOKUP(I137,Sheet1!A:D,4,FALSE)</f>
        <v>#N/A</v>
      </c>
    </row>
    <row r="138" spans="1:40" s="62" customFormat="1" ht="14.25" x14ac:dyDescent="0.2">
      <c r="A138" s="61"/>
      <c r="D138" s="184"/>
      <c r="E138" s="184"/>
      <c r="F138" s="184"/>
      <c r="G138" s="63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240"/>
      <c r="AN138" s="62" t="e">
        <f>VLOOKUP(I138,Sheet1!A:D,4,FALSE)</f>
        <v>#N/A</v>
      </c>
    </row>
    <row r="139" spans="1:40" s="62" customFormat="1" ht="14.25" x14ac:dyDescent="0.2">
      <c r="A139" s="61"/>
      <c r="D139" s="184"/>
      <c r="E139" s="184"/>
      <c r="F139" s="184"/>
      <c r="G139" s="63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240"/>
      <c r="AN139" s="62" t="e">
        <f>VLOOKUP(I139,Sheet1!A:D,4,FALSE)</f>
        <v>#N/A</v>
      </c>
    </row>
    <row r="140" spans="1:40" s="62" customFormat="1" ht="14.25" x14ac:dyDescent="0.2">
      <c r="A140" s="61"/>
      <c r="D140" s="184"/>
      <c r="E140" s="184"/>
      <c r="F140" s="184"/>
      <c r="G140" s="63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240"/>
      <c r="AN140" s="62" t="e">
        <f>VLOOKUP(I140,Sheet1!A:D,4,FALSE)</f>
        <v>#N/A</v>
      </c>
    </row>
    <row r="141" spans="1:40" s="62" customFormat="1" ht="14.25" x14ac:dyDescent="0.2">
      <c r="A141" s="61"/>
      <c r="D141" s="184"/>
      <c r="E141" s="184"/>
      <c r="F141" s="184"/>
      <c r="G141" s="63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240"/>
      <c r="AN141" s="62" t="e">
        <f>VLOOKUP(I141,Sheet1!A:D,4,FALSE)</f>
        <v>#N/A</v>
      </c>
    </row>
    <row r="142" spans="1:40" s="62" customFormat="1" ht="14.25" x14ac:dyDescent="0.2">
      <c r="A142" s="61"/>
      <c r="D142" s="184"/>
      <c r="E142" s="184"/>
      <c r="F142" s="184"/>
      <c r="G142" s="63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240"/>
      <c r="AN142" s="62" t="e">
        <f>VLOOKUP(I142,Sheet1!A:D,4,FALSE)</f>
        <v>#N/A</v>
      </c>
    </row>
    <row r="143" spans="1:40" s="62" customFormat="1" ht="14.25" x14ac:dyDescent="0.2">
      <c r="A143" s="61"/>
      <c r="D143" s="184"/>
      <c r="E143" s="184"/>
      <c r="F143" s="184"/>
      <c r="G143" s="63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240"/>
      <c r="AN143" s="62" t="e">
        <f>VLOOKUP(I143,Sheet1!A:D,4,FALSE)</f>
        <v>#N/A</v>
      </c>
    </row>
    <row r="144" spans="1:40" s="62" customFormat="1" ht="14.25" x14ac:dyDescent="0.2">
      <c r="A144" s="61"/>
      <c r="D144" s="184"/>
      <c r="E144" s="184"/>
      <c r="F144" s="184"/>
      <c r="G144" s="63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240"/>
      <c r="AN144" s="62" t="e">
        <f>VLOOKUP(I144,Sheet1!A:D,4,FALSE)</f>
        <v>#N/A</v>
      </c>
    </row>
    <row r="145" spans="1:40" s="62" customFormat="1" ht="14.25" x14ac:dyDescent="0.2">
      <c r="A145" s="61"/>
      <c r="D145" s="184"/>
      <c r="E145" s="184"/>
      <c r="F145" s="184"/>
      <c r="G145" s="63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240"/>
      <c r="AN145" s="62" t="e">
        <f>VLOOKUP(I145,Sheet1!A:D,4,FALSE)</f>
        <v>#N/A</v>
      </c>
    </row>
    <row r="146" spans="1:40" s="62" customFormat="1" ht="14.25" x14ac:dyDescent="0.2">
      <c r="A146" s="61"/>
      <c r="D146" s="184"/>
      <c r="E146" s="184"/>
      <c r="F146" s="184"/>
      <c r="G146" s="63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240"/>
      <c r="AN146" s="62" t="e">
        <f>VLOOKUP(I146,Sheet1!A:D,4,FALSE)</f>
        <v>#N/A</v>
      </c>
    </row>
    <row r="147" spans="1:40" s="62" customFormat="1" ht="14.25" x14ac:dyDescent="0.2">
      <c r="A147" s="61"/>
      <c r="D147" s="184"/>
      <c r="E147" s="184"/>
      <c r="F147" s="184"/>
      <c r="G147" s="63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240"/>
      <c r="AN147" s="62" t="e">
        <f>VLOOKUP(I147,Sheet1!A:D,4,FALSE)</f>
        <v>#N/A</v>
      </c>
    </row>
    <row r="148" spans="1:40" s="62" customFormat="1" ht="14.25" x14ac:dyDescent="0.2">
      <c r="A148" s="61"/>
      <c r="D148" s="184"/>
      <c r="E148" s="184"/>
      <c r="F148" s="184"/>
      <c r="G148" s="63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240"/>
      <c r="AN148" s="62" t="e">
        <f>VLOOKUP(I148,Sheet1!A:D,4,FALSE)</f>
        <v>#N/A</v>
      </c>
    </row>
    <row r="149" spans="1:40" s="62" customFormat="1" ht="14.25" x14ac:dyDescent="0.2">
      <c r="A149" s="61"/>
      <c r="D149" s="184"/>
      <c r="E149" s="184"/>
      <c r="F149" s="184"/>
      <c r="G149" s="63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240"/>
      <c r="AN149" s="62" t="e">
        <f>VLOOKUP(I149,Sheet1!A:D,4,FALSE)</f>
        <v>#N/A</v>
      </c>
    </row>
    <row r="150" spans="1:40" s="62" customFormat="1" ht="14.25" x14ac:dyDescent="0.2">
      <c r="A150" s="61"/>
      <c r="D150" s="184"/>
      <c r="E150" s="184"/>
      <c r="F150" s="184"/>
      <c r="G150" s="63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240"/>
      <c r="AN150" s="62" t="e">
        <f>VLOOKUP(I150,Sheet1!A:D,4,FALSE)</f>
        <v>#N/A</v>
      </c>
    </row>
    <row r="151" spans="1:40" s="62" customFormat="1" ht="14.25" x14ac:dyDescent="0.2">
      <c r="A151" s="61"/>
      <c r="D151" s="184"/>
      <c r="E151" s="184"/>
      <c r="F151" s="184"/>
      <c r="G151" s="63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240"/>
      <c r="AN151" s="62" t="e">
        <f>VLOOKUP(I151,Sheet1!A:D,4,FALSE)</f>
        <v>#N/A</v>
      </c>
    </row>
    <row r="152" spans="1:40" s="62" customFormat="1" ht="14.25" x14ac:dyDescent="0.2">
      <c r="A152" s="61"/>
      <c r="D152" s="184"/>
      <c r="E152" s="184"/>
      <c r="F152" s="184"/>
      <c r="G152" s="63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240"/>
      <c r="AN152" s="62" t="e">
        <f>VLOOKUP(I152,Sheet1!A:D,4,FALSE)</f>
        <v>#N/A</v>
      </c>
    </row>
    <row r="153" spans="1:40" s="62" customFormat="1" ht="14.25" x14ac:dyDescent="0.2">
      <c r="A153" s="61"/>
      <c r="D153" s="184"/>
      <c r="E153" s="184"/>
      <c r="F153" s="184"/>
      <c r="G153" s="63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240"/>
      <c r="AN153" s="62" t="e">
        <f>VLOOKUP(I153,Sheet1!A:D,4,FALSE)</f>
        <v>#N/A</v>
      </c>
    </row>
    <row r="154" spans="1:40" s="62" customFormat="1" ht="14.25" x14ac:dyDescent="0.2">
      <c r="A154" s="61"/>
      <c r="D154" s="184"/>
      <c r="E154" s="184"/>
      <c r="F154" s="184"/>
      <c r="G154" s="63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240"/>
      <c r="AN154" s="62" t="e">
        <f>VLOOKUP(I154,Sheet1!A:D,4,FALSE)</f>
        <v>#N/A</v>
      </c>
    </row>
    <row r="155" spans="1:40" s="62" customFormat="1" ht="14.25" x14ac:dyDescent="0.2">
      <c r="A155" s="61"/>
      <c r="D155" s="184"/>
      <c r="E155" s="184"/>
      <c r="F155" s="184"/>
      <c r="G155" s="63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240"/>
      <c r="AN155" s="62" t="e">
        <f>VLOOKUP(I155,Sheet1!A:D,4,FALSE)</f>
        <v>#N/A</v>
      </c>
    </row>
    <row r="156" spans="1:40" s="62" customFormat="1" ht="14.25" x14ac:dyDescent="0.2">
      <c r="A156" s="61"/>
      <c r="D156" s="184"/>
      <c r="E156" s="184"/>
      <c r="F156" s="184"/>
      <c r="G156" s="63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240"/>
      <c r="AN156" s="62" t="e">
        <f>VLOOKUP(I156,Sheet1!A:D,4,FALSE)</f>
        <v>#N/A</v>
      </c>
    </row>
    <row r="157" spans="1:40" s="62" customFormat="1" ht="14.25" x14ac:dyDescent="0.2">
      <c r="A157" s="61"/>
      <c r="D157" s="184"/>
      <c r="E157" s="184"/>
      <c r="F157" s="184"/>
      <c r="G157" s="63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240"/>
      <c r="AN157" s="62" t="e">
        <f>VLOOKUP(I157,Sheet1!A:D,4,FALSE)</f>
        <v>#N/A</v>
      </c>
    </row>
    <row r="158" spans="1:40" s="62" customFormat="1" ht="14.25" x14ac:dyDescent="0.2">
      <c r="A158" s="61"/>
      <c r="D158" s="184"/>
      <c r="E158" s="184"/>
      <c r="F158" s="184"/>
      <c r="G158" s="63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240"/>
      <c r="AN158" s="62" t="e">
        <f>VLOOKUP(I158,Sheet1!A:D,4,FALSE)</f>
        <v>#N/A</v>
      </c>
    </row>
    <row r="159" spans="1:40" s="62" customFormat="1" ht="14.25" x14ac:dyDescent="0.2">
      <c r="A159" s="61"/>
      <c r="D159" s="184"/>
      <c r="E159" s="184"/>
      <c r="F159" s="184"/>
      <c r="G159" s="63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240"/>
      <c r="AN159" s="62" t="e">
        <f>VLOOKUP(I159,Sheet1!A:D,4,FALSE)</f>
        <v>#N/A</v>
      </c>
    </row>
    <row r="160" spans="1:40" x14ac:dyDescent="0.25">
      <c r="AN160" t="e">
        <f>VLOOKUP(I160,Sheet1!A:D,4,FALSE)</f>
        <v>#N/A</v>
      </c>
    </row>
    <row r="161" spans="40:40" x14ac:dyDescent="0.25">
      <c r="AN161" t="e">
        <f>VLOOKUP(I161,Sheet1!A:D,4,FALSE)</f>
        <v>#N/A</v>
      </c>
    </row>
    <row r="162" spans="40:40" x14ac:dyDescent="0.25">
      <c r="AN162" t="e">
        <f>VLOOKUP(I162,Sheet1!A:D,4,FALSE)</f>
        <v>#N/A</v>
      </c>
    </row>
    <row r="163" spans="40:40" x14ac:dyDescent="0.25">
      <c r="AN163" t="e">
        <f>VLOOKUP(I163,Sheet1!A:D,4,FALSE)</f>
        <v>#N/A</v>
      </c>
    </row>
    <row r="164" spans="40:40" x14ac:dyDescent="0.25">
      <c r="AN164" t="e">
        <f>VLOOKUP(I164,Sheet1!A:D,4,FALSE)</f>
        <v>#N/A</v>
      </c>
    </row>
    <row r="165" spans="40:40" x14ac:dyDescent="0.25">
      <c r="AN165" t="e">
        <f>VLOOKUP(I165,Sheet1!A:D,4,FALSE)</f>
        <v>#N/A</v>
      </c>
    </row>
    <row r="166" spans="40:40" x14ac:dyDescent="0.25">
      <c r="AN166" t="e">
        <f>VLOOKUP(I166,Sheet1!A:D,4,FALSE)</f>
        <v>#N/A</v>
      </c>
    </row>
    <row r="167" spans="40:40" x14ac:dyDescent="0.25">
      <c r="AN167" t="e">
        <f>VLOOKUP(I167,Sheet1!A:D,4,FALSE)</f>
        <v>#N/A</v>
      </c>
    </row>
    <row r="168" spans="40:40" x14ac:dyDescent="0.25">
      <c r="AN168" t="e">
        <f>VLOOKUP(I168,Sheet1!A:D,4,FALSE)</f>
        <v>#N/A</v>
      </c>
    </row>
    <row r="169" spans="40:40" x14ac:dyDescent="0.25">
      <c r="AN169" t="e">
        <f>VLOOKUP(I169,Sheet1!A:D,4,FALSE)</f>
        <v>#N/A</v>
      </c>
    </row>
    <row r="170" spans="40:40" x14ac:dyDescent="0.25">
      <c r="AN170" t="e">
        <f>VLOOKUP(I170,Sheet1!A:D,4,FALSE)</f>
        <v>#N/A</v>
      </c>
    </row>
    <row r="171" spans="40:40" x14ac:dyDescent="0.25">
      <c r="AN171" t="e">
        <f>VLOOKUP(I171,Sheet1!A:D,4,FALSE)</f>
        <v>#N/A</v>
      </c>
    </row>
    <row r="172" spans="40:40" x14ac:dyDescent="0.25">
      <c r="AN172" t="e">
        <f>VLOOKUP(I172,Sheet1!A:D,4,FALSE)</f>
        <v>#N/A</v>
      </c>
    </row>
    <row r="173" spans="40:40" x14ac:dyDescent="0.25">
      <c r="AN173" t="e">
        <f>VLOOKUP(I173,Sheet1!A:D,4,FALSE)</f>
        <v>#N/A</v>
      </c>
    </row>
    <row r="174" spans="40:40" x14ac:dyDescent="0.25">
      <c r="AN174" t="e">
        <f>VLOOKUP(I174,Sheet1!A:D,4,FALSE)</f>
        <v>#N/A</v>
      </c>
    </row>
    <row r="175" spans="40:40" x14ac:dyDescent="0.25">
      <c r="AN175" t="e">
        <f>VLOOKUP(I175,Sheet1!A:D,4,FALSE)</f>
        <v>#N/A</v>
      </c>
    </row>
    <row r="176" spans="40:40" x14ac:dyDescent="0.25">
      <c r="AN176" t="e">
        <f>VLOOKUP(I176,Sheet1!A:D,4,FALSE)</f>
        <v>#N/A</v>
      </c>
    </row>
    <row r="177" spans="40:40" x14ac:dyDescent="0.25">
      <c r="AN177" t="e">
        <f>VLOOKUP(I177,Sheet1!A:D,4,FALSE)</f>
        <v>#N/A</v>
      </c>
    </row>
    <row r="178" spans="40:40" x14ac:dyDescent="0.25">
      <c r="AN178" t="e">
        <f>VLOOKUP(I178,Sheet1!A:D,4,FALSE)</f>
        <v>#N/A</v>
      </c>
    </row>
    <row r="179" spans="40:40" x14ac:dyDescent="0.25">
      <c r="AN179" t="e">
        <f>VLOOKUP(I179,Sheet1!A:D,4,FALSE)</f>
        <v>#N/A</v>
      </c>
    </row>
    <row r="180" spans="40:40" x14ac:dyDescent="0.25">
      <c r="AN180" t="e">
        <f>VLOOKUP(I180,Sheet1!A:D,4,FALSE)</f>
        <v>#N/A</v>
      </c>
    </row>
    <row r="181" spans="40:40" x14ac:dyDescent="0.25">
      <c r="AN181" t="e">
        <f>VLOOKUP(I181,Sheet1!A:D,4,FALSE)</f>
        <v>#N/A</v>
      </c>
    </row>
    <row r="182" spans="40:40" x14ac:dyDescent="0.25">
      <c r="AN182" t="e">
        <f>VLOOKUP(I182,Sheet1!A:D,4,FALSE)</f>
        <v>#N/A</v>
      </c>
    </row>
    <row r="183" spans="40:40" x14ac:dyDescent="0.25">
      <c r="AN183" t="e">
        <f>VLOOKUP(I183,Sheet1!A:D,4,FALSE)</f>
        <v>#N/A</v>
      </c>
    </row>
    <row r="184" spans="40:40" x14ac:dyDescent="0.25">
      <c r="AN184" t="e">
        <f>VLOOKUP(I184,Sheet1!A:D,4,FALSE)</f>
        <v>#N/A</v>
      </c>
    </row>
  </sheetData>
  <autoFilter ref="A6:XEY6" xr:uid="{DF7460D5-6222-4464-81B9-5F14682F6602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2F64-066D-415C-8692-78BA46CE0E99}">
  <dimension ref="A1:AU235"/>
  <sheetViews>
    <sheetView zoomScaleNormal="100" workbookViewId="0">
      <selection activeCell="A8" sqref="A8:XFD8"/>
    </sheetView>
  </sheetViews>
  <sheetFormatPr defaultRowHeight="15" x14ac:dyDescent="0.25"/>
  <cols>
    <col min="1" max="1" width="18.140625" style="23" bestFit="1" customWidth="1"/>
    <col min="4" max="5" width="10.140625" bestFit="1" customWidth="1"/>
    <col min="7" max="7" width="11.85546875" style="30" bestFit="1" customWidth="1"/>
    <col min="8" max="8" width="37" bestFit="1" customWidth="1"/>
    <col min="11" max="11" width="9.28515625" bestFit="1" customWidth="1"/>
    <col min="13" max="13" width="9.28515625" bestFit="1" customWidth="1"/>
    <col min="14" max="14" width="11.85546875" style="25" bestFit="1" customWidth="1"/>
    <col min="15" max="16" width="14.28515625" style="25" bestFit="1" customWidth="1"/>
    <col min="17" max="18" width="9.42578125" style="25" bestFit="1" customWidth="1"/>
    <col min="19" max="19" width="9.140625" style="25"/>
    <col min="20" max="22" width="14.28515625" style="25" bestFit="1" customWidth="1"/>
    <col min="23" max="23" width="9.42578125" style="25" bestFit="1" customWidth="1"/>
    <col min="24" max="24" width="14.28515625" style="25" bestFit="1" customWidth="1"/>
    <col min="27" max="27" width="9.28515625" bestFit="1" customWidth="1"/>
    <col min="31" max="31" width="9.28515625" bestFit="1" customWidth="1"/>
    <col min="40" max="40" width="9.140625" customWidth="1"/>
    <col min="41" max="41" width="82.5703125" hidden="1" customWidth="1"/>
    <col min="42" max="42" width="9.140625" customWidth="1"/>
    <col min="47" max="47" width="107.28515625" hidden="1" customWidth="1"/>
  </cols>
  <sheetData>
    <row r="1" spans="1:47" s="74" customFormat="1" x14ac:dyDescent="0.25">
      <c r="A1" s="89"/>
      <c r="G1" s="90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</row>
    <row r="2" spans="1:47" s="74" customFormat="1" x14ac:dyDescent="0.25">
      <c r="A2" s="89"/>
      <c r="G2" s="90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1:47" s="74" customFormat="1" x14ac:dyDescent="0.25">
      <c r="A3" s="89"/>
      <c r="G3" s="90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</row>
    <row r="4" spans="1:47" s="74" customFormat="1" x14ac:dyDescent="0.25">
      <c r="A4" s="89"/>
      <c r="G4" s="90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</row>
    <row r="5" spans="1:47" s="74" customFormat="1" x14ac:dyDescent="0.25">
      <c r="A5" s="89" t="s">
        <v>230</v>
      </c>
      <c r="G5" s="90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</row>
    <row r="6" spans="1:47" s="118" customFormat="1" x14ac:dyDescent="0.25">
      <c r="A6" s="112" t="s">
        <v>0</v>
      </c>
      <c r="B6" s="113" t="s">
        <v>1</v>
      </c>
      <c r="C6" s="113" t="s">
        <v>2</v>
      </c>
      <c r="D6" s="113" t="s">
        <v>4</v>
      </c>
      <c r="E6" s="113" t="s">
        <v>3</v>
      </c>
      <c r="F6" s="113" t="s">
        <v>5</v>
      </c>
      <c r="G6" s="114" t="s">
        <v>6</v>
      </c>
      <c r="H6" s="113" t="s">
        <v>7</v>
      </c>
      <c r="I6" s="113" t="s">
        <v>8</v>
      </c>
      <c r="J6" s="113" t="s">
        <v>9</v>
      </c>
      <c r="K6" s="113" t="s">
        <v>10</v>
      </c>
      <c r="L6" s="113" t="s">
        <v>11</v>
      </c>
      <c r="M6" s="113" t="s">
        <v>12</v>
      </c>
      <c r="N6" s="115" t="s">
        <v>13</v>
      </c>
      <c r="O6" s="115" t="s">
        <v>14</v>
      </c>
      <c r="P6" s="115" t="s">
        <v>15</v>
      </c>
      <c r="Q6" s="115" t="s">
        <v>16</v>
      </c>
      <c r="R6" s="115" t="s">
        <v>17</v>
      </c>
      <c r="S6" s="115" t="s">
        <v>18</v>
      </c>
      <c r="T6" s="115" t="s">
        <v>19</v>
      </c>
      <c r="U6" s="115" t="s">
        <v>20</v>
      </c>
      <c r="V6" s="115" t="s">
        <v>21</v>
      </c>
      <c r="W6" s="115" t="s">
        <v>22</v>
      </c>
      <c r="X6" s="115" t="s">
        <v>23</v>
      </c>
      <c r="Y6" s="113" t="s">
        <v>24</v>
      </c>
      <c r="Z6" s="113" t="s">
        <v>25</v>
      </c>
      <c r="AA6" s="113" t="s">
        <v>26</v>
      </c>
      <c r="AB6" s="113" t="s">
        <v>27</v>
      </c>
      <c r="AC6" s="113" t="s">
        <v>28</v>
      </c>
      <c r="AD6" s="113" t="s">
        <v>29</v>
      </c>
      <c r="AE6" s="113" t="s">
        <v>30</v>
      </c>
      <c r="AF6" s="113" t="s">
        <v>31</v>
      </c>
      <c r="AG6" s="113" t="s">
        <v>32</v>
      </c>
      <c r="AH6" s="113" t="s">
        <v>33</v>
      </c>
      <c r="AI6" s="113" t="s">
        <v>34</v>
      </c>
      <c r="AJ6" s="113" t="s">
        <v>35</v>
      </c>
      <c r="AK6" s="113" t="s">
        <v>36</v>
      </c>
      <c r="AL6" s="113" t="s">
        <v>37</v>
      </c>
      <c r="AM6" s="113" t="s">
        <v>38</v>
      </c>
      <c r="AN6" s="1" t="s">
        <v>276</v>
      </c>
      <c r="AO6" s="116" t="s">
        <v>39</v>
      </c>
      <c r="AP6" s="117"/>
      <c r="AU6" s="119" t="s">
        <v>65</v>
      </c>
    </row>
    <row r="7" spans="1:47" s="133" customFormat="1" ht="14.25" x14ac:dyDescent="0.2">
      <c r="A7" s="132">
        <v>45658</v>
      </c>
      <c r="B7" s="133" t="s">
        <v>40</v>
      </c>
      <c r="C7" s="133" t="s">
        <v>41</v>
      </c>
      <c r="D7" s="133">
        <v>25707930</v>
      </c>
      <c r="E7" s="133">
        <v>24106352</v>
      </c>
      <c r="F7" s="133" t="s">
        <v>195</v>
      </c>
      <c r="G7" s="135">
        <v>45673</v>
      </c>
      <c r="H7" s="133" t="s">
        <v>196</v>
      </c>
      <c r="I7" s="133" t="s">
        <v>197</v>
      </c>
      <c r="J7" s="133" t="s">
        <v>198</v>
      </c>
      <c r="K7" s="136">
        <v>500</v>
      </c>
      <c r="L7" s="136" t="s">
        <v>42</v>
      </c>
      <c r="M7" s="136">
        <v>500</v>
      </c>
      <c r="N7" s="136">
        <v>1027805</v>
      </c>
      <c r="O7" s="136">
        <v>513902500</v>
      </c>
      <c r="P7" s="136">
        <v>513902500</v>
      </c>
      <c r="Q7" s="136">
        <v>0</v>
      </c>
      <c r="R7" s="136">
        <v>0</v>
      </c>
      <c r="S7" s="136" t="s">
        <v>43</v>
      </c>
      <c r="T7" s="136">
        <v>269727850</v>
      </c>
      <c r="U7" s="136">
        <v>269727850</v>
      </c>
      <c r="V7" s="136">
        <v>244174650</v>
      </c>
      <c r="W7" s="136">
        <v>0.47513808553100001</v>
      </c>
      <c r="X7" s="136">
        <v>244174650</v>
      </c>
      <c r="Y7" s="133" t="s">
        <v>101</v>
      </c>
      <c r="Z7" s="133" t="s">
        <v>46</v>
      </c>
      <c r="AA7" s="133">
        <v>2308620</v>
      </c>
      <c r="AB7" s="133" t="s">
        <v>196</v>
      </c>
      <c r="AC7" s="133" t="s">
        <v>45</v>
      </c>
      <c r="AD7" s="133" t="s">
        <v>199</v>
      </c>
      <c r="AE7" s="133">
        <v>0</v>
      </c>
      <c r="AF7" s="133" t="s">
        <v>200</v>
      </c>
      <c r="AG7" s="133" t="s">
        <v>101</v>
      </c>
      <c r="AH7" s="133" t="s">
        <v>46</v>
      </c>
      <c r="AI7" s="133" t="s">
        <v>101</v>
      </c>
      <c r="AJ7" s="133" t="s">
        <v>46</v>
      </c>
      <c r="AK7" s="133" t="s">
        <v>54</v>
      </c>
      <c r="AL7" s="133" t="s">
        <v>48</v>
      </c>
      <c r="AM7" s="133" t="s">
        <v>201</v>
      </c>
      <c r="AN7" s="133" t="str">
        <f>VLOOKUP(I7,Sheet1!A:D,4,FALSE)</f>
        <v>A320400</v>
      </c>
      <c r="AO7" s="133" t="s">
        <v>229</v>
      </c>
    </row>
    <row r="8" spans="1:47" s="133" customFormat="1" ht="14.25" x14ac:dyDescent="0.2">
      <c r="A8" s="132">
        <v>45689</v>
      </c>
      <c r="B8" s="133" t="s">
        <v>40</v>
      </c>
      <c r="C8" s="133" t="s">
        <v>41</v>
      </c>
      <c r="D8" s="133">
        <v>25707989</v>
      </c>
      <c r="E8" s="208">
        <v>24106538</v>
      </c>
      <c r="F8" s="133" t="s">
        <v>736</v>
      </c>
      <c r="G8" s="135">
        <v>45698</v>
      </c>
      <c r="H8" s="133" t="s">
        <v>737</v>
      </c>
      <c r="I8" s="133" t="s">
        <v>197</v>
      </c>
      <c r="J8" s="133" t="s">
        <v>738</v>
      </c>
      <c r="K8" s="133">
        <v>500</v>
      </c>
      <c r="L8" s="133" t="s">
        <v>42</v>
      </c>
      <c r="M8" s="133">
        <v>500</v>
      </c>
      <c r="N8" s="136">
        <v>1027805</v>
      </c>
      <c r="O8" s="136">
        <v>513902500</v>
      </c>
      <c r="P8" s="136">
        <v>513902500</v>
      </c>
      <c r="Q8" s="136">
        <v>0</v>
      </c>
      <c r="R8" s="136">
        <v>0</v>
      </c>
      <c r="S8" s="136" t="s">
        <v>43</v>
      </c>
      <c r="T8" s="136">
        <v>272309650</v>
      </c>
      <c r="U8" s="136">
        <v>272309650</v>
      </c>
      <c r="V8" s="136">
        <v>241592850</v>
      </c>
      <c r="W8" s="136">
        <v>0.47011417535400002</v>
      </c>
      <c r="X8" s="136">
        <v>241592850</v>
      </c>
      <c r="Y8" s="133" t="s">
        <v>69</v>
      </c>
      <c r="Z8" s="133" t="s">
        <v>46</v>
      </c>
      <c r="AA8" s="133">
        <v>2308620</v>
      </c>
      <c r="AB8" s="133" t="s">
        <v>737</v>
      </c>
      <c r="AC8" s="133" t="s">
        <v>45</v>
      </c>
      <c r="AD8" s="133" t="s">
        <v>67</v>
      </c>
      <c r="AE8" s="133">
        <v>0</v>
      </c>
      <c r="AF8" s="133" t="s">
        <v>739</v>
      </c>
      <c r="AG8" s="133" t="s">
        <v>69</v>
      </c>
      <c r="AH8" s="133" t="s">
        <v>46</v>
      </c>
      <c r="AI8" s="133" t="s">
        <v>69</v>
      </c>
      <c r="AJ8" s="133" t="s">
        <v>46</v>
      </c>
      <c r="AK8" s="133" t="s">
        <v>54</v>
      </c>
      <c r="AL8" s="133" t="s">
        <v>48</v>
      </c>
      <c r="AM8" s="133" t="s">
        <v>201</v>
      </c>
      <c r="AN8" s="133" t="str">
        <f>VLOOKUP(I8,Sheet1!A:D,4,FALSE)</f>
        <v>A320400</v>
      </c>
      <c r="AO8" s="133" t="s">
        <v>740</v>
      </c>
    </row>
    <row r="9" spans="1:47" s="36" customFormat="1" ht="14.25" x14ac:dyDescent="0.2">
      <c r="A9" s="195"/>
      <c r="B9" s="187"/>
      <c r="C9" s="187"/>
      <c r="D9" s="198"/>
      <c r="E9" s="187"/>
      <c r="F9" s="199"/>
      <c r="G9" s="196"/>
      <c r="H9" s="187"/>
      <c r="I9" s="187"/>
      <c r="J9" s="187"/>
      <c r="K9" s="187"/>
      <c r="L9" s="187"/>
      <c r="M9" s="187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36" t="e">
        <f>VLOOKUP(I9,Sheet1!A:D,4,FALSE)</f>
        <v>#N/A</v>
      </c>
    </row>
    <row r="10" spans="1:47" s="36" customFormat="1" ht="14.25" x14ac:dyDescent="0.2">
      <c r="A10" s="57"/>
      <c r="D10" s="49"/>
      <c r="F10" s="60"/>
      <c r="G10" s="58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AN10" s="36" t="e">
        <f>VLOOKUP(I10,Sheet1!A:D,4,FALSE)</f>
        <v>#N/A</v>
      </c>
    </row>
    <row r="11" spans="1:47" s="36" customFormat="1" ht="14.25" x14ac:dyDescent="0.2">
      <c r="A11" s="57"/>
      <c r="D11" s="49"/>
      <c r="F11" s="60"/>
      <c r="G11" s="58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AN11" s="36" t="e">
        <f>VLOOKUP(I11,Sheet1!A:D,4,FALSE)</f>
        <v>#N/A</v>
      </c>
    </row>
    <row r="12" spans="1:47" s="36" customFormat="1" ht="14.25" x14ac:dyDescent="0.2">
      <c r="A12" s="57"/>
      <c r="D12" s="49"/>
      <c r="F12" s="60"/>
      <c r="G12" s="58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AN12" s="36" t="e">
        <f>VLOOKUP(I12,Sheet1!A:D,4,FALSE)</f>
        <v>#N/A</v>
      </c>
    </row>
    <row r="13" spans="1:47" s="36" customFormat="1" ht="14.25" x14ac:dyDescent="0.2">
      <c r="A13" s="57"/>
      <c r="E13" s="56"/>
      <c r="G13" s="58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AN13" s="36" t="e">
        <f>VLOOKUP(I13,Sheet1!A:D,4,FALSE)</f>
        <v>#N/A</v>
      </c>
    </row>
    <row r="14" spans="1:47" s="36" customFormat="1" ht="14.25" x14ac:dyDescent="0.2">
      <c r="A14" s="57"/>
      <c r="G14" s="58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AN14" s="36" t="e">
        <f>VLOOKUP(I14,Sheet1!A:D,4,FALSE)</f>
        <v>#N/A</v>
      </c>
    </row>
    <row r="15" spans="1:47" s="36" customFormat="1" ht="14.25" x14ac:dyDescent="0.2">
      <c r="A15" s="57"/>
      <c r="G15" s="58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AN15" s="36" t="e">
        <f>VLOOKUP(I15,Sheet1!A:D,4,FALSE)</f>
        <v>#N/A</v>
      </c>
    </row>
    <row r="16" spans="1:47" s="36" customFormat="1" ht="14.25" x14ac:dyDescent="0.2">
      <c r="A16" s="57"/>
      <c r="G16" s="58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AN16" s="36" t="e">
        <f>VLOOKUP(I16,Sheet1!A:D,4,FALSE)</f>
        <v>#N/A</v>
      </c>
    </row>
    <row r="17" spans="1:40" s="36" customFormat="1" ht="14.25" x14ac:dyDescent="0.2">
      <c r="A17" s="57"/>
      <c r="G17" s="58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AN17" s="36" t="e">
        <f>VLOOKUP(I17,Sheet1!A:D,4,FALSE)</f>
        <v>#N/A</v>
      </c>
    </row>
    <row r="18" spans="1:40" s="36" customFormat="1" ht="14.25" x14ac:dyDescent="0.2">
      <c r="A18" s="57"/>
      <c r="G18" s="58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AN18" s="36" t="e">
        <f>VLOOKUP(I18,Sheet1!A:D,4,FALSE)</f>
        <v>#N/A</v>
      </c>
    </row>
    <row r="19" spans="1:40" s="36" customFormat="1" ht="14.25" x14ac:dyDescent="0.2">
      <c r="A19" s="57"/>
      <c r="G19" s="58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AN19" s="36" t="e">
        <f>VLOOKUP(I19,Sheet1!A:D,4,FALSE)</f>
        <v>#N/A</v>
      </c>
    </row>
    <row r="20" spans="1:40" s="36" customFormat="1" ht="14.25" x14ac:dyDescent="0.2">
      <c r="A20" s="57"/>
      <c r="G20" s="58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AN20" s="36" t="e">
        <f>VLOOKUP(I20,Sheet1!A:D,4,FALSE)</f>
        <v>#N/A</v>
      </c>
    </row>
    <row r="21" spans="1:40" s="36" customFormat="1" ht="14.25" x14ac:dyDescent="0.2">
      <c r="A21" s="57"/>
      <c r="G21" s="58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AN21" s="36" t="e">
        <f>VLOOKUP(I21,Sheet1!A:D,4,FALSE)</f>
        <v>#N/A</v>
      </c>
    </row>
    <row r="22" spans="1:40" s="36" customFormat="1" ht="14.25" x14ac:dyDescent="0.2">
      <c r="A22" s="57"/>
      <c r="G22" s="58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AN22" s="36" t="e">
        <f>VLOOKUP(I22,Sheet1!A:D,4,FALSE)</f>
        <v>#N/A</v>
      </c>
    </row>
    <row r="23" spans="1:40" s="36" customFormat="1" ht="14.25" x14ac:dyDescent="0.2">
      <c r="A23" s="57"/>
      <c r="G23" s="58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AN23" s="36" t="e">
        <f>VLOOKUP(I23,Sheet1!A:D,4,FALSE)</f>
        <v>#N/A</v>
      </c>
    </row>
    <row r="24" spans="1:40" s="36" customFormat="1" ht="14.25" x14ac:dyDescent="0.2">
      <c r="A24" s="57"/>
      <c r="G24" s="58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AN24" s="36" t="e">
        <f>VLOOKUP(I24,Sheet1!A:D,4,FALSE)</f>
        <v>#N/A</v>
      </c>
    </row>
    <row r="25" spans="1:40" s="36" customFormat="1" ht="14.25" x14ac:dyDescent="0.2">
      <c r="A25" s="57"/>
      <c r="G25" s="58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AN25" s="36" t="e">
        <f>VLOOKUP(I25,Sheet1!A:D,4,FALSE)</f>
        <v>#N/A</v>
      </c>
    </row>
    <row r="26" spans="1:40" s="36" customFormat="1" ht="14.25" x14ac:dyDescent="0.2">
      <c r="A26" s="57"/>
      <c r="G26" s="58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AN26" s="36" t="e">
        <f>VLOOKUP(I26,Sheet1!A:D,4,FALSE)</f>
        <v>#N/A</v>
      </c>
    </row>
    <row r="27" spans="1:40" s="36" customFormat="1" ht="14.25" x14ac:dyDescent="0.2">
      <c r="A27" s="57"/>
      <c r="G27" s="58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AN27" s="36" t="e">
        <f>VLOOKUP(I27,Sheet1!A:D,4,FALSE)</f>
        <v>#N/A</v>
      </c>
    </row>
    <row r="28" spans="1:40" s="36" customFormat="1" ht="14.25" x14ac:dyDescent="0.2">
      <c r="A28" s="57"/>
      <c r="G28" s="58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AN28" s="36" t="e">
        <f>VLOOKUP(I28,Sheet1!A:D,4,FALSE)</f>
        <v>#N/A</v>
      </c>
    </row>
    <row r="29" spans="1:40" s="36" customFormat="1" ht="14.25" x14ac:dyDescent="0.2">
      <c r="A29" s="57"/>
      <c r="G29" s="58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AN29" s="36" t="e">
        <f>VLOOKUP(I29,Sheet1!A:D,4,FALSE)</f>
        <v>#N/A</v>
      </c>
    </row>
    <row r="30" spans="1:40" s="36" customFormat="1" ht="14.25" x14ac:dyDescent="0.2">
      <c r="A30" s="57"/>
      <c r="G30" s="58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AN30" s="36" t="e">
        <f>VLOOKUP(I30,Sheet1!A:D,4,FALSE)</f>
        <v>#N/A</v>
      </c>
    </row>
    <row r="31" spans="1:40" s="36" customFormat="1" ht="14.25" x14ac:dyDescent="0.2">
      <c r="A31" s="57"/>
      <c r="G31" s="58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AN31" s="36" t="e">
        <f>VLOOKUP(I31,Sheet1!A:D,4,FALSE)</f>
        <v>#N/A</v>
      </c>
    </row>
    <row r="32" spans="1:40" s="36" customFormat="1" ht="14.25" x14ac:dyDescent="0.2">
      <c r="A32" s="57"/>
      <c r="G32" s="58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AN32" s="36" t="e">
        <f>VLOOKUP(I32,Sheet1!A:D,4,FALSE)</f>
        <v>#N/A</v>
      </c>
    </row>
    <row r="33" spans="1:40" s="36" customFormat="1" ht="14.25" x14ac:dyDescent="0.2">
      <c r="A33" s="57"/>
      <c r="G33" s="58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AN33" s="36" t="e">
        <f>VLOOKUP(I33,Sheet1!A:D,4,FALSE)</f>
        <v>#N/A</v>
      </c>
    </row>
    <row r="34" spans="1:40" s="36" customFormat="1" ht="14.25" x14ac:dyDescent="0.2">
      <c r="A34" s="57"/>
      <c r="G34" s="58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AN34" s="36" t="e">
        <f>VLOOKUP(I34,Sheet1!A:D,4,FALSE)</f>
        <v>#N/A</v>
      </c>
    </row>
    <row r="35" spans="1:40" s="36" customFormat="1" ht="14.25" x14ac:dyDescent="0.2">
      <c r="A35" s="57"/>
      <c r="G35" s="58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AN35" s="36" t="e">
        <f>VLOOKUP(I35,Sheet1!A:D,4,FALSE)</f>
        <v>#N/A</v>
      </c>
    </row>
    <row r="36" spans="1:40" s="36" customFormat="1" ht="14.25" x14ac:dyDescent="0.2">
      <c r="A36" s="57"/>
      <c r="G36" s="58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AN36" s="36" t="e">
        <f>VLOOKUP(I36,Sheet1!A:D,4,FALSE)</f>
        <v>#N/A</v>
      </c>
    </row>
    <row r="37" spans="1:40" s="36" customFormat="1" ht="14.25" x14ac:dyDescent="0.2">
      <c r="A37" s="57"/>
      <c r="G37" s="58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AN37" s="36" t="e">
        <f>VLOOKUP(I37,Sheet1!A:D,4,FALSE)</f>
        <v>#N/A</v>
      </c>
    </row>
    <row r="38" spans="1:40" s="36" customFormat="1" ht="14.25" x14ac:dyDescent="0.2">
      <c r="A38" s="57"/>
      <c r="G38" s="58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AN38" s="36" t="e">
        <f>VLOOKUP(I38,Sheet1!A:D,4,FALSE)</f>
        <v>#N/A</v>
      </c>
    </row>
    <row r="39" spans="1:40" s="36" customFormat="1" ht="14.25" x14ac:dyDescent="0.2">
      <c r="A39" s="57"/>
      <c r="G39" s="58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AN39" s="36" t="e">
        <f>VLOOKUP(I39,Sheet1!A:D,4,FALSE)</f>
        <v>#N/A</v>
      </c>
    </row>
    <row r="40" spans="1:40" s="36" customFormat="1" ht="14.25" x14ac:dyDescent="0.2">
      <c r="A40" s="57"/>
      <c r="G40" s="58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AN40" s="36" t="e">
        <f>VLOOKUP(I40,Sheet1!A:D,4,FALSE)</f>
        <v>#N/A</v>
      </c>
    </row>
    <row r="41" spans="1:40" s="36" customFormat="1" ht="14.25" x14ac:dyDescent="0.2">
      <c r="A41" s="57"/>
      <c r="G41" s="58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AN41" s="36" t="e">
        <f>VLOOKUP(I41,Sheet1!A:D,4,FALSE)</f>
        <v>#N/A</v>
      </c>
    </row>
    <row r="42" spans="1:40" s="36" customFormat="1" ht="14.25" x14ac:dyDescent="0.2">
      <c r="A42" s="57"/>
      <c r="G42" s="58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AN42" s="36" t="e">
        <f>VLOOKUP(I42,Sheet1!A:D,4,FALSE)</f>
        <v>#N/A</v>
      </c>
    </row>
    <row r="43" spans="1:40" s="36" customFormat="1" ht="14.25" x14ac:dyDescent="0.2">
      <c r="A43" s="57"/>
      <c r="G43" s="58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AN43" s="36" t="e">
        <f>VLOOKUP(I43,Sheet1!A:D,4,FALSE)</f>
        <v>#N/A</v>
      </c>
    </row>
    <row r="44" spans="1:40" s="36" customFormat="1" ht="14.25" x14ac:dyDescent="0.2">
      <c r="A44" s="57"/>
      <c r="G44" s="58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AN44" s="36" t="e">
        <f>VLOOKUP(I44,Sheet1!A:D,4,FALSE)</f>
        <v>#N/A</v>
      </c>
    </row>
    <row r="45" spans="1:40" s="36" customFormat="1" ht="14.25" x14ac:dyDescent="0.2">
      <c r="A45" s="57"/>
      <c r="G45" s="58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AN45" s="36" t="e">
        <f>VLOOKUP(I45,Sheet1!A:D,4,FALSE)</f>
        <v>#N/A</v>
      </c>
    </row>
    <row r="46" spans="1:40" s="36" customFormat="1" ht="14.25" x14ac:dyDescent="0.2">
      <c r="A46" s="57"/>
      <c r="G46" s="58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AN46" s="36" t="e">
        <f>VLOOKUP(I46,Sheet1!A:D,4,FALSE)</f>
        <v>#N/A</v>
      </c>
    </row>
    <row r="47" spans="1:40" s="36" customFormat="1" ht="14.25" x14ac:dyDescent="0.2">
      <c r="A47" s="57"/>
      <c r="G47" s="58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AN47" s="36" t="e">
        <f>VLOOKUP(I47,Sheet1!A:D,4,FALSE)</f>
        <v>#N/A</v>
      </c>
    </row>
    <row r="48" spans="1:40" s="36" customFormat="1" ht="14.25" x14ac:dyDescent="0.2">
      <c r="A48" s="57"/>
      <c r="G48" s="58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AN48" s="36" t="e">
        <f>VLOOKUP(I48,Sheet1!A:D,4,FALSE)</f>
        <v>#N/A</v>
      </c>
    </row>
    <row r="49" spans="1:40" s="36" customFormat="1" ht="14.25" x14ac:dyDescent="0.2">
      <c r="A49" s="57"/>
      <c r="G49" s="58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AN49" s="36" t="e">
        <f>VLOOKUP(I49,Sheet1!A:D,4,FALSE)</f>
        <v>#N/A</v>
      </c>
    </row>
    <row r="50" spans="1:40" s="36" customFormat="1" ht="14.25" x14ac:dyDescent="0.2">
      <c r="A50" s="57"/>
      <c r="G50" s="58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AN50" s="36" t="e">
        <f>VLOOKUP(I50,Sheet1!A:D,4,FALSE)</f>
        <v>#N/A</v>
      </c>
    </row>
    <row r="51" spans="1:40" s="36" customFormat="1" ht="14.25" x14ac:dyDescent="0.2">
      <c r="A51" s="57"/>
      <c r="G51" s="58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AN51" s="36" t="e">
        <f>VLOOKUP(I51,Sheet1!A:D,4,FALSE)</f>
        <v>#N/A</v>
      </c>
    </row>
    <row r="52" spans="1:40" s="36" customFormat="1" ht="14.25" x14ac:dyDescent="0.2">
      <c r="A52" s="57"/>
      <c r="G52" s="58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AN52" s="36" t="e">
        <f>VLOOKUP(I52,Sheet1!A:D,4,FALSE)</f>
        <v>#N/A</v>
      </c>
    </row>
    <row r="53" spans="1:40" s="36" customFormat="1" ht="14.25" x14ac:dyDescent="0.2">
      <c r="A53" s="57"/>
      <c r="G53" s="58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AN53" s="36" t="e">
        <f>VLOOKUP(I53,Sheet1!A:D,4,FALSE)</f>
        <v>#N/A</v>
      </c>
    </row>
    <row r="54" spans="1:40" s="36" customFormat="1" ht="14.25" x14ac:dyDescent="0.2">
      <c r="A54" s="57"/>
      <c r="G54" s="58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AN54" s="36" t="e">
        <f>VLOOKUP(I54,Sheet1!A:D,4,FALSE)</f>
        <v>#N/A</v>
      </c>
    </row>
    <row r="55" spans="1:40" s="36" customFormat="1" ht="14.25" x14ac:dyDescent="0.2">
      <c r="A55" s="57"/>
      <c r="G55" s="58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AN55" s="36" t="e">
        <f>VLOOKUP(I55,Sheet1!A:D,4,FALSE)</f>
        <v>#N/A</v>
      </c>
    </row>
    <row r="56" spans="1:40" s="36" customFormat="1" ht="14.25" x14ac:dyDescent="0.2">
      <c r="A56" s="57"/>
      <c r="G56" s="58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AN56" s="36" t="e">
        <f>VLOOKUP(I56,Sheet1!A:D,4,FALSE)</f>
        <v>#N/A</v>
      </c>
    </row>
    <row r="57" spans="1:40" s="36" customFormat="1" ht="14.25" x14ac:dyDescent="0.2">
      <c r="A57" s="57"/>
      <c r="G57" s="58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AN57" s="36" t="e">
        <f>VLOOKUP(I57,Sheet1!A:D,4,FALSE)</f>
        <v>#N/A</v>
      </c>
    </row>
    <row r="58" spans="1:40" s="36" customFormat="1" ht="14.25" x14ac:dyDescent="0.2">
      <c r="A58" s="57"/>
      <c r="G58" s="58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AN58" s="36" t="e">
        <f>VLOOKUP(I58,Sheet1!A:D,4,FALSE)</f>
        <v>#N/A</v>
      </c>
    </row>
    <row r="59" spans="1:40" s="36" customFormat="1" ht="14.25" x14ac:dyDescent="0.2">
      <c r="A59" s="57"/>
      <c r="G59" s="58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AN59" s="36" t="e">
        <f>VLOOKUP(I59,Sheet1!A:D,4,FALSE)</f>
        <v>#N/A</v>
      </c>
    </row>
    <row r="60" spans="1:40" s="36" customFormat="1" ht="14.25" x14ac:dyDescent="0.2">
      <c r="A60" s="57"/>
      <c r="G60" s="58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AN60" s="36" t="e">
        <f>VLOOKUP(I60,Sheet1!A:D,4,FALSE)</f>
        <v>#N/A</v>
      </c>
    </row>
    <row r="61" spans="1:40" s="36" customFormat="1" ht="14.25" x14ac:dyDescent="0.2">
      <c r="A61" s="57"/>
      <c r="G61" s="58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AN61" s="36" t="e">
        <f>VLOOKUP(I61,Sheet1!A:D,4,FALSE)</f>
        <v>#N/A</v>
      </c>
    </row>
    <row r="62" spans="1:40" s="36" customFormat="1" ht="14.25" x14ac:dyDescent="0.2">
      <c r="A62" s="57"/>
      <c r="G62" s="58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AN62" s="36" t="e">
        <f>VLOOKUP(I62,Sheet1!A:D,4,FALSE)</f>
        <v>#N/A</v>
      </c>
    </row>
    <row r="63" spans="1:40" s="36" customFormat="1" ht="14.25" x14ac:dyDescent="0.2">
      <c r="A63" s="57"/>
      <c r="G63" s="58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AN63" s="36" t="e">
        <f>VLOOKUP(I63,Sheet1!A:D,4,FALSE)</f>
        <v>#N/A</v>
      </c>
    </row>
    <row r="64" spans="1:40" s="36" customFormat="1" ht="14.25" x14ac:dyDescent="0.2">
      <c r="A64" s="57"/>
      <c r="G64" s="58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AN64" s="36" t="e">
        <f>VLOOKUP(I64,Sheet1!A:D,4,FALSE)</f>
        <v>#N/A</v>
      </c>
    </row>
    <row r="65" spans="1:40" s="36" customFormat="1" ht="14.25" x14ac:dyDescent="0.2">
      <c r="A65" s="57"/>
      <c r="G65" s="58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AN65" s="36" t="e">
        <f>VLOOKUP(I65,Sheet1!A:D,4,FALSE)</f>
        <v>#N/A</v>
      </c>
    </row>
    <row r="66" spans="1:40" s="36" customFormat="1" ht="14.25" x14ac:dyDescent="0.2">
      <c r="A66" s="57"/>
      <c r="G66" s="58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AN66" s="36" t="e">
        <f>VLOOKUP(I66,Sheet1!A:D,4,FALSE)</f>
        <v>#N/A</v>
      </c>
    </row>
    <row r="67" spans="1:40" s="36" customFormat="1" ht="14.25" x14ac:dyDescent="0.2">
      <c r="A67" s="57"/>
      <c r="G67" s="58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AN67" s="36" t="e">
        <f>VLOOKUP(I67,Sheet1!A:D,4,FALSE)</f>
        <v>#N/A</v>
      </c>
    </row>
    <row r="68" spans="1:40" s="36" customFormat="1" ht="14.25" x14ac:dyDescent="0.2">
      <c r="A68" s="57"/>
      <c r="G68" s="58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AN68" s="36" t="e">
        <f>VLOOKUP(I68,Sheet1!A:D,4,FALSE)</f>
        <v>#N/A</v>
      </c>
    </row>
    <row r="69" spans="1:40" s="36" customFormat="1" ht="14.25" x14ac:dyDescent="0.2">
      <c r="A69" s="57"/>
      <c r="G69" s="58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AN69" s="36" t="e">
        <f>VLOOKUP(I69,Sheet1!A:D,4,FALSE)</f>
        <v>#N/A</v>
      </c>
    </row>
    <row r="70" spans="1:40" s="36" customFormat="1" ht="14.25" x14ac:dyDescent="0.2">
      <c r="A70" s="57"/>
      <c r="G70" s="58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AN70" s="36" t="e">
        <f>VLOOKUP(I70,Sheet1!A:D,4,FALSE)</f>
        <v>#N/A</v>
      </c>
    </row>
    <row r="71" spans="1:40" s="36" customFormat="1" ht="14.25" x14ac:dyDescent="0.2">
      <c r="A71" s="57"/>
      <c r="G71" s="58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AN71" s="36" t="e">
        <f>VLOOKUP(I71,Sheet1!A:D,4,FALSE)</f>
        <v>#N/A</v>
      </c>
    </row>
    <row r="72" spans="1:40" s="36" customFormat="1" ht="14.25" x14ac:dyDescent="0.2">
      <c r="A72" s="57"/>
      <c r="G72" s="58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AN72" s="36" t="e">
        <f>VLOOKUP(I72,Sheet1!A:D,4,FALSE)</f>
        <v>#N/A</v>
      </c>
    </row>
    <row r="73" spans="1:40" s="36" customFormat="1" ht="14.25" x14ac:dyDescent="0.2">
      <c r="A73" s="57"/>
      <c r="G73" s="58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AN73" s="36" t="e">
        <f>VLOOKUP(I73,Sheet1!A:D,4,FALSE)</f>
        <v>#N/A</v>
      </c>
    </row>
    <row r="74" spans="1:40" s="36" customFormat="1" ht="14.25" x14ac:dyDescent="0.2">
      <c r="A74" s="57"/>
      <c r="G74" s="58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AN74" s="36" t="e">
        <f>VLOOKUP(I74,Sheet1!A:D,4,FALSE)</f>
        <v>#N/A</v>
      </c>
    </row>
    <row r="75" spans="1:40" s="36" customFormat="1" ht="14.25" x14ac:dyDescent="0.2">
      <c r="A75" s="57"/>
      <c r="G75" s="58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AN75" s="36" t="e">
        <f>VLOOKUP(I75,Sheet1!A:D,4,FALSE)</f>
        <v>#N/A</v>
      </c>
    </row>
    <row r="76" spans="1:40" s="36" customFormat="1" ht="14.25" x14ac:dyDescent="0.2">
      <c r="A76" s="57"/>
      <c r="G76" s="58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AN76" s="36" t="e">
        <f>VLOOKUP(I76,Sheet1!A:D,4,FALSE)</f>
        <v>#N/A</v>
      </c>
    </row>
    <row r="77" spans="1:40" s="36" customFormat="1" ht="14.25" x14ac:dyDescent="0.2">
      <c r="A77" s="57"/>
      <c r="G77" s="58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AN77" s="36" t="e">
        <f>VLOOKUP(I77,Sheet1!A:D,4,FALSE)</f>
        <v>#N/A</v>
      </c>
    </row>
    <row r="78" spans="1:40" s="36" customFormat="1" ht="14.25" x14ac:dyDescent="0.2">
      <c r="A78" s="57"/>
      <c r="G78" s="58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AN78" s="36" t="e">
        <f>VLOOKUP(I78,Sheet1!A:D,4,FALSE)</f>
        <v>#N/A</v>
      </c>
    </row>
    <row r="79" spans="1:40" s="36" customFormat="1" ht="14.25" x14ac:dyDescent="0.2">
      <c r="A79" s="57"/>
      <c r="G79" s="58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AN79" s="36" t="e">
        <f>VLOOKUP(I79,Sheet1!A:D,4,FALSE)</f>
        <v>#N/A</v>
      </c>
    </row>
    <row r="80" spans="1:40" s="36" customFormat="1" ht="14.25" x14ac:dyDescent="0.2">
      <c r="A80" s="57"/>
      <c r="G80" s="58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AN80" s="36" t="e">
        <f>VLOOKUP(I80,Sheet1!A:D,4,FALSE)</f>
        <v>#N/A</v>
      </c>
    </row>
    <row r="81" spans="1:40" s="36" customFormat="1" ht="14.25" x14ac:dyDescent="0.2">
      <c r="A81" s="57"/>
      <c r="G81" s="58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AN81" s="36" t="e">
        <f>VLOOKUP(I81,Sheet1!A:D,4,FALSE)</f>
        <v>#N/A</v>
      </c>
    </row>
    <row r="82" spans="1:40" s="36" customFormat="1" ht="14.25" x14ac:dyDescent="0.2">
      <c r="A82" s="57"/>
      <c r="G82" s="58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AN82" s="36" t="e">
        <f>VLOOKUP(I82,Sheet1!A:D,4,FALSE)</f>
        <v>#N/A</v>
      </c>
    </row>
    <row r="83" spans="1:40" s="36" customFormat="1" ht="14.25" x14ac:dyDescent="0.2">
      <c r="A83" s="57"/>
      <c r="G83" s="58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AN83" s="36" t="e">
        <f>VLOOKUP(I83,Sheet1!A:D,4,FALSE)</f>
        <v>#N/A</v>
      </c>
    </row>
    <row r="84" spans="1:40" s="36" customFormat="1" ht="14.25" x14ac:dyDescent="0.2">
      <c r="A84" s="57"/>
      <c r="G84" s="58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AN84" s="36" t="e">
        <f>VLOOKUP(I84,Sheet1!A:D,4,FALSE)</f>
        <v>#N/A</v>
      </c>
    </row>
    <row r="85" spans="1:40" s="36" customFormat="1" ht="14.25" x14ac:dyDescent="0.2">
      <c r="A85" s="57"/>
      <c r="G85" s="58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AN85" s="36" t="e">
        <f>VLOOKUP(I85,Sheet1!A:D,4,FALSE)</f>
        <v>#N/A</v>
      </c>
    </row>
    <row r="86" spans="1:40" s="36" customFormat="1" ht="14.25" x14ac:dyDescent="0.2">
      <c r="A86" s="57"/>
      <c r="G86" s="58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AN86" s="36" t="e">
        <f>VLOOKUP(I86,Sheet1!A:D,4,FALSE)</f>
        <v>#N/A</v>
      </c>
    </row>
    <row r="87" spans="1:40" s="36" customFormat="1" ht="14.25" x14ac:dyDescent="0.2">
      <c r="A87" s="57"/>
      <c r="G87" s="58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AN87" s="36" t="e">
        <f>VLOOKUP(I87,Sheet1!A:D,4,FALSE)</f>
        <v>#N/A</v>
      </c>
    </row>
    <row r="88" spans="1:40" s="36" customFormat="1" ht="14.25" x14ac:dyDescent="0.2">
      <c r="A88" s="57"/>
      <c r="G88" s="58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AN88" s="36" t="e">
        <f>VLOOKUP(I88,Sheet1!A:D,4,FALSE)</f>
        <v>#N/A</v>
      </c>
    </row>
    <row r="89" spans="1:40" s="36" customFormat="1" ht="14.25" x14ac:dyDescent="0.2">
      <c r="A89" s="57"/>
      <c r="G89" s="58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AN89" s="36" t="e">
        <f>VLOOKUP(I89,Sheet1!A:D,4,FALSE)</f>
        <v>#N/A</v>
      </c>
    </row>
    <row r="90" spans="1:40" s="36" customFormat="1" ht="14.25" x14ac:dyDescent="0.2">
      <c r="A90" s="57"/>
      <c r="G90" s="58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AN90" s="36" t="e">
        <f>VLOOKUP(I90,Sheet1!A:D,4,FALSE)</f>
        <v>#N/A</v>
      </c>
    </row>
    <row r="91" spans="1:40" s="36" customFormat="1" ht="14.25" x14ac:dyDescent="0.2">
      <c r="A91" s="57"/>
      <c r="G91" s="58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AN91" s="36" t="e">
        <f>VLOOKUP(I91,Sheet1!A:D,4,FALSE)</f>
        <v>#N/A</v>
      </c>
    </row>
    <row r="92" spans="1:40" s="36" customFormat="1" ht="14.25" x14ac:dyDescent="0.2">
      <c r="A92" s="57"/>
      <c r="G92" s="58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AN92" s="36" t="e">
        <f>VLOOKUP(I92,Sheet1!A:D,4,FALSE)</f>
        <v>#N/A</v>
      </c>
    </row>
    <row r="93" spans="1:40" s="36" customFormat="1" ht="14.25" x14ac:dyDescent="0.2">
      <c r="A93" s="57"/>
      <c r="G93" s="58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AN93" s="36" t="e">
        <f>VLOOKUP(I93,Sheet1!A:D,4,FALSE)</f>
        <v>#N/A</v>
      </c>
    </row>
    <row r="94" spans="1:40" s="36" customFormat="1" ht="14.25" x14ac:dyDescent="0.2">
      <c r="A94" s="57"/>
      <c r="G94" s="58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AN94" s="36" t="e">
        <f>VLOOKUP(I94,Sheet1!A:D,4,FALSE)</f>
        <v>#N/A</v>
      </c>
    </row>
    <row r="95" spans="1:40" s="36" customFormat="1" ht="14.25" x14ac:dyDescent="0.2">
      <c r="A95" s="57"/>
      <c r="G95" s="58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AN95" s="36" t="e">
        <f>VLOOKUP(I95,Sheet1!A:D,4,FALSE)</f>
        <v>#N/A</v>
      </c>
    </row>
    <row r="96" spans="1:40" s="36" customFormat="1" ht="14.25" x14ac:dyDescent="0.2">
      <c r="A96" s="57"/>
      <c r="G96" s="58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AN96" s="36" t="e">
        <f>VLOOKUP(I96,Sheet1!A:D,4,FALSE)</f>
        <v>#N/A</v>
      </c>
    </row>
    <row r="97" spans="1:40" s="36" customFormat="1" ht="14.25" x14ac:dyDescent="0.2">
      <c r="A97" s="57"/>
      <c r="G97" s="58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AN97" s="36" t="e">
        <f>VLOOKUP(I97,Sheet1!A:D,4,FALSE)</f>
        <v>#N/A</v>
      </c>
    </row>
    <row r="98" spans="1:40" s="36" customFormat="1" ht="14.25" x14ac:dyDescent="0.2">
      <c r="A98" s="57"/>
      <c r="G98" s="58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AN98" s="36" t="e">
        <f>VLOOKUP(I98,Sheet1!A:D,4,FALSE)</f>
        <v>#N/A</v>
      </c>
    </row>
    <row r="99" spans="1:40" s="36" customFormat="1" ht="14.25" x14ac:dyDescent="0.2">
      <c r="A99" s="57"/>
      <c r="G99" s="58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AN99" s="36" t="e">
        <f>VLOOKUP(I99,Sheet1!A:D,4,FALSE)</f>
        <v>#N/A</v>
      </c>
    </row>
    <row r="100" spans="1:40" s="36" customFormat="1" ht="14.25" x14ac:dyDescent="0.2">
      <c r="A100" s="57"/>
      <c r="G100" s="58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AN100" s="36" t="e">
        <f>VLOOKUP(I100,Sheet1!A:D,4,FALSE)</f>
        <v>#N/A</v>
      </c>
    </row>
    <row r="101" spans="1:40" s="36" customFormat="1" ht="14.25" x14ac:dyDescent="0.2">
      <c r="A101" s="57"/>
      <c r="G101" s="58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AN101" s="36" t="e">
        <f>VLOOKUP(I101,Sheet1!A:D,4,FALSE)</f>
        <v>#N/A</v>
      </c>
    </row>
    <row r="102" spans="1:40" s="36" customFormat="1" ht="14.25" x14ac:dyDescent="0.2">
      <c r="A102" s="57"/>
      <c r="G102" s="58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AN102" s="36" t="e">
        <f>VLOOKUP(I102,Sheet1!A:D,4,FALSE)</f>
        <v>#N/A</v>
      </c>
    </row>
    <row r="103" spans="1:40" s="36" customFormat="1" ht="14.25" x14ac:dyDescent="0.2">
      <c r="A103" s="57"/>
      <c r="G103" s="58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AN103" s="36" t="e">
        <f>VLOOKUP(I103,Sheet1!A:D,4,FALSE)</f>
        <v>#N/A</v>
      </c>
    </row>
    <row r="104" spans="1:40" s="36" customFormat="1" ht="14.25" x14ac:dyDescent="0.2">
      <c r="A104" s="57"/>
      <c r="G104" s="58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AN104" s="36" t="e">
        <f>VLOOKUP(I104,Sheet1!A:D,4,FALSE)</f>
        <v>#N/A</v>
      </c>
    </row>
    <row r="105" spans="1:40" s="36" customFormat="1" ht="14.25" x14ac:dyDescent="0.2">
      <c r="A105" s="57"/>
      <c r="G105" s="58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AN105" s="36" t="e">
        <f>VLOOKUP(I105,Sheet1!A:D,4,FALSE)</f>
        <v>#N/A</v>
      </c>
    </row>
    <row r="106" spans="1:40" s="36" customFormat="1" ht="14.25" x14ac:dyDescent="0.2">
      <c r="A106" s="57"/>
      <c r="G106" s="58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AN106" s="36" t="e">
        <f>VLOOKUP(I106,Sheet1!A:D,4,FALSE)</f>
        <v>#N/A</v>
      </c>
    </row>
    <row r="107" spans="1:40" s="36" customFormat="1" ht="14.25" x14ac:dyDescent="0.2">
      <c r="A107" s="57"/>
      <c r="G107" s="58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AN107" s="36" t="e">
        <f>VLOOKUP(I107,Sheet1!A:D,4,FALSE)</f>
        <v>#N/A</v>
      </c>
    </row>
    <row r="108" spans="1:40" s="36" customFormat="1" ht="14.25" x14ac:dyDescent="0.2">
      <c r="A108" s="57"/>
      <c r="G108" s="58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AN108" s="36" t="e">
        <f>VLOOKUP(I108,Sheet1!A:D,4,FALSE)</f>
        <v>#N/A</v>
      </c>
    </row>
    <row r="109" spans="1:40" s="36" customFormat="1" ht="14.25" x14ac:dyDescent="0.2">
      <c r="A109" s="57"/>
      <c r="G109" s="58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AN109" s="36" t="e">
        <f>VLOOKUP(I109,Sheet1!A:D,4,FALSE)</f>
        <v>#N/A</v>
      </c>
    </row>
    <row r="110" spans="1:40" s="36" customFormat="1" ht="14.25" x14ac:dyDescent="0.2">
      <c r="A110" s="57"/>
      <c r="G110" s="58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AN110" s="36" t="e">
        <f>VLOOKUP(I110,Sheet1!A:D,4,FALSE)</f>
        <v>#N/A</v>
      </c>
    </row>
    <row r="111" spans="1:40" s="36" customFormat="1" ht="14.25" x14ac:dyDescent="0.2">
      <c r="A111" s="57"/>
      <c r="G111" s="58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AN111" s="36" t="e">
        <f>VLOOKUP(I111,Sheet1!A:D,4,FALSE)</f>
        <v>#N/A</v>
      </c>
    </row>
    <row r="112" spans="1:40" s="36" customFormat="1" ht="14.25" x14ac:dyDescent="0.2">
      <c r="A112" s="57"/>
      <c r="G112" s="58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AN112" s="36" t="e">
        <f>VLOOKUP(I112,Sheet1!A:D,4,FALSE)</f>
        <v>#N/A</v>
      </c>
    </row>
    <row r="113" spans="1:40" s="36" customFormat="1" ht="14.25" x14ac:dyDescent="0.2">
      <c r="A113" s="57"/>
      <c r="G113" s="58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AN113" s="36" t="e">
        <f>VLOOKUP(I113,Sheet1!A:D,4,FALSE)</f>
        <v>#N/A</v>
      </c>
    </row>
    <row r="114" spans="1:40" s="36" customFormat="1" ht="14.25" x14ac:dyDescent="0.2">
      <c r="A114" s="57"/>
      <c r="G114" s="58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AN114" s="36" t="e">
        <f>VLOOKUP(I114,Sheet1!A:D,4,FALSE)</f>
        <v>#N/A</v>
      </c>
    </row>
    <row r="115" spans="1:40" s="36" customFormat="1" ht="14.25" x14ac:dyDescent="0.2">
      <c r="A115" s="57"/>
      <c r="G115" s="58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AN115" s="36" t="e">
        <f>VLOOKUP(I115,Sheet1!A:D,4,FALSE)</f>
        <v>#N/A</v>
      </c>
    </row>
    <row r="116" spans="1:40" s="36" customFormat="1" ht="14.25" x14ac:dyDescent="0.2">
      <c r="A116" s="57"/>
      <c r="G116" s="58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AN116" s="36" t="e">
        <f>VLOOKUP(I116,Sheet1!A:D,4,FALSE)</f>
        <v>#N/A</v>
      </c>
    </row>
    <row r="117" spans="1:40" s="36" customFormat="1" ht="14.25" x14ac:dyDescent="0.2">
      <c r="A117" s="57"/>
      <c r="G117" s="58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AN117" s="36" t="e">
        <f>VLOOKUP(I117,Sheet1!A:D,4,FALSE)</f>
        <v>#N/A</v>
      </c>
    </row>
    <row r="118" spans="1:40" s="36" customFormat="1" ht="14.25" x14ac:dyDescent="0.2">
      <c r="A118" s="57"/>
      <c r="G118" s="58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AN118" s="36" t="e">
        <f>VLOOKUP(I118,Sheet1!A:D,4,FALSE)</f>
        <v>#N/A</v>
      </c>
    </row>
    <row r="119" spans="1:40" s="36" customFormat="1" ht="14.25" x14ac:dyDescent="0.2">
      <c r="A119" s="57"/>
      <c r="G119" s="58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AN119" s="36" t="e">
        <f>VLOOKUP(I119,Sheet1!A:D,4,FALSE)</f>
        <v>#N/A</v>
      </c>
    </row>
    <row r="120" spans="1:40" s="36" customFormat="1" ht="14.25" x14ac:dyDescent="0.2">
      <c r="A120" s="57"/>
      <c r="G120" s="58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AN120" s="36" t="e">
        <f>VLOOKUP(I120,Sheet1!A:D,4,FALSE)</f>
        <v>#N/A</v>
      </c>
    </row>
    <row r="121" spans="1:40" s="36" customFormat="1" ht="14.25" x14ac:dyDescent="0.2">
      <c r="A121" s="57"/>
      <c r="G121" s="58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AN121" s="36" t="e">
        <f>VLOOKUP(I121,Sheet1!A:D,4,FALSE)</f>
        <v>#N/A</v>
      </c>
    </row>
    <row r="122" spans="1:40" s="36" customFormat="1" ht="14.25" x14ac:dyDescent="0.2">
      <c r="A122" s="57"/>
      <c r="G122" s="58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AN122" s="36" t="e">
        <f>VLOOKUP(I122,Sheet1!A:D,4,FALSE)</f>
        <v>#N/A</v>
      </c>
    </row>
    <row r="123" spans="1:40" s="36" customFormat="1" ht="14.25" x14ac:dyDescent="0.2">
      <c r="A123" s="57"/>
      <c r="G123" s="58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AN123" s="36" t="e">
        <f>VLOOKUP(I123,Sheet1!A:D,4,FALSE)</f>
        <v>#N/A</v>
      </c>
    </row>
    <row r="124" spans="1:40" s="36" customFormat="1" ht="14.25" x14ac:dyDescent="0.2">
      <c r="A124" s="57"/>
      <c r="G124" s="58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AN124" s="36" t="e">
        <f>VLOOKUP(I124,Sheet1!A:D,4,FALSE)</f>
        <v>#N/A</v>
      </c>
    </row>
    <row r="125" spans="1:40" s="36" customFormat="1" ht="14.25" x14ac:dyDescent="0.2">
      <c r="A125" s="57"/>
      <c r="G125" s="58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AN125" s="36" t="e">
        <f>VLOOKUP(I125,Sheet1!A:D,4,FALSE)</f>
        <v>#N/A</v>
      </c>
    </row>
    <row r="126" spans="1:40" s="36" customFormat="1" ht="14.25" x14ac:dyDescent="0.2">
      <c r="A126" s="57"/>
      <c r="G126" s="58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AN126" s="36" t="e">
        <f>VLOOKUP(I126,Sheet1!A:D,4,FALSE)</f>
        <v>#N/A</v>
      </c>
    </row>
    <row r="127" spans="1:40" s="36" customFormat="1" ht="14.25" x14ac:dyDescent="0.2">
      <c r="A127" s="57"/>
      <c r="G127" s="58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AN127" s="36" t="e">
        <f>VLOOKUP(I127,Sheet1!A:D,4,FALSE)</f>
        <v>#N/A</v>
      </c>
    </row>
    <row r="128" spans="1:40" s="36" customFormat="1" ht="14.25" x14ac:dyDescent="0.2">
      <c r="A128" s="57"/>
      <c r="G128" s="58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AN128" s="36" t="e">
        <f>VLOOKUP(I128,Sheet1!A:D,4,FALSE)</f>
        <v>#N/A</v>
      </c>
    </row>
    <row r="129" spans="1:40" s="36" customFormat="1" ht="14.25" x14ac:dyDescent="0.2">
      <c r="A129" s="57"/>
      <c r="G129" s="58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AN129" s="36" t="e">
        <f>VLOOKUP(I129,Sheet1!A:D,4,FALSE)</f>
        <v>#N/A</v>
      </c>
    </row>
    <row r="130" spans="1:40" s="36" customFormat="1" ht="14.25" x14ac:dyDescent="0.2">
      <c r="A130" s="57"/>
      <c r="G130" s="58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AN130" s="36" t="e">
        <f>VLOOKUP(I130,Sheet1!A:D,4,FALSE)</f>
        <v>#N/A</v>
      </c>
    </row>
    <row r="131" spans="1:40" s="36" customFormat="1" ht="14.25" x14ac:dyDescent="0.2">
      <c r="A131" s="57"/>
      <c r="G131" s="58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AN131" s="36" t="e">
        <f>VLOOKUP(I131,Sheet1!A:D,4,FALSE)</f>
        <v>#N/A</v>
      </c>
    </row>
    <row r="132" spans="1:40" s="36" customFormat="1" ht="14.25" x14ac:dyDescent="0.2">
      <c r="A132" s="57"/>
      <c r="G132" s="58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AN132" s="36" t="e">
        <f>VLOOKUP(I132,Sheet1!A:D,4,FALSE)</f>
        <v>#N/A</v>
      </c>
    </row>
    <row r="133" spans="1:40" s="36" customFormat="1" ht="14.25" x14ac:dyDescent="0.2">
      <c r="A133" s="57"/>
      <c r="G133" s="58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AN133" s="36" t="e">
        <f>VLOOKUP(I133,Sheet1!A:D,4,FALSE)</f>
        <v>#N/A</v>
      </c>
    </row>
    <row r="134" spans="1:40" s="36" customFormat="1" ht="14.25" x14ac:dyDescent="0.2">
      <c r="A134" s="57"/>
      <c r="G134" s="58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AN134" s="36" t="e">
        <f>VLOOKUP(I134,Sheet1!A:D,4,FALSE)</f>
        <v>#N/A</v>
      </c>
    </row>
    <row r="135" spans="1:40" s="36" customFormat="1" ht="14.25" x14ac:dyDescent="0.2">
      <c r="A135" s="57"/>
      <c r="G135" s="58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AN135" s="36" t="e">
        <f>VLOOKUP(I135,Sheet1!A:D,4,FALSE)</f>
        <v>#N/A</v>
      </c>
    </row>
    <row r="136" spans="1:40" s="36" customFormat="1" ht="14.25" x14ac:dyDescent="0.2">
      <c r="A136" s="57"/>
      <c r="G136" s="58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AN136" s="36" t="e">
        <f>VLOOKUP(I136,Sheet1!A:D,4,FALSE)</f>
        <v>#N/A</v>
      </c>
    </row>
    <row r="137" spans="1:40" s="36" customFormat="1" ht="14.25" x14ac:dyDescent="0.2">
      <c r="A137" s="57"/>
      <c r="G137" s="58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AN137" s="36" t="e">
        <f>VLOOKUP(I137,Sheet1!A:D,4,FALSE)</f>
        <v>#N/A</v>
      </c>
    </row>
    <row r="138" spans="1:40" s="36" customFormat="1" ht="14.25" x14ac:dyDescent="0.2">
      <c r="A138" s="57"/>
      <c r="G138" s="58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AN138" s="36" t="e">
        <f>VLOOKUP(I138,Sheet1!A:D,4,FALSE)</f>
        <v>#N/A</v>
      </c>
    </row>
    <row r="139" spans="1:40" s="36" customFormat="1" ht="14.25" x14ac:dyDescent="0.2">
      <c r="A139" s="57"/>
      <c r="G139" s="58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AN139" s="36" t="e">
        <f>VLOOKUP(I139,Sheet1!A:D,4,FALSE)</f>
        <v>#N/A</v>
      </c>
    </row>
    <row r="140" spans="1:40" s="36" customFormat="1" ht="14.25" x14ac:dyDescent="0.2">
      <c r="A140" s="57"/>
      <c r="G140" s="58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AN140" s="36" t="e">
        <f>VLOOKUP(I140,Sheet1!A:D,4,FALSE)</f>
        <v>#N/A</v>
      </c>
    </row>
    <row r="141" spans="1:40" s="36" customFormat="1" ht="14.25" x14ac:dyDescent="0.2">
      <c r="A141" s="57"/>
      <c r="G141" s="58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AN141" s="36" t="e">
        <f>VLOOKUP(I141,Sheet1!A:D,4,FALSE)</f>
        <v>#N/A</v>
      </c>
    </row>
    <row r="142" spans="1:40" s="36" customFormat="1" ht="14.25" x14ac:dyDescent="0.2">
      <c r="A142" s="57"/>
      <c r="G142" s="58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AN142" s="36" t="e">
        <f>VLOOKUP(I142,Sheet1!A:D,4,FALSE)</f>
        <v>#N/A</v>
      </c>
    </row>
    <row r="143" spans="1:40" s="36" customFormat="1" ht="14.25" x14ac:dyDescent="0.2">
      <c r="A143" s="57"/>
      <c r="G143" s="58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AN143" s="36" t="e">
        <f>VLOOKUP(I143,Sheet1!A:D,4,FALSE)</f>
        <v>#N/A</v>
      </c>
    </row>
    <row r="144" spans="1:40" s="36" customFormat="1" ht="14.25" x14ac:dyDescent="0.2">
      <c r="A144" s="57"/>
      <c r="G144" s="58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AN144" s="36" t="e">
        <f>VLOOKUP(I144,Sheet1!A:D,4,FALSE)</f>
        <v>#N/A</v>
      </c>
    </row>
    <row r="145" spans="1:40" s="36" customFormat="1" ht="14.25" x14ac:dyDescent="0.2">
      <c r="A145" s="57"/>
      <c r="G145" s="58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AN145" s="36" t="e">
        <f>VLOOKUP(I145,Sheet1!A:D,4,FALSE)</f>
        <v>#N/A</v>
      </c>
    </row>
    <row r="146" spans="1:40" s="36" customFormat="1" ht="14.25" x14ac:dyDescent="0.2">
      <c r="A146" s="57"/>
      <c r="G146" s="58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AN146" s="36" t="e">
        <f>VLOOKUP(I146,Sheet1!A:D,4,FALSE)</f>
        <v>#N/A</v>
      </c>
    </row>
    <row r="147" spans="1:40" s="36" customFormat="1" ht="14.25" x14ac:dyDescent="0.2">
      <c r="A147" s="57"/>
      <c r="G147" s="58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AN147" s="36" t="e">
        <f>VLOOKUP(I147,Sheet1!A:D,4,FALSE)</f>
        <v>#N/A</v>
      </c>
    </row>
    <row r="148" spans="1:40" s="36" customFormat="1" ht="14.25" x14ac:dyDescent="0.2">
      <c r="A148" s="57"/>
      <c r="G148" s="58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AN148" s="36" t="e">
        <f>VLOOKUP(I148,Sheet1!A:D,4,FALSE)</f>
        <v>#N/A</v>
      </c>
    </row>
    <row r="149" spans="1:40" s="36" customFormat="1" ht="14.25" x14ac:dyDescent="0.2">
      <c r="A149" s="57"/>
      <c r="G149" s="58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AN149" s="36" t="e">
        <f>VLOOKUP(I149,Sheet1!A:D,4,FALSE)</f>
        <v>#N/A</v>
      </c>
    </row>
    <row r="150" spans="1:40" s="36" customFormat="1" ht="14.25" x14ac:dyDescent="0.2">
      <c r="A150" s="57"/>
      <c r="G150" s="58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AN150" s="36" t="e">
        <f>VLOOKUP(I150,Sheet1!A:D,4,FALSE)</f>
        <v>#N/A</v>
      </c>
    </row>
    <row r="151" spans="1:40" s="36" customFormat="1" ht="14.25" x14ac:dyDescent="0.2">
      <c r="A151" s="57"/>
      <c r="G151" s="58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AN151" s="36" t="e">
        <f>VLOOKUP(I151,Sheet1!A:D,4,FALSE)</f>
        <v>#N/A</v>
      </c>
    </row>
    <row r="152" spans="1:40" s="36" customFormat="1" ht="14.25" x14ac:dyDescent="0.2">
      <c r="A152" s="57"/>
      <c r="G152" s="58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AN152" s="36" t="e">
        <f>VLOOKUP(I152,Sheet1!A:D,4,FALSE)</f>
        <v>#N/A</v>
      </c>
    </row>
    <row r="153" spans="1:40" s="36" customFormat="1" ht="14.25" x14ac:dyDescent="0.2">
      <c r="A153" s="57"/>
      <c r="G153" s="58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AN153" s="36" t="e">
        <f>VLOOKUP(I153,Sheet1!A:D,4,FALSE)</f>
        <v>#N/A</v>
      </c>
    </row>
    <row r="154" spans="1:40" s="36" customFormat="1" ht="14.25" x14ac:dyDescent="0.2">
      <c r="A154" s="57"/>
      <c r="G154" s="58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AN154" s="36" t="e">
        <f>VLOOKUP(I154,Sheet1!A:D,4,FALSE)</f>
        <v>#N/A</v>
      </c>
    </row>
    <row r="155" spans="1:40" s="36" customFormat="1" ht="14.25" x14ac:dyDescent="0.2">
      <c r="A155" s="57"/>
      <c r="G155" s="58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AN155" s="36" t="e">
        <f>VLOOKUP(I155,Sheet1!A:D,4,FALSE)</f>
        <v>#N/A</v>
      </c>
    </row>
    <row r="156" spans="1:40" s="36" customFormat="1" ht="14.25" x14ac:dyDescent="0.2">
      <c r="A156" s="57"/>
      <c r="G156" s="58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AN156" s="36" t="e">
        <f>VLOOKUP(I156,Sheet1!A:D,4,FALSE)</f>
        <v>#N/A</v>
      </c>
    </row>
    <row r="157" spans="1:40" s="36" customFormat="1" ht="14.25" x14ac:dyDescent="0.2">
      <c r="A157" s="57"/>
      <c r="G157" s="58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AN157" s="36" t="e">
        <f>VLOOKUP(I157,Sheet1!A:D,4,FALSE)</f>
        <v>#N/A</v>
      </c>
    </row>
    <row r="158" spans="1:40" s="36" customFormat="1" ht="14.25" x14ac:dyDescent="0.2">
      <c r="A158" s="57"/>
      <c r="G158" s="58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AN158" s="36" t="e">
        <f>VLOOKUP(I158,Sheet1!A:D,4,FALSE)</f>
        <v>#N/A</v>
      </c>
    </row>
    <row r="159" spans="1:40" s="36" customFormat="1" ht="14.25" x14ac:dyDescent="0.2">
      <c r="A159" s="57"/>
      <c r="G159" s="58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AN159" s="36" t="e">
        <f>VLOOKUP(I159,Sheet1!A:D,4,FALSE)</f>
        <v>#N/A</v>
      </c>
    </row>
    <row r="160" spans="1:40" s="62" customFormat="1" ht="14.25" x14ac:dyDescent="0.2">
      <c r="A160" s="61"/>
      <c r="G160" s="63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AN160" s="62" t="e">
        <f>VLOOKUP(I160,Sheet1!A:D,4,FALSE)</f>
        <v>#N/A</v>
      </c>
    </row>
    <row r="161" spans="1:40" s="62" customFormat="1" ht="14.25" x14ac:dyDescent="0.2">
      <c r="A161" s="61"/>
      <c r="G161" s="63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AN161" s="62" t="e">
        <f>VLOOKUP(I161,Sheet1!A:D,4,FALSE)</f>
        <v>#N/A</v>
      </c>
    </row>
    <row r="162" spans="1:40" s="62" customFormat="1" ht="14.25" x14ac:dyDescent="0.2">
      <c r="A162" s="61"/>
      <c r="G162" s="63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AN162" s="62" t="e">
        <f>VLOOKUP(I162,Sheet1!A:D,4,FALSE)</f>
        <v>#N/A</v>
      </c>
    </row>
    <row r="163" spans="1:40" s="62" customFormat="1" ht="14.25" x14ac:dyDescent="0.2">
      <c r="A163" s="61"/>
      <c r="G163" s="63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AN163" s="62" t="e">
        <f>VLOOKUP(I163,Sheet1!A:D,4,FALSE)</f>
        <v>#N/A</v>
      </c>
    </row>
    <row r="164" spans="1:40" s="62" customFormat="1" ht="14.25" x14ac:dyDescent="0.2">
      <c r="A164" s="61"/>
      <c r="G164" s="63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AN164" s="62" t="e">
        <f>VLOOKUP(I164,Sheet1!A:D,4,FALSE)</f>
        <v>#N/A</v>
      </c>
    </row>
    <row r="165" spans="1:40" s="62" customFormat="1" ht="14.25" x14ac:dyDescent="0.2">
      <c r="A165" s="61"/>
      <c r="G165" s="63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AN165" s="62" t="e">
        <f>VLOOKUP(I165,Sheet1!A:D,4,FALSE)</f>
        <v>#N/A</v>
      </c>
    </row>
    <row r="166" spans="1:40" s="62" customFormat="1" ht="14.25" x14ac:dyDescent="0.2">
      <c r="A166" s="61"/>
      <c r="G166" s="63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AN166" s="62" t="e">
        <f>VLOOKUP(I166,Sheet1!A:D,4,FALSE)</f>
        <v>#N/A</v>
      </c>
    </row>
    <row r="167" spans="1:40" s="62" customFormat="1" ht="14.25" x14ac:dyDescent="0.2">
      <c r="A167" s="61"/>
      <c r="G167" s="63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AN167" s="62" t="e">
        <f>VLOOKUP(I167,Sheet1!A:D,4,FALSE)</f>
        <v>#N/A</v>
      </c>
    </row>
    <row r="168" spans="1:40" s="62" customFormat="1" ht="14.25" x14ac:dyDescent="0.2">
      <c r="A168" s="61"/>
      <c r="G168" s="63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AN168" s="62" t="e">
        <f>VLOOKUP(I168,Sheet1!A:D,4,FALSE)</f>
        <v>#N/A</v>
      </c>
    </row>
    <row r="169" spans="1:40" s="62" customFormat="1" ht="14.25" x14ac:dyDescent="0.2">
      <c r="A169" s="61"/>
      <c r="G169" s="63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AN169" s="62" t="e">
        <f>VLOOKUP(I169,Sheet1!A:D,4,FALSE)</f>
        <v>#N/A</v>
      </c>
    </row>
    <row r="170" spans="1:40" s="62" customFormat="1" ht="14.25" x14ac:dyDescent="0.2">
      <c r="A170" s="61"/>
      <c r="G170" s="63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AN170" s="62" t="e">
        <f>VLOOKUP(I170,Sheet1!A:D,4,FALSE)</f>
        <v>#N/A</v>
      </c>
    </row>
    <row r="171" spans="1:40" s="62" customFormat="1" ht="14.25" x14ac:dyDescent="0.2">
      <c r="A171" s="61"/>
      <c r="G171" s="63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AN171" s="62" t="e">
        <f>VLOOKUP(I171,Sheet1!A:D,4,FALSE)</f>
        <v>#N/A</v>
      </c>
    </row>
    <row r="172" spans="1:40" s="62" customFormat="1" ht="14.25" x14ac:dyDescent="0.2">
      <c r="A172" s="61"/>
      <c r="G172" s="63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AN172" s="62" t="e">
        <f>VLOOKUP(I172,Sheet1!A:D,4,FALSE)</f>
        <v>#N/A</v>
      </c>
    </row>
    <row r="173" spans="1:40" s="62" customFormat="1" ht="14.25" x14ac:dyDescent="0.2">
      <c r="A173" s="61"/>
      <c r="G173" s="63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AN173" s="62" t="e">
        <f>VLOOKUP(I173,Sheet1!A:D,4,FALSE)</f>
        <v>#N/A</v>
      </c>
    </row>
    <row r="174" spans="1:40" s="62" customFormat="1" ht="14.25" x14ac:dyDescent="0.2">
      <c r="A174" s="61"/>
      <c r="G174" s="63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AN174" s="62" t="e">
        <f>VLOOKUP(I174,Sheet1!A:D,4,FALSE)</f>
        <v>#N/A</v>
      </c>
    </row>
    <row r="175" spans="1:40" s="62" customFormat="1" ht="14.25" x14ac:dyDescent="0.2">
      <c r="A175" s="61"/>
      <c r="G175" s="63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AN175" s="62" t="e">
        <f>VLOOKUP(I175,Sheet1!A:D,4,FALSE)</f>
        <v>#N/A</v>
      </c>
    </row>
    <row r="176" spans="1:40" s="62" customFormat="1" ht="14.25" x14ac:dyDescent="0.2">
      <c r="A176" s="61"/>
      <c r="G176" s="63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</row>
    <row r="177" spans="1:24" s="62" customFormat="1" ht="14.25" x14ac:dyDescent="0.2">
      <c r="A177" s="61"/>
      <c r="G177" s="63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</row>
    <row r="178" spans="1:24" s="62" customFormat="1" ht="14.25" x14ac:dyDescent="0.2">
      <c r="A178" s="61"/>
      <c r="G178" s="63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</row>
    <row r="179" spans="1:24" s="62" customFormat="1" ht="14.25" x14ac:dyDescent="0.2">
      <c r="A179" s="61"/>
      <c r="G179" s="63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</row>
    <row r="180" spans="1:24" s="62" customFormat="1" ht="14.25" x14ac:dyDescent="0.2">
      <c r="A180" s="61"/>
      <c r="G180" s="63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</row>
    <row r="181" spans="1:24" s="62" customFormat="1" ht="14.25" x14ac:dyDescent="0.2">
      <c r="A181" s="61"/>
      <c r="G181" s="63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</row>
    <row r="182" spans="1:24" s="62" customFormat="1" ht="14.25" x14ac:dyDescent="0.2">
      <c r="A182" s="61"/>
      <c r="G182" s="63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</row>
    <row r="183" spans="1:24" s="62" customFormat="1" ht="14.25" x14ac:dyDescent="0.2">
      <c r="A183" s="61"/>
      <c r="G183" s="63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</row>
    <row r="184" spans="1:24" s="62" customFormat="1" ht="14.25" x14ac:dyDescent="0.2">
      <c r="A184" s="61"/>
      <c r="G184" s="63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</row>
    <row r="185" spans="1:24" s="62" customFormat="1" ht="14.25" x14ac:dyDescent="0.2">
      <c r="A185" s="61"/>
      <c r="G185" s="63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</row>
    <row r="186" spans="1:24" s="62" customFormat="1" ht="14.25" x14ac:dyDescent="0.2">
      <c r="A186" s="61"/>
      <c r="G186" s="63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</row>
    <row r="187" spans="1:24" s="62" customFormat="1" ht="14.25" x14ac:dyDescent="0.2">
      <c r="A187" s="61"/>
      <c r="G187" s="63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</row>
    <row r="188" spans="1:24" s="62" customFormat="1" ht="14.25" x14ac:dyDescent="0.2">
      <c r="A188" s="61"/>
      <c r="G188" s="63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</row>
    <row r="189" spans="1:24" s="62" customFormat="1" ht="14.25" x14ac:dyDescent="0.2">
      <c r="A189" s="61"/>
      <c r="G189" s="63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</row>
    <row r="190" spans="1:24" s="62" customFormat="1" ht="14.25" x14ac:dyDescent="0.2">
      <c r="A190" s="61"/>
      <c r="G190" s="63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</row>
    <row r="191" spans="1:24" s="62" customFormat="1" ht="14.25" x14ac:dyDescent="0.2">
      <c r="A191" s="61"/>
      <c r="G191" s="63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</row>
    <row r="192" spans="1:24" s="62" customFormat="1" ht="14.25" x14ac:dyDescent="0.2">
      <c r="A192" s="61"/>
      <c r="G192" s="63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</row>
    <row r="193" spans="1:24" s="62" customFormat="1" ht="14.25" x14ac:dyDescent="0.2">
      <c r="A193" s="61"/>
      <c r="G193" s="63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</row>
    <row r="194" spans="1:24" s="62" customFormat="1" ht="14.25" x14ac:dyDescent="0.2">
      <c r="A194" s="61"/>
      <c r="G194" s="63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</row>
    <row r="195" spans="1:24" s="62" customFormat="1" ht="14.25" x14ac:dyDescent="0.2">
      <c r="A195" s="61"/>
      <c r="G195" s="63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</row>
    <row r="196" spans="1:24" s="62" customFormat="1" ht="14.25" x14ac:dyDescent="0.2">
      <c r="A196" s="61"/>
      <c r="G196" s="63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</row>
    <row r="197" spans="1:24" s="62" customFormat="1" ht="14.25" x14ac:dyDescent="0.2">
      <c r="A197" s="61"/>
      <c r="G197" s="63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</row>
    <row r="198" spans="1:24" s="62" customFormat="1" ht="14.25" x14ac:dyDescent="0.2">
      <c r="A198" s="61"/>
      <c r="G198" s="63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</row>
    <row r="199" spans="1:24" s="62" customFormat="1" ht="14.25" x14ac:dyDescent="0.2">
      <c r="A199" s="61"/>
      <c r="G199" s="63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</row>
    <row r="200" spans="1:24" s="62" customFormat="1" ht="14.25" x14ac:dyDescent="0.2">
      <c r="A200" s="61"/>
      <c r="G200" s="63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</row>
    <row r="201" spans="1:24" s="62" customFormat="1" ht="14.25" x14ac:dyDescent="0.2">
      <c r="A201" s="61"/>
      <c r="G201" s="63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</row>
    <row r="202" spans="1:24" s="62" customFormat="1" ht="14.25" x14ac:dyDescent="0.2">
      <c r="A202" s="61"/>
      <c r="G202" s="63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</row>
    <row r="203" spans="1:24" s="62" customFormat="1" ht="14.25" x14ac:dyDescent="0.2">
      <c r="A203" s="61"/>
      <c r="G203" s="63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</row>
    <row r="204" spans="1:24" s="62" customFormat="1" ht="14.25" x14ac:dyDescent="0.2">
      <c r="A204" s="61"/>
      <c r="G204" s="63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</row>
    <row r="205" spans="1:24" s="62" customFormat="1" ht="14.25" x14ac:dyDescent="0.2">
      <c r="A205" s="61"/>
      <c r="G205" s="63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</row>
    <row r="206" spans="1:24" s="62" customFormat="1" ht="14.25" x14ac:dyDescent="0.2">
      <c r="A206" s="61"/>
      <c r="G206" s="63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</row>
    <row r="207" spans="1:24" s="62" customFormat="1" ht="14.25" x14ac:dyDescent="0.2">
      <c r="A207" s="61"/>
      <c r="G207" s="63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</row>
    <row r="208" spans="1:24" s="62" customFormat="1" ht="14.25" x14ac:dyDescent="0.2">
      <c r="A208" s="61"/>
      <c r="G208" s="63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</row>
    <row r="209" spans="1:24" s="62" customFormat="1" ht="14.25" x14ac:dyDescent="0.2">
      <c r="A209" s="61"/>
      <c r="G209" s="63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</row>
    <row r="210" spans="1:24" s="62" customFormat="1" ht="14.25" x14ac:dyDescent="0.2">
      <c r="A210" s="61"/>
      <c r="G210" s="63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</row>
    <row r="211" spans="1:24" s="62" customFormat="1" ht="14.25" x14ac:dyDescent="0.2">
      <c r="A211" s="61"/>
      <c r="G211" s="63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</row>
    <row r="212" spans="1:24" s="62" customFormat="1" ht="14.25" x14ac:dyDescent="0.2">
      <c r="A212" s="61"/>
      <c r="G212" s="63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</row>
    <row r="213" spans="1:24" s="62" customFormat="1" ht="14.25" x14ac:dyDescent="0.2">
      <c r="A213" s="61"/>
      <c r="G213" s="63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</row>
    <row r="214" spans="1:24" s="62" customFormat="1" ht="14.25" x14ac:dyDescent="0.2">
      <c r="A214" s="61"/>
      <c r="G214" s="63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</row>
    <row r="215" spans="1:24" s="62" customFormat="1" ht="14.25" x14ac:dyDescent="0.2">
      <c r="A215" s="61"/>
      <c r="G215" s="63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</row>
    <row r="216" spans="1:24" s="62" customFormat="1" ht="14.25" x14ac:dyDescent="0.2">
      <c r="A216" s="61"/>
      <c r="G216" s="63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</row>
    <row r="217" spans="1:24" s="62" customFormat="1" ht="14.25" x14ac:dyDescent="0.2">
      <c r="A217" s="61"/>
      <c r="G217" s="63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</row>
    <row r="218" spans="1:24" s="62" customFormat="1" ht="14.25" x14ac:dyDescent="0.2">
      <c r="A218" s="61"/>
      <c r="G218" s="63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</row>
    <row r="219" spans="1:24" s="62" customFormat="1" ht="14.25" x14ac:dyDescent="0.2">
      <c r="A219" s="61"/>
      <c r="G219" s="63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</row>
    <row r="220" spans="1:24" s="62" customFormat="1" ht="14.25" x14ac:dyDescent="0.2">
      <c r="A220" s="61"/>
      <c r="G220" s="63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</row>
    <row r="221" spans="1:24" s="62" customFormat="1" ht="14.25" x14ac:dyDescent="0.2">
      <c r="A221" s="61"/>
      <c r="G221" s="63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</row>
    <row r="222" spans="1:24" s="62" customFormat="1" ht="14.25" x14ac:dyDescent="0.2">
      <c r="A222" s="61"/>
      <c r="G222" s="63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</row>
    <row r="223" spans="1:24" s="62" customFormat="1" ht="14.25" x14ac:dyDescent="0.2">
      <c r="A223" s="61"/>
      <c r="G223" s="63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</row>
    <row r="224" spans="1:24" s="62" customFormat="1" ht="14.25" x14ac:dyDescent="0.2">
      <c r="A224" s="61"/>
      <c r="G224" s="63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</row>
    <row r="225" spans="1:24" s="62" customFormat="1" ht="14.25" x14ac:dyDescent="0.2">
      <c r="A225" s="61"/>
      <c r="G225" s="63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</row>
    <row r="226" spans="1:24" s="62" customFormat="1" ht="14.25" x14ac:dyDescent="0.2">
      <c r="A226" s="61"/>
      <c r="G226" s="63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</row>
    <row r="227" spans="1:24" s="62" customFormat="1" ht="14.25" x14ac:dyDescent="0.2">
      <c r="A227" s="61"/>
      <c r="G227" s="63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</row>
    <row r="228" spans="1:24" s="62" customFormat="1" ht="14.25" x14ac:dyDescent="0.2">
      <c r="A228" s="61"/>
      <c r="G228" s="63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</row>
    <row r="229" spans="1:24" s="62" customFormat="1" ht="14.25" x14ac:dyDescent="0.2">
      <c r="A229" s="61"/>
      <c r="G229" s="63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</row>
    <row r="230" spans="1:24" s="62" customFormat="1" ht="14.25" x14ac:dyDescent="0.2">
      <c r="A230" s="61"/>
      <c r="G230" s="63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</row>
    <row r="231" spans="1:24" s="62" customFormat="1" ht="14.25" x14ac:dyDescent="0.2">
      <c r="A231" s="61"/>
      <c r="G231" s="63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</row>
    <row r="232" spans="1:24" s="62" customFormat="1" ht="14.25" x14ac:dyDescent="0.2">
      <c r="A232" s="61"/>
      <c r="G232" s="63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</row>
    <row r="233" spans="1:24" s="62" customFormat="1" ht="14.25" x14ac:dyDescent="0.2">
      <c r="A233" s="61"/>
      <c r="G233" s="63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</row>
    <row r="234" spans="1:24" s="62" customFormat="1" ht="14.25" x14ac:dyDescent="0.2">
      <c r="A234" s="61"/>
      <c r="G234" s="63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</row>
    <row r="235" spans="1:24" s="62" customFormat="1" ht="14.25" x14ac:dyDescent="0.2">
      <c r="A235" s="61"/>
      <c r="G235" s="63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</row>
  </sheetData>
  <autoFilter ref="A6:AO175" xr:uid="{6A962F64-066D-415C-8692-78BA46CE0E99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AF67-7CFC-494D-AEF3-0BA4565EA293}">
  <dimension ref="A1:AU273"/>
  <sheetViews>
    <sheetView topLeftCell="O1" workbookViewId="0">
      <selection activeCell="AN226" sqref="AN7:AN226"/>
    </sheetView>
  </sheetViews>
  <sheetFormatPr defaultRowHeight="15" x14ac:dyDescent="0.25"/>
  <cols>
    <col min="1" max="1" width="16.7109375" style="23" bestFit="1" customWidth="1"/>
    <col min="4" max="4" width="17.7109375" style="55" bestFit="1" customWidth="1"/>
    <col min="5" max="5" width="10.140625" bestFit="1" customWidth="1"/>
    <col min="7" max="7" width="11.85546875" style="30" bestFit="1" customWidth="1"/>
    <col min="11" max="11" width="9.42578125" style="25" bestFit="1" customWidth="1"/>
    <col min="12" max="12" width="9.140625" style="25"/>
    <col min="13" max="13" width="9.42578125" style="25" bestFit="1" customWidth="1"/>
    <col min="14" max="14" width="11.85546875" style="25" bestFit="1" customWidth="1"/>
    <col min="15" max="16" width="13.140625" style="25" bestFit="1" customWidth="1"/>
    <col min="17" max="18" width="9.28515625" bestFit="1" customWidth="1"/>
    <col min="20" max="22" width="13.140625" style="25" bestFit="1" customWidth="1"/>
    <col min="23" max="23" width="9.42578125" style="25" bestFit="1" customWidth="1"/>
    <col min="24" max="24" width="13.140625" style="25" bestFit="1" customWidth="1"/>
    <col min="27" max="27" width="9.28515625" bestFit="1" customWidth="1"/>
    <col min="31" max="31" width="9.28515625" bestFit="1" customWidth="1"/>
    <col min="45" max="45" width="139.42578125" hidden="1" customWidth="1"/>
  </cols>
  <sheetData>
    <row r="1" spans="1:47" s="74" customFormat="1" x14ac:dyDescent="0.25">
      <c r="A1" s="89"/>
      <c r="D1" s="75"/>
      <c r="G1" s="90"/>
      <c r="K1" s="79"/>
      <c r="L1" s="79"/>
      <c r="M1" s="79"/>
      <c r="N1" s="79"/>
      <c r="O1" s="79"/>
      <c r="P1" s="79"/>
      <c r="T1" s="79"/>
      <c r="U1" s="79"/>
      <c r="V1" s="79"/>
      <c r="W1" s="79"/>
      <c r="X1" s="79"/>
    </row>
    <row r="2" spans="1:47" s="74" customFormat="1" x14ac:dyDescent="0.25">
      <c r="A2" s="89"/>
      <c r="D2" s="75"/>
      <c r="G2" s="90"/>
      <c r="K2" s="79"/>
      <c r="L2" s="79"/>
      <c r="M2" s="79"/>
      <c r="N2" s="79"/>
      <c r="O2" s="79"/>
      <c r="P2" s="79"/>
      <c r="T2" s="79"/>
      <c r="U2" s="79"/>
      <c r="V2" s="79"/>
      <c r="W2" s="79"/>
      <c r="X2" s="79"/>
    </row>
    <row r="3" spans="1:47" s="74" customFormat="1" x14ac:dyDescent="0.25">
      <c r="A3" s="89"/>
      <c r="D3" s="75"/>
      <c r="G3" s="90"/>
      <c r="K3" s="79"/>
      <c r="L3" s="79"/>
      <c r="M3" s="79"/>
      <c r="N3" s="79"/>
      <c r="O3" s="79"/>
      <c r="P3" s="79"/>
      <c r="T3" s="79"/>
      <c r="U3" s="79"/>
      <c r="V3" s="79"/>
      <c r="W3" s="79"/>
      <c r="X3" s="79"/>
    </row>
    <row r="4" spans="1:47" s="74" customFormat="1" x14ac:dyDescent="0.25">
      <c r="A4" s="89"/>
      <c r="D4" s="75"/>
      <c r="G4" s="90"/>
      <c r="K4" s="79"/>
      <c r="L4" s="79"/>
      <c r="M4" s="79"/>
      <c r="N4" s="79"/>
      <c r="O4" s="79"/>
      <c r="P4" s="79"/>
      <c r="T4" s="79"/>
      <c r="U4" s="79"/>
      <c r="V4" s="79"/>
      <c r="W4" s="79"/>
      <c r="X4" s="79"/>
    </row>
    <row r="5" spans="1:47" s="74" customFormat="1" x14ac:dyDescent="0.25">
      <c r="A5" s="89" t="s">
        <v>230</v>
      </c>
      <c r="D5" s="75"/>
      <c r="G5" s="90"/>
      <c r="K5" s="79"/>
      <c r="L5" s="79"/>
      <c r="M5" s="79"/>
      <c r="N5" s="79"/>
      <c r="O5" s="79"/>
      <c r="P5" s="79"/>
      <c r="T5" s="79"/>
      <c r="U5" s="79"/>
      <c r="V5" s="79"/>
      <c r="W5" s="79"/>
      <c r="X5" s="79"/>
    </row>
    <row r="6" spans="1:47" s="106" customFormat="1" ht="15" customHeight="1" thickBot="1" x14ac:dyDescent="0.3">
      <c r="A6" s="102" t="s">
        <v>0</v>
      </c>
      <c r="B6" s="103" t="s">
        <v>1</v>
      </c>
      <c r="C6" s="103" t="s">
        <v>2</v>
      </c>
      <c r="D6" s="120" t="s">
        <v>4</v>
      </c>
      <c r="E6" s="103" t="s">
        <v>3</v>
      </c>
      <c r="F6" s="103" t="s">
        <v>5</v>
      </c>
      <c r="G6" s="104" t="s">
        <v>6</v>
      </c>
      <c r="H6" s="103" t="s">
        <v>7</v>
      </c>
      <c r="I6" s="103" t="s">
        <v>8</v>
      </c>
      <c r="J6" s="103" t="s">
        <v>9</v>
      </c>
      <c r="K6" s="105" t="s">
        <v>10</v>
      </c>
      <c r="L6" s="105" t="s">
        <v>11</v>
      </c>
      <c r="M6" s="105" t="s">
        <v>12</v>
      </c>
      <c r="N6" s="105" t="s">
        <v>13</v>
      </c>
      <c r="O6" s="105" t="s">
        <v>14</v>
      </c>
      <c r="P6" s="105" t="s">
        <v>15</v>
      </c>
      <c r="Q6" s="121" t="s">
        <v>16</v>
      </c>
      <c r="R6" s="121" t="s">
        <v>17</v>
      </c>
      <c r="S6" s="103" t="s">
        <v>18</v>
      </c>
      <c r="T6" s="105" t="s">
        <v>19</v>
      </c>
      <c r="U6" s="105" t="s">
        <v>20</v>
      </c>
      <c r="V6" s="105" t="s">
        <v>21</v>
      </c>
      <c r="W6" s="105" t="s">
        <v>22</v>
      </c>
      <c r="X6" s="105" t="s">
        <v>23</v>
      </c>
      <c r="Y6" s="103" t="s">
        <v>24</v>
      </c>
      <c r="Z6" s="103" t="s">
        <v>25</v>
      </c>
      <c r="AA6" s="103" t="s">
        <v>26</v>
      </c>
      <c r="AB6" s="103" t="s">
        <v>27</v>
      </c>
      <c r="AC6" s="103" t="s">
        <v>28</v>
      </c>
      <c r="AD6" s="103" t="s">
        <v>29</v>
      </c>
      <c r="AE6" s="103" t="s">
        <v>30</v>
      </c>
      <c r="AF6" s="103" t="s">
        <v>31</v>
      </c>
      <c r="AG6" s="103" t="s">
        <v>32</v>
      </c>
      <c r="AH6" s="103" t="s">
        <v>33</v>
      </c>
      <c r="AI6" s="103" t="s">
        <v>34</v>
      </c>
      <c r="AJ6" s="103" t="s">
        <v>35</v>
      </c>
      <c r="AK6" s="103" t="s">
        <v>36</v>
      </c>
      <c r="AL6" s="103" t="s">
        <v>37</v>
      </c>
      <c r="AM6" s="103" t="s">
        <v>38</v>
      </c>
      <c r="AN6" s="1" t="s">
        <v>276</v>
      </c>
      <c r="AO6" s="122"/>
      <c r="AP6" s="103"/>
      <c r="AQ6" s="103"/>
      <c r="AR6" s="103"/>
      <c r="AS6" s="123" t="s">
        <v>39</v>
      </c>
      <c r="AT6" s="124"/>
      <c r="AU6" s="125"/>
    </row>
    <row r="7" spans="1:47" s="174" customFormat="1" ht="15" customHeight="1" x14ac:dyDescent="0.2">
      <c r="A7" s="175">
        <v>45658</v>
      </c>
      <c r="B7" s="174" t="s">
        <v>40</v>
      </c>
      <c r="C7" s="174" t="s">
        <v>41</v>
      </c>
      <c r="D7" s="176">
        <v>25707899</v>
      </c>
      <c r="E7" s="176">
        <v>24106425</v>
      </c>
      <c r="F7" s="174" t="s">
        <v>90</v>
      </c>
      <c r="G7" s="177">
        <v>45663</v>
      </c>
      <c r="H7" s="174" t="s">
        <v>60</v>
      </c>
      <c r="I7" s="174" t="s">
        <v>61</v>
      </c>
      <c r="J7" s="174" t="s">
        <v>91</v>
      </c>
      <c r="K7" s="178">
        <v>40</v>
      </c>
      <c r="L7" s="178" t="s">
        <v>42</v>
      </c>
      <c r="M7" s="178">
        <v>40</v>
      </c>
      <c r="N7" s="178">
        <v>1536837</v>
      </c>
      <c r="O7" s="178">
        <v>61473480</v>
      </c>
      <c r="P7" s="178">
        <v>61473480</v>
      </c>
      <c r="Q7" s="174">
        <v>0</v>
      </c>
      <c r="R7" s="174">
        <v>0</v>
      </c>
      <c r="S7" s="174" t="s">
        <v>43</v>
      </c>
      <c r="T7" s="178">
        <v>38152199.200000003</v>
      </c>
      <c r="U7" s="178">
        <v>38152199.200000003</v>
      </c>
      <c r="V7" s="178">
        <v>23321280.800000001</v>
      </c>
      <c r="W7" s="178">
        <v>0.37937141023999998</v>
      </c>
      <c r="X7" s="178">
        <v>23321280.800000001</v>
      </c>
      <c r="Y7" s="174" t="s">
        <v>69</v>
      </c>
      <c r="Z7" s="174" t="s">
        <v>46</v>
      </c>
      <c r="AA7" s="174">
        <v>2303369</v>
      </c>
      <c r="AB7" s="174" t="s">
        <v>60</v>
      </c>
      <c r="AC7" s="174" t="s">
        <v>58</v>
      </c>
      <c r="AD7" s="174" t="s">
        <v>84</v>
      </c>
      <c r="AE7" s="174">
        <v>0</v>
      </c>
      <c r="AF7" s="174" t="s">
        <v>72</v>
      </c>
      <c r="AG7" s="174" t="s">
        <v>81</v>
      </c>
      <c r="AH7" s="174" t="s">
        <v>57</v>
      </c>
      <c r="AI7" s="174" t="s">
        <v>69</v>
      </c>
      <c r="AJ7" s="174" t="s">
        <v>46</v>
      </c>
      <c r="AK7" s="174" t="s">
        <v>54</v>
      </c>
      <c r="AL7" s="174" t="s">
        <v>48</v>
      </c>
      <c r="AM7" s="174" t="s">
        <v>49</v>
      </c>
      <c r="AN7" s="174" t="str">
        <f>VLOOKUP(I7,Sheet1!A:D,4,FALSE)</f>
        <v>A320400</v>
      </c>
      <c r="AS7" s="164" t="s">
        <v>96</v>
      </c>
    </row>
    <row r="8" spans="1:47" s="36" customFormat="1" ht="14.25" x14ac:dyDescent="0.2">
      <c r="A8" s="57"/>
      <c r="D8" s="37"/>
      <c r="G8" s="58"/>
      <c r="K8" s="42"/>
      <c r="L8" s="42"/>
      <c r="M8" s="42"/>
      <c r="N8" s="42"/>
      <c r="O8" s="42"/>
      <c r="P8" s="42"/>
      <c r="T8" s="42"/>
      <c r="U8" s="42"/>
      <c r="V8" s="42"/>
      <c r="W8" s="42"/>
      <c r="X8" s="42"/>
      <c r="AN8" s="36" t="e">
        <f>VLOOKUP(I8,Sheet1!A:D,4,FALSE)</f>
        <v>#N/A</v>
      </c>
    </row>
    <row r="9" spans="1:47" s="36" customFormat="1" ht="14.25" x14ac:dyDescent="0.2">
      <c r="A9" s="57"/>
      <c r="D9" s="37"/>
      <c r="G9" s="58"/>
      <c r="K9" s="42"/>
      <c r="L9" s="42"/>
      <c r="M9" s="42"/>
      <c r="N9" s="42"/>
      <c r="O9" s="42"/>
      <c r="P9" s="42"/>
      <c r="T9" s="42"/>
      <c r="U9" s="42"/>
      <c r="V9" s="42"/>
      <c r="W9" s="42"/>
      <c r="X9" s="42"/>
      <c r="AN9" s="36" t="e">
        <f>VLOOKUP(I9,Sheet1!A:D,4,FALSE)</f>
        <v>#N/A</v>
      </c>
    </row>
    <row r="10" spans="1:47" s="36" customFormat="1" ht="14.25" x14ac:dyDescent="0.2">
      <c r="A10" s="57"/>
      <c r="D10" s="37"/>
      <c r="E10" s="56"/>
      <c r="G10" s="58"/>
      <c r="K10" s="42"/>
      <c r="L10" s="42"/>
      <c r="M10" s="42"/>
      <c r="N10" s="42"/>
      <c r="O10" s="42"/>
      <c r="P10" s="42"/>
      <c r="T10" s="42"/>
      <c r="U10" s="42"/>
      <c r="V10" s="42"/>
      <c r="W10" s="42"/>
      <c r="X10" s="42"/>
      <c r="AN10" s="36" t="e">
        <f>VLOOKUP(I10,Sheet1!A:D,4,FALSE)</f>
        <v>#N/A</v>
      </c>
    </row>
    <row r="11" spans="1:47" s="36" customFormat="1" ht="14.25" x14ac:dyDescent="0.2">
      <c r="A11" s="57"/>
      <c r="D11" s="37"/>
      <c r="G11" s="58"/>
      <c r="K11" s="42"/>
      <c r="L11" s="42"/>
      <c r="M11" s="42"/>
      <c r="N11" s="42"/>
      <c r="O11" s="42"/>
      <c r="P11" s="42"/>
      <c r="T11" s="42"/>
      <c r="U11" s="42"/>
      <c r="V11" s="42"/>
      <c r="W11" s="42"/>
      <c r="X11" s="42"/>
      <c r="AN11" s="36" t="e">
        <f>VLOOKUP(I11,Sheet1!A:D,4,FALSE)</f>
        <v>#N/A</v>
      </c>
    </row>
    <row r="12" spans="1:47" s="36" customFormat="1" ht="14.25" x14ac:dyDescent="0.2">
      <c r="A12" s="57"/>
      <c r="D12" s="37"/>
      <c r="G12" s="58"/>
      <c r="K12" s="42"/>
      <c r="L12" s="42"/>
      <c r="M12" s="42"/>
      <c r="N12" s="42"/>
      <c r="O12" s="42"/>
      <c r="P12" s="42"/>
      <c r="T12" s="42"/>
      <c r="U12" s="42"/>
      <c r="V12" s="42"/>
      <c r="W12" s="42"/>
      <c r="X12" s="42"/>
      <c r="AN12" s="36" t="e">
        <f>VLOOKUP(I12,Sheet1!A:D,4,FALSE)</f>
        <v>#N/A</v>
      </c>
    </row>
    <row r="13" spans="1:47" s="36" customFormat="1" ht="14.25" x14ac:dyDescent="0.2">
      <c r="A13" s="57"/>
      <c r="D13" s="37"/>
      <c r="G13" s="58"/>
      <c r="K13" s="42"/>
      <c r="L13" s="42"/>
      <c r="M13" s="42"/>
      <c r="N13" s="42"/>
      <c r="O13" s="42"/>
      <c r="P13" s="42"/>
      <c r="T13" s="42"/>
      <c r="U13" s="42"/>
      <c r="V13" s="42"/>
      <c r="W13" s="42"/>
      <c r="X13" s="42"/>
      <c r="AN13" s="36" t="e">
        <f>VLOOKUP(I13,Sheet1!A:D,4,FALSE)</f>
        <v>#N/A</v>
      </c>
    </row>
    <row r="14" spans="1:47" s="36" customFormat="1" ht="14.25" x14ac:dyDescent="0.2">
      <c r="A14" s="57"/>
      <c r="D14" s="37"/>
      <c r="G14" s="58"/>
      <c r="K14" s="42"/>
      <c r="L14" s="42"/>
      <c r="M14" s="42"/>
      <c r="N14" s="42"/>
      <c r="O14" s="42"/>
      <c r="P14" s="42"/>
      <c r="T14" s="42"/>
      <c r="U14" s="42"/>
      <c r="V14" s="42"/>
      <c r="W14" s="42"/>
      <c r="X14" s="42"/>
      <c r="AN14" s="36" t="e">
        <f>VLOOKUP(I14,Sheet1!A:D,4,FALSE)</f>
        <v>#N/A</v>
      </c>
    </row>
    <row r="15" spans="1:47" s="36" customFormat="1" ht="14.25" x14ac:dyDescent="0.2">
      <c r="A15" s="57"/>
      <c r="D15" s="37"/>
      <c r="G15" s="58"/>
      <c r="K15" s="42"/>
      <c r="L15" s="42"/>
      <c r="M15" s="42"/>
      <c r="N15" s="42"/>
      <c r="O15" s="42"/>
      <c r="P15" s="42"/>
      <c r="T15" s="42"/>
      <c r="U15" s="42"/>
      <c r="V15" s="42"/>
      <c r="W15" s="42"/>
      <c r="X15" s="42"/>
      <c r="AN15" s="36" t="e">
        <f>VLOOKUP(I15,Sheet1!A:D,4,FALSE)</f>
        <v>#N/A</v>
      </c>
    </row>
    <row r="16" spans="1:47" s="36" customFormat="1" ht="14.25" x14ac:dyDescent="0.2">
      <c r="A16" s="57"/>
      <c r="D16" s="37"/>
      <c r="G16" s="58"/>
      <c r="K16" s="42"/>
      <c r="L16" s="42"/>
      <c r="M16" s="42"/>
      <c r="N16" s="42"/>
      <c r="O16" s="42"/>
      <c r="P16" s="42"/>
      <c r="T16" s="42"/>
      <c r="U16" s="42"/>
      <c r="V16" s="42"/>
      <c r="W16" s="42"/>
      <c r="X16" s="42"/>
      <c r="AN16" s="36" t="e">
        <f>VLOOKUP(I16,Sheet1!A:D,4,FALSE)</f>
        <v>#N/A</v>
      </c>
    </row>
    <row r="17" spans="1:40" s="36" customFormat="1" ht="14.25" x14ac:dyDescent="0.2">
      <c r="A17" s="57"/>
      <c r="D17" s="37"/>
      <c r="G17" s="58"/>
      <c r="K17" s="42"/>
      <c r="L17" s="42"/>
      <c r="M17" s="42"/>
      <c r="N17" s="42"/>
      <c r="O17" s="42"/>
      <c r="P17" s="42"/>
      <c r="T17" s="42"/>
      <c r="U17" s="42"/>
      <c r="V17" s="42"/>
      <c r="W17" s="42"/>
      <c r="X17" s="42"/>
      <c r="AN17" s="36" t="e">
        <f>VLOOKUP(I17,Sheet1!A:D,4,FALSE)</f>
        <v>#N/A</v>
      </c>
    </row>
    <row r="18" spans="1:40" s="36" customFormat="1" ht="14.25" x14ac:dyDescent="0.2">
      <c r="A18" s="57"/>
      <c r="D18" s="37"/>
      <c r="G18" s="58"/>
      <c r="K18" s="42"/>
      <c r="L18" s="42"/>
      <c r="M18" s="42"/>
      <c r="N18" s="42"/>
      <c r="O18" s="42"/>
      <c r="P18" s="42"/>
      <c r="T18" s="42"/>
      <c r="U18" s="42"/>
      <c r="V18" s="42"/>
      <c r="W18" s="42"/>
      <c r="X18" s="42"/>
      <c r="AN18" s="36" t="e">
        <f>VLOOKUP(I18,Sheet1!A:D,4,FALSE)</f>
        <v>#N/A</v>
      </c>
    </row>
    <row r="19" spans="1:40" s="36" customFormat="1" ht="14.25" x14ac:dyDescent="0.2">
      <c r="A19" s="57"/>
      <c r="D19" s="37"/>
      <c r="G19" s="58"/>
      <c r="K19" s="42"/>
      <c r="L19" s="42"/>
      <c r="M19" s="42"/>
      <c r="N19" s="42"/>
      <c r="O19" s="42"/>
      <c r="P19" s="42"/>
      <c r="T19" s="42"/>
      <c r="U19" s="42"/>
      <c r="V19" s="42"/>
      <c r="W19" s="42"/>
      <c r="X19" s="42"/>
      <c r="AN19" s="36" t="e">
        <f>VLOOKUP(I19,Sheet1!A:D,4,FALSE)</f>
        <v>#N/A</v>
      </c>
    </row>
    <row r="20" spans="1:40" s="36" customFormat="1" ht="14.25" x14ac:dyDescent="0.2">
      <c r="A20" s="57"/>
      <c r="D20" s="37"/>
      <c r="G20" s="58"/>
      <c r="K20" s="42"/>
      <c r="L20" s="42"/>
      <c r="M20" s="42"/>
      <c r="N20" s="42"/>
      <c r="O20" s="42"/>
      <c r="P20" s="42"/>
      <c r="T20" s="42"/>
      <c r="U20" s="42"/>
      <c r="V20" s="42"/>
      <c r="W20" s="42"/>
      <c r="X20" s="42"/>
      <c r="AN20" s="36" t="e">
        <f>VLOOKUP(I20,Sheet1!A:D,4,FALSE)</f>
        <v>#N/A</v>
      </c>
    </row>
    <row r="21" spans="1:40" s="36" customFormat="1" ht="14.25" x14ac:dyDescent="0.2">
      <c r="A21" s="57"/>
      <c r="D21" s="37"/>
      <c r="G21" s="58"/>
      <c r="K21" s="42"/>
      <c r="L21" s="42"/>
      <c r="M21" s="42"/>
      <c r="N21" s="42"/>
      <c r="O21" s="42"/>
      <c r="P21" s="42"/>
      <c r="T21" s="42"/>
      <c r="U21" s="42"/>
      <c r="V21" s="42"/>
      <c r="W21" s="42"/>
      <c r="X21" s="42"/>
      <c r="AN21" s="36" t="e">
        <f>VLOOKUP(I21,Sheet1!A:D,4,FALSE)</f>
        <v>#N/A</v>
      </c>
    </row>
    <row r="22" spans="1:40" s="36" customFormat="1" ht="14.25" x14ac:dyDescent="0.2">
      <c r="A22" s="57"/>
      <c r="D22" s="37"/>
      <c r="G22" s="58"/>
      <c r="K22" s="42"/>
      <c r="L22" s="42"/>
      <c r="M22" s="42"/>
      <c r="N22" s="42"/>
      <c r="O22" s="42"/>
      <c r="P22" s="42"/>
      <c r="T22" s="42"/>
      <c r="U22" s="42"/>
      <c r="V22" s="42"/>
      <c r="W22" s="42"/>
      <c r="X22" s="42"/>
      <c r="AN22" s="36" t="e">
        <f>VLOOKUP(I22,Sheet1!A:D,4,FALSE)</f>
        <v>#N/A</v>
      </c>
    </row>
    <row r="23" spans="1:40" s="36" customFormat="1" ht="14.25" x14ac:dyDescent="0.2">
      <c r="A23" s="57"/>
      <c r="D23" s="37"/>
      <c r="G23" s="58"/>
      <c r="K23" s="42"/>
      <c r="L23" s="42"/>
      <c r="M23" s="42"/>
      <c r="N23" s="42"/>
      <c r="O23" s="42"/>
      <c r="P23" s="42"/>
      <c r="T23" s="42"/>
      <c r="U23" s="42"/>
      <c r="V23" s="42"/>
      <c r="W23" s="42"/>
      <c r="X23" s="42"/>
      <c r="AN23" s="36" t="e">
        <f>VLOOKUP(I23,Sheet1!A:D,4,FALSE)</f>
        <v>#N/A</v>
      </c>
    </row>
    <row r="24" spans="1:40" s="36" customFormat="1" ht="14.25" x14ac:dyDescent="0.2">
      <c r="A24" s="57"/>
      <c r="D24" s="37"/>
      <c r="G24" s="58"/>
      <c r="K24" s="42"/>
      <c r="L24" s="42"/>
      <c r="M24" s="42"/>
      <c r="N24" s="42"/>
      <c r="O24" s="42"/>
      <c r="P24" s="42"/>
      <c r="T24" s="42"/>
      <c r="U24" s="42"/>
      <c r="V24" s="42"/>
      <c r="W24" s="42"/>
      <c r="X24" s="42"/>
      <c r="AN24" s="36" t="e">
        <f>VLOOKUP(I24,Sheet1!A:D,4,FALSE)</f>
        <v>#N/A</v>
      </c>
    </row>
    <row r="25" spans="1:40" s="36" customFormat="1" ht="14.25" x14ac:dyDescent="0.2">
      <c r="A25" s="57"/>
      <c r="D25" s="37"/>
      <c r="G25" s="58"/>
      <c r="K25" s="42"/>
      <c r="L25" s="42"/>
      <c r="M25" s="42"/>
      <c r="N25" s="42"/>
      <c r="O25" s="42"/>
      <c r="P25" s="42"/>
      <c r="T25" s="42"/>
      <c r="U25" s="42"/>
      <c r="V25" s="42"/>
      <c r="W25" s="42"/>
      <c r="X25" s="42"/>
      <c r="AN25" s="36" t="e">
        <f>VLOOKUP(I25,Sheet1!A:D,4,FALSE)</f>
        <v>#N/A</v>
      </c>
    </row>
    <row r="26" spans="1:40" s="36" customFormat="1" ht="14.25" x14ac:dyDescent="0.2">
      <c r="A26" s="57"/>
      <c r="D26" s="37"/>
      <c r="G26" s="58"/>
      <c r="K26" s="42"/>
      <c r="L26" s="42"/>
      <c r="M26" s="42"/>
      <c r="N26" s="42"/>
      <c r="O26" s="42"/>
      <c r="P26" s="42"/>
      <c r="T26" s="42"/>
      <c r="U26" s="42"/>
      <c r="V26" s="42"/>
      <c r="W26" s="42"/>
      <c r="X26" s="42"/>
      <c r="AN26" s="36" t="e">
        <f>VLOOKUP(I26,Sheet1!A:D,4,FALSE)</f>
        <v>#N/A</v>
      </c>
    </row>
    <row r="27" spans="1:40" s="36" customFormat="1" ht="14.25" x14ac:dyDescent="0.2">
      <c r="A27" s="57"/>
      <c r="D27" s="37"/>
      <c r="G27" s="58"/>
      <c r="K27" s="42"/>
      <c r="L27" s="42"/>
      <c r="M27" s="42"/>
      <c r="N27" s="42"/>
      <c r="O27" s="42"/>
      <c r="P27" s="42"/>
      <c r="T27" s="42"/>
      <c r="U27" s="42"/>
      <c r="V27" s="42"/>
      <c r="W27" s="42"/>
      <c r="X27" s="42"/>
      <c r="AN27" s="36" t="e">
        <f>VLOOKUP(I27,Sheet1!A:D,4,FALSE)</f>
        <v>#N/A</v>
      </c>
    </row>
    <row r="28" spans="1:40" s="36" customFormat="1" ht="14.25" x14ac:dyDescent="0.2">
      <c r="A28" s="57"/>
      <c r="D28" s="37"/>
      <c r="G28" s="58"/>
      <c r="K28" s="42"/>
      <c r="L28" s="42"/>
      <c r="M28" s="42"/>
      <c r="N28" s="42"/>
      <c r="O28" s="42"/>
      <c r="P28" s="42"/>
      <c r="T28" s="42"/>
      <c r="U28" s="42"/>
      <c r="V28" s="42"/>
      <c r="W28" s="42"/>
      <c r="X28" s="42"/>
      <c r="AN28" s="36" t="e">
        <f>VLOOKUP(I28,Sheet1!A:D,4,FALSE)</f>
        <v>#N/A</v>
      </c>
    </row>
    <row r="29" spans="1:40" s="36" customFormat="1" ht="14.25" x14ac:dyDescent="0.2">
      <c r="A29" s="57"/>
      <c r="D29" s="37"/>
      <c r="G29" s="58"/>
      <c r="K29" s="42"/>
      <c r="L29" s="42"/>
      <c r="M29" s="42"/>
      <c r="N29" s="42"/>
      <c r="O29" s="42"/>
      <c r="P29" s="42"/>
      <c r="T29" s="42"/>
      <c r="U29" s="42"/>
      <c r="V29" s="42"/>
      <c r="W29" s="42"/>
      <c r="X29" s="42"/>
      <c r="AN29" s="36" t="e">
        <f>VLOOKUP(I29,Sheet1!A:D,4,FALSE)</f>
        <v>#N/A</v>
      </c>
    </row>
    <row r="30" spans="1:40" s="36" customFormat="1" ht="14.25" x14ac:dyDescent="0.2">
      <c r="A30" s="57"/>
      <c r="D30" s="37"/>
      <c r="G30" s="58"/>
      <c r="K30" s="42"/>
      <c r="L30" s="42"/>
      <c r="M30" s="42"/>
      <c r="N30" s="42"/>
      <c r="O30" s="42"/>
      <c r="P30" s="42"/>
      <c r="T30" s="42"/>
      <c r="U30" s="42"/>
      <c r="V30" s="42"/>
      <c r="W30" s="42"/>
      <c r="X30" s="42"/>
      <c r="AN30" s="36" t="e">
        <f>VLOOKUP(I30,Sheet1!A:D,4,FALSE)</f>
        <v>#N/A</v>
      </c>
    </row>
    <row r="31" spans="1:40" s="36" customFormat="1" ht="14.25" x14ac:dyDescent="0.2">
      <c r="A31" s="57"/>
      <c r="D31" s="37"/>
      <c r="G31" s="58"/>
      <c r="K31" s="42"/>
      <c r="L31" s="42"/>
      <c r="M31" s="42"/>
      <c r="N31" s="42"/>
      <c r="O31" s="42"/>
      <c r="P31" s="42"/>
      <c r="T31" s="42"/>
      <c r="U31" s="42"/>
      <c r="V31" s="42"/>
      <c r="W31" s="42"/>
      <c r="X31" s="42"/>
      <c r="AN31" s="36" t="e">
        <f>VLOOKUP(I31,Sheet1!A:D,4,FALSE)</f>
        <v>#N/A</v>
      </c>
    </row>
    <row r="32" spans="1:40" s="36" customFormat="1" ht="14.25" x14ac:dyDescent="0.2">
      <c r="A32" s="57"/>
      <c r="D32" s="37"/>
      <c r="G32" s="58"/>
      <c r="K32" s="42"/>
      <c r="L32" s="42"/>
      <c r="M32" s="42"/>
      <c r="N32" s="42"/>
      <c r="O32" s="42"/>
      <c r="P32" s="42"/>
      <c r="T32" s="42"/>
      <c r="U32" s="42"/>
      <c r="V32" s="42"/>
      <c r="W32" s="42"/>
      <c r="X32" s="42"/>
      <c r="AN32" s="36" t="e">
        <f>VLOOKUP(I32,Sheet1!A:D,4,FALSE)</f>
        <v>#N/A</v>
      </c>
    </row>
    <row r="33" spans="1:40" s="36" customFormat="1" ht="14.25" x14ac:dyDescent="0.2">
      <c r="A33" s="57"/>
      <c r="D33" s="37"/>
      <c r="G33" s="58"/>
      <c r="K33" s="42"/>
      <c r="L33" s="42"/>
      <c r="M33" s="42"/>
      <c r="N33" s="42"/>
      <c r="O33" s="42"/>
      <c r="P33" s="42"/>
      <c r="T33" s="42"/>
      <c r="U33" s="42"/>
      <c r="V33" s="42"/>
      <c r="W33" s="42"/>
      <c r="X33" s="42"/>
      <c r="AN33" s="36" t="e">
        <f>VLOOKUP(I33,Sheet1!A:D,4,FALSE)</f>
        <v>#N/A</v>
      </c>
    </row>
    <row r="34" spans="1:40" s="36" customFormat="1" ht="14.25" x14ac:dyDescent="0.2">
      <c r="A34" s="57"/>
      <c r="D34" s="37"/>
      <c r="G34" s="58"/>
      <c r="K34" s="42"/>
      <c r="L34" s="42"/>
      <c r="M34" s="42"/>
      <c r="N34" s="42"/>
      <c r="O34" s="42"/>
      <c r="P34" s="42"/>
      <c r="T34" s="42"/>
      <c r="U34" s="42"/>
      <c r="V34" s="42"/>
      <c r="W34" s="42"/>
      <c r="X34" s="42"/>
      <c r="AN34" s="36" t="e">
        <f>VLOOKUP(I34,Sheet1!A:D,4,FALSE)</f>
        <v>#N/A</v>
      </c>
    </row>
    <row r="35" spans="1:40" s="36" customFormat="1" ht="14.25" x14ac:dyDescent="0.2">
      <c r="A35" s="57"/>
      <c r="D35" s="37"/>
      <c r="G35" s="58"/>
      <c r="K35" s="42"/>
      <c r="L35" s="42"/>
      <c r="M35" s="42"/>
      <c r="N35" s="42"/>
      <c r="O35" s="42"/>
      <c r="P35" s="42"/>
      <c r="T35" s="42"/>
      <c r="U35" s="42"/>
      <c r="V35" s="42"/>
      <c r="W35" s="42"/>
      <c r="X35" s="42"/>
      <c r="AN35" s="36" t="e">
        <f>VLOOKUP(I35,Sheet1!A:D,4,FALSE)</f>
        <v>#N/A</v>
      </c>
    </row>
    <row r="36" spans="1:40" s="36" customFormat="1" ht="14.25" x14ac:dyDescent="0.2">
      <c r="A36" s="57"/>
      <c r="D36" s="37"/>
      <c r="G36" s="58"/>
      <c r="K36" s="42"/>
      <c r="L36" s="42"/>
      <c r="M36" s="42"/>
      <c r="N36" s="42"/>
      <c r="O36" s="42"/>
      <c r="P36" s="42"/>
      <c r="T36" s="42"/>
      <c r="U36" s="42"/>
      <c r="V36" s="42"/>
      <c r="W36" s="42"/>
      <c r="X36" s="42"/>
      <c r="AN36" s="36" t="e">
        <f>VLOOKUP(I36,Sheet1!A:D,4,FALSE)</f>
        <v>#N/A</v>
      </c>
    </row>
    <row r="37" spans="1:40" s="36" customFormat="1" ht="14.25" x14ac:dyDescent="0.2">
      <c r="A37" s="57"/>
      <c r="D37" s="37"/>
      <c r="G37" s="58"/>
      <c r="K37" s="42"/>
      <c r="L37" s="42"/>
      <c r="M37" s="42"/>
      <c r="N37" s="42"/>
      <c r="O37" s="42"/>
      <c r="P37" s="42"/>
      <c r="T37" s="42"/>
      <c r="U37" s="42"/>
      <c r="V37" s="42"/>
      <c r="W37" s="42"/>
      <c r="X37" s="42"/>
      <c r="AN37" s="36" t="e">
        <f>VLOOKUP(I37,Sheet1!A:D,4,FALSE)</f>
        <v>#N/A</v>
      </c>
    </row>
    <row r="38" spans="1:40" s="36" customFormat="1" ht="14.25" x14ac:dyDescent="0.2">
      <c r="A38" s="57"/>
      <c r="D38" s="37"/>
      <c r="G38" s="58"/>
      <c r="K38" s="42"/>
      <c r="L38" s="42"/>
      <c r="M38" s="42"/>
      <c r="N38" s="42"/>
      <c r="O38" s="42"/>
      <c r="P38" s="42"/>
      <c r="T38" s="42"/>
      <c r="U38" s="42"/>
      <c r="V38" s="42"/>
      <c r="W38" s="42"/>
      <c r="X38" s="42"/>
      <c r="AN38" s="36" t="e">
        <f>VLOOKUP(I38,Sheet1!A:D,4,FALSE)</f>
        <v>#N/A</v>
      </c>
    </row>
    <row r="39" spans="1:40" s="36" customFormat="1" ht="14.25" x14ac:dyDescent="0.2">
      <c r="A39" s="57"/>
      <c r="D39" s="37"/>
      <c r="G39" s="58"/>
      <c r="K39" s="42"/>
      <c r="L39" s="42"/>
      <c r="M39" s="42"/>
      <c r="N39" s="42"/>
      <c r="O39" s="42"/>
      <c r="P39" s="42"/>
      <c r="T39" s="42"/>
      <c r="U39" s="42"/>
      <c r="V39" s="42"/>
      <c r="W39" s="42"/>
      <c r="X39" s="42"/>
      <c r="AN39" s="36" t="e">
        <f>VLOOKUP(I39,Sheet1!A:D,4,FALSE)</f>
        <v>#N/A</v>
      </c>
    </row>
    <row r="40" spans="1:40" s="36" customFormat="1" ht="14.25" x14ac:dyDescent="0.2">
      <c r="A40" s="57"/>
      <c r="D40" s="37"/>
      <c r="G40" s="58"/>
      <c r="K40" s="42"/>
      <c r="L40" s="42"/>
      <c r="M40" s="42"/>
      <c r="N40" s="42"/>
      <c r="O40" s="42"/>
      <c r="P40" s="42"/>
      <c r="T40" s="42"/>
      <c r="U40" s="42"/>
      <c r="V40" s="42"/>
      <c r="W40" s="42"/>
      <c r="X40" s="42"/>
      <c r="AN40" s="36" t="e">
        <f>VLOOKUP(I40,Sheet1!A:D,4,FALSE)</f>
        <v>#N/A</v>
      </c>
    </row>
    <row r="41" spans="1:40" s="36" customFormat="1" ht="14.25" x14ac:dyDescent="0.2">
      <c r="A41" s="57"/>
      <c r="D41" s="37"/>
      <c r="G41" s="58"/>
      <c r="K41" s="42"/>
      <c r="L41" s="42"/>
      <c r="M41" s="42"/>
      <c r="N41" s="42"/>
      <c r="O41" s="42"/>
      <c r="P41" s="42"/>
      <c r="T41" s="42"/>
      <c r="U41" s="42"/>
      <c r="V41" s="42"/>
      <c r="W41" s="42"/>
      <c r="X41" s="42"/>
      <c r="AN41" s="36" t="e">
        <f>VLOOKUP(I41,Sheet1!A:D,4,FALSE)</f>
        <v>#N/A</v>
      </c>
    </row>
    <row r="42" spans="1:40" s="36" customFormat="1" ht="14.25" x14ac:dyDescent="0.2">
      <c r="A42" s="57"/>
      <c r="D42" s="37"/>
      <c r="G42" s="58"/>
      <c r="K42" s="42"/>
      <c r="L42" s="42"/>
      <c r="M42" s="42"/>
      <c r="N42" s="42"/>
      <c r="O42" s="42"/>
      <c r="P42" s="42"/>
      <c r="T42" s="42"/>
      <c r="U42" s="42"/>
      <c r="V42" s="42"/>
      <c r="W42" s="42"/>
      <c r="X42" s="42"/>
      <c r="AN42" s="36" t="e">
        <f>VLOOKUP(I42,Sheet1!A:D,4,FALSE)</f>
        <v>#N/A</v>
      </c>
    </row>
    <row r="43" spans="1:40" s="36" customFormat="1" ht="14.25" x14ac:dyDescent="0.2">
      <c r="A43" s="57"/>
      <c r="D43" s="37"/>
      <c r="G43" s="58"/>
      <c r="K43" s="42"/>
      <c r="L43" s="42"/>
      <c r="M43" s="42"/>
      <c r="N43" s="42"/>
      <c r="O43" s="42"/>
      <c r="P43" s="42"/>
      <c r="T43" s="42"/>
      <c r="U43" s="42"/>
      <c r="V43" s="42"/>
      <c r="W43" s="42"/>
      <c r="X43" s="42"/>
      <c r="AN43" s="36" t="e">
        <f>VLOOKUP(I43,Sheet1!A:D,4,FALSE)</f>
        <v>#N/A</v>
      </c>
    </row>
    <row r="44" spans="1:40" s="36" customFormat="1" ht="14.25" x14ac:dyDescent="0.2">
      <c r="A44" s="57"/>
      <c r="D44" s="37"/>
      <c r="G44" s="58"/>
      <c r="K44" s="42"/>
      <c r="L44" s="42"/>
      <c r="M44" s="42"/>
      <c r="N44" s="42"/>
      <c r="O44" s="42"/>
      <c r="P44" s="42"/>
      <c r="T44" s="42"/>
      <c r="U44" s="42"/>
      <c r="V44" s="42"/>
      <c r="W44" s="42"/>
      <c r="X44" s="42"/>
      <c r="AN44" s="36" t="e">
        <f>VLOOKUP(I44,Sheet1!A:D,4,FALSE)</f>
        <v>#N/A</v>
      </c>
    </row>
    <row r="45" spans="1:40" s="36" customFormat="1" ht="14.25" x14ac:dyDescent="0.2">
      <c r="A45" s="57"/>
      <c r="D45" s="37"/>
      <c r="G45" s="58"/>
      <c r="K45" s="42"/>
      <c r="L45" s="42"/>
      <c r="M45" s="42"/>
      <c r="N45" s="42"/>
      <c r="O45" s="42"/>
      <c r="P45" s="42"/>
      <c r="T45" s="42"/>
      <c r="U45" s="42"/>
      <c r="V45" s="42"/>
      <c r="W45" s="42"/>
      <c r="X45" s="42"/>
      <c r="AN45" s="36" t="e">
        <f>VLOOKUP(I45,Sheet1!A:D,4,FALSE)</f>
        <v>#N/A</v>
      </c>
    </row>
    <row r="46" spans="1:40" s="36" customFormat="1" ht="14.25" x14ac:dyDescent="0.2">
      <c r="A46" s="57"/>
      <c r="D46" s="37"/>
      <c r="G46" s="58"/>
      <c r="K46" s="42"/>
      <c r="L46" s="42"/>
      <c r="M46" s="42"/>
      <c r="N46" s="42"/>
      <c r="O46" s="42"/>
      <c r="P46" s="42"/>
      <c r="T46" s="42"/>
      <c r="U46" s="42"/>
      <c r="V46" s="42"/>
      <c r="W46" s="42"/>
      <c r="X46" s="42"/>
      <c r="AN46" s="36" t="e">
        <f>VLOOKUP(I46,Sheet1!A:D,4,FALSE)</f>
        <v>#N/A</v>
      </c>
    </row>
    <row r="47" spans="1:40" s="36" customFormat="1" ht="14.25" x14ac:dyDescent="0.2">
      <c r="A47" s="57"/>
      <c r="D47" s="37"/>
      <c r="G47" s="58"/>
      <c r="K47" s="42"/>
      <c r="L47" s="42"/>
      <c r="M47" s="42"/>
      <c r="N47" s="42"/>
      <c r="O47" s="42"/>
      <c r="P47" s="42"/>
      <c r="T47" s="42"/>
      <c r="U47" s="42"/>
      <c r="V47" s="42"/>
      <c r="W47" s="42"/>
      <c r="X47" s="42"/>
      <c r="AN47" s="36" t="e">
        <f>VLOOKUP(I47,Sheet1!A:D,4,FALSE)</f>
        <v>#N/A</v>
      </c>
    </row>
    <row r="48" spans="1:40" s="36" customFormat="1" ht="14.25" x14ac:dyDescent="0.2">
      <c r="A48" s="57"/>
      <c r="D48" s="37"/>
      <c r="G48" s="58"/>
      <c r="K48" s="42"/>
      <c r="L48" s="42"/>
      <c r="M48" s="42"/>
      <c r="N48" s="42"/>
      <c r="O48" s="42"/>
      <c r="P48" s="42"/>
      <c r="T48" s="42"/>
      <c r="U48" s="42"/>
      <c r="V48" s="42"/>
      <c r="W48" s="42"/>
      <c r="X48" s="42"/>
      <c r="AN48" s="36" t="e">
        <f>VLOOKUP(I48,Sheet1!A:D,4,FALSE)</f>
        <v>#N/A</v>
      </c>
    </row>
    <row r="49" spans="1:40" s="36" customFormat="1" ht="14.25" x14ac:dyDescent="0.2">
      <c r="A49" s="57"/>
      <c r="D49" s="37"/>
      <c r="G49" s="58"/>
      <c r="K49" s="42"/>
      <c r="L49" s="42"/>
      <c r="M49" s="42"/>
      <c r="N49" s="42"/>
      <c r="O49" s="42"/>
      <c r="P49" s="42"/>
      <c r="T49" s="42"/>
      <c r="U49" s="42"/>
      <c r="V49" s="42"/>
      <c r="W49" s="42"/>
      <c r="X49" s="42"/>
      <c r="AN49" s="36" t="e">
        <f>VLOOKUP(I49,Sheet1!A:D,4,FALSE)</f>
        <v>#N/A</v>
      </c>
    </row>
    <row r="50" spans="1:40" s="36" customFormat="1" ht="14.25" x14ac:dyDescent="0.2">
      <c r="A50" s="57"/>
      <c r="D50" s="37"/>
      <c r="G50" s="58"/>
      <c r="K50" s="42"/>
      <c r="L50" s="42"/>
      <c r="M50" s="42"/>
      <c r="N50" s="42"/>
      <c r="O50" s="42"/>
      <c r="P50" s="42"/>
      <c r="T50" s="42"/>
      <c r="U50" s="42"/>
      <c r="V50" s="42"/>
      <c r="W50" s="42"/>
      <c r="X50" s="42"/>
      <c r="AN50" s="36" t="e">
        <f>VLOOKUP(I50,Sheet1!A:D,4,FALSE)</f>
        <v>#N/A</v>
      </c>
    </row>
    <row r="51" spans="1:40" s="36" customFormat="1" ht="14.25" x14ac:dyDescent="0.2">
      <c r="A51" s="57"/>
      <c r="D51" s="37"/>
      <c r="G51" s="58"/>
      <c r="K51" s="42"/>
      <c r="L51" s="42"/>
      <c r="M51" s="42"/>
      <c r="N51" s="42"/>
      <c r="O51" s="42"/>
      <c r="P51" s="42"/>
      <c r="T51" s="42"/>
      <c r="U51" s="42"/>
      <c r="V51" s="42"/>
      <c r="W51" s="42"/>
      <c r="X51" s="42"/>
      <c r="AN51" s="36" t="e">
        <f>VLOOKUP(I51,Sheet1!A:D,4,FALSE)</f>
        <v>#N/A</v>
      </c>
    </row>
    <row r="52" spans="1:40" s="36" customFormat="1" ht="14.25" x14ac:dyDescent="0.2">
      <c r="A52" s="57"/>
      <c r="D52" s="37"/>
      <c r="G52" s="58"/>
      <c r="K52" s="42"/>
      <c r="L52" s="42"/>
      <c r="M52" s="42"/>
      <c r="N52" s="42"/>
      <c r="O52" s="42"/>
      <c r="P52" s="42"/>
      <c r="T52" s="42"/>
      <c r="U52" s="42"/>
      <c r="V52" s="42"/>
      <c r="W52" s="42"/>
      <c r="X52" s="42"/>
      <c r="AN52" s="36" t="e">
        <f>VLOOKUP(I52,Sheet1!A:D,4,FALSE)</f>
        <v>#N/A</v>
      </c>
    </row>
    <row r="53" spans="1:40" s="36" customFormat="1" ht="14.25" x14ac:dyDescent="0.2">
      <c r="A53" s="57"/>
      <c r="D53" s="37"/>
      <c r="G53" s="58"/>
      <c r="K53" s="42"/>
      <c r="L53" s="42"/>
      <c r="M53" s="42"/>
      <c r="N53" s="42"/>
      <c r="O53" s="42"/>
      <c r="P53" s="42"/>
      <c r="T53" s="42"/>
      <c r="U53" s="42"/>
      <c r="V53" s="42"/>
      <c r="W53" s="42"/>
      <c r="X53" s="42"/>
      <c r="AN53" s="36" t="e">
        <f>VLOOKUP(I53,Sheet1!A:D,4,FALSE)</f>
        <v>#N/A</v>
      </c>
    </row>
    <row r="54" spans="1:40" s="36" customFormat="1" ht="14.25" x14ac:dyDescent="0.2">
      <c r="A54" s="57"/>
      <c r="D54" s="37"/>
      <c r="G54" s="58"/>
      <c r="K54" s="42"/>
      <c r="L54" s="42"/>
      <c r="M54" s="42"/>
      <c r="N54" s="42"/>
      <c r="O54" s="42"/>
      <c r="P54" s="42"/>
      <c r="T54" s="42"/>
      <c r="U54" s="42"/>
      <c r="V54" s="42"/>
      <c r="W54" s="42"/>
      <c r="X54" s="42"/>
      <c r="AN54" s="36" t="e">
        <f>VLOOKUP(I54,Sheet1!A:D,4,FALSE)</f>
        <v>#N/A</v>
      </c>
    </row>
    <row r="55" spans="1:40" s="36" customFormat="1" ht="14.25" x14ac:dyDescent="0.2">
      <c r="A55" s="57"/>
      <c r="D55" s="37"/>
      <c r="G55" s="58"/>
      <c r="K55" s="42"/>
      <c r="L55" s="42"/>
      <c r="M55" s="42"/>
      <c r="N55" s="42"/>
      <c r="O55" s="42"/>
      <c r="P55" s="42"/>
      <c r="T55" s="42"/>
      <c r="U55" s="42"/>
      <c r="V55" s="42"/>
      <c r="W55" s="42"/>
      <c r="X55" s="42"/>
      <c r="AN55" s="36" t="e">
        <f>VLOOKUP(I55,Sheet1!A:D,4,FALSE)</f>
        <v>#N/A</v>
      </c>
    </row>
    <row r="56" spans="1:40" s="36" customFormat="1" ht="14.25" x14ac:dyDescent="0.2">
      <c r="A56" s="57"/>
      <c r="D56" s="37"/>
      <c r="G56" s="58"/>
      <c r="K56" s="42"/>
      <c r="L56" s="42"/>
      <c r="M56" s="42"/>
      <c r="N56" s="42"/>
      <c r="O56" s="42"/>
      <c r="P56" s="42"/>
      <c r="T56" s="42"/>
      <c r="U56" s="42"/>
      <c r="V56" s="42"/>
      <c r="W56" s="42"/>
      <c r="X56" s="42"/>
      <c r="AN56" s="36" t="e">
        <f>VLOOKUP(I56,Sheet1!A:D,4,FALSE)</f>
        <v>#N/A</v>
      </c>
    </row>
    <row r="57" spans="1:40" s="36" customFormat="1" ht="14.25" x14ac:dyDescent="0.2">
      <c r="A57" s="57"/>
      <c r="D57" s="37"/>
      <c r="G57" s="58"/>
      <c r="K57" s="42"/>
      <c r="L57" s="42"/>
      <c r="M57" s="42"/>
      <c r="N57" s="42"/>
      <c r="O57" s="42"/>
      <c r="P57" s="42"/>
      <c r="T57" s="42"/>
      <c r="U57" s="42"/>
      <c r="V57" s="42"/>
      <c r="W57" s="42"/>
      <c r="X57" s="42"/>
      <c r="AN57" s="36" t="e">
        <f>VLOOKUP(I57,Sheet1!A:D,4,FALSE)</f>
        <v>#N/A</v>
      </c>
    </row>
    <row r="58" spans="1:40" s="36" customFormat="1" ht="14.25" x14ac:dyDescent="0.2">
      <c r="A58" s="57"/>
      <c r="D58" s="37"/>
      <c r="G58" s="58"/>
      <c r="K58" s="42"/>
      <c r="L58" s="42"/>
      <c r="M58" s="42"/>
      <c r="N58" s="42"/>
      <c r="O58" s="42"/>
      <c r="P58" s="42"/>
      <c r="T58" s="42"/>
      <c r="U58" s="42"/>
      <c r="V58" s="42"/>
      <c r="W58" s="42"/>
      <c r="X58" s="42"/>
      <c r="AN58" s="36" t="e">
        <f>VLOOKUP(I58,Sheet1!A:D,4,FALSE)</f>
        <v>#N/A</v>
      </c>
    </row>
    <row r="59" spans="1:40" s="36" customFormat="1" ht="14.25" x14ac:dyDescent="0.2">
      <c r="A59" s="57"/>
      <c r="D59" s="37"/>
      <c r="G59" s="58"/>
      <c r="K59" s="42"/>
      <c r="L59" s="42"/>
      <c r="M59" s="42"/>
      <c r="N59" s="42"/>
      <c r="O59" s="42"/>
      <c r="P59" s="42"/>
      <c r="T59" s="42"/>
      <c r="U59" s="42"/>
      <c r="V59" s="42"/>
      <c r="W59" s="42"/>
      <c r="X59" s="42"/>
      <c r="AN59" s="36" t="e">
        <f>VLOOKUP(I59,Sheet1!A:D,4,FALSE)</f>
        <v>#N/A</v>
      </c>
    </row>
    <row r="60" spans="1:40" s="36" customFormat="1" ht="14.25" x14ac:dyDescent="0.2">
      <c r="A60" s="57"/>
      <c r="D60" s="37"/>
      <c r="G60" s="58"/>
      <c r="K60" s="42"/>
      <c r="L60" s="42"/>
      <c r="M60" s="42"/>
      <c r="N60" s="42"/>
      <c r="O60" s="42"/>
      <c r="P60" s="42"/>
      <c r="T60" s="42"/>
      <c r="U60" s="42"/>
      <c r="V60" s="42"/>
      <c r="W60" s="42"/>
      <c r="X60" s="42"/>
      <c r="AN60" s="36" t="e">
        <f>VLOOKUP(I60,Sheet1!A:D,4,FALSE)</f>
        <v>#N/A</v>
      </c>
    </row>
    <row r="61" spans="1:40" s="36" customFormat="1" ht="14.25" x14ac:dyDescent="0.2">
      <c r="A61" s="57"/>
      <c r="D61" s="37"/>
      <c r="G61" s="58"/>
      <c r="K61" s="42"/>
      <c r="L61" s="42"/>
      <c r="M61" s="42"/>
      <c r="N61" s="42"/>
      <c r="O61" s="42"/>
      <c r="P61" s="42"/>
      <c r="T61" s="42"/>
      <c r="U61" s="42"/>
      <c r="V61" s="42"/>
      <c r="W61" s="42"/>
      <c r="X61" s="42"/>
      <c r="AN61" s="36" t="e">
        <f>VLOOKUP(I61,Sheet1!A:D,4,FALSE)</f>
        <v>#N/A</v>
      </c>
    </row>
    <row r="62" spans="1:40" s="36" customFormat="1" ht="14.25" x14ac:dyDescent="0.2">
      <c r="A62" s="57"/>
      <c r="D62" s="37"/>
      <c r="G62" s="58"/>
      <c r="K62" s="42"/>
      <c r="L62" s="42"/>
      <c r="M62" s="42"/>
      <c r="N62" s="42"/>
      <c r="O62" s="42"/>
      <c r="P62" s="42"/>
      <c r="T62" s="42"/>
      <c r="U62" s="42"/>
      <c r="V62" s="42"/>
      <c r="W62" s="42"/>
      <c r="X62" s="42"/>
      <c r="AN62" s="36" t="e">
        <f>VLOOKUP(I62,Sheet1!A:D,4,FALSE)</f>
        <v>#N/A</v>
      </c>
    </row>
    <row r="63" spans="1:40" s="36" customFormat="1" ht="14.25" x14ac:dyDescent="0.2">
      <c r="A63" s="57"/>
      <c r="D63" s="37"/>
      <c r="G63" s="58"/>
      <c r="K63" s="42"/>
      <c r="L63" s="42"/>
      <c r="M63" s="42"/>
      <c r="N63" s="42"/>
      <c r="O63" s="42"/>
      <c r="P63" s="42"/>
      <c r="T63" s="42"/>
      <c r="U63" s="42"/>
      <c r="V63" s="42"/>
      <c r="W63" s="42"/>
      <c r="X63" s="42"/>
      <c r="AN63" s="36" t="e">
        <f>VLOOKUP(I63,Sheet1!A:D,4,FALSE)</f>
        <v>#N/A</v>
      </c>
    </row>
    <row r="64" spans="1:40" s="36" customFormat="1" ht="14.25" x14ac:dyDescent="0.2">
      <c r="A64" s="57"/>
      <c r="D64" s="37"/>
      <c r="G64" s="58"/>
      <c r="K64" s="42"/>
      <c r="L64" s="42"/>
      <c r="M64" s="42"/>
      <c r="N64" s="42"/>
      <c r="O64" s="42"/>
      <c r="P64" s="42"/>
      <c r="T64" s="42"/>
      <c r="U64" s="42"/>
      <c r="V64" s="42"/>
      <c r="W64" s="42"/>
      <c r="X64" s="42"/>
      <c r="AN64" s="36" t="e">
        <f>VLOOKUP(I64,Sheet1!A:D,4,FALSE)</f>
        <v>#N/A</v>
      </c>
    </row>
    <row r="65" spans="1:40" s="36" customFormat="1" ht="14.25" x14ac:dyDescent="0.2">
      <c r="A65" s="57"/>
      <c r="D65" s="37"/>
      <c r="G65" s="58"/>
      <c r="K65" s="42"/>
      <c r="L65" s="42"/>
      <c r="M65" s="42"/>
      <c r="N65" s="42"/>
      <c r="O65" s="42"/>
      <c r="P65" s="42"/>
      <c r="T65" s="42"/>
      <c r="U65" s="42"/>
      <c r="V65" s="42"/>
      <c r="W65" s="42"/>
      <c r="X65" s="42"/>
      <c r="AN65" s="36" t="e">
        <f>VLOOKUP(I65,Sheet1!A:D,4,FALSE)</f>
        <v>#N/A</v>
      </c>
    </row>
    <row r="66" spans="1:40" s="36" customFormat="1" ht="14.25" x14ac:dyDescent="0.2">
      <c r="A66" s="57"/>
      <c r="D66" s="37"/>
      <c r="G66" s="58"/>
      <c r="K66" s="42"/>
      <c r="L66" s="42"/>
      <c r="M66" s="42"/>
      <c r="N66" s="42"/>
      <c r="O66" s="42"/>
      <c r="P66" s="42"/>
      <c r="T66" s="42"/>
      <c r="U66" s="42"/>
      <c r="V66" s="42"/>
      <c r="W66" s="42"/>
      <c r="X66" s="42"/>
      <c r="AN66" s="36" t="e">
        <f>VLOOKUP(I66,Sheet1!A:D,4,FALSE)</f>
        <v>#N/A</v>
      </c>
    </row>
    <row r="67" spans="1:40" s="36" customFormat="1" ht="14.25" x14ac:dyDescent="0.2">
      <c r="A67" s="57"/>
      <c r="D67" s="37"/>
      <c r="G67" s="58"/>
      <c r="K67" s="42"/>
      <c r="L67" s="42"/>
      <c r="M67" s="42"/>
      <c r="N67" s="42"/>
      <c r="O67" s="42"/>
      <c r="P67" s="42"/>
      <c r="T67" s="42"/>
      <c r="U67" s="42"/>
      <c r="V67" s="42"/>
      <c r="W67" s="42"/>
      <c r="X67" s="42"/>
      <c r="AN67" s="36" t="e">
        <f>VLOOKUP(I67,Sheet1!A:D,4,FALSE)</f>
        <v>#N/A</v>
      </c>
    </row>
    <row r="68" spans="1:40" s="36" customFormat="1" ht="14.25" x14ac:dyDescent="0.2">
      <c r="A68" s="57"/>
      <c r="D68" s="37"/>
      <c r="G68" s="58"/>
      <c r="K68" s="42"/>
      <c r="L68" s="42"/>
      <c r="M68" s="42"/>
      <c r="N68" s="42"/>
      <c r="O68" s="42"/>
      <c r="P68" s="42"/>
      <c r="T68" s="42"/>
      <c r="U68" s="42"/>
      <c r="V68" s="42"/>
      <c r="W68" s="42"/>
      <c r="X68" s="42"/>
      <c r="AN68" s="36" t="e">
        <f>VLOOKUP(I68,Sheet1!A:D,4,FALSE)</f>
        <v>#N/A</v>
      </c>
    </row>
    <row r="69" spans="1:40" s="36" customFormat="1" ht="14.25" x14ac:dyDescent="0.2">
      <c r="A69" s="57"/>
      <c r="D69" s="37"/>
      <c r="G69" s="58"/>
      <c r="K69" s="42"/>
      <c r="L69" s="42"/>
      <c r="M69" s="42"/>
      <c r="N69" s="42"/>
      <c r="O69" s="42"/>
      <c r="P69" s="42"/>
      <c r="T69" s="42"/>
      <c r="U69" s="42"/>
      <c r="V69" s="42"/>
      <c r="W69" s="42"/>
      <c r="X69" s="42"/>
      <c r="AN69" s="36" t="e">
        <f>VLOOKUP(I69,Sheet1!A:D,4,FALSE)</f>
        <v>#N/A</v>
      </c>
    </row>
    <row r="70" spans="1:40" s="36" customFormat="1" ht="14.25" x14ac:dyDescent="0.2">
      <c r="A70" s="57"/>
      <c r="D70" s="37"/>
      <c r="G70" s="58"/>
      <c r="K70" s="42"/>
      <c r="L70" s="42"/>
      <c r="M70" s="42"/>
      <c r="N70" s="42"/>
      <c r="O70" s="42"/>
      <c r="P70" s="42"/>
      <c r="T70" s="42"/>
      <c r="U70" s="42"/>
      <c r="V70" s="42"/>
      <c r="W70" s="42"/>
      <c r="X70" s="42"/>
      <c r="AN70" s="36" t="e">
        <f>VLOOKUP(I70,Sheet1!A:D,4,FALSE)</f>
        <v>#N/A</v>
      </c>
    </row>
    <row r="71" spans="1:40" s="36" customFormat="1" ht="14.25" x14ac:dyDescent="0.2">
      <c r="A71" s="57"/>
      <c r="D71" s="37"/>
      <c r="G71" s="58"/>
      <c r="K71" s="42"/>
      <c r="L71" s="42"/>
      <c r="M71" s="42"/>
      <c r="N71" s="42"/>
      <c r="O71" s="42"/>
      <c r="P71" s="42"/>
      <c r="T71" s="42"/>
      <c r="U71" s="42"/>
      <c r="V71" s="42"/>
      <c r="W71" s="42"/>
      <c r="X71" s="42"/>
      <c r="AN71" s="36" t="e">
        <f>VLOOKUP(I71,Sheet1!A:D,4,FALSE)</f>
        <v>#N/A</v>
      </c>
    </row>
    <row r="72" spans="1:40" s="36" customFormat="1" ht="14.25" x14ac:dyDescent="0.2">
      <c r="A72" s="57"/>
      <c r="D72" s="37"/>
      <c r="G72" s="58"/>
      <c r="K72" s="42"/>
      <c r="L72" s="42"/>
      <c r="M72" s="42"/>
      <c r="N72" s="42"/>
      <c r="O72" s="42"/>
      <c r="P72" s="42"/>
      <c r="T72" s="42"/>
      <c r="U72" s="42"/>
      <c r="V72" s="42"/>
      <c r="W72" s="42"/>
      <c r="X72" s="42"/>
      <c r="AN72" s="36" t="e">
        <f>VLOOKUP(I72,Sheet1!A:D,4,FALSE)</f>
        <v>#N/A</v>
      </c>
    </row>
    <row r="73" spans="1:40" s="36" customFormat="1" ht="14.25" x14ac:dyDescent="0.2">
      <c r="A73" s="57"/>
      <c r="D73" s="37"/>
      <c r="G73" s="58"/>
      <c r="K73" s="42"/>
      <c r="L73" s="42"/>
      <c r="M73" s="42"/>
      <c r="N73" s="42"/>
      <c r="O73" s="42"/>
      <c r="P73" s="42"/>
      <c r="T73" s="42"/>
      <c r="U73" s="42"/>
      <c r="V73" s="42"/>
      <c r="W73" s="42"/>
      <c r="X73" s="42"/>
      <c r="AN73" s="36" t="e">
        <f>VLOOKUP(I73,Sheet1!A:D,4,FALSE)</f>
        <v>#N/A</v>
      </c>
    </row>
    <row r="74" spans="1:40" s="36" customFormat="1" ht="14.25" x14ac:dyDescent="0.2">
      <c r="A74" s="57"/>
      <c r="D74" s="37"/>
      <c r="G74" s="58"/>
      <c r="K74" s="42"/>
      <c r="L74" s="42"/>
      <c r="M74" s="42"/>
      <c r="N74" s="42"/>
      <c r="O74" s="42"/>
      <c r="P74" s="42"/>
      <c r="T74" s="42"/>
      <c r="U74" s="42"/>
      <c r="V74" s="42"/>
      <c r="W74" s="42"/>
      <c r="X74" s="42"/>
      <c r="AN74" s="36" t="e">
        <f>VLOOKUP(I74,Sheet1!A:D,4,FALSE)</f>
        <v>#N/A</v>
      </c>
    </row>
    <row r="75" spans="1:40" s="36" customFormat="1" ht="14.25" x14ac:dyDescent="0.2">
      <c r="A75" s="57"/>
      <c r="D75" s="37"/>
      <c r="G75" s="58"/>
      <c r="K75" s="42"/>
      <c r="L75" s="42"/>
      <c r="M75" s="42"/>
      <c r="N75" s="42"/>
      <c r="O75" s="42"/>
      <c r="P75" s="42"/>
      <c r="T75" s="42"/>
      <c r="U75" s="42"/>
      <c r="V75" s="42"/>
      <c r="W75" s="42"/>
      <c r="X75" s="42"/>
      <c r="AN75" s="36" t="e">
        <f>VLOOKUP(I75,Sheet1!A:D,4,FALSE)</f>
        <v>#N/A</v>
      </c>
    </row>
    <row r="76" spans="1:40" s="36" customFormat="1" ht="14.25" x14ac:dyDescent="0.2">
      <c r="A76" s="57"/>
      <c r="D76" s="37"/>
      <c r="G76" s="58"/>
      <c r="K76" s="42"/>
      <c r="L76" s="42"/>
      <c r="M76" s="42"/>
      <c r="N76" s="42"/>
      <c r="O76" s="42"/>
      <c r="P76" s="42"/>
      <c r="T76" s="42"/>
      <c r="U76" s="42"/>
      <c r="V76" s="42"/>
      <c r="W76" s="42"/>
      <c r="X76" s="42"/>
      <c r="AN76" s="36" t="e">
        <f>VLOOKUP(I76,Sheet1!A:D,4,FALSE)</f>
        <v>#N/A</v>
      </c>
    </row>
    <row r="77" spans="1:40" s="36" customFormat="1" ht="14.25" x14ac:dyDescent="0.2">
      <c r="A77" s="57"/>
      <c r="D77" s="37"/>
      <c r="G77" s="58"/>
      <c r="K77" s="42"/>
      <c r="L77" s="42"/>
      <c r="M77" s="42"/>
      <c r="N77" s="42"/>
      <c r="O77" s="42"/>
      <c r="P77" s="42"/>
      <c r="T77" s="42"/>
      <c r="U77" s="42"/>
      <c r="V77" s="42"/>
      <c r="W77" s="42"/>
      <c r="X77" s="42"/>
      <c r="AN77" s="36" t="e">
        <f>VLOOKUP(I77,Sheet1!A:D,4,FALSE)</f>
        <v>#N/A</v>
      </c>
    </row>
    <row r="78" spans="1:40" s="36" customFormat="1" ht="14.25" x14ac:dyDescent="0.2">
      <c r="A78" s="57"/>
      <c r="D78" s="37"/>
      <c r="G78" s="58"/>
      <c r="K78" s="42"/>
      <c r="L78" s="42"/>
      <c r="M78" s="42"/>
      <c r="N78" s="42"/>
      <c r="O78" s="42"/>
      <c r="P78" s="42"/>
      <c r="T78" s="42"/>
      <c r="U78" s="42"/>
      <c r="V78" s="42"/>
      <c r="W78" s="42"/>
      <c r="X78" s="42"/>
      <c r="AN78" s="36" t="e">
        <f>VLOOKUP(I78,Sheet1!A:D,4,FALSE)</f>
        <v>#N/A</v>
      </c>
    </row>
    <row r="79" spans="1:40" s="36" customFormat="1" ht="14.25" x14ac:dyDescent="0.2">
      <c r="A79" s="57"/>
      <c r="D79" s="37"/>
      <c r="G79" s="58"/>
      <c r="K79" s="42"/>
      <c r="L79" s="42"/>
      <c r="M79" s="42"/>
      <c r="N79" s="42"/>
      <c r="O79" s="42"/>
      <c r="P79" s="42"/>
      <c r="T79" s="42"/>
      <c r="U79" s="42"/>
      <c r="V79" s="42"/>
      <c r="W79" s="42"/>
      <c r="X79" s="42"/>
      <c r="AN79" s="36" t="e">
        <f>VLOOKUP(I79,Sheet1!A:D,4,FALSE)</f>
        <v>#N/A</v>
      </c>
    </row>
    <row r="80" spans="1:40" s="36" customFormat="1" ht="14.25" x14ac:dyDescent="0.2">
      <c r="A80" s="57"/>
      <c r="D80" s="37"/>
      <c r="G80" s="58"/>
      <c r="K80" s="42"/>
      <c r="L80" s="42"/>
      <c r="M80" s="42"/>
      <c r="N80" s="42"/>
      <c r="O80" s="42"/>
      <c r="P80" s="42"/>
      <c r="T80" s="42"/>
      <c r="U80" s="42"/>
      <c r="V80" s="42"/>
      <c r="W80" s="42"/>
      <c r="X80" s="42"/>
      <c r="AN80" s="36" t="e">
        <f>VLOOKUP(I80,Sheet1!A:D,4,FALSE)</f>
        <v>#N/A</v>
      </c>
    </row>
    <row r="81" spans="1:40" s="36" customFormat="1" ht="14.25" x14ac:dyDescent="0.2">
      <c r="A81" s="57"/>
      <c r="D81" s="37"/>
      <c r="G81" s="58"/>
      <c r="K81" s="42"/>
      <c r="L81" s="42"/>
      <c r="M81" s="42"/>
      <c r="N81" s="42"/>
      <c r="O81" s="42"/>
      <c r="P81" s="42"/>
      <c r="T81" s="42"/>
      <c r="U81" s="42"/>
      <c r="V81" s="42"/>
      <c r="W81" s="42"/>
      <c r="X81" s="42"/>
      <c r="AN81" s="36" t="e">
        <f>VLOOKUP(I81,Sheet1!A:D,4,FALSE)</f>
        <v>#N/A</v>
      </c>
    </row>
    <row r="82" spans="1:40" s="36" customFormat="1" ht="14.25" x14ac:dyDescent="0.2">
      <c r="A82" s="57"/>
      <c r="D82" s="37"/>
      <c r="G82" s="58"/>
      <c r="K82" s="42"/>
      <c r="L82" s="42"/>
      <c r="M82" s="42"/>
      <c r="N82" s="42"/>
      <c r="O82" s="42"/>
      <c r="P82" s="42"/>
      <c r="T82" s="42"/>
      <c r="U82" s="42"/>
      <c r="V82" s="42"/>
      <c r="W82" s="42"/>
      <c r="X82" s="42"/>
      <c r="AN82" s="36" t="e">
        <f>VLOOKUP(I82,Sheet1!A:D,4,FALSE)</f>
        <v>#N/A</v>
      </c>
    </row>
    <row r="83" spans="1:40" s="36" customFormat="1" ht="14.25" x14ac:dyDescent="0.2">
      <c r="A83" s="57"/>
      <c r="D83" s="37"/>
      <c r="G83" s="58"/>
      <c r="K83" s="42"/>
      <c r="L83" s="42"/>
      <c r="M83" s="42"/>
      <c r="N83" s="42"/>
      <c r="O83" s="42"/>
      <c r="P83" s="42"/>
      <c r="T83" s="42"/>
      <c r="U83" s="42"/>
      <c r="V83" s="42"/>
      <c r="W83" s="42"/>
      <c r="X83" s="42"/>
      <c r="AN83" s="36" t="e">
        <f>VLOOKUP(I83,Sheet1!A:D,4,FALSE)</f>
        <v>#N/A</v>
      </c>
    </row>
    <row r="84" spans="1:40" s="36" customFormat="1" ht="14.25" x14ac:dyDescent="0.2">
      <c r="A84" s="57"/>
      <c r="D84" s="37"/>
      <c r="G84" s="58"/>
      <c r="K84" s="42"/>
      <c r="L84" s="42"/>
      <c r="M84" s="42"/>
      <c r="N84" s="42"/>
      <c r="O84" s="42"/>
      <c r="P84" s="42"/>
      <c r="T84" s="42"/>
      <c r="U84" s="42"/>
      <c r="V84" s="42"/>
      <c r="W84" s="42"/>
      <c r="X84" s="42"/>
      <c r="AN84" s="36" t="e">
        <f>VLOOKUP(I84,Sheet1!A:D,4,FALSE)</f>
        <v>#N/A</v>
      </c>
    </row>
    <row r="85" spans="1:40" s="36" customFormat="1" ht="14.25" x14ac:dyDescent="0.2">
      <c r="A85" s="57"/>
      <c r="D85" s="37"/>
      <c r="G85" s="58"/>
      <c r="K85" s="42"/>
      <c r="L85" s="42"/>
      <c r="M85" s="42"/>
      <c r="N85" s="42"/>
      <c r="O85" s="42"/>
      <c r="P85" s="42"/>
      <c r="T85" s="42"/>
      <c r="U85" s="42"/>
      <c r="V85" s="42"/>
      <c r="W85" s="42"/>
      <c r="X85" s="42"/>
      <c r="AN85" s="36" t="e">
        <f>VLOOKUP(I85,Sheet1!A:D,4,FALSE)</f>
        <v>#N/A</v>
      </c>
    </row>
    <row r="86" spans="1:40" s="36" customFormat="1" ht="14.25" x14ac:dyDescent="0.2">
      <c r="A86" s="57"/>
      <c r="D86" s="37"/>
      <c r="G86" s="58"/>
      <c r="K86" s="42"/>
      <c r="L86" s="42"/>
      <c r="M86" s="42"/>
      <c r="N86" s="42"/>
      <c r="O86" s="42"/>
      <c r="P86" s="42"/>
      <c r="T86" s="42"/>
      <c r="U86" s="42"/>
      <c r="V86" s="42"/>
      <c r="W86" s="42"/>
      <c r="X86" s="42"/>
      <c r="AN86" s="36" t="e">
        <f>VLOOKUP(I86,Sheet1!A:D,4,FALSE)</f>
        <v>#N/A</v>
      </c>
    </row>
    <row r="87" spans="1:40" s="36" customFormat="1" ht="14.25" x14ac:dyDescent="0.2">
      <c r="A87" s="57"/>
      <c r="D87" s="37"/>
      <c r="G87" s="58"/>
      <c r="K87" s="42"/>
      <c r="L87" s="42"/>
      <c r="M87" s="42"/>
      <c r="N87" s="42"/>
      <c r="O87" s="42"/>
      <c r="P87" s="42"/>
      <c r="T87" s="42"/>
      <c r="U87" s="42"/>
      <c r="V87" s="42"/>
      <c r="W87" s="42"/>
      <c r="X87" s="42"/>
      <c r="AN87" s="36" t="e">
        <f>VLOOKUP(I87,Sheet1!A:D,4,FALSE)</f>
        <v>#N/A</v>
      </c>
    </row>
    <row r="88" spans="1:40" s="36" customFormat="1" ht="14.25" x14ac:dyDescent="0.2">
      <c r="A88" s="57"/>
      <c r="D88" s="37"/>
      <c r="G88" s="58"/>
      <c r="K88" s="42"/>
      <c r="L88" s="42"/>
      <c r="M88" s="42"/>
      <c r="N88" s="42"/>
      <c r="O88" s="42"/>
      <c r="P88" s="42"/>
      <c r="T88" s="42"/>
      <c r="U88" s="42"/>
      <c r="V88" s="42"/>
      <c r="W88" s="42"/>
      <c r="X88" s="42"/>
      <c r="AN88" s="36" t="e">
        <f>VLOOKUP(I88,Sheet1!A:D,4,FALSE)</f>
        <v>#N/A</v>
      </c>
    </row>
    <row r="89" spans="1:40" s="36" customFormat="1" ht="14.25" x14ac:dyDescent="0.2">
      <c r="A89" s="57"/>
      <c r="D89" s="37"/>
      <c r="G89" s="58"/>
      <c r="K89" s="42"/>
      <c r="L89" s="42"/>
      <c r="M89" s="42"/>
      <c r="N89" s="42"/>
      <c r="O89" s="42"/>
      <c r="P89" s="42"/>
      <c r="T89" s="42"/>
      <c r="U89" s="42"/>
      <c r="V89" s="42"/>
      <c r="W89" s="42"/>
      <c r="X89" s="42"/>
      <c r="AN89" s="36" t="e">
        <f>VLOOKUP(I89,Sheet1!A:D,4,FALSE)</f>
        <v>#N/A</v>
      </c>
    </row>
    <row r="90" spans="1:40" s="36" customFormat="1" ht="14.25" x14ac:dyDescent="0.2">
      <c r="A90" s="57"/>
      <c r="D90" s="37"/>
      <c r="G90" s="58"/>
      <c r="K90" s="42"/>
      <c r="L90" s="42"/>
      <c r="M90" s="42"/>
      <c r="N90" s="42"/>
      <c r="O90" s="42"/>
      <c r="P90" s="42"/>
      <c r="T90" s="42"/>
      <c r="U90" s="42"/>
      <c r="V90" s="42"/>
      <c r="W90" s="42"/>
      <c r="X90" s="42"/>
      <c r="AN90" s="36" t="e">
        <f>VLOOKUP(I90,Sheet1!A:D,4,FALSE)</f>
        <v>#N/A</v>
      </c>
    </row>
    <row r="91" spans="1:40" s="36" customFormat="1" ht="14.25" x14ac:dyDescent="0.2">
      <c r="A91" s="57"/>
      <c r="D91" s="37"/>
      <c r="G91" s="58"/>
      <c r="K91" s="42"/>
      <c r="L91" s="42"/>
      <c r="M91" s="42"/>
      <c r="N91" s="42"/>
      <c r="O91" s="42"/>
      <c r="P91" s="42"/>
      <c r="T91" s="42"/>
      <c r="U91" s="42"/>
      <c r="V91" s="42"/>
      <c r="W91" s="42"/>
      <c r="X91" s="42"/>
      <c r="AN91" s="36" t="e">
        <f>VLOOKUP(I91,Sheet1!A:D,4,FALSE)</f>
        <v>#N/A</v>
      </c>
    </row>
    <row r="92" spans="1:40" s="36" customFormat="1" ht="14.25" x14ac:dyDescent="0.2">
      <c r="A92" s="57"/>
      <c r="D92" s="37"/>
      <c r="G92" s="58"/>
      <c r="K92" s="42"/>
      <c r="L92" s="42"/>
      <c r="M92" s="42"/>
      <c r="N92" s="42"/>
      <c r="O92" s="42"/>
      <c r="P92" s="42"/>
      <c r="T92" s="42"/>
      <c r="U92" s="42"/>
      <c r="V92" s="42"/>
      <c r="W92" s="42"/>
      <c r="X92" s="42"/>
      <c r="AN92" s="36" t="e">
        <f>VLOOKUP(I92,Sheet1!A:D,4,FALSE)</f>
        <v>#N/A</v>
      </c>
    </row>
    <row r="93" spans="1:40" s="36" customFormat="1" ht="14.25" x14ac:dyDescent="0.2">
      <c r="A93" s="57"/>
      <c r="D93" s="37"/>
      <c r="G93" s="58"/>
      <c r="K93" s="42"/>
      <c r="L93" s="42"/>
      <c r="M93" s="42"/>
      <c r="N93" s="42"/>
      <c r="O93" s="42"/>
      <c r="P93" s="42"/>
      <c r="T93" s="42"/>
      <c r="U93" s="42"/>
      <c r="V93" s="42"/>
      <c r="W93" s="42"/>
      <c r="X93" s="42"/>
      <c r="AN93" s="36" t="e">
        <f>VLOOKUP(I93,Sheet1!A:D,4,FALSE)</f>
        <v>#N/A</v>
      </c>
    </row>
    <row r="94" spans="1:40" s="36" customFormat="1" ht="14.25" x14ac:dyDescent="0.2">
      <c r="A94" s="57"/>
      <c r="D94" s="37"/>
      <c r="G94" s="58"/>
      <c r="K94" s="42"/>
      <c r="L94" s="42"/>
      <c r="M94" s="42"/>
      <c r="N94" s="42"/>
      <c r="O94" s="42"/>
      <c r="P94" s="42"/>
      <c r="T94" s="42"/>
      <c r="U94" s="42"/>
      <c r="V94" s="42"/>
      <c r="W94" s="42"/>
      <c r="X94" s="42"/>
      <c r="AN94" s="36" t="e">
        <f>VLOOKUP(I94,Sheet1!A:D,4,FALSE)</f>
        <v>#N/A</v>
      </c>
    </row>
    <row r="95" spans="1:40" s="36" customFormat="1" ht="14.25" x14ac:dyDescent="0.2">
      <c r="A95" s="57"/>
      <c r="D95" s="37"/>
      <c r="G95" s="58"/>
      <c r="K95" s="42"/>
      <c r="L95" s="42"/>
      <c r="M95" s="42"/>
      <c r="N95" s="42"/>
      <c r="O95" s="42"/>
      <c r="P95" s="42"/>
      <c r="T95" s="42"/>
      <c r="U95" s="42"/>
      <c r="V95" s="42"/>
      <c r="W95" s="42"/>
      <c r="X95" s="42"/>
      <c r="AN95" s="36" t="e">
        <f>VLOOKUP(I95,Sheet1!A:D,4,FALSE)</f>
        <v>#N/A</v>
      </c>
    </row>
    <row r="96" spans="1:40" s="36" customFormat="1" ht="14.25" x14ac:dyDescent="0.2">
      <c r="A96" s="57"/>
      <c r="D96" s="37"/>
      <c r="G96" s="58"/>
      <c r="K96" s="42"/>
      <c r="L96" s="42"/>
      <c r="M96" s="42"/>
      <c r="N96" s="42"/>
      <c r="O96" s="42"/>
      <c r="P96" s="42"/>
      <c r="T96" s="42"/>
      <c r="U96" s="42"/>
      <c r="V96" s="42"/>
      <c r="W96" s="42"/>
      <c r="X96" s="42"/>
      <c r="AN96" s="36" t="e">
        <f>VLOOKUP(I96,Sheet1!A:D,4,FALSE)</f>
        <v>#N/A</v>
      </c>
    </row>
    <row r="97" spans="1:40" s="36" customFormat="1" ht="14.25" x14ac:dyDescent="0.2">
      <c r="A97" s="57"/>
      <c r="D97" s="37"/>
      <c r="G97" s="58"/>
      <c r="K97" s="42"/>
      <c r="L97" s="42"/>
      <c r="M97" s="42"/>
      <c r="N97" s="42"/>
      <c r="O97" s="42"/>
      <c r="P97" s="42"/>
      <c r="T97" s="42"/>
      <c r="U97" s="42"/>
      <c r="V97" s="42"/>
      <c r="W97" s="42"/>
      <c r="X97" s="42"/>
      <c r="AN97" s="36" t="e">
        <f>VLOOKUP(I97,Sheet1!A:D,4,FALSE)</f>
        <v>#N/A</v>
      </c>
    </row>
    <row r="98" spans="1:40" s="36" customFormat="1" ht="14.25" x14ac:dyDescent="0.2">
      <c r="A98" s="57"/>
      <c r="D98" s="37"/>
      <c r="G98" s="58"/>
      <c r="K98" s="42"/>
      <c r="L98" s="42"/>
      <c r="M98" s="42"/>
      <c r="N98" s="42"/>
      <c r="O98" s="42"/>
      <c r="P98" s="42"/>
      <c r="T98" s="42"/>
      <c r="U98" s="42"/>
      <c r="V98" s="42"/>
      <c r="W98" s="42"/>
      <c r="X98" s="42"/>
      <c r="AN98" s="36" t="e">
        <f>VLOOKUP(I98,Sheet1!A:D,4,FALSE)</f>
        <v>#N/A</v>
      </c>
    </row>
    <row r="99" spans="1:40" s="36" customFormat="1" ht="14.25" x14ac:dyDescent="0.2">
      <c r="A99" s="57"/>
      <c r="D99" s="37"/>
      <c r="G99" s="58"/>
      <c r="K99" s="42"/>
      <c r="L99" s="42"/>
      <c r="M99" s="42"/>
      <c r="N99" s="42"/>
      <c r="O99" s="42"/>
      <c r="P99" s="42"/>
      <c r="T99" s="42"/>
      <c r="U99" s="42"/>
      <c r="V99" s="42"/>
      <c r="W99" s="42"/>
      <c r="X99" s="42"/>
      <c r="AN99" s="36" t="e">
        <f>VLOOKUP(I99,Sheet1!A:D,4,FALSE)</f>
        <v>#N/A</v>
      </c>
    </row>
    <row r="100" spans="1:40" s="36" customFormat="1" ht="14.25" x14ac:dyDescent="0.2">
      <c r="A100" s="57"/>
      <c r="D100" s="37"/>
      <c r="G100" s="58"/>
      <c r="K100" s="42"/>
      <c r="L100" s="42"/>
      <c r="M100" s="42"/>
      <c r="N100" s="42"/>
      <c r="O100" s="42"/>
      <c r="P100" s="42"/>
      <c r="T100" s="42"/>
      <c r="U100" s="42"/>
      <c r="V100" s="42"/>
      <c r="W100" s="42"/>
      <c r="X100" s="42"/>
      <c r="AN100" s="36" t="e">
        <f>VLOOKUP(I100,Sheet1!A:D,4,FALSE)</f>
        <v>#N/A</v>
      </c>
    </row>
    <row r="101" spans="1:40" s="36" customFormat="1" ht="14.25" x14ac:dyDescent="0.2">
      <c r="A101" s="57"/>
      <c r="D101" s="37"/>
      <c r="G101" s="58"/>
      <c r="K101" s="42"/>
      <c r="L101" s="42"/>
      <c r="M101" s="42"/>
      <c r="N101" s="42"/>
      <c r="O101" s="42"/>
      <c r="P101" s="42"/>
      <c r="T101" s="42"/>
      <c r="U101" s="42"/>
      <c r="V101" s="42"/>
      <c r="W101" s="42"/>
      <c r="X101" s="42"/>
      <c r="AN101" s="36" t="e">
        <f>VLOOKUP(I101,Sheet1!A:D,4,FALSE)</f>
        <v>#N/A</v>
      </c>
    </row>
    <row r="102" spans="1:40" s="36" customFormat="1" ht="14.25" x14ac:dyDescent="0.2">
      <c r="A102" s="57"/>
      <c r="D102" s="37"/>
      <c r="G102" s="58"/>
      <c r="K102" s="42"/>
      <c r="L102" s="42"/>
      <c r="M102" s="42"/>
      <c r="N102" s="42"/>
      <c r="O102" s="42"/>
      <c r="P102" s="42"/>
      <c r="T102" s="42"/>
      <c r="U102" s="42"/>
      <c r="V102" s="42"/>
      <c r="W102" s="42"/>
      <c r="X102" s="42"/>
      <c r="AN102" s="36" t="e">
        <f>VLOOKUP(I102,Sheet1!A:D,4,FALSE)</f>
        <v>#N/A</v>
      </c>
    </row>
    <row r="103" spans="1:40" s="36" customFormat="1" ht="14.25" x14ac:dyDescent="0.2">
      <c r="A103" s="57"/>
      <c r="D103" s="37"/>
      <c r="G103" s="58"/>
      <c r="K103" s="42"/>
      <c r="L103" s="42"/>
      <c r="M103" s="42"/>
      <c r="N103" s="42"/>
      <c r="O103" s="42"/>
      <c r="P103" s="42"/>
      <c r="T103" s="42"/>
      <c r="U103" s="42"/>
      <c r="V103" s="42"/>
      <c r="W103" s="42"/>
      <c r="X103" s="42"/>
      <c r="AN103" s="36" t="e">
        <f>VLOOKUP(I103,Sheet1!A:D,4,FALSE)</f>
        <v>#N/A</v>
      </c>
    </row>
    <row r="104" spans="1:40" s="36" customFormat="1" ht="14.25" x14ac:dyDescent="0.2">
      <c r="A104" s="57"/>
      <c r="D104" s="37"/>
      <c r="G104" s="58"/>
      <c r="K104" s="42"/>
      <c r="L104" s="42"/>
      <c r="M104" s="42"/>
      <c r="N104" s="42"/>
      <c r="O104" s="42"/>
      <c r="P104" s="42"/>
      <c r="T104" s="42"/>
      <c r="U104" s="42"/>
      <c r="V104" s="42"/>
      <c r="W104" s="42"/>
      <c r="X104" s="42"/>
      <c r="AN104" s="36" t="e">
        <f>VLOOKUP(I104,Sheet1!A:D,4,FALSE)</f>
        <v>#N/A</v>
      </c>
    </row>
    <row r="105" spans="1:40" s="36" customFormat="1" ht="14.25" x14ac:dyDescent="0.2">
      <c r="A105" s="57"/>
      <c r="D105" s="37"/>
      <c r="G105" s="58"/>
      <c r="K105" s="42"/>
      <c r="L105" s="42"/>
      <c r="M105" s="42"/>
      <c r="N105" s="42"/>
      <c r="O105" s="42"/>
      <c r="P105" s="42"/>
      <c r="T105" s="42"/>
      <c r="U105" s="42"/>
      <c r="V105" s="42"/>
      <c r="W105" s="42"/>
      <c r="X105" s="42"/>
      <c r="AN105" s="36" t="e">
        <f>VLOOKUP(I105,Sheet1!A:D,4,FALSE)</f>
        <v>#N/A</v>
      </c>
    </row>
    <row r="106" spans="1:40" s="36" customFormat="1" ht="14.25" x14ac:dyDescent="0.2">
      <c r="A106" s="57"/>
      <c r="D106" s="37"/>
      <c r="G106" s="58"/>
      <c r="K106" s="42"/>
      <c r="L106" s="42"/>
      <c r="M106" s="42"/>
      <c r="N106" s="42"/>
      <c r="O106" s="42"/>
      <c r="P106" s="42"/>
      <c r="T106" s="42"/>
      <c r="U106" s="42"/>
      <c r="V106" s="42"/>
      <c r="W106" s="42"/>
      <c r="X106" s="42"/>
      <c r="AN106" s="36" t="e">
        <f>VLOOKUP(I106,Sheet1!A:D,4,FALSE)</f>
        <v>#N/A</v>
      </c>
    </row>
    <row r="107" spans="1:40" s="36" customFormat="1" ht="14.25" x14ac:dyDescent="0.2">
      <c r="A107" s="57"/>
      <c r="D107" s="37"/>
      <c r="G107" s="58"/>
      <c r="K107" s="42"/>
      <c r="L107" s="42"/>
      <c r="M107" s="42"/>
      <c r="N107" s="42"/>
      <c r="O107" s="42"/>
      <c r="P107" s="42"/>
      <c r="T107" s="42"/>
      <c r="U107" s="42"/>
      <c r="V107" s="42"/>
      <c r="W107" s="42"/>
      <c r="X107" s="42"/>
      <c r="AN107" s="36" t="e">
        <f>VLOOKUP(I107,Sheet1!A:D,4,FALSE)</f>
        <v>#N/A</v>
      </c>
    </row>
    <row r="108" spans="1:40" s="36" customFormat="1" ht="14.25" x14ac:dyDescent="0.2">
      <c r="A108" s="57"/>
      <c r="D108" s="37"/>
      <c r="G108" s="58"/>
      <c r="K108" s="42"/>
      <c r="L108" s="42"/>
      <c r="M108" s="42"/>
      <c r="N108" s="42"/>
      <c r="O108" s="42"/>
      <c r="P108" s="42"/>
      <c r="T108" s="42"/>
      <c r="U108" s="42"/>
      <c r="V108" s="42"/>
      <c r="W108" s="42"/>
      <c r="X108" s="42"/>
      <c r="AN108" s="36" t="e">
        <f>VLOOKUP(I108,Sheet1!A:D,4,FALSE)</f>
        <v>#N/A</v>
      </c>
    </row>
    <row r="109" spans="1:40" s="36" customFormat="1" ht="14.25" x14ac:dyDescent="0.2">
      <c r="A109" s="57"/>
      <c r="D109" s="37"/>
      <c r="G109" s="58"/>
      <c r="K109" s="42"/>
      <c r="L109" s="42"/>
      <c r="M109" s="42"/>
      <c r="N109" s="42"/>
      <c r="O109" s="42"/>
      <c r="P109" s="42"/>
      <c r="T109" s="42"/>
      <c r="U109" s="42"/>
      <c r="V109" s="42"/>
      <c r="W109" s="42"/>
      <c r="X109" s="42"/>
      <c r="AN109" s="36" t="e">
        <f>VLOOKUP(I109,Sheet1!A:D,4,FALSE)</f>
        <v>#N/A</v>
      </c>
    </row>
    <row r="110" spans="1:40" s="36" customFormat="1" ht="14.25" x14ac:dyDescent="0.2">
      <c r="A110" s="57"/>
      <c r="D110" s="37"/>
      <c r="G110" s="58"/>
      <c r="K110" s="42"/>
      <c r="L110" s="42"/>
      <c r="M110" s="42"/>
      <c r="N110" s="42"/>
      <c r="O110" s="42"/>
      <c r="P110" s="42"/>
      <c r="T110" s="42"/>
      <c r="U110" s="42"/>
      <c r="V110" s="42"/>
      <c r="W110" s="42"/>
      <c r="X110" s="42"/>
      <c r="AN110" s="36" t="e">
        <f>VLOOKUP(I110,Sheet1!A:D,4,FALSE)</f>
        <v>#N/A</v>
      </c>
    </row>
    <row r="111" spans="1:40" s="36" customFormat="1" ht="14.25" x14ac:dyDescent="0.2">
      <c r="A111" s="57"/>
      <c r="D111" s="37"/>
      <c r="G111" s="58"/>
      <c r="K111" s="42"/>
      <c r="L111" s="42"/>
      <c r="M111" s="42"/>
      <c r="N111" s="42"/>
      <c r="O111" s="42"/>
      <c r="P111" s="42"/>
      <c r="T111" s="42"/>
      <c r="U111" s="42"/>
      <c r="V111" s="42"/>
      <c r="W111" s="42"/>
      <c r="X111" s="42"/>
      <c r="AN111" s="36" t="e">
        <f>VLOOKUP(I111,Sheet1!A:D,4,FALSE)</f>
        <v>#N/A</v>
      </c>
    </row>
    <row r="112" spans="1:40" s="36" customFormat="1" ht="14.25" x14ac:dyDescent="0.2">
      <c r="A112" s="57"/>
      <c r="D112" s="37"/>
      <c r="G112" s="58"/>
      <c r="K112" s="42"/>
      <c r="L112" s="42"/>
      <c r="M112" s="42"/>
      <c r="N112" s="42"/>
      <c r="O112" s="42"/>
      <c r="P112" s="42"/>
      <c r="T112" s="42"/>
      <c r="U112" s="42"/>
      <c r="V112" s="42"/>
      <c r="W112" s="42"/>
      <c r="X112" s="42"/>
      <c r="AN112" s="36" t="e">
        <f>VLOOKUP(I112,Sheet1!A:D,4,FALSE)</f>
        <v>#N/A</v>
      </c>
    </row>
    <row r="113" spans="1:40" s="36" customFormat="1" ht="14.25" x14ac:dyDescent="0.2">
      <c r="A113" s="57"/>
      <c r="D113" s="37"/>
      <c r="G113" s="58"/>
      <c r="K113" s="42"/>
      <c r="L113" s="42"/>
      <c r="M113" s="42"/>
      <c r="N113" s="42"/>
      <c r="O113" s="42"/>
      <c r="P113" s="42"/>
      <c r="T113" s="42"/>
      <c r="U113" s="42"/>
      <c r="V113" s="42"/>
      <c r="W113" s="42"/>
      <c r="X113" s="42"/>
      <c r="AN113" s="36" t="e">
        <f>VLOOKUP(I113,Sheet1!A:D,4,FALSE)</f>
        <v>#N/A</v>
      </c>
    </row>
    <row r="114" spans="1:40" s="36" customFormat="1" ht="14.25" x14ac:dyDescent="0.2">
      <c r="A114" s="57"/>
      <c r="D114" s="37"/>
      <c r="G114" s="58"/>
      <c r="K114" s="42"/>
      <c r="L114" s="42"/>
      <c r="M114" s="42"/>
      <c r="N114" s="42"/>
      <c r="O114" s="42"/>
      <c r="P114" s="42"/>
      <c r="T114" s="42"/>
      <c r="U114" s="42"/>
      <c r="V114" s="42"/>
      <c r="W114" s="42"/>
      <c r="X114" s="42"/>
      <c r="AN114" s="36" t="e">
        <f>VLOOKUP(I114,Sheet1!A:D,4,FALSE)</f>
        <v>#N/A</v>
      </c>
    </row>
    <row r="115" spans="1:40" s="36" customFormat="1" ht="14.25" x14ac:dyDescent="0.2">
      <c r="A115" s="57"/>
      <c r="D115" s="37"/>
      <c r="G115" s="58"/>
      <c r="K115" s="42"/>
      <c r="L115" s="42"/>
      <c r="M115" s="42"/>
      <c r="N115" s="42"/>
      <c r="O115" s="42"/>
      <c r="P115" s="42"/>
      <c r="T115" s="42"/>
      <c r="U115" s="42"/>
      <c r="V115" s="42"/>
      <c r="W115" s="42"/>
      <c r="X115" s="42"/>
      <c r="AN115" s="36" t="e">
        <f>VLOOKUP(I115,Sheet1!A:D,4,FALSE)</f>
        <v>#N/A</v>
      </c>
    </row>
    <row r="116" spans="1:40" s="36" customFormat="1" ht="14.25" x14ac:dyDescent="0.2">
      <c r="A116" s="57"/>
      <c r="D116" s="37"/>
      <c r="G116" s="58"/>
      <c r="K116" s="42"/>
      <c r="L116" s="42"/>
      <c r="M116" s="42"/>
      <c r="N116" s="42"/>
      <c r="O116" s="42"/>
      <c r="P116" s="42"/>
      <c r="T116" s="42"/>
      <c r="U116" s="42"/>
      <c r="V116" s="42"/>
      <c r="W116" s="42"/>
      <c r="X116" s="42"/>
      <c r="AN116" s="36" t="e">
        <f>VLOOKUP(I116,Sheet1!A:D,4,FALSE)</f>
        <v>#N/A</v>
      </c>
    </row>
    <row r="117" spans="1:40" s="36" customFormat="1" ht="14.25" x14ac:dyDescent="0.2">
      <c r="A117" s="57"/>
      <c r="D117" s="37"/>
      <c r="G117" s="58"/>
      <c r="K117" s="42"/>
      <c r="L117" s="42"/>
      <c r="M117" s="42"/>
      <c r="N117" s="42"/>
      <c r="O117" s="42"/>
      <c r="P117" s="42"/>
      <c r="T117" s="42"/>
      <c r="U117" s="42"/>
      <c r="V117" s="42"/>
      <c r="W117" s="42"/>
      <c r="X117" s="42"/>
      <c r="AN117" s="36" t="e">
        <f>VLOOKUP(I117,Sheet1!A:D,4,FALSE)</f>
        <v>#N/A</v>
      </c>
    </row>
    <row r="118" spans="1:40" s="36" customFormat="1" ht="14.25" x14ac:dyDescent="0.2">
      <c r="A118" s="57"/>
      <c r="D118" s="37"/>
      <c r="G118" s="58"/>
      <c r="K118" s="42"/>
      <c r="L118" s="42"/>
      <c r="M118" s="42"/>
      <c r="N118" s="42"/>
      <c r="O118" s="42"/>
      <c r="P118" s="42"/>
      <c r="T118" s="42"/>
      <c r="U118" s="42"/>
      <c r="V118" s="42"/>
      <c r="W118" s="42"/>
      <c r="X118" s="42"/>
      <c r="AN118" s="36" t="e">
        <f>VLOOKUP(I118,Sheet1!A:D,4,FALSE)</f>
        <v>#N/A</v>
      </c>
    </row>
    <row r="119" spans="1:40" s="36" customFormat="1" ht="14.25" x14ac:dyDescent="0.2">
      <c r="A119" s="57"/>
      <c r="D119" s="37"/>
      <c r="G119" s="58"/>
      <c r="K119" s="42"/>
      <c r="L119" s="42"/>
      <c r="M119" s="42"/>
      <c r="N119" s="42"/>
      <c r="O119" s="42"/>
      <c r="P119" s="42"/>
      <c r="T119" s="42"/>
      <c r="U119" s="42"/>
      <c r="V119" s="42"/>
      <c r="W119" s="42"/>
      <c r="X119" s="42"/>
      <c r="AN119" s="36" t="e">
        <f>VLOOKUP(I119,Sheet1!A:D,4,FALSE)</f>
        <v>#N/A</v>
      </c>
    </row>
    <row r="120" spans="1:40" s="36" customFormat="1" ht="14.25" x14ac:dyDescent="0.2">
      <c r="A120" s="57"/>
      <c r="D120" s="37"/>
      <c r="G120" s="58"/>
      <c r="K120" s="42"/>
      <c r="L120" s="42"/>
      <c r="M120" s="42"/>
      <c r="N120" s="42"/>
      <c r="O120" s="42"/>
      <c r="P120" s="42"/>
      <c r="T120" s="42"/>
      <c r="U120" s="42"/>
      <c r="V120" s="42"/>
      <c r="W120" s="42"/>
      <c r="X120" s="42"/>
      <c r="AN120" s="36" t="e">
        <f>VLOOKUP(I120,Sheet1!A:D,4,FALSE)</f>
        <v>#N/A</v>
      </c>
    </row>
    <row r="121" spans="1:40" s="36" customFormat="1" ht="14.25" x14ac:dyDescent="0.2">
      <c r="A121" s="57"/>
      <c r="D121" s="37"/>
      <c r="G121" s="58"/>
      <c r="K121" s="42"/>
      <c r="L121" s="42"/>
      <c r="M121" s="42"/>
      <c r="N121" s="42"/>
      <c r="O121" s="42"/>
      <c r="P121" s="42"/>
      <c r="T121" s="42"/>
      <c r="U121" s="42"/>
      <c r="V121" s="42"/>
      <c r="W121" s="42"/>
      <c r="X121" s="42"/>
      <c r="AN121" s="36" t="e">
        <f>VLOOKUP(I121,Sheet1!A:D,4,FALSE)</f>
        <v>#N/A</v>
      </c>
    </row>
    <row r="122" spans="1:40" s="36" customFormat="1" ht="14.25" x14ac:dyDescent="0.2">
      <c r="A122" s="57"/>
      <c r="D122" s="37"/>
      <c r="G122" s="58"/>
      <c r="K122" s="42"/>
      <c r="L122" s="42"/>
      <c r="M122" s="42"/>
      <c r="N122" s="42"/>
      <c r="O122" s="42"/>
      <c r="P122" s="42"/>
      <c r="T122" s="42"/>
      <c r="U122" s="42"/>
      <c r="V122" s="42"/>
      <c r="W122" s="42"/>
      <c r="X122" s="42"/>
      <c r="AN122" s="36" t="e">
        <f>VLOOKUP(I122,Sheet1!A:D,4,FALSE)</f>
        <v>#N/A</v>
      </c>
    </row>
    <row r="123" spans="1:40" s="36" customFormat="1" ht="14.25" x14ac:dyDescent="0.2">
      <c r="A123" s="57"/>
      <c r="D123" s="37"/>
      <c r="G123" s="58"/>
      <c r="K123" s="42"/>
      <c r="L123" s="42"/>
      <c r="M123" s="42"/>
      <c r="N123" s="42"/>
      <c r="O123" s="42"/>
      <c r="P123" s="42"/>
      <c r="T123" s="42"/>
      <c r="U123" s="42"/>
      <c r="V123" s="42"/>
      <c r="W123" s="42"/>
      <c r="X123" s="42"/>
      <c r="AN123" s="36" t="e">
        <f>VLOOKUP(I123,Sheet1!A:D,4,FALSE)</f>
        <v>#N/A</v>
      </c>
    </row>
    <row r="124" spans="1:40" s="36" customFormat="1" ht="14.25" x14ac:dyDescent="0.2">
      <c r="A124" s="57"/>
      <c r="D124" s="37"/>
      <c r="G124" s="58"/>
      <c r="K124" s="42"/>
      <c r="L124" s="42"/>
      <c r="M124" s="42"/>
      <c r="N124" s="42"/>
      <c r="O124" s="42"/>
      <c r="P124" s="42"/>
      <c r="T124" s="42"/>
      <c r="U124" s="42"/>
      <c r="V124" s="42"/>
      <c r="W124" s="42"/>
      <c r="X124" s="42"/>
      <c r="AN124" s="36" t="e">
        <f>VLOOKUP(I124,Sheet1!A:D,4,FALSE)</f>
        <v>#N/A</v>
      </c>
    </row>
    <row r="125" spans="1:40" s="36" customFormat="1" ht="14.25" x14ac:dyDescent="0.2">
      <c r="A125" s="57"/>
      <c r="D125" s="37"/>
      <c r="G125" s="58"/>
      <c r="K125" s="42"/>
      <c r="L125" s="42"/>
      <c r="M125" s="42"/>
      <c r="N125" s="42"/>
      <c r="O125" s="42"/>
      <c r="P125" s="42"/>
      <c r="T125" s="42"/>
      <c r="U125" s="42"/>
      <c r="V125" s="42"/>
      <c r="W125" s="42"/>
      <c r="X125" s="42"/>
      <c r="AN125" s="36" t="e">
        <f>VLOOKUP(I125,Sheet1!A:D,4,FALSE)</f>
        <v>#N/A</v>
      </c>
    </row>
    <row r="126" spans="1:40" s="36" customFormat="1" ht="14.25" x14ac:dyDescent="0.2">
      <c r="A126" s="57"/>
      <c r="D126" s="37"/>
      <c r="G126" s="58"/>
      <c r="K126" s="42"/>
      <c r="L126" s="42"/>
      <c r="M126" s="42"/>
      <c r="N126" s="42"/>
      <c r="O126" s="42"/>
      <c r="P126" s="42"/>
      <c r="T126" s="42"/>
      <c r="U126" s="42"/>
      <c r="V126" s="42"/>
      <c r="W126" s="42"/>
      <c r="X126" s="42"/>
      <c r="AN126" s="36" t="e">
        <f>VLOOKUP(I126,Sheet1!A:D,4,FALSE)</f>
        <v>#N/A</v>
      </c>
    </row>
    <row r="127" spans="1:40" s="36" customFormat="1" ht="14.25" x14ac:dyDescent="0.2">
      <c r="A127" s="57"/>
      <c r="D127" s="37"/>
      <c r="G127" s="58"/>
      <c r="K127" s="42"/>
      <c r="L127" s="42"/>
      <c r="M127" s="42"/>
      <c r="N127" s="42"/>
      <c r="O127" s="42"/>
      <c r="P127" s="42"/>
      <c r="T127" s="42"/>
      <c r="U127" s="42"/>
      <c r="V127" s="42"/>
      <c r="W127" s="42"/>
      <c r="X127" s="42"/>
      <c r="AN127" s="36" t="e">
        <f>VLOOKUP(I127,Sheet1!A:D,4,FALSE)</f>
        <v>#N/A</v>
      </c>
    </row>
    <row r="128" spans="1:40" s="36" customFormat="1" ht="14.25" x14ac:dyDescent="0.2">
      <c r="A128" s="57"/>
      <c r="D128" s="37"/>
      <c r="G128" s="58"/>
      <c r="K128" s="42"/>
      <c r="L128" s="42"/>
      <c r="M128" s="42"/>
      <c r="N128" s="42"/>
      <c r="O128" s="42"/>
      <c r="P128" s="42"/>
      <c r="T128" s="42"/>
      <c r="U128" s="42"/>
      <c r="V128" s="42"/>
      <c r="W128" s="42"/>
      <c r="X128" s="42"/>
      <c r="AN128" s="36" t="e">
        <f>VLOOKUP(I128,Sheet1!A:D,4,FALSE)</f>
        <v>#N/A</v>
      </c>
    </row>
    <row r="129" spans="1:40" s="36" customFormat="1" ht="14.25" x14ac:dyDescent="0.2">
      <c r="A129" s="57"/>
      <c r="D129" s="37"/>
      <c r="G129" s="58"/>
      <c r="K129" s="42"/>
      <c r="L129" s="42"/>
      <c r="M129" s="42"/>
      <c r="N129" s="42"/>
      <c r="O129" s="42"/>
      <c r="P129" s="42"/>
      <c r="T129" s="42"/>
      <c r="U129" s="42"/>
      <c r="V129" s="42"/>
      <c r="W129" s="42"/>
      <c r="X129" s="42"/>
      <c r="AN129" s="36" t="e">
        <f>VLOOKUP(I129,Sheet1!A:D,4,FALSE)</f>
        <v>#N/A</v>
      </c>
    </row>
    <row r="130" spans="1:40" s="36" customFormat="1" ht="14.25" x14ac:dyDescent="0.2">
      <c r="A130" s="57"/>
      <c r="D130" s="37"/>
      <c r="G130" s="58"/>
      <c r="K130" s="42"/>
      <c r="L130" s="42"/>
      <c r="M130" s="42"/>
      <c r="N130" s="42"/>
      <c r="O130" s="42"/>
      <c r="P130" s="42"/>
      <c r="T130" s="42"/>
      <c r="U130" s="42"/>
      <c r="V130" s="42"/>
      <c r="W130" s="42"/>
      <c r="X130" s="42"/>
      <c r="AN130" s="36" t="e">
        <f>VLOOKUP(I130,Sheet1!A:D,4,FALSE)</f>
        <v>#N/A</v>
      </c>
    </row>
    <row r="131" spans="1:40" s="36" customFormat="1" ht="14.25" x14ac:dyDescent="0.2">
      <c r="A131" s="57"/>
      <c r="D131" s="37"/>
      <c r="G131" s="58"/>
      <c r="K131" s="42"/>
      <c r="L131" s="42"/>
      <c r="M131" s="42"/>
      <c r="N131" s="42"/>
      <c r="O131" s="42"/>
      <c r="P131" s="42"/>
      <c r="T131" s="42"/>
      <c r="U131" s="42"/>
      <c r="V131" s="42"/>
      <c r="W131" s="42"/>
      <c r="X131" s="42"/>
      <c r="AN131" s="36" t="e">
        <f>VLOOKUP(I131,Sheet1!A:D,4,FALSE)</f>
        <v>#N/A</v>
      </c>
    </row>
    <row r="132" spans="1:40" s="36" customFormat="1" ht="14.25" x14ac:dyDescent="0.2">
      <c r="A132" s="57"/>
      <c r="D132" s="37"/>
      <c r="G132" s="58"/>
      <c r="K132" s="42"/>
      <c r="L132" s="42"/>
      <c r="M132" s="42"/>
      <c r="N132" s="42"/>
      <c r="O132" s="42"/>
      <c r="P132" s="42"/>
      <c r="T132" s="42"/>
      <c r="U132" s="42"/>
      <c r="V132" s="42"/>
      <c r="W132" s="42"/>
      <c r="X132" s="42"/>
      <c r="AN132" s="36" t="e">
        <f>VLOOKUP(I132,Sheet1!A:D,4,FALSE)</f>
        <v>#N/A</v>
      </c>
    </row>
    <row r="133" spans="1:40" s="36" customFormat="1" ht="14.25" x14ac:dyDescent="0.2">
      <c r="A133" s="57"/>
      <c r="D133" s="37"/>
      <c r="G133" s="58"/>
      <c r="K133" s="42"/>
      <c r="L133" s="42"/>
      <c r="M133" s="42"/>
      <c r="N133" s="42"/>
      <c r="O133" s="42"/>
      <c r="P133" s="42"/>
      <c r="T133" s="42"/>
      <c r="U133" s="42"/>
      <c r="V133" s="42"/>
      <c r="W133" s="42"/>
      <c r="X133" s="42"/>
      <c r="AN133" s="36" t="e">
        <f>VLOOKUP(I133,Sheet1!A:D,4,FALSE)</f>
        <v>#N/A</v>
      </c>
    </row>
    <row r="134" spans="1:40" s="36" customFormat="1" ht="14.25" x14ac:dyDescent="0.2">
      <c r="A134" s="57"/>
      <c r="D134" s="37"/>
      <c r="G134" s="58"/>
      <c r="K134" s="42"/>
      <c r="L134" s="42"/>
      <c r="M134" s="42"/>
      <c r="N134" s="42"/>
      <c r="O134" s="42"/>
      <c r="P134" s="42"/>
      <c r="T134" s="42"/>
      <c r="U134" s="42"/>
      <c r="V134" s="42"/>
      <c r="W134" s="42"/>
      <c r="X134" s="42"/>
      <c r="AN134" s="36" t="e">
        <f>VLOOKUP(I134,Sheet1!A:D,4,FALSE)</f>
        <v>#N/A</v>
      </c>
    </row>
    <row r="135" spans="1:40" s="36" customFormat="1" ht="14.25" x14ac:dyDescent="0.2">
      <c r="A135" s="57"/>
      <c r="D135" s="37"/>
      <c r="G135" s="58"/>
      <c r="K135" s="42"/>
      <c r="L135" s="42"/>
      <c r="M135" s="42"/>
      <c r="N135" s="42"/>
      <c r="O135" s="42"/>
      <c r="P135" s="42"/>
      <c r="T135" s="42"/>
      <c r="U135" s="42"/>
      <c r="V135" s="42"/>
      <c r="W135" s="42"/>
      <c r="X135" s="42"/>
      <c r="AN135" s="36" t="e">
        <f>VLOOKUP(I135,Sheet1!A:D,4,FALSE)</f>
        <v>#N/A</v>
      </c>
    </row>
    <row r="136" spans="1:40" s="36" customFormat="1" ht="14.25" x14ac:dyDescent="0.2">
      <c r="A136" s="57"/>
      <c r="D136" s="37"/>
      <c r="G136" s="58"/>
      <c r="K136" s="42"/>
      <c r="L136" s="42"/>
      <c r="M136" s="42"/>
      <c r="N136" s="42"/>
      <c r="O136" s="42"/>
      <c r="P136" s="42"/>
      <c r="T136" s="42"/>
      <c r="U136" s="42"/>
      <c r="V136" s="42"/>
      <c r="W136" s="42"/>
      <c r="X136" s="42"/>
      <c r="AN136" s="36" t="e">
        <f>VLOOKUP(I136,Sheet1!A:D,4,FALSE)</f>
        <v>#N/A</v>
      </c>
    </row>
    <row r="137" spans="1:40" s="36" customFormat="1" ht="14.25" x14ac:dyDescent="0.2">
      <c r="A137" s="57"/>
      <c r="D137" s="37"/>
      <c r="G137" s="58"/>
      <c r="K137" s="42"/>
      <c r="L137" s="42"/>
      <c r="M137" s="42"/>
      <c r="N137" s="42"/>
      <c r="O137" s="42"/>
      <c r="P137" s="42"/>
      <c r="T137" s="42"/>
      <c r="U137" s="42"/>
      <c r="V137" s="42"/>
      <c r="W137" s="42"/>
      <c r="X137" s="42"/>
      <c r="AN137" s="36" t="e">
        <f>VLOOKUP(I137,Sheet1!A:D,4,FALSE)</f>
        <v>#N/A</v>
      </c>
    </row>
    <row r="138" spans="1:40" s="36" customFormat="1" ht="14.25" x14ac:dyDescent="0.2">
      <c r="A138" s="57"/>
      <c r="D138" s="37"/>
      <c r="G138" s="58"/>
      <c r="K138" s="42"/>
      <c r="L138" s="42"/>
      <c r="M138" s="42"/>
      <c r="N138" s="42"/>
      <c r="O138" s="42"/>
      <c r="P138" s="42"/>
      <c r="T138" s="42"/>
      <c r="U138" s="42"/>
      <c r="V138" s="42"/>
      <c r="W138" s="42"/>
      <c r="X138" s="42"/>
      <c r="AN138" s="36" t="e">
        <f>VLOOKUP(I138,Sheet1!A:D,4,FALSE)</f>
        <v>#N/A</v>
      </c>
    </row>
    <row r="139" spans="1:40" s="36" customFormat="1" ht="14.25" x14ac:dyDescent="0.2">
      <c r="A139" s="57"/>
      <c r="D139" s="37"/>
      <c r="G139" s="58"/>
      <c r="K139" s="42"/>
      <c r="L139" s="42"/>
      <c r="M139" s="42"/>
      <c r="N139" s="42"/>
      <c r="O139" s="42"/>
      <c r="P139" s="42"/>
      <c r="T139" s="42"/>
      <c r="U139" s="42"/>
      <c r="V139" s="42"/>
      <c r="W139" s="42"/>
      <c r="X139" s="42"/>
      <c r="AN139" s="36" t="e">
        <f>VLOOKUP(I139,Sheet1!A:D,4,FALSE)</f>
        <v>#N/A</v>
      </c>
    </row>
    <row r="140" spans="1:40" s="36" customFormat="1" ht="14.25" x14ac:dyDescent="0.2">
      <c r="A140" s="57"/>
      <c r="D140" s="37"/>
      <c r="G140" s="58"/>
      <c r="K140" s="42"/>
      <c r="L140" s="42"/>
      <c r="M140" s="42"/>
      <c r="N140" s="42"/>
      <c r="O140" s="42"/>
      <c r="P140" s="42"/>
      <c r="T140" s="42"/>
      <c r="U140" s="42"/>
      <c r="V140" s="42"/>
      <c r="W140" s="42"/>
      <c r="X140" s="42"/>
      <c r="AN140" s="36" t="e">
        <f>VLOOKUP(I140,Sheet1!A:D,4,FALSE)</f>
        <v>#N/A</v>
      </c>
    </row>
    <row r="141" spans="1:40" s="36" customFormat="1" ht="14.25" x14ac:dyDescent="0.2">
      <c r="A141" s="57"/>
      <c r="D141" s="37"/>
      <c r="G141" s="58"/>
      <c r="K141" s="42"/>
      <c r="L141" s="42"/>
      <c r="M141" s="42"/>
      <c r="N141" s="42"/>
      <c r="O141" s="42"/>
      <c r="P141" s="42"/>
      <c r="T141" s="42"/>
      <c r="U141" s="42"/>
      <c r="V141" s="42"/>
      <c r="W141" s="42"/>
      <c r="X141" s="42"/>
      <c r="AN141" s="36" t="e">
        <f>VLOOKUP(I141,Sheet1!A:D,4,FALSE)</f>
        <v>#N/A</v>
      </c>
    </row>
    <row r="142" spans="1:40" s="36" customFormat="1" ht="14.25" x14ac:dyDescent="0.2">
      <c r="A142" s="57"/>
      <c r="D142" s="37"/>
      <c r="G142" s="58"/>
      <c r="K142" s="42"/>
      <c r="L142" s="42"/>
      <c r="M142" s="42"/>
      <c r="N142" s="42"/>
      <c r="O142" s="42"/>
      <c r="P142" s="42"/>
      <c r="T142" s="42"/>
      <c r="U142" s="42"/>
      <c r="V142" s="42"/>
      <c r="W142" s="42"/>
      <c r="X142" s="42"/>
      <c r="AN142" s="36" t="e">
        <f>VLOOKUP(I142,Sheet1!A:D,4,FALSE)</f>
        <v>#N/A</v>
      </c>
    </row>
    <row r="143" spans="1:40" s="36" customFormat="1" ht="14.25" x14ac:dyDescent="0.2">
      <c r="A143" s="57"/>
      <c r="D143" s="37"/>
      <c r="G143" s="58"/>
      <c r="K143" s="42"/>
      <c r="L143" s="42"/>
      <c r="M143" s="42"/>
      <c r="N143" s="42"/>
      <c r="O143" s="42"/>
      <c r="P143" s="42"/>
      <c r="T143" s="42"/>
      <c r="U143" s="42"/>
      <c r="V143" s="42"/>
      <c r="W143" s="42"/>
      <c r="X143" s="42"/>
      <c r="AN143" s="36" t="e">
        <f>VLOOKUP(I143,Sheet1!A:D,4,FALSE)</f>
        <v>#N/A</v>
      </c>
    </row>
    <row r="144" spans="1:40" s="36" customFormat="1" ht="14.25" x14ac:dyDescent="0.2">
      <c r="A144" s="57"/>
      <c r="D144" s="37"/>
      <c r="G144" s="58"/>
      <c r="K144" s="42"/>
      <c r="L144" s="42"/>
      <c r="M144" s="42"/>
      <c r="N144" s="42"/>
      <c r="O144" s="42"/>
      <c r="P144" s="42"/>
      <c r="T144" s="42"/>
      <c r="U144" s="42"/>
      <c r="V144" s="42"/>
      <c r="W144" s="42"/>
      <c r="X144" s="42"/>
      <c r="AN144" s="36" t="e">
        <f>VLOOKUP(I144,Sheet1!A:D,4,FALSE)</f>
        <v>#N/A</v>
      </c>
    </row>
    <row r="145" spans="1:40" s="36" customFormat="1" ht="14.25" x14ac:dyDescent="0.2">
      <c r="A145" s="57"/>
      <c r="D145" s="37"/>
      <c r="G145" s="58"/>
      <c r="K145" s="42"/>
      <c r="L145" s="42"/>
      <c r="M145" s="42"/>
      <c r="N145" s="42"/>
      <c r="O145" s="42"/>
      <c r="P145" s="42"/>
      <c r="T145" s="42"/>
      <c r="U145" s="42"/>
      <c r="V145" s="42"/>
      <c r="W145" s="42"/>
      <c r="X145" s="42"/>
      <c r="AN145" s="36" t="e">
        <f>VLOOKUP(I145,Sheet1!A:D,4,FALSE)</f>
        <v>#N/A</v>
      </c>
    </row>
    <row r="146" spans="1:40" s="36" customFormat="1" ht="14.25" x14ac:dyDescent="0.2">
      <c r="A146" s="57"/>
      <c r="D146" s="37"/>
      <c r="G146" s="58"/>
      <c r="K146" s="42"/>
      <c r="L146" s="42"/>
      <c r="M146" s="42"/>
      <c r="N146" s="42"/>
      <c r="O146" s="42"/>
      <c r="P146" s="42"/>
      <c r="T146" s="42"/>
      <c r="U146" s="42"/>
      <c r="V146" s="42"/>
      <c r="W146" s="42"/>
      <c r="X146" s="42"/>
      <c r="AN146" s="36" t="e">
        <f>VLOOKUP(I146,Sheet1!A:D,4,FALSE)</f>
        <v>#N/A</v>
      </c>
    </row>
    <row r="147" spans="1:40" s="36" customFormat="1" ht="14.25" x14ac:dyDescent="0.2">
      <c r="A147" s="57"/>
      <c r="D147" s="37"/>
      <c r="G147" s="58"/>
      <c r="K147" s="42"/>
      <c r="L147" s="42"/>
      <c r="M147" s="42"/>
      <c r="N147" s="42"/>
      <c r="O147" s="42"/>
      <c r="P147" s="42"/>
      <c r="T147" s="42"/>
      <c r="U147" s="42"/>
      <c r="V147" s="42"/>
      <c r="W147" s="42"/>
      <c r="X147" s="42"/>
      <c r="AN147" s="36" t="e">
        <f>VLOOKUP(I147,Sheet1!A:D,4,FALSE)</f>
        <v>#N/A</v>
      </c>
    </row>
    <row r="148" spans="1:40" s="36" customFormat="1" ht="14.25" x14ac:dyDescent="0.2">
      <c r="A148" s="57"/>
      <c r="D148" s="37"/>
      <c r="G148" s="58"/>
      <c r="K148" s="42"/>
      <c r="L148" s="42"/>
      <c r="M148" s="42"/>
      <c r="N148" s="42"/>
      <c r="O148" s="42"/>
      <c r="P148" s="42"/>
      <c r="T148" s="42"/>
      <c r="U148" s="42"/>
      <c r="V148" s="42"/>
      <c r="W148" s="42"/>
      <c r="X148" s="42"/>
      <c r="AN148" s="36" t="e">
        <f>VLOOKUP(I148,Sheet1!A:D,4,FALSE)</f>
        <v>#N/A</v>
      </c>
    </row>
    <row r="149" spans="1:40" s="36" customFormat="1" ht="14.25" x14ac:dyDescent="0.2">
      <c r="A149" s="57"/>
      <c r="D149" s="37"/>
      <c r="G149" s="58"/>
      <c r="K149" s="42"/>
      <c r="L149" s="42"/>
      <c r="M149" s="42"/>
      <c r="N149" s="42"/>
      <c r="O149" s="42"/>
      <c r="P149" s="42"/>
      <c r="T149" s="42"/>
      <c r="U149" s="42"/>
      <c r="V149" s="42"/>
      <c r="W149" s="42"/>
      <c r="X149" s="42"/>
      <c r="AN149" s="36" t="e">
        <f>VLOOKUP(I149,Sheet1!A:D,4,FALSE)</f>
        <v>#N/A</v>
      </c>
    </row>
    <row r="150" spans="1:40" s="36" customFormat="1" ht="14.25" x14ac:dyDescent="0.2">
      <c r="A150" s="57"/>
      <c r="D150" s="37"/>
      <c r="G150" s="58"/>
      <c r="K150" s="42"/>
      <c r="L150" s="42"/>
      <c r="M150" s="42"/>
      <c r="N150" s="42"/>
      <c r="O150" s="42"/>
      <c r="P150" s="42"/>
      <c r="T150" s="42"/>
      <c r="U150" s="42"/>
      <c r="V150" s="42"/>
      <c r="W150" s="42"/>
      <c r="X150" s="42"/>
      <c r="AN150" s="36" t="e">
        <f>VLOOKUP(I150,Sheet1!A:D,4,FALSE)</f>
        <v>#N/A</v>
      </c>
    </row>
    <row r="151" spans="1:40" s="36" customFormat="1" ht="14.25" x14ac:dyDescent="0.2">
      <c r="A151" s="57"/>
      <c r="D151" s="37"/>
      <c r="G151" s="58"/>
      <c r="K151" s="42"/>
      <c r="L151" s="42"/>
      <c r="M151" s="42"/>
      <c r="N151" s="42"/>
      <c r="O151" s="42"/>
      <c r="P151" s="42"/>
      <c r="T151" s="42"/>
      <c r="U151" s="42"/>
      <c r="V151" s="42"/>
      <c r="W151" s="42"/>
      <c r="X151" s="42"/>
      <c r="AN151" s="36" t="e">
        <f>VLOOKUP(I151,Sheet1!A:D,4,FALSE)</f>
        <v>#N/A</v>
      </c>
    </row>
    <row r="152" spans="1:40" s="36" customFormat="1" ht="14.25" x14ac:dyDescent="0.2">
      <c r="A152" s="57"/>
      <c r="D152" s="37"/>
      <c r="G152" s="58"/>
      <c r="K152" s="42"/>
      <c r="L152" s="42"/>
      <c r="M152" s="42"/>
      <c r="N152" s="42"/>
      <c r="O152" s="42"/>
      <c r="P152" s="42"/>
      <c r="T152" s="42"/>
      <c r="U152" s="42"/>
      <c r="V152" s="42"/>
      <c r="W152" s="42"/>
      <c r="X152" s="42"/>
      <c r="AN152" s="36" t="e">
        <f>VLOOKUP(I152,Sheet1!A:D,4,FALSE)</f>
        <v>#N/A</v>
      </c>
    </row>
    <row r="153" spans="1:40" s="36" customFormat="1" ht="14.25" x14ac:dyDescent="0.2">
      <c r="A153" s="57"/>
      <c r="D153" s="37"/>
      <c r="G153" s="58"/>
      <c r="K153" s="42"/>
      <c r="L153" s="42"/>
      <c r="M153" s="42"/>
      <c r="N153" s="42"/>
      <c r="O153" s="42"/>
      <c r="P153" s="42"/>
      <c r="T153" s="42"/>
      <c r="U153" s="42"/>
      <c r="V153" s="42"/>
      <c r="W153" s="42"/>
      <c r="X153" s="42"/>
      <c r="AN153" s="36" t="e">
        <f>VLOOKUP(I153,Sheet1!A:D,4,FALSE)</f>
        <v>#N/A</v>
      </c>
    </row>
    <row r="154" spans="1:40" s="36" customFormat="1" ht="14.25" x14ac:dyDescent="0.2">
      <c r="A154" s="57"/>
      <c r="D154" s="37"/>
      <c r="G154" s="58"/>
      <c r="K154" s="42"/>
      <c r="L154" s="42"/>
      <c r="M154" s="42"/>
      <c r="N154" s="42"/>
      <c r="O154" s="42"/>
      <c r="P154" s="42"/>
      <c r="T154" s="42"/>
      <c r="U154" s="42"/>
      <c r="V154" s="42"/>
      <c r="W154" s="42"/>
      <c r="X154" s="42"/>
      <c r="AN154" s="36" t="e">
        <f>VLOOKUP(I154,Sheet1!A:D,4,FALSE)</f>
        <v>#N/A</v>
      </c>
    </row>
    <row r="155" spans="1:40" s="36" customFormat="1" ht="14.25" x14ac:dyDescent="0.2">
      <c r="A155" s="57"/>
      <c r="D155" s="37"/>
      <c r="G155" s="58"/>
      <c r="K155" s="42"/>
      <c r="L155" s="42"/>
      <c r="M155" s="42"/>
      <c r="N155" s="42"/>
      <c r="O155" s="42"/>
      <c r="P155" s="42"/>
      <c r="T155" s="42"/>
      <c r="U155" s="42"/>
      <c r="V155" s="42"/>
      <c r="W155" s="42"/>
      <c r="X155" s="42"/>
      <c r="AN155" s="36" t="e">
        <f>VLOOKUP(I155,Sheet1!A:D,4,FALSE)</f>
        <v>#N/A</v>
      </c>
    </row>
    <row r="156" spans="1:40" s="36" customFormat="1" ht="14.25" x14ac:dyDescent="0.2">
      <c r="A156" s="57"/>
      <c r="D156" s="37"/>
      <c r="G156" s="58"/>
      <c r="K156" s="42"/>
      <c r="L156" s="42"/>
      <c r="M156" s="42"/>
      <c r="N156" s="42"/>
      <c r="O156" s="42"/>
      <c r="P156" s="42"/>
      <c r="T156" s="42"/>
      <c r="U156" s="42"/>
      <c r="V156" s="42"/>
      <c r="W156" s="42"/>
      <c r="X156" s="42"/>
      <c r="AN156" s="36" t="e">
        <f>VLOOKUP(I156,Sheet1!A:D,4,FALSE)</f>
        <v>#N/A</v>
      </c>
    </row>
    <row r="157" spans="1:40" s="36" customFormat="1" ht="14.25" x14ac:dyDescent="0.2">
      <c r="A157" s="57"/>
      <c r="D157" s="37"/>
      <c r="G157" s="58"/>
      <c r="K157" s="42"/>
      <c r="L157" s="42"/>
      <c r="M157" s="42"/>
      <c r="N157" s="42"/>
      <c r="O157" s="42"/>
      <c r="P157" s="42"/>
      <c r="T157" s="42"/>
      <c r="U157" s="42"/>
      <c r="V157" s="42"/>
      <c r="W157" s="42"/>
      <c r="X157" s="42"/>
      <c r="AN157" s="36" t="e">
        <f>VLOOKUP(I157,Sheet1!A:D,4,FALSE)</f>
        <v>#N/A</v>
      </c>
    </row>
    <row r="158" spans="1:40" s="36" customFormat="1" ht="14.25" x14ac:dyDescent="0.2">
      <c r="A158" s="57"/>
      <c r="D158" s="37"/>
      <c r="G158" s="58"/>
      <c r="K158" s="42"/>
      <c r="L158" s="42"/>
      <c r="M158" s="42"/>
      <c r="N158" s="42"/>
      <c r="O158" s="42"/>
      <c r="P158" s="42"/>
      <c r="T158" s="42"/>
      <c r="U158" s="42"/>
      <c r="V158" s="42"/>
      <c r="W158" s="42"/>
      <c r="X158" s="42"/>
      <c r="AN158" s="36" t="e">
        <f>VLOOKUP(I158,Sheet1!A:D,4,FALSE)</f>
        <v>#N/A</v>
      </c>
    </row>
    <row r="159" spans="1:40" s="36" customFormat="1" ht="14.25" x14ac:dyDescent="0.2">
      <c r="A159" s="57"/>
      <c r="D159" s="37"/>
      <c r="G159" s="58"/>
      <c r="K159" s="42"/>
      <c r="L159" s="42"/>
      <c r="M159" s="42"/>
      <c r="N159" s="42"/>
      <c r="O159" s="42"/>
      <c r="P159" s="42"/>
      <c r="T159" s="42"/>
      <c r="U159" s="42"/>
      <c r="V159" s="42"/>
      <c r="W159" s="42"/>
      <c r="X159" s="42"/>
      <c r="AN159" s="36" t="e">
        <f>VLOOKUP(I159,Sheet1!A:D,4,FALSE)</f>
        <v>#N/A</v>
      </c>
    </row>
    <row r="160" spans="1:40" s="36" customFormat="1" ht="14.25" x14ac:dyDescent="0.2">
      <c r="A160" s="57"/>
      <c r="D160" s="37"/>
      <c r="G160" s="58"/>
      <c r="K160" s="42"/>
      <c r="L160" s="42"/>
      <c r="M160" s="42"/>
      <c r="N160" s="42"/>
      <c r="O160" s="42"/>
      <c r="P160" s="42"/>
      <c r="T160" s="42"/>
      <c r="U160" s="42"/>
      <c r="V160" s="42"/>
      <c r="W160" s="42"/>
      <c r="X160" s="42"/>
      <c r="AN160" s="36" t="e">
        <f>VLOOKUP(I160,Sheet1!A:D,4,FALSE)</f>
        <v>#N/A</v>
      </c>
    </row>
    <row r="161" spans="1:40" s="36" customFormat="1" ht="14.25" x14ac:dyDescent="0.2">
      <c r="A161" s="57"/>
      <c r="D161" s="37"/>
      <c r="G161" s="58"/>
      <c r="K161" s="42"/>
      <c r="L161" s="42"/>
      <c r="M161" s="42"/>
      <c r="N161" s="42"/>
      <c r="O161" s="42"/>
      <c r="P161" s="42"/>
      <c r="T161" s="42"/>
      <c r="U161" s="42"/>
      <c r="V161" s="42"/>
      <c r="W161" s="42"/>
      <c r="X161" s="42"/>
      <c r="AN161" s="36" t="e">
        <f>VLOOKUP(I161,Sheet1!A:D,4,FALSE)</f>
        <v>#N/A</v>
      </c>
    </row>
    <row r="162" spans="1:40" s="36" customFormat="1" ht="14.25" x14ac:dyDescent="0.2">
      <c r="A162" s="57"/>
      <c r="D162" s="37"/>
      <c r="G162" s="58"/>
      <c r="K162" s="42"/>
      <c r="L162" s="42"/>
      <c r="M162" s="42"/>
      <c r="N162" s="42"/>
      <c r="O162" s="42"/>
      <c r="P162" s="42"/>
      <c r="T162" s="42"/>
      <c r="U162" s="42"/>
      <c r="V162" s="42"/>
      <c r="W162" s="42"/>
      <c r="X162" s="42"/>
      <c r="AN162" s="36" t="e">
        <f>VLOOKUP(I162,Sheet1!A:D,4,FALSE)</f>
        <v>#N/A</v>
      </c>
    </row>
    <row r="163" spans="1:40" s="36" customFormat="1" ht="14.25" x14ac:dyDescent="0.2">
      <c r="A163" s="57"/>
      <c r="D163" s="37"/>
      <c r="G163" s="58"/>
      <c r="K163" s="42"/>
      <c r="L163" s="42"/>
      <c r="M163" s="42"/>
      <c r="N163" s="42"/>
      <c r="O163" s="42"/>
      <c r="P163" s="42"/>
      <c r="T163" s="42"/>
      <c r="U163" s="42"/>
      <c r="V163" s="42"/>
      <c r="W163" s="42"/>
      <c r="X163" s="42"/>
      <c r="AN163" s="36" t="e">
        <f>VLOOKUP(I163,Sheet1!A:D,4,FALSE)</f>
        <v>#N/A</v>
      </c>
    </row>
    <row r="164" spans="1:40" s="36" customFormat="1" ht="14.25" x14ac:dyDescent="0.2">
      <c r="A164" s="57"/>
      <c r="D164" s="37"/>
      <c r="G164" s="58"/>
      <c r="K164" s="42"/>
      <c r="L164" s="42"/>
      <c r="M164" s="42"/>
      <c r="N164" s="42"/>
      <c r="O164" s="42"/>
      <c r="P164" s="42"/>
      <c r="T164" s="42"/>
      <c r="U164" s="42"/>
      <c r="V164" s="42"/>
      <c r="W164" s="42"/>
      <c r="X164" s="42"/>
      <c r="AN164" s="36" t="e">
        <f>VLOOKUP(I164,Sheet1!A:D,4,FALSE)</f>
        <v>#N/A</v>
      </c>
    </row>
    <row r="165" spans="1:40" s="36" customFormat="1" ht="14.25" x14ac:dyDescent="0.2">
      <c r="A165" s="57"/>
      <c r="D165" s="37"/>
      <c r="G165" s="58"/>
      <c r="K165" s="42"/>
      <c r="L165" s="42"/>
      <c r="M165" s="42"/>
      <c r="N165" s="42"/>
      <c r="O165" s="42"/>
      <c r="P165" s="42"/>
      <c r="T165" s="42"/>
      <c r="U165" s="42"/>
      <c r="V165" s="42"/>
      <c r="W165" s="42"/>
      <c r="X165" s="42"/>
      <c r="AN165" s="36" t="e">
        <f>VLOOKUP(I165,Sheet1!A:D,4,FALSE)</f>
        <v>#N/A</v>
      </c>
    </row>
    <row r="166" spans="1:40" s="36" customFormat="1" ht="14.25" x14ac:dyDescent="0.2">
      <c r="A166" s="57"/>
      <c r="D166" s="37"/>
      <c r="G166" s="58"/>
      <c r="K166" s="42"/>
      <c r="L166" s="42"/>
      <c r="M166" s="42"/>
      <c r="N166" s="42"/>
      <c r="O166" s="42"/>
      <c r="P166" s="42"/>
      <c r="T166" s="42"/>
      <c r="U166" s="42"/>
      <c r="V166" s="42"/>
      <c r="W166" s="42"/>
      <c r="X166" s="42"/>
      <c r="AN166" s="36" t="e">
        <f>VLOOKUP(I166,Sheet1!A:D,4,FALSE)</f>
        <v>#N/A</v>
      </c>
    </row>
    <row r="167" spans="1:40" s="36" customFormat="1" ht="14.25" x14ac:dyDescent="0.2">
      <c r="A167" s="57"/>
      <c r="D167" s="37"/>
      <c r="G167" s="58"/>
      <c r="K167" s="42"/>
      <c r="L167" s="42"/>
      <c r="M167" s="42"/>
      <c r="N167" s="42"/>
      <c r="O167" s="42"/>
      <c r="P167" s="42"/>
      <c r="T167" s="42"/>
      <c r="U167" s="42"/>
      <c r="V167" s="42"/>
      <c r="W167" s="42"/>
      <c r="X167" s="42"/>
      <c r="AN167" s="36" t="e">
        <f>VLOOKUP(I167,Sheet1!A:D,4,FALSE)</f>
        <v>#N/A</v>
      </c>
    </row>
    <row r="168" spans="1:40" s="36" customFormat="1" ht="14.25" x14ac:dyDescent="0.2">
      <c r="A168" s="57"/>
      <c r="D168" s="37"/>
      <c r="G168" s="58"/>
      <c r="K168" s="42"/>
      <c r="L168" s="42"/>
      <c r="M168" s="42"/>
      <c r="N168" s="42"/>
      <c r="O168" s="42"/>
      <c r="P168" s="42"/>
      <c r="T168" s="42"/>
      <c r="U168" s="42"/>
      <c r="V168" s="42"/>
      <c r="W168" s="42"/>
      <c r="X168" s="42"/>
      <c r="AN168" s="36" t="e">
        <f>VLOOKUP(I168,Sheet1!A:D,4,FALSE)</f>
        <v>#N/A</v>
      </c>
    </row>
    <row r="169" spans="1:40" s="36" customFormat="1" ht="14.25" x14ac:dyDescent="0.2">
      <c r="A169" s="57"/>
      <c r="D169" s="37"/>
      <c r="G169" s="58"/>
      <c r="K169" s="42"/>
      <c r="L169" s="42"/>
      <c r="M169" s="42"/>
      <c r="N169" s="42"/>
      <c r="O169" s="42"/>
      <c r="P169" s="42"/>
      <c r="T169" s="42"/>
      <c r="U169" s="42"/>
      <c r="V169" s="42"/>
      <c r="W169" s="42"/>
      <c r="X169" s="42"/>
      <c r="AN169" s="36" t="e">
        <f>VLOOKUP(I169,Sheet1!A:D,4,FALSE)</f>
        <v>#N/A</v>
      </c>
    </row>
    <row r="170" spans="1:40" s="36" customFormat="1" ht="14.25" x14ac:dyDescent="0.2">
      <c r="A170" s="57"/>
      <c r="D170" s="37"/>
      <c r="G170" s="58"/>
      <c r="K170" s="42"/>
      <c r="L170" s="42"/>
      <c r="M170" s="42"/>
      <c r="N170" s="42"/>
      <c r="O170" s="42"/>
      <c r="P170" s="42"/>
      <c r="T170" s="42"/>
      <c r="U170" s="42"/>
      <c r="V170" s="42"/>
      <c r="W170" s="42"/>
      <c r="X170" s="42"/>
      <c r="AN170" s="36" t="e">
        <f>VLOOKUP(I170,Sheet1!A:D,4,FALSE)</f>
        <v>#N/A</v>
      </c>
    </row>
    <row r="171" spans="1:40" s="36" customFormat="1" ht="14.25" x14ac:dyDescent="0.2">
      <c r="A171" s="57"/>
      <c r="D171" s="37"/>
      <c r="G171" s="58"/>
      <c r="K171" s="42"/>
      <c r="L171" s="42"/>
      <c r="M171" s="42"/>
      <c r="N171" s="42"/>
      <c r="O171" s="42"/>
      <c r="P171" s="42"/>
      <c r="T171" s="42"/>
      <c r="U171" s="42"/>
      <c r="V171" s="42"/>
      <c r="W171" s="42"/>
      <c r="X171" s="42"/>
      <c r="AN171" s="36" t="e">
        <f>VLOOKUP(I171,Sheet1!A:D,4,FALSE)</f>
        <v>#N/A</v>
      </c>
    </row>
    <row r="172" spans="1:40" s="36" customFormat="1" ht="14.25" x14ac:dyDescent="0.2">
      <c r="A172" s="57"/>
      <c r="D172" s="37"/>
      <c r="G172" s="58"/>
      <c r="K172" s="42"/>
      <c r="L172" s="42"/>
      <c r="M172" s="42"/>
      <c r="N172" s="42"/>
      <c r="O172" s="42"/>
      <c r="P172" s="42"/>
      <c r="T172" s="42"/>
      <c r="U172" s="42"/>
      <c r="V172" s="42"/>
      <c r="W172" s="42"/>
      <c r="X172" s="42"/>
      <c r="AN172" s="36" t="e">
        <f>VLOOKUP(I172,Sheet1!A:D,4,FALSE)</f>
        <v>#N/A</v>
      </c>
    </row>
    <row r="173" spans="1:40" s="36" customFormat="1" ht="14.25" x14ac:dyDescent="0.2">
      <c r="A173" s="57"/>
      <c r="D173" s="37"/>
      <c r="G173" s="58"/>
      <c r="K173" s="42"/>
      <c r="L173" s="42"/>
      <c r="M173" s="42"/>
      <c r="N173" s="42"/>
      <c r="O173" s="42"/>
      <c r="P173" s="42"/>
      <c r="T173" s="42"/>
      <c r="U173" s="42"/>
      <c r="V173" s="42"/>
      <c r="W173" s="42"/>
      <c r="X173" s="42"/>
      <c r="AN173" s="36" t="e">
        <f>VLOOKUP(I173,Sheet1!A:D,4,FALSE)</f>
        <v>#N/A</v>
      </c>
    </row>
    <row r="174" spans="1:40" s="36" customFormat="1" ht="14.25" x14ac:dyDescent="0.2">
      <c r="A174" s="57"/>
      <c r="D174" s="37"/>
      <c r="G174" s="58"/>
      <c r="K174" s="42"/>
      <c r="L174" s="42"/>
      <c r="M174" s="42"/>
      <c r="N174" s="42"/>
      <c r="O174" s="42"/>
      <c r="P174" s="42"/>
      <c r="T174" s="42"/>
      <c r="U174" s="42"/>
      <c r="V174" s="42"/>
      <c r="W174" s="42"/>
      <c r="X174" s="42"/>
      <c r="AN174" s="36" t="e">
        <f>VLOOKUP(I174,Sheet1!A:D,4,FALSE)</f>
        <v>#N/A</v>
      </c>
    </row>
    <row r="175" spans="1:40" s="36" customFormat="1" ht="14.25" x14ac:dyDescent="0.2">
      <c r="A175" s="57"/>
      <c r="D175" s="37"/>
      <c r="G175" s="58"/>
      <c r="K175" s="42"/>
      <c r="L175" s="42"/>
      <c r="M175" s="42"/>
      <c r="N175" s="42"/>
      <c r="O175" s="42"/>
      <c r="P175" s="42"/>
      <c r="T175" s="42"/>
      <c r="U175" s="42"/>
      <c r="V175" s="42"/>
      <c r="W175" s="42"/>
      <c r="X175" s="42"/>
      <c r="AN175" s="36" t="e">
        <f>VLOOKUP(I175,Sheet1!A:D,4,FALSE)</f>
        <v>#N/A</v>
      </c>
    </row>
    <row r="176" spans="1:40" s="36" customFormat="1" ht="14.25" x14ac:dyDescent="0.2">
      <c r="A176" s="57"/>
      <c r="D176" s="37"/>
      <c r="G176" s="58"/>
      <c r="K176" s="42"/>
      <c r="L176" s="42"/>
      <c r="M176" s="42"/>
      <c r="N176" s="42"/>
      <c r="O176" s="42"/>
      <c r="P176" s="42"/>
      <c r="T176" s="42"/>
      <c r="U176" s="42"/>
      <c r="V176" s="42"/>
      <c r="W176" s="42"/>
      <c r="X176" s="42"/>
      <c r="AN176" s="36" t="e">
        <f>VLOOKUP(I176,Sheet1!A:D,4,FALSE)</f>
        <v>#N/A</v>
      </c>
    </row>
    <row r="177" spans="1:40" s="36" customFormat="1" ht="14.25" x14ac:dyDescent="0.2">
      <c r="A177" s="57"/>
      <c r="D177" s="37"/>
      <c r="G177" s="58"/>
      <c r="K177" s="42"/>
      <c r="L177" s="42"/>
      <c r="M177" s="42"/>
      <c r="N177" s="42"/>
      <c r="O177" s="42"/>
      <c r="P177" s="42"/>
      <c r="T177" s="42"/>
      <c r="U177" s="42"/>
      <c r="V177" s="42"/>
      <c r="W177" s="42"/>
      <c r="X177" s="42"/>
      <c r="AN177" s="36" t="e">
        <f>VLOOKUP(I177,Sheet1!A:D,4,FALSE)</f>
        <v>#N/A</v>
      </c>
    </row>
    <row r="178" spans="1:40" s="36" customFormat="1" ht="14.25" x14ac:dyDescent="0.2">
      <c r="A178" s="57"/>
      <c r="D178" s="37"/>
      <c r="G178" s="58"/>
      <c r="K178" s="42"/>
      <c r="L178" s="42"/>
      <c r="M178" s="42"/>
      <c r="N178" s="42"/>
      <c r="O178" s="42"/>
      <c r="P178" s="42"/>
      <c r="T178" s="42"/>
      <c r="U178" s="42"/>
      <c r="V178" s="42"/>
      <c r="W178" s="42"/>
      <c r="X178" s="42"/>
      <c r="AN178" s="36" t="e">
        <f>VLOOKUP(I178,Sheet1!A:D,4,FALSE)</f>
        <v>#N/A</v>
      </c>
    </row>
    <row r="179" spans="1:40" s="36" customFormat="1" ht="14.25" x14ac:dyDescent="0.2">
      <c r="A179" s="57"/>
      <c r="D179" s="37"/>
      <c r="G179" s="58"/>
      <c r="K179" s="42"/>
      <c r="L179" s="42"/>
      <c r="M179" s="42"/>
      <c r="N179" s="42"/>
      <c r="O179" s="42"/>
      <c r="P179" s="42"/>
      <c r="T179" s="42"/>
      <c r="U179" s="42"/>
      <c r="V179" s="42"/>
      <c r="W179" s="42"/>
      <c r="X179" s="42"/>
      <c r="AN179" s="36" t="e">
        <f>VLOOKUP(I179,Sheet1!A:D,4,FALSE)</f>
        <v>#N/A</v>
      </c>
    </row>
    <row r="180" spans="1:40" s="36" customFormat="1" ht="14.25" x14ac:dyDescent="0.2">
      <c r="A180" s="57"/>
      <c r="D180" s="37"/>
      <c r="G180" s="58"/>
      <c r="K180" s="42"/>
      <c r="L180" s="42"/>
      <c r="M180" s="42"/>
      <c r="N180" s="42"/>
      <c r="O180" s="42"/>
      <c r="P180" s="42"/>
      <c r="T180" s="42"/>
      <c r="U180" s="42"/>
      <c r="V180" s="42"/>
      <c r="W180" s="42"/>
      <c r="X180" s="42"/>
      <c r="AN180" s="36" t="e">
        <f>VLOOKUP(I180,Sheet1!A:D,4,FALSE)</f>
        <v>#N/A</v>
      </c>
    </row>
    <row r="181" spans="1:40" s="36" customFormat="1" ht="14.25" x14ac:dyDescent="0.2">
      <c r="A181" s="57"/>
      <c r="D181" s="37"/>
      <c r="G181" s="58"/>
      <c r="K181" s="42"/>
      <c r="L181" s="42"/>
      <c r="M181" s="42"/>
      <c r="N181" s="42"/>
      <c r="O181" s="42"/>
      <c r="P181" s="42"/>
      <c r="T181" s="42"/>
      <c r="U181" s="42"/>
      <c r="V181" s="42"/>
      <c r="W181" s="42"/>
      <c r="X181" s="42"/>
      <c r="AN181" s="36" t="e">
        <f>VLOOKUP(I181,Sheet1!A:D,4,FALSE)</f>
        <v>#N/A</v>
      </c>
    </row>
    <row r="182" spans="1:40" s="36" customFormat="1" ht="14.25" x14ac:dyDescent="0.2">
      <c r="A182" s="57"/>
      <c r="D182" s="37"/>
      <c r="G182" s="58"/>
      <c r="K182" s="42"/>
      <c r="L182" s="42"/>
      <c r="M182" s="42"/>
      <c r="N182" s="42"/>
      <c r="O182" s="42"/>
      <c r="P182" s="42"/>
      <c r="T182" s="42"/>
      <c r="U182" s="42"/>
      <c r="V182" s="42"/>
      <c r="W182" s="42"/>
      <c r="X182" s="42"/>
      <c r="AN182" s="36" t="e">
        <f>VLOOKUP(I182,Sheet1!A:D,4,FALSE)</f>
        <v>#N/A</v>
      </c>
    </row>
    <row r="183" spans="1:40" s="36" customFormat="1" ht="14.25" x14ac:dyDescent="0.2">
      <c r="A183" s="57"/>
      <c r="D183" s="37"/>
      <c r="G183" s="58"/>
      <c r="K183" s="42"/>
      <c r="L183" s="42"/>
      <c r="M183" s="42"/>
      <c r="N183" s="42"/>
      <c r="O183" s="42"/>
      <c r="P183" s="42"/>
      <c r="T183" s="42"/>
      <c r="U183" s="42"/>
      <c r="V183" s="42"/>
      <c r="W183" s="42"/>
      <c r="X183" s="42"/>
      <c r="AN183" s="36" t="e">
        <f>VLOOKUP(I183,Sheet1!A:D,4,FALSE)</f>
        <v>#N/A</v>
      </c>
    </row>
    <row r="184" spans="1:40" s="36" customFormat="1" ht="14.25" x14ac:dyDescent="0.2">
      <c r="A184" s="57"/>
      <c r="D184" s="37"/>
      <c r="G184" s="58"/>
      <c r="K184" s="42"/>
      <c r="L184" s="42"/>
      <c r="M184" s="42"/>
      <c r="N184" s="42"/>
      <c r="O184" s="42"/>
      <c r="P184" s="42"/>
      <c r="T184" s="42"/>
      <c r="U184" s="42"/>
      <c r="V184" s="42"/>
      <c r="W184" s="42"/>
      <c r="X184" s="42"/>
      <c r="AN184" s="36" t="e">
        <f>VLOOKUP(I184,Sheet1!A:D,4,FALSE)</f>
        <v>#N/A</v>
      </c>
    </row>
    <row r="185" spans="1:40" s="36" customFormat="1" ht="14.25" x14ac:dyDescent="0.2">
      <c r="A185" s="57"/>
      <c r="D185" s="37"/>
      <c r="G185" s="58"/>
      <c r="K185" s="42"/>
      <c r="L185" s="42"/>
      <c r="M185" s="42"/>
      <c r="N185" s="42"/>
      <c r="O185" s="42"/>
      <c r="P185" s="42"/>
      <c r="T185" s="42"/>
      <c r="U185" s="42"/>
      <c r="V185" s="42"/>
      <c r="W185" s="42"/>
      <c r="X185" s="42"/>
      <c r="AN185" s="36" t="e">
        <f>VLOOKUP(I185,Sheet1!A:D,4,FALSE)</f>
        <v>#N/A</v>
      </c>
    </row>
    <row r="186" spans="1:40" s="36" customFormat="1" ht="14.25" x14ac:dyDescent="0.2">
      <c r="A186" s="57"/>
      <c r="D186" s="37"/>
      <c r="G186" s="58"/>
      <c r="K186" s="42"/>
      <c r="L186" s="42"/>
      <c r="M186" s="42"/>
      <c r="N186" s="42"/>
      <c r="O186" s="42"/>
      <c r="P186" s="42"/>
      <c r="T186" s="42"/>
      <c r="U186" s="42"/>
      <c r="V186" s="42"/>
      <c r="W186" s="42"/>
      <c r="X186" s="42"/>
      <c r="AN186" s="36" t="e">
        <f>VLOOKUP(I186,Sheet1!A:D,4,FALSE)</f>
        <v>#N/A</v>
      </c>
    </row>
    <row r="187" spans="1:40" s="36" customFormat="1" ht="14.25" x14ac:dyDescent="0.2">
      <c r="A187" s="57"/>
      <c r="D187" s="37"/>
      <c r="G187" s="58"/>
      <c r="K187" s="42"/>
      <c r="L187" s="42"/>
      <c r="M187" s="42"/>
      <c r="N187" s="42"/>
      <c r="O187" s="42"/>
      <c r="P187" s="42"/>
      <c r="T187" s="42"/>
      <c r="U187" s="42"/>
      <c r="V187" s="42"/>
      <c r="W187" s="42"/>
      <c r="X187" s="42"/>
      <c r="AN187" s="36" t="e">
        <f>VLOOKUP(I187,Sheet1!A:D,4,FALSE)</f>
        <v>#N/A</v>
      </c>
    </row>
    <row r="188" spans="1:40" s="36" customFormat="1" ht="14.25" x14ac:dyDescent="0.2">
      <c r="A188" s="57"/>
      <c r="D188" s="37"/>
      <c r="G188" s="58"/>
      <c r="K188" s="42"/>
      <c r="L188" s="42"/>
      <c r="M188" s="42"/>
      <c r="N188" s="42"/>
      <c r="O188" s="42"/>
      <c r="P188" s="42"/>
      <c r="T188" s="42"/>
      <c r="U188" s="42"/>
      <c r="V188" s="42"/>
      <c r="W188" s="42"/>
      <c r="X188" s="42"/>
      <c r="AN188" s="36" t="e">
        <f>VLOOKUP(I188,Sheet1!A:D,4,FALSE)</f>
        <v>#N/A</v>
      </c>
    </row>
    <row r="189" spans="1:40" s="36" customFormat="1" ht="14.25" x14ac:dyDescent="0.2">
      <c r="A189" s="57"/>
      <c r="D189" s="37"/>
      <c r="G189" s="58"/>
      <c r="K189" s="42"/>
      <c r="L189" s="42"/>
      <c r="M189" s="42"/>
      <c r="N189" s="42"/>
      <c r="O189" s="42"/>
      <c r="P189" s="42"/>
      <c r="T189" s="42"/>
      <c r="U189" s="42"/>
      <c r="V189" s="42"/>
      <c r="W189" s="42"/>
      <c r="X189" s="42"/>
      <c r="AN189" s="36" t="e">
        <f>VLOOKUP(I189,Sheet1!A:D,4,FALSE)</f>
        <v>#N/A</v>
      </c>
    </row>
    <row r="190" spans="1:40" s="36" customFormat="1" ht="14.25" x14ac:dyDescent="0.2">
      <c r="A190" s="57"/>
      <c r="D190" s="37"/>
      <c r="G190" s="58"/>
      <c r="K190" s="42"/>
      <c r="L190" s="42"/>
      <c r="M190" s="42"/>
      <c r="N190" s="42"/>
      <c r="O190" s="42"/>
      <c r="P190" s="42"/>
      <c r="T190" s="42"/>
      <c r="U190" s="42"/>
      <c r="V190" s="42"/>
      <c r="W190" s="42"/>
      <c r="X190" s="42"/>
      <c r="AN190" s="36" t="e">
        <f>VLOOKUP(I190,Sheet1!A:D,4,FALSE)</f>
        <v>#N/A</v>
      </c>
    </row>
    <row r="191" spans="1:40" s="36" customFormat="1" ht="14.25" x14ac:dyDescent="0.2">
      <c r="A191" s="57"/>
      <c r="D191" s="37"/>
      <c r="G191" s="58"/>
      <c r="K191" s="42"/>
      <c r="L191" s="42"/>
      <c r="M191" s="42"/>
      <c r="N191" s="42"/>
      <c r="O191" s="42"/>
      <c r="P191" s="42"/>
      <c r="T191" s="42"/>
      <c r="U191" s="42"/>
      <c r="V191" s="42"/>
      <c r="W191" s="42"/>
      <c r="X191" s="42"/>
      <c r="AN191" s="36" t="e">
        <f>VLOOKUP(I191,Sheet1!A:D,4,FALSE)</f>
        <v>#N/A</v>
      </c>
    </row>
    <row r="192" spans="1:40" s="36" customFormat="1" ht="14.25" x14ac:dyDescent="0.2">
      <c r="A192" s="57"/>
      <c r="D192" s="37"/>
      <c r="G192" s="58"/>
      <c r="K192" s="42"/>
      <c r="L192" s="42"/>
      <c r="M192" s="42"/>
      <c r="N192" s="42"/>
      <c r="O192" s="42"/>
      <c r="P192" s="42"/>
      <c r="T192" s="42"/>
      <c r="U192" s="42"/>
      <c r="V192" s="42"/>
      <c r="W192" s="42"/>
      <c r="X192" s="42"/>
      <c r="AN192" s="36" t="e">
        <f>VLOOKUP(I192,Sheet1!A:D,4,FALSE)</f>
        <v>#N/A</v>
      </c>
    </row>
    <row r="193" spans="1:40" s="36" customFormat="1" ht="14.25" x14ac:dyDescent="0.2">
      <c r="A193" s="57"/>
      <c r="D193" s="37"/>
      <c r="G193" s="58"/>
      <c r="K193" s="42"/>
      <c r="L193" s="42"/>
      <c r="M193" s="42"/>
      <c r="N193" s="42"/>
      <c r="O193" s="42"/>
      <c r="P193" s="42"/>
      <c r="T193" s="42"/>
      <c r="U193" s="42"/>
      <c r="V193" s="42"/>
      <c r="W193" s="42"/>
      <c r="X193" s="42"/>
      <c r="AN193" s="36" t="e">
        <f>VLOOKUP(I193,Sheet1!A:D,4,FALSE)</f>
        <v>#N/A</v>
      </c>
    </row>
    <row r="194" spans="1:40" s="36" customFormat="1" ht="14.25" x14ac:dyDescent="0.2">
      <c r="A194" s="57"/>
      <c r="D194" s="37"/>
      <c r="G194" s="58"/>
      <c r="K194" s="42"/>
      <c r="L194" s="42"/>
      <c r="M194" s="42"/>
      <c r="N194" s="42"/>
      <c r="O194" s="42"/>
      <c r="P194" s="42"/>
      <c r="T194" s="42"/>
      <c r="U194" s="42"/>
      <c r="V194" s="42"/>
      <c r="W194" s="42"/>
      <c r="X194" s="42"/>
      <c r="AN194" s="36" t="e">
        <f>VLOOKUP(I194,Sheet1!A:D,4,FALSE)</f>
        <v>#N/A</v>
      </c>
    </row>
    <row r="195" spans="1:40" s="36" customFormat="1" ht="14.25" x14ac:dyDescent="0.2">
      <c r="A195" s="57"/>
      <c r="D195" s="37"/>
      <c r="G195" s="58"/>
      <c r="K195" s="42"/>
      <c r="L195" s="42"/>
      <c r="M195" s="42"/>
      <c r="N195" s="42"/>
      <c r="O195" s="42"/>
      <c r="P195" s="42"/>
      <c r="T195" s="42"/>
      <c r="U195" s="42"/>
      <c r="V195" s="42"/>
      <c r="W195" s="42"/>
      <c r="X195" s="42"/>
      <c r="AN195" s="36" t="e">
        <f>VLOOKUP(I195,Sheet1!A:D,4,FALSE)</f>
        <v>#N/A</v>
      </c>
    </row>
    <row r="196" spans="1:40" s="36" customFormat="1" ht="14.25" x14ac:dyDescent="0.2">
      <c r="A196" s="57"/>
      <c r="D196" s="37"/>
      <c r="G196" s="58"/>
      <c r="K196" s="42"/>
      <c r="L196" s="42"/>
      <c r="M196" s="42"/>
      <c r="N196" s="42"/>
      <c r="O196" s="42"/>
      <c r="P196" s="42"/>
      <c r="T196" s="42"/>
      <c r="U196" s="42"/>
      <c r="V196" s="42"/>
      <c r="W196" s="42"/>
      <c r="X196" s="42"/>
      <c r="AN196" s="36" t="e">
        <f>VLOOKUP(I196,Sheet1!A:D,4,FALSE)</f>
        <v>#N/A</v>
      </c>
    </row>
    <row r="197" spans="1:40" s="36" customFormat="1" ht="14.25" x14ac:dyDescent="0.2">
      <c r="A197" s="57"/>
      <c r="D197" s="37"/>
      <c r="G197" s="58"/>
      <c r="K197" s="42"/>
      <c r="L197" s="42"/>
      <c r="M197" s="42"/>
      <c r="N197" s="42"/>
      <c r="O197" s="42"/>
      <c r="P197" s="42"/>
      <c r="T197" s="42"/>
      <c r="U197" s="42"/>
      <c r="V197" s="42"/>
      <c r="W197" s="42"/>
      <c r="X197" s="42"/>
      <c r="AN197" s="36" t="e">
        <f>VLOOKUP(I197,Sheet1!A:D,4,FALSE)</f>
        <v>#N/A</v>
      </c>
    </row>
    <row r="198" spans="1:40" s="62" customFormat="1" ht="14.25" x14ac:dyDescent="0.2">
      <c r="A198" s="61"/>
      <c r="D198" s="65"/>
      <c r="G198" s="63"/>
      <c r="K198" s="64"/>
      <c r="L198" s="64"/>
      <c r="M198" s="64"/>
      <c r="N198" s="64"/>
      <c r="O198" s="64"/>
      <c r="P198" s="64"/>
      <c r="T198" s="64"/>
      <c r="U198" s="64"/>
      <c r="V198" s="64"/>
      <c r="W198" s="64"/>
      <c r="X198" s="64"/>
      <c r="AN198" s="62" t="e">
        <f>VLOOKUP(I198,Sheet1!A:D,4,FALSE)</f>
        <v>#N/A</v>
      </c>
    </row>
    <row r="199" spans="1:40" s="62" customFormat="1" ht="14.25" x14ac:dyDescent="0.2">
      <c r="A199" s="61"/>
      <c r="D199" s="65"/>
      <c r="G199" s="63"/>
      <c r="K199" s="64"/>
      <c r="L199" s="64"/>
      <c r="M199" s="64"/>
      <c r="N199" s="64"/>
      <c r="O199" s="64"/>
      <c r="P199" s="64"/>
      <c r="T199" s="64"/>
      <c r="U199" s="64"/>
      <c r="V199" s="64"/>
      <c r="W199" s="64"/>
      <c r="X199" s="64"/>
      <c r="AN199" s="62" t="e">
        <f>VLOOKUP(I199,Sheet1!A:D,4,FALSE)</f>
        <v>#N/A</v>
      </c>
    </row>
    <row r="200" spans="1:40" s="62" customFormat="1" ht="14.25" x14ac:dyDescent="0.2">
      <c r="A200" s="61"/>
      <c r="D200" s="65"/>
      <c r="G200" s="63"/>
      <c r="K200" s="64"/>
      <c r="L200" s="64"/>
      <c r="M200" s="64"/>
      <c r="N200" s="64"/>
      <c r="O200" s="64"/>
      <c r="P200" s="64"/>
      <c r="T200" s="64"/>
      <c r="U200" s="64"/>
      <c r="V200" s="64"/>
      <c r="W200" s="64"/>
      <c r="X200" s="64"/>
      <c r="AN200" s="62" t="e">
        <f>VLOOKUP(I200,Sheet1!A:D,4,FALSE)</f>
        <v>#N/A</v>
      </c>
    </row>
    <row r="201" spans="1:40" s="62" customFormat="1" ht="14.25" x14ac:dyDescent="0.2">
      <c r="A201" s="61"/>
      <c r="D201" s="65"/>
      <c r="G201" s="63"/>
      <c r="K201" s="64"/>
      <c r="L201" s="64"/>
      <c r="M201" s="64"/>
      <c r="N201" s="64"/>
      <c r="O201" s="64"/>
      <c r="P201" s="64"/>
      <c r="T201" s="64"/>
      <c r="U201" s="64"/>
      <c r="V201" s="64"/>
      <c r="W201" s="64"/>
      <c r="X201" s="64"/>
      <c r="AN201" s="62" t="e">
        <f>VLOOKUP(I201,Sheet1!A:D,4,FALSE)</f>
        <v>#N/A</v>
      </c>
    </row>
    <row r="202" spans="1:40" s="62" customFormat="1" ht="14.25" x14ac:dyDescent="0.2">
      <c r="A202" s="61"/>
      <c r="D202" s="65"/>
      <c r="G202" s="63"/>
      <c r="K202" s="64"/>
      <c r="L202" s="64"/>
      <c r="M202" s="64"/>
      <c r="N202" s="64"/>
      <c r="O202" s="64"/>
      <c r="P202" s="64"/>
      <c r="T202" s="64"/>
      <c r="U202" s="64"/>
      <c r="V202" s="64"/>
      <c r="W202" s="64"/>
      <c r="X202" s="64"/>
      <c r="AN202" s="62" t="e">
        <f>VLOOKUP(I202,Sheet1!A:D,4,FALSE)</f>
        <v>#N/A</v>
      </c>
    </row>
    <row r="203" spans="1:40" s="62" customFormat="1" ht="14.25" x14ac:dyDescent="0.2">
      <c r="A203" s="61"/>
      <c r="D203" s="65"/>
      <c r="G203" s="63"/>
      <c r="K203" s="64"/>
      <c r="L203" s="64"/>
      <c r="M203" s="64"/>
      <c r="N203" s="64"/>
      <c r="O203" s="64"/>
      <c r="P203" s="64"/>
      <c r="T203" s="64"/>
      <c r="U203" s="64"/>
      <c r="V203" s="64"/>
      <c r="W203" s="64"/>
      <c r="X203" s="64"/>
      <c r="AN203" s="62" t="e">
        <f>VLOOKUP(I203,Sheet1!A:D,4,FALSE)</f>
        <v>#N/A</v>
      </c>
    </row>
    <row r="204" spans="1:40" s="62" customFormat="1" ht="14.25" x14ac:dyDescent="0.2">
      <c r="A204" s="61"/>
      <c r="D204" s="65"/>
      <c r="G204" s="63"/>
      <c r="K204" s="64"/>
      <c r="L204" s="64"/>
      <c r="M204" s="64"/>
      <c r="N204" s="64"/>
      <c r="O204" s="64"/>
      <c r="P204" s="64"/>
      <c r="T204" s="64"/>
      <c r="U204" s="64"/>
      <c r="V204" s="64"/>
      <c r="W204" s="64"/>
      <c r="X204" s="64"/>
      <c r="AN204" s="62" t="e">
        <f>VLOOKUP(I204,Sheet1!A:D,4,FALSE)</f>
        <v>#N/A</v>
      </c>
    </row>
    <row r="205" spans="1:40" s="62" customFormat="1" ht="14.25" x14ac:dyDescent="0.2">
      <c r="A205" s="61"/>
      <c r="D205" s="65"/>
      <c r="G205" s="63"/>
      <c r="K205" s="64"/>
      <c r="L205" s="64"/>
      <c r="M205" s="64"/>
      <c r="N205" s="64"/>
      <c r="O205" s="64"/>
      <c r="P205" s="64"/>
      <c r="T205" s="64"/>
      <c r="U205" s="64"/>
      <c r="V205" s="64"/>
      <c r="W205" s="64"/>
      <c r="X205" s="64"/>
      <c r="AN205" s="62" t="e">
        <f>VLOOKUP(I205,Sheet1!A:D,4,FALSE)</f>
        <v>#N/A</v>
      </c>
    </row>
    <row r="206" spans="1:40" s="62" customFormat="1" ht="14.25" x14ac:dyDescent="0.2">
      <c r="A206" s="61"/>
      <c r="D206" s="65"/>
      <c r="G206" s="63"/>
      <c r="K206" s="64"/>
      <c r="L206" s="64"/>
      <c r="M206" s="64"/>
      <c r="N206" s="64"/>
      <c r="O206" s="64"/>
      <c r="P206" s="64"/>
      <c r="T206" s="64"/>
      <c r="U206" s="64"/>
      <c r="V206" s="64"/>
      <c r="W206" s="64"/>
      <c r="X206" s="64"/>
      <c r="AN206" s="62" t="e">
        <f>VLOOKUP(I206,Sheet1!A:D,4,FALSE)</f>
        <v>#N/A</v>
      </c>
    </row>
    <row r="207" spans="1:40" s="62" customFormat="1" ht="14.25" x14ac:dyDescent="0.2">
      <c r="A207" s="61"/>
      <c r="D207" s="65"/>
      <c r="G207" s="63"/>
      <c r="K207" s="64"/>
      <c r="L207" s="64"/>
      <c r="M207" s="64"/>
      <c r="N207" s="64"/>
      <c r="O207" s="64"/>
      <c r="P207" s="64"/>
      <c r="T207" s="64"/>
      <c r="U207" s="64"/>
      <c r="V207" s="64"/>
      <c r="W207" s="64"/>
      <c r="X207" s="64"/>
      <c r="AN207" s="62" t="e">
        <f>VLOOKUP(I207,Sheet1!A:D,4,FALSE)</f>
        <v>#N/A</v>
      </c>
    </row>
    <row r="208" spans="1:40" s="62" customFormat="1" ht="14.25" x14ac:dyDescent="0.2">
      <c r="A208" s="61"/>
      <c r="D208" s="65"/>
      <c r="G208" s="63"/>
      <c r="K208" s="64"/>
      <c r="L208" s="64"/>
      <c r="M208" s="64"/>
      <c r="N208" s="64"/>
      <c r="O208" s="64"/>
      <c r="P208" s="64"/>
      <c r="T208" s="64"/>
      <c r="U208" s="64"/>
      <c r="V208" s="64"/>
      <c r="W208" s="64"/>
      <c r="X208" s="64"/>
      <c r="AN208" s="62" t="e">
        <f>VLOOKUP(I208,Sheet1!A:D,4,FALSE)</f>
        <v>#N/A</v>
      </c>
    </row>
    <row r="209" spans="1:40" s="62" customFormat="1" ht="14.25" x14ac:dyDescent="0.2">
      <c r="A209" s="61"/>
      <c r="D209" s="65"/>
      <c r="G209" s="63"/>
      <c r="K209" s="64"/>
      <c r="L209" s="64"/>
      <c r="M209" s="64"/>
      <c r="N209" s="64"/>
      <c r="O209" s="64"/>
      <c r="P209" s="64"/>
      <c r="T209" s="64"/>
      <c r="U209" s="64"/>
      <c r="V209" s="64"/>
      <c r="W209" s="64"/>
      <c r="X209" s="64"/>
      <c r="AN209" s="62" t="e">
        <f>VLOOKUP(I209,Sheet1!A:D,4,FALSE)</f>
        <v>#N/A</v>
      </c>
    </row>
    <row r="210" spans="1:40" s="62" customFormat="1" ht="14.25" x14ac:dyDescent="0.2">
      <c r="A210" s="61"/>
      <c r="D210" s="65"/>
      <c r="G210" s="63"/>
      <c r="K210" s="64"/>
      <c r="L210" s="64"/>
      <c r="M210" s="64"/>
      <c r="N210" s="64"/>
      <c r="O210" s="64"/>
      <c r="P210" s="64"/>
      <c r="T210" s="64"/>
      <c r="U210" s="64"/>
      <c r="V210" s="64"/>
      <c r="W210" s="64"/>
      <c r="X210" s="64"/>
      <c r="AN210" s="62" t="e">
        <f>VLOOKUP(I210,Sheet1!A:D,4,FALSE)</f>
        <v>#N/A</v>
      </c>
    </row>
    <row r="211" spans="1:40" s="62" customFormat="1" ht="14.25" x14ac:dyDescent="0.2">
      <c r="A211" s="61"/>
      <c r="D211" s="65"/>
      <c r="G211" s="63"/>
      <c r="K211" s="64"/>
      <c r="L211" s="64"/>
      <c r="M211" s="64"/>
      <c r="N211" s="64"/>
      <c r="O211" s="64"/>
      <c r="P211" s="64"/>
      <c r="T211" s="64"/>
      <c r="U211" s="64"/>
      <c r="V211" s="64"/>
      <c r="W211" s="64"/>
      <c r="X211" s="64"/>
      <c r="AN211" s="62" t="e">
        <f>VLOOKUP(I211,Sheet1!A:D,4,FALSE)</f>
        <v>#N/A</v>
      </c>
    </row>
    <row r="212" spans="1:40" s="62" customFormat="1" ht="14.25" x14ac:dyDescent="0.2">
      <c r="A212" s="61"/>
      <c r="D212" s="65"/>
      <c r="G212" s="63"/>
      <c r="K212" s="64"/>
      <c r="L212" s="64"/>
      <c r="M212" s="64"/>
      <c r="N212" s="64"/>
      <c r="O212" s="64"/>
      <c r="P212" s="64"/>
      <c r="T212" s="64"/>
      <c r="U212" s="64"/>
      <c r="V212" s="64"/>
      <c r="W212" s="64"/>
      <c r="X212" s="64"/>
      <c r="AN212" s="62" t="e">
        <f>VLOOKUP(I212,Sheet1!A:D,4,FALSE)</f>
        <v>#N/A</v>
      </c>
    </row>
    <row r="213" spans="1:40" s="62" customFormat="1" ht="14.25" x14ac:dyDescent="0.2">
      <c r="A213" s="61"/>
      <c r="D213" s="65"/>
      <c r="G213" s="63"/>
      <c r="K213" s="64"/>
      <c r="L213" s="64"/>
      <c r="M213" s="64"/>
      <c r="N213" s="64"/>
      <c r="O213" s="64"/>
      <c r="P213" s="64"/>
      <c r="T213" s="64"/>
      <c r="U213" s="64"/>
      <c r="V213" s="64"/>
      <c r="W213" s="64"/>
      <c r="X213" s="64"/>
      <c r="AN213" s="62" t="e">
        <f>VLOOKUP(I213,Sheet1!A:D,4,FALSE)</f>
        <v>#N/A</v>
      </c>
    </row>
    <row r="214" spans="1:40" s="62" customFormat="1" ht="14.25" x14ac:dyDescent="0.2">
      <c r="A214" s="61"/>
      <c r="D214" s="65"/>
      <c r="G214" s="63"/>
      <c r="K214" s="64"/>
      <c r="L214" s="64"/>
      <c r="M214" s="64"/>
      <c r="N214" s="64"/>
      <c r="O214" s="64"/>
      <c r="P214" s="64"/>
      <c r="T214" s="64"/>
      <c r="U214" s="64"/>
      <c r="V214" s="64"/>
      <c r="W214" s="64"/>
      <c r="X214" s="64"/>
      <c r="AN214" s="62" t="e">
        <f>VLOOKUP(I214,Sheet1!A:D,4,FALSE)</f>
        <v>#N/A</v>
      </c>
    </row>
    <row r="215" spans="1:40" s="62" customFormat="1" ht="14.25" x14ac:dyDescent="0.2">
      <c r="A215" s="61"/>
      <c r="D215" s="65"/>
      <c r="G215" s="63"/>
      <c r="K215" s="64"/>
      <c r="L215" s="64"/>
      <c r="M215" s="64"/>
      <c r="N215" s="64"/>
      <c r="O215" s="64"/>
      <c r="P215" s="64"/>
      <c r="T215" s="64"/>
      <c r="U215" s="64"/>
      <c r="V215" s="64"/>
      <c r="W215" s="64"/>
      <c r="X215" s="64"/>
      <c r="AN215" s="62" t="e">
        <f>VLOOKUP(I215,Sheet1!A:D,4,FALSE)</f>
        <v>#N/A</v>
      </c>
    </row>
    <row r="216" spans="1:40" s="62" customFormat="1" ht="14.25" x14ac:dyDescent="0.2">
      <c r="A216" s="61"/>
      <c r="D216" s="65"/>
      <c r="G216" s="63"/>
      <c r="K216" s="64"/>
      <c r="L216" s="64"/>
      <c r="M216" s="64"/>
      <c r="N216" s="64"/>
      <c r="O216" s="64"/>
      <c r="P216" s="64"/>
      <c r="T216" s="64"/>
      <c r="U216" s="64"/>
      <c r="V216" s="64"/>
      <c r="W216" s="64"/>
      <c r="X216" s="64"/>
      <c r="AN216" s="62" t="e">
        <f>VLOOKUP(I216,Sheet1!A:D,4,FALSE)</f>
        <v>#N/A</v>
      </c>
    </row>
    <row r="217" spans="1:40" s="62" customFormat="1" ht="14.25" x14ac:dyDescent="0.2">
      <c r="A217" s="61"/>
      <c r="D217" s="65"/>
      <c r="G217" s="63"/>
      <c r="K217" s="64"/>
      <c r="L217" s="64"/>
      <c r="M217" s="64"/>
      <c r="N217" s="64"/>
      <c r="O217" s="64"/>
      <c r="P217" s="64"/>
      <c r="T217" s="64"/>
      <c r="U217" s="64"/>
      <c r="V217" s="64"/>
      <c r="W217" s="64"/>
      <c r="X217" s="64"/>
      <c r="AN217" s="62" t="e">
        <f>VLOOKUP(I217,Sheet1!A:D,4,FALSE)</f>
        <v>#N/A</v>
      </c>
    </row>
    <row r="218" spans="1:40" s="62" customFormat="1" ht="14.25" x14ac:dyDescent="0.2">
      <c r="A218" s="61"/>
      <c r="D218" s="65"/>
      <c r="G218" s="63"/>
      <c r="K218" s="64"/>
      <c r="L218" s="64"/>
      <c r="M218" s="64"/>
      <c r="N218" s="64"/>
      <c r="O218" s="64"/>
      <c r="P218" s="64"/>
      <c r="T218" s="64"/>
      <c r="U218" s="64"/>
      <c r="V218" s="64"/>
      <c r="W218" s="64"/>
      <c r="X218" s="64"/>
      <c r="AN218" s="62" t="e">
        <f>VLOOKUP(I218,Sheet1!A:D,4,FALSE)</f>
        <v>#N/A</v>
      </c>
    </row>
    <row r="219" spans="1:40" s="62" customFormat="1" ht="14.25" x14ac:dyDescent="0.2">
      <c r="A219" s="61"/>
      <c r="D219" s="65"/>
      <c r="G219" s="63"/>
      <c r="K219" s="64"/>
      <c r="L219" s="64"/>
      <c r="M219" s="64"/>
      <c r="N219" s="64"/>
      <c r="O219" s="64"/>
      <c r="P219" s="64"/>
      <c r="T219" s="64"/>
      <c r="U219" s="64"/>
      <c r="V219" s="64"/>
      <c r="W219" s="64"/>
      <c r="X219" s="64"/>
      <c r="AN219" s="62" t="e">
        <f>VLOOKUP(I219,Sheet1!A:D,4,FALSE)</f>
        <v>#N/A</v>
      </c>
    </row>
    <row r="220" spans="1:40" s="62" customFormat="1" ht="14.25" x14ac:dyDescent="0.2">
      <c r="A220" s="61"/>
      <c r="D220" s="65"/>
      <c r="G220" s="63"/>
      <c r="K220" s="64"/>
      <c r="L220" s="64"/>
      <c r="M220" s="64"/>
      <c r="N220" s="64"/>
      <c r="O220" s="64"/>
      <c r="P220" s="64"/>
      <c r="T220" s="64"/>
      <c r="U220" s="64"/>
      <c r="V220" s="64"/>
      <c r="W220" s="64"/>
      <c r="X220" s="64"/>
      <c r="AN220" s="62" t="e">
        <f>VLOOKUP(I220,Sheet1!A:D,4,FALSE)</f>
        <v>#N/A</v>
      </c>
    </row>
    <row r="221" spans="1:40" s="62" customFormat="1" ht="14.25" x14ac:dyDescent="0.2">
      <c r="A221" s="61"/>
      <c r="D221" s="65"/>
      <c r="G221" s="63"/>
      <c r="K221" s="64"/>
      <c r="L221" s="64"/>
      <c r="M221" s="64"/>
      <c r="N221" s="64"/>
      <c r="O221" s="64"/>
      <c r="P221" s="64"/>
      <c r="T221" s="64"/>
      <c r="U221" s="64"/>
      <c r="V221" s="64"/>
      <c r="W221" s="64"/>
      <c r="X221" s="64"/>
      <c r="AN221" s="62" t="e">
        <f>VLOOKUP(I221,Sheet1!A:D,4,FALSE)</f>
        <v>#N/A</v>
      </c>
    </row>
    <row r="222" spans="1:40" s="62" customFormat="1" ht="14.25" x14ac:dyDescent="0.2">
      <c r="A222" s="61"/>
      <c r="D222" s="65"/>
      <c r="G222" s="63"/>
      <c r="K222" s="64"/>
      <c r="L222" s="64"/>
      <c r="M222" s="64"/>
      <c r="N222" s="64"/>
      <c r="O222" s="64"/>
      <c r="P222" s="64"/>
      <c r="T222" s="64"/>
      <c r="U222" s="64"/>
      <c r="V222" s="64"/>
      <c r="W222" s="64"/>
      <c r="X222" s="64"/>
      <c r="AN222" s="62" t="e">
        <f>VLOOKUP(I222,Sheet1!A:D,4,FALSE)</f>
        <v>#N/A</v>
      </c>
    </row>
    <row r="223" spans="1:40" s="62" customFormat="1" ht="14.25" x14ac:dyDescent="0.2">
      <c r="A223" s="61"/>
      <c r="D223" s="65"/>
      <c r="G223" s="63"/>
      <c r="K223" s="64"/>
      <c r="L223" s="64"/>
      <c r="M223" s="64"/>
      <c r="N223" s="64"/>
      <c r="O223" s="64"/>
      <c r="P223" s="64"/>
      <c r="T223" s="64"/>
      <c r="U223" s="64"/>
      <c r="V223" s="64"/>
      <c r="W223" s="64"/>
      <c r="X223" s="64"/>
      <c r="AN223" s="62" t="e">
        <f>VLOOKUP(I223,Sheet1!A:D,4,FALSE)</f>
        <v>#N/A</v>
      </c>
    </row>
    <row r="224" spans="1:40" s="62" customFormat="1" ht="14.25" x14ac:dyDescent="0.2">
      <c r="A224" s="61"/>
      <c r="D224" s="65"/>
      <c r="G224" s="63"/>
      <c r="K224" s="64"/>
      <c r="L224" s="64"/>
      <c r="M224" s="64"/>
      <c r="N224" s="64"/>
      <c r="O224" s="64"/>
      <c r="P224" s="64"/>
      <c r="T224" s="64"/>
      <c r="U224" s="64"/>
      <c r="V224" s="64"/>
      <c r="W224" s="64"/>
      <c r="X224" s="64"/>
      <c r="AN224" s="62" t="e">
        <f>VLOOKUP(I224,Sheet1!A:D,4,FALSE)</f>
        <v>#N/A</v>
      </c>
    </row>
    <row r="225" spans="1:40" s="62" customFormat="1" ht="14.25" x14ac:dyDescent="0.2">
      <c r="A225" s="61"/>
      <c r="D225" s="65"/>
      <c r="G225" s="63"/>
      <c r="K225" s="64"/>
      <c r="L225" s="64"/>
      <c r="M225" s="64"/>
      <c r="N225" s="64"/>
      <c r="O225" s="64"/>
      <c r="P225" s="64"/>
      <c r="T225" s="64"/>
      <c r="U225" s="64"/>
      <c r="V225" s="64"/>
      <c r="W225" s="64"/>
      <c r="X225" s="64"/>
      <c r="AN225" s="62" t="e">
        <f>VLOOKUP(I225,Sheet1!A:D,4,FALSE)</f>
        <v>#N/A</v>
      </c>
    </row>
    <row r="226" spans="1:40" s="62" customFormat="1" ht="14.25" x14ac:dyDescent="0.2">
      <c r="A226" s="61"/>
      <c r="D226" s="65"/>
      <c r="G226" s="63"/>
      <c r="K226" s="64"/>
      <c r="L226" s="64"/>
      <c r="M226" s="64"/>
      <c r="N226" s="64"/>
      <c r="O226" s="64"/>
      <c r="P226" s="64"/>
      <c r="T226" s="64"/>
      <c r="U226" s="64"/>
      <c r="V226" s="64"/>
      <c r="W226" s="64"/>
      <c r="X226" s="64"/>
      <c r="AN226" s="62" t="e">
        <f>VLOOKUP(I226,Sheet1!A:D,4,FALSE)</f>
        <v>#N/A</v>
      </c>
    </row>
    <row r="227" spans="1:40" s="62" customFormat="1" ht="14.25" x14ac:dyDescent="0.2">
      <c r="A227" s="61"/>
      <c r="D227" s="65"/>
      <c r="G227" s="63"/>
      <c r="K227" s="64"/>
      <c r="L227" s="64"/>
      <c r="M227" s="64"/>
      <c r="N227" s="64"/>
      <c r="O227" s="64"/>
      <c r="P227" s="64"/>
      <c r="T227" s="64"/>
      <c r="U227" s="64"/>
      <c r="V227" s="64"/>
      <c r="W227" s="64"/>
      <c r="X227" s="64"/>
    </row>
    <row r="228" spans="1:40" s="62" customFormat="1" ht="14.25" x14ac:dyDescent="0.2">
      <c r="A228" s="61"/>
      <c r="D228" s="65"/>
      <c r="G228" s="63"/>
      <c r="K228" s="64"/>
      <c r="L228" s="64"/>
      <c r="M228" s="64"/>
      <c r="N228" s="64"/>
      <c r="O228" s="64"/>
      <c r="P228" s="64"/>
      <c r="T228" s="64"/>
      <c r="U228" s="64"/>
      <c r="V228" s="64"/>
      <c r="W228" s="64"/>
      <c r="X228" s="64"/>
    </row>
    <row r="229" spans="1:40" s="62" customFormat="1" ht="14.25" x14ac:dyDescent="0.2">
      <c r="A229" s="61"/>
      <c r="D229" s="65"/>
      <c r="G229" s="63"/>
      <c r="K229" s="64"/>
      <c r="L229" s="64"/>
      <c r="M229" s="64"/>
      <c r="N229" s="64"/>
      <c r="O229" s="64"/>
      <c r="P229" s="64"/>
      <c r="T229" s="64"/>
      <c r="U229" s="64"/>
      <c r="V229" s="64"/>
      <c r="W229" s="64"/>
      <c r="X229" s="64"/>
    </row>
    <row r="230" spans="1:40" s="62" customFormat="1" ht="14.25" x14ac:dyDescent="0.2">
      <c r="A230" s="61"/>
      <c r="D230" s="65"/>
      <c r="G230" s="63"/>
      <c r="K230" s="64"/>
      <c r="L230" s="64"/>
      <c r="M230" s="64"/>
      <c r="N230" s="64"/>
      <c r="O230" s="64"/>
      <c r="P230" s="64"/>
      <c r="T230" s="64"/>
      <c r="U230" s="64"/>
      <c r="V230" s="64"/>
      <c r="W230" s="64"/>
      <c r="X230" s="64"/>
    </row>
    <row r="231" spans="1:40" s="62" customFormat="1" ht="14.25" x14ac:dyDescent="0.2">
      <c r="A231" s="61"/>
      <c r="D231" s="65"/>
      <c r="G231" s="63"/>
      <c r="K231" s="64"/>
      <c r="L231" s="64"/>
      <c r="M231" s="64"/>
      <c r="N231" s="64"/>
      <c r="O231" s="64"/>
      <c r="P231" s="64"/>
      <c r="T231" s="64"/>
      <c r="U231" s="64"/>
      <c r="V231" s="64"/>
      <c r="W231" s="64"/>
      <c r="X231" s="64"/>
    </row>
    <row r="232" spans="1:40" s="62" customFormat="1" ht="14.25" x14ac:dyDescent="0.2">
      <c r="A232" s="61"/>
      <c r="D232" s="65"/>
      <c r="G232" s="63"/>
      <c r="K232" s="64"/>
      <c r="L232" s="64"/>
      <c r="M232" s="64"/>
      <c r="N232" s="64"/>
      <c r="O232" s="64"/>
      <c r="P232" s="64"/>
      <c r="T232" s="64"/>
      <c r="U232" s="64"/>
      <c r="V232" s="64"/>
      <c r="W232" s="64"/>
      <c r="X232" s="64"/>
    </row>
    <row r="233" spans="1:40" s="62" customFormat="1" ht="14.25" x14ac:dyDescent="0.2">
      <c r="A233" s="61"/>
      <c r="D233" s="65"/>
      <c r="G233" s="63"/>
      <c r="K233" s="64"/>
      <c r="L233" s="64"/>
      <c r="M233" s="64"/>
      <c r="N233" s="64"/>
      <c r="O233" s="64"/>
      <c r="P233" s="64"/>
      <c r="T233" s="64"/>
      <c r="U233" s="64"/>
      <c r="V233" s="64"/>
      <c r="W233" s="64"/>
      <c r="X233" s="64"/>
    </row>
    <row r="234" spans="1:40" s="62" customFormat="1" ht="14.25" x14ac:dyDescent="0.2">
      <c r="A234" s="61"/>
      <c r="D234" s="65"/>
      <c r="G234" s="63"/>
      <c r="K234" s="64"/>
      <c r="L234" s="64"/>
      <c r="M234" s="64"/>
      <c r="N234" s="64"/>
      <c r="O234" s="64"/>
      <c r="P234" s="64"/>
      <c r="T234" s="64"/>
      <c r="U234" s="64"/>
      <c r="V234" s="64"/>
      <c r="W234" s="64"/>
      <c r="X234" s="64"/>
    </row>
    <row r="235" spans="1:40" s="62" customFormat="1" ht="14.25" x14ac:dyDescent="0.2">
      <c r="A235" s="61"/>
      <c r="D235" s="65"/>
      <c r="G235" s="63"/>
      <c r="K235" s="64"/>
      <c r="L235" s="64"/>
      <c r="M235" s="64"/>
      <c r="N235" s="64"/>
      <c r="O235" s="64"/>
      <c r="P235" s="64"/>
      <c r="T235" s="64"/>
      <c r="U235" s="64"/>
      <c r="V235" s="64"/>
      <c r="W235" s="64"/>
      <c r="X235" s="64"/>
    </row>
    <row r="236" spans="1:40" s="62" customFormat="1" ht="14.25" x14ac:dyDescent="0.2">
      <c r="A236" s="61"/>
      <c r="D236" s="65"/>
      <c r="G236" s="63"/>
      <c r="K236" s="64"/>
      <c r="L236" s="64"/>
      <c r="M236" s="64"/>
      <c r="N236" s="64"/>
      <c r="O236" s="64"/>
      <c r="P236" s="64"/>
      <c r="T236" s="64"/>
      <c r="U236" s="64"/>
      <c r="V236" s="64"/>
      <c r="W236" s="64"/>
      <c r="X236" s="64"/>
    </row>
    <row r="237" spans="1:40" s="62" customFormat="1" ht="14.25" x14ac:dyDescent="0.2">
      <c r="A237" s="61"/>
      <c r="D237" s="65"/>
      <c r="G237" s="63"/>
      <c r="K237" s="64"/>
      <c r="L237" s="64"/>
      <c r="M237" s="64"/>
      <c r="N237" s="64"/>
      <c r="O237" s="64"/>
      <c r="P237" s="64"/>
      <c r="T237" s="64"/>
      <c r="U237" s="64"/>
      <c r="V237" s="64"/>
      <c r="W237" s="64"/>
      <c r="X237" s="64"/>
    </row>
    <row r="238" spans="1:40" s="62" customFormat="1" ht="14.25" x14ac:dyDescent="0.2">
      <c r="A238" s="61"/>
      <c r="D238" s="65"/>
      <c r="G238" s="63"/>
      <c r="K238" s="64"/>
      <c r="L238" s="64"/>
      <c r="M238" s="64"/>
      <c r="N238" s="64"/>
      <c r="O238" s="64"/>
      <c r="P238" s="64"/>
      <c r="T238" s="64"/>
      <c r="U238" s="64"/>
      <c r="V238" s="64"/>
      <c r="W238" s="64"/>
      <c r="X238" s="64"/>
    </row>
    <row r="239" spans="1:40" s="62" customFormat="1" ht="14.25" x14ac:dyDescent="0.2">
      <c r="A239" s="61"/>
      <c r="D239" s="65"/>
      <c r="G239" s="63"/>
      <c r="K239" s="64"/>
      <c r="L239" s="64"/>
      <c r="M239" s="64"/>
      <c r="N239" s="64"/>
      <c r="O239" s="64"/>
      <c r="P239" s="64"/>
      <c r="T239" s="64"/>
      <c r="U239" s="64"/>
      <c r="V239" s="64"/>
      <c r="W239" s="64"/>
      <c r="X239" s="64"/>
    </row>
    <row r="240" spans="1:40" s="62" customFormat="1" ht="14.25" x14ac:dyDescent="0.2">
      <c r="A240" s="61"/>
      <c r="D240" s="65"/>
      <c r="G240" s="63"/>
      <c r="K240" s="64"/>
      <c r="L240" s="64"/>
      <c r="M240" s="64"/>
      <c r="N240" s="64"/>
      <c r="O240" s="64"/>
      <c r="P240" s="64"/>
      <c r="T240" s="64"/>
      <c r="U240" s="64"/>
      <c r="V240" s="64"/>
      <c r="W240" s="64"/>
      <c r="X240" s="64"/>
    </row>
    <row r="241" spans="1:24" s="62" customFormat="1" ht="14.25" x14ac:dyDescent="0.2">
      <c r="A241" s="61"/>
      <c r="D241" s="65"/>
      <c r="G241" s="63"/>
      <c r="K241" s="64"/>
      <c r="L241" s="64"/>
      <c r="M241" s="64"/>
      <c r="N241" s="64"/>
      <c r="O241" s="64"/>
      <c r="P241" s="64"/>
      <c r="T241" s="64"/>
      <c r="U241" s="64"/>
      <c r="V241" s="64"/>
      <c r="W241" s="64"/>
      <c r="X241" s="64"/>
    </row>
    <row r="242" spans="1:24" s="62" customFormat="1" ht="14.25" x14ac:dyDescent="0.2">
      <c r="A242" s="61"/>
      <c r="D242" s="65"/>
      <c r="G242" s="63"/>
      <c r="K242" s="64"/>
      <c r="L242" s="64"/>
      <c r="M242" s="64"/>
      <c r="N242" s="64"/>
      <c r="O242" s="64"/>
      <c r="P242" s="64"/>
      <c r="T242" s="64"/>
      <c r="U242" s="64"/>
      <c r="V242" s="64"/>
      <c r="W242" s="64"/>
      <c r="X242" s="64"/>
    </row>
    <row r="243" spans="1:24" s="62" customFormat="1" ht="14.25" x14ac:dyDescent="0.2">
      <c r="A243" s="61"/>
      <c r="D243" s="65"/>
      <c r="G243" s="63"/>
      <c r="K243" s="64"/>
      <c r="L243" s="64"/>
      <c r="M243" s="64"/>
      <c r="N243" s="64"/>
      <c r="O243" s="64"/>
      <c r="P243" s="64"/>
      <c r="T243" s="64"/>
      <c r="U243" s="64"/>
      <c r="V243" s="64"/>
      <c r="W243" s="64"/>
      <c r="X243" s="64"/>
    </row>
    <row r="244" spans="1:24" s="62" customFormat="1" ht="14.25" x14ac:dyDescent="0.2">
      <c r="A244" s="61"/>
      <c r="D244" s="65"/>
      <c r="G244" s="63"/>
      <c r="K244" s="64"/>
      <c r="L244" s="64"/>
      <c r="M244" s="64"/>
      <c r="N244" s="64"/>
      <c r="O244" s="64"/>
      <c r="P244" s="64"/>
      <c r="T244" s="64"/>
      <c r="U244" s="64"/>
      <c r="V244" s="64"/>
      <c r="W244" s="64"/>
      <c r="X244" s="64"/>
    </row>
    <row r="245" spans="1:24" s="62" customFormat="1" ht="14.25" x14ac:dyDescent="0.2">
      <c r="A245" s="61"/>
      <c r="D245" s="65"/>
      <c r="G245" s="63"/>
      <c r="K245" s="64"/>
      <c r="L245" s="64"/>
      <c r="M245" s="64"/>
      <c r="N245" s="64"/>
      <c r="O245" s="64"/>
      <c r="P245" s="64"/>
      <c r="T245" s="64"/>
      <c r="U245" s="64"/>
      <c r="V245" s="64"/>
      <c r="W245" s="64"/>
      <c r="X245" s="64"/>
    </row>
    <row r="246" spans="1:24" s="62" customFormat="1" ht="14.25" x14ac:dyDescent="0.2">
      <c r="A246" s="61"/>
      <c r="D246" s="65"/>
      <c r="G246" s="63"/>
      <c r="K246" s="64"/>
      <c r="L246" s="64"/>
      <c r="M246" s="64"/>
      <c r="N246" s="64"/>
      <c r="O246" s="64"/>
      <c r="P246" s="64"/>
      <c r="T246" s="64"/>
      <c r="U246" s="64"/>
      <c r="V246" s="64"/>
      <c r="W246" s="64"/>
      <c r="X246" s="64"/>
    </row>
    <row r="247" spans="1:24" s="62" customFormat="1" ht="14.25" x14ac:dyDescent="0.2">
      <c r="A247" s="61"/>
      <c r="D247" s="65"/>
      <c r="G247" s="63"/>
      <c r="K247" s="64"/>
      <c r="L247" s="64"/>
      <c r="M247" s="64"/>
      <c r="N247" s="64"/>
      <c r="O247" s="64"/>
      <c r="P247" s="64"/>
      <c r="T247" s="64"/>
      <c r="U247" s="64"/>
      <c r="V247" s="64"/>
      <c r="W247" s="64"/>
      <c r="X247" s="64"/>
    </row>
    <row r="248" spans="1:24" s="62" customFormat="1" ht="14.25" x14ac:dyDescent="0.2">
      <c r="A248" s="61"/>
      <c r="D248" s="65"/>
      <c r="G248" s="63"/>
      <c r="K248" s="64"/>
      <c r="L248" s="64"/>
      <c r="M248" s="64"/>
      <c r="N248" s="64"/>
      <c r="O248" s="64"/>
      <c r="P248" s="64"/>
      <c r="T248" s="64"/>
      <c r="U248" s="64"/>
      <c r="V248" s="64"/>
      <c r="W248" s="64"/>
      <c r="X248" s="64"/>
    </row>
    <row r="249" spans="1:24" s="62" customFormat="1" ht="14.25" x14ac:dyDescent="0.2">
      <c r="A249" s="61"/>
      <c r="D249" s="65"/>
      <c r="G249" s="63"/>
      <c r="K249" s="64"/>
      <c r="L249" s="64"/>
      <c r="M249" s="64"/>
      <c r="N249" s="64"/>
      <c r="O249" s="64"/>
      <c r="P249" s="64"/>
      <c r="T249" s="64"/>
      <c r="U249" s="64"/>
      <c r="V249" s="64"/>
      <c r="W249" s="64"/>
      <c r="X249" s="64"/>
    </row>
    <row r="250" spans="1:24" s="62" customFormat="1" ht="14.25" x14ac:dyDescent="0.2">
      <c r="A250" s="61"/>
      <c r="D250" s="65"/>
      <c r="G250" s="63"/>
      <c r="K250" s="64"/>
      <c r="L250" s="64"/>
      <c r="M250" s="64"/>
      <c r="N250" s="64"/>
      <c r="O250" s="64"/>
      <c r="P250" s="64"/>
      <c r="T250" s="64"/>
      <c r="U250" s="64"/>
      <c r="V250" s="64"/>
      <c r="W250" s="64"/>
      <c r="X250" s="64"/>
    </row>
    <row r="251" spans="1:24" s="62" customFormat="1" ht="14.25" x14ac:dyDescent="0.2">
      <c r="A251" s="61"/>
      <c r="D251" s="65"/>
      <c r="G251" s="63"/>
      <c r="K251" s="64"/>
      <c r="L251" s="64"/>
      <c r="M251" s="64"/>
      <c r="N251" s="64"/>
      <c r="O251" s="64"/>
      <c r="P251" s="64"/>
      <c r="T251" s="64"/>
      <c r="U251" s="64"/>
      <c r="V251" s="64"/>
      <c r="W251" s="64"/>
      <c r="X251" s="64"/>
    </row>
    <row r="252" spans="1:24" s="62" customFormat="1" ht="14.25" x14ac:dyDescent="0.2">
      <c r="A252" s="61"/>
      <c r="D252" s="65"/>
      <c r="G252" s="63"/>
      <c r="K252" s="64"/>
      <c r="L252" s="64"/>
      <c r="M252" s="64"/>
      <c r="N252" s="64"/>
      <c r="O252" s="64"/>
      <c r="P252" s="64"/>
      <c r="T252" s="64"/>
      <c r="U252" s="64"/>
      <c r="V252" s="64"/>
      <c r="W252" s="64"/>
      <c r="X252" s="64"/>
    </row>
    <row r="253" spans="1:24" s="62" customFormat="1" ht="14.25" x14ac:dyDescent="0.2">
      <c r="A253" s="61"/>
      <c r="D253" s="65"/>
      <c r="G253" s="63"/>
      <c r="K253" s="64"/>
      <c r="L253" s="64"/>
      <c r="M253" s="64"/>
      <c r="N253" s="64"/>
      <c r="O253" s="64"/>
      <c r="P253" s="64"/>
      <c r="T253" s="64"/>
      <c r="U253" s="64"/>
      <c r="V253" s="64"/>
      <c r="W253" s="64"/>
      <c r="X253" s="64"/>
    </row>
    <row r="254" spans="1:24" s="62" customFormat="1" ht="14.25" x14ac:dyDescent="0.2">
      <c r="A254" s="61"/>
      <c r="D254" s="65"/>
      <c r="G254" s="63"/>
      <c r="K254" s="64"/>
      <c r="L254" s="64"/>
      <c r="M254" s="64"/>
      <c r="N254" s="64"/>
      <c r="O254" s="64"/>
      <c r="P254" s="64"/>
      <c r="T254" s="64"/>
      <c r="U254" s="64"/>
      <c r="V254" s="64"/>
      <c r="W254" s="64"/>
      <c r="X254" s="64"/>
    </row>
    <row r="255" spans="1:24" s="62" customFormat="1" ht="14.25" x14ac:dyDescent="0.2">
      <c r="A255" s="61"/>
      <c r="D255" s="65"/>
      <c r="G255" s="63"/>
      <c r="K255" s="64"/>
      <c r="L255" s="64"/>
      <c r="M255" s="64"/>
      <c r="N255" s="64"/>
      <c r="O255" s="64"/>
      <c r="P255" s="64"/>
      <c r="T255" s="64"/>
      <c r="U255" s="64"/>
      <c r="V255" s="64"/>
      <c r="W255" s="64"/>
      <c r="X255" s="64"/>
    </row>
    <row r="256" spans="1:24" s="62" customFormat="1" ht="14.25" x14ac:dyDescent="0.2">
      <c r="A256" s="61"/>
      <c r="D256" s="65"/>
      <c r="G256" s="63"/>
      <c r="K256" s="64"/>
      <c r="L256" s="64"/>
      <c r="M256" s="64"/>
      <c r="N256" s="64"/>
      <c r="O256" s="64"/>
      <c r="P256" s="64"/>
      <c r="T256" s="64"/>
      <c r="U256" s="64"/>
      <c r="V256" s="64"/>
      <c r="W256" s="64"/>
      <c r="X256" s="64"/>
    </row>
    <row r="257" spans="1:24" s="62" customFormat="1" ht="14.25" x14ac:dyDescent="0.2">
      <c r="A257" s="61"/>
      <c r="D257" s="65"/>
      <c r="G257" s="63"/>
      <c r="K257" s="64"/>
      <c r="L257" s="64"/>
      <c r="M257" s="64"/>
      <c r="N257" s="64"/>
      <c r="O257" s="64"/>
      <c r="P257" s="64"/>
      <c r="T257" s="64"/>
      <c r="U257" s="64"/>
      <c r="V257" s="64"/>
      <c r="W257" s="64"/>
      <c r="X257" s="64"/>
    </row>
    <row r="258" spans="1:24" s="62" customFormat="1" ht="14.25" x14ac:dyDescent="0.2">
      <c r="A258" s="61"/>
      <c r="D258" s="65"/>
      <c r="G258" s="63"/>
      <c r="K258" s="64"/>
      <c r="L258" s="64"/>
      <c r="M258" s="64"/>
      <c r="N258" s="64"/>
      <c r="O258" s="64"/>
      <c r="P258" s="64"/>
      <c r="T258" s="64"/>
      <c r="U258" s="64"/>
      <c r="V258" s="64"/>
      <c r="W258" s="64"/>
      <c r="X258" s="64"/>
    </row>
    <row r="259" spans="1:24" s="62" customFormat="1" ht="14.25" x14ac:dyDescent="0.2">
      <c r="A259" s="61"/>
      <c r="D259" s="65"/>
      <c r="G259" s="63"/>
      <c r="K259" s="64"/>
      <c r="L259" s="64"/>
      <c r="M259" s="64"/>
      <c r="N259" s="64"/>
      <c r="O259" s="64"/>
      <c r="P259" s="64"/>
      <c r="T259" s="64"/>
      <c r="U259" s="64"/>
      <c r="V259" s="64"/>
      <c r="W259" s="64"/>
      <c r="X259" s="64"/>
    </row>
    <row r="260" spans="1:24" s="62" customFormat="1" ht="14.25" x14ac:dyDescent="0.2">
      <c r="A260" s="61"/>
      <c r="D260" s="65"/>
      <c r="G260" s="63"/>
      <c r="K260" s="64"/>
      <c r="L260" s="64"/>
      <c r="M260" s="64"/>
      <c r="N260" s="64"/>
      <c r="O260" s="64"/>
      <c r="P260" s="64"/>
      <c r="T260" s="64"/>
      <c r="U260" s="64"/>
      <c r="V260" s="64"/>
      <c r="W260" s="64"/>
      <c r="X260" s="64"/>
    </row>
    <row r="261" spans="1:24" s="62" customFormat="1" ht="14.25" x14ac:dyDescent="0.2">
      <c r="A261" s="61"/>
      <c r="D261" s="65"/>
      <c r="G261" s="63"/>
      <c r="K261" s="64"/>
      <c r="L261" s="64"/>
      <c r="M261" s="64"/>
      <c r="N261" s="64"/>
      <c r="O261" s="64"/>
      <c r="P261" s="64"/>
      <c r="T261" s="64"/>
      <c r="U261" s="64"/>
      <c r="V261" s="64"/>
      <c r="W261" s="64"/>
      <c r="X261" s="64"/>
    </row>
    <row r="262" spans="1:24" s="62" customFormat="1" ht="14.25" x14ac:dyDescent="0.2">
      <c r="A262" s="61"/>
      <c r="D262" s="65"/>
      <c r="G262" s="63"/>
      <c r="K262" s="64"/>
      <c r="L262" s="64"/>
      <c r="M262" s="64"/>
      <c r="N262" s="64"/>
      <c r="O262" s="64"/>
      <c r="P262" s="64"/>
      <c r="T262" s="64"/>
      <c r="U262" s="64"/>
      <c r="V262" s="64"/>
      <c r="W262" s="64"/>
      <c r="X262" s="64"/>
    </row>
    <row r="263" spans="1:24" s="62" customFormat="1" ht="14.25" x14ac:dyDescent="0.2">
      <c r="A263" s="61"/>
      <c r="D263" s="65"/>
      <c r="G263" s="63"/>
      <c r="K263" s="64"/>
      <c r="L263" s="64"/>
      <c r="M263" s="64"/>
      <c r="N263" s="64"/>
      <c r="O263" s="64"/>
      <c r="P263" s="64"/>
      <c r="T263" s="64"/>
      <c r="U263" s="64"/>
      <c r="V263" s="64"/>
      <c r="W263" s="64"/>
      <c r="X263" s="64"/>
    </row>
    <row r="264" spans="1:24" s="62" customFormat="1" ht="14.25" x14ac:dyDescent="0.2">
      <c r="A264" s="61"/>
      <c r="D264" s="65"/>
      <c r="G264" s="63"/>
      <c r="K264" s="64"/>
      <c r="L264" s="64"/>
      <c r="M264" s="64"/>
      <c r="N264" s="64"/>
      <c r="O264" s="64"/>
      <c r="P264" s="64"/>
      <c r="T264" s="64"/>
      <c r="U264" s="64"/>
      <c r="V264" s="64"/>
      <c r="W264" s="64"/>
      <c r="X264" s="64"/>
    </row>
    <row r="265" spans="1:24" s="62" customFormat="1" ht="14.25" x14ac:dyDescent="0.2">
      <c r="A265" s="61"/>
      <c r="D265" s="65"/>
      <c r="G265" s="63"/>
      <c r="K265" s="64"/>
      <c r="L265" s="64"/>
      <c r="M265" s="64"/>
      <c r="N265" s="64"/>
      <c r="O265" s="64"/>
      <c r="P265" s="64"/>
      <c r="T265" s="64"/>
      <c r="U265" s="64"/>
      <c r="V265" s="64"/>
      <c r="W265" s="64"/>
      <c r="X265" s="64"/>
    </row>
    <row r="266" spans="1:24" s="62" customFormat="1" ht="14.25" x14ac:dyDescent="0.2">
      <c r="A266" s="61"/>
      <c r="D266" s="65"/>
      <c r="G266" s="63"/>
      <c r="K266" s="64"/>
      <c r="L266" s="64"/>
      <c r="M266" s="64"/>
      <c r="N266" s="64"/>
      <c r="O266" s="64"/>
      <c r="P266" s="64"/>
      <c r="T266" s="64"/>
      <c r="U266" s="64"/>
      <c r="V266" s="64"/>
      <c r="W266" s="64"/>
      <c r="X266" s="64"/>
    </row>
    <row r="267" spans="1:24" s="62" customFormat="1" ht="14.25" x14ac:dyDescent="0.2">
      <c r="A267" s="61"/>
      <c r="D267" s="65"/>
      <c r="G267" s="63"/>
      <c r="K267" s="64"/>
      <c r="L267" s="64"/>
      <c r="M267" s="64"/>
      <c r="N267" s="64"/>
      <c r="O267" s="64"/>
      <c r="P267" s="64"/>
      <c r="T267" s="64"/>
      <c r="U267" s="64"/>
      <c r="V267" s="64"/>
      <c r="W267" s="64"/>
      <c r="X267" s="64"/>
    </row>
    <row r="268" spans="1:24" s="62" customFormat="1" ht="14.25" x14ac:dyDescent="0.2">
      <c r="A268" s="61"/>
      <c r="D268" s="65"/>
      <c r="G268" s="63"/>
      <c r="K268" s="64"/>
      <c r="L268" s="64"/>
      <c r="M268" s="64"/>
      <c r="N268" s="64"/>
      <c r="O268" s="64"/>
      <c r="P268" s="64"/>
      <c r="T268" s="64"/>
      <c r="U268" s="64"/>
      <c r="V268" s="64"/>
      <c r="W268" s="64"/>
      <c r="X268" s="64"/>
    </row>
    <row r="269" spans="1:24" s="62" customFormat="1" ht="14.25" x14ac:dyDescent="0.2">
      <c r="A269" s="61"/>
      <c r="D269" s="65"/>
      <c r="G269" s="63"/>
      <c r="K269" s="64"/>
      <c r="L269" s="64"/>
      <c r="M269" s="64"/>
      <c r="N269" s="64"/>
      <c r="O269" s="64"/>
      <c r="P269" s="64"/>
      <c r="T269" s="64"/>
      <c r="U269" s="64"/>
      <c r="V269" s="64"/>
      <c r="W269" s="64"/>
      <c r="X269" s="64"/>
    </row>
    <row r="270" spans="1:24" s="62" customFormat="1" ht="14.25" x14ac:dyDescent="0.2">
      <c r="A270" s="61"/>
      <c r="D270" s="65"/>
      <c r="G270" s="63"/>
      <c r="K270" s="64"/>
      <c r="L270" s="64"/>
      <c r="M270" s="64"/>
      <c r="N270" s="64"/>
      <c r="O270" s="64"/>
      <c r="P270" s="64"/>
      <c r="T270" s="64"/>
      <c r="U270" s="64"/>
      <c r="V270" s="64"/>
      <c r="W270" s="64"/>
      <c r="X270" s="64"/>
    </row>
    <row r="271" spans="1:24" s="62" customFormat="1" ht="14.25" x14ac:dyDescent="0.2">
      <c r="A271" s="61"/>
      <c r="D271" s="65"/>
      <c r="G271" s="63"/>
      <c r="K271" s="64"/>
      <c r="L271" s="64"/>
      <c r="M271" s="64"/>
      <c r="N271" s="64"/>
      <c r="O271" s="64"/>
      <c r="P271" s="64"/>
      <c r="T271" s="64"/>
      <c r="U271" s="64"/>
      <c r="V271" s="64"/>
      <c r="W271" s="64"/>
      <c r="X271" s="64"/>
    </row>
    <row r="272" spans="1:24" s="62" customFormat="1" ht="14.25" x14ac:dyDescent="0.2">
      <c r="A272" s="61"/>
      <c r="D272" s="65"/>
      <c r="G272" s="63"/>
      <c r="K272" s="64"/>
      <c r="L272" s="64"/>
      <c r="M272" s="64"/>
      <c r="N272" s="64"/>
      <c r="O272" s="64"/>
      <c r="P272" s="64"/>
      <c r="T272" s="64"/>
      <c r="U272" s="64"/>
      <c r="V272" s="64"/>
      <c r="W272" s="64"/>
      <c r="X272" s="64"/>
    </row>
    <row r="273" spans="1:24" s="62" customFormat="1" ht="14.25" x14ac:dyDescent="0.2">
      <c r="A273" s="61"/>
      <c r="D273" s="65"/>
      <c r="G273" s="63"/>
      <c r="K273" s="64"/>
      <c r="L273" s="64"/>
      <c r="M273" s="64"/>
      <c r="N273" s="64"/>
      <c r="O273" s="64"/>
      <c r="P273" s="64"/>
      <c r="T273" s="64"/>
      <c r="U273" s="64"/>
      <c r="V273" s="64"/>
      <c r="W273" s="64"/>
      <c r="X273" s="64"/>
    </row>
  </sheetData>
  <autoFilter ref="A6:AO6" xr:uid="{4436AF67-7CFC-494D-AEF3-0BA4565EA293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7637-3B34-4D25-A084-9FCB3346B7DD}">
  <dimension ref="A1:AV235"/>
  <sheetViews>
    <sheetView workbookViewId="0">
      <selection activeCell="AN196" sqref="AN7:AN196"/>
    </sheetView>
  </sheetViews>
  <sheetFormatPr defaultRowHeight="15" x14ac:dyDescent="0.25"/>
  <cols>
    <col min="1" max="1" width="17.140625" style="23" bestFit="1" customWidth="1"/>
    <col min="7" max="7" width="10.7109375" style="30" bestFit="1" customWidth="1"/>
    <col min="11" max="11" width="9.28515625" style="25" bestFit="1" customWidth="1"/>
    <col min="12" max="12" width="9.140625" style="25"/>
    <col min="13" max="14" width="9.28515625" style="25" bestFit="1" customWidth="1"/>
    <col min="15" max="16" width="12.5703125" style="25" bestFit="1" customWidth="1"/>
    <col min="17" max="18" width="9.28515625" style="25" bestFit="1" customWidth="1"/>
    <col min="19" max="19" width="9.140625" style="25"/>
    <col min="20" max="21" width="12.5703125" style="25" bestFit="1" customWidth="1"/>
    <col min="22" max="22" width="11.5703125" style="25" bestFit="1" customWidth="1"/>
    <col min="23" max="23" width="9.28515625" style="25" bestFit="1" customWidth="1"/>
    <col min="24" max="24" width="11.5703125" style="25" bestFit="1" customWidth="1"/>
    <col min="41" max="41" width="11.5703125" bestFit="1" customWidth="1"/>
    <col min="42" max="42" width="83" hidden="1" customWidth="1"/>
  </cols>
  <sheetData>
    <row r="1" spans="1:48" s="74" customFormat="1" x14ac:dyDescent="0.25">
      <c r="A1" s="89"/>
      <c r="G1" s="90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</row>
    <row r="2" spans="1:48" s="74" customFormat="1" x14ac:dyDescent="0.25">
      <c r="A2" s="89"/>
      <c r="G2" s="90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1:48" s="74" customFormat="1" x14ac:dyDescent="0.25">
      <c r="A3" s="89"/>
      <c r="G3" s="90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</row>
    <row r="4" spans="1:48" s="74" customFormat="1" x14ac:dyDescent="0.25">
      <c r="A4" s="89"/>
      <c r="G4" s="90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</row>
    <row r="5" spans="1:48" s="74" customFormat="1" x14ac:dyDescent="0.25">
      <c r="A5" s="89" t="s">
        <v>230</v>
      </c>
      <c r="G5" s="90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</row>
    <row r="6" spans="1:48" s="48" customFormat="1" x14ac:dyDescent="0.25">
      <c r="A6" s="83" t="s">
        <v>0</v>
      </c>
      <c r="B6" s="84" t="s">
        <v>1</v>
      </c>
      <c r="C6" s="84" t="s">
        <v>2</v>
      </c>
      <c r="D6" s="84" t="s">
        <v>4</v>
      </c>
      <c r="E6" s="84" t="s">
        <v>3</v>
      </c>
      <c r="F6" s="84" t="s">
        <v>5</v>
      </c>
      <c r="G6" s="85" t="s">
        <v>6</v>
      </c>
      <c r="H6" s="84" t="s">
        <v>7</v>
      </c>
      <c r="I6" s="84" t="s">
        <v>8</v>
      </c>
      <c r="J6" s="84" t="s">
        <v>9</v>
      </c>
      <c r="K6" s="86" t="s">
        <v>10</v>
      </c>
      <c r="L6" s="86" t="s">
        <v>11</v>
      </c>
      <c r="M6" s="86" t="s">
        <v>12</v>
      </c>
      <c r="N6" s="86" t="s">
        <v>13</v>
      </c>
      <c r="O6" s="86" t="s">
        <v>14</v>
      </c>
      <c r="P6" s="86" t="s">
        <v>15</v>
      </c>
      <c r="Q6" s="86" t="s">
        <v>16</v>
      </c>
      <c r="R6" s="86" t="s">
        <v>17</v>
      </c>
      <c r="S6" s="86" t="s">
        <v>18</v>
      </c>
      <c r="T6" s="86" t="s">
        <v>19</v>
      </c>
      <c r="U6" s="86" t="s">
        <v>20</v>
      </c>
      <c r="V6" s="86" t="s">
        <v>21</v>
      </c>
      <c r="W6" s="86" t="s">
        <v>22</v>
      </c>
      <c r="X6" s="86" t="s">
        <v>23</v>
      </c>
      <c r="Y6" s="84" t="s">
        <v>24</v>
      </c>
      <c r="Z6" s="84" t="s">
        <v>25</v>
      </c>
      <c r="AA6" s="86" t="s">
        <v>26</v>
      </c>
      <c r="AB6" s="84" t="s">
        <v>27</v>
      </c>
      <c r="AC6" s="84" t="s">
        <v>28</v>
      </c>
      <c r="AD6" s="86" t="s">
        <v>29</v>
      </c>
      <c r="AE6" s="86" t="s">
        <v>30</v>
      </c>
      <c r="AF6" s="86" t="s">
        <v>31</v>
      </c>
      <c r="AG6" s="84" t="s">
        <v>32</v>
      </c>
      <c r="AH6" s="84" t="s">
        <v>33</v>
      </c>
      <c r="AI6" s="84" t="s">
        <v>34</v>
      </c>
      <c r="AJ6" s="84" t="s">
        <v>35</v>
      </c>
      <c r="AK6" s="84" t="s">
        <v>36</v>
      </c>
      <c r="AL6" s="84" t="s">
        <v>37</v>
      </c>
      <c r="AM6" s="84" t="s">
        <v>38</v>
      </c>
      <c r="AN6" s="1" t="s">
        <v>276</v>
      </c>
      <c r="AO6" s="88"/>
      <c r="AP6" s="84"/>
      <c r="AQ6" s="84"/>
      <c r="AR6" s="84"/>
      <c r="AS6" s="84"/>
      <c r="AT6" s="312"/>
      <c r="AU6" s="312"/>
      <c r="AV6" s="312"/>
    </row>
    <row r="7" spans="1:48" s="36" customFormat="1" ht="14.25" x14ac:dyDescent="0.2">
      <c r="A7" s="57"/>
      <c r="G7" s="58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AN7" s="36" t="e">
        <f>VLOOKUP(I7,Sheet1!A:D,4,FALSE)</f>
        <v>#N/A</v>
      </c>
    </row>
    <row r="8" spans="1:48" s="36" customFormat="1" ht="14.25" x14ac:dyDescent="0.2">
      <c r="A8" s="57"/>
      <c r="G8" s="58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AN8" s="36" t="e">
        <f>VLOOKUP(I8,Sheet1!A:D,4,FALSE)</f>
        <v>#N/A</v>
      </c>
    </row>
    <row r="9" spans="1:48" s="36" customFormat="1" ht="14.25" x14ac:dyDescent="0.2">
      <c r="A9" s="57"/>
      <c r="G9" s="58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AN9" s="36" t="e">
        <f>VLOOKUP(I9,Sheet1!A:D,4,FALSE)</f>
        <v>#N/A</v>
      </c>
    </row>
    <row r="10" spans="1:48" s="36" customFormat="1" ht="14.25" x14ac:dyDescent="0.2">
      <c r="A10" s="57"/>
      <c r="G10" s="58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AN10" s="36" t="e">
        <f>VLOOKUP(I10,Sheet1!A:D,4,FALSE)</f>
        <v>#N/A</v>
      </c>
    </row>
    <row r="11" spans="1:48" s="36" customFormat="1" ht="14.25" x14ac:dyDescent="0.2">
      <c r="A11" s="57"/>
      <c r="G11" s="58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AN11" s="36" t="e">
        <f>VLOOKUP(I11,Sheet1!A:D,4,FALSE)</f>
        <v>#N/A</v>
      </c>
    </row>
    <row r="12" spans="1:48" s="36" customFormat="1" ht="14.25" x14ac:dyDescent="0.2">
      <c r="A12" s="57"/>
      <c r="G12" s="58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AN12" s="36" t="e">
        <f>VLOOKUP(I12,Sheet1!A:D,4,FALSE)</f>
        <v>#N/A</v>
      </c>
    </row>
    <row r="13" spans="1:48" s="36" customFormat="1" ht="14.25" x14ac:dyDescent="0.2">
      <c r="A13" s="57"/>
      <c r="G13" s="58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AN13" s="36" t="e">
        <f>VLOOKUP(I13,Sheet1!A:D,4,FALSE)</f>
        <v>#N/A</v>
      </c>
    </row>
    <row r="14" spans="1:48" s="36" customFormat="1" ht="14.25" x14ac:dyDescent="0.2">
      <c r="A14" s="57"/>
      <c r="G14" s="58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AN14" s="36" t="e">
        <f>VLOOKUP(I14,Sheet1!A:D,4,FALSE)</f>
        <v>#N/A</v>
      </c>
    </row>
    <row r="15" spans="1:48" s="36" customFormat="1" ht="14.25" x14ac:dyDescent="0.2">
      <c r="A15" s="57"/>
      <c r="G15" s="58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AN15" s="36" t="e">
        <f>VLOOKUP(I15,Sheet1!A:D,4,FALSE)</f>
        <v>#N/A</v>
      </c>
    </row>
    <row r="16" spans="1:48" s="36" customFormat="1" ht="14.25" x14ac:dyDescent="0.2">
      <c r="A16" s="57"/>
      <c r="G16" s="58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AN16" s="36" t="e">
        <f>VLOOKUP(I16,Sheet1!A:D,4,FALSE)</f>
        <v>#N/A</v>
      </c>
    </row>
    <row r="17" spans="1:40" s="36" customFormat="1" ht="14.25" x14ac:dyDescent="0.2">
      <c r="A17" s="57"/>
      <c r="G17" s="58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AN17" s="36" t="e">
        <f>VLOOKUP(I17,Sheet1!A:D,4,FALSE)</f>
        <v>#N/A</v>
      </c>
    </row>
    <row r="18" spans="1:40" s="36" customFormat="1" ht="14.25" x14ac:dyDescent="0.2">
      <c r="A18" s="57"/>
      <c r="G18" s="58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AN18" s="36" t="e">
        <f>VLOOKUP(I18,Sheet1!A:D,4,FALSE)</f>
        <v>#N/A</v>
      </c>
    </row>
    <row r="19" spans="1:40" s="36" customFormat="1" ht="14.25" x14ac:dyDescent="0.2">
      <c r="A19" s="57"/>
      <c r="G19" s="58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AN19" s="36" t="e">
        <f>VLOOKUP(I19,Sheet1!A:D,4,FALSE)</f>
        <v>#N/A</v>
      </c>
    </row>
    <row r="20" spans="1:40" s="36" customFormat="1" ht="14.25" x14ac:dyDescent="0.2">
      <c r="A20" s="57"/>
      <c r="G20" s="58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AN20" s="36" t="e">
        <f>VLOOKUP(I20,Sheet1!A:D,4,FALSE)</f>
        <v>#N/A</v>
      </c>
    </row>
    <row r="21" spans="1:40" s="36" customFormat="1" ht="14.25" x14ac:dyDescent="0.2">
      <c r="A21" s="57"/>
      <c r="G21" s="58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AN21" s="36" t="e">
        <f>VLOOKUP(I21,Sheet1!A:D,4,FALSE)</f>
        <v>#N/A</v>
      </c>
    </row>
    <row r="22" spans="1:40" s="36" customFormat="1" ht="14.25" x14ac:dyDescent="0.2">
      <c r="A22" s="57"/>
      <c r="G22" s="58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AN22" s="36" t="e">
        <f>VLOOKUP(I22,Sheet1!A:D,4,FALSE)</f>
        <v>#N/A</v>
      </c>
    </row>
    <row r="23" spans="1:40" s="36" customFormat="1" ht="14.25" x14ac:dyDescent="0.2">
      <c r="A23" s="57"/>
      <c r="G23" s="58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AN23" s="36" t="e">
        <f>VLOOKUP(I23,Sheet1!A:D,4,FALSE)</f>
        <v>#N/A</v>
      </c>
    </row>
    <row r="24" spans="1:40" s="36" customFormat="1" ht="14.25" x14ac:dyDescent="0.2">
      <c r="A24" s="57"/>
      <c r="G24" s="58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AN24" s="36" t="e">
        <f>VLOOKUP(I24,Sheet1!A:D,4,FALSE)</f>
        <v>#N/A</v>
      </c>
    </row>
    <row r="25" spans="1:40" s="36" customFormat="1" ht="14.25" x14ac:dyDescent="0.2">
      <c r="A25" s="57"/>
      <c r="G25" s="58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AN25" s="36" t="e">
        <f>VLOOKUP(I25,Sheet1!A:D,4,FALSE)</f>
        <v>#N/A</v>
      </c>
    </row>
    <row r="26" spans="1:40" s="36" customFormat="1" ht="14.25" x14ac:dyDescent="0.2">
      <c r="A26" s="57"/>
      <c r="G26" s="58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AN26" s="36" t="e">
        <f>VLOOKUP(I26,Sheet1!A:D,4,FALSE)</f>
        <v>#N/A</v>
      </c>
    </row>
    <row r="27" spans="1:40" s="36" customFormat="1" ht="14.25" x14ac:dyDescent="0.2">
      <c r="A27" s="57"/>
      <c r="G27" s="58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AN27" s="36" t="e">
        <f>VLOOKUP(I27,Sheet1!A:D,4,FALSE)</f>
        <v>#N/A</v>
      </c>
    </row>
    <row r="28" spans="1:40" s="36" customFormat="1" ht="14.25" x14ac:dyDescent="0.2">
      <c r="A28" s="57"/>
      <c r="G28" s="58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AN28" s="36" t="e">
        <f>VLOOKUP(I28,Sheet1!A:D,4,FALSE)</f>
        <v>#N/A</v>
      </c>
    </row>
    <row r="29" spans="1:40" s="36" customFormat="1" ht="14.25" x14ac:dyDescent="0.2">
      <c r="A29" s="57"/>
      <c r="G29" s="58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AN29" s="36" t="e">
        <f>VLOOKUP(I29,Sheet1!A:D,4,FALSE)</f>
        <v>#N/A</v>
      </c>
    </row>
    <row r="30" spans="1:40" s="36" customFormat="1" ht="14.25" x14ac:dyDescent="0.2">
      <c r="A30" s="57"/>
      <c r="G30" s="58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AN30" s="36" t="e">
        <f>VLOOKUP(I30,Sheet1!A:D,4,FALSE)</f>
        <v>#N/A</v>
      </c>
    </row>
    <row r="31" spans="1:40" s="36" customFormat="1" ht="14.25" x14ac:dyDescent="0.2">
      <c r="A31" s="57"/>
      <c r="G31" s="58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AN31" s="36" t="e">
        <f>VLOOKUP(I31,Sheet1!A:D,4,FALSE)</f>
        <v>#N/A</v>
      </c>
    </row>
    <row r="32" spans="1:40" s="36" customFormat="1" ht="14.25" x14ac:dyDescent="0.2">
      <c r="A32" s="57"/>
      <c r="G32" s="58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AN32" s="36" t="e">
        <f>VLOOKUP(I32,Sheet1!A:D,4,FALSE)</f>
        <v>#N/A</v>
      </c>
    </row>
    <row r="33" spans="1:40" s="36" customFormat="1" ht="14.25" x14ac:dyDescent="0.2">
      <c r="A33" s="57"/>
      <c r="G33" s="58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AN33" s="36" t="e">
        <f>VLOOKUP(I33,Sheet1!A:D,4,FALSE)</f>
        <v>#N/A</v>
      </c>
    </row>
    <row r="34" spans="1:40" s="36" customFormat="1" ht="14.25" x14ac:dyDescent="0.2">
      <c r="A34" s="57"/>
      <c r="G34" s="58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AN34" s="36" t="e">
        <f>VLOOKUP(I34,Sheet1!A:D,4,FALSE)</f>
        <v>#N/A</v>
      </c>
    </row>
    <row r="35" spans="1:40" s="36" customFormat="1" ht="14.25" x14ac:dyDescent="0.2">
      <c r="A35" s="57"/>
      <c r="G35" s="58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AN35" s="36" t="e">
        <f>VLOOKUP(I35,Sheet1!A:D,4,FALSE)</f>
        <v>#N/A</v>
      </c>
    </row>
    <row r="36" spans="1:40" s="36" customFormat="1" ht="14.25" x14ac:dyDescent="0.2">
      <c r="A36" s="57"/>
      <c r="G36" s="58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AN36" s="36" t="e">
        <f>VLOOKUP(I36,Sheet1!A:D,4,FALSE)</f>
        <v>#N/A</v>
      </c>
    </row>
    <row r="37" spans="1:40" s="36" customFormat="1" ht="14.25" x14ac:dyDescent="0.2">
      <c r="A37" s="57"/>
      <c r="G37" s="58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AN37" s="36" t="e">
        <f>VLOOKUP(I37,Sheet1!A:D,4,FALSE)</f>
        <v>#N/A</v>
      </c>
    </row>
    <row r="38" spans="1:40" s="36" customFormat="1" ht="14.25" x14ac:dyDescent="0.2">
      <c r="A38" s="57"/>
      <c r="G38" s="58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AN38" s="36" t="e">
        <f>VLOOKUP(I38,Sheet1!A:D,4,FALSE)</f>
        <v>#N/A</v>
      </c>
    </row>
    <row r="39" spans="1:40" s="36" customFormat="1" ht="14.25" x14ac:dyDescent="0.2">
      <c r="A39" s="57"/>
      <c r="G39" s="58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AN39" s="36" t="e">
        <f>VLOOKUP(I39,Sheet1!A:D,4,FALSE)</f>
        <v>#N/A</v>
      </c>
    </row>
    <row r="40" spans="1:40" s="36" customFormat="1" ht="14.25" x14ac:dyDescent="0.2">
      <c r="A40" s="57"/>
      <c r="G40" s="5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AN40" s="36" t="e">
        <f>VLOOKUP(I40,Sheet1!A:D,4,FALSE)</f>
        <v>#N/A</v>
      </c>
    </row>
    <row r="41" spans="1:40" s="36" customFormat="1" ht="14.25" x14ac:dyDescent="0.2">
      <c r="A41" s="57"/>
      <c r="G41" s="5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AN41" s="36" t="e">
        <f>VLOOKUP(I41,Sheet1!A:D,4,FALSE)</f>
        <v>#N/A</v>
      </c>
    </row>
    <row r="42" spans="1:40" s="36" customFormat="1" ht="14.25" x14ac:dyDescent="0.2">
      <c r="A42" s="57"/>
      <c r="G42" s="5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AN42" s="36" t="e">
        <f>VLOOKUP(I42,Sheet1!A:D,4,FALSE)</f>
        <v>#N/A</v>
      </c>
    </row>
    <row r="43" spans="1:40" s="36" customFormat="1" ht="14.25" x14ac:dyDescent="0.2">
      <c r="A43" s="57"/>
      <c r="G43" s="5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AN43" s="36" t="e">
        <f>VLOOKUP(I43,Sheet1!A:D,4,FALSE)</f>
        <v>#N/A</v>
      </c>
    </row>
    <row r="44" spans="1:40" s="36" customFormat="1" ht="14.25" x14ac:dyDescent="0.2">
      <c r="A44" s="57"/>
      <c r="G44" s="5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AN44" s="36" t="e">
        <f>VLOOKUP(I44,Sheet1!A:D,4,FALSE)</f>
        <v>#N/A</v>
      </c>
    </row>
    <row r="45" spans="1:40" s="36" customFormat="1" ht="14.25" x14ac:dyDescent="0.2">
      <c r="A45" s="57"/>
      <c r="G45" s="5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AN45" s="36" t="e">
        <f>VLOOKUP(I45,Sheet1!A:D,4,FALSE)</f>
        <v>#N/A</v>
      </c>
    </row>
    <row r="46" spans="1:40" s="36" customFormat="1" ht="14.25" x14ac:dyDescent="0.2">
      <c r="A46" s="57"/>
      <c r="G46" s="5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AN46" s="36" t="e">
        <f>VLOOKUP(I46,Sheet1!A:D,4,FALSE)</f>
        <v>#N/A</v>
      </c>
    </row>
    <row r="47" spans="1:40" s="36" customFormat="1" ht="14.25" x14ac:dyDescent="0.2">
      <c r="A47" s="57"/>
      <c r="G47" s="5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AN47" s="36" t="e">
        <f>VLOOKUP(I47,Sheet1!A:D,4,FALSE)</f>
        <v>#N/A</v>
      </c>
    </row>
    <row r="48" spans="1:40" s="36" customFormat="1" ht="14.25" x14ac:dyDescent="0.2">
      <c r="A48" s="57"/>
      <c r="G48" s="5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AN48" s="36" t="e">
        <f>VLOOKUP(I48,Sheet1!A:D,4,FALSE)</f>
        <v>#N/A</v>
      </c>
    </row>
    <row r="49" spans="1:40" s="36" customFormat="1" ht="14.25" x14ac:dyDescent="0.2">
      <c r="A49" s="57"/>
      <c r="G49" s="5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AN49" s="36" t="e">
        <f>VLOOKUP(I49,Sheet1!A:D,4,FALSE)</f>
        <v>#N/A</v>
      </c>
    </row>
    <row r="50" spans="1:40" s="36" customFormat="1" ht="14.25" x14ac:dyDescent="0.2">
      <c r="A50" s="57"/>
      <c r="G50" s="5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AN50" s="36" t="e">
        <f>VLOOKUP(I50,Sheet1!A:D,4,FALSE)</f>
        <v>#N/A</v>
      </c>
    </row>
    <row r="51" spans="1:40" s="36" customFormat="1" ht="14.25" x14ac:dyDescent="0.2">
      <c r="A51" s="57"/>
      <c r="G51" s="5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AN51" s="36" t="e">
        <f>VLOOKUP(I51,Sheet1!A:D,4,FALSE)</f>
        <v>#N/A</v>
      </c>
    </row>
    <row r="52" spans="1:40" s="36" customFormat="1" ht="14.25" x14ac:dyDescent="0.2">
      <c r="A52" s="57"/>
      <c r="G52" s="5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AN52" s="36" t="e">
        <f>VLOOKUP(I52,Sheet1!A:D,4,FALSE)</f>
        <v>#N/A</v>
      </c>
    </row>
    <row r="53" spans="1:40" s="36" customFormat="1" ht="14.25" x14ac:dyDescent="0.2">
      <c r="A53" s="57"/>
      <c r="G53" s="5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AN53" s="36" t="e">
        <f>VLOOKUP(I53,Sheet1!A:D,4,FALSE)</f>
        <v>#N/A</v>
      </c>
    </row>
    <row r="54" spans="1:40" s="36" customFormat="1" ht="14.25" x14ac:dyDescent="0.2">
      <c r="A54" s="57"/>
      <c r="G54" s="5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AN54" s="36" t="e">
        <f>VLOOKUP(I54,Sheet1!A:D,4,FALSE)</f>
        <v>#N/A</v>
      </c>
    </row>
    <row r="55" spans="1:40" s="36" customFormat="1" ht="14.25" x14ac:dyDescent="0.2">
      <c r="A55" s="57"/>
      <c r="G55" s="5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AN55" s="36" t="e">
        <f>VLOOKUP(I55,Sheet1!A:D,4,FALSE)</f>
        <v>#N/A</v>
      </c>
    </row>
    <row r="56" spans="1:40" s="36" customFormat="1" ht="14.25" x14ac:dyDescent="0.2">
      <c r="A56" s="57"/>
      <c r="G56" s="5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AN56" s="36" t="e">
        <f>VLOOKUP(I56,Sheet1!A:D,4,FALSE)</f>
        <v>#N/A</v>
      </c>
    </row>
    <row r="57" spans="1:40" s="36" customFormat="1" ht="14.25" x14ac:dyDescent="0.2">
      <c r="A57" s="57"/>
      <c r="G57" s="5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AN57" s="36" t="e">
        <f>VLOOKUP(I57,Sheet1!A:D,4,FALSE)</f>
        <v>#N/A</v>
      </c>
    </row>
    <row r="58" spans="1:40" s="36" customFormat="1" ht="14.25" x14ac:dyDescent="0.2">
      <c r="A58" s="57"/>
      <c r="G58" s="5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AN58" s="36" t="e">
        <f>VLOOKUP(I58,Sheet1!A:D,4,FALSE)</f>
        <v>#N/A</v>
      </c>
    </row>
    <row r="59" spans="1:40" s="36" customFormat="1" ht="14.25" x14ac:dyDescent="0.2">
      <c r="A59" s="57"/>
      <c r="G59" s="58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AN59" s="36" t="e">
        <f>VLOOKUP(I59,Sheet1!A:D,4,FALSE)</f>
        <v>#N/A</v>
      </c>
    </row>
    <row r="60" spans="1:40" s="36" customFormat="1" ht="14.25" x14ac:dyDescent="0.2">
      <c r="A60" s="57"/>
      <c r="G60" s="58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AN60" s="36" t="e">
        <f>VLOOKUP(I60,Sheet1!A:D,4,FALSE)</f>
        <v>#N/A</v>
      </c>
    </row>
    <row r="61" spans="1:40" s="36" customFormat="1" ht="14.25" x14ac:dyDescent="0.2">
      <c r="A61" s="57"/>
      <c r="G61" s="58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AN61" s="36" t="e">
        <f>VLOOKUP(I61,Sheet1!A:D,4,FALSE)</f>
        <v>#N/A</v>
      </c>
    </row>
    <row r="62" spans="1:40" s="36" customFormat="1" ht="14.25" x14ac:dyDescent="0.2">
      <c r="A62" s="57"/>
      <c r="G62" s="58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AN62" s="36" t="e">
        <f>VLOOKUP(I62,Sheet1!A:D,4,FALSE)</f>
        <v>#N/A</v>
      </c>
    </row>
    <row r="63" spans="1:40" s="36" customFormat="1" ht="14.25" x14ac:dyDescent="0.2">
      <c r="A63" s="57"/>
      <c r="G63" s="58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AN63" s="36" t="e">
        <f>VLOOKUP(I63,Sheet1!A:D,4,FALSE)</f>
        <v>#N/A</v>
      </c>
    </row>
    <row r="64" spans="1:40" s="36" customFormat="1" ht="14.25" x14ac:dyDescent="0.2">
      <c r="A64" s="57"/>
      <c r="G64" s="58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AN64" s="36" t="e">
        <f>VLOOKUP(I64,Sheet1!A:D,4,FALSE)</f>
        <v>#N/A</v>
      </c>
    </row>
    <row r="65" spans="1:40" s="36" customFormat="1" ht="14.25" x14ac:dyDescent="0.2">
      <c r="A65" s="57"/>
      <c r="G65" s="58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AN65" s="36" t="e">
        <f>VLOOKUP(I65,Sheet1!A:D,4,FALSE)</f>
        <v>#N/A</v>
      </c>
    </row>
    <row r="66" spans="1:40" s="36" customFormat="1" ht="14.25" x14ac:dyDescent="0.2">
      <c r="A66" s="57"/>
      <c r="G66" s="58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AN66" s="36" t="e">
        <f>VLOOKUP(I66,Sheet1!A:D,4,FALSE)</f>
        <v>#N/A</v>
      </c>
    </row>
    <row r="67" spans="1:40" s="36" customFormat="1" ht="14.25" x14ac:dyDescent="0.2">
      <c r="A67" s="57"/>
      <c r="G67" s="58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AN67" s="36" t="e">
        <f>VLOOKUP(I67,Sheet1!A:D,4,FALSE)</f>
        <v>#N/A</v>
      </c>
    </row>
    <row r="68" spans="1:40" s="36" customFormat="1" ht="14.25" x14ac:dyDescent="0.2">
      <c r="A68" s="57"/>
      <c r="G68" s="58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AN68" s="36" t="e">
        <f>VLOOKUP(I68,Sheet1!A:D,4,FALSE)</f>
        <v>#N/A</v>
      </c>
    </row>
    <row r="69" spans="1:40" s="36" customFormat="1" ht="14.25" x14ac:dyDescent="0.2">
      <c r="A69" s="57"/>
      <c r="G69" s="58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AN69" s="36" t="e">
        <f>VLOOKUP(I69,Sheet1!A:D,4,FALSE)</f>
        <v>#N/A</v>
      </c>
    </row>
    <row r="70" spans="1:40" s="36" customFormat="1" ht="14.25" x14ac:dyDescent="0.2">
      <c r="A70" s="57"/>
      <c r="G70" s="58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AN70" s="36" t="e">
        <f>VLOOKUP(I70,Sheet1!A:D,4,FALSE)</f>
        <v>#N/A</v>
      </c>
    </row>
    <row r="71" spans="1:40" s="36" customFormat="1" ht="14.25" x14ac:dyDescent="0.2">
      <c r="A71" s="57"/>
      <c r="G71" s="58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AN71" s="36" t="e">
        <f>VLOOKUP(I71,Sheet1!A:D,4,FALSE)</f>
        <v>#N/A</v>
      </c>
    </row>
    <row r="72" spans="1:40" s="36" customFormat="1" ht="14.25" x14ac:dyDescent="0.2">
      <c r="A72" s="57"/>
      <c r="G72" s="58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AN72" s="36" t="e">
        <f>VLOOKUP(I72,Sheet1!A:D,4,FALSE)</f>
        <v>#N/A</v>
      </c>
    </row>
    <row r="73" spans="1:40" s="36" customFormat="1" ht="14.25" x14ac:dyDescent="0.2">
      <c r="A73" s="57"/>
      <c r="G73" s="58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AN73" s="36" t="e">
        <f>VLOOKUP(I73,Sheet1!A:D,4,FALSE)</f>
        <v>#N/A</v>
      </c>
    </row>
    <row r="74" spans="1:40" s="36" customFormat="1" ht="14.25" x14ac:dyDescent="0.2">
      <c r="A74" s="57"/>
      <c r="G74" s="58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AN74" s="36" t="e">
        <f>VLOOKUP(I74,Sheet1!A:D,4,FALSE)</f>
        <v>#N/A</v>
      </c>
    </row>
    <row r="75" spans="1:40" s="36" customFormat="1" ht="14.25" x14ac:dyDescent="0.2">
      <c r="A75" s="57"/>
      <c r="G75" s="58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AN75" s="36" t="e">
        <f>VLOOKUP(I75,Sheet1!A:D,4,FALSE)</f>
        <v>#N/A</v>
      </c>
    </row>
    <row r="76" spans="1:40" s="36" customFormat="1" ht="14.25" x14ac:dyDescent="0.2">
      <c r="A76" s="57"/>
      <c r="G76" s="58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AN76" s="36" t="e">
        <f>VLOOKUP(I76,Sheet1!A:D,4,FALSE)</f>
        <v>#N/A</v>
      </c>
    </row>
    <row r="77" spans="1:40" s="36" customFormat="1" ht="14.25" x14ac:dyDescent="0.2">
      <c r="A77" s="57"/>
      <c r="G77" s="58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AN77" s="36" t="e">
        <f>VLOOKUP(I77,Sheet1!A:D,4,FALSE)</f>
        <v>#N/A</v>
      </c>
    </row>
    <row r="78" spans="1:40" s="36" customFormat="1" ht="14.25" x14ac:dyDescent="0.2">
      <c r="A78" s="57"/>
      <c r="G78" s="58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AN78" s="36" t="e">
        <f>VLOOKUP(I78,Sheet1!A:D,4,FALSE)</f>
        <v>#N/A</v>
      </c>
    </row>
    <row r="79" spans="1:40" s="36" customFormat="1" ht="14.25" x14ac:dyDescent="0.2">
      <c r="A79" s="57"/>
      <c r="G79" s="58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AN79" s="36" t="e">
        <f>VLOOKUP(I79,Sheet1!A:D,4,FALSE)</f>
        <v>#N/A</v>
      </c>
    </row>
    <row r="80" spans="1:40" s="36" customFormat="1" ht="14.25" x14ac:dyDescent="0.2">
      <c r="A80" s="57"/>
      <c r="G80" s="58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AN80" s="36" t="e">
        <f>VLOOKUP(I80,Sheet1!A:D,4,FALSE)</f>
        <v>#N/A</v>
      </c>
    </row>
    <row r="81" spans="1:40" s="36" customFormat="1" ht="14.25" x14ac:dyDescent="0.2">
      <c r="A81" s="57"/>
      <c r="G81" s="58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AN81" s="36" t="e">
        <f>VLOOKUP(I81,Sheet1!A:D,4,FALSE)</f>
        <v>#N/A</v>
      </c>
    </row>
    <row r="82" spans="1:40" s="36" customFormat="1" ht="14.25" x14ac:dyDescent="0.2">
      <c r="A82" s="57"/>
      <c r="G82" s="58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AN82" s="36" t="e">
        <f>VLOOKUP(I82,Sheet1!A:D,4,FALSE)</f>
        <v>#N/A</v>
      </c>
    </row>
    <row r="83" spans="1:40" s="36" customFormat="1" ht="14.25" x14ac:dyDescent="0.2">
      <c r="A83" s="57"/>
      <c r="G83" s="58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AN83" s="36" t="e">
        <f>VLOOKUP(I83,Sheet1!A:D,4,FALSE)</f>
        <v>#N/A</v>
      </c>
    </row>
    <row r="84" spans="1:40" s="36" customFormat="1" ht="14.25" x14ac:dyDescent="0.2">
      <c r="A84" s="57"/>
      <c r="G84" s="58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AN84" s="36" t="e">
        <f>VLOOKUP(I84,Sheet1!A:D,4,FALSE)</f>
        <v>#N/A</v>
      </c>
    </row>
    <row r="85" spans="1:40" s="36" customFormat="1" ht="14.25" x14ac:dyDescent="0.2">
      <c r="A85" s="57"/>
      <c r="G85" s="58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AN85" s="36" t="e">
        <f>VLOOKUP(I85,Sheet1!A:D,4,FALSE)</f>
        <v>#N/A</v>
      </c>
    </row>
    <row r="86" spans="1:40" s="36" customFormat="1" ht="14.25" x14ac:dyDescent="0.2">
      <c r="A86" s="57"/>
      <c r="G86" s="58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AN86" s="36" t="e">
        <f>VLOOKUP(I86,Sheet1!A:D,4,FALSE)</f>
        <v>#N/A</v>
      </c>
    </row>
    <row r="87" spans="1:40" s="36" customFormat="1" ht="14.25" x14ac:dyDescent="0.2">
      <c r="A87" s="57"/>
      <c r="G87" s="58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AN87" s="36" t="e">
        <f>VLOOKUP(I87,Sheet1!A:D,4,FALSE)</f>
        <v>#N/A</v>
      </c>
    </row>
    <row r="88" spans="1:40" s="36" customFormat="1" ht="14.25" x14ac:dyDescent="0.2">
      <c r="A88" s="57"/>
      <c r="G88" s="58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AN88" s="36" t="e">
        <f>VLOOKUP(I88,Sheet1!A:D,4,FALSE)</f>
        <v>#N/A</v>
      </c>
    </row>
    <row r="89" spans="1:40" s="36" customFormat="1" ht="14.25" x14ac:dyDescent="0.2">
      <c r="A89" s="57"/>
      <c r="G89" s="58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AN89" s="36" t="e">
        <f>VLOOKUP(I89,Sheet1!A:D,4,FALSE)</f>
        <v>#N/A</v>
      </c>
    </row>
    <row r="90" spans="1:40" s="36" customFormat="1" ht="14.25" x14ac:dyDescent="0.2">
      <c r="A90" s="57"/>
      <c r="G90" s="58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AN90" s="36" t="e">
        <f>VLOOKUP(I90,Sheet1!A:D,4,FALSE)</f>
        <v>#N/A</v>
      </c>
    </row>
    <row r="91" spans="1:40" s="36" customFormat="1" ht="14.25" x14ac:dyDescent="0.2">
      <c r="A91" s="57"/>
      <c r="G91" s="58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AN91" s="36" t="e">
        <f>VLOOKUP(I91,Sheet1!A:D,4,FALSE)</f>
        <v>#N/A</v>
      </c>
    </row>
    <row r="92" spans="1:40" s="36" customFormat="1" ht="14.25" x14ac:dyDescent="0.2">
      <c r="A92" s="57"/>
      <c r="G92" s="58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AN92" s="36" t="e">
        <f>VLOOKUP(I92,Sheet1!A:D,4,FALSE)</f>
        <v>#N/A</v>
      </c>
    </row>
    <row r="93" spans="1:40" s="36" customFormat="1" ht="14.25" x14ac:dyDescent="0.2">
      <c r="A93" s="57"/>
      <c r="G93" s="58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AN93" s="36" t="e">
        <f>VLOOKUP(I93,Sheet1!A:D,4,FALSE)</f>
        <v>#N/A</v>
      </c>
    </row>
    <row r="94" spans="1:40" s="36" customFormat="1" ht="14.25" x14ac:dyDescent="0.2">
      <c r="A94" s="57"/>
      <c r="G94" s="58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AN94" s="36" t="e">
        <f>VLOOKUP(I94,Sheet1!A:D,4,FALSE)</f>
        <v>#N/A</v>
      </c>
    </row>
    <row r="95" spans="1:40" s="36" customFormat="1" ht="14.25" x14ac:dyDescent="0.2">
      <c r="A95" s="57"/>
      <c r="G95" s="58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AN95" s="36" t="e">
        <f>VLOOKUP(I95,Sheet1!A:D,4,FALSE)</f>
        <v>#N/A</v>
      </c>
    </row>
    <row r="96" spans="1:40" s="36" customFormat="1" ht="14.25" x14ac:dyDescent="0.2">
      <c r="A96" s="57"/>
      <c r="G96" s="58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AN96" s="36" t="e">
        <f>VLOOKUP(I96,Sheet1!A:D,4,FALSE)</f>
        <v>#N/A</v>
      </c>
    </row>
    <row r="97" spans="1:40" s="36" customFormat="1" ht="14.25" x14ac:dyDescent="0.2">
      <c r="A97" s="57"/>
      <c r="G97" s="58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AN97" s="36" t="e">
        <f>VLOOKUP(I97,Sheet1!A:D,4,FALSE)</f>
        <v>#N/A</v>
      </c>
    </row>
    <row r="98" spans="1:40" s="36" customFormat="1" ht="14.25" x14ac:dyDescent="0.2">
      <c r="A98" s="57"/>
      <c r="G98" s="58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AN98" s="36" t="e">
        <f>VLOOKUP(I98,Sheet1!A:D,4,FALSE)</f>
        <v>#N/A</v>
      </c>
    </row>
    <row r="99" spans="1:40" s="36" customFormat="1" ht="14.25" x14ac:dyDescent="0.2">
      <c r="A99" s="57"/>
      <c r="G99" s="58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AN99" s="36" t="e">
        <f>VLOOKUP(I99,Sheet1!A:D,4,FALSE)</f>
        <v>#N/A</v>
      </c>
    </row>
    <row r="100" spans="1:40" s="36" customFormat="1" ht="14.25" x14ac:dyDescent="0.2">
      <c r="A100" s="57"/>
      <c r="G100" s="58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AN100" s="36" t="e">
        <f>VLOOKUP(I100,Sheet1!A:D,4,FALSE)</f>
        <v>#N/A</v>
      </c>
    </row>
    <row r="101" spans="1:40" s="36" customFormat="1" ht="14.25" x14ac:dyDescent="0.2">
      <c r="A101" s="57"/>
      <c r="G101" s="58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AN101" s="36" t="e">
        <f>VLOOKUP(I101,Sheet1!A:D,4,FALSE)</f>
        <v>#N/A</v>
      </c>
    </row>
    <row r="102" spans="1:40" s="36" customFormat="1" ht="14.25" x14ac:dyDescent="0.2">
      <c r="A102" s="57"/>
      <c r="G102" s="58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AN102" s="36" t="e">
        <f>VLOOKUP(I102,Sheet1!A:D,4,FALSE)</f>
        <v>#N/A</v>
      </c>
    </row>
    <row r="103" spans="1:40" s="36" customFormat="1" ht="14.25" x14ac:dyDescent="0.2">
      <c r="A103" s="57"/>
      <c r="G103" s="58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AN103" s="36" t="e">
        <f>VLOOKUP(I103,Sheet1!A:D,4,FALSE)</f>
        <v>#N/A</v>
      </c>
    </row>
    <row r="104" spans="1:40" s="36" customFormat="1" ht="14.25" x14ac:dyDescent="0.2">
      <c r="A104" s="57"/>
      <c r="G104" s="58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AN104" s="36" t="e">
        <f>VLOOKUP(I104,Sheet1!A:D,4,FALSE)</f>
        <v>#N/A</v>
      </c>
    </row>
    <row r="105" spans="1:40" s="36" customFormat="1" ht="14.25" x14ac:dyDescent="0.2">
      <c r="A105" s="57"/>
      <c r="G105" s="58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AN105" s="36" t="e">
        <f>VLOOKUP(I105,Sheet1!A:D,4,FALSE)</f>
        <v>#N/A</v>
      </c>
    </row>
    <row r="106" spans="1:40" s="36" customFormat="1" ht="14.25" x14ac:dyDescent="0.2">
      <c r="A106" s="57"/>
      <c r="G106" s="58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AN106" s="36" t="e">
        <f>VLOOKUP(I106,Sheet1!A:D,4,FALSE)</f>
        <v>#N/A</v>
      </c>
    </row>
    <row r="107" spans="1:40" s="36" customFormat="1" ht="14.25" x14ac:dyDescent="0.2">
      <c r="A107" s="57"/>
      <c r="G107" s="58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AN107" s="36" t="e">
        <f>VLOOKUP(I107,Sheet1!A:D,4,FALSE)</f>
        <v>#N/A</v>
      </c>
    </row>
    <row r="108" spans="1:40" s="36" customFormat="1" ht="14.25" x14ac:dyDescent="0.2">
      <c r="A108" s="57"/>
      <c r="G108" s="58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AN108" s="36" t="e">
        <f>VLOOKUP(I108,Sheet1!A:D,4,FALSE)</f>
        <v>#N/A</v>
      </c>
    </row>
    <row r="109" spans="1:40" s="36" customFormat="1" ht="14.25" x14ac:dyDescent="0.2">
      <c r="A109" s="57"/>
      <c r="G109" s="58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AN109" s="36" t="e">
        <f>VLOOKUP(I109,Sheet1!A:D,4,FALSE)</f>
        <v>#N/A</v>
      </c>
    </row>
    <row r="110" spans="1:40" s="36" customFormat="1" ht="14.25" x14ac:dyDescent="0.2">
      <c r="A110" s="57"/>
      <c r="G110" s="58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AN110" s="36" t="e">
        <f>VLOOKUP(I110,Sheet1!A:D,4,FALSE)</f>
        <v>#N/A</v>
      </c>
    </row>
    <row r="111" spans="1:40" s="36" customFormat="1" ht="14.25" x14ac:dyDescent="0.2">
      <c r="A111" s="57"/>
      <c r="G111" s="58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AN111" s="36" t="e">
        <f>VLOOKUP(I111,Sheet1!A:D,4,FALSE)</f>
        <v>#N/A</v>
      </c>
    </row>
    <row r="112" spans="1:40" s="36" customFormat="1" ht="14.25" x14ac:dyDescent="0.2">
      <c r="A112" s="57"/>
      <c r="G112" s="58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AN112" s="36" t="e">
        <f>VLOOKUP(I112,Sheet1!A:D,4,FALSE)</f>
        <v>#N/A</v>
      </c>
    </row>
    <row r="113" spans="1:40" s="36" customFormat="1" ht="14.25" x14ac:dyDescent="0.2">
      <c r="A113" s="57"/>
      <c r="G113" s="58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AN113" s="36" t="e">
        <f>VLOOKUP(I113,Sheet1!A:D,4,FALSE)</f>
        <v>#N/A</v>
      </c>
    </row>
    <row r="114" spans="1:40" s="36" customFormat="1" ht="14.25" x14ac:dyDescent="0.2">
      <c r="A114" s="57"/>
      <c r="G114" s="58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AN114" s="36" t="e">
        <f>VLOOKUP(I114,Sheet1!A:D,4,FALSE)</f>
        <v>#N/A</v>
      </c>
    </row>
    <row r="115" spans="1:40" s="36" customFormat="1" ht="14.25" x14ac:dyDescent="0.2">
      <c r="A115" s="57"/>
      <c r="G115" s="58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AN115" s="36" t="e">
        <f>VLOOKUP(I115,Sheet1!A:D,4,FALSE)</f>
        <v>#N/A</v>
      </c>
    </row>
    <row r="116" spans="1:40" s="36" customFormat="1" ht="14.25" x14ac:dyDescent="0.2">
      <c r="A116" s="57"/>
      <c r="G116" s="58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AN116" s="36" t="e">
        <f>VLOOKUP(I116,Sheet1!A:D,4,FALSE)</f>
        <v>#N/A</v>
      </c>
    </row>
    <row r="117" spans="1:40" s="36" customFormat="1" ht="14.25" x14ac:dyDescent="0.2">
      <c r="A117" s="57"/>
      <c r="G117" s="58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AN117" s="36" t="e">
        <f>VLOOKUP(I117,Sheet1!A:D,4,FALSE)</f>
        <v>#N/A</v>
      </c>
    </row>
    <row r="118" spans="1:40" s="36" customFormat="1" ht="14.25" x14ac:dyDescent="0.2">
      <c r="A118" s="57"/>
      <c r="G118" s="58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AN118" s="36" t="e">
        <f>VLOOKUP(I118,Sheet1!A:D,4,FALSE)</f>
        <v>#N/A</v>
      </c>
    </row>
    <row r="119" spans="1:40" s="36" customFormat="1" ht="14.25" x14ac:dyDescent="0.2">
      <c r="A119" s="57"/>
      <c r="G119" s="58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AN119" s="36" t="e">
        <f>VLOOKUP(I119,Sheet1!A:D,4,FALSE)</f>
        <v>#N/A</v>
      </c>
    </row>
    <row r="120" spans="1:40" s="36" customFormat="1" ht="14.25" x14ac:dyDescent="0.2">
      <c r="A120" s="57"/>
      <c r="G120" s="58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AN120" s="36" t="e">
        <f>VLOOKUP(I120,Sheet1!A:D,4,FALSE)</f>
        <v>#N/A</v>
      </c>
    </row>
    <row r="121" spans="1:40" s="36" customFormat="1" ht="14.25" x14ac:dyDescent="0.2">
      <c r="A121" s="57"/>
      <c r="G121" s="58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AN121" s="36" t="e">
        <f>VLOOKUP(I121,Sheet1!A:D,4,FALSE)</f>
        <v>#N/A</v>
      </c>
    </row>
    <row r="122" spans="1:40" s="36" customFormat="1" ht="14.25" x14ac:dyDescent="0.2">
      <c r="A122" s="57"/>
      <c r="G122" s="58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AN122" s="36" t="e">
        <f>VLOOKUP(I122,Sheet1!A:D,4,FALSE)</f>
        <v>#N/A</v>
      </c>
    </row>
    <row r="123" spans="1:40" s="36" customFormat="1" ht="14.25" x14ac:dyDescent="0.2">
      <c r="A123" s="57"/>
      <c r="G123" s="58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AN123" s="36" t="e">
        <f>VLOOKUP(I123,Sheet1!A:D,4,FALSE)</f>
        <v>#N/A</v>
      </c>
    </row>
    <row r="124" spans="1:40" s="36" customFormat="1" ht="14.25" x14ac:dyDescent="0.2">
      <c r="A124" s="57"/>
      <c r="G124" s="58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AN124" s="36" t="e">
        <f>VLOOKUP(I124,Sheet1!A:D,4,FALSE)</f>
        <v>#N/A</v>
      </c>
    </row>
    <row r="125" spans="1:40" s="36" customFormat="1" ht="14.25" x14ac:dyDescent="0.2">
      <c r="A125" s="57"/>
      <c r="G125" s="58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AN125" s="36" t="e">
        <f>VLOOKUP(I125,Sheet1!A:D,4,FALSE)</f>
        <v>#N/A</v>
      </c>
    </row>
    <row r="126" spans="1:40" s="36" customFormat="1" ht="14.25" x14ac:dyDescent="0.2">
      <c r="A126" s="57"/>
      <c r="G126" s="58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AN126" s="36" t="e">
        <f>VLOOKUP(I126,Sheet1!A:D,4,FALSE)</f>
        <v>#N/A</v>
      </c>
    </row>
    <row r="127" spans="1:40" s="36" customFormat="1" ht="14.25" x14ac:dyDescent="0.2">
      <c r="A127" s="57"/>
      <c r="G127" s="58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AN127" s="36" t="e">
        <f>VLOOKUP(I127,Sheet1!A:D,4,FALSE)</f>
        <v>#N/A</v>
      </c>
    </row>
    <row r="128" spans="1:40" s="36" customFormat="1" ht="14.25" x14ac:dyDescent="0.2">
      <c r="A128" s="57"/>
      <c r="G128" s="58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AN128" s="36" t="e">
        <f>VLOOKUP(I128,Sheet1!A:D,4,FALSE)</f>
        <v>#N/A</v>
      </c>
    </row>
    <row r="129" spans="1:40" s="36" customFormat="1" ht="14.25" x14ac:dyDescent="0.2">
      <c r="A129" s="57"/>
      <c r="G129" s="58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AN129" s="36" t="e">
        <f>VLOOKUP(I129,Sheet1!A:D,4,FALSE)</f>
        <v>#N/A</v>
      </c>
    </row>
    <row r="130" spans="1:40" s="36" customFormat="1" ht="14.25" x14ac:dyDescent="0.2">
      <c r="A130" s="57"/>
      <c r="G130" s="58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AN130" s="36" t="e">
        <f>VLOOKUP(I130,Sheet1!A:D,4,FALSE)</f>
        <v>#N/A</v>
      </c>
    </row>
    <row r="131" spans="1:40" s="36" customFormat="1" ht="14.25" x14ac:dyDescent="0.2">
      <c r="A131" s="57"/>
      <c r="G131" s="58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AN131" s="36" t="e">
        <f>VLOOKUP(I131,Sheet1!A:D,4,FALSE)</f>
        <v>#N/A</v>
      </c>
    </row>
    <row r="132" spans="1:40" s="36" customFormat="1" ht="14.25" x14ac:dyDescent="0.2">
      <c r="A132" s="57"/>
      <c r="G132" s="58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AN132" s="36" t="e">
        <f>VLOOKUP(I132,Sheet1!A:D,4,FALSE)</f>
        <v>#N/A</v>
      </c>
    </row>
    <row r="133" spans="1:40" s="36" customFormat="1" ht="14.25" x14ac:dyDescent="0.2">
      <c r="A133" s="57"/>
      <c r="G133" s="58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AN133" s="36" t="e">
        <f>VLOOKUP(I133,Sheet1!A:D,4,FALSE)</f>
        <v>#N/A</v>
      </c>
    </row>
    <row r="134" spans="1:40" s="36" customFormat="1" ht="14.25" x14ac:dyDescent="0.2">
      <c r="A134" s="57"/>
      <c r="G134" s="58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AN134" s="36" t="e">
        <f>VLOOKUP(I134,Sheet1!A:D,4,FALSE)</f>
        <v>#N/A</v>
      </c>
    </row>
    <row r="135" spans="1:40" s="36" customFormat="1" ht="14.25" x14ac:dyDescent="0.2">
      <c r="A135" s="57"/>
      <c r="G135" s="58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AN135" s="36" t="e">
        <f>VLOOKUP(I135,Sheet1!A:D,4,FALSE)</f>
        <v>#N/A</v>
      </c>
    </row>
    <row r="136" spans="1:40" s="36" customFormat="1" ht="14.25" x14ac:dyDescent="0.2">
      <c r="A136" s="57"/>
      <c r="G136" s="58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AN136" s="36" t="e">
        <f>VLOOKUP(I136,Sheet1!A:D,4,FALSE)</f>
        <v>#N/A</v>
      </c>
    </row>
    <row r="137" spans="1:40" s="36" customFormat="1" ht="14.25" x14ac:dyDescent="0.2">
      <c r="A137" s="57"/>
      <c r="G137" s="58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AN137" s="36" t="e">
        <f>VLOOKUP(I137,Sheet1!A:D,4,FALSE)</f>
        <v>#N/A</v>
      </c>
    </row>
    <row r="138" spans="1:40" s="36" customFormat="1" ht="14.25" x14ac:dyDescent="0.2">
      <c r="A138" s="57"/>
      <c r="G138" s="58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AN138" s="36" t="e">
        <f>VLOOKUP(I138,Sheet1!A:D,4,FALSE)</f>
        <v>#N/A</v>
      </c>
    </row>
    <row r="139" spans="1:40" s="36" customFormat="1" ht="14.25" x14ac:dyDescent="0.2">
      <c r="A139" s="57"/>
      <c r="G139" s="58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AN139" s="36" t="e">
        <f>VLOOKUP(I139,Sheet1!A:D,4,FALSE)</f>
        <v>#N/A</v>
      </c>
    </row>
    <row r="140" spans="1:40" s="36" customFormat="1" ht="14.25" x14ac:dyDescent="0.2">
      <c r="A140" s="57"/>
      <c r="G140" s="58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AN140" s="36" t="e">
        <f>VLOOKUP(I140,Sheet1!A:D,4,FALSE)</f>
        <v>#N/A</v>
      </c>
    </row>
    <row r="141" spans="1:40" s="36" customFormat="1" ht="14.25" x14ac:dyDescent="0.2">
      <c r="A141" s="57"/>
      <c r="G141" s="58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AN141" s="36" t="e">
        <f>VLOOKUP(I141,Sheet1!A:D,4,FALSE)</f>
        <v>#N/A</v>
      </c>
    </row>
    <row r="142" spans="1:40" s="36" customFormat="1" ht="14.25" x14ac:dyDescent="0.2">
      <c r="A142" s="57"/>
      <c r="G142" s="58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AN142" s="36" t="e">
        <f>VLOOKUP(I142,Sheet1!A:D,4,FALSE)</f>
        <v>#N/A</v>
      </c>
    </row>
    <row r="143" spans="1:40" s="36" customFormat="1" ht="14.25" x14ac:dyDescent="0.2">
      <c r="A143" s="57"/>
      <c r="G143" s="58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AN143" s="36" t="e">
        <f>VLOOKUP(I143,Sheet1!A:D,4,FALSE)</f>
        <v>#N/A</v>
      </c>
    </row>
    <row r="144" spans="1:40" s="36" customFormat="1" ht="14.25" x14ac:dyDescent="0.2">
      <c r="A144" s="57"/>
      <c r="G144" s="58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AN144" s="36" t="e">
        <f>VLOOKUP(I144,Sheet1!A:D,4,FALSE)</f>
        <v>#N/A</v>
      </c>
    </row>
    <row r="145" spans="1:40" s="36" customFormat="1" ht="14.25" x14ac:dyDescent="0.2">
      <c r="A145" s="57"/>
      <c r="G145" s="58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AN145" s="36" t="e">
        <f>VLOOKUP(I145,Sheet1!A:D,4,FALSE)</f>
        <v>#N/A</v>
      </c>
    </row>
    <row r="146" spans="1:40" s="36" customFormat="1" ht="14.25" x14ac:dyDescent="0.2">
      <c r="A146" s="57"/>
      <c r="G146" s="58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AN146" s="36" t="e">
        <f>VLOOKUP(I146,Sheet1!A:D,4,FALSE)</f>
        <v>#N/A</v>
      </c>
    </row>
    <row r="147" spans="1:40" s="36" customFormat="1" ht="14.25" x14ac:dyDescent="0.2">
      <c r="A147" s="57"/>
      <c r="G147" s="58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AN147" s="36" t="e">
        <f>VLOOKUP(I147,Sheet1!A:D,4,FALSE)</f>
        <v>#N/A</v>
      </c>
    </row>
    <row r="148" spans="1:40" s="36" customFormat="1" ht="14.25" x14ac:dyDescent="0.2">
      <c r="A148" s="57"/>
      <c r="G148" s="58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AN148" s="36" t="e">
        <f>VLOOKUP(I148,Sheet1!A:D,4,FALSE)</f>
        <v>#N/A</v>
      </c>
    </row>
    <row r="149" spans="1:40" s="36" customFormat="1" ht="14.25" x14ac:dyDescent="0.2">
      <c r="A149" s="57"/>
      <c r="G149" s="58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AN149" s="36" t="e">
        <f>VLOOKUP(I149,Sheet1!A:D,4,FALSE)</f>
        <v>#N/A</v>
      </c>
    </row>
    <row r="150" spans="1:40" s="36" customFormat="1" ht="14.25" x14ac:dyDescent="0.2">
      <c r="A150" s="57"/>
      <c r="G150" s="58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AN150" s="36" t="e">
        <f>VLOOKUP(I150,Sheet1!A:D,4,FALSE)</f>
        <v>#N/A</v>
      </c>
    </row>
    <row r="151" spans="1:40" s="36" customFormat="1" ht="14.25" x14ac:dyDescent="0.2">
      <c r="A151" s="57"/>
      <c r="G151" s="58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AN151" s="36" t="e">
        <f>VLOOKUP(I151,Sheet1!A:D,4,FALSE)</f>
        <v>#N/A</v>
      </c>
    </row>
    <row r="152" spans="1:40" s="36" customFormat="1" ht="14.25" x14ac:dyDescent="0.2">
      <c r="A152" s="57"/>
      <c r="G152" s="58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AN152" s="36" t="e">
        <f>VLOOKUP(I152,Sheet1!A:D,4,FALSE)</f>
        <v>#N/A</v>
      </c>
    </row>
    <row r="153" spans="1:40" s="36" customFormat="1" ht="14.25" x14ac:dyDescent="0.2">
      <c r="A153" s="57"/>
      <c r="G153" s="58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AN153" s="36" t="e">
        <f>VLOOKUP(I153,Sheet1!A:D,4,FALSE)</f>
        <v>#N/A</v>
      </c>
    </row>
    <row r="154" spans="1:40" s="36" customFormat="1" ht="14.25" x14ac:dyDescent="0.2">
      <c r="A154" s="57"/>
      <c r="G154" s="58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AN154" s="36" t="e">
        <f>VLOOKUP(I154,Sheet1!A:D,4,FALSE)</f>
        <v>#N/A</v>
      </c>
    </row>
    <row r="155" spans="1:40" s="36" customFormat="1" ht="14.25" x14ac:dyDescent="0.2">
      <c r="A155" s="57"/>
      <c r="G155" s="58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AN155" s="36" t="e">
        <f>VLOOKUP(I155,Sheet1!A:D,4,FALSE)</f>
        <v>#N/A</v>
      </c>
    </row>
    <row r="156" spans="1:40" s="36" customFormat="1" ht="14.25" x14ac:dyDescent="0.2">
      <c r="A156" s="57"/>
      <c r="G156" s="58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AN156" s="36" t="e">
        <f>VLOOKUP(I156,Sheet1!A:D,4,FALSE)</f>
        <v>#N/A</v>
      </c>
    </row>
    <row r="157" spans="1:40" s="36" customFormat="1" ht="14.25" x14ac:dyDescent="0.2">
      <c r="A157" s="57"/>
      <c r="G157" s="58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AN157" s="36" t="e">
        <f>VLOOKUP(I157,Sheet1!A:D,4,FALSE)</f>
        <v>#N/A</v>
      </c>
    </row>
    <row r="158" spans="1:40" s="36" customFormat="1" ht="14.25" x14ac:dyDescent="0.2">
      <c r="A158" s="57"/>
      <c r="G158" s="58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AN158" s="36" t="e">
        <f>VLOOKUP(I158,Sheet1!A:D,4,FALSE)</f>
        <v>#N/A</v>
      </c>
    </row>
    <row r="159" spans="1:40" s="36" customFormat="1" ht="14.25" x14ac:dyDescent="0.2">
      <c r="A159" s="57"/>
      <c r="G159" s="58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AN159" s="36" t="e">
        <f>VLOOKUP(I159,Sheet1!A:D,4,FALSE)</f>
        <v>#N/A</v>
      </c>
    </row>
    <row r="160" spans="1:40" s="62" customFormat="1" ht="14.25" x14ac:dyDescent="0.2">
      <c r="A160" s="61"/>
      <c r="G160" s="63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AN160" s="62" t="e">
        <f>VLOOKUP(I160,Sheet1!A:D,4,FALSE)</f>
        <v>#N/A</v>
      </c>
    </row>
    <row r="161" spans="1:40" s="62" customFormat="1" ht="14.25" x14ac:dyDescent="0.2">
      <c r="A161" s="61"/>
      <c r="G161" s="63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AN161" s="62" t="e">
        <f>VLOOKUP(I161,Sheet1!A:D,4,FALSE)</f>
        <v>#N/A</v>
      </c>
    </row>
    <row r="162" spans="1:40" s="62" customFormat="1" ht="14.25" x14ac:dyDescent="0.2">
      <c r="A162" s="61"/>
      <c r="G162" s="63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AN162" s="62" t="e">
        <f>VLOOKUP(I162,Sheet1!A:D,4,FALSE)</f>
        <v>#N/A</v>
      </c>
    </row>
    <row r="163" spans="1:40" s="62" customFormat="1" ht="14.25" x14ac:dyDescent="0.2">
      <c r="A163" s="61"/>
      <c r="G163" s="63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AN163" s="62" t="e">
        <f>VLOOKUP(I163,Sheet1!A:D,4,FALSE)</f>
        <v>#N/A</v>
      </c>
    </row>
    <row r="164" spans="1:40" s="62" customFormat="1" ht="14.25" x14ac:dyDescent="0.2">
      <c r="A164" s="61"/>
      <c r="G164" s="63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AN164" s="62" t="e">
        <f>VLOOKUP(I164,Sheet1!A:D,4,FALSE)</f>
        <v>#N/A</v>
      </c>
    </row>
    <row r="165" spans="1:40" s="62" customFormat="1" ht="14.25" x14ac:dyDescent="0.2">
      <c r="A165" s="61"/>
      <c r="G165" s="63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AN165" s="62" t="e">
        <f>VLOOKUP(I165,Sheet1!A:D,4,FALSE)</f>
        <v>#N/A</v>
      </c>
    </row>
    <row r="166" spans="1:40" s="62" customFormat="1" ht="14.25" x14ac:dyDescent="0.2">
      <c r="A166" s="61"/>
      <c r="G166" s="63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AN166" s="62" t="e">
        <f>VLOOKUP(I166,Sheet1!A:D,4,FALSE)</f>
        <v>#N/A</v>
      </c>
    </row>
    <row r="167" spans="1:40" s="62" customFormat="1" ht="14.25" x14ac:dyDescent="0.2">
      <c r="A167" s="61"/>
      <c r="G167" s="63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AN167" s="62" t="e">
        <f>VLOOKUP(I167,Sheet1!A:D,4,FALSE)</f>
        <v>#N/A</v>
      </c>
    </row>
    <row r="168" spans="1:40" s="62" customFormat="1" ht="14.25" x14ac:dyDescent="0.2">
      <c r="A168" s="61"/>
      <c r="G168" s="63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AN168" s="62" t="e">
        <f>VLOOKUP(I168,Sheet1!A:D,4,FALSE)</f>
        <v>#N/A</v>
      </c>
    </row>
    <row r="169" spans="1:40" s="62" customFormat="1" ht="14.25" x14ac:dyDescent="0.2">
      <c r="A169" s="61"/>
      <c r="G169" s="63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AN169" s="62" t="e">
        <f>VLOOKUP(I169,Sheet1!A:D,4,FALSE)</f>
        <v>#N/A</v>
      </c>
    </row>
    <row r="170" spans="1:40" s="62" customFormat="1" ht="14.25" x14ac:dyDescent="0.2">
      <c r="A170" s="61"/>
      <c r="G170" s="63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AN170" s="62" t="e">
        <f>VLOOKUP(I170,Sheet1!A:D,4,FALSE)</f>
        <v>#N/A</v>
      </c>
    </row>
    <row r="171" spans="1:40" s="62" customFormat="1" ht="14.25" x14ac:dyDescent="0.2">
      <c r="A171" s="61"/>
      <c r="G171" s="63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AN171" s="62" t="e">
        <f>VLOOKUP(I171,Sheet1!A:D,4,FALSE)</f>
        <v>#N/A</v>
      </c>
    </row>
    <row r="172" spans="1:40" s="62" customFormat="1" ht="14.25" x14ac:dyDescent="0.2">
      <c r="A172" s="61"/>
      <c r="G172" s="63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AN172" s="62" t="e">
        <f>VLOOKUP(I172,Sheet1!A:D,4,FALSE)</f>
        <v>#N/A</v>
      </c>
    </row>
    <row r="173" spans="1:40" s="62" customFormat="1" ht="14.25" x14ac:dyDescent="0.2">
      <c r="A173" s="61"/>
      <c r="G173" s="63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AN173" s="62" t="e">
        <f>VLOOKUP(I173,Sheet1!A:D,4,FALSE)</f>
        <v>#N/A</v>
      </c>
    </row>
    <row r="174" spans="1:40" s="62" customFormat="1" ht="14.25" x14ac:dyDescent="0.2">
      <c r="A174" s="61"/>
      <c r="G174" s="63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AN174" s="62" t="e">
        <f>VLOOKUP(I174,Sheet1!A:D,4,FALSE)</f>
        <v>#N/A</v>
      </c>
    </row>
    <row r="175" spans="1:40" s="62" customFormat="1" ht="14.25" x14ac:dyDescent="0.2">
      <c r="A175" s="61"/>
      <c r="G175" s="63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AN175" s="62" t="e">
        <f>VLOOKUP(I175,Sheet1!A:D,4,FALSE)</f>
        <v>#N/A</v>
      </c>
    </row>
    <row r="176" spans="1:40" s="62" customFormat="1" ht="14.25" x14ac:dyDescent="0.2">
      <c r="A176" s="61"/>
      <c r="G176" s="63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AN176" s="62" t="e">
        <f>VLOOKUP(I176,Sheet1!A:D,4,FALSE)</f>
        <v>#N/A</v>
      </c>
    </row>
    <row r="177" spans="1:40" s="62" customFormat="1" ht="14.25" x14ac:dyDescent="0.2">
      <c r="A177" s="61"/>
      <c r="G177" s="63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AN177" s="62" t="e">
        <f>VLOOKUP(I177,Sheet1!A:D,4,FALSE)</f>
        <v>#N/A</v>
      </c>
    </row>
    <row r="178" spans="1:40" s="62" customFormat="1" ht="14.25" x14ac:dyDescent="0.2">
      <c r="A178" s="61"/>
      <c r="G178" s="63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AN178" s="62" t="e">
        <f>VLOOKUP(I178,Sheet1!A:D,4,FALSE)</f>
        <v>#N/A</v>
      </c>
    </row>
    <row r="179" spans="1:40" s="62" customFormat="1" ht="14.25" x14ac:dyDescent="0.2">
      <c r="A179" s="61"/>
      <c r="G179" s="63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AN179" s="62" t="e">
        <f>VLOOKUP(I179,Sheet1!A:D,4,FALSE)</f>
        <v>#N/A</v>
      </c>
    </row>
    <row r="180" spans="1:40" s="62" customFormat="1" ht="14.25" x14ac:dyDescent="0.2">
      <c r="A180" s="61"/>
      <c r="G180" s="63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AN180" s="62" t="e">
        <f>VLOOKUP(I180,Sheet1!A:D,4,FALSE)</f>
        <v>#N/A</v>
      </c>
    </row>
    <row r="181" spans="1:40" s="62" customFormat="1" ht="14.25" x14ac:dyDescent="0.2">
      <c r="A181" s="61"/>
      <c r="G181" s="63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AN181" s="62" t="e">
        <f>VLOOKUP(I181,Sheet1!A:D,4,FALSE)</f>
        <v>#N/A</v>
      </c>
    </row>
    <row r="182" spans="1:40" s="62" customFormat="1" ht="14.25" x14ac:dyDescent="0.2">
      <c r="A182" s="61"/>
      <c r="G182" s="63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AN182" s="62" t="e">
        <f>VLOOKUP(I182,Sheet1!A:D,4,FALSE)</f>
        <v>#N/A</v>
      </c>
    </row>
    <row r="183" spans="1:40" s="62" customFormat="1" ht="14.25" x14ac:dyDescent="0.2">
      <c r="A183" s="61"/>
      <c r="G183" s="63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AN183" s="62" t="e">
        <f>VLOOKUP(I183,Sheet1!A:D,4,FALSE)</f>
        <v>#N/A</v>
      </c>
    </row>
    <row r="184" spans="1:40" s="62" customFormat="1" ht="14.25" x14ac:dyDescent="0.2">
      <c r="A184" s="61"/>
      <c r="G184" s="63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AN184" s="62" t="e">
        <f>VLOOKUP(I184,Sheet1!A:D,4,FALSE)</f>
        <v>#N/A</v>
      </c>
    </row>
    <row r="185" spans="1:40" s="62" customFormat="1" ht="14.25" x14ac:dyDescent="0.2">
      <c r="A185" s="61"/>
      <c r="G185" s="63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AN185" s="62" t="e">
        <f>VLOOKUP(I185,Sheet1!A:D,4,FALSE)</f>
        <v>#N/A</v>
      </c>
    </row>
    <row r="186" spans="1:40" s="62" customFormat="1" ht="14.25" x14ac:dyDescent="0.2">
      <c r="A186" s="61"/>
      <c r="G186" s="63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AN186" s="62" t="e">
        <f>VLOOKUP(I186,Sheet1!A:D,4,FALSE)</f>
        <v>#N/A</v>
      </c>
    </row>
    <row r="187" spans="1:40" s="62" customFormat="1" ht="14.25" x14ac:dyDescent="0.2">
      <c r="A187" s="61"/>
      <c r="G187" s="63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AN187" s="62" t="e">
        <f>VLOOKUP(I187,Sheet1!A:D,4,FALSE)</f>
        <v>#N/A</v>
      </c>
    </row>
    <row r="188" spans="1:40" s="62" customFormat="1" ht="14.25" x14ac:dyDescent="0.2">
      <c r="A188" s="61"/>
      <c r="G188" s="63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AN188" s="62" t="e">
        <f>VLOOKUP(I188,Sheet1!A:D,4,FALSE)</f>
        <v>#N/A</v>
      </c>
    </row>
    <row r="189" spans="1:40" s="62" customFormat="1" ht="14.25" x14ac:dyDescent="0.2">
      <c r="A189" s="61"/>
      <c r="G189" s="63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AN189" s="62" t="e">
        <f>VLOOKUP(I189,Sheet1!A:D,4,FALSE)</f>
        <v>#N/A</v>
      </c>
    </row>
    <row r="190" spans="1:40" s="62" customFormat="1" ht="14.25" x14ac:dyDescent="0.2">
      <c r="A190" s="61"/>
      <c r="G190" s="63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AN190" s="62" t="e">
        <f>VLOOKUP(I190,Sheet1!A:D,4,FALSE)</f>
        <v>#N/A</v>
      </c>
    </row>
    <row r="191" spans="1:40" s="62" customFormat="1" ht="14.25" x14ac:dyDescent="0.2">
      <c r="A191" s="61"/>
      <c r="G191" s="63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AN191" s="62" t="e">
        <f>VLOOKUP(I191,Sheet1!A:D,4,FALSE)</f>
        <v>#N/A</v>
      </c>
    </row>
    <row r="192" spans="1:40" s="62" customFormat="1" ht="14.25" x14ac:dyDescent="0.2">
      <c r="A192" s="61"/>
      <c r="G192" s="63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AN192" s="62" t="e">
        <f>VLOOKUP(I192,Sheet1!A:D,4,FALSE)</f>
        <v>#N/A</v>
      </c>
    </row>
    <row r="193" spans="1:40" s="62" customFormat="1" ht="14.25" x14ac:dyDescent="0.2">
      <c r="A193" s="61"/>
      <c r="G193" s="63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AN193" s="62" t="e">
        <f>VLOOKUP(I193,Sheet1!A:D,4,FALSE)</f>
        <v>#N/A</v>
      </c>
    </row>
    <row r="194" spans="1:40" s="62" customFormat="1" ht="14.25" x14ac:dyDescent="0.2">
      <c r="A194" s="61"/>
      <c r="G194" s="63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AN194" s="62" t="e">
        <f>VLOOKUP(I194,Sheet1!A:D,4,FALSE)</f>
        <v>#N/A</v>
      </c>
    </row>
    <row r="195" spans="1:40" s="62" customFormat="1" ht="14.25" x14ac:dyDescent="0.2">
      <c r="A195" s="61"/>
      <c r="G195" s="63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AN195" s="62" t="e">
        <f>VLOOKUP(I195,Sheet1!A:D,4,FALSE)</f>
        <v>#N/A</v>
      </c>
    </row>
    <row r="196" spans="1:40" s="62" customFormat="1" ht="14.25" x14ac:dyDescent="0.2">
      <c r="A196" s="61"/>
      <c r="G196" s="63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AN196" s="62" t="e">
        <f>VLOOKUP(I196,Sheet1!A:D,4,FALSE)</f>
        <v>#N/A</v>
      </c>
    </row>
    <row r="197" spans="1:40" s="62" customFormat="1" ht="14.25" x14ac:dyDescent="0.2">
      <c r="A197" s="61"/>
      <c r="G197" s="63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</row>
    <row r="198" spans="1:40" s="62" customFormat="1" ht="14.25" x14ac:dyDescent="0.2">
      <c r="A198" s="61"/>
      <c r="G198" s="63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</row>
    <row r="199" spans="1:40" s="62" customFormat="1" ht="14.25" x14ac:dyDescent="0.2">
      <c r="A199" s="61"/>
      <c r="G199" s="63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</row>
    <row r="200" spans="1:40" s="62" customFormat="1" ht="14.25" x14ac:dyDescent="0.2">
      <c r="A200" s="61"/>
      <c r="G200" s="63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</row>
    <row r="201" spans="1:40" s="62" customFormat="1" ht="14.25" x14ac:dyDescent="0.2">
      <c r="A201" s="61"/>
      <c r="G201" s="63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</row>
    <row r="202" spans="1:40" s="62" customFormat="1" ht="14.25" x14ac:dyDescent="0.2">
      <c r="A202" s="61"/>
      <c r="G202" s="63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</row>
    <row r="203" spans="1:40" s="62" customFormat="1" ht="14.25" x14ac:dyDescent="0.2">
      <c r="A203" s="61"/>
      <c r="G203" s="63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</row>
    <row r="204" spans="1:40" s="62" customFormat="1" ht="14.25" x14ac:dyDescent="0.2">
      <c r="A204" s="61"/>
      <c r="G204" s="63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</row>
    <row r="205" spans="1:40" s="62" customFormat="1" ht="14.25" x14ac:dyDescent="0.2">
      <c r="A205" s="61"/>
      <c r="G205" s="63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</row>
    <row r="206" spans="1:40" s="62" customFormat="1" ht="14.25" x14ac:dyDescent="0.2">
      <c r="A206" s="61"/>
      <c r="G206" s="63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</row>
    <row r="207" spans="1:40" s="62" customFormat="1" ht="14.25" x14ac:dyDescent="0.2">
      <c r="A207" s="61"/>
      <c r="G207" s="63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</row>
    <row r="208" spans="1:40" s="62" customFormat="1" ht="14.25" x14ac:dyDescent="0.2">
      <c r="A208" s="61"/>
      <c r="G208" s="63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</row>
    <row r="209" spans="1:24" s="62" customFormat="1" ht="14.25" x14ac:dyDescent="0.2">
      <c r="A209" s="61"/>
      <c r="G209" s="63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</row>
    <row r="210" spans="1:24" s="62" customFormat="1" ht="14.25" x14ac:dyDescent="0.2">
      <c r="A210" s="61"/>
      <c r="G210" s="63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</row>
    <row r="211" spans="1:24" s="62" customFormat="1" ht="14.25" x14ac:dyDescent="0.2">
      <c r="A211" s="61"/>
      <c r="G211" s="63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</row>
    <row r="212" spans="1:24" s="62" customFormat="1" ht="14.25" x14ac:dyDescent="0.2">
      <c r="A212" s="61"/>
      <c r="G212" s="63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</row>
    <row r="213" spans="1:24" s="62" customFormat="1" ht="14.25" x14ac:dyDescent="0.2">
      <c r="A213" s="61"/>
      <c r="G213" s="63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</row>
    <row r="214" spans="1:24" s="62" customFormat="1" ht="14.25" x14ac:dyDescent="0.2">
      <c r="A214" s="61"/>
      <c r="G214" s="63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</row>
    <row r="215" spans="1:24" s="62" customFormat="1" ht="14.25" x14ac:dyDescent="0.2">
      <c r="A215" s="61"/>
      <c r="G215" s="63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</row>
    <row r="216" spans="1:24" s="62" customFormat="1" ht="14.25" x14ac:dyDescent="0.2">
      <c r="A216" s="61"/>
      <c r="G216" s="63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</row>
    <row r="217" spans="1:24" s="62" customFormat="1" ht="14.25" x14ac:dyDescent="0.2">
      <c r="A217" s="61"/>
      <c r="G217" s="63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</row>
    <row r="218" spans="1:24" s="62" customFormat="1" ht="14.25" x14ac:dyDescent="0.2">
      <c r="A218" s="61"/>
      <c r="G218" s="63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</row>
    <row r="219" spans="1:24" s="62" customFormat="1" ht="14.25" x14ac:dyDescent="0.2">
      <c r="A219" s="61"/>
      <c r="G219" s="63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</row>
    <row r="220" spans="1:24" s="62" customFormat="1" ht="14.25" x14ac:dyDescent="0.2">
      <c r="A220" s="61"/>
      <c r="G220" s="63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</row>
    <row r="221" spans="1:24" s="62" customFormat="1" ht="14.25" x14ac:dyDescent="0.2">
      <c r="A221" s="61"/>
      <c r="G221" s="63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</row>
    <row r="222" spans="1:24" s="62" customFormat="1" ht="14.25" x14ac:dyDescent="0.2">
      <c r="A222" s="61"/>
      <c r="G222" s="63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</row>
    <row r="223" spans="1:24" s="62" customFormat="1" ht="14.25" x14ac:dyDescent="0.2">
      <c r="A223" s="61"/>
      <c r="G223" s="63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</row>
    <row r="224" spans="1:24" s="62" customFormat="1" ht="14.25" x14ac:dyDescent="0.2">
      <c r="A224" s="61"/>
      <c r="G224" s="63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</row>
    <row r="225" spans="1:24" s="62" customFormat="1" ht="14.25" x14ac:dyDescent="0.2">
      <c r="A225" s="61"/>
      <c r="G225" s="63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</row>
    <row r="226" spans="1:24" s="62" customFormat="1" ht="14.25" x14ac:dyDescent="0.2">
      <c r="A226" s="61"/>
      <c r="G226" s="63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</row>
    <row r="227" spans="1:24" s="62" customFormat="1" ht="14.25" x14ac:dyDescent="0.2">
      <c r="A227" s="61"/>
      <c r="G227" s="63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</row>
    <row r="228" spans="1:24" s="62" customFormat="1" ht="14.25" x14ac:dyDescent="0.2">
      <c r="A228" s="61"/>
      <c r="G228" s="63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</row>
    <row r="229" spans="1:24" s="62" customFormat="1" ht="14.25" x14ac:dyDescent="0.2">
      <c r="A229" s="61"/>
      <c r="G229" s="63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</row>
    <row r="230" spans="1:24" s="62" customFormat="1" ht="14.25" x14ac:dyDescent="0.2">
      <c r="A230" s="61"/>
      <c r="G230" s="63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</row>
    <row r="231" spans="1:24" s="62" customFormat="1" ht="14.25" x14ac:dyDescent="0.2">
      <c r="A231" s="61"/>
      <c r="G231" s="63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</row>
    <row r="232" spans="1:24" s="62" customFormat="1" ht="14.25" x14ac:dyDescent="0.2">
      <c r="A232" s="61"/>
      <c r="G232" s="63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</row>
    <row r="233" spans="1:24" s="62" customFormat="1" ht="14.25" x14ac:dyDescent="0.2">
      <c r="A233" s="61"/>
      <c r="G233" s="63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</row>
    <row r="234" spans="1:24" s="62" customFormat="1" ht="14.25" x14ac:dyDescent="0.2">
      <c r="A234" s="61"/>
      <c r="G234" s="63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</row>
    <row r="235" spans="1:24" s="62" customFormat="1" ht="14.25" x14ac:dyDescent="0.2">
      <c r="A235" s="61"/>
      <c r="G235" s="63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</row>
  </sheetData>
  <autoFilter ref="A6:XEY6" xr:uid="{F2257637-3B34-4D25-A084-9FCB3346B7DD}">
    <filterColumn colId="45" showButton="0"/>
    <filterColumn colId="46" showButton="0"/>
  </autoFilter>
  <mergeCells count="1">
    <mergeCell ref="AT6:AV6"/>
  </mergeCells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5A06-14EA-4E82-AF45-1CB0B0495CBF}">
  <dimension ref="A1:AV235"/>
  <sheetViews>
    <sheetView topLeftCell="N1" workbookViewId="0">
      <selection activeCell="AN231" sqref="AN7:AN231"/>
    </sheetView>
  </sheetViews>
  <sheetFormatPr defaultRowHeight="15" x14ac:dyDescent="0.25"/>
  <cols>
    <col min="1" max="1" width="12.7109375" style="23" customWidth="1"/>
    <col min="4" max="4" width="17.5703125" bestFit="1" customWidth="1"/>
    <col min="7" max="7" width="11.7109375" style="30" bestFit="1" customWidth="1"/>
    <col min="14" max="16" width="11.5703125" bestFit="1" customWidth="1"/>
    <col min="17" max="18" width="9.28515625" bestFit="1" customWidth="1"/>
    <col min="20" max="22" width="11.5703125" bestFit="1" customWidth="1"/>
    <col min="23" max="23" width="9.28515625" bestFit="1" customWidth="1"/>
    <col min="24" max="24" width="11.5703125" bestFit="1" customWidth="1"/>
    <col min="27" max="27" width="10.5703125" bestFit="1" customWidth="1"/>
    <col min="46" max="46" width="89.28515625" hidden="1" customWidth="1"/>
  </cols>
  <sheetData>
    <row r="1" spans="1:48" s="74" customFormat="1" x14ac:dyDescent="0.25">
      <c r="A1" s="89"/>
      <c r="G1" s="90"/>
    </row>
    <row r="2" spans="1:48" s="74" customFormat="1" x14ac:dyDescent="0.25">
      <c r="A2" s="89"/>
      <c r="G2" s="90"/>
    </row>
    <row r="3" spans="1:48" s="74" customFormat="1" x14ac:dyDescent="0.25">
      <c r="A3" s="89"/>
      <c r="G3" s="90"/>
    </row>
    <row r="4" spans="1:48" s="74" customFormat="1" x14ac:dyDescent="0.25">
      <c r="A4" s="89"/>
      <c r="G4" s="90"/>
    </row>
    <row r="5" spans="1:48" s="74" customFormat="1" x14ac:dyDescent="0.25">
      <c r="A5" s="89" t="s">
        <v>230</v>
      </c>
      <c r="G5" s="90"/>
    </row>
    <row r="6" spans="1:48" s="48" customFormat="1" x14ac:dyDescent="0.25">
      <c r="A6" s="83" t="s">
        <v>0</v>
      </c>
      <c r="B6" s="84" t="s">
        <v>1</v>
      </c>
      <c r="C6" s="84" t="s">
        <v>2</v>
      </c>
      <c r="D6" s="84" t="s">
        <v>4</v>
      </c>
      <c r="E6" s="84" t="s">
        <v>3</v>
      </c>
      <c r="F6" s="84" t="s">
        <v>5</v>
      </c>
      <c r="G6" s="85" t="s">
        <v>6</v>
      </c>
      <c r="H6" s="84" t="s">
        <v>7</v>
      </c>
      <c r="I6" s="84" t="s">
        <v>8</v>
      </c>
      <c r="J6" s="84" t="s">
        <v>9</v>
      </c>
      <c r="K6" s="86" t="s">
        <v>10</v>
      </c>
      <c r="L6" s="86" t="s">
        <v>11</v>
      </c>
      <c r="M6" s="86" t="s">
        <v>12</v>
      </c>
      <c r="N6" s="86" t="s">
        <v>13</v>
      </c>
      <c r="O6" s="86" t="s">
        <v>14</v>
      </c>
      <c r="P6" s="86" t="s">
        <v>15</v>
      </c>
      <c r="Q6" s="86" t="s">
        <v>16</v>
      </c>
      <c r="R6" s="86" t="s">
        <v>17</v>
      </c>
      <c r="S6" s="86" t="s">
        <v>18</v>
      </c>
      <c r="T6" s="86" t="s">
        <v>19</v>
      </c>
      <c r="U6" s="86" t="s">
        <v>20</v>
      </c>
      <c r="V6" s="86" t="s">
        <v>21</v>
      </c>
      <c r="W6" s="86" t="s">
        <v>22</v>
      </c>
      <c r="X6" s="86" t="s">
        <v>23</v>
      </c>
      <c r="Y6" s="84" t="s">
        <v>24</v>
      </c>
      <c r="Z6" s="84" t="s">
        <v>25</v>
      </c>
      <c r="AA6" s="86" t="s">
        <v>26</v>
      </c>
      <c r="AB6" s="84" t="s">
        <v>27</v>
      </c>
      <c r="AC6" s="84" t="s">
        <v>28</v>
      </c>
      <c r="AD6" s="86" t="s">
        <v>29</v>
      </c>
      <c r="AE6" s="86" t="s">
        <v>30</v>
      </c>
      <c r="AF6" s="86" t="s">
        <v>31</v>
      </c>
      <c r="AG6" s="84" t="s">
        <v>32</v>
      </c>
      <c r="AH6" s="84" t="s">
        <v>33</v>
      </c>
      <c r="AI6" s="84" t="s">
        <v>34</v>
      </c>
      <c r="AJ6" s="84" t="s">
        <v>35</v>
      </c>
      <c r="AK6" s="84" t="s">
        <v>36</v>
      </c>
      <c r="AL6" s="84" t="s">
        <v>37</v>
      </c>
      <c r="AM6" s="84" t="s">
        <v>38</v>
      </c>
      <c r="AN6" s="84" t="s">
        <v>696</v>
      </c>
      <c r="AO6" s="88" t="s">
        <v>63</v>
      </c>
      <c r="AP6" s="84"/>
      <c r="AQ6" s="84"/>
      <c r="AR6" s="84"/>
      <c r="AS6" s="84"/>
      <c r="AT6" s="312"/>
      <c r="AU6" s="312"/>
      <c r="AV6" s="312"/>
    </row>
    <row r="7" spans="1:48" s="36" customFormat="1" ht="14.25" x14ac:dyDescent="0.2">
      <c r="A7" s="57"/>
      <c r="G7" s="58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N7" s="36" t="e">
        <f>VLOOKUP(I7,Sheet1!A:D,4,FALSE)</f>
        <v>#N/A</v>
      </c>
    </row>
    <row r="8" spans="1:48" s="36" customFormat="1" ht="14.25" x14ac:dyDescent="0.2">
      <c r="A8" s="57"/>
      <c r="G8" s="58"/>
      <c r="AN8" s="36" t="e">
        <f>VLOOKUP(I8,Sheet1!A:D,4,FALSE)</f>
        <v>#N/A</v>
      </c>
    </row>
    <row r="9" spans="1:48" s="36" customFormat="1" ht="14.25" x14ac:dyDescent="0.2">
      <c r="A9" s="57"/>
      <c r="G9" s="58"/>
      <c r="AN9" s="36" t="e">
        <f>VLOOKUP(I9,Sheet1!A:D,4,FALSE)</f>
        <v>#N/A</v>
      </c>
    </row>
    <row r="10" spans="1:48" s="36" customFormat="1" ht="14.25" x14ac:dyDescent="0.2">
      <c r="A10" s="57"/>
      <c r="G10" s="58"/>
      <c r="AN10" s="36" t="e">
        <f>VLOOKUP(I10,Sheet1!A:D,4,FALSE)</f>
        <v>#N/A</v>
      </c>
    </row>
    <row r="11" spans="1:48" s="36" customFormat="1" ht="14.25" x14ac:dyDescent="0.2">
      <c r="A11" s="57"/>
      <c r="G11" s="58"/>
      <c r="AN11" s="36" t="e">
        <f>VLOOKUP(I11,Sheet1!A:D,4,FALSE)</f>
        <v>#N/A</v>
      </c>
    </row>
    <row r="12" spans="1:48" s="36" customFormat="1" ht="14.25" x14ac:dyDescent="0.2">
      <c r="A12" s="57"/>
      <c r="G12" s="58"/>
      <c r="AN12" s="36" t="e">
        <f>VLOOKUP(I12,Sheet1!A:D,4,FALSE)</f>
        <v>#N/A</v>
      </c>
    </row>
    <row r="13" spans="1:48" s="36" customFormat="1" ht="14.25" x14ac:dyDescent="0.2">
      <c r="A13" s="57"/>
      <c r="G13" s="58"/>
      <c r="AN13" s="36" t="e">
        <f>VLOOKUP(I13,Sheet1!A:D,4,FALSE)</f>
        <v>#N/A</v>
      </c>
    </row>
    <row r="14" spans="1:48" s="36" customFormat="1" ht="14.25" x14ac:dyDescent="0.2">
      <c r="A14" s="57"/>
      <c r="G14" s="58"/>
      <c r="AN14" s="36" t="e">
        <f>VLOOKUP(I14,Sheet1!A:D,4,FALSE)</f>
        <v>#N/A</v>
      </c>
    </row>
    <row r="15" spans="1:48" s="36" customFormat="1" ht="14.25" x14ac:dyDescent="0.2">
      <c r="A15" s="57"/>
      <c r="G15" s="58"/>
      <c r="AN15" s="36" t="e">
        <f>VLOOKUP(I15,Sheet1!A:D,4,FALSE)</f>
        <v>#N/A</v>
      </c>
    </row>
    <row r="16" spans="1:48" s="36" customFormat="1" ht="14.25" x14ac:dyDescent="0.2">
      <c r="A16" s="57"/>
      <c r="G16" s="58"/>
      <c r="AN16" s="36" t="e">
        <f>VLOOKUP(I16,Sheet1!A:D,4,FALSE)</f>
        <v>#N/A</v>
      </c>
    </row>
    <row r="17" spans="1:40" s="36" customFormat="1" ht="14.25" x14ac:dyDescent="0.2">
      <c r="A17" s="57"/>
      <c r="G17" s="58"/>
      <c r="AN17" s="36" t="e">
        <f>VLOOKUP(I17,Sheet1!A:D,4,FALSE)</f>
        <v>#N/A</v>
      </c>
    </row>
    <row r="18" spans="1:40" s="36" customFormat="1" ht="14.25" x14ac:dyDescent="0.2">
      <c r="A18" s="57"/>
      <c r="G18" s="58"/>
      <c r="AN18" s="36" t="e">
        <f>VLOOKUP(I18,Sheet1!A:D,4,FALSE)</f>
        <v>#N/A</v>
      </c>
    </row>
    <row r="19" spans="1:40" s="36" customFormat="1" ht="14.25" x14ac:dyDescent="0.2">
      <c r="A19" s="57"/>
      <c r="G19" s="58"/>
      <c r="AN19" s="36" t="e">
        <f>VLOOKUP(I19,Sheet1!A:D,4,FALSE)</f>
        <v>#N/A</v>
      </c>
    </row>
    <row r="20" spans="1:40" s="36" customFormat="1" ht="14.25" x14ac:dyDescent="0.2">
      <c r="A20" s="57"/>
      <c r="G20" s="58"/>
      <c r="AN20" s="36" t="e">
        <f>VLOOKUP(I20,Sheet1!A:D,4,FALSE)</f>
        <v>#N/A</v>
      </c>
    </row>
    <row r="21" spans="1:40" s="36" customFormat="1" ht="14.25" x14ac:dyDescent="0.2">
      <c r="A21" s="57"/>
      <c r="G21" s="58"/>
      <c r="AN21" s="36" t="e">
        <f>VLOOKUP(I21,Sheet1!A:D,4,FALSE)</f>
        <v>#N/A</v>
      </c>
    </row>
    <row r="22" spans="1:40" s="36" customFormat="1" ht="14.25" x14ac:dyDescent="0.2">
      <c r="A22" s="57"/>
      <c r="G22" s="58"/>
      <c r="AN22" s="36" t="e">
        <f>VLOOKUP(I22,Sheet1!A:D,4,FALSE)</f>
        <v>#N/A</v>
      </c>
    </row>
    <row r="23" spans="1:40" s="36" customFormat="1" ht="14.25" x14ac:dyDescent="0.2">
      <c r="A23" s="57"/>
      <c r="G23" s="58"/>
      <c r="AN23" s="36" t="e">
        <f>VLOOKUP(I23,Sheet1!A:D,4,FALSE)</f>
        <v>#N/A</v>
      </c>
    </row>
    <row r="24" spans="1:40" s="36" customFormat="1" ht="14.25" x14ac:dyDescent="0.2">
      <c r="A24" s="57"/>
      <c r="G24" s="58"/>
      <c r="AN24" s="36" t="e">
        <f>VLOOKUP(I24,Sheet1!A:D,4,FALSE)</f>
        <v>#N/A</v>
      </c>
    </row>
    <row r="25" spans="1:40" s="36" customFormat="1" ht="14.25" x14ac:dyDescent="0.2">
      <c r="A25" s="57"/>
      <c r="G25" s="58"/>
      <c r="AN25" s="36" t="e">
        <f>VLOOKUP(I25,Sheet1!A:D,4,FALSE)</f>
        <v>#N/A</v>
      </c>
    </row>
    <row r="26" spans="1:40" s="36" customFormat="1" ht="14.25" x14ac:dyDescent="0.2">
      <c r="A26" s="57"/>
      <c r="G26" s="58"/>
      <c r="AN26" s="36" t="e">
        <f>VLOOKUP(I26,Sheet1!A:D,4,FALSE)</f>
        <v>#N/A</v>
      </c>
    </row>
    <row r="27" spans="1:40" s="36" customFormat="1" ht="14.25" x14ac:dyDescent="0.2">
      <c r="A27" s="57"/>
      <c r="G27" s="58"/>
      <c r="AN27" s="36" t="e">
        <f>VLOOKUP(I27,Sheet1!A:D,4,FALSE)</f>
        <v>#N/A</v>
      </c>
    </row>
    <row r="28" spans="1:40" s="36" customFormat="1" ht="14.25" x14ac:dyDescent="0.2">
      <c r="A28" s="57"/>
      <c r="G28" s="58"/>
      <c r="AN28" s="36" t="e">
        <f>VLOOKUP(I28,Sheet1!A:D,4,FALSE)</f>
        <v>#N/A</v>
      </c>
    </row>
    <row r="29" spans="1:40" s="36" customFormat="1" ht="14.25" x14ac:dyDescent="0.2">
      <c r="A29" s="57"/>
      <c r="G29" s="58"/>
      <c r="AN29" s="36" t="e">
        <f>VLOOKUP(I29,Sheet1!A:D,4,FALSE)</f>
        <v>#N/A</v>
      </c>
    </row>
    <row r="30" spans="1:40" s="36" customFormat="1" ht="14.25" x14ac:dyDescent="0.2">
      <c r="A30" s="57"/>
      <c r="G30" s="58"/>
      <c r="AN30" s="36" t="e">
        <f>VLOOKUP(I30,Sheet1!A:D,4,FALSE)</f>
        <v>#N/A</v>
      </c>
    </row>
    <row r="31" spans="1:40" s="36" customFormat="1" ht="14.25" x14ac:dyDescent="0.2">
      <c r="A31" s="57"/>
      <c r="G31" s="58"/>
      <c r="AN31" s="36" t="e">
        <f>VLOOKUP(I31,Sheet1!A:D,4,FALSE)</f>
        <v>#N/A</v>
      </c>
    </row>
    <row r="32" spans="1:40" s="36" customFormat="1" ht="14.25" x14ac:dyDescent="0.2">
      <c r="A32" s="57"/>
      <c r="G32" s="58"/>
      <c r="AN32" s="36" t="e">
        <f>VLOOKUP(I32,Sheet1!A:D,4,FALSE)</f>
        <v>#N/A</v>
      </c>
    </row>
    <row r="33" spans="1:40" s="36" customFormat="1" ht="14.25" x14ac:dyDescent="0.2">
      <c r="A33" s="57"/>
      <c r="G33" s="58"/>
      <c r="AN33" s="36" t="e">
        <f>VLOOKUP(I33,Sheet1!A:D,4,FALSE)</f>
        <v>#N/A</v>
      </c>
    </row>
    <row r="34" spans="1:40" s="36" customFormat="1" ht="14.25" x14ac:dyDescent="0.2">
      <c r="A34" s="57"/>
      <c r="G34" s="58"/>
      <c r="AN34" s="36" t="e">
        <f>VLOOKUP(I34,Sheet1!A:D,4,FALSE)</f>
        <v>#N/A</v>
      </c>
    </row>
    <row r="35" spans="1:40" s="36" customFormat="1" ht="14.25" x14ac:dyDescent="0.2">
      <c r="A35" s="57"/>
      <c r="G35" s="58"/>
      <c r="AN35" s="36" t="e">
        <f>VLOOKUP(I35,Sheet1!A:D,4,FALSE)</f>
        <v>#N/A</v>
      </c>
    </row>
    <row r="36" spans="1:40" s="36" customFormat="1" ht="14.25" x14ac:dyDescent="0.2">
      <c r="A36" s="57"/>
      <c r="G36" s="58"/>
      <c r="AN36" s="36" t="e">
        <f>VLOOKUP(I36,Sheet1!A:D,4,FALSE)</f>
        <v>#N/A</v>
      </c>
    </row>
    <row r="37" spans="1:40" s="36" customFormat="1" ht="14.25" x14ac:dyDescent="0.2">
      <c r="A37" s="57"/>
      <c r="G37" s="58"/>
      <c r="AN37" s="36" t="e">
        <f>VLOOKUP(I37,Sheet1!A:D,4,FALSE)</f>
        <v>#N/A</v>
      </c>
    </row>
    <row r="38" spans="1:40" s="36" customFormat="1" ht="14.25" x14ac:dyDescent="0.2">
      <c r="A38" s="57"/>
      <c r="G38" s="58"/>
      <c r="AN38" s="36" t="e">
        <f>VLOOKUP(I38,Sheet1!A:D,4,FALSE)</f>
        <v>#N/A</v>
      </c>
    </row>
    <row r="39" spans="1:40" s="36" customFormat="1" ht="14.25" x14ac:dyDescent="0.2">
      <c r="A39" s="57"/>
      <c r="G39" s="58"/>
      <c r="AN39" s="36" t="e">
        <f>VLOOKUP(I39,Sheet1!A:D,4,FALSE)</f>
        <v>#N/A</v>
      </c>
    </row>
    <row r="40" spans="1:40" s="36" customFormat="1" ht="14.25" x14ac:dyDescent="0.2">
      <c r="A40" s="57"/>
      <c r="G40" s="58"/>
      <c r="AN40" s="36" t="e">
        <f>VLOOKUP(I40,Sheet1!A:D,4,FALSE)</f>
        <v>#N/A</v>
      </c>
    </row>
    <row r="41" spans="1:40" s="36" customFormat="1" ht="14.25" x14ac:dyDescent="0.2">
      <c r="A41" s="57"/>
      <c r="G41" s="58"/>
      <c r="AN41" s="36" t="e">
        <f>VLOOKUP(I41,Sheet1!A:D,4,FALSE)</f>
        <v>#N/A</v>
      </c>
    </row>
    <row r="42" spans="1:40" s="36" customFormat="1" ht="14.25" x14ac:dyDescent="0.2">
      <c r="A42" s="57"/>
      <c r="G42" s="58"/>
      <c r="AN42" s="36" t="e">
        <f>VLOOKUP(I42,Sheet1!A:D,4,FALSE)</f>
        <v>#N/A</v>
      </c>
    </row>
    <row r="43" spans="1:40" s="36" customFormat="1" ht="14.25" x14ac:dyDescent="0.2">
      <c r="A43" s="57"/>
      <c r="G43" s="58"/>
      <c r="AN43" s="36" t="e">
        <f>VLOOKUP(I43,Sheet1!A:D,4,FALSE)</f>
        <v>#N/A</v>
      </c>
    </row>
    <row r="44" spans="1:40" s="36" customFormat="1" ht="14.25" x14ac:dyDescent="0.2">
      <c r="A44" s="57"/>
      <c r="G44" s="58"/>
      <c r="AN44" s="36" t="e">
        <f>VLOOKUP(I44,Sheet1!A:D,4,FALSE)</f>
        <v>#N/A</v>
      </c>
    </row>
    <row r="45" spans="1:40" s="36" customFormat="1" ht="14.25" x14ac:dyDescent="0.2">
      <c r="A45" s="57"/>
      <c r="G45" s="58"/>
      <c r="AN45" s="36" t="e">
        <f>VLOOKUP(I45,Sheet1!A:D,4,FALSE)</f>
        <v>#N/A</v>
      </c>
    </row>
    <row r="46" spans="1:40" s="36" customFormat="1" ht="14.25" x14ac:dyDescent="0.2">
      <c r="A46" s="57"/>
      <c r="G46" s="58"/>
      <c r="AN46" s="36" t="e">
        <f>VLOOKUP(I46,Sheet1!A:D,4,FALSE)</f>
        <v>#N/A</v>
      </c>
    </row>
    <row r="47" spans="1:40" s="36" customFormat="1" ht="14.25" x14ac:dyDescent="0.2">
      <c r="A47" s="57"/>
      <c r="G47" s="58"/>
      <c r="AN47" s="36" t="e">
        <f>VLOOKUP(I47,Sheet1!A:D,4,FALSE)</f>
        <v>#N/A</v>
      </c>
    </row>
    <row r="48" spans="1:40" s="36" customFormat="1" ht="14.25" x14ac:dyDescent="0.2">
      <c r="A48" s="57"/>
      <c r="G48" s="58"/>
      <c r="AN48" s="36" t="e">
        <f>VLOOKUP(I48,Sheet1!A:D,4,FALSE)</f>
        <v>#N/A</v>
      </c>
    </row>
    <row r="49" spans="1:40" s="36" customFormat="1" ht="14.25" x14ac:dyDescent="0.2">
      <c r="A49" s="57"/>
      <c r="G49" s="58"/>
      <c r="AN49" s="36" t="e">
        <f>VLOOKUP(I49,Sheet1!A:D,4,FALSE)</f>
        <v>#N/A</v>
      </c>
    </row>
    <row r="50" spans="1:40" s="36" customFormat="1" ht="14.25" x14ac:dyDescent="0.2">
      <c r="A50" s="57"/>
      <c r="G50" s="58"/>
      <c r="AN50" s="36" t="e">
        <f>VLOOKUP(I50,Sheet1!A:D,4,FALSE)</f>
        <v>#N/A</v>
      </c>
    </row>
    <row r="51" spans="1:40" s="36" customFormat="1" ht="14.25" x14ac:dyDescent="0.2">
      <c r="A51" s="57"/>
      <c r="G51" s="58"/>
      <c r="AN51" s="36" t="e">
        <f>VLOOKUP(I51,Sheet1!A:D,4,FALSE)</f>
        <v>#N/A</v>
      </c>
    </row>
    <row r="52" spans="1:40" s="36" customFormat="1" ht="14.25" x14ac:dyDescent="0.2">
      <c r="A52" s="57"/>
      <c r="G52" s="58"/>
      <c r="AN52" s="36" t="e">
        <f>VLOOKUP(I52,Sheet1!A:D,4,FALSE)</f>
        <v>#N/A</v>
      </c>
    </row>
    <row r="53" spans="1:40" s="36" customFormat="1" ht="14.25" x14ac:dyDescent="0.2">
      <c r="A53" s="57"/>
      <c r="G53" s="58"/>
      <c r="AN53" s="36" t="e">
        <f>VLOOKUP(I53,Sheet1!A:D,4,FALSE)</f>
        <v>#N/A</v>
      </c>
    </row>
    <row r="54" spans="1:40" s="36" customFormat="1" ht="14.25" x14ac:dyDescent="0.2">
      <c r="A54" s="57"/>
      <c r="G54" s="58"/>
      <c r="AN54" s="36" t="e">
        <f>VLOOKUP(I54,Sheet1!A:D,4,FALSE)</f>
        <v>#N/A</v>
      </c>
    </row>
    <row r="55" spans="1:40" s="36" customFormat="1" ht="14.25" x14ac:dyDescent="0.2">
      <c r="A55" s="57"/>
      <c r="G55" s="58"/>
      <c r="AN55" s="36" t="e">
        <f>VLOOKUP(I55,Sheet1!A:D,4,FALSE)</f>
        <v>#N/A</v>
      </c>
    </row>
    <row r="56" spans="1:40" s="36" customFormat="1" ht="14.25" x14ac:dyDescent="0.2">
      <c r="A56" s="57"/>
      <c r="G56" s="58"/>
      <c r="AN56" s="36" t="e">
        <f>VLOOKUP(I56,Sheet1!A:D,4,FALSE)</f>
        <v>#N/A</v>
      </c>
    </row>
    <row r="57" spans="1:40" s="36" customFormat="1" ht="14.25" x14ac:dyDescent="0.2">
      <c r="A57" s="57"/>
      <c r="G57" s="58"/>
      <c r="AN57" s="36" t="e">
        <f>VLOOKUP(I57,Sheet1!A:D,4,FALSE)</f>
        <v>#N/A</v>
      </c>
    </row>
    <row r="58" spans="1:40" s="36" customFormat="1" ht="14.25" x14ac:dyDescent="0.2">
      <c r="A58" s="57"/>
      <c r="G58" s="58"/>
      <c r="AN58" s="36" t="e">
        <f>VLOOKUP(I58,Sheet1!A:D,4,FALSE)</f>
        <v>#N/A</v>
      </c>
    </row>
    <row r="59" spans="1:40" s="36" customFormat="1" ht="14.25" x14ac:dyDescent="0.2">
      <c r="A59" s="57"/>
      <c r="G59" s="58"/>
      <c r="AN59" s="36" t="e">
        <f>VLOOKUP(I59,Sheet1!A:D,4,FALSE)</f>
        <v>#N/A</v>
      </c>
    </row>
    <row r="60" spans="1:40" s="36" customFormat="1" ht="14.25" x14ac:dyDescent="0.2">
      <c r="A60" s="57"/>
      <c r="G60" s="58"/>
      <c r="AN60" s="36" t="e">
        <f>VLOOKUP(I60,Sheet1!A:D,4,FALSE)</f>
        <v>#N/A</v>
      </c>
    </row>
    <row r="61" spans="1:40" s="36" customFormat="1" ht="14.25" x14ac:dyDescent="0.2">
      <c r="A61" s="57"/>
      <c r="G61" s="58"/>
      <c r="AN61" s="36" t="e">
        <f>VLOOKUP(I61,Sheet1!A:D,4,FALSE)</f>
        <v>#N/A</v>
      </c>
    </row>
    <row r="62" spans="1:40" s="36" customFormat="1" ht="14.25" x14ac:dyDescent="0.2">
      <c r="A62" s="57"/>
      <c r="G62" s="58"/>
      <c r="AN62" s="36" t="e">
        <f>VLOOKUP(I62,Sheet1!A:D,4,FALSE)</f>
        <v>#N/A</v>
      </c>
    </row>
    <row r="63" spans="1:40" s="36" customFormat="1" ht="14.25" x14ac:dyDescent="0.2">
      <c r="A63" s="57"/>
      <c r="G63" s="58"/>
      <c r="AN63" s="36" t="e">
        <f>VLOOKUP(I63,Sheet1!A:D,4,FALSE)</f>
        <v>#N/A</v>
      </c>
    </row>
    <row r="64" spans="1:40" s="36" customFormat="1" ht="14.25" x14ac:dyDescent="0.2">
      <c r="A64" s="57"/>
      <c r="G64" s="58"/>
      <c r="AN64" s="36" t="e">
        <f>VLOOKUP(I64,Sheet1!A:D,4,FALSE)</f>
        <v>#N/A</v>
      </c>
    </row>
    <row r="65" spans="1:40" s="36" customFormat="1" ht="14.25" x14ac:dyDescent="0.2">
      <c r="A65" s="57"/>
      <c r="G65" s="58"/>
      <c r="AN65" s="36" t="e">
        <f>VLOOKUP(I65,Sheet1!A:D,4,FALSE)</f>
        <v>#N/A</v>
      </c>
    </row>
    <row r="66" spans="1:40" s="36" customFormat="1" ht="14.25" x14ac:dyDescent="0.2">
      <c r="A66" s="57"/>
      <c r="G66" s="58"/>
      <c r="AN66" s="36" t="e">
        <f>VLOOKUP(I66,Sheet1!A:D,4,FALSE)</f>
        <v>#N/A</v>
      </c>
    </row>
    <row r="67" spans="1:40" s="36" customFormat="1" ht="14.25" x14ac:dyDescent="0.2">
      <c r="A67" s="57"/>
      <c r="G67" s="58"/>
      <c r="AN67" s="36" t="e">
        <f>VLOOKUP(I67,Sheet1!A:D,4,FALSE)</f>
        <v>#N/A</v>
      </c>
    </row>
    <row r="68" spans="1:40" s="36" customFormat="1" ht="14.25" x14ac:dyDescent="0.2">
      <c r="A68" s="57"/>
      <c r="G68" s="58"/>
      <c r="AN68" s="36" t="e">
        <f>VLOOKUP(I68,Sheet1!A:D,4,FALSE)</f>
        <v>#N/A</v>
      </c>
    </row>
    <row r="69" spans="1:40" s="36" customFormat="1" ht="14.25" x14ac:dyDescent="0.2">
      <c r="A69" s="57"/>
      <c r="G69" s="58"/>
      <c r="AN69" s="36" t="e">
        <f>VLOOKUP(I69,Sheet1!A:D,4,FALSE)</f>
        <v>#N/A</v>
      </c>
    </row>
    <row r="70" spans="1:40" s="36" customFormat="1" ht="14.25" x14ac:dyDescent="0.2">
      <c r="A70" s="57"/>
      <c r="G70" s="58"/>
      <c r="AN70" s="36" t="e">
        <f>VLOOKUP(I70,Sheet1!A:D,4,FALSE)</f>
        <v>#N/A</v>
      </c>
    </row>
    <row r="71" spans="1:40" s="36" customFormat="1" ht="14.25" x14ac:dyDescent="0.2">
      <c r="A71" s="57"/>
      <c r="G71" s="58"/>
      <c r="AN71" s="36" t="e">
        <f>VLOOKUP(I71,Sheet1!A:D,4,FALSE)</f>
        <v>#N/A</v>
      </c>
    </row>
    <row r="72" spans="1:40" s="36" customFormat="1" ht="14.25" x14ac:dyDescent="0.2">
      <c r="A72" s="57"/>
      <c r="G72" s="58"/>
      <c r="AN72" s="36" t="e">
        <f>VLOOKUP(I72,Sheet1!A:D,4,FALSE)</f>
        <v>#N/A</v>
      </c>
    </row>
    <row r="73" spans="1:40" s="36" customFormat="1" ht="14.25" x14ac:dyDescent="0.2">
      <c r="A73" s="57"/>
      <c r="G73" s="58"/>
      <c r="AN73" s="36" t="e">
        <f>VLOOKUP(I73,Sheet1!A:D,4,FALSE)</f>
        <v>#N/A</v>
      </c>
    </row>
    <row r="74" spans="1:40" s="36" customFormat="1" ht="14.25" x14ac:dyDescent="0.2">
      <c r="A74" s="57"/>
      <c r="G74" s="58"/>
      <c r="AN74" s="36" t="e">
        <f>VLOOKUP(I74,Sheet1!A:D,4,FALSE)</f>
        <v>#N/A</v>
      </c>
    </row>
    <row r="75" spans="1:40" s="36" customFormat="1" ht="14.25" x14ac:dyDescent="0.2">
      <c r="A75" s="57"/>
      <c r="G75" s="58"/>
      <c r="AN75" s="36" t="e">
        <f>VLOOKUP(I75,Sheet1!A:D,4,FALSE)</f>
        <v>#N/A</v>
      </c>
    </row>
    <row r="76" spans="1:40" s="36" customFormat="1" ht="14.25" x14ac:dyDescent="0.2">
      <c r="A76" s="57"/>
      <c r="G76" s="58"/>
      <c r="AN76" s="36" t="e">
        <f>VLOOKUP(I76,Sheet1!A:D,4,FALSE)</f>
        <v>#N/A</v>
      </c>
    </row>
    <row r="77" spans="1:40" s="36" customFormat="1" ht="14.25" x14ac:dyDescent="0.2">
      <c r="A77" s="57"/>
      <c r="G77" s="58"/>
      <c r="AN77" s="36" t="e">
        <f>VLOOKUP(I77,Sheet1!A:D,4,FALSE)</f>
        <v>#N/A</v>
      </c>
    </row>
    <row r="78" spans="1:40" s="36" customFormat="1" ht="14.25" x14ac:dyDescent="0.2">
      <c r="A78" s="57"/>
      <c r="G78" s="58"/>
      <c r="AN78" s="36" t="e">
        <f>VLOOKUP(I78,Sheet1!A:D,4,FALSE)</f>
        <v>#N/A</v>
      </c>
    </row>
    <row r="79" spans="1:40" s="36" customFormat="1" ht="14.25" x14ac:dyDescent="0.2">
      <c r="A79" s="57"/>
      <c r="G79" s="58"/>
      <c r="AN79" s="36" t="e">
        <f>VLOOKUP(I79,Sheet1!A:D,4,FALSE)</f>
        <v>#N/A</v>
      </c>
    </row>
    <row r="80" spans="1:40" s="36" customFormat="1" ht="14.25" x14ac:dyDescent="0.2">
      <c r="A80" s="57"/>
      <c r="G80" s="58"/>
      <c r="AN80" s="36" t="e">
        <f>VLOOKUP(I80,Sheet1!A:D,4,FALSE)</f>
        <v>#N/A</v>
      </c>
    </row>
    <row r="81" spans="1:40" s="36" customFormat="1" ht="14.25" x14ac:dyDescent="0.2">
      <c r="A81" s="57"/>
      <c r="G81" s="58"/>
      <c r="AN81" s="36" t="e">
        <f>VLOOKUP(I81,Sheet1!A:D,4,FALSE)</f>
        <v>#N/A</v>
      </c>
    </row>
    <row r="82" spans="1:40" s="36" customFormat="1" ht="14.25" x14ac:dyDescent="0.2">
      <c r="A82" s="57"/>
      <c r="G82" s="58"/>
      <c r="AN82" s="36" t="e">
        <f>VLOOKUP(I82,Sheet1!A:D,4,FALSE)</f>
        <v>#N/A</v>
      </c>
    </row>
    <row r="83" spans="1:40" s="36" customFormat="1" ht="14.25" x14ac:dyDescent="0.2">
      <c r="A83" s="57"/>
      <c r="G83" s="58"/>
      <c r="AN83" s="36" t="e">
        <f>VLOOKUP(I83,Sheet1!A:D,4,FALSE)</f>
        <v>#N/A</v>
      </c>
    </row>
    <row r="84" spans="1:40" s="36" customFormat="1" ht="14.25" x14ac:dyDescent="0.2">
      <c r="A84" s="57"/>
      <c r="G84" s="58"/>
      <c r="AN84" s="36" t="e">
        <f>VLOOKUP(I84,Sheet1!A:D,4,FALSE)</f>
        <v>#N/A</v>
      </c>
    </row>
    <row r="85" spans="1:40" s="36" customFormat="1" ht="14.25" x14ac:dyDescent="0.2">
      <c r="A85" s="57"/>
      <c r="G85" s="58"/>
      <c r="AN85" s="36" t="e">
        <f>VLOOKUP(I85,Sheet1!A:D,4,FALSE)</f>
        <v>#N/A</v>
      </c>
    </row>
    <row r="86" spans="1:40" s="36" customFormat="1" ht="14.25" x14ac:dyDescent="0.2">
      <c r="A86" s="57"/>
      <c r="G86" s="58"/>
      <c r="AN86" s="36" t="e">
        <f>VLOOKUP(I86,Sheet1!A:D,4,FALSE)</f>
        <v>#N/A</v>
      </c>
    </row>
    <row r="87" spans="1:40" s="36" customFormat="1" ht="14.25" x14ac:dyDescent="0.2">
      <c r="A87" s="57"/>
      <c r="G87" s="58"/>
      <c r="AN87" s="36" t="e">
        <f>VLOOKUP(I87,Sheet1!A:D,4,FALSE)</f>
        <v>#N/A</v>
      </c>
    </row>
    <row r="88" spans="1:40" s="36" customFormat="1" ht="14.25" x14ac:dyDescent="0.2">
      <c r="A88" s="57"/>
      <c r="G88" s="58"/>
      <c r="AN88" s="36" t="e">
        <f>VLOOKUP(I88,Sheet1!A:D,4,FALSE)</f>
        <v>#N/A</v>
      </c>
    </row>
    <row r="89" spans="1:40" s="36" customFormat="1" ht="14.25" x14ac:dyDescent="0.2">
      <c r="A89" s="57"/>
      <c r="G89" s="58"/>
      <c r="AN89" s="36" t="e">
        <f>VLOOKUP(I89,Sheet1!A:D,4,FALSE)</f>
        <v>#N/A</v>
      </c>
    </row>
    <row r="90" spans="1:40" s="36" customFormat="1" ht="14.25" x14ac:dyDescent="0.2">
      <c r="A90" s="57"/>
      <c r="G90" s="58"/>
      <c r="AN90" s="36" t="e">
        <f>VLOOKUP(I90,Sheet1!A:D,4,FALSE)</f>
        <v>#N/A</v>
      </c>
    </row>
    <row r="91" spans="1:40" s="36" customFormat="1" ht="14.25" x14ac:dyDescent="0.2">
      <c r="A91" s="57"/>
      <c r="G91" s="58"/>
      <c r="AN91" s="36" t="e">
        <f>VLOOKUP(I91,Sheet1!A:D,4,FALSE)</f>
        <v>#N/A</v>
      </c>
    </row>
    <row r="92" spans="1:40" s="36" customFormat="1" ht="14.25" x14ac:dyDescent="0.2">
      <c r="A92" s="57"/>
      <c r="G92" s="58"/>
      <c r="AN92" s="36" t="e">
        <f>VLOOKUP(I92,Sheet1!A:D,4,FALSE)</f>
        <v>#N/A</v>
      </c>
    </row>
    <row r="93" spans="1:40" s="36" customFormat="1" ht="14.25" x14ac:dyDescent="0.2">
      <c r="A93" s="57"/>
      <c r="G93" s="58"/>
      <c r="AN93" s="36" t="e">
        <f>VLOOKUP(I93,Sheet1!A:D,4,FALSE)</f>
        <v>#N/A</v>
      </c>
    </row>
    <row r="94" spans="1:40" s="36" customFormat="1" ht="14.25" x14ac:dyDescent="0.2">
      <c r="A94" s="57"/>
      <c r="G94" s="58"/>
      <c r="AN94" s="36" t="e">
        <f>VLOOKUP(I94,Sheet1!A:D,4,FALSE)</f>
        <v>#N/A</v>
      </c>
    </row>
    <row r="95" spans="1:40" s="36" customFormat="1" ht="14.25" x14ac:dyDescent="0.2">
      <c r="A95" s="57"/>
      <c r="G95" s="58"/>
      <c r="AN95" s="36" t="e">
        <f>VLOOKUP(I95,Sheet1!A:D,4,FALSE)</f>
        <v>#N/A</v>
      </c>
    </row>
    <row r="96" spans="1:40" s="36" customFormat="1" ht="14.25" x14ac:dyDescent="0.2">
      <c r="A96" s="57"/>
      <c r="G96" s="58"/>
      <c r="AN96" s="36" t="e">
        <f>VLOOKUP(I96,Sheet1!A:D,4,FALSE)</f>
        <v>#N/A</v>
      </c>
    </row>
    <row r="97" spans="1:40" s="36" customFormat="1" ht="14.25" x14ac:dyDescent="0.2">
      <c r="A97" s="57"/>
      <c r="G97" s="58"/>
      <c r="AN97" s="36" t="e">
        <f>VLOOKUP(I97,Sheet1!A:D,4,FALSE)</f>
        <v>#N/A</v>
      </c>
    </row>
    <row r="98" spans="1:40" s="36" customFormat="1" ht="14.25" x14ac:dyDescent="0.2">
      <c r="A98" s="57"/>
      <c r="G98" s="58"/>
      <c r="AN98" s="36" t="e">
        <f>VLOOKUP(I98,Sheet1!A:D,4,FALSE)</f>
        <v>#N/A</v>
      </c>
    </row>
    <row r="99" spans="1:40" s="36" customFormat="1" ht="14.25" x14ac:dyDescent="0.2">
      <c r="A99" s="57"/>
      <c r="G99" s="58"/>
      <c r="AN99" s="36" t="e">
        <f>VLOOKUP(I99,Sheet1!A:D,4,FALSE)</f>
        <v>#N/A</v>
      </c>
    </row>
    <row r="100" spans="1:40" s="36" customFormat="1" ht="14.25" x14ac:dyDescent="0.2">
      <c r="A100" s="57"/>
      <c r="G100" s="58"/>
      <c r="AN100" s="36" t="e">
        <f>VLOOKUP(I100,Sheet1!A:D,4,FALSE)</f>
        <v>#N/A</v>
      </c>
    </row>
    <row r="101" spans="1:40" s="36" customFormat="1" ht="14.25" x14ac:dyDescent="0.2">
      <c r="A101" s="57"/>
      <c r="G101" s="58"/>
      <c r="AN101" s="36" t="e">
        <f>VLOOKUP(I101,Sheet1!A:D,4,FALSE)</f>
        <v>#N/A</v>
      </c>
    </row>
    <row r="102" spans="1:40" s="36" customFormat="1" ht="14.25" x14ac:dyDescent="0.2">
      <c r="A102" s="57"/>
      <c r="G102" s="58"/>
      <c r="AN102" s="36" t="e">
        <f>VLOOKUP(I102,Sheet1!A:D,4,FALSE)</f>
        <v>#N/A</v>
      </c>
    </row>
    <row r="103" spans="1:40" s="36" customFormat="1" ht="14.25" x14ac:dyDescent="0.2">
      <c r="A103" s="57"/>
      <c r="G103" s="58"/>
      <c r="AN103" s="36" t="e">
        <f>VLOOKUP(I103,Sheet1!A:D,4,FALSE)</f>
        <v>#N/A</v>
      </c>
    </row>
    <row r="104" spans="1:40" s="36" customFormat="1" ht="14.25" x14ac:dyDescent="0.2">
      <c r="A104" s="57"/>
      <c r="G104" s="58"/>
      <c r="AN104" s="36" t="e">
        <f>VLOOKUP(I104,Sheet1!A:D,4,FALSE)</f>
        <v>#N/A</v>
      </c>
    </row>
    <row r="105" spans="1:40" s="36" customFormat="1" ht="14.25" x14ac:dyDescent="0.2">
      <c r="A105" s="57"/>
      <c r="G105" s="58"/>
      <c r="AN105" s="36" t="e">
        <f>VLOOKUP(I105,Sheet1!A:D,4,FALSE)</f>
        <v>#N/A</v>
      </c>
    </row>
    <row r="106" spans="1:40" s="36" customFormat="1" ht="14.25" x14ac:dyDescent="0.2">
      <c r="A106" s="57"/>
      <c r="G106" s="58"/>
      <c r="AN106" s="36" t="e">
        <f>VLOOKUP(I106,Sheet1!A:D,4,FALSE)</f>
        <v>#N/A</v>
      </c>
    </row>
    <row r="107" spans="1:40" s="36" customFormat="1" ht="14.25" x14ac:dyDescent="0.2">
      <c r="A107" s="57"/>
      <c r="G107" s="58"/>
      <c r="AN107" s="36" t="e">
        <f>VLOOKUP(I107,Sheet1!A:D,4,FALSE)</f>
        <v>#N/A</v>
      </c>
    </row>
    <row r="108" spans="1:40" s="36" customFormat="1" ht="14.25" x14ac:dyDescent="0.2">
      <c r="A108" s="57"/>
      <c r="G108" s="58"/>
      <c r="AN108" s="36" t="e">
        <f>VLOOKUP(I108,Sheet1!A:D,4,FALSE)</f>
        <v>#N/A</v>
      </c>
    </row>
    <row r="109" spans="1:40" s="36" customFormat="1" ht="14.25" x14ac:dyDescent="0.2">
      <c r="A109" s="57"/>
      <c r="G109" s="58"/>
      <c r="AN109" s="36" t="e">
        <f>VLOOKUP(I109,Sheet1!A:D,4,FALSE)</f>
        <v>#N/A</v>
      </c>
    </row>
    <row r="110" spans="1:40" s="36" customFormat="1" ht="14.25" x14ac:dyDescent="0.2">
      <c r="A110" s="57"/>
      <c r="G110" s="58"/>
      <c r="AN110" s="36" t="e">
        <f>VLOOKUP(I110,Sheet1!A:D,4,FALSE)</f>
        <v>#N/A</v>
      </c>
    </row>
    <row r="111" spans="1:40" s="36" customFormat="1" ht="14.25" x14ac:dyDescent="0.2">
      <c r="A111" s="57"/>
      <c r="G111" s="58"/>
      <c r="AN111" s="36" t="e">
        <f>VLOOKUP(I111,Sheet1!A:D,4,FALSE)</f>
        <v>#N/A</v>
      </c>
    </row>
    <row r="112" spans="1:40" s="36" customFormat="1" ht="14.25" x14ac:dyDescent="0.2">
      <c r="A112" s="57"/>
      <c r="G112" s="58"/>
      <c r="AN112" s="36" t="e">
        <f>VLOOKUP(I112,Sheet1!A:D,4,FALSE)</f>
        <v>#N/A</v>
      </c>
    </row>
    <row r="113" spans="1:40" s="36" customFormat="1" ht="14.25" x14ac:dyDescent="0.2">
      <c r="A113" s="57"/>
      <c r="G113" s="58"/>
      <c r="AN113" s="36" t="e">
        <f>VLOOKUP(I113,Sheet1!A:D,4,FALSE)</f>
        <v>#N/A</v>
      </c>
    </row>
    <row r="114" spans="1:40" s="36" customFormat="1" ht="14.25" x14ac:dyDescent="0.2">
      <c r="A114" s="57"/>
      <c r="G114" s="58"/>
      <c r="AN114" s="36" t="e">
        <f>VLOOKUP(I114,Sheet1!A:D,4,FALSE)</f>
        <v>#N/A</v>
      </c>
    </row>
    <row r="115" spans="1:40" s="36" customFormat="1" ht="14.25" x14ac:dyDescent="0.2">
      <c r="A115" s="57"/>
      <c r="G115" s="58"/>
      <c r="AN115" s="36" t="e">
        <f>VLOOKUP(I115,Sheet1!A:D,4,FALSE)</f>
        <v>#N/A</v>
      </c>
    </row>
    <row r="116" spans="1:40" s="36" customFormat="1" ht="14.25" x14ac:dyDescent="0.2">
      <c r="A116" s="57"/>
      <c r="G116" s="58"/>
      <c r="AN116" s="36" t="e">
        <f>VLOOKUP(I116,Sheet1!A:D,4,FALSE)</f>
        <v>#N/A</v>
      </c>
    </row>
    <row r="117" spans="1:40" s="36" customFormat="1" ht="14.25" x14ac:dyDescent="0.2">
      <c r="A117" s="57"/>
      <c r="G117" s="58"/>
      <c r="AN117" s="36" t="e">
        <f>VLOOKUP(I117,Sheet1!A:D,4,FALSE)</f>
        <v>#N/A</v>
      </c>
    </row>
    <row r="118" spans="1:40" s="36" customFormat="1" ht="14.25" x14ac:dyDescent="0.2">
      <c r="A118" s="57"/>
      <c r="G118" s="58"/>
      <c r="AN118" s="36" t="e">
        <f>VLOOKUP(I118,Sheet1!A:D,4,FALSE)</f>
        <v>#N/A</v>
      </c>
    </row>
    <row r="119" spans="1:40" s="36" customFormat="1" ht="14.25" x14ac:dyDescent="0.2">
      <c r="A119" s="57"/>
      <c r="G119" s="58"/>
      <c r="AN119" s="36" t="e">
        <f>VLOOKUP(I119,Sheet1!A:D,4,FALSE)</f>
        <v>#N/A</v>
      </c>
    </row>
    <row r="120" spans="1:40" s="36" customFormat="1" ht="14.25" x14ac:dyDescent="0.2">
      <c r="A120" s="57"/>
      <c r="G120" s="58"/>
      <c r="AN120" s="36" t="e">
        <f>VLOOKUP(I120,Sheet1!A:D,4,FALSE)</f>
        <v>#N/A</v>
      </c>
    </row>
    <row r="121" spans="1:40" s="36" customFormat="1" ht="14.25" x14ac:dyDescent="0.2">
      <c r="A121" s="57"/>
      <c r="G121" s="58"/>
      <c r="AN121" s="36" t="e">
        <f>VLOOKUP(I121,Sheet1!A:D,4,FALSE)</f>
        <v>#N/A</v>
      </c>
    </row>
    <row r="122" spans="1:40" s="36" customFormat="1" ht="14.25" x14ac:dyDescent="0.2">
      <c r="A122" s="57"/>
      <c r="G122" s="58"/>
      <c r="AN122" s="36" t="e">
        <f>VLOOKUP(I122,Sheet1!A:D,4,FALSE)</f>
        <v>#N/A</v>
      </c>
    </row>
    <row r="123" spans="1:40" s="36" customFormat="1" ht="14.25" x14ac:dyDescent="0.2">
      <c r="A123" s="57"/>
      <c r="G123" s="58"/>
      <c r="AN123" s="36" t="e">
        <f>VLOOKUP(I123,Sheet1!A:D,4,FALSE)</f>
        <v>#N/A</v>
      </c>
    </row>
    <row r="124" spans="1:40" s="36" customFormat="1" ht="14.25" x14ac:dyDescent="0.2">
      <c r="A124" s="57"/>
      <c r="G124" s="58"/>
      <c r="AN124" s="36" t="e">
        <f>VLOOKUP(I124,Sheet1!A:D,4,FALSE)</f>
        <v>#N/A</v>
      </c>
    </row>
    <row r="125" spans="1:40" s="36" customFormat="1" ht="14.25" x14ac:dyDescent="0.2">
      <c r="A125" s="57"/>
      <c r="G125" s="58"/>
      <c r="AN125" s="36" t="e">
        <f>VLOOKUP(I125,Sheet1!A:D,4,FALSE)</f>
        <v>#N/A</v>
      </c>
    </row>
    <row r="126" spans="1:40" s="36" customFormat="1" ht="14.25" x14ac:dyDescent="0.2">
      <c r="A126" s="57"/>
      <c r="G126" s="58"/>
      <c r="AN126" s="36" t="e">
        <f>VLOOKUP(I126,Sheet1!A:D,4,FALSE)</f>
        <v>#N/A</v>
      </c>
    </row>
    <row r="127" spans="1:40" s="36" customFormat="1" ht="14.25" x14ac:dyDescent="0.2">
      <c r="A127" s="57"/>
      <c r="G127" s="58"/>
      <c r="AN127" s="36" t="e">
        <f>VLOOKUP(I127,Sheet1!A:D,4,FALSE)</f>
        <v>#N/A</v>
      </c>
    </row>
    <row r="128" spans="1:40" s="36" customFormat="1" ht="14.25" x14ac:dyDescent="0.2">
      <c r="A128" s="57"/>
      <c r="G128" s="58"/>
      <c r="AN128" s="36" t="e">
        <f>VLOOKUP(I128,Sheet1!A:D,4,FALSE)</f>
        <v>#N/A</v>
      </c>
    </row>
    <row r="129" spans="1:40" s="36" customFormat="1" ht="14.25" x14ac:dyDescent="0.2">
      <c r="A129" s="57"/>
      <c r="G129" s="58"/>
      <c r="AN129" s="36" t="e">
        <f>VLOOKUP(I129,Sheet1!A:D,4,FALSE)</f>
        <v>#N/A</v>
      </c>
    </row>
    <row r="130" spans="1:40" s="36" customFormat="1" ht="14.25" x14ac:dyDescent="0.2">
      <c r="A130" s="57"/>
      <c r="G130" s="58"/>
      <c r="AN130" s="36" t="e">
        <f>VLOOKUP(I130,Sheet1!A:D,4,FALSE)</f>
        <v>#N/A</v>
      </c>
    </row>
    <row r="131" spans="1:40" s="36" customFormat="1" ht="14.25" x14ac:dyDescent="0.2">
      <c r="A131" s="57"/>
      <c r="G131" s="58"/>
      <c r="AN131" s="36" t="e">
        <f>VLOOKUP(I131,Sheet1!A:D,4,FALSE)</f>
        <v>#N/A</v>
      </c>
    </row>
    <row r="132" spans="1:40" s="36" customFormat="1" ht="14.25" x14ac:dyDescent="0.2">
      <c r="A132" s="57"/>
      <c r="G132" s="58"/>
      <c r="AN132" s="36" t="e">
        <f>VLOOKUP(I132,Sheet1!A:D,4,FALSE)</f>
        <v>#N/A</v>
      </c>
    </row>
    <row r="133" spans="1:40" s="36" customFormat="1" ht="14.25" x14ac:dyDescent="0.2">
      <c r="A133" s="57"/>
      <c r="G133" s="58"/>
      <c r="AN133" s="36" t="e">
        <f>VLOOKUP(I133,Sheet1!A:D,4,FALSE)</f>
        <v>#N/A</v>
      </c>
    </row>
    <row r="134" spans="1:40" s="36" customFormat="1" ht="14.25" x14ac:dyDescent="0.2">
      <c r="A134" s="57"/>
      <c r="G134" s="58"/>
      <c r="AN134" s="36" t="e">
        <f>VLOOKUP(I134,Sheet1!A:D,4,FALSE)</f>
        <v>#N/A</v>
      </c>
    </row>
    <row r="135" spans="1:40" s="36" customFormat="1" ht="14.25" x14ac:dyDescent="0.2">
      <c r="A135" s="57"/>
      <c r="G135" s="58"/>
      <c r="AN135" s="36" t="e">
        <f>VLOOKUP(I135,Sheet1!A:D,4,FALSE)</f>
        <v>#N/A</v>
      </c>
    </row>
    <row r="136" spans="1:40" s="36" customFormat="1" ht="14.25" x14ac:dyDescent="0.2">
      <c r="A136" s="57"/>
      <c r="G136" s="58"/>
      <c r="AN136" s="36" t="e">
        <f>VLOOKUP(I136,Sheet1!A:D,4,FALSE)</f>
        <v>#N/A</v>
      </c>
    </row>
    <row r="137" spans="1:40" s="36" customFormat="1" ht="14.25" x14ac:dyDescent="0.2">
      <c r="A137" s="57"/>
      <c r="G137" s="58"/>
      <c r="AN137" s="36" t="e">
        <f>VLOOKUP(I137,Sheet1!A:D,4,FALSE)</f>
        <v>#N/A</v>
      </c>
    </row>
    <row r="138" spans="1:40" s="36" customFormat="1" ht="14.25" x14ac:dyDescent="0.2">
      <c r="A138" s="57"/>
      <c r="G138" s="58"/>
      <c r="AN138" s="36" t="e">
        <f>VLOOKUP(I138,Sheet1!A:D,4,FALSE)</f>
        <v>#N/A</v>
      </c>
    </row>
    <row r="139" spans="1:40" s="36" customFormat="1" ht="14.25" x14ac:dyDescent="0.2">
      <c r="A139" s="57"/>
      <c r="G139" s="58"/>
      <c r="AN139" s="36" t="e">
        <f>VLOOKUP(I139,Sheet1!A:D,4,FALSE)</f>
        <v>#N/A</v>
      </c>
    </row>
    <row r="140" spans="1:40" s="36" customFormat="1" ht="14.25" x14ac:dyDescent="0.2">
      <c r="A140" s="57"/>
      <c r="G140" s="58"/>
      <c r="AN140" s="36" t="e">
        <f>VLOOKUP(I140,Sheet1!A:D,4,FALSE)</f>
        <v>#N/A</v>
      </c>
    </row>
    <row r="141" spans="1:40" s="36" customFormat="1" ht="14.25" x14ac:dyDescent="0.2">
      <c r="A141" s="57"/>
      <c r="G141" s="58"/>
      <c r="AN141" s="36" t="e">
        <f>VLOOKUP(I141,Sheet1!A:D,4,FALSE)</f>
        <v>#N/A</v>
      </c>
    </row>
    <row r="142" spans="1:40" s="36" customFormat="1" ht="14.25" x14ac:dyDescent="0.2">
      <c r="A142" s="57"/>
      <c r="G142" s="58"/>
      <c r="AN142" s="36" t="e">
        <f>VLOOKUP(I142,Sheet1!A:D,4,FALSE)</f>
        <v>#N/A</v>
      </c>
    </row>
    <row r="143" spans="1:40" s="36" customFormat="1" ht="14.25" x14ac:dyDescent="0.2">
      <c r="A143" s="57"/>
      <c r="G143" s="58"/>
      <c r="AN143" s="36" t="e">
        <f>VLOOKUP(I143,Sheet1!A:D,4,FALSE)</f>
        <v>#N/A</v>
      </c>
    </row>
    <row r="144" spans="1:40" s="36" customFormat="1" ht="14.25" x14ac:dyDescent="0.2">
      <c r="A144" s="57"/>
      <c r="G144" s="58"/>
      <c r="AN144" s="36" t="e">
        <f>VLOOKUP(I144,Sheet1!A:D,4,FALSE)</f>
        <v>#N/A</v>
      </c>
    </row>
    <row r="145" spans="1:40" s="36" customFormat="1" ht="14.25" x14ac:dyDescent="0.2">
      <c r="A145" s="57"/>
      <c r="G145" s="58"/>
      <c r="AN145" s="36" t="e">
        <f>VLOOKUP(I145,Sheet1!A:D,4,FALSE)</f>
        <v>#N/A</v>
      </c>
    </row>
    <row r="146" spans="1:40" s="36" customFormat="1" ht="14.25" x14ac:dyDescent="0.2">
      <c r="A146" s="57"/>
      <c r="G146" s="58"/>
      <c r="AN146" s="36" t="e">
        <f>VLOOKUP(I146,Sheet1!A:D,4,FALSE)</f>
        <v>#N/A</v>
      </c>
    </row>
    <row r="147" spans="1:40" s="36" customFormat="1" ht="14.25" x14ac:dyDescent="0.2">
      <c r="A147" s="57"/>
      <c r="G147" s="58"/>
      <c r="AN147" s="36" t="e">
        <f>VLOOKUP(I147,Sheet1!A:D,4,FALSE)</f>
        <v>#N/A</v>
      </c>
    </row>
    <row r="148" spans="1:40" s="36" customFormat="1" ht="14.25" x14ac:dyDescent="0.2">
      <c r="A148" s="57"/>
      <c r="G148" s="58"/>
      <c r="AN148" s="36" t="e">
        <f>VLOOKUP(I148,Sheet1!A:D,4,FALSE)</f>
        <v>#N/A</v>
      </c>
    </row>
    <row r="149" spans="1:40" s="36" customFormat="1" ht="14.25" x14ac:dyDescent="0.2">
      <c r="A149" s="57"/>
      <c r="G149" s="58"/>
      <c r="AN149" s="36" t="e">
        <f>VLOOKUP(I149,Sheet1!A:D,4,FALSE)</f>
        <v>#N/A</v>
      </c>
    </row>
    <row r="150" spans="1:40" s="36" customFormat="1" ht="14.25" x14ac:dyDescent="0.2">
      <c r="A150" s="57"/>
      <c r="G150" s="58"/>
      <c r="AN150" s="36" t="e">
        <f>VLOOKUP(I150,Sheet1!A:D,4,FALSE)</f>
        <v>#N/A</v>
      </c>
    </row>
    <row r="151" spans="1:40" s="36" customFormat="1" ht="14.25" x14ac:dyDescent="0.2">
      <c r="A151" s="57"/>
      <c r="G151" s="58"/>
      <c r="AN151" s="36" t="e">
        <f>VLOOKUP(I151,Sheet1!A:D,4,FALSE)</f>
        <v>#N/A</v>
      </c>
    </row>
    <row r="152" spans="1:40" s="36" customFormat="1" ht="14.25" x14ac:dyDescent="0.2">
      <c r="A152" s="57"/>
      <c r="G152" s="58"/>
      <c r="AN152" s="36" t="e">
        <f>VLOOKUP(I152,Sheet1!A:D,4,FALSE)</f>
        <v>#N/A</v>
      </c>
    </row>
    <row r="153" spans="1:40" s="36" customFormat="1" ht="14.25" x14ac:dyDescent="0.2">
      <c r="A153" s="57"/>
      <c r="G153" s="58"/>
      <c r="AN153" s="36" t="e">
        <f>VLOOKUP(I153,Sheet1!A:D,4,FALSE)</f>
        <v>#N/A</v>
      </c>
    </row>
    <row r="154" spans="1:40" s="36" customFormat="1" ht="14.25" x14ac:dyDescent="0.2">
      <c r="A154" s="57"/>
      <c r="G154" s="58"/>
      <c r="AN154" s="36" t="e">
        <f>VLOOKUP(I154,Sheet1!A:D,4,FALSE)</f>
        <v>#N/A</v>
      </c>
    </row>
    <row r="155" spans="1:40" s="36" customFormat="1" ht="14.25" x14ac:dyDescent="0.2">
      <c r="A155" s="57"/>
      <c r="G155" s="58"/>
      <c r="AN155" s="36" t="e">
        <f>VLOOKUP(I155,Sheet1!A:D,4,FALSE)</f>
        <v>#N/A</v>
      </c>
    </row>
    <row r="156" spans="1:40" s="36" customFormat="1" ht="14.25" x14ac:dyDescent="0.2">
      <c r="A156" s="57"/>
      <c r="G156" s="58"/>
      <c r="AN156" s="36" t="e">
        <f>VLOOKUP(I156,Sheet1!A:D,4,FALSE)</f>
        <v>#N/A</v>
      </c>
    </row>
    <row r="157" spans="1:40" s="36" customFormat="1" ht="14.25" x14ac:dyDescent="0.2">
      <c r="A157" s="57"/>
      <c r="G157" s="58"/>
      <c r="AN157" s="36" t="e">
        <f>VLOOKUP(I157,Sheet1!A:D,4,FALSE)</f>
        <v>#N/A</v>
      </c>
    </row>
    <row r="158" spans="1:40" s="36" customFormat="1" ht="14.25" x14ac:dyDescent="0.2">
      <c r="A158" s="57"/>
      <c r="G158" s="58"/>
      <c r="AN158" s="36" t="e">
        <f>VLOOKUP(I158,Sheet1!A:D,4,FALSE)</f>
        <v>#N/A</v>
      </c>
    </row>
    <row r="159" spans="1:40" s="36" customFormat="1" ht="14.25" x14ac:dyDescent="0.2">
      <c r="A159" s="57"/>
      <c r="G159" s="58"/>
      <c r="AN159" s="36" t="e">
        <f>VLOOKUP(I159,Sheet1!A:D,4,FALSE)</f>
        <v>#N/A</v>
      </c>
    </row>
    <row r="160" spans="1:40" s="62" customFormat="1" ht="14.25" x14ac:dyDescent="0.2">
      <c r="A160" s="61"/>
      <c r="G160" s="63"/>
      <c r="AN160" s="62" t="e">
        <f>VLOOKUP(I160,Sheet1!A:D,4,FALSE)</f>
        <v>#N/A</v>
      </c>
    </row>
    <row r="161" spans="1:40" s="62" customFormat="1" ht="14.25" x14ac:dyDescent="0.2">
      <c r="A161" s="61"/>
      <c r="G161" s="63"/>
      <c r="AN161" s="62" t="e">
        <f>VLOOKUP(I161,Sheet1!A:D,4,FALSE)</f>
        <v>#N/A</v>
      </c>
    </row>
    <row r="162" spans="1:40" s="62" customFormat="1" ht="14.25" x14ac:dyDescent="0.2">
      <c r="A162" s="61"/>
      <c r="G162" s="63"/>
      <c r="AN162" s="62" t="e">
        <f>VLOOKUP(I162,Sheet1!A:D,4,FALSE)</f>
        <v>#N/A</v>
      </c>
    </row>
    <row r="163" spans="1:40" s="62" customFormat="1" ht="14.25" x14ac:dyDescent="0.2">
      <c r="A163" s="61"/>
      <c r="G163" s="63"/>
      <c r="AN163" s="62" t="e">
        <f>VLOOKUP(I163,Sheet1!A:D,4,FALSE)</f>
        <v>#N/A</v>
      </c>
    </row>
    <row r="164" spans="1:40" s="62" customFormat="1" ht="14.25" x14ac:dyDescent="0.2">
      <c r="A164" s="61"/>
      <c r="G164" s="63"/>
      <c r="AN164" s="62" t="e">
        <f>VLOOKUP(I164,Sheet1!A:D,4,FALSE)</f>
        <v>#N/A</v>
      </c>
    </row>
    <row r="165" spans="1:40" s="62" customFormat="1" ht="14.25" x14ac:dyDescent="0.2">
      <c r="A165" s="61"/>
      <c r="G165" s="63"/>
      <c r="AN165" s="62" t="e">
        <f>VLOOKUP(I165,Sheet1!A:D,4,FALSE)</f>
        <v>#N/A</v>
      </c>
    </row>
    <row r="166" spans="1:40" s="62" customFormat="1" ht="14.25" x14ac:dyDescent="0.2">
      <c r="A166" s="61"/>
      <c r="G166" s="63"/>
      <c r="AN166" s="62" t="e">
        <f>VLOOKUP(I166,Sheet1!A:D,4,FALSE)</f>
        <v>#N/A</v>
      </c>
    </row>
    <row r="167" spans="1:40" s="62" customFormat="1" ht="14.25" x14ac:dyDescent="0.2">
      <c r="A167" s="61"/>
      <c r="G167" s="63"/>
      <c r="AN167" s="62" t="e">
        <f>VLOOKUP(I167,Sheet1!A:D,4,FALSE)</f>
        <v>#N/A</v>
      </c>
    </row>
    <row r="168" spans="1:40" s="62" customFormat="1" ht="14.25" x14ac:dyDescent="0.2">
      <c r="A168" s="61"/>
      <c r="G168" s="63"/>
      <c r="AN168" s="62" t="e">
        <f>VLOOKUP(I168,Sheet1!A:D,4,FALSE)</f>
        <v>#N/A</v>
      </c>
    </row>
    <row r="169" spans="1:40" s="62" customFormat="1" ht="14.25" x14ac:dyDescent="0.2">
      <c r="A169" s="61"/>
      <c r="G169" s="63"/>
      <c r="AN169" s="62" t="e">
        <f>VLOOKUP(I169,Sheet1!A:D,4,FALSE)</f>
        <v>#N/A</v>
      </c>
    </row>
    <row r="170" spans="1:40" s="62" customFormat="1" ht="14.25" x14ac:dyDescent="0.2">
      <c r="A170" s="61"/>
      <c r="G170" s="63"/>
      <c r="AN170" s="62" t="e">
        <f>VLOOKUP(I170,Sheet1!A:D,4,FALSE)</f>
        <v>#N/A</v>
      </c>
    </row>
    <row r="171" spans="1:40" s="62" customFormat="1" ht="14.25" x14ac:dyDescent="0.2">
      <c r="A171" s="61"/>
      <c r="G171" s="63"/>
      <c r="AN171" s="62" t="e">
        <f>VLOOKUP(I171,Sheet1!A:D,4,FALSE)</f>
        <v>#N/A</v>
      </c>
    </row>
    <row r="172" spans="1:40" s="62" customFormat="1" ht="14.25" x14ac:dyDescent="0.2">
      <c r="A172" s="61"/>
      <c r="G172" s="63"/>
      <c r="AN172" s="62" t="e">
        <f>VLOOKUP(I172,Sheet1!A:D,4,FALSE)</f>
        <v>#N/A</v>
      </c>
    </row>
    <row r="173" spans="1:40" s="62" customFormat="1" ht="14.25" x14ac:dyDescent="0.2">
      <c r="A173" s="61"/>
      <c r="G173" s="63"/>
      <c r="AN173" s="62" t="e">
        <f>VLOOKUP(I173,Sheet1!A:D,4,FALSE)</f>
        <v>#N/A</v>
      </c>
    </row>
    <row r="174" spans="1:40" s="62" customFormat="1" ht="14.25" x14ac:dyDescent="0.2">
      <c r="A174" s="61"/>
      <c r="G174" s="63"/>
      <c r="AN174" s="62" t="e">
        <f>VLOOKUP(I174,Sheet1!A:D,4,FALSE)</f>
        <v>#N/A</v>
      </c>
    </row>
    <row r="175" spans="1:40" s="62" customFormat="1" ht="14.25" x14ac:dyDescent="0.2">
      <c r="A175" s="61"/>
      <c r="G175" s="63"/>
      <c r="AN175" s="62" t="e">
        <f>VLOOKUP(I175,Sheet1!A:D,4,FALSE)</f>
        <v>#N/A</v>
      </c>
    </row>
    <row r="176" spans="1:40" s="62" customFormat="1" ht="14.25" x14ac:dyDescent="0.2">
      <c r="A176" s="61"/>
      <c r="G176" s="63"/>
      <c r="AN176" s="62" t="e">
        <f>VLOOKUP(I176,Sheet1!A:D,4,FALSE)</f>
        <v>#N/A</v>
      </c>
    </row>
    <row r="177" spans="1:40" s="62" customFormat="1" ht="14.25" x14ac:dyDescent="0.2">
      <c r="A177" s="61"/>
      <c r="G177" s="63"/>
      <c r="AN177" s="62" t="e">
        <f>VLOOKUP(I177,Sheet1!A:D,4,FALSE)</f>
        <v>#N/A</v>
      </c>
    </row>
    <row r="178" spans="1:40" s="62" customFormat="1" ht="14.25" x14ac:dyDescent="0.2">
      <c r="A178" s="61"/>
      <c r="G178" s="63"/>
      <c r="AN178" s="62" t="e">
        <f>VLOOKUP(I178,Sheet1!A:D,4,FALSE)</f>
        <v>#N/A</v>
      </c>
    </row>
    <row r="179" spans="1:40" s="62" customFormat="1" ht="14.25" x14ac:dyDescent="0.2">
      <c r="A179" s="61"/>
      <c r="G179" s="63"/>
      <c r="AN179" s="62" t="e">
        <f>VLOOKUP(I179,Sheet1!A:D,4,FALSE)</f>
        <v>#N/A</v>
      </c>
    </row>
    <row r="180" spans="1:40" s="62" customFormat="1" ht="14.25" x14ac:dyDescent="0.2">
      <c r="A180" s="61"/>
      <c r="G180" s="63"/>
      <c r="AN180" s="62" t="e">
        <f>VLOOKUP(I180,Sheet1!A:D,4,FALSE)</f>
        <v>#N/A</v>
      </c>
    </row>
    <row r="181" spans="1:40" s="62" customFormat="1" ht="14.25" x14ac:dyDescent="0.2">
      <c r="A181" s="61"/>
      <c r="G181" s="63"/>
      <c r="AN181" s="62" t="e">
        <f>VLOOKUP(I181,Sheet1!A:D,4,FALSE)</f>
        <v>#N/A</v>
      </c>
    </row>
    <row r="182" spans="1:40" s="62" customFormat="1" ht="14.25" x14ac:dyDescent="0.2">
      <c r="A182" s="61"/>
      <c r="G182" s="63"/>
      <c r="AN182" s="62" t="e">
        <f>VLOOKUP(I182,Sheet1!A:D,4,FALSE)</f>
        <v>#N/A</v>
      </c>
    </row>
    <row r="183" spans="1:40" s="62" customFormat="1" ht="14.25" x14ac:dyDescent="0.2">
      <c r="A183" s="61"/>
      <c r="G183" s="63"/>
      <c r="AN183" s="62" t="e">
        <f>VLOOKUP(I183,Sheet1!A:D,4,FALSE)</f>
        <v>#N/A</v>
      </c>
    </row>
    <row r="184" spans="1:40" s="62" customFormat="1" ht="14.25" x14ac:dyDescent="0.2">
      <c r="A184" s="61"/>
      <c r="G184" s="63"/>
      <c r="AN184" s="62" t="e">
        <f>VLOOKUP(I184,Sheet1!A:D,4,FALSE)</f>
        <v>#N/A</v>
      </c>
    </row>
    <row r="185" spans="1:40" s="62" customFormat="1" ht="14.25" x14ac:dyDescent="0.2">
      <c r="A185" s="61"/>
      <c r="G185" s="63"/>
      <c r="AN185" s="62" t="e">
        <f>VLOOKUP(I185,Sheet1!A:D,4,FALSE)</f>
        <v>#N/A</v>
      </c>
    </row>
    <row r="186" spans="1:40" s="62" customFormat="1" ht="14.25" x14ac:dyDescent="0.2">
      <c r="A186" s="61"/>
      <c r="G186" s="63"/>
      <c r="AN186" s="62" t="e">
        <f>VLOOKUP(I186,Sheet1!A:D,4,FALSE)</f>
        <v>#N/A</v>
      </c>
    </row>
    <row r="187" spans="1:40" s="62" customFormat="1" ht="14.25" x14ac:dyDescent="0.2">
      <c r="A187" s="61"/>
      <c r="G187" s="63"/>
      <c r="AN187" s="62" t="e">
        <f>VLOOKUP(I187,Sheet1!A:D,4,FALSE)</f>
        <v>#N/A</v>
      </c>
    </row>
    <row r="188" spans="1:40" s="62" customFormat="1" ht="14.25" x14ac:dyDescent="0.2">
      <c r="A188" s="61"/>
      <c r="G188" s="63"/>
      <c r="AN188" s="62" t="e">
        <f>VLOOKUP(I188,Sheet1!A:D,4,FALSE)</f>
        <v>#N/A</v>
      </c>
    </row>
    <row r="189" spans="1:40" s="62" customFormat="1" ht="14.25" x14ac:dyDescent="0.2">
      <c r="A189" s="61"/>
      <c r="G189" s="63"/>
      <c r="AN189" s="62" t="e">
        <f>VLOOKUP(I189,Sheet1!A:D,4,FALSE)</f>
        <v>#N/A</v>
      </c>
    </row>
    <row r="190" spans="1:40" s="62" customFormat="1" ht="14.25" x14ac:dyDescent="0.2">
      <c r="A190" s="61"/>
      <c r="G190" s="63"/>
      <c r="AN190" s="62" t="e">
        <f>VLOOKUP(I190,Sheet1!A:D,4,FALSE)</f>
        <v>#N/A</v>
      </c>
    </row>
    <row r="191" spans="1:40" s="62" customFormat="1" ht="14.25" x14ac:dyDescent="0.2">
      <c r="A191" s="61"/>
      <c r="G191" s="63"/>
      <c r="AN191" s="62" t="e">
        <f>VLOOKUP(I191,Sheet1!A:D,4,FALSE)</f>
        <v>#N/A</v>
      </c>
    </row>
    <row r="192" spans="1:40" s="62" customFormat="1" ht="14.25" x14ac:dyDescent="0.2">
      <c r="A192" s="61"/>
      <c r="G192" s="63"/>
      <c r="AN192" s="62" t="e">
        <f>VLOOKUP(I192,Sheet1!A:D,4,FALSE)</f>
        <v>#N/A</v>
      </c>
    </row>
    <row r="193" spans="1:40" s="62" customFormat="1" ht="14.25" x14ac:dyDescent="0.2">
      <c r="A193" s="61"/>
      <c r="G193" s="63"/>
      <c r="AN193" s="62" t="e">
        <f>VLOOKUP(I193,Sheet1!A:D,4,FALSE)</f>
        <v>#N/A</v>
      </c>
    </row>
    <row r="194" spans="1:40" s="62" customFormat="1" ht="14.25" x14ac:dyDescent="0.2">
      <c r="A194" s="61"/>
      <c r="G194" s="63"/>
      <c r="AN194" s="62" t="e">
        <f>VLOOKUP(I194,Sheet1!A:D,4,FALSE)</f>
        <v>#N/A</v>
      </c>
    </row>
    <row r="195" spans="1:40" s="62" customFormat="1" ht="14.25" x14ac:dyDescent="0.2">
      <c r="A195" s="61"/>
      <c r="G195" s="63"/>
      <c r="AN195" s="62" t="e">
        <f>VLOOKUP(I195,Sheet1!A:D,4,FALSE)</f>
        <v>#N/A</v>
      </c>
    </row>
    <row r="196" spans="1:40" s="62" customFormat="1" ht="14.25" x14ac:dyDescent="0.2">
      <c r="A196" s="61"/>
      <c r="G196" s="63"/>
      <c r="AN196" s="62" t="e">
        <f>VLOOKUP(I196,Sheet1!A:D,4,FALSE)</f>
        <v>#N/A</v>
      </c>
    </row>
    <row r="197" spans="1:40" s="62" customFormat="1" ht="14.25" x14ac:dyDescent="0.2">
      <c r="A197" s="61"/>
      <c r="G197" s="63"/>
      <c r="AN197" s="62" t="e">
        <f>VLOOKUP(I197,Sheet1!A:D,4,FALSE)</f>
        <v>#N/A</v>
      </c>
    </row>
    <row r="198" spans="1:40" s="62" customFormat="1" ht="14.25" x14ac:dyDescent="0.2">
      <c r="A198" s="61"/>
      <c r="G198" s="63"/>
      <c r="AN198" s="62" t="e">
        <f>VLOOKUP(I198,Sheet1!A:D,4,FALSE)</f>
        <v>#N/A</v>
      </c>
    </row>
    <row r="199" spans="1:40" s="62" customFormat="1" ht="14.25" x14ac:dyDescent="0.2">
      <c r="A199" s="61"/>
      <c r="G199" s="63"/>
      <c r="AN199" s="62" t="e">
        <f>VLOOKUP(I199,Sheet1!A:D,4,FALSE)</f>
        <v>#N/A</v>
      </c>
    </row>
    <row r="200" spans="1:40" s="62" customFormat="1" ht="14.25" x14ac:dyDescent="0.2">
      <c r="A200" s="61"/>
      <c r="G200" s="63"/>
      <c r="AN200" s="62" t="e">
        <f>VLOOKUP(I200,Sheet1!A:D,4,FALSE)</f>
        <v>#N/A</v>
      </c>
    </row>
    <row r="201" spans="1:40" s="62" customFormat="1" ht="14.25" x14ac:dyDescent="0.2">
      <c r="A201" s="61"/>
      <c r="G201" s="63"/>
      <c r="AN201" s="62" t="e">
        <f>VLOOKUP(I201,Sheet1!A:D,4,FALSE)</f>
        <v>#N/A</v>
      </c>
    </row>
    <row r="202" spans="1:40" s="62" customFormat="1" ht="14.25" x14ac:dyDescent="0.2">
      <c r="A202" s="61"/>
      <c r="G202" s="63"/>
      <c r="AN202" s="62" t="e">
        <f>VLOOKUP(I202,Sheet1!A:D,4,FALSE)</f>
        <v>#N/A</v>
      </c>
    </row>
    <row r="203" spans="1:40" s="62" customFormat="1" ht="14.25" x14ac:dyDescent="0.2">
      <c r="A203" s="61"/>
      <c r="G203" s="63"/>
      <c r="AN203" s="62" t="e">
        <f>VLOOKUP(I203,Sheet1!A:D,4,FALSE)</f>
        <v>#N/A</v>
      </c>
    </row>
    <row r="204" spans="1:40" s="62" customFormat="1" ht="14.25" x14ac:dyDescent="0.2">
      <c r="A204" s="61"/>
      <c r="G204" s="63"/>
      <c r="AN204" s="62" t="e">
        <f>VLOOKUP(I204,Sheet1!A:D,4,FALSE)</f>
        <v>#N/A</v>
      </c>
    </row>
    <row r="205" spans="1:40" s="62" customFormat="1" ht="14.25" x14ac:dyDescent="0.2">
      <c r="A205" s="61"/>
      <c r="G205" s="63"/>
      <c r="AN205" s="62" t="e">
        <f>VLOOKUP(I205,Sheet1!A:D,4,FALSE)</f>
        <v>#N/A</v>
      </c>
    </row>
    <row r="206" spans="1:40" s="62" customFormat="1" ht="14.25" x14ac:dyDescent="0.2">
      <c r="A206" s="61"/>
      <c r="G206" s="63"/>
      <c r="AN206" s="62" t="e">
        <f>VLOOKUP(I206,Sheet1!A:D,4,FALSE)</f>
        <v>#N/A</v>
      </c>
    </row>
    <row r="207" spans="1:40" s="62" customFormat="1" ht="14.25" x14ac:dyDescent="0.2">
      <c r="A207" s="61"/>
      <c r="G207" s="63"/>
      <c r="AN207" s="62" t="e">
        <f>VLOOKUP(I207,Sheet1!A:D,4,FALSE)</f>
        <v>#N/A</v>
      </c>
    </row>
    <row r="208" spans="1:40" s="62" customFormat="1" ht="14.25" x14ac:dyDescent="0.2">
      <c r="A208" s="61"/>
      <c r="G208" s="63"/>
      <c r="AN208" s="62" t="e">
        <f>VLOOKUP(I208,Sheet1!A:D,4,FALSE)</f>
        <v>#N/A</v>
      </c>
    </row>
    <row r="209" spans="1:40" s="62" customFormat="1" ht="14.25" x14ac:dyDescent="0.2">
      <c r="A209" s="61"/>
      <c r="G209" s="63"/>
      <c r="AN209" s="62" t="e">
        <f>VLOOKUP(I209,Sheet1!A:D,4,FALSE)</f>
        <v>#N/A</v>
      </c>
    </row>
    <row r="210" spans="1:40" s="62" customFormat="1" ht="14.25" x14ac:dyDescent="0.2">
      <c r="A210" s="61"/>
      <c r="G210" s="63"/>
      <c r="AN210" s="62" t="e">
        <f>VLOOKUP(I210,Sheet1!A:D,4,FALSE)</f>
        <v>#N/A</v>
      </c>
    </row>
    <row r="211" spans="1:40" s="62" customFormat="1" ht="14.25" x14ac:dyDescent="0.2">
      <c r="A211" s="61"/>
      <c r="G211" s="63"/>
      <c r="AN211" s="62" t="e">
        <f>VLOOKUP(I211,Sheet1!A:D,4,FALSE)</f>
        <v>#N/A</v>
      </c>
    </row>
    <row r="212" spans="1:40" s="62" customFormat="1" ht="14.25" x14ac:dyDescent="0.2">
      <c r="A212" s="61"/>
      <c r="G212" s="63"/>
      <c r="AN212" s="62" t="e">
        <f>VLOOKUP(I212,Sheet1!A:D,4,FALSE)</f>
        <v>#N/A</v>
      </c>
    </row>
    <row r="213" spans="1:40" s="62" customFormat="1" ht="14.25" x14ac:dyDescent="0.2">
      <c r="A213" s="61"/>
      <c r="G213" s="63"/>
      <c r="AN213" s="62" t="e">
        <f>VLOOKUP(I213,Sheet1!A:D,4,FALSE)</f>
        <v>#N/A</v>
      </c>
    </row>
    <row r="214" spans="1:40" s="62" customFormat="1" ht="14.25" x14ac:dyDescent="0.2">
      <c r="A214" s="61"/>
      <c r="G214" s="63"/>
      <c r="AN214" s="62" t="e">
        <f>VLOOKUP(I214,Sheet1!A:D,4,FALSE)</f>
        <v>#N/A</v>
      </c>
    </row>
    <row r="215" spans="1:40" s="62" customFormat="1" ht="14.25" x14ac:dyDescent="0.2">
      <c r="A215" s="61"/>
      <c r="G215" s="63"/>
      <c r="AN215" s="62" t="e">
        <f>VLOOKUP(I215,Sheet1!A:D,4,FALSE)</f>
        <v>#N/A</v>
      </c>
    </row>
    <row r="216" spans="1:40" s="62" customFormat="1" ht="14.25" x14ac:dyDescent="0.2">
      <c r="A216" s="61"/>
      <c r="G216" s="63"/>
      <c r="AN216" s="62" t="e">
        <f>VLOOKUP(I216,Sheet1!A:D,4,FALSE)</f>
        <v>#N/A</v>
      </c>
    </row>
    <row r="217" spans="1:40" s="62" customFormat="1" ht="14.25" x14ac:dyDescent="0.2">
      <c r="A217" s="61"/>
      <c r="G217" s="63"/>
      <c r="AN217" s="62" t="e">
        <f>VLOOKUP(I217,Sheet1!A:D,4,FALSE)</f>
        <v>#N/A</v>
      </c>
    </row>
    <row r="218" spans="1:40" s="62" customFormat="1" ht="14.25" x14ac:dyDescent="0.2">
      <c r="A218" s="61"/>
      <c r="G218" s="63"/>
      <c r="AN218" s="62" t="e">
        <f>VLOOKUP(I218,Sheet1!A:D,4,FALSE)</f>
        <v>#N/A</v>
      </c>
    </row>
    <row r="219" spans="1:40" s="62" customFormat="1" ht="14.25" x14ac:dyDescent="0.2">
      <c r="A219" s="61"/>
      <c r="G219" s="63"/>
      <c r="AN219" s="62" t="e">
        <f>VLOOKUP(I219,Sheet1!A:D,4,FALSE)</f>
        <v>#N/A</v>
      </c>
    </row>
    <row r="220" spans="1:40" s="62" customFormat="1" ht="14.25" x14ac:dyDescent="0.2">
      <c r="A220" s="61"/>
      <c r="G220" s="63"/>
      <c r="AN220" s="62" t="e">
        <f>VLOOKUP(I220,Sheet1!A:D,4,FALSE)</f>
        <v>#N/A</v>
      </c>
    </row>
    <row r="221" spans="1:40" s="62" customFormat="1" ht="14.25" x14ac:dyDescent="0.2">
      <c r="A221" s="61"/>
      <c r="G221" s="63"/>
      <c r="AN221" s="62" t="e">
        <f>VLOOKUP(I221,Sheet1!A:D,4,FALSE)</f>
        <v>#N/A</v>
      </c>
    </row>
    <row r="222" spans="1:40" s="62" customFormat="1" ht="14.25" x14ac:dyDescent="0.2">
      <c r="A222" s="61"/>
      <c r="G222" s="63"/>
      <c r="AN222" s="62" t="e">
        <f>VLOOKUP(I222,Sheet1!A:D,4,FALSE)</f>
        <v>#N/A</v>
      </c>
    </row>
    <row r="223" spans="1:40" s="62" customFormat="1" ht="14.25" x14ac:dyDescent="0.2">
      <c r="A223" s="61"/>
      <c r="G223" s="63"/>
      <c r="AN223" s="62" t="e">
        <f>VLOOKUP(I223,Sheet1!A:D,4,FALSE)</f>
        <v>#N/A</v>
      </c>
    </row>
    <row r="224" spans="1:40" s="62" customFormat="1" ht="14.25" x14ac:dyDescent="0.2">
      <c r="A224" s="61"/>
      <c r="G224" s="63"/>
      <c r="AN224" s="62" t="e">
        <f>VLOOKUP(I224,Sheet1!A:D,4,FALSE)</f>
        <v>#N/A</v>
      </c>
    </row>
    <row r="225" spans="1:40" s="62" customFormat="1" ht="14.25" x14ac:dyDescent="0.2">
      <c r="A225" s="61"/>
      <c r="G225" s="63"/>
      <c r="AN225" s="62" t="e">
        <f>VLOOKUP(I225,Sheet1!A:D,4,FALSE)</f>
        <v>#N/A</v>
      </c>
    </row>
    <row r="226" spans="1:40" s="62" customFormat="1" ht="14.25" x14ac:dyDescent="0.2">
      <c r="A226" s="61"/>
      <c r="G226" s="63"/>
      <c r="AN226" s="62" t="e">
        <f>VLOOKUP(I226,Sheet1!A:D,4,FALSE)</f>
        <v>#N/A</v>
      </c>
    </row>
    <row r="227" spans="1:40" s="62" customFormat="1" ht="14.25" x14ac:dyDescent="0.2">
      <c r="A227" s="61"/>
      <c r="G227" s="63"/>
      <c r="AN227" s="62" t="e">
        <f>VLOOKUP(I227,Sheet1!A:D,4,FALSE)</f>
        <v>#N/A</v>
      </c>
    </row>
    <row r="228" spans="1:40" s="62" customFormat="1" ht="14.25" x14ac:dyDescent="0.2">
      <c r="A228" s="61"/>
      <c r="G228" s="63"/>
      <c r="AN228" s="62" t="e">
        <f>VLOOKUP(I228,Sheet1!A:D,4,FALSE)</f>
        <v>#N/A</v>
      </c>
    </row>
    <row r="229" spans="1:40" s="62" customFormat="1" ht="14.25" x14ac:dyDescent="0.2">
      <c r="A229" s="61"/>
      <c r="G229" s="63"/>
      <c r="AN229" s="62" t="e">
        <f>VLOOKUP(I229,Sheet1!A:D,4,FALSE)</f>
        <v>#N/A</v>
      </c>
    </row>
    <row r="230" spans="1:40" s="62" customFormat="1" ht="14.25" x14ac:dyDescent="0.2">
      <c r="A230" s="61"/>
      <c r="G230" s="63"/>
      <c r="AN230" s="62" t="e">
        <f>VLOOKUP(I230,Sheet1!A:D,4,FALSE)</f>
        <v>#N/A</v>
      </c>
    </row>
    <row r="231" spans="1:40" s="62" customFormat="1" ht="14.25" x14ac:dyDescent="0.2">
      <c r="A231" s="61"/>
      <c r="G231" s="63"/>
      <c r="AN231" s="62" t="e">
        <f>VLOOKUP(I231,Sheet1!A:D,4,FALSE)</f>
        <v>#N/A</v>
      </c>
    </row>
    <row r="232" spans="1:40" s="62" customFormat="1" ht="14.25" x14ac:dyDescent="0.2">
      <c r="A232" s="61"/>
      <c r="G232" s="63"/>
    </row>
    <row r="233" spans="1:40" s="62" customFormat="1" ht="14.25" x14ac:dyDescent="0.2">
      <c r="A233" s="61"/>
      <c r="G233" s="63"/>
    </row>
    <row r="234" spans="1:40" s="62" customFormat="1" ht="14.25" x14ac:dyDescent="0.2">
      <c r="A234" s="61"/>
      <c r="G234" s="63"/>
    </row>
    <row r="235" spans="1:40" s="62" customFormat="1" ht="14.25" x14ac:dyDescent="0.2">
      <c r="A235" s="61"/>
      <c r="G235" s="63"/>
    </row>
  </sheetData>
  <autoFilter ref="A6:XEY6" xr:uid="{00ED5A06-14EA-4E82-AF45-1CB0B0495CBF}">
    <filterColumn colId="45" showButton="0"/>
    <filterColumn colId="46" showButton="0"/>
  </autoFilter>
  <mergeCells count="1">
    <mergeCell ref="AT6:AV6"/>
  </mergeCells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921A-2F49-4C90-8E84-AA6290CFD28E}">
  <dimension ref="A1:AV235"/>
  <sheetViews>
    <sheetView topLeftCell="V124" workbookViewId="0">
      <selection activeCell="AN139" sqref="AN7:AN139"/>
    </sheetView>
  </sheetViews>
  <sheetFormatPr defaultRowHeight="15" x14ac:dyDescent="0.25"/>
  <cols>
    <col min="1" max="1" width="17.5703125" style="23" bestFit="1" customWidth="1"/>
    <col min="3" max="3" width="13.140625" bestFit="1" customWidth="1"/>
    <col min="5" max="5" width="17.5703125" bestFit="1" customWidth="1"/>
    <col min="7" max="7" width="10.7109375" style="30" bestFit="1" customWidth="1"/>
    <col min="8" max="8" width="29.7109375" bestFit="1" customWidth="1"/>
    <col min="11" max="11" width="9.28515625" style="25" bestFit="1" customWidth="1"/>
    <col min="12" max="12" width="9.140625" style="25"/>
    <col min="13" max="14" width="9.28515625" style="25" bestFit="1" customWidth="1"/>
    <col min="15" max="15" width="11.85546875" style="25" bestFit="1" customWidth="1"/>
    <col min="16" max="16" width="33.140625" style="25" bestFit="1" customWidth="1"/>
    <col min="17" max="18" width="9.28515625" style="25" bestFit="1" customWidth="1"/>
    <col min="19" max="19" width="9.140625" style="25"/>
    <col min="20" max="20" width="16.5703125" style="25" bestFit="1" customWidth="1"/>
    <col min="21" max="21" width="37.42578125" style="25" bestFit="1" customWidth="1"/>
    <col min="22" max="22" width="10.5703125" style="25" bestFit="1" customWidth="1"/>
    <col min="23" max="23" width="9.28515625" style="25" bestFit="1" customWidth="1"/>
    <col min="24" max="24" width="10.5703125" style="25" bestFit="1" customWidth="1"/>
    <col min="46" max="46" width="124" hidden="1" customWidth="1"/>
    <col min="47" max="47" width="9.140625" customWidth="1"/>
    <col min="48" max="48" width="1.7109375" customWidth="1"/>
  </cols>
  <sheetData>
    <row r="1" spans="1:48" s="74" customFormat="1" x14ac:dyDescent="0.25">
      <c r="A1" s="89"/>
      <c r="G1" s="90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</row>
    <row r="2" spans="1:48" s="74" customFormat="1" x14ac:dyDescent="0.25">
      <c r="A2" s="89"/>
      <c r="G2" s="90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1:48" s="74" customFormat="1" x14ac:dyDescent="0.25">
      <c r="A3" s="89"/>
      <c r="G3" s="90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</row>
    <row r="4" spans="1:48" s="74" customFormat="1" x14ac:dyDescent="0.25">
      <c r="A4" s="89"/>
      <c r="G4" s="90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</row>
    <row r="5" spans="1:48" s="74" customFormat="1" x14ac:dyDescent="0.25">
      <c r="A5" s="89" t="s">
        <v>230</v>
      </c>
      <c r="G5" s="90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</row>
    <row r="6" spans="1:48" s="48" customFormat="1" x14ac:dyDescent="0.25">
      <c r="A6" s="83" t="s">
        <v>0</v>
      </c>
      <c r="B6" s="84" t="s">
        <v>1</v>
      </c>
      <c r="C6" s="84" t="s">
        <v>2</v>
      </c>
      <c r="D6" s="84" t="s">
        <v>4</v>
      </c>
      <c r="E6" s="84" t="s">
        <v>3</v>
      </c>
      <c r="F6" s="84" t="s">
        <v>5</v>
      </c>
      <c r="G6" s="85" t="s">
        <v>6</v>
      </c>
      <c r="H6" s="84" t="s">
        <v>7</v>
      </c>
      <c r="I6" s="84" t="s">
        <v>8</v>
      </c>
      <c r="J6" s="84" t="s">
        <v>9</v>
      </c>
      <c r="K6" s="86" t="s">
        <v>10</v>
      </c>
      <c r="L6" s="86" t="s">
        <v>11</v>
      </c>
      <c r="M6" s="86" t="s">
        <v>12</v>
      </c>
      <c r="N6" s="86" t="s">
        <v>13</v>
      </c>
      <c r="O6" s="86" t="s">
        <v>14</v>
      </c>
      <c r="P6" s="86" t="s">
        <v>15</v>
      </c>
      <c r="Q6" s="86" t="s">
        <v>16</v>
      </c>
      <c r="R6" s="86" t="s">
        <v>17</v>
      </c>
      <c r="S6" s="86" t="s">
        <v>18</v>
      </c>
      <c r="T6" s="86" t="s">
        <v>19</v>
      </c>
      <c r="U6" s="86" t="s">
        <v>20</v>
      </c>
      <c r="V6" s="86" t="s">
        <v>21</v>
      </c>
      <c r="W6" s="86" t="s">
        <v>22</v>
      </c>
      <c r="X6" s="86" t="s">
        <v>23</v>
      </c>
      <c r="Y6" s="84" t="s">
        <v>24</v>
      </c>
      <c r="Z6" s="84" t="s">
        <v>25</v>
      </c>
      <c r="AA6" s="86" t="s">
        <v>26</v>
      </c>
      <c r="AB6" s="84" t="s">
        <v>27</v>
      </c>
      <c r="AC6" s="84" t="s">
        <v>28</v>
      </c>
      <c r="AD6" s="86" t="s">
        <v>29</v>
      </c>
      <c r="AE6" s="86" t="s">
        <v>30</v>
      </c>
      <c r="AF6" s="86" t="s">
        <v>31</v>
      </c>
      <c r="AG6" s="84" t="s">
        <v>32</v>
      </c>
      <c r="AH6" s="84" t="s">
        <v>33</v>
      </c>
      <c r="AI6" s="84" t="s">
        <v>34</v>
      </c>
      <c r="AJ6" s="84" t="s">
        <v>35</v>
      </c>
      <c r="AK6" s="84" t="s">
        <v>36</v>
      </c>
      <c r="AL6" s="84" t="s">
        <v>37</v>
      </c>
      <c r="AM6" s="84" t="s">
        <v>38</v>
      </c>
      <c r="AN6" s="84" t="s">
        <v>696</v>
      </c>
      <c r="AO6" s="88" t="s">
        <v>63</v>
      </c>
      <c r="AP6" s="84"/>
      <c r="AQ6" s="84"/>
      <c r="AR6" s="84"/>
      <c r="AS6" s="84"/>
      <c r="AT6" s="312"/>
      <c r="AU6" s="312"/>
      <c r="AV6" s="312"/>
    </row>
    <row r="7" spans="1:48" s="36" customFormat="1" ht="14.25" x14ac:dyDescent="0.2">
      <c r="A7" s="57"/>
      <c r="G7" s="58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AN7" s="36" t="e">
        <f>VLOOKUP(I7,Sheet1!A:D,4,FALSE)</f>
        <v>#N/A</v>
      </c>
    </row>
    <row r="8" spans="1:48" s="36" customFormat="1" ht="14.25" x14ac:dyDescent="0.2">
      <c r="A8" s="57"/>
      <c r="G8" s="58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AN8" s="36" t="e">
        <f>VLOOKUP(I8,Sheet1!A:D,4,FALSE)</f>
        <v>#N/A</v>
      </c>
    </row>
    <row r="9" spans="1:48" s="36" customFormat="1" ht="14.25" x14ac:dyDescent="0.2">
      <c r="A9" s="57"/>
      <c r="G9" s="58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AN9" s="36" t="e">
        <f>VLOOKUP(I9,Sheet1!A:D,4,FALSE)</f>
        <v>#N/A</v>
      </c>
    </row>
    <row r="10" spans="1:48" s="36" customFormat="1" ht="14.25" x14ac:dyDescent="0.2">
      <c r="A10" s="57"/>
      <c r="G10" s="58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AN10" s="36" t="e">
        <f>VLOOKUP(I10,Sheet1!A:D,4,FALSE)</f>
        <v>#N/A</v>
      </c>
    </row>
    <row r="11" spans="1:48" s="36" customFormat="1" ht="14.25" x14ac:dyDescent="0.2">
      <c r="A11" s="57"/>
      <c r="G11" s="58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AN11" s="36" t="e">
        <f>VLOOKUP(I11,Sheet1!A:D,4,FALSE)</f>
        <v>#N/A</v>
      </c>
    </row>
    <row r="12" spans="1:48" s="36" customFormat="1" ht="14.25" x14ac:dyDescent="0.2">
      <c r="A12" s="57"/>
      <c r="G12" s="58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AN12" s="36" t="e">
        <f>VLOOKUP(I12,Sheet1!A:D,4,FALSE)</f>
        <v>#N/A</v>
      </c>
    </row>
    <row r="13" spans="1:48" s="36" customFormat="1" ht="14.25" x14ac:dyDescent="0.2">
      <c r="A13" s="57"/>
      <c r="G13" s="58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AN13" s="36" t="e">
        <f>VLOOKUP(I13,Sheet1!A:D,4,FALSE)</f>
        <v>#N/A</v>
      </c>
    </row>
    <row r="14" spans="1:48" s="36" customFormat="1" ht="14.25" x14ac:dyDescent="0.2">
      <c r="A14" s="57"/>
      <c r="G14" s="58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AN14" s="36" t="e">
        <f>VLOOKUP(I14,Sheet1!A:D,4,FALSE)</f>
        <v>#N/A</v>
      </c>
    </row>
    <row r="15" spans="1:48" s="36" customFormat="1" ht="14.25" x14ac:dyDescent="0.2">
      <c r="A15" s="57"/>
      <c r="G15" s="58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AN15" s="36" t="e">
        <f>VLOOKUP(I15,Sheet1!A:D,4,FALSE)</f>
        <v>#N/A</v>
      </c>
    </row>
    <row r="16" spans="1:48" s="36" customFormat="1" ht="14.25" x14ac:dyDescent="0.2">
      <c r="A16" s="57"/>
      <c r="G16" s="58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AN16" s="36" t="e">
        <f>VLOOKUP(I16,Sheet1!A:D,4,FALSE)</f>
        <v>#N/A</v>
      </c>
    </row>
    <row r="17" spans="1:40" s="36" customFormat="1" ht="14.25" x14ac:dyDescent="0.2">
      <c r="A17" s="57"/>
      <c r="G17" s="58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AN17" s="36" t="e">
        <f>VLOOKUP(I17,Sheet1!A:D,4,FALSE)</f>
        <v>#N/A</v>
      </c>
    </row>
    <row r="18" spans="1:40" s="36" customFormat="1" ht="14.25" x14ac:dyDescent="0.2">
      <c r="A18" s="57"/>
      <c r="G18" s="58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AN18" s="36" t="e">
        <f>VLOOKUP(I18,Sheet1!A:D,4,FALSE)</f>
        <v>#N/A</v>
      </c>
    </row>
    <row r="19" spans="1:40" s="36" customFormat="1" ht="14.25" x14ac:dyDescent="0.2">
      <c r="A19" s="57"/>
      <c r="G19" s="58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AN19" s="36" t="e">
        <f>VLOOKUP(I19,Sheet1!A:D,4,FALSE)</f>
        <v>#N/A</v>
      </c>
    </row>
    <row r="20" spans="1:40" s="36" customFormat="1" ht="14.25" x14ac:dyDescent="0.2">
      <c r="A20" s="57"/>
      <c r="G20" s="58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AN20" s="36" t="e">
        <f>VLOOKUP(I20,Sheet1!A:D,4,FALSE)</f>
        <v>#N/A</v>
      </c>
    </row>
    <row r="21" spans="1:40" s="36" customFormat="1" ht="14.25" x14ac:dyDescent="0.2">
      <c r="A21" s="57"/>
      <c r="G21" s="58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AN21" s="36" t="e">
        <f>VLOOKUP(I21,Sheet1!A:D,4,FALSE)</f>
        <v>#N/A</v>
      </c>
    </row>
    <row r="22" spans="1:40" s="36" customFormat="1" ht="14.25" x14ac:dyDescent="0.2">
      <c r="A22" s="57"/>
      <c r="G22" s="58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AN22" s="36" t="e">
        <f>VLOOKUP(I22,Sheet1!A:D,4,FALSE)</f>
        <v>#N/A</v>
      </c>
    </row>
    <row r="23" spans="1:40" s="36" customFormat="1" ht="14.25" x14ac:dyDescent="0.2">
      <c r="A23" s="57"/>
      <c r="G23" s="58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AN23" s="36" t="e">
        <f>VLOOKUP(I23,Sheet1!A:D,4,FALSE)</f>
        <v>#N/A</v>
      </c>
    </row>
    <row r="24" spans="1:40" s="36" customFormat="1" ht="14.25" x14ac:dyDescent="0.2">
      <c r="A24" s="57"/>
      <c r="G24" s="58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AN24" s="36" t="e">
        <f>VLOOKUP(I24,Sheet1!A:D,4,FALSE)</f>
        <v>#N/A</v>
      </c>
    </row>
    <row r="25" spans="1:40" s="36" customFormat="1" ht="14.25" x14ac:dyDescent="0.2">
      <c r="A25" s="57"/>
      <c r="G25" s="58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AN25" s="36" t="e">
        <f>VLOOKUP(I25,Sheet1!A:D,4,FALSE)</f>
        <v>#N/A</v>
      </c>
    </row>
    <row r="26" spans="1:40" s="36" customFormat="1" ht="14.25" x14ac:dyDescent="0.2">
      <c r="A26" s="57"/>
      <c r="G26" s="58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AN26" s="36" t="e">
        <f>VLOOKUP(I26,Sheet1!A:D,4,FALSE)</f>
        <v>#N/A</v>
      </c>
    </row>
    <row r="27" spans="1:40" s="36" customFormat="1" ht="14.25" x14ac:dyDescent="0.2">
      <c r="A27" s="57"/>
      <c r="G27" s="58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AN27" s="36" t="e">
        <f>VLOOKUP(I27,Sheet1!A:D,4,FALSE)</f>
        <v>#N/A</v>
      </c>
    </row>
    <row r="28" spans="1:40" s="36" customFormat="1" ht="14.25" x14ac:dyDescent="0.2">
      <c r="A28" s="57"/>
      <c r="G28" s="58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AN28" s="36" t="e">
        <f>VLOOKUP(I28,Sheet1!A:D,4,FALSE)</f>
        <v>#N/A</v>
      </c>
    </row>
    <row r="29" spans="1:40" s="36" customFormat="1" ht="14.25" x14ac:dyDescent="0.2">
      <c r="A29" s="57"/>
      <c r="G29" s="58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AN29" s="36" t="e">
        <f>VLOOKUP(I29,Sheet1!A:D,4,FALSE)</f>
        <v>#N/A</v>
      </c>
    </row>
    <row r="30" spans="1:40" s="36" customFormat="1" ht="14.25" x14ac:dyDescent="0.2">
      <c r="A30" s="57"/>
      <c r="G30" s="58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AN30" s="36" t="e">
        <f>VLOOKUP(I30,Sheet1!A:D,4,FALSE)</f>
        <v>#N/A</v>
      </c>
    </row>
    <row r="31" spans="1:40" s="36" customFormat="1" ht="14.25" x14ac:dyDescent="0.2">
      <c r="A31" s="57"/>
      <c r="G31" s="58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AN31" s="36" t="e">
        <f>VLOOKUP(I31,Sheet1!A:D,4,FALSE)</f>
        <v>#N/A</v>
      </c>
    </row>
    <row r="32" spans="1:40" s="36" customFormat="1" ht="14.25" x14ac:dyDescent="0.2">
      <c r="A32" s="57"/>
      <c r="G32" s="58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AN32" s="36" t="e">
        <f>VLOOKUP(I32,Sheet1!A:D,4,FALSE)</f>
        <v>#N/A</v>
      </c>
    </row>
    <row r="33" spans="1:40" s="36" customFormat="1" ht="14.25" x14ac:dyDescent="0.2">
      <c r="A33" s="57"/>
      <c r="G33" s="58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AN33" s="36" t="e">
        <f>VLOOKUP(I33,Sheet1!A:D,4,FALSE)</f>
        <v>#N/A</v>
      </c>
    </row>
    <row r="34" spans="1:40" s="36" customFormat="1" ht="14.25" x14ac:dyDescent="0.2">
      <c r="A34" s="57"/>
      <c r="G34" s="58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AN34" s="36" t="e">
        <f>VLOOKUP(I34,Sheet1!A:D,4,FALSE)</f>
        <v>#N/A</v>
      </c>
    </row>
    <row r="35" spans="1:40" s="36" customFormat="1" ht="14.25" x14ac:dyDescent="0.2">
      <c r="A35" s="57"/>
      <c r="G35" s="58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AN35" s="36" t="e">
        <f>VLOOKUP(I35,Sheet1!A:D,4,FALSE)</f>
        <v>#N/A</v>
      </c>
    </row>
    <row r="36" spans="1:40" s="36" customFormat="1" ht="14.25" x14ac:dyDescent="0.2">
      <c r="A36" s="57"/>
      <c r="G36" s="58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AN36" s="36" t="e">
        <f>VLOOKUP(I36,Sheet1!A:D,4,FALSE)</f>
        <v>#N/A</v>
      </c>
    </row>
    <row r="37" spans="1:40" s="36" customFormat="1" ht="14.25" x14ac:dyDescent="0.2">
      <c r="A37" s="57"/>
      <c r="G37" s="58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AN37" s="36" t="e">
        <f>VLOOKUP(I37,Sheet1!A:D,4,FALSE)</f>
        <v>#N/A</v>
      </c>
    </row>
    <row r="38" spans="1:40" s="36" customFormat="1" ht="14.25" x14ac:dyDescent="0.2">
      <c r="A38" s="57"/>
      <c r="G38" s="58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AN38" s="36" t="e">
        <f>VLOOKUP(I38,Sheet1!A:D,4,FALSE)</f>
        <v>#N/A</v>
      </c>
    </row>
    <row r="39" spans="1:40" s="36" customFormat="1" ht="14.25" x14ac:dyDescent="0.2">
      <c r="A39" s="57"/>
      <c r="G39" s="58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AN39" s="36" t="e">
        <f>VLOOKUP(I39,Sheet1!A:D,4,FALSE)</f>
        <v>#N/A</v>
      </c>
    </row>
    <row r="40" spans="1:40" s="36" customFormat="1" ht="14.25" x14ac:dyDescent="0.2">
      <c r="A40" s="57"/>
      <c r="G40" s="5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AN40" s="36" t="e">
        <f>VLOOKUP(I40,Sheet1!A:D,4,FALSE)</f>
        <v>#N/A</v>
      </c>
    </row>
    <row r="41" spans="1:40" s="36" customFormat="1" ht="14.25" x14ac:dyDescent="0.2">
      <c r="A41" s="57"/>
      <c r="G41" s="5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AN41" s="36" t="e">
        <f>VLOOKUP(I41,Sheet1!A:D,4,FALSE)</f>
        <v>#N/A</v>
      </c>
    </row>
    <row r="42" spans="1:40" s="36" customFormat="1" ht="14.25" x14ac:dyDescent="0.2">
      <c r="A42" s="57"/>
      <c r="G42" s="5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AN42" s="36" t="e">
        <f>VLOOKUP(I42,Sheet1!A:D,4,FALSE)</f>
        <v>#N/A</v>
      </c>
    </row>
    <row r="43" spans="1:40" s="36" customFormat="1" ht="14.25" x14ac:dyDescent="0.2">
      <c r="A43" s="57"/>
      <c r="G43" s="5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AN43" s="36" t="e">
        <f>VLOOKUP(I43,Sheet1!A:D,4,FALSE)</f>
        <v>#N/A</v>
      </c>
    </row>
    <row r="44" spans="1:40" s="36" customFormat="1" ht="14.25" x14ac:dyDescent="0.2">
      <c r="A44" s="57"/>
      <c r="G44" s="5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AN44" s="36" t="e">
        <f>VLOOKUP(I44,Sheet1!A:D,4,FALSE)</f>
        <v>#N/A</v>
      </c>
    </row>
    <row r="45" spans="1:40" s="36" customFormat="1" ht="14.25" x14ac:dyDescent="0.2">
      <c r="A45" s="57"/>
      <c r="G45" s="5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AN45" s="36" t="e">
        <f>VLOOKUP(I45,Sheet1!A:D,4,FALSE)</f>
        <v>#N/A</v>
      </c>
    </row>
    <row r="46" spans="1:40" s="36" customFormat="1" ht="14.25" x14ac:dyDescent="0.2">
      <c r="A46" s="57"/>
      <c r="G46" s="5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AN46" s="36" t="e">
        <f>VLOOKUP(I46,Sheet1!A:D,4,FALSE)</f>
        <v>#N/A</v>
      </c>
    </row>
    <row r="47" spans="1:40" s="36" customFormat="1" ht="14.25" x14ac:dyDescent="0.2">
      <c r="A47" s="57"/>
      <c r="G47" s="5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AN47" s="36" t="e">
        <f>VLOOKUP(I47,Sheet1!A:D,4,FALSE)</f>
        <v>#N/A</v>
      </c>
    </row>
    <row r="48" spans="1:40" s="36" customFormat="1" ht="14.25" x14ac:dyDescent="0.2">
      <c r="A48" s="57"/>
      <c r="G48" s="5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AN48" s="36" t="e">
        <f>VLOOKUP(I48,Sheet1!A:D,4,FALSE)</f>
        <v>#N/A</v>
      </c>
    </row>
    <row r="49" spans="1:40" s="36" customFormat="1" ht="14.25" x14ac:dyDescent="0.2">
      <c r="A49" s="57"/>
      <c r="G49" s="5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AN49" s="36" t="e">
        <f>VLOOKUP(I49,Sheet1!A:D,4,FALSE)</f>
        <v>#N/A</v>
      </c>
    </row>
    <row r="50" spans="1:40" s="36" customFormat="1" ht="14.25" x14ac:dyDescent="0.2">
      <c r="A50" s="57"/>
      <c r="G50" s="5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AN50" s="36" t="e">
        <f>VLOOKUP(I50,Sheet1!A:D,4,FALSE)</f>
        <v>#N/A</v>
      </c>
    </row>
    <row r="51" spans="1:40" s="36" customFormat="1" ht="14.25" x14ac:dyDescent="0.2">
      <c r="A51" s="57"/>
      <c r="G51" s="5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AN51" s="36" t="e">
        <f>VLOOKUP(I51,Sheet1!A:D,4,FALSE)</f>
        <v>#N/A</v>
      </c>
    </row>
    <row r="52" spans="1:40" s="36" customFormat="1" ht="14.25" x14ac:dyDescent="0.2">
      <c r="A52" s="57"/>
      <c r="G52" s="5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AN52" s="36" t="e">
        <f>VLOOKUP(I52,Sheet1!A:D,4,FALSE)</f>
        <v>#N/A</v>
      </c>
    </row>
    <row r="53" spans="1:40" s="36" customFormat="1" ht="14.25" x14ac:dyDescent="0.2">
      <c r="A53" s="57"/>
      <c r="G53" s="5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AN53" s="36" t="e">
        <f>VLOOKUP(I53,Sheet1!A:D,4,FALSE)</f>
        <v>#N/A</v>
      </c>
    </row>
    <row r="54" spans="1:40" s="36" customFormat="1" ht="14.25" x14ac:dyDescent="0.2">
      <c r="A54" s="57"/>
      <c r="G54" s="5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AN54" s="36" t="e">
        <f>VLOOKUP(I54,Sheet1!A:D,4,FALSE)</f>
        <v>#N/A</v>
      </c>
    </row>
    <row r="55" spans="1:40" s="36" customFormat="1" ht="14.25" x14ac:dyDescent="0.2">
      <c r="A55" s="57"/>
      <c r="G55" s="5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AN55" s="36" t="e">
        <f>VLOOKUP(I55,Sheet1!A:D,4,FALSE)</f>
        <v>#N/A</v>
      </c>
    </row>
    <row r="56" spans="1:40" s="36" customFormat="1" ht="14.25" x14ac:dyDescent="0.2">
      <c r="A56" s="57"/>
      <c r="G56" s="5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AN56" s="36" t="e">
        <f>VLOOKUP(I56,Sheet1!A:D,4,FALSE)</f>
        <v>#N/A</v>
      </c>
    </row>
    <row r="57" spans="1:40" s="36" customFormat="1" ht="14.25" x14ac:dyDescent="0.2">
      <c r="A57" s="57"/>
      <c r="G57" s="5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AN57" s="36" t="e">
        <f>VLOOKUP(I57,Sheet1!A:D,4,FALSE)</f>
        <v>#N/A</v>
      </c>
    </row>
    <row r="58" spans="1:40" s="36" customFormat="1" ht="14.25" x14ac:dyDescent="0.2">
      <c r="A58" s="57"/>
      <c r="G58" s="5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AN58" s="36" t="e">
        <f>VLOOKUP(I58,Sheet1!A:D,4,FALSE)</f>
        <v>#N/A</v>
      </c>
    </row>
    <row r="59" spans="1:40" s="36" customFormat="1" ht="14.25" x14ac:dyDescent="0.2">
      <c r="A59" s="57"/>
      <c r="G59" s="58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AN59" s="36" t="e">
        <f>VLOOKUP(I59,Sheet1!A:D,4,FALSE)</f>
        <v>#N/A</v>
      </c>
    </row>
    <row r="60" spans="1:40" s="36" customFormat="1" ht="14.25" x14ac:dyDescent="0.2">
      <c r="A60" s="57"/>
      <c r="G60" s="58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AN60" s="36" t="e">
        <f>VLOOKUP(I60,Sheet1!A:D,4,FALSE)</f>
        <v>#N/A</v>
      </c>
    </row>
    <row r="61" spans="1:40" s="36" customFormat="1" ht="14.25" x14ac:dyDescent="0.2">
      <c r="A61" s="57"/>
      <c r="G61" s="58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AN61" s="36" t="e">
        <f>VLOOKUP(I61,Sheet1!A:D,4,FALSE)</f>
        <v>#N/A</v>
      </c>
    </row>
    <row r="62" spans="1:40" s="36" customFormat="1" ht="14.25" x14ac:dyDescent="0.2">
      <c r="A62" s="57"/>
      <c r="G62" s="58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AN62" s="36" t="e">
        <f>VLOOKUP(I62,Sheet1!A:D,4,FALSE)</f>
        <v>#N/A</v>
      </c>
    </row>
    <row r="63" spans="1:40" s="36" customFormat="1" ht="14.25" x14ac:dyDescent="0.2">
      <c r="A63" s="57"/>
      <c r="G63" s="58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AN63" s="36" t="e">
        <f>VLOOKUP(I63,Sheet1!A:D,4,FALSE)</f>
        <v>#N/A</v>
      </c>
    </row>
    <row r="64" spans="1:40" s="36" customFormat="1" ht="14.25" x14ac:dyDescent="0.2">
      <c r="A64" s="57"/>
      <c r="G64" s="58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AN64" s="36" t="e">
        <f>VLOOKUP(I64,Sheet1!A:D,4,FALSE)</f>
        <v>#N/A</v>
      </c>
    </row>
    <row r="65" spans="1:40" s="36" customFormat="1" ht="14.25" x14ac:dyDescent="0.2">
      <c r="A65" s="57"/>
      <c r="G65" s="58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AN65" s="36" t="e">
        <f>VLOOKUP(I65,Sheet1!A:D,4,FALSE)</f>
        <v>#N/A</v>
      </c>
    </row>
    <row r="66" spans="1:40" s="36" customFormat="1" ht="14.25" x14ac:dyDescent="0.2">
      <c r="A66" s="57"/>
      <c r="G66" s="58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AN66" s="36" t="e">
        <f>VLOOKUP(I66,Sheet1!A:D,4,FALSE)</f>
        <v>#N/A</v>
      </c>
    </row>
    <row r="67" spans="1:40" s="36" customFormat="1" ht="14.25" x14ac:dyDescent="0.2">
      <c r="A67" s="57"/>
      <c r="G67" s="58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AN67" s="36" t="e">
        <f>VLOOKUP(I67,Sheet1!A:D,4,FALSE)</f>
        <v>#N/A</v>
      </c>
    </row>
    <row r="68" spans="1:40" s="36" customFormat="1" ht="14.25" x14ac:dyDescent="0.2">
      <c r="A68" s="57"/>
      <c r="G68" s="58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AN68" s="36" t="e">
        <f>VLOOKUP(I68,Sheet1!A:D,4,FALSE)</f>
        <v>#N/A</v>
      </c>
    </row>
    <row r="69" spans="1:40" s="36" customFormat="1" ht="14.25" x14ac:dyDescent="0.2">
      <c r="A69" s="57"/>
      <c r="G69" s="58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AN69" s="36" t="e">
        <f>VLOOKUP(I69,Sheet1!A:D,4,FALSE)</f>
        <v>#N/A</v>
      </c>
    </row>
    <row r="70" spans="1:40" s="36" customFormat="1" ht="14.25" x14ac:dyDescent="0.2">
      <c r="A70" s="57"/>
      <c r="G70" s="58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AN70" s="36" t="e">
        <f>VLOOKUP(I70,Sheet1!A:D,4,FALSE)</f>
        <v>#N/A</v>
      </c>
    </row>
    <row r="71" spans="1:40" s="36" customFormat="1" ht="14.25" x14ac:dyDescent="0.2">
      <c r="A71" s="57"/>
      <c r="G71" s="58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AN71" s="36" t="e">
        <f>VLOOKUP(I71,Sheet1!A:D,4,FALSE)</f>
        <v>#N/A</v>
      </c>
    </row>
    <row r="72" spans="1:40" s="36" customFormat="1" ht="14.25" x14ac:dyDescent="0.2">
      <c r="A72" s="57"/>
      <c r="G72" s="58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AN72" s="36" t="e">
        <f>VLOOKUP(I72,Sheet1!A:D,4,FALSE)</f>
        <v>#N/A</v>
      </c>
    </row>
    <row r="73" spans="1:40" s="36" customFormat="1" ht="14.25" x14ac:dyDescent="0.2">
      <c r="A73" s="57"/>
      <c r="G73" s="58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AN73" s="36" t="e">
        <f>VLOOKUP(I73,Sheet1!A:D,4,FALSE)</f>
        <v>#N/A</v>
      </c>
    </row>
    <row r="74" spans="1:40" s="36" customFormat="1" ht="14.25" x14ac:dyDescent="0.2">
      <c r="A74" s="57"/>
      <c r="G74" s="58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AN74" s="36" t="e">
        <f>VLOOKUP(I74,Sheet1!A:D,4,FALSE)</f>
        <v>#N/A</v>
      </c>
    </row>
    <row r="75" spans="1:40" s="36" customFormat="1" ht="14.25" x14ac:dyDescent="0.2">
      <c r="A75" s="57"/>
      <c r="G75" s="58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AN75" s="36" t="e">
        <f>VLOOKUP(I75,Sheet1!A:D,4,FALSE)</f>
        <v>#N/A</v>
      </c>
    </row>
    <row r="76" spans="1:40" s="36" customFormat="1" ht="14.25" x14ac:dyDescent="0.2">
      <c r="A76" s="57"/>
      <c r="G76" s="58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AN76" s="36" t="e">
        <f>VLOOKUP(I76,Sheet1!A:D,4,FALSE)</f>
        <v>#N/A</v>
      </c>
    </row>
    <row r="77" spans="1:40" s="36" customFormat="1" ht="14.25" x14ac:dyDescent="0.2">
      <c r="A77" s="57"/>
      <c r="G77" s="58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AN77" s="36" t="e">
        <f>VLOOKUP(I77,Sheet1!A:D,4,FALSE)</f>
        <v>#N/A</v>
      </c>
    </row>
    <row r="78" spans="1:40" s="36" customFormat="1" ht="14.25" x14ac:dyDescent="0.2">
      <c r="A78" s="57"/>
      <c r="G78" s="58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AN78" s="36" t="e">
        <f>VLOOKUP(I78,Sheet1!A:D,4,FALSE)</f>
        <v>#N/A</v>
      </c>
    </row>
    <row r="79" spans="1:40" s="36" customFormat="1" ht="14.25" x14ac:dyDescent="0.2">
      <c r="A79" s="57"/>
      <c r="G79" s="58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AN79" s="36" t="e">
        <f>VLOOKUP(I79,Sheet1!A:D,4,FALSE)</f>
        <v>#N/A</v>
      </c>
    </row>
    <row r="80" spans="1:40" s="36" customFormat="1" ht="14.25" x14ac:dyDescent="0.2">
      <c r="A80" s="57"/>
      <c r="G80" s="58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AN80" s="36" t="e">
        <f>VLOOKUP(I80,Sheet1!A:D,4,FALSE)</f>
        <v>#N/A</v>
      </c>
    </row>
    <row r="81" spans="1:40" s="36" customFormat="1" ht="14.25" x14ac:dyDescent="0.2">
      <c r="A81" s="57"/>
      <c r="G81" s="58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AN81" s="36" t="e">
        <f>VLOOKUP(I81,Sheet1!A:D,4,FALSE)</f>
        <v>#N/A</v>
      </c>
    </row>
    <row r="82" spans="1:40" s="36" customFormat="1" ht="14.25" x14ac:dyDescent="0.2">
      <c r="A82" s="57"/>
      <c r="G82" s="58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AN82" s="36" t="e">
        <f>VLOOKUP(I82,Sheet1!A:D,4,FALSE)</f>
        <v>#N/A</v>
      </c>
    </row>
    <row r="83" spans="1:40" s="36" customFormat="1" ht="14.25" x14ac:dyDescent="0.2">
      <c r="A83" s="57"/>
      <c r="G83" s="58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AN83" s="36" t="e">
        <f>VLOOKUP(I83,Sheet1!A:D,4,FALSE)</f>
        <v>#N/A</v>
      </c>
    </row>
    <row r="84" spans="1:40" s="36" customFormat="1" ht="14.25" x14ac:dyDescent="0.2">
      <c r="A84" s="57"/>
      <c r="G84" s="58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AN84" s="36" t="e">
        <f>VLOOKUP(I84,Sheet1!A:D,4,FALSE)</f>
        <v>#N/A</v>
      </c>
    </row>
    <row r="85" spans="1:40" s="36" customFormat="1" ht="14.25" x14ac:dyDescent="0.2">
      <c r="A85" s="57"/>
      <c r="G85" s="58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AN85" s="36" t="e">
        <f>VLOOKUP(I85,Sheet1!A:D,4,FALSE)</f>
        <v>#N/A</v>
      </c>
    </row>
    <row r="86" spans="1:40" s="36" customFormat="1" ht="14.25" x14ac:dyDescent="0.2">
      <c r="A86" s="57"/>
      <c r="G86" s="58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AN86" s="36" t="e">
        <f>VLOOKUP(I86,Sheet1!A:D,4,FALSE)</f>
        <v>#N/A</v>
      </c>
    </row>
    <row r="87" spans="1:40" s="36" customFormat="1" ht="14.25" x14ac:dyDescent="0.2">
      <c r="A87" s="57"/>
      <c r="G87" s="58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AN87" s="36" t="e">
        <f>VLOOKUP(I87,Sheet1!A:D,4,FALSE)</f>
        <v>#N/A</v>
      </c>
    </row>
    <row r="88" spans="1:40" s="36" customFormat="1" ht="14.25" x14ac:dyDescent="0.2">
      <c r="A88" s="57"/>
      <c r="G88" s="58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AN88" s="36" t="e">
        <f>VLOOKUP(I88,Sheet1!A:D,4,FALSE)</f>
        <v>#N/A</v>
      </c>
    </row>
    <row r="89" spans="1:40" s="36" customFormat="1" ht="14.25" x14ac:dyDescent="0.2">
      <c r="A89" s="57"/>
      <c r="G89" s="58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AN89" s="36" t="e">
        <f>VLOOKUP(I89,Sheet1!A:D,4,FALSE)</f>
        <v>#N/A</v>
      </c>
    </row>
    <row r="90" spans="1:40" s="36" customFormat="1" ht="14.25" x14ac:dyDescent="0.2">
      <c r="A90" s="57"/>
      <c r="G90" s="58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AN90" s="36" t="e">
        <f>VLOOKUP(I90,Sheet1!A:D,4,FALSE)</f>
        <v>#N/A</v>
      </c>
    </row>
    <row r="91" spans="1:40" s="36" customFormat="1" ht="14.25" x14ac:dyDescent="0.2">
      <c r="A91" s="57"/>
      <c r="G91" s="58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AN91" s="36" t="e">
        <f>VLOOKUP(I91,Sheet1!A:D,4,FALSE)</f>
        <v>#N/A</v>
      </c>
    </row>
    <row r="92" spans="1:40" s="36" customFormat="1" ht="14.25" x14ac:dyDescent="0.2">
      <c r="A92" s="57"/>
      <c r="G92" s="58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AN92" s="36" t="e">
        <f>VLOOKUP(I92,Sheet1!A:D,4,FALSE)</f>
        <v>#N/A</v>
      </c>
    </row>
    <row r="93" spans="1:40" s="36" customFormat="1" ht="14.25" x14ac:dyDescent="0.2">
      <c r="A93" s="57"/>
      <c r="G93" s="58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AN93" s="36" t="e">
        <f>VLOOKUP(I93,Sheet1!A:D,4,FALSE)</f>
        <v>#N/A</v>
      </c>
    </row>
    <row r="94" spans="1:40" s="36" customFormat="1" ht="14.25" x14ac:dyDescent="0.2">
      <c r="A94" s="57"/>
      <c r="G94" s="58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AN94" s="36" t="e">
        <f>VLOOKUP(I94,Sheet1!A:D,4,FALSE)</f>
        <v>#N/A</v>
      </c>
    </row>
    <row r="95" spans="1:40" s="36" customFormat="1" ht="14.25" x14ac:dyDescent="0.2">
      <c r="A95" s="57"/>
      <c r="G95" s="58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AN95" s="36" t="e">
        <f>VLOOKUP(I95,Sheet1!A:D,4,FALSE)</f>
        <v>#N/A</v>
      </c>
    </row>
    <row r="96" spans="1:40" s="36" customFormat="1" ht="14.25" x14ac:dyDescent="0.2">
      <c r="A96" s="57"/>
      <c r="G96" s="58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AN96" s="36" t="e">
        <f>VLOOKUP(I96,Sheet1!A:D,4,FALSE)</f>
        <v>#N/A</v>
      </c>
    </row>
    <row r="97" spans="1:40" s="36" customFormat="1" ht="14.25" x14ac:dyDescent="0.2">
      <c r="A97" s="57"/>
      <c r="G97" s="58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AN97" s="36" t="e">
        <f>VLOOKUP(I97,Sheet1!A:D,4,FALSE)</f>
        <v>#N/A</v>
      </c>
    </row>
    <row r="98" spans="1:40" s="36" customFormat="1" ht="14.25" x14ac:dyDescent="0.2">
      <c r="A98" s="57"/>
      <c r="G98" s="58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AN98" s="36" t="e">
        <f>VLOOKUP(I98,Sheet1!A:D,4,FALSE)</f>
        <v>#N/A</v>
      </c>
    </row>
    <row r="99" spans="1:40" s="36" customFormat="1" ht="14.25" x14ac:dyDescent="0.2">
      <c r="A99" s="57"/>
      <c r="G99" s="58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AN99" s="36" t="e">
        <f>VLOOKUP(I99,Sheet1!A:D,4,FALSE)</f>
        <v>#N/A</v>
      </c>
    </row>
    <row r="100" spans="1:40" s="36" customFormat="1" ht="14.25" x14ac:dyDescent="0.2">
      <c r="A100" s="57"/>
      <c r="G100" s="58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AN100" s="36" t="e">
        <f>VLOOKUP(I100,Sheet1!A:D,4,FALSE)</f>
        <v>#N/A</v>
      </c>
    </row>
    <row r="101" spans="1:40" s="36" customFormat="1" ht="14.25" x14ac:dyDescent="0.2">
      <c r="A101" s="57"/>
      <c r="G101" s="58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AN101" s="36" t="e">
        <f>VLOOKUP(I101,Sheet1!A:D,4,FALSE)</f>
        <v>#N/A</v>
      </c>
    </row>
    <row r="102" spans="1:40" s="36" customFormat="1" ht="14.25" x14ac:dyDescent="0.2">
      <c r="A102" s="57"/>
      <c r="G102" s="58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AN102" s="36" t="e">
        <f>VLOOKUP(I102,Sheet1!A:D,4,FALSE)</f>
        <v>#N/A</v>
      </c>
    </row>
    <row r="103" spans="1:40" s="36" customFormat="1" ht="14.25" x14ac:dyDescent="0.2">
      <c r="A103" s="57"/>
      <c r="G103" s="58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AN103" s="36" t="e">
        <f>VLOOKUP(I103,Sheet1!A:D,4,FALSE)</f>
        <v>#N/A</v>
      </c>
    </row>
    <row r="104" spans="1:40" s="36" customFormat="1" ht="14.25" x14ac:dyDescent="0.2">
      <c r="A104" s="57"/>
      <c r="G104" s="58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AN104" s="36" t="e">
        <f>VLOOKUP(I104,Sheet1!A:D,4,FALSE)</f>
        <v>#N/A</v>
      </c>
    </row>
    <row r="105" spans="1:40" s="36" customFormat="1" ht="14.25" x14ac:dyDescent="0.2">
      <c r="A105" s="57"/>
      <c r="G105" s="58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AN105" s="36" t="e">
        <f>VLOOKUP(I105,Sheet1!A:D,4,FALSE)</f>
        <v>#N/A</v>
      </c>
    </row>
    <row r="106" spans="1:40" s="36" customFormat="1" ht="14.25" x14ac:dyDescent="0.2">
      <c r="A106" s="57"/>
      <c r="G106" s="58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AN106" s="36" t="e">
        <f>VLOOKUP(I106,Sheet1!A:D,4,FALSE)</f>
        <v>#N/A</v>
      </c>
    </row>
    <row r="107" spans="1:40" s="36" customFormat="1" ht="14.25" x14ac:dyDescent="0.2">
      <c r="A107" s="57"/>
      <c r="G107" s="58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AN107" s="36" t="e">
        <f>VLOOKUP(I107,Sheet1!A:D,4,FALSE)</f>
        <v>#N/A</v>
      </c>
    </row>
    <row r="108" spans="1:40" s="36" customFormat="1" ht="14.25" x14ac:dyDescent="0.2">
      <c r="A108" s="57"/>
      <c r="G108" s="58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AN108" s="36" t="e">
        <f>VLOOKUP(I108,Sheet1!A:D,4,FALSE)</f>
        <v>#N/A</v>
      </c>
    </row>
    <row r="109" spans="1:40" s="36" customFormat="1" ht="14.25" x14ac:dyDescent="0.2">
      <c r="A109" s="57"/>
      <c r="G109" s="58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AN109" s="36" t="e">
        <f>VLOOKUP(I109,Sheet1!A:D,4,FALSE)</f>
        <v>#N/A</v>
      </c>
    </row>
    <row r="110" spans="1:40" s="36" customFormat="1" ht="14.25" x14ac:dyDescent="0.2">
      <c r="A110" s="57"/>
      <c r="G110" s="58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AN110" s="36" t="e">
        <f>VLOOKUP(I110,Sheet1!A:D,4,FALSE)</f>
        <v>#N/A</v>
      </c>
    </row>
    <row r="111" spans="1:40" s="36" customFormat="1" ht="14.25" x14ac:dyDescent="0.2">
      <c r="A111" s="57"/>
      <c r="G111" s="58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AN111" s="36" t="e">
        <f>VLOOKUP(I111,Sheet1!A:D,4,FALSE)</f>
        <v>#N/A</v>
      </c>
    </row>
    <row r="112" spans="1:40" s="36" customFormat="1" ht="14.25" x14ac:dyDescent="0.2">
      <c r="A112" s="57"/>
      <c r="G112" s="58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AN112" s="36" t="e">
        <f>VLOOKUP(I112,Sheet1!A:D,4,FALSE)</f>
        <v>#N/A</v>
      </c>
    </row>
    <row r="113" spans="1:40" s="36" customFormat="1" ht="14.25" x14ac:dyDescent="0.2">
      <c r="A113" s="57"/>
      <c r="G113" s="58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AN113" s="36" t="e">
        <f>VLOOKUP(I113,Sheet1!A:D,4,FALSE)</f>
        <v>#N/A</v>
      </c>
    </row>
    <row r="114" spans="1:40" s="36" customFormat="1" ht="14.25" x14ac:dyDescent="0.2">
      <c r="A114" s="57"/>
      <c r="G114" s="58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AN114" s="36" t="e">
        <f>VLOOKUP(I114,Sheet1!A:D,4,FALSE)</f>
        <v>#N/A</v>
      </c>
    </row>
    <row r="115" spans="1:40" s="36" customFormat="1" ht="14.25" x14ac:dyDescent="0.2">
      <c r="A115" s="57"/>
      <c r="G115" s="58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AN115" s="36" t="e">
        <f>VLOOKUP(I115,Sheet1!A:D,4,FALSE)</f>
        <v>#N/A</v>
      </c>
    </row>
    <row r="116" spans="1:40" s="36" customFormat="1" ht="14.25" x14ac:dyDescent="0.2">
      <c r="A116" s="57"/>
      <c r="G116" s="58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AN116" s="36" t="e">
        <f>VLOOKUP(I116,Sheet1!A:D,4,FALSE)</f>
        <v>#N/A</v>
      </c>
    </row>
    <row r="117" spans="1:40" s="36" customFormat="1" ht="14.25" x14ac:dyDescent="0.2">
      <c r="A117" s="57"/>
      <c r="G117" s="58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AN117" s="36" t="e">
        <f>VLOOKUP(I117,Sheet1!A:D,4,FALSE)</f>
        <v>#N/A</v>
      </c>
    </row>
    <row r="118" spans="1:40" s="36" customFormat="1" ht="14.25" x14ac:dyDescent="0.2">
      <c r="A118" s="57"/>
      <c r="G118" s="58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AN118" s="36" t="e">
        <f>VLOOKUP(I118,Sheet1!A:D,4,FALSE)</f>
        <v>#N/A</v>
      </c>
    </row>
    <row r="119" spans="1:40" s="36" customFormat="1" ht="14.25" x14ac:dyDescent="0.2">
      <c r="A119" s="57"/>
      <c r="G119" s="58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AN119" s="36" t="e">
        <f>VLOOKUP(I119,Sheet1!A:D,4,FALSE)</f>
        <v>#N/A</v>
      </c>
    </row>
    <row r="120" spans="1:40" s="36" customFormat="1" ht="14.25" x14ac:dyDescent="0.2">
      <c r="A120" s="57"/>
      <c r="G120" s="58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AN120" s="36" t="e">
        <f>VLOOKUP(I120,Sheet1!A:D,4,FALSE)</f>
        <v>#N/A</v>
      </c>
    </row>
    <row r="121" spans="1:40" s="36" customFormat="1" ht="14.25" x14ac:dyDescent="0.2">
      <c r="A121" s="57"/>
      <c r="G121" s="58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AN121" s="36" t="e">
        <f>VLOOKUP(I121,Sheet1!A:D,4,FALSE)</f>
        <v>#N/A</v>
      </c>
    </row>
    <row r="122" spans="1:40" s="62" customFormat="1" ht="14.25" x14ac:dyDescent="0.2">
      <c r="A122" s="61"/>
      <c r="G122" s="63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AN122" s="36" t="e">
        <f>VLOOKUP(I122,Sheet1!A:D,4,FALSE)</f>
        <v>#N/A</v>
      </c>
    </row>
    <row r="123" spans="1:40" s="62" customFormat="1" ht="14.25" x14ac:dyDescent="0.2">
      <c r="A123" s="61"/>
      <c r="G123" s="63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AN123" s="36" t="e">
        <f>VLOOKUP(I123,Sheet1!A:D,4,FALSE)</f>
        <v>#N/A</v>
      </c>
    </row>
    <row r="124" spans="1:40" s="62" customFormat="1" ht="14.25" x14ac:dyDescent="0.2">
      <c r="A124" s="61"/>
      <c r="G124" s="63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AN124" s="36" t="e">
        <f>VLOOKUP(I124,Sheet1!A:D,4,FALSE)</f>
        <v>#N/A</v>
      </c>
    </row>
    <row r="125" spans="1:40" s="62" customFormat="1" ht="14.25" x14ac:dyDescent="0.2">
      <c r="A125" s="61"/>
      <c r="G125" s="63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AN125" s="36" t="e">
        <f>VLOOKUP(I125,Sheet1!A:D,4,FALSE)</f>
        <v>#N/A</v>
      </c>
    </row>
    <row r="126" spans="1:40" s="62" customFormat="1" ht="14.25" x14ac:dyDescent="0.2">
      <c r="A126" s="61"/>
      <c r="G126" s="63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AN126" s="36" t="e">
        <f>VLOOKUP(I126,Sheet1!A:D,4,FALSE)</f>
        <v>#N/A</v>
      </c>
    </row>
    <row r="127" spans="1:40" s="62" customFormat="1" ht="14.25" x14ac:dyDescent="0.2">
      <c r="A127" s="61"/>
      <c r="G127" s="63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AN127" s="36" t="e">
        <f>VLOOKUP(I127,Sheet1!A:D,4,FALSE)</f>
        <v>#N/A</v>
      </c>
    </row>
    <row r="128" spans="1:40" s="62" customFormat="1" ht="14.25" x14ac:dyDescent="0.2">
      <c r="A128" s="61"/>
      <c r="G128" s="63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AN128" s="36" t="e">
        <f>VLOOKUP(I128,Sheet1!A:D,4,FALSE)</f>
        <v>#N/A</v>
      </c>
    </row>
    <row r="129" spans="1:40" s="62" customFormat="1" ht="14.25" x14ac:dyDescent="0.2">
      <c r="A129" s="61"/>
      <c r="G129" s="63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AN129" s="36" t="e">
        <f>VLOOKUP(I129,Sheet1!A:D,4,FALSE)</f>
        <v>#N/A</v>
      </c>
    </row>
    <row r="130" spans="1:40" s="62" customFormat="1" ht="14.25" x14ac:dyDescent="0.2">
      <c r="A130" s="61"/>
      <c r="G130" s="63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AN130" s="36" t="e">
        <f>VLOOKUP(I130,Sheet1!A:D,4,FALSE)</f>
        <v>#N/A</v>
      </c>
    </row>
    <row r="131" spans="1:40" s="62" customFormat="1" ht="14.25" x14ac:dyDescent="0.2">
      <c r="A131" s="61"/>
      <c r="G131" s="63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AN131" s="36" t="e">
        <f>VLOOKUP(I131,Sheet1!A:D,4,FALSE)</f>
        <v>#N/A</v>
      </c>
    </row>
    <row r="132" spans="1:40" s="62" customFormat="1" ht="14.25" x14ac:dyDescent="0.2">
      <c r="A132" s="61"/>
      <c r="G132" s="63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AN132" s="36" t="e">
        <f>VLOOKUP(I132,Sheet1!A:D,4,FALSE)</f>
        <v>#N/A</v>
      </c>
    </row>
    <row r="133" spans="1:40" s="62" customFormat="1" ht="14.25" x14ac:dyDescent="0.2">
      <c r="A133" s="61"/>
      <c r="G133" s="63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AN133" s="36" t="e">
        <f>VLOOKUP(I133,Sheet1!A:D,4,FALSE)</f>
        <v>#N/A</v>
      </c>
    </row>
    <row r="134" spans="1:40" s="62" customFormat="1" ht="14.25" x14ac:dyDescent="0.2">
      <c r="A134" s="61"/>
      <c r="G134" s="63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AN134" s="36" t="e">
        <f>VLOOKUP(I134,Sheet1!A:D,4,FALSE)</f>
        <v>#N/A</v>
      </c>
    </row>
    <row r="135" spans="1:40" s="62" customFormat="1" ht="14.25" x14ac:dyDescent="0.2">
      <c r="A135" s="61"/>
      <c r="G135" s="63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AN135" s="36" t="e">
        <f>VLOOKUP(I135,Sheet1!A:D,4,FALSE)</f>
        <v>#N/A</v>
      </c>
    </row>
    <row r="136" spans="1:40" s="62" customFormat="1" ht="14.25" x14ac:dyDescent="0.2">
      <c r="A136" s="61"/>
      <c r="G136" s="63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AN136" s="36" t="e">
        <f>VLOOKUP(I136,Sheet1!A:D,4,FALSE)</f>
        <v>#N/A</v>
      </c>
    </row>
    <row r="137" spans="1:40" s="62" customFormat="1" ht="14.25" x14ac:dyDescent="0.2">
      <c r="A137" s="61"/>
      <c r="G137" s="63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AN137" s="36" t="e">
        <f>VLOOKUP(I137,Sheet1!A:D,4,FALSE)</f>
        <v>#N/A</v>
      </c>
    </row>
    <row r="138" spans="1:40" s="62" customFormat="1" ht="14.25" x14ac:dyDescent="0.2">
      <c r="A138" s="61"/>
      <c r="G138" s="63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AN138" s="36" t="e">
        <f>VLOOKUP(I138,Sheet1!A:D,4,FALSE)</f>
        <v>#N/A</v>
      </c>
    </row>
    <row r="139" spans="1:40" s="62" customFormat="1" ht="14.25" x14ac:dyDescent="0.2">
      <c r="A139" s="61"/>
      <c r="G139" s="63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AN139" s="36" t="e">
        <f>VLOOKUP(I139,Sheet1!A:D,4,FALSE)</f>
        <v>#N/A</v>
      </c>
    </row>
    <row r="140" spans="1:40" s="62" customFormat="1" ht="14.25" x14ac:dyDescent="0.2">
      <c r="A140" s="61"/>
      <c r="G140" s="63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</row>
    <row r="141" spans="1:40" s="62" customFormat="1" ht="14.25" x14ac:dyDescent="0.2">
      <c r="A141" s="61"/>
      <c r="G141" s="63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</row>
    <row r="142" spans="1:40" s="62" customFormat="1" ht="14.25" x14ac:dyDescent="0.2">
      <c r="A142" s="61"/>
      <c r="G142" s="63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</row>
    <row r="143" spans="1:40" s="62" customFormat="1" ht="14.25" x14ac:dyDescent="0.2">
      <c r="A143" s="61"/>
      <c r="G143" s="63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</row>
    <row r="144" spans="1:40" s="62" customFormat="1" ht="14.25" x14ac:dyDescent="0.2">
      <c r="A144" s="61"/>
      <c r="G144" s="63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</row>
    <row r="145" spans="1:24" s="62" customFormat="1" ht="14.25" x14ac:dyDescent="0.2">
      <c r="A145" s="61"/>
      <c r="G145" s="63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</row>
    <row r="146" spans="1:24" s="62" customFormat="1" ht="14.25" x14ac:dyDescent="0.2">
      <c r="A146" s="61"/>
      <c r="G146" s="63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</row>
    <row r="147" spans="1:24" s="62" customFormat="1" ht="14.25" x14ac:dyDescent="0.2">
      <c r="A147" s="61"/>
      <c r="G147" s="63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</row>
    <row r="148" spans="1:24" s="62" customFormat="1" ht="14.25" x14ac:dyDescent="0.2">
      <c r="A148" s="61"/>
      <c r="G148" s="63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</row>
    <row r="149" spans="1:24" s="62" customFormat="1" ht="14.25" x14ac:dyDescent="0.2">
      <c r="A149" s="61"/>
      <c r="G149" s="63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</row>
    <row r="150" spans="1:24" s="62" customFormat="1" ht="14.25" x14ac:dyDescent="0.2">
      <c r="A150" s="61"/>
      <c r="G150" s="63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</row>
    <row r="151" spans="1:24" s="62" customFormat="1" ht="14.25" x14ac:dyDescent="0.2">
      <c r="A151" s="61"/>
      <c r="G151" s="63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</row>
    <row r="152" spans="1:24" s="62" customFormat="1" ht="14.25" x14ac:dyDescent="0.2">
      <c r="A152" s="61"/>
      <c r="G152" s="63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</row>
    <row r="153" spans="1:24" s="62" customFormat="1" ht="14.25" x14ac:dyDescent="0.2">
      <c r="A153" s="61"/>
      <c r="G153" s="63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</row>
    <row r="154" spans="1:24" s="62" customFormat="1" ht="14.25" x14ac:dyDescent="0.2">
      <c r="A154" s="61"/>
      <c r="G154" s="63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</row>
    <row r="155" spans="1:24" s="62" customFormat="1" ht="14.25" x14ac:dyDescent="0.2">
      <c r="A155" s="61"/>
      <c r="G155" s="63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</row>
    <row r="156" spans="1:24" s="62" customFormat="1" ht="14.25" x14ac:dyDescent="0.2">
      <c r="A156" s="61"/>
      <c r="G156" s="63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</row>
    <row r="157" spans="1:24" s="62" customFormat="1" ht="14.25" x14ac:dyDescent="0.2">
      <c r="A157" s="61"/>
      <c r="G157" s="63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</row>
    <row r="158" spans="1:24" s="62" customFormat="1" ht="14.25" x14ac:dyDescent="0.2">
      <c r="A158" s="61"/>
      <c r="G158" s="63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</row>
    <row r="159" spans="1:24" s="62" customFormat="1" ht="14.25" x14ac:dyDescent="0.2">
      <c r="A159" s="61"/>
      <c r="G159" s="63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</row>
    <row r="160" spans="1:24" s="62" customFormat="1" ht="14.25" x14ac:dyDescent="0.2">
      <c r="A160" s="61"/>
      <c r="G160" s="63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</row>
    <row r="161" spans="1:24" s="62" customFormat="1" ht="14.25" x14ac:dyDescent="0.2">
      <c r="A161" s="61"/>
      <c r="G161" s="63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</row>
    <row r="162" spans="1:24" s="62" customFormat="1" ht="14.25" x14ac:dyDescent="0.2">
      <c r="A162" s="61"/>
      <c r="G162" s="63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</row>
    <row r="163" spans="1:24" s="62" customFormat="1" ht="14.25" x14ac:dyDescent="0.2">
      <c r="A163" s="61"/>
      <c r="G163" s="63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</row>
    <row r="164" spans="1:24" s="62" customFormat="1" ht="14.25" x14ac:dyDescent="0.2">
      <c r="A164" s="61"/>
      <c r="G164" s="63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</row>
    <row r="165" spans="1:24" s="62" customFormat="1" ht="14.25" x14ac:dyDescent="0.2">
      <c r="A165" s="61"/>
      <c r="G165" s="63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</row>
    <row r="166" spans="1:24" s="62" customFormat="1" ht="14.25" x14ac:dyDescent="0.2">
      <c r="A166" s="61"/>
      <c r="G166" s="63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</row>
    <row r="167" spans="1:24" s="62" customFormat="1" ht="14.25" x14ac:dyDescent="0.2">
      <c r="A167" s="61"/>
      <c r="G167" s="63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</row>
    <row r="168" spans="1:24" s="62" customFormat="1" ht="14.25" x14ac:dyDescent="0.2">
      <c r="A168" s="61"/>
      <c r="G168" s="63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</row>
    <row r="169" spans="1:24" s="62" customFormat="1" ht="14.25" x14ac:dyDescent="0.2">
      <c r="A169" s="61"/>
      <c r="G169" s="63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</row>
    <row r="170" spans="1:24" s="62" customFormat="1" ht="14.25" x14ac:dyDescent="0.2">
      <c r="A170" s="61"/>
      <c r="G170" s="63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</row>
    <row r="171" spans="1:24" s="62" customFormat="1" ht="14.25" x14ac:dyDescent="0.2">
      <c r="A171" s="61"/>
      <c r="G171" s="63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</row>
    <row r="172" spans="1:24" s="62" customFormat="1" ht="14.25" x14ac:dyDescent="0.2">
      <c r="A172" s="61"/>
      <c r="G172" s="63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</row>
    <row r="173" spans="1:24" s="62" customFormat="1" ht="14.25" x14ac:dyDescent="0.2">
      <c r="A173" s="61"/>
      <c r="G173" s="63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</row>
    <row r="174" spans="1:24" s="62" customFormat="1" ht="14.25" x14ac:dyDescent="0.2">
      <c r="A174" s="61"/>
      <c r="G174" s="63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</row>
    <row r="175" spans="1:24" s="62" customFormat="1" ht="14.25" x14ac:dyDescent="0.2">
      <c r="A175" s="61"/>
      <c r="G175" s="63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</row>
    <row r="176" spans="1:24" s="62" customFormat="1" ht="14.25" x14ac:dyDescent="0.2">
      <c r="A176" s="61"/>
      <c r="G176" s="63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</row>
    <row r="177" spans="1:24" s="62" customFormat="1" ht="14.25" x14ac:dyDescent="0.2">
      <c r="A177" s="61"/>
      <c r="G177" s="63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</row>
    <row r="178" spans="1:24" s="62" customFormat="1" ht="14.25" x14ac:dyDescent="0.2">
      <c r="A178" s="61"/>
      <c r="G178" s="63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</row>
    <row r="179" spans="1:24" s="62" customFormat="1" ht="14.25" x14ac:dyDescent="0.2">
      <c r="A179" s="61"/>
      <c r="G179" s="63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</row>
    <row r="180" spans="1:24" s="62" customFormat="1" ht="14.25" x14ac:dyDescent="0.2">
      <c r="A180" s="61"/>
      <c r="G180" s="63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</row>
    <row r="181" spans="1:24" s="62" customFormat="1" ht="14.25" x14ac:dyDescent="0.2">
      <c r="A181" s="61"/>
      <c r="G181" s="63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</row>
    <row r="182" spans="1:24" s="62" customFormat="1" ht="14.25" x14ac:dyDescent="0.2">
      <c r="A182" s="61"/>
      <c r="G182" s="63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</row>
    <row r="183" spans="1:24" s="62" customFormat="1" ht="14.25" x14ac:dyDescent="0.2">
      <c r="A183" s="61"/>
      <c r="G183" s="63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</row>
    <row r="184" spans="1:24" s="62" customFormat="1" ht="14.25" x14ac:dyDescent="0.2">
      <c r="A184" s="61"/>
      <c r="G184" s="63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</row>
    <row r="185" spans="1:24" s="62" customFormat="1" ht="14.25" x14ac:dyDescent="0.2">
      <c r="A185" s="61"/>
      <c r="G185" s="63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</row>
    <row r="186" spans="1:24" s="62" customFormat="1" ht="14.25" x14ac:dyDescent="0.2">
      <c r="A186" s="61"/>
      <c r="G186" s="63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</row>
    <row r="187" spans="1:24" s="62" customFormat="1" ht="14.25" x14ac:dyDescent="0.2">
      <c r="A187" s="61"/>
      <c r="G187" s="63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</row>
    <row r="188" spans="1:24" s="62" customFormat="1" ht="14.25" x14ac:dyDescent="0.2">
      <c r="A188" s="61"/>
      <c r="G188" s="63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</row>
    <row r="189" spans="1:24" s="62" customFormat="1" ht="14.25" x14ac:dyDescent="0.2">
      <c r="A189" s="61"/>
      <c r="G189" s="63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</row>
    <row r="190" spans="1:24" s="62" customFormat="1" ht="14.25" x14ac:dyDescent="0.2">
      <c r="A190" s="61"/>
      <c r="G190" s="63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</row>
    <row r="191" spans="1:24" s="62" customFormat="1" ht="14.25" x14ac:dyDescent="0.2">
      <c r="A191" s="61"/>
      <c r="G191" s="63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</row>
    <row r="192" spans="1:24" s="62" customFormat="1" ht="14.25" x14ac:dyDescent="0.2">
      <c r="A192" s="61"/>
      <c r="G192" s="63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</row>
    <row r="193" spans="1:24" s="62" customFormat="1" ht="14.25" x14ac:dyDescent="0.2">
      <c r="A193" s="61"/>
      <c r="G193" s="63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</row>
    <row r="194" spans="1:24" s="62" customFormat="1" ht="14.25" x14ac:dyDescent="0.2">
      <c r="A194" s="61"/>
      <c r="G194" s="63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</row>
    <row r="195" spans="1:24" s="62" customFormat="1" ht="14.25" x14ac:dyDescent="0.2">
      <c r="A195" s="61"/>
      <c r="G195" s="63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</row>
    <row r="196" spans="1:24" s="62" customFormat="1" ht="14.25" x14ac:dyDescent="0.2">
      <c r="A196" s="61"/>
      <c r="G196" s="63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</row>
    <row r="197" spans="1:24" s="62" customFormat="1" ht="14.25" x14ac:dyDescent="0.2">
      <c r="A197" s="61"/>
      <c r="G197" s="63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</row>
    <row r="198" spans="1:24" s="62" customFormat="1" ht="14.25" x14ac:dyDescent="0.2">
      <c r="A198" s="61"/>
      <c r="G198" s="63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</row>
    <row r="199" spans="1:24" s="62" customFormat="1" ht="14.25" x14ac:dyDescent="0.2">
      <c r="A199" s="61"/>
      <c r="G199" s="63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</row>
    <row r="200" spans="1:24" s="62" customFormat="1" ht="14.25" x14ac:dyDescent="0.2">
      <c r="A200" s="61"/>
      <c r="G200" s="63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</row>
    <row r="201" spans="1:24" s="62" customFormat="1" ht="14.25" x14ac:dyDescent="0.2">
      <c r="A201" s="61"/>
      <c r="G201" s="63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</row>
    <row r="202" spans="1:24" s="62" customFormat="1" ht="14.25" x14ac:dyDescent="0.2">
      <c r="A202" s="61"/>
      <c r="G202" s="63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</row>
    <row r="203" spans="1:24" s="62" customFormat="1" ht="14.25" x14ac:dyDescent="0.2">
      <c r="A203" s="61"/>
      <c r="G203" s="63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</row>
    <row r="204" spans="1:24" s="62" customFormat="1" ht="14.25" x14ac:dyDescent="0.2">
      <c r="A204" s="61"/>
      <c r="G204" s="63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</row>
    <row r="205" spans="1:24" s="62" customFormat="1" ht="14.25" x14ac:dyDescent="0.2">
      <c r="A205" s="61"/>
      <c r="G205" s="63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</row>
    <row r="206" spans="1:24" s="62" customFormat="1" ht="14.25" x14ac:dyDescent="0.2">
      <c r="A206" s="61"/>
      <c r="G206" s="63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</row>
    <row r="207" spans="1:24" s="62" customFormat="1" ht="14.25" x14ac:dyDescent="0.2">
      <c r="A207" s="61"/>
      <c r="G207" s="63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</row>
    <row r="208" spans="1:24" s="62" customFormat="1" ht="14.25" x14ac:dyDescent="0.2">
      <c r="A208" s="61"/>
      <c r="G208" s="63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</row>
    <row r="209" spans="1:24" s="62" customFormat="1" ht="14.25" x14ac:dyDescent="0.2">
      <c r="A209" s="61"/>
      <c r="G209" s="63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</row>
    <row r="210" spans="1:24" s="62" customFormat="1" ht="14.25" x14ac:dyDescent="0.2">
      <c r="A210" s="61"/>
      <c r="G210" s="63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</row>
    <row r="211" spans="1:24" s="62" customFormat="1" ht="14.25" x14ac:dyDescent="0.2">
      <c r="A211" s="61"/>
      <c r="G211" s="63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</row>
    <row r="212" spans="1:24" s="62" customFormat="1" ht="14.25" x14ac:dyDescent="0.2">
      <c r="A212" s="61"/>
      <c r="G212" s="63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</row>
    <row r="213" spans="1:24" s="62" customFormat="1" ht="14.25" x14ac:dyDescent="0.2">
      <c r="A213" s="61"/>
      <c r="G213" s="63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</row>
    <row r="214" spans="1:24" s="62" customFormat="1" ht="14.25" x14ac:dyDescent="0.2">
      <c r="A214" s="61"/>
      <c r="G214" s="63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</row>
    <row r="215" spans="1:24" s="62" customFormat="1" ht="14.25" x14ac:dyDescent="0.2">
      <c r="A215" s="61"/>
      <c r="G215" s="63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</row>
    <row r="216" spans="1:24" s="62" customFormat="1" ht="14.25" x14ac:dyDescent="0.2">
      <c r="A216" s="61"/>
      <c r="G216" s="63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</row>
    <row r="217" spans="1:24" s="62" customFormat="1" ht="14.25" x14ac:dyDescent="0.2">
      <c r="A217" s="61"/>
      <c r="G217" s="63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</row>
    <row r="218" spans="1:24" s="62" customFormat="1" ht="14.25" x14ac:dyDescent="0.2">
      <c r="A218" s="61"/>
      <c r="G218" s="63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</row>
    <row r="219" spans="1:24" s="62" customFormat="1" ht="14.25" x14ac:dyDescent="0.2">
      <c r="A219" s="61"/>
      <c r="G219" s="63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</row>
    <row r="220" spans="1:24" s="62" customFormat="1" ht="14.25" x14ac:dyDescent="0.2">
      <c r="A220" s="61"/>
      <c r="G220" s="63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</row>
    <row r="221" spans="1:24" s="62" customFormat="1" ht="14.25" x14ac:dyDescent="0.2">
      <c r="A221" s="61"/>
      <c r="G221" s="63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</row>
    <row r="222" spans="1:24" s="62" customFormat="1" ht="14.25" x14ac:dyDescent="0.2">
      <c r="A222" s="61"/>
      <c r="G222" s="63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</row>
    <row r="223" spans="1:24" s="62" customFormat="1" ht="14.25" x14ac:dyDescent="0.2">
      <c r="A223" s="61"/>
      <c r="G223" s="63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</row>
    <row r="224" spans="1:24" s="62" customFormat="1" ht="14.25" x14ac:dyDescent="0.2">
      <c r="A224" s="61"/>
      <c r="G224" s="63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</row>
    <row r="225" spans="1:24" s="62" customFormat="1" ht="14.25" x14ac:dyDescent="0.2">
      <c r="A225" s="61"/>
      <c r="G225" s="63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</row>
    <row r="226" spans="1:24" s="62" customFormat="1" ht="14.25" x14ac:dyDescent="0.2">
      <c r="A226" s="61"/>
      <c r="G226" s="63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</row>
    <row r="227" spans="1:24" s="62" customFormat="1" ht="14.25" x14ac:dyDescent="0.2">
      <c r="A227" s="61"/>
      <c r="G227" s="63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</row>
    <row r="228" spans="1:24" s="62" customFormat="1" ht="14.25" x14ac:dyDescent="0.2">
      <c r="A228" s="61"/>
      <c r="G228" s="63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</row>
    <row r="229" spans="1:24" s="62" customFormat="1" ht="14.25" x14ac:dyDescent="0.2">
      <c r="A229" s="61"/>
      <c r="G229" s="63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</row>
    <row r="230" spans="1:24" s="62" customFormat="1" ht="14.25" x14ac:dyDescent="0.2">
      <c r="A230" s="61"/>
      <c r="G230" s="63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</row>
    <row r="231" spans="1:24" s="62" customFormat="1" ht="14.25" x14ac:dyDescent="0.2">
      <c r="A231" s="61"/>
      <c r="G231" s="63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</row>
    <row r="232" spans="1:24" s="62" customFormat="1" ht="14.25" x14ac:dyDescent="0.2">
      <c r="A232" s="61"/>
      <c r="G232" s="63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</row>
    <row r="233" spans="1:24" s="62" customFormat="1" ht="14.25" x14ac:dyDescent="0.2">
      <c r="A233" s="61"/>
      <c r="G233" s="63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</row>
    <row r="234" spans="1:24" s="62" customFormat="1" ht="14.25" x14ac:dyDescent="0.2">
      <c r="A234" s="61"/>
      <c r="G234" s="63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</row>
    <row r="235" spans="1:24" s="62" customFormat="1" ht="14.25" x14ac:dyDescent="0.2">
      <c r="A235" s="61"/>
      <c r="G235" s="63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</row>
  </sheetData>
  <autoFilter ref="A6:AV6" xr:uid="{66D3921A-2F49-4C90-8E84-AA6290CFD28E}">
    <filterColumn colId="45" showButton="0"/>
    <filterColumn colId="46" showButton="0"/>
  </autoFilter>
  <mergeCells count="1">
    <mergeCell ref="AT6:AV6"/>
  </mergeCells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81A4-378F-4C6B-98F2-764BDD1B0273}">
  <dimension ref="A1:AP235"/>
  <sheetViews>
    <sheetView topLeftCell="U1" workbookViewId="0">
      <selection activeCell="AN213" sqref="AN7:AN213"/>
    </sheetView>
  </sheetViews>
  <sheetFormatPr defaultRowHeight="15" x14ac:dyDescent="0.25"/>
  <cols>
    <col min="1" max="1" width="13.42578125" style="23" bestFit="1" customWidth="1"/>
    <col min="7" max="7" width="10.7109375" style="30" bestFit="1" customWidth="1"/>
    <col min="8" max="8" width="23.140625" bestFit="1" customWidth="1"/>
    <col min="11" max="11" width="9.140625" style="25"/>
    <col min="13" max="14" width="9.28515625" style="25" bestFit="1" customWidth="1"/>
    <col min="15" max="15" width="14.28515625" style="25" bestFit="1" customWidth="1"/>
    <col min="16" max="16" width="33.140625" style="25" bestFit="1" customWidth="1"/>
    <col min="17" max="18" width="9.28515625" style="25" bestFit="1" customWidth="1"/>
    <col min="19" max="19" width="9.140625" style="25"/>
    <col min="20" max="20" width="16.5703125" style="25" bestFit="1" customWidth="1"/>
    <col min="21" max="21" width="12.5703125" style="25" bestFit="1" customWidth="1"/>
    <col min="22" max="22" width="16.28515625" style="25" bestFit="1" customWidth="1"/>
    <col min="23" max="23" width="9.28515625" style="25" bestFit="1" customWidth="1"/>
    <col min="24" max="24" width="11.5703125" style="25" bestFit="1" customWidth="1"/>
    <col min="41" max="41" width="9.140625" customWidth="1"/>
    <col min="42" max="42" width="176.28515625" hidden="1" customWidth="1"/>
    <col min="43" max="43" width="9.140625" customWidth="1"/>
  </cols>
  <sheetData>
    <row r="1" spans="1:42" s="74" customFormat="1" x14ac:dyDescent="0.25">
      <c r="A1" s="89"/>
      <c r="G1" s="90"/>
      <c r="K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</row>
    <row r="2" spans="1:42" s="74" customFormat="1" x14ac:dyDescent="0.25">
      <c r="A2" s="89"/>
      <c r="G2" s="90"/>
      <c r="K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1:42" s="74" customFormat="1" x14ac:dyDescent="0.25">
      <c r="A3" s="89"/>
      <c r="G3" s="90"/>
      <c r="K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</row>
    <row r="4" spans="1:42" s="74" customFormat="1" x14ac:dyDescent="0.25">
      <c r="A4" s="89"/>
      <c r="G4" s="90"/>
      <c r="K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</row>
    <row r="5" spans="1:42" s="74" customFormat="1" x14ac:dyDescent="0.25">
      <c r="A5" s="89" t="s">
        <v>230</v>
      </c>
      <c r="G5" s="90"/>
      <c r="K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</row>
    <row r="6" spans="1:42" s="48" customFormat="1" x14ac:dyDescent="0.25">
      <c r="A6" s="83" t="s">
        <v>0</v>
      </c>
      <c r="B6" s="84" t="s">
        <v>1</v>
      </c>
      <c r="C6" s="84" t="s">
        <v>2</v>
      </c>
      <c r="D6" s="84" t="s">
        <v>4</v>
      </c>
      <c r="E6" s="84" t="s">
        <v>3</v>
      </c>
      <c r="F6" s="84" t="s">
        <v>5</v>
      </c>
      <c r="G6" s="85" t="s">
        <v>6</v>
      </c>
      <c r="H6" s="84" t="s">
        <v>7</v>
      </c>
      <c r="I6" s="84" t="s">
        <v>8</v>
      </c>
      <c r="J6" s="84" t="s">
        <v>9</v>
      </c>
      <c r="K6" s="86" t="s">
        <v>10</v>
      </c>
      <c r="L6" s="84" t="s">
        <v>11</v>
      </c>
      <c r="M6" s="86" t="s">
        <v>12</v>
      </c>
      <c r="N6" s="86" t="s">
        <v>13</v>
      </c>
      <c r="O6" s="86" t="s">
        <v>14</v>
      </c>
      <c r="P6" s="86" t="s">
        <v>15</v>
      </c>
      <c r="Q6" s="86" t="s">
        <v>16</v>
      </c>
      <c r="R6" s="86" t="s">
        <v>17</v>
      </c>
      <c r="S6" s="86" t="s">
        <v>18</v>
      </c>
      <c r="T6" s="86" t="s">
        <v>19</v>
      </c>
      <c r="U6" s="86" t="s">
        <v>20</v>
      </c>
      <c r="V6" s="86" t="s">
        <v>21</v>
      </c>
      <c r="W6" s="86" t="s">
        <v>22</v>
      </c>
      <c r="X6" s="86" t="s">
        <v>23</v>
      </c>
      <c r="Y6" s="84" t="s">
        <v>24</v>
      </c>
      <c r="Z6" s="84" t="s">
        <v>25</v>
      </c>
      <c r="AA6" s="84" t="s">
        <v>26</v>
      </c>
      <c r="AB6" s="84" t="s">
        <v>27</v>
      </c>
      <c r="AC6" s="84" t="s">
        <v>28</v>
      </c>
      <c r="AD6" s="84" t="s">
        <v>29</v>
      </c>
      <c r="AE6" s="84" t="s">
        <v>30</v>
      </c>
      <c r="AF6" s="84" t="s">
        <v>31</v>
      </c>
      <c r="AG6" s="84" t="s">
        <v>32</v>
      </c>
      <c r="AH6" s="84" t="s">
        <v>33</v>
      </c>
      <c r="AI6" s="84" t="s">
        <v>34</v>
      </c>
      <c r="AJ6" s="84" t="s">
        <v>35</v>
      </c>
      <c r="AK6" s="84" t="s">
        <v>36</v>
      </c>
      <c r="AL6" s="84" t="s">
        <v>37</v>
      </c>
      <c r="AM6" s="84" t="s">
        <v>38</v>
      </c>
      <c r="AN6" s="84" t="s">
        <v>696</v>
      </c>
      <c r="AO6" s="84"/>
      <c r="AP6" s="84"/>
    </row>
    <row r="7" spans="1:42" s="36" customFormat="1" ht="14.25" x14ac:dyDescent="0.2">
      <c r="A7" s="57"/>
      <c r="G7" s="58"/>
      <c r="K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AN7" s="36" t="e">
        <f>VLOOKUP(I7,Sheet1!A:D,4,FALSE)</f>
        <v>#N/A</v>
      </c>
    </row>
    <row r="8" spans="1:42" s="36" customFormat="1" ht="14.25" x14ac:dyDescent="0.2">
      <c r="A8" s="57"/>
      <c r="G8" s="58"/>
      <c r="K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AN8" s="36" t="e">
        <f>VLOOKUP(I8,Sheet1!A:D,4,FALSE)</f>
        <v>#N/A</v>
      </c>
    </row>
    <row r="9" spans="1:42" s="36" customFormat="1" ht="14.25" x14ac:dyDescent="0.2">
      <c r="A9" s="57"/>
      <c r="G9" s="58"/>
      <c r="K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AN9" s="36" t="e">
        <f>VLOOKUP(I9,Sheet1!A:D,4,FALSE)</f>
        <v>#N/A</v>
      </c>
    </row>
    <row r="10" spans="1:42" s="36" customFormat="1" ht="14.25" x14ac:dyDescent="0.2">
      <c r="A10" s="57"/>
      <c r="G10" s="58"/>
      <c r="K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AN10" s="36" t="e">
        <f>VLOOKUP(I10,Sheet1!A:D,4,FALSE)</f>
        <v>#N/A</v>
      </c>
    </row>
    <row r="11" spans="1:42" s="36" customFormat="1" ht="14.25" x14ac:dyDescent="0.2">
      <c r="A11" s="57"/>
      <c r="G11" s="58"/>
      <c r="K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AN11" s="36" t="e">
        <f>VLOOKUP(I11,Sheet1!A:D,4,FALSE)</f>
        <v>#N/A</v>
      </c>
    </row>
    <row r="12" spans="1:42" s="36" customFormat="1" ht="14.25" x14ac:dyDescent="0.2">
      <c r="A12" s="57"/>
      <c r="G12" s="58"/>
      <c r="K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AN12" s="36" t="e">
        <f>VLOOKUP(I12,Sheet1!A:D,4,FALSE)</f>
        <v>#N/A</v>
      </c>
    </row>
    <row r="13" spans="1:42" s="36" customFormat="1" ht="14.25" x14ac:dyDescent="0.2">
      <c r="A13" s="57"/>
      <c r="G13" s="58"/>
      <c r="K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AN13" s="36" t="e">
        <f>VLOOKUP(I13,Sheet1!A:D,4,FALSE)</f>
        <v>#N/A</v>
      </c>
    </row>
    <row r="14" spans="1:42" s="36" customFormat="1" ht="14.25" x14ac:dyDescent="0.2">
      <c r="A14" s="57"/>
      <c r="G14" s="58"/>
      <c r="K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AN14" s="36" t="e">
        <f>VLOOKUP(I14,Sheet1!A:D,4,FALSE)</f>
        <v>#N/A</v>
      </c>
    </row>
    <row r="15" spans="1:42" s="36" customFormat="1" ht="14.25" x14ac:dyDescent="0.2">
      <c r="A15" s="57"/>
      <c r="G15" s="58"/>
      <c r="K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AN15" s="36" t="e">
        <f>VLOOKUP(I15,Sheet1!A:D,4,FALSE)</f>
        <v>#N/A</v>
      </c>
    </row>
    <row r="16" spans="1:42" s="36" customFormat="1" ht="14.25" x14ac:dyDescent="0.2">
      <c r="A16" s="57"/>
      <c r="G16" s="58"/>
      <c r="K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AN16" s="36" t="e">
        <f>VLOOKUP(I16,Sheet1!A:D,4,FALSE)</f>
        <v>#N/A</v>
      </c>
    </row>
    <row r="17" spans="1:40" s="36" customFormat="1" ht="14.25" x14ac:dyDescent="0.2">
      <c r="A17" s="57"/>
      <c r="G17" s="58"/>
      <c r="K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AN17" s="36" t="e">
        <f>VLOOKUP(I17,Sheet1!A:D,4,FALSE)</f>
        <v>#N/A</v>
      </c>
    </row>
    <row r="18" spans="1:40" s="36" customFormat="1" ht="14.25" x14ac:dyDescent="0.2">
      <c r="A18" s="57"/>
      <c r="G18" s="58"/>
      <c r="K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AN18" s="36" t="e">
        <f>VLOOKUP(I18,Sheet1!A:D,4,FALSE)</f>
        <v>#N/A</v>
      </c>
    </row>
    <row r="19" spans="1:40" s="36" customFormat="1" ht="14.25" x14ac:dyDescent="0.2">
      <c r="A19" s="57"/>
      <c r="G19" s="58"/>
      <c r="K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AN19" s="36" t="e">
        <f>VLOOKUP(I19,Sheet1!A:D,4,FALSE)</f>
        <v>#N/A</v>
      </c>
    </row>
    <row r="20" spans="1:40" s="36" customFormat="1" ht="14.25" x14ac:dyDescent="0.2">
      <c r="A20" s="57"/>
      <c r="G20" s="58"/>
      <c r="K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AN20" s="36" t="e">
        <f>VLOOKUP(I20,Sheet1!A:D,4,FALSE)</f>
        <v>#N/A</v>
      </c>
    </row>
    <row r="21" spans="1:40" s="36" customFormat="1" ht="14.25" x14ac:dyDescent="0.2">
      <c r="A21" s="57"/>
      <c r="G21" s="58"/>
      <c r="K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AN21" s="36" t="e">
        <f>VLOOKUP(I21,Sheet1!A:D,4,FALSE)</f>
        <v>#N/A</v>
      </c>
    </row>
    <row r="22" spans="1:40" s="36" customFormat="1" ht="14.25" x14ac:dyDescent="0.2">
      <c r="A22" s="57"/>
      <c r="G22" s="58"/>
      <c r="K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AN22" s="36" t="e">
        <f>VLOOKUP(I22,Sheet1!A:D,4,FALSE)</f>
        <v>#N/A</v>
      </c>
    </row>
    <row r="23" spans="1:40" s="36" customFormat="1" ht="14.25" x14ac:dyDescent="0.2">
      <c r="A23" s="57"/>
      <c r="G23" s="58"/>
      <c r="K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AN23" s="36" t="e">
        <f>VLOOKUP(I23,Sheet1!A:D,4,FALSE)</f>
        <v>#N/A</v>
      </c>
    </row>
    <row r="24" spans="1:40" s="36" customFormat="1" ht="14.25" x14ac:dyDescent="0.2">
      <c r="A24" s="57"/>
      <c r="G24" s="58"/>
      <c r="K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AN24" s="36" t="e">
        <f>VLOOKUP(I24,Sheet1!A:D,4,FALSE)</f>
        <v>#N/A</v>
      </c>
    </row>
    <row r="25" spans="1:40" s="36" customFormat="1" ht="14.25" x14ac:dyDescent="0.2">
      <c r="A25" s="57"/>
      <c r="G25" s="58"/>
      <c r="K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AN25" s="36" t="e">
        <f>VLOOKUP(I25,Sheet1!A:D,4,FALSE)</f>
        <v>#N/A</v>
      </c>
    </row>
    <row r="26" spans="1:40" s="36" customFormat="1" ht="14.25" x14ac:dyDescent="0.2">
      <c r="A26" s="57"/>
      <c r="G26" s="58"/>
      <c r="K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AN26" s="36" t="e">
        <f>VLOOKUP(I26,Sheet1!A:D,4,FALSE)</f>
        <v>#N/A</v>
      </c>
    </row>
    <row r="27" spans="1:40" s="36" customFormat="1" ht="14.25" x14ac:dyDescent="0.2">
      <c r="A27" s="57"/>
      <c r="G27" s="58"/>
      <c r="K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AN27" s="36" t="e">
        <f>VLOOKUP(I27,Sheet1!A:D,4,FALSE)</f>
        <v>#N/A</v>
      </c>
    </row>
    <row r="28" spans="1:40" s="36" customFormat="1" ht="14.25" x14ac:dyDescent="0.2">
      <c r="A28" s="57"/>
      <c r="G28" s="58"/>
      <c r="K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AN28" s="36" t="e">
        <f>VLOOKUP(I28,Sheet1!A:D,4,FALSE)</f>
        <v>#N/A</v>
      </c>
    </row>
    <row r="29" spans="1:40" s="36" customFormat="1" ht="14.25" x14ac:dyDescent="0.2">
      <c r="A29" s="57"/>
      <c r="G29" s="58"/>
      <c r="K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AN29" s="36" t="e">
        <f>VLOOKUP(I29,Sheet1!A:D,4,FALSE)</f>
        <v>#N/A</v>
      </c>
    </row>
    <row r="30" spans="1:40" s="36" customFormat="1" ht="14.25" x14ac:dyDescent="0.2">
      <c r="A30" s="57"/>
      <c r="G30" s="58"/>
      <c r="K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AN30" s="36" t="e">
        <f>VLOOKUP(I30,Sheet1!A:D,4,FALSE)</f>
        <v>#N/A</v>
      </c>
    </row>
    <row r="31" spans="1:40" s="36" customFormat="1" ht="14.25" x14ac:dyDescent="0.2">
      <c r="A31" s="57"/>
      <c r="G31" s="58"/>
      <c r="K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AN31" s="36" t="e">
        <f>VLOOKUP(I31,Sheet1!A:D,4,FALSE)</f>
        <v>#N/A</v>
      </c>
    </row>
    <row r="32" spans="1:40" s="36" customFormat="1" ht="14.25" x14ac:dyDescent="0.2">
      <c r="A32" s="57"/>
      <c r="G32" s="58"/>
      <c r="K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AN32" s="36" t="e">
        <f>VLOOKUP(I32,Sheet1!A:D,4,FALSE)</f>
        <v>#N/A</v>
      </c>
    </row>
    <row r="33" spans="1:40" s="36" customFormat="1" ht="14.25" x14ac:dyDescent="0.2">
      <c r="A33" s="57"/>
      <c r="G33" s="58"/>
      <c r="K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AN33" s="36" t="e">
        <f>VLOOKUP(I33,Sheet1!A:D,4,FALSE)</f>
        <v>#N/A</v>
      </c>
    </row>
    <row r="34" spans="1:40" s="36" customFormat="1" ht="14.25" x14ac:dyDescent="0.2">
      <c r="A34" s="57"/>
      <c r="G34" s="58"/>
      <c r="K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AN34" s="36" t="e">
        <f>VLOOKUP(I34,Sheet1!A:D,4,FALSE)</f>
        <v>#N/A</v>
      </c>
    </row>
    <row r="35" spans="1:40" s="36" customFormat="1" ht="14.25" x14ac:dyDescent="0.2">
      <c r="A35" s="57"/>
      <c r="G35" s="58"/>
      <c r="K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AN35" s="36" t="e">
        <f>VLOOKUP(I35,Sheet1!A:D,4,FALSE)</f>
        <v>#N/A</v>
      </c>
    </row>
    <row r="36" spans="1:40" s="36" customFormat="1" ht="14.25" x14ac:dyDescent="0.2">
      <c r="A36" s="57"/>
      <c r="G36" s="58"/>
      <c r="K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AN36" s="36" t="e">
        <f>VLOOKUP(I36,Sheet1!A:D,4,FALSE)</f>
        <v>#N/A</v>
      </c>
    </row>
    <row r="37" spans="1:40" s="36" customFormat="1" ht="14.25" x14ac:dyDescent="0.2">
      <c r="A37" s="57"/>
      <c r="G37" s="58"/>
      <c r="K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AN37" s="36" t="e">
        <f>VLOOKUP(I37,Sheet1!A:D,4,FALSE)</f>
        <v>#N/A</v>
      </c>
    </row>
    <row r="38" spans="1:40" s="36" customFormat="1" ht="14.25" x14ac:dyDescent="0.2">
      <c r="A38" s="57"/>
      <c r="G38" s="58"/>
      <c r="K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AN38" s="36" t="e">
        <f>VLOOKUP(I38,Sheet1!A:D,4,FALSE)</f>
        <v>#N/A</v>
      </c>
    </row>
    <row r="39" spans="1:40" s="36" customFormat="1" ht="14.25" x14ac:dyDescent="0.2">
      <c r="A39" s="57"/>
      <c r="G39" s="58"/>
      <c r="K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AN39" s="36" t="e">
        <f>VLOOKUP(I39,Sheet1!A:D,4,FALSE)</f>
        <v>#N/A</v>
      </c>
    </row>
    <row r="40" spans="1:40" s="36" customFormat="1" ht="14.25" x14ac:dyDescent="0.2">
      <c r="A40" s="57"/>
      <c r="G40" s="58"/>
      <c r="K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AN40" s="36" t="e">
        <f>VLOOKUP(I40,Sheet1!A:D,4,FALSE)</f>
        <v>#N/A</v>
      </c>
    </row>
    <row r="41" spans="1:40" s="36" customFormat="1" ht="14.25" x14ac:dyDescent="0.2">
      <c r="A41" s="57"/>
      <c r="G41" s="58"/>
      <c r="K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AN41" s="36" t="e">
        <f>VLOOKUP(I41,Sheet1!A:D,4,FALSE)</f>
        <v>#N/A</v>
      </c>
    </row>
    <row r="42" spans="1:40" s="36" customFormat="1" ht="14.25" x14ac:dyDescent="0.2">
      <c r="A42" s="57"/>
      <c r="G42" s="58"/>
      <c r="K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AN42" s="36" t="e">
        <f>VLOOKUP(I42,Sheet1!A:D,4,FALSE)</f>
        <v>#N/A</v>
      </c>
    </row>
    <row r="43" spans="1:40" s="36" customFormat="1" ht="14.25" x14ac:dyDescent="0.2">
      <c r="A43" s="57"/>
      <c r="G43" s="58"/>
      <c r="K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AN43" s="36" t="e">
        <f>VLOOKUP(I43,Sheet1!A:D,4,FALSE)</f>
        <v>#N/A</v>
      </c>
    </row>
    <row r="44" spans="1:40" s="36" customFormat="1" ht="14.25" x14ac:dyDescent="0.2">
      <c r="A44" s="57"/>
      <c r="G44" s="58"/>
      <c r="K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AN44" s="36" t="e">
        <f>VLOOKUP(I44,Sheet1!A:D,4,FALSE)</f>
        <v>#N/A</v>
      </c>
    </row>
    <row r="45" spans="1:40" s="36" customFormat="1" ht="14.25" x14ac:dyDescent="0.2">
      <c r="A45" s="57"/>
      <c r="G45" s="58"/>
      <c r="K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AN45" s="36" t="e">
        <f>VLOOKUP(I45,Sheet1!A:D,4,FALSE)</f>
        <v>#N/A</v>
      </c>
    </row>
    <row r="46" spans="1:40" s="36" customFormat="1" ht="14.25" x14ac:dyDescent="0.2">
      <c r="A46" s="57"/>
      <c r="G46" s="58"/>
      <c r="K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AN46" s="36" t="e">
        <f>VLOOKUP(I46,Sheet1!A:D,4,FALSE)</f>
        <v>#N/A</v>
      </c>
    </row>
    <row r="47" spans="1:40" s="36" customFormat="1" ht="14.25" x14ac:dyDescent="0.2">
      <c r="A47" s="57"/>
      <c r="G47" s="58"/>
      <c r="K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AN47" s="36" t="e">
        <f>VLOOKUP(I47,Sheet1!A:D,4,FALSE)</f>
        <v>#N/A</v>
      </c>
    </row>
    <row r="48" spans="1:40" s="36" customFormat="1" ht="14.25" x14ac:dyDescent="0.2">
      <c r="A48" s="57"/>
      <c r="G48" s="58"/>
      <c r="K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AN48" s="36" t="e">
        <f>VLOOKUP(I48,Sheet1!A:D,4,FALSE)</f>
        <v>#N/A</v>
      </c>
    </row>
    <row r="49" spans="1:40" s="36" customFormat="1" ht="14.25" x14ac:dyDescent="0.2">
      <c r="A49" s="57"/>
      <c r="G49" s="58"/>
      <c r="K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AN49" s="36" t="e">
        <f>VLOOKUP(I49,Sheet1!A:D,4,FALSE)</f>
        <v>#N/A</v>
      </c>
    </row>
    <row r="50" spans="1:40" s="36" customFormat="1" ht="14.25" x14ac:dyDescent="0.2">
      <c r="A50" s="57"/>
      <c r="G50" s="58"/>
      <c r="K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AN50" s="36" t="e">
        <f>VLOOKUP(I50,Sheet1!A:D,4,FALSE)</f>
        <v>#N/A</v>
      </c>
    </row>
    <row r="51" spans="1:40" s="36" customFormat="1" ht="14.25" x14ac:dyDescent="0.2">
      <c r="A51" s="57"/>
      <c r="G51" s="58"/>
      <c r="K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AN51" s="36" t="e">
        <f>VLOOKUP(I51,Sheet1!A:D,4,FALSE)</f>
        <v>#N/A</v>
      </c>
    </row>
    <row r="52" spans="1:40" s="36" customFormat="1" ht="14.25" x14ac:dyDescent="0.2">
      <c r="A52" s="57"/>
      <c r="G52" s="58"/>
      <c r="K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AN52" s="36" t="e">
        <f>VLOOKUP(I52,Sheet1!A:D,4,FALSE)</f>
        <v>#N/A</v>
      </c>
    </row>
    <row r="53" spans="1:40" s="36" customFormat="1" ht="14.25" x14ac:dyDescent="0.2">
      <c r="A53" s="57"/>
      <c r="G53" s="58"/>
      <c r="K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AN53" s="36" t="e">
        <f>VLOOKUP(I53,Sheet1!A:D,4,FALSE)</f>
        <v>#N/A</v>
      </c>
    </row>
    <row r="54" spans="1:40" s="36" customFormat="1" ht="14.25" x14ac:dyDescent="0.2">
      <c r="A54" s="57"/>
      <c r="G54" s="58"/>
      <c r="K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AN54" s="36" t="e">
        <f>VLOOKUP(I54,Sheet1!A:D,4,FALSE)</f>
        <v>#N/A</v>
      </c>
    </row>
    <row r="55" spans="1:40" s="36" customFormat="1" ht="14.25" x14ac:dyDescent="0.2">
      <c r="A55" s="57"/>
      <c r="G55" s="58"/>
      <c r="K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AN55" s="36" t="e">
        <f>VLOOKUP(I55,Sheet1!A:D,4,FALSE)</f>
        <v>#N/A</v>
      </c>
    </row>
    <row r="56" spans="1:40" s="36" customFormat="1" ht="14.25" x14ac:dyDescent="0.2">
      <c r="A56" s="57"/>
      <c r="G56" s="58"/>
      <c r="K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AN56" s="36" t="e">
        <f>VLOOKUP(I56,Sheet1!A:D,4,FALSE)</f>
        <v>#N/A</v>
      </c>
    </row>
    <row r="57" spans="1:40" s="36" customFormat="1" ht="14.25" x14ac:dyDescent="0.2">
      <c r="A57" s="57"/>
      <c r="G57" s="58"/>
      <c r="K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AN57" s="36" t="e">
        <f>VLOOKUP(I57,Sheet1!A:D,4,FALSE)</f>
        <v>#N/A</v>
      </c>
    </row>
    <row r="58" spans="1:40" s="36" customFormat="1" ht="14.25" x14ac:dyDescent="0.2">
      <c r="A58" s="57"/>
      <c r="G58" s="58"/>
      <c r="K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AN58" s="36" t="e">
        <f>VLOOKUP(I58,Sheet1!A:D,4,FALSE)</f>
        <v>#N/A</v>
      </c>
    </row>
    <row r="59" spans="1:40" s="36" customFormat="1" ht="14.25" x14ac:dyDescent="0.2">
      <c r="A59" s="57"/>
      <c r="G59" s="58"/>
      <c r="K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AN59" s="36" t="e">
        <f>VLOOKUP(I59,Sheet1!A:D,4,FALSE)</f>
        <v>#N/A</v>
      </c>
    </row>
    <row r="60" spans="1:40" s="36" customFormat="1" ht="14.25" x14ac:dyDescent="0.2">
      <c r="A60" s="57"/>
      <c r="G60" s="58"/>
      <c r="K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AN60" s="36" t="e">
        <f>VLOOKUP(I60,Sheet1!A:D,4,FALSE)</f>
        <v>#N/A</v>
      </c>
    </row>
    <row r="61" spans="1:40" s="36" customFormat="1" ht="14.25" x14ac:dyDescent="0.2">
      <c r="A61" s="57"/>
      <c r="G61" s="58"/>
      <c r="K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AN61" s="36" t="e">
        <f>VLOOKUP(I61,Sheet1!A:D,4,FALSE)</f>
        <v>#N/A</v>
      </c>
    </row>
    <row r="62" spans="1:40" s="36" customFormat="1" ht="14.25" x14ac:dyDescent="0.2">
      <c r="A62" s="57"/>
      <c r="G62" s="58"/>
      <c r="K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AN62" s="36" t="e">
        <f>VLOOKUP(I62,Sheet1!A:D,4,FALSE)</f>
        <v>#N/A</v>
      </c>
    </row>
    <row r="63" spans="1:40" s="36" customFormat="1" ht="14.25" x14ac:dyDescent="0.2">
      <c r="A63" s="57"/>
      <c r="G63" s="58"/>
      <c r="K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AN63" s="36" t="e">
        <f>VLOOKUP(I63,Sheet1!A:D,4,FALSE)</f>
        <v>#N/A</v>
      </c>
    </row>
    <row r="64" spans="1:40" s="36" customFormat="1" ht="14.25" x14ac:dyDescent="0.2">
      <c r="A64" s="57"/>
      <c r="G64" s="58"/>
      <c r="K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AN64" s="36" t="e">
        <f>VLOOKUP(I64,Sheet1!A:D,4,FALSE)</f>
        <v>#N/A</v>
      </c>
    </row>
    <row r="65" spans="1:40" s="36" customFormat="1" ht="14.25" x14ac:dyDescent="0.2">
      <c r="A65" s="57"/>
      <c r="G65" s="58"/>
      <c r="K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AN65" s="36" t="e">
        <f>VLOOKUP(I65,Sheet1!A:D,4,FALSE)</f>
        <v>#N/A</v>
      </c>
    </row>
    <row r="66" spans="1:40" s="36" customFormat="1" ht="14.25" x14ac:dyDescent="0.2">
      <c r="A66" s="57"/>
      <c r="G66" s="58"/>
      <c r="K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AN66" s="36" t="e">
        <f>VLOOKUP(I66,Sheet1!A:D,4,FALSE)</f>
        <v>#N/A</v>
      </c>
    </row>
    <row r="67" spans="1:40" s="36" customFormat="1" ht="14.25" x14ac:dyDescent="0.2">
      <c r="A67" s="57"/>
      <c r="G67" s="58"/>
      <c r="K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AN67" s="36" t="e">
        <f>VLOOKUP(I67,Sheet1!A:D,4,FALSE)</f>
        <v>#N/A</v>
      </c>
    </row>
    <row r="68" spans="1:40" s="36" customFormat="1" ht="14.25" x14ac:dyDescent="0.2">
      <c r="A68" s="57"/>
      <c r="G68" s="58"/>
      <c r="K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AN68" s="36" t="e">
        <f>VLOOKUP(I68,Sheet1!A:D,4,FALSE)</f>
        <v>#N/A</v>
      </c>
    </row>
    <row r="69" spans="1:40" s="36" customFormat="1" ht="14.25" x14ac:dyDescent="0.2">
      <c r="A69" s="57"/>
      <c r="G69" s="58"/>
      <c r="K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AN69" s="36" t="e">
        <f>VLOOKUP(I69,Sheet1!A:D,4,FALSE)</f>
        <v>#N/A</v>
      </c>
    </row>
    <row r="70" spans="1:40" s="36" customFormat="1" ht="14.25" x14ac:dyDescent="0.2">
      <c r="A70" s="57"/>
      <c r="G70" s="58"/>
      <c r="K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AN70" s="36" t="e">
        <f>VLOOKUP(I70,Sheet1!A:D,4,FALSE)</f>
        <v>#N/A</v>
      </c>
    </row>
    <row r="71" spans="1:40" s="36" customFormat="1" ht="14.25" x14ac:dyDescent="0.2">
      <c r="A71" s="57"/>
      <c r="G71" s="58"/>
      <c r="K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AN71" s="36" t="e">
        <f>VLOOKUP(I71,Sheet1!A:D,4,FALSE)</f>
        <v>#N/A</v>
      </c>
    </row>
    <row r="72" spans="1:40" s="36" customFormat="1" ht="14.25" x14ac:dyDescent="0.2">
      <c r="A72" s="57"/>
      <c r="G72" s="58"/>
      <c r="K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AN72" s="36" t="e">
        <f>VLOOKUP(I72,Sheet1!A:D,4,FALSE)</f>
        <v>#N/A</v>
      </c>
    </row>
    <row r="73" spans="1:40" s="36" customFormat="1" ht="14.25" x14ac:dyDescent="0.2">
      <c r="A73" s="57"/>
      <c r="G73" s="58"/>
      <c r="K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AN73" s="36" t="e">
        <f>VLOOKUP(I73,Sheet1!A:D,4,FALSE)</f>
        <v>#N/A</v>
      </c>
    </row>
    <row r="74" spans="1:40" s="36" customFormat="1" ht="14.25" x14ac:dyDescent="0.2">
      <c r="A74" s="57"/>
      <c r="G74" s="58"/>
      <c r="K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AN74" s="36" t="e">
        <f>VLOOKUP(I74,Sheet1!A:D,4,FALSE)</f>
        <v>#N/A</v>
      </c>
    </row>
    <row r="75" spans="1:40" s="36" customFormat="1" ht="14.25" x14ac:dyDescent="0.2">
      <c r="A75" s="57"/>
      <c r="G75" s="58"/>
      <c r="K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AN75" s="36" t="e">
        <f>VLOOKUP(I75,Sheet1!A:D,4,FALSE)</f>
        <v>#N/A</v>
      </c>
    </row>
    <row r="76" spans="1:40" s="36" customFormat="1" ht="14.25" x14ac:dyDescent="0.2">
      <c r="A76" s="57"/>
      <c r="G76" s="58"/>
      <c r="K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AN76" s="36" t="e">
        <f>VLOOKUP(I76,Sheet1!A:D,4,FALSE)</f>
        <v>#N/A</v>
      </c>
    </row>
    <row r="77" spans="1:40" s="36" customFormat="1" ht="14.25" x14ac:dyDescent="0.2">
      <c r="A77" s="57"/>
      <c r="G77" s="58"/>
      <c r="K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AN77" s="36" t="e">
        <f>VLOOKUP(I77,Sheet1!A:D,4,FALSE)</f>
        <v>#N/A</v>
      </c>
    </row>
    <row r="78" spans="1:40" s="36" customFormat="1" ht="14.25" x14ac:dyDescent="0.2">
      <c r="A78" s="57"/>
      <c r="G78" s="58"/>
      <c r="K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AN78" s="36" t="e">
        <f>VLOOKUP(I78,Sheet1!A:D,4,FALSE)</f>
        <v>#N/A</v>
      </c>
    </row>
    <row r="79" spans="1:40" s="36" customFormat="1" ht="14.25" x14ac:dyDescent="0.2">
      <c r="A79" s="57"/>
      <c r="G79" s="58"/>
      <c r="K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AN79" s="36" t="e">
        <f>VLOOKUP(I79,Sheet1!A:D,4,FALSE)</f>
        <v>#N/A</v>
      </c>
    </row>
    <row r="80" spans="1:40" s="36" customFormat="1" ht="14.25" x14ac:dyDescent="0.2">
      <c r="A80" s="57"/>
      <c r="G80" s="58"/>
      <c r="K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AN80" s="36" t="e">
        <f>VLOOKUP(I80,Sheet1!A:D,4,FALSE)</f>
        <v>#N/A</v>
      </c>
    </row>
    <row r="81" spans="1:40" s="36" customFormat="1" ht="14.25" x14ac:dyDescent="0.2">
      <c r="A81" s="57"/>
      <c r="G81" s="58"/>
      <c r="K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AN81" s="36" t="e">
        <f>VLOOKUP(I81,Sheet1!A:D,4,FALSE)</f>
        <v>#N/A</v>
      </c>
    </row>
    <row r="82" spans="1:40" s="36" customFormat="1" ht="14.25" x14ac:dyDescent="0.2">
      <c r="A82" s="57"/>
      <c r="G82" s="58"/>
      <c r="K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AN82" s="36" t="e">
        <f>VLOOKUP(I82,Sheet1!A:D,4,FALSE)</f>
        <v>#N/A</v>
      </c>
    </row>
    <row r="83" spans="1:40" s="36" customFormat="1" ht="14.25" x14ac:dyDescent="0.2">
      <c r="A83" s="57"/>
      <c r="G83" s="58"/>
      <c r="K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AN83" s="36" t="e">
        <f>VLOOKUP(I83,Sheet1!A:D,4,FALSE)</f>
        <v>#N/A</v>
      </c>
    </row>
    <row r="84" spans="1:40" s="36" customFormat="1" ht="14.25" x14ac:dyDescent="0.2">
      <c r="A84" s="57"/>
      <c r="G84" s="58"/>
      <c r="K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AN84" s="36" t="e">
        <f>VLOOKUP(I84,Sheet1!A:D,4,FALSE)</f>
        <v>#N/A</v>
      </c>
    </row>
    <row r="85" spans="1:40" s="36" customFormat="1" ht="14.25" x14ac:dyDescent="0.2">
      <c r="A85" s="57"/>
      <c r="G85" s="58"/>
      <c r="K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AN85" s="36" t="e">
        <f>VLOOKUP(I85,Sheet1!A:D,4,FALSE)</f>
        <v>#N/A</v>
      </c>
    </row>
    <row r="86" spans="1:40" s="36" customFormat="1" ht="14.25" x14ac:dyDescent="0.2">
      <c r="A86" s="57"/>
      <c r="G86" s="58"/>
      <c r="K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AN86" s="36" t="e">
        <f>VLOOKUP(I86,Sheet1!A:D,4,FALSE)</f>
        <v>#N/A</v>
      </c>
    </row>
    <row r="87" spans="1:40" s="36" customFormat="1" ht="14.25" x14ac:dyDescent="0.2">
      <c r="A87" s="57"/>
      <c r="G87" s="58"/>
      <c r="K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AN87" s="36" t="e">
        <f>VLOOKUP(I87,Sheet1!A:D,4,FALSE)</f>
        <v>#N/A</v>
      </c>
    </row>
    <row r="88" spans="1:40" s="36" customFormat="1" ht="14.25" x14ac:dyDescent="0.2">
      <c r="A88" s="57"/>
      <c r="G88" s="58"/>
      <c r="K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AN88" s="36" t="e">
        <f>VLOOKUP(I88,Sheet1!A:D,4,FALSE)</f>
        <v>#N/A</v>
      </c>
    </row>
    <row r="89" spans="1:40" s="36" customFormat="1" ht="14.25" x14ac:dyDescent="0.2">
      <c r="A89" s="57"/>
      <c r="G89" s="58"/>
      <c r="K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AN89" s="36" t="e">
        <f>VLOOKUP(I89,Sheet1!A:D,4,FALSE)</f>
        <v>#N/A</v>
      </c>
    </row>
    <row r="90" spans="1:40" s="36" customFormat="1" ht="14.25" x14ac:dyDescent="0.2">
      <c r="A90" s="57"/>
      <c r="G90" s="58"/>
      <c r="K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AN90" s="36" t="e">
        <f>VLOOKUP(I90,Sheet1!A:D,4,FALSE)</f>
        <v>#N/A</v>
      </c>
    </row>
    <row r="91" spans="1:40" s="36" customFormat="1" ht="14.25" x14ac:dyDescent="0.2">
      <c r="A91" s="57"/>
      <c r="G91" s="58"/>
      <c r="K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AN91" s="36" t="e">
        <f>VLOOKUP(I91,Sheet1!A:D,4,FALSE)</f>
        <v>#N/A</v>
      </c>
    </row>
    <row r="92" spans="1:40" s="36" customFormat="1" ht="14.25" x14ac:dyDescent="0.2">
      <c r="A92" s="57"/>
      <c r="G92" s="58"/>
      <c r="K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AN92" s="36" t="e">
        <f>VLOOKUP(I92,Sheet1!A:D,4,FALSE)</f>
        <v>#N/A</v>
      </c>
    </row>
    <row r="93" spans="1:40" s="36" customFormat="1" ht="14.25" x14ac:dyDescent="0.2">
      <c r="A93" s="57"/>
      <c r="G93" s="58"/>
      <c r="K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AN93" s="36" t="e">
        <f>VLOOKUP(I93,Sheet1!A:D,4,FALSE)</f>
        <v>#N/A</v>
      </c>
    </row>
    <row r="94" spans="1:40" s="36" customFormat="1" ht="14.25" x14ac:dyDescent="0.2">
      <c r="A94" s="57"/>
      <c r="G94" s="58"/>
      <c r="K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AN94" s="36" t="e">
        <f>VLOOKUP(I94,Sheet1!A:D,4,FALSE)</f>
        <v>#N/A</v>
      </c>
    </row>
    <row r="95" spans="1:40" s="36" customFormat="1" ht="14.25" x14ac:dyDescent="0.2">
      <c r="A95" s="57"/>
      <c r="G95" s="58"/>
      <c r="K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AN95" s="36" t="e">
        <f>VLOOKUP(I95,Sheet1!A:D,4,FALSE)</f>
        <v>#N/A</v>
      </c>
    </row>
    <row r="96" spans="1:40" s="36" customFormat="1" ht="14.25" x14ac:dyDescent="0.2">
      <c r="A96" s="57"/>
      <c r="G96" s="58"/>
      <c r="K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AN96" s="36" t="e">
        <f>VLOOKUP(I96,Sheet1!A:D,4,FALSE)</f>
        <v>#N/A</v>
      </c>
    </row>
    <row r="97" spans="1:40" s="36" customFormat="1" ht="14.25" x14ac:dyDescent="0.2">
      <c r="A97" s="57"/>
      <c r="G97" s="58"/>
      <c r="K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AN97" s="36" t="e">
        <f>VLOOKUP(I97,Sheet1!A:D,4,FALSE)</f>
        <v>#N/A</v>
      </c>
    </row>
    <row r="98" spans="1:40" s="36" customFormat="1" ht="14.25" x14ac:dyDescent="0.2">
      <c r="A98" s="57"/>
      <c r="G98" s="58"/>
      <c r="K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AN98" s="36" t="e">
        <f>VLOOKUP(I98,Sheet1!A:D,4,FALSE)</f>
        <v>#N/A</v>
      </c>
    </row>
    <row r="99" spans="1:40" s="36" customFormat="1" ht="14.25" x14ac:dyDescent="0.2">
      <c r="A99" s="57"/>
      <c r="G99" s="58"/>
      <c r="K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AN99" s="36" t="e">
        <f>VLOOKUP(I99,Sheet1!A:D,4,FALSE)</f>
        <v>#N/A</v>
      </c>
    </row>
    <row r="100" spans="1:40" s="36" customFormat="1" ht="14.25" x14ac:dyDescent="0.2">
      <c r="A100" s="57"/>
      <c r="G100" s="58"/>
      <c r="K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AN100" s="36" t="e">
        <f>VLOOKUP(I100,Sheet1!A:D,4,FALSE)</f>
        <v>#N/A</v>
      </c>
    </row>
    <row r="101" spans="1:40" s="36" customFormat="1" ht="14.25" x14ac:dyDescent="0.2">
      <c r="A101" s="57"/>
      <c r="G101" s="58"/>
      <c r="K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AN101" s="36" t="e">
        <f>VLOOKUP(I101,Sheet1!A:D,4,FALSE)</f>
        <v>#N/A</v>
      </c>
    </row>
    <row r="102" spans="1:40" s="36" customFormat="1" ht="14.25" x14ac:dyDescent="0.2">
      <c r="A102" s="57"/>
      <c r="G102" s="58"/>
      <c r="K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AN102" s="36" t="e">
        <f>VLOOKUP(I102,Sheet1!A:D,4,FALSE)</f>
        <v>#N/A</v>
      </c>
    </row>
    <row r="103" spans="1:40" s="36" customFormat="1" ht="14.25" x14ac:dyDescent="0.2">
      <c r="A103" s="57"/>
      <c r="G103" s="58"/>
      <c r="K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AN103" s="36" t="e">
        <f>VLOOKUP(I103,Sheet1!A:D,4,FALSE)</f>
        <v>#N/A</v>
      </c>
    </row>
    <row r="104" spans="1:40" s="36" customFormat="1" ht="14.25" x14ac:dyDescent="0.2">
      <c r="A104" s="57"/>
      <c r="G104" s="58"/>
      <c r="K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AN104" s="36" t="e">
        <f>VLOOKUP(I104,Sheet1!A:D,4,FALSE)</f>
        <v>#N/A</v>
      </c>
    </row>
    <row r="105" spans="1:40" s="36" customFormat="1" ht="14.25" x14ac:dyDescent="0.2">
      <c r="A105" s="57"/>
      <c r="G105" s="58"/>
      <c r="K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AN105" s="36" t="e">
        <f>VLOOKUP(I105,Sheet1!A:D,4,FALSE)</f>
        <v>#N/A</v>
      </c>
    </row>
    <row r="106" spans="1:40" s="36" customFormat="1" ht="14.25" x14ac:dyDescent="0.2">
      <c r="A106" s="57"/>
      <c r="G106" s="58"/>
      <c r="K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AN106" s="36" t="e">
        <f>VLOOKUP(I106,Sheet1!A:D,4,FALSE)</f>
        <v>#N/A</v>
      </c>
    </row>
    <row r="107" spans="1:40" s="36" customFormat="1" ht="14.25" x14ac:dyDescent="0.2">
      <c r="A107" s="57"/>
      <c r="G107" s="58"/>
      <c r="K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AN107" s="36" t="e">
        <f>VLOOKUP(I107,Sheet1!A:D,4,FALSE)</f>
        <v>#N/A</v>
      </c>
    </row>
    <row r="108" spans="1:40" s="36" customFormat="1" ht="14.25" x14ac:dyDescent="0.2">
      <c r="A108" s="57"/>
      <c r="G108" s="58"/>
      <c r="K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AN108" s="36" t="e">
        <f>VLOOKUP(I108,Sheet1!A:D,4,FALSE)</f>
        <v>#N/A</v>
      </c>
    </row>
    <row r="109" spans="1:40" s="36" customFormat="1" ht="14.25" x14ac:dyDescent="0.2">
      <c r="A109" s="57"/>
      <c r="G109" s="58"/>
      <c r="K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AN109" s="36" t="e">
        <f>VLOOKUP(I109,Sheet1!A:D,4,FALSE)</f>
        <v>#N/A</v>
      </c>
    </row>
    <row r="110" spans="1:40" s="36" customFormat="1" ht="14.25" x14ac:dyDescent="0.2">
      <c r="A110" s="57"/>
      <c r="G110" s="58"/>
      <c r="K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AN110" s="36" t="e">
        <f>VLOOKUP(I110,Sheet1!A:D,4,FALSE)</f>
        <v>#N/A</v>
      </c>
    </row>
    <row r="111" spans="1:40" s="36" customFormat="1" ht="14.25" x14ac:dyDescent="0.2">
      <c r="A111" s="57"/>
      <c r="G111" s="58"/>
      <c r="K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AN111" s="36" t="e">
        <f>VLOOKUP(I111,Sheet1!A:D,4,FALSE)</f>
        <v>#N/A</v>
      </c>
    </row>
    <row r="112" spans="1:40" s="36" customFormat="1" ht="14.25" x14ac:dyDescent="0.2">
      <c r="A112" s="57"/>
      <c r="G112" s="58"/>
      <c r="K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AN112" s="36" t="e">
        <f>VLOOKUP(I112,Sheet1!A:D,4,FALSE)</f>
        <v>#N/A</v>
      </c>
    </row>
    <row r="113" spans="1:40" s="36" customFormat="1" ht="14.25" x14ac:dyDescent="0.2">
      <c r="A113" s="57"/>
      <c r="G113" s="58"/>
      <c r="K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AN113" s="36" t="e">
        <f>VLOOKUP(I113,Sheet1!A:D,4,FALSE)</f>
        <v>#N/A</v>
      </c>
    </row>
    <row r="114" spans="1:40" s="36" customFormat="1" ht="14.25" x14ac:dyDescent="0.2">
      <c r="A114" s="57"/>
      <c r="G114" s="58"/>
      <c r="K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AN114" s="36" t="e">
        <f>VLOOKUP(I114,Sheet1!A:D,4,FALSE)</f>
        <v>#N/A</v>
      </c>
    </row>
    <row r="115" spans="1:40" s="36" customFormat="1" ht="14.25" x14ac:dyDescent="0.2">
      <c r="A115" s="57"/>
      <c r="G115" s="58"/>
      <c r="K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AN115" s="36" t="e">
        <f>VLOOKUP(I115,Sheet1!A:D,4,FALSE)</f>
        <v>#N/A</v>
      </c>
    </row>
    <row r="116" spans="1:40" s="36" customFormat="1" ht="14.25" x14ac:dyDescent="0.2">
      <c r="A116" s="57"/>
      <c r="G116" s="58"/>
      <c r="K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AN116" s="36" t="e">
        <f>VLOOKUP(I116,Sheet1!A:D,4,FALSE)</f>
        <v>#N/A</v>
      </c>
    </row>
    <row r="117" spans="1:40" s="36" customFormat="1" ht="14.25" x14ac:dyDescent="0.2">
      <c r="A117" s="57"/>
      <c r="G117" s="58"/>
      <c r="K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AN117" s="36" t="e">
        <f>VLOOKUP(I117,Sheet1!A:D,4,FALSE)</f>
        <v>#N/A</v>
      </c>
    </row>
    <row r="118" spans="1:40" s="36" customFormat="1" ht="14.25" x14ac:dyDescent="0.2">
      <c r="A118" s="57"/>
      <c r="G118" s="58"/>
      <c r="K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AN118" s="36" t="e">
        <f>VLOOKUP(I118,Sheet1!A:D,4,FALSE)</f>
        <v>#N/A</v>
      </c>
    </row>
    <row r="119" spans="1:40" s="36" customFormat="1" ht="14.25" x14ac:dyDescent="0.2">
      <c r="A119" s="57"/>
      <c r="G119" s="58"/>
      <c r="K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AN119" s="36" t="e">
        <f>VLOOKUP(I119,Sheet1!A:D,4,FALSE)</f>
        <v>#N/A</v>
      </c>
    </row>
    <row r="120" spans="1:40" s="36" customFormat="1" ht="14.25" x14ac:dyDescent="0.2">
      <c r="A120" s="57"/>
      <c r="G120" s="58"/>
      <c r="K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AN120" s="36" t="e">
        <f>VLOOKUP(I120,Sheet1!A:D,4,FALSE)</f>
        <v>#N/A</v>
      </c>
    </row>
    <row r="121" spans="1:40" s="36" customFormat="1" ht="14.25" x14ac:dyDescent="0.2">
      <c r="A121" s="57"/>
      <c r="G121" s="58"/>
      <c r="K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AN121" s="36" t="e">
        <f>VLOOKUP(I121,Sheet1!A:D,4,FALSE)</f>
        <v>#N/A</v>
      </c>
    </row>
    <row r="122" spans="1:40" s="62" customFormat="1" ht="14.25" x14ac:dyDescent="0.2">
      <c r="A122" s="61"/>
      <c r="G122" s="63"/>
      <c r="K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AN122" s="62" t="e">
        <f>VLOOKUP(I122,Sheet1!A:D,4,FALSE)</f>
        <v>#N/A</v>
      </c>
    </row>
    <row r="123" spans="1:40" s="62" customFormat="1" ht="14.25" x14ac:dyDescent="0.2">
      <c r="A123" s="61"/>
      <c r="G123" s="63"/>
      <c r="K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AN123" s="62" t="e">
        <f>VLOOKUP(I123,Sheet1!A:D,4,FALSE)</f>
        <v>#N/A</v>
      </c>
    </row>
    <row r="124" spans="1:40" s="62" customFormat="1" ht="14.25" x14ac:dyDescent="0.2">
      <c r="A124" s="61"/>
      <c r="G124" s="63"/>
      <c r="K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AN124" s="62" t="e">
        <f>VLOOKUP(I124,Sheet1!A:D,4,FALSE)</f>
        <v>#N/A</v>
      </c>
    </row>
    <row r="125" spans="1:40" s="62" customFormat="1" ht="14.25" x14ac:dyDescent="0.2">
      <c r="A125" s="61"/>
      <c r="G125" s="63"/>
      <c r="K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AN125" s="62" t="e">
        <f>VLOOKUP(I125,Sheet1!A:D,4,FALSE)</f>
        <v>#N/A</v>
      </c>
    </row>
    <row r="126" spans="1:40" s="62" customFormat="1" ht="14.25" x14ac:dyDescent="0.2">
      <c r="A126" s="61"/>
      <c r="G126" s="63"/>
      <c r="K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AN126" s="62" t="e">
        <f>VLOOKUP(I126,Sheet1!A:D,4,FALSE)</f>
        <v>#N/A</v>
      </c>
    </row>
    <row r="127" spans="1:40" s="62" customFormat="1" ht="14.25" x14ac:dyDescent="0.2">
      <c r="A127" s="61"/>
      <c r="G127" s="63"/>
      <c r="K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AN127" s="62" t="e">
        <f>VLOOKUP(I127,Sheet1!A:D,4,FALSE)</f>
        <v>#N/A</v>
      </c>
    </row>
    <row r="128" spans="1:40" s="62" customFormat="1" ht="14.25" x14ac:dyDescent="0.2">
      <c r="A128" s="61"/>
      <c r="G128" s="63"/>
      <c r="K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AN128" s="62" t="e">
        <f>VLOOKUP(I128,Sheet1!A:D,4,FALSE)</f>
        <v>#N/A</v>
      </c>
    </row>
    <row r="129" spans="1:40" s="62" customFormat="1" ht="14.25" x14ac:dyDescent="0.2">
      <c r="A129" s="61"/>
      <c r="G129" s="63"/>
      <c r="K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AN129" s="62" t="e">
        <f>VLOOKUP(I129,Sheet1!A:D,4,FALSE)</f>
        <v>#N/A</v>
      </c>
    </row>
    <row r="130" spans="1:40" s="62" customFormat="1" ht="14.25" x14ac:dyDescent="0.2">
      <c r="A130" s="61"/>
      <c r="G130" s="63"/>
      <c r="K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AN130" s="62" t="e">
        <f>VLOOKUP(I130,Sheet1!A:D,4,FALSE)</f>
        <v>#N/A</v>
      </c>
    </row>
    <row r="131" spans="1:40" s="62" customFormat="1" ht="14.25" x14ac:dyDescent="0.2">
      <c r="A131" s="61"/>
      <c r="G131" s="63"/>
      <c r="K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AN131" s="62" t="e">
        <f>VLOOKUP(I131,Sheet1!A:D,4,FALSE)</f>
        <v>#N/A</v>
      </c>
    </row>
    <row r="132" spans="1:40" s="62" customFormat="1" ht="14.25" x14ac:dyDescent="0.2">
      <c r="A132" s="61"/>
      <c r="G132" s="63"/>
      <c r="K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AN132" s="62" t="e">
        <f>VLOOKUP(I132,Sheet1!A:D,4,FALSE)</f>
        <v>#N/A</v>
      </c>
    </row>
    <row r="133" spans="1:40" s="62" customFormat="1" ht="14.25" x14ac:dyDescent="0.2">
      <c r="A133" s="61"/>
      <c r="G133" s="63"/>
      <c r="K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AN133" s="62" t="e">
        <f>VLOOKUP(I133,Sheet1!A:D,4,FALSE)</f>
        <v>#N/A</v>
      </c>
    </row>
    <row r="134" spans="1:40" s="62" customFormat="1" ht="14.25" x14ac:dyDescent="0.2">
      <c r="A134" s="61"/>
      <c r="G134" s="63"/>
      <c r="K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AN134" s="62" t="e">
        <f>VLOOKUP(I134,Sheet1!A:D,4,FALSE)</f>
        <v>#N/A</v>
      </c>
    </row>
    <row r="135" spans="1:40" s="62" customFormat="1" ht="14.25" x14ac:dyDescent="0.2">
      <c r="A135" s="61"/>
      <c r="G135" s="63"/>
      <c r="K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AN135" s="62" t="e">
        <f>VLOOKUP(I135,Sheet1!A:D,4,FALSE)</f>
        <v>#N/A</v>
      </c>
    </row>
    <row r="136" spans="1:40" s="62" customFormat="1" ht="14.25" x14ac:dyDescent="0.2">
      <c r="A136" s="61"/>
      <c r="G136" s="63"/>
      <c r="K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AN136" s="62" t="e">
        <f>VLOOKUP(I136,Sheet1!A:D,4,FALSE)</f>
        <v>#N/A</v>
      </c>
    </row>
    <row r="137" spans="1:40" s="62" customFormat="1" ht="14.25" x14ac:dyDescent="0.2">
      <c r="A137" s="61"/>
      <c r="G137" s="63"/>
      <c r="K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AN137" s="62" t="e">
        <f>VLOOKUP(I137,Sheet1!A:D,4,FALSE)</f>
        <v>#N/A</v>
      </c>
    </row>
    <row r="138" spans="1:40" s="62" customFormat="1" ht="14.25" x14ac:dyDescent="0.2">
      <c r="A138" s="61"/>
      <c r="G138" s="63"/>
      <c r="K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AN138" s="62" t="e">
        <f>VLOOKUP(I138,Sheet1!A:D,4,FALSE)</f>
        <v>#N/A</v>
      </c>
    </row>
    <row r="139" spans="1:40" s="62" customFormat="1" ht="14.25" x14ac:dyDescent="0.2">
      <c r="A139" s="61"/>
      <c r="G139" s="63"/>
      <c r="K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AN139" s="62" t="e">
        <f>VLOOKUP(I139,Sheet1!A:D,4,FALSE)</f>
        <v>#N/A</v>
      </c>
    </row>
    <row r="140" spans="1:40" s="62" customFormat="1" ht="14.25" x14ac:dyDescent="0.2">
      <c r="A140" s="61"/>
      <c r="G140" s="63"/>
      <c r="K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AN140" s="62" t="e">
        <f>VLOOKUP(I140,Sheet1!A:D,4,FALSE)</f>
        <v>#N/A</v>
      </c>
    </row>
    <row r="141" spans="1:40" s="62" customFormat="1" ht="14.25" x14ac:dyDescent="0.2">
      <c r="A141" s="61"/>
      <c r="G141" s="63"/>
      <c r="K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AN141" s="62" t="e">
        <f>VLOOKUP(I141,Sheet1!A:D,4,FALSE)</f>
        <v>#N/A</v>
      </c>
    </row>
    <row r="142" spans="1:40" s="62" customFormat="1" ht="14.25" x14ac:dyDescent="0.2">
      <c r="A142" s="61"/>
      <c r="G142" s="63"/>
      <c r="K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AN142" s="62" t="e">
        <f>VLOOKUP(I142,Sheet1!A:D,4,FALSE)</f>
        <v>#N/A</v>
      </c>
    </row>
    <row r="143" spans="1:40" s="62" customFormat="1" ht="14.25" x14ac:dyDescent="0.2">
      <c r="A143" s="61"/>
      <c r="G143" s="63"/>
      <c r="K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AN143" s="62" t="e">
        <f>VLOOKUP(I143,Sheet1!A:D,4,FALSE)</f>
        <v>#N/A</v>
      </c>
    </row>
    <row r="144" spans="1:40" s="62" customFormat="1" ht="14.25" x14ac:dyDescent="0.2">
      <c r="A144" s="61"/>
      <c r="G144" s="63"/>
      <c r="K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AN144" s="62" t="e">
        <f>VLOOKUP(I144,Sheet1!A:D,4,FALSE)</f>
        <v>#N/A</v>
      </c>
    </row>
    <row r="145" spans="1:40" s="62" customFormat="1" ht="14.25" x14ac:dyDescent="0.2">
      <c r="A145" s="61"/>
      <c r="G145" s="63"/>
      <c r="K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AN145" s="62" t="e">
        <f>VLOOKUP(I145,Sheet1!A:D,4,FALSE)</f>
        <v>#N/A</v>
      </c>
    </row>
    <row r="146" spans="1:40" s="62" customFormat="1" ht="14.25" x14ac:dyDescent="0.2">
      <c r="A146" s="61"/>
      <c r="G146" s="63"/>
      <c r="K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AN146" s="62" t="e">
        <f>VLOOKUP(I146,Sheet1!A:D,4,FALSE)</f>
        <v>#N/A</v>
      </c>
    </row>
    <row r="147" spans="1:40" s="62" customFormat="1" ht="14.25" x14ac:dyDescent="0.2">
      <c r="A147" s="61"/>
      <c r="G147" s="63"/>
      <c r="K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AN147" s="62" t="e">
        <f>VLOOKUP(I147,Sheet1!A:D,4,FALSE)</f>
        <v>#N/A</v>
      </c>
    </row>
    <row r="148" spans="1:40" s="62" customFormat="1" ht="14.25" x14ac:dyDescent="0.2">
      <c r="A148" s="61"/>
      <c r="G148" s="63"/>
      <c r="K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AN148" s="62" t="e">
        <f>VLOOKUP(I148,Sheet1!A:D,4,FALSE)</f>
        <v>#N/A</v>
      </c>
    </row>
    <row r="149" spans="1:40" s="62" customFormat="1" ht="14.25" x14ac:dyDescent="0.2">
      <c r="A149" s="61"/>
      <c r="G149" s="63"/>
      <c r="K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AN149" s="62" t="e">
        <f>VLOOKUP(I149,Sheet1!A:D,4,FALSE)</f>
        <v>#N/A</v>
      </c>
    </row>
    <row r="150" spans="1:40" s="62" customFormat="1" ht="14.25" x14ac:dyDescent="0.2">
      <c r="A150" s="61"/>
      <c r="G150" s="63"/>
      <c r="K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AN150" s="62" t="e">
        <f>VLOOKUP(I150,Sheet1!A:D,4,FALSE)</f>
        <v>#N/A</v>
      </c>
    </row>
    <row r="151" spans="1:40" s="62" customFormat="1" ht="14.25" x14ac:dyDescent="0.2">
      <c r="A151" s="61"/>
      <c r="G151" s="63"/>
      <c r="K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AN151" s="62" t="e">
        <f>VLOOKUP(I151,Sheet1!A:D,4,FALSE)</f>
        <v>#N/A</v>
      </c>
    </row>
    <row r="152" spans="1:40" s="62" customFormat="1" ht="14.25" x14ac:dyDescent="0.2">
      <c r="A152" s="61"/>
      <c r="G152" s="63"/>
      <c r="K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AN152" s="62" t="e">
        <f>VLOOKUP(I152,Sheet1!A:D,4,FALSE)</f>
        <v>#N/A</v>
      </c>
    </row>
    <row r="153" spans="1:40" s="62" customFormat="1" ht="14.25" x14ac:dyDescent="0.2">
      <c r="A153" s="61"/>
      <c r="G153" s="63"/>
      <c r="K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AN153" s="62" t="e">
        <f>VLOOKUP(I153,Sheet1!A:D,4,FALSE)</f>
        <v>#N/A</v>
      </c>
    </row>
    <row r="154" spans="1:40" s="62" customFormat="1" ht="14.25" x14ac:dyDescent="0.2">
      <c r="A154" s="61"/>
      <c r="G154" s="63"/>
      <c r="K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AN154" s="62" t="e">
        <f>VLOOKUP(I154,Sheet1!A:D,4,FALSE)</f>
        <v>#N/A</v>
      </c>
    </row>
    <row r="155" spans="1:40" s="62" customFormat="1" ht="14.25" x14ac:dyDescent="0.2">
      <c r="A155" s="61"/>
      <c r="G155" s="63"/>
      <c r="K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AN155" s="62" t="e">
        <f>VLOOKUP(I155,Sheet1!A:D,4,FALSE)</f>
        <v>#N/A</v>
      </c>
    </row>
    <row r="156" spans="1:40" s="62" customFormat="1" ht="14.25" x14ac:dyDescent="0.2">
      <c r="A156" s="61"/>
      <c r="G156" s="63"/>
      <c r="K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AN156" s="62" t="e">
        <f>VLOOKUP(I156,Sheet1!A:D,4,FALSE)</f>
        <v>#N/A</v>
      </c>
    </row>
    <row r="157" spans="1:40" s="62" customFormat="1" ht="14.25" x14ac:dyDescent="0.2">
      <c r="A157" s="61"/>
      <c r="G157" s="63"/>
      <c r="K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AN157" s="62" t="e">
        <f>VLOOKUP(I157,Sheet1!A:D,4,FALSE)</f>
        <v>#N/A</v>
      </c>
    </row>
    <row r="158" spans="1:40" s="62" customFormat="1" ht="14.25" x14ac:dyDescent="0.2">
      <c r="A158" s="61"/>
      <c r="G158" s="63"/>
      <c r="K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AN158" s="62" t="e">
        <f>VLOOKUP(I158,Sheet1!A:D,4,FALSE)</f>
        <v>#N/A</v>
      </c>
    </row>
    <row r="159" spans="1:40" s="62" customFormat="1" ht="14.25" x14ac:dyDescent="0.2">
      <c r="A159" s="61"/>
      <c r="G159" s="63"/>
      <c r="K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AN159" s="62" t="e">
        <f>VLOOKUP(I159,Sheet1!A:D,4,FALSE)</f>
        <v>#N/A</v>
      </c>
    </row>
    <row r="160" spans="1:40" s="62" customFormat="1" ht="14.25" x14ac:dyDescent="0.2">
      <c r="A160" s="61"/>
      <c r="G160" s="63"/>
      <c r="K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AN160" s="62" t="e">
        <f>VLOOKUP(I160,Sheet1!A:D,4,FALSE)</f>
        <v>#N/A</v>
      </c>
    </row>
    <row r="161" spans="1:40" s="62" customFormat="1" ht="14.25" x14ac:dyDescent="0.2">
      <c r="A161" s="61"/>
      <c r="G161" s="63"/>
      <c r="K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AN161" s="62" t="e">
        <f>VLOOKUP(I161,Sheet1!A:D,4,FALSE)</f>
        <v>#N/A</v>
      </c>
    </row>
    <row r="162" spans="1:40" s="62" customFormat="1" ht="14.25" x14ac:dyDescent="0.2">
      <c r="A162" s="61"/>
      <c r="G162" s="63"/>
      <c r="K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AN162" s="62" t="e">
        <f>VLOOKUP(I162,Sheet1!A:D,4,FALSE)</f>
        <v>#N/A</v>
      </c>
    </row>
    <row r="163" spans="1:40" s="62" customFormat="1" ht="14.25" x14ac:dyDescent="0.2">
      <c r="A163" s="61"/>
      <c r="G163" s="63"/>
      <c r="K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AN163" s="62" t="e">
        <f>VLOOKUP(I163,Sheet1!A:D,4,FALSE)</f>
        <v>#N/A</v>
      </c>
    </row>
    <row r="164" spans="1:40" s="62" customFormat="1" ht="14.25" x14ac:dyDescent="0.2">
      <c r="A164" s="61"/>
      <c r="G164" s="63"/>
      <c r="K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AN164" s="62" t="e">
        <f>VLOOKUP(I164,Sheet1!A:D,4,FALSE)</f>
        <v>#N/A</v>
      </c>
    </row>
    <row r="165" spans="1:40" s="62" customFormat="1" ht="14.25" x14ac:dyDescent="0.2">
      <c r="A165" s="61"/>
      <c r="G165" s="63"/>
      <c r="K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AN165" s="62" t="e">
        <f>VLOOKUP(I165,Sheet1!A:D,4,FALSE)</f>
        <v>#N/A</v>
      </c>
    </row>
    <row r="166" spans="1:40" s="62" customFormat="1" ht="14.25" x14ac:dyDescent="0.2">
      <c r="A166" s="61"/>
      <c r="G166" s="63"/>
      <c r="K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AN166" s="62" t="e">
        <f>VLOOKUP(I166,Sheet1!A:D,4,FALSE)</f>
        <v>#N/A</v>
      </c>
    </row>
    <row r="167" spans="1:40" s="62" customFormat="1" ht="14.25" x14ac:dyDescent="0.2">
      <c r="A167" s="61"/>
      <c r="G167" s="63"/>
      <c r="K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AN167" s="62" t="e">
        <f>VLOOKUP(I167,Sheet1!A:D,4,FALSE)</f>
        <v>#N/A</v>
      </c>
    </row>
    <row r="168" spans="1:40" s="62" customFormat="1" ht="14.25" x14ac:dyDescent="0.2">
      <c r="A168" s="61"/>
      <c r="G168" s="63"/>
      <c r="K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AN168" s="62" t="e">
        <f>VLOOKUP(I168,Sheet1!A:D,4,FALSE)</f>
        <v>#N/A</v>
      </c>
    </row>
    <row r="169" spans="1:40" s="62" customFormat="1" ht="14.25" x14ac:dyDescent="0.2">
      <c r="A169" s="61"/>
      <c r="G169" s="63"/>
      <c r="K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AN169" s="62" t="e">
        <f>VLOOKUP(I169,Sheet1!A:D,4,FALSE)</f>
        <v>#N/A</v>
      </c>
    </row>
    <row r="170" spans="1:40" s="62" customFormat="1" ht="14.25" x14ac:dyDescent="0.2">
      <c r="A170" s="61"/>
      <c r="G170" s="63"/>
      <c r="K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AN170" s="62" t="e">
        <f>VLOOKUP(I170,Sheet1!A:D,4,FALSE)</f>
        <v>#N/A</v>
      </c>
    </row>
    <row r="171" spans="1:40" s="62" customFormat="1" ht="14.25" x14ac:dyDescent="0.2">
      <c r="A171" s="61"/>
      <c r="G171" s="63"/>
      <c r="K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AN171" s="62" t="e">
        <f>VLOOKUP(I171,Sheet1!A:D,4,FALSE)</f>
        <v>#N/A</v>
      </c>
    </row>
    <row r="172" spans="1:40" s="62" customFormat="1" ht="14.25" x14ac:dyDescent="0.2">
      <c r="A172" s="61"/>
      <c r="G172" s="63"/>
      <c r="K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AN172" s="62" t="e">
        <f>VLOOKUP(I172,Sheet1!A:D,4,FALSE)</f>
        <v>#N/A</v>
      </c>
    </row>
    <row r="173" spans="1:40" s="62" customFormat="1" ht="14.25" x14ac:dyDescent="0.2">
      <c r="A173" s="61"/>
      <c r="G173" s="63"/>
      <c r="K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AN173" s="62" t="e">
        <f>VLOOKUP(I173,Sheet1!A:D,4,FALSE)</f>
        <v>#N/A</v>
      </c>
    </row>
    <row r="174" spans="1:40" s="62" customFormat="1" ht="14.25" x14ac:dyDescent="0.2">
      <c r="A174" s="61"/>
      <c r="G174" s="63"/>
      <c r="K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AN174" s="62" t="e">
        <f>VLOOKUP(I174,Sheet1!A:D,4,FALSE)</f>
        <v>#N/A</v>
      </c>
    </row>
    <row r="175" spans="1:40" s="62" customFormat="1" ht="14.25" x14ac:dyDescent="0.2">
      <c r="A175" s="61"/>
      <c r="G175" s="63"/>
      <c r="K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AN175" s="62" t="e">
        <f>VLOOKUP(I175,Sheet1!A:D,4,FALSE)</f>
        <v>#N/A</v>
      </c>
    </row>
    <row r="176" spans="1:40" s="62" customFormat="1" ht="14.25" x14ac:dyDescent="0.2">
      <c r="A176" s="61"/>
      <c r="G176" s="63"/>
      <c r="K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AN176" s="62" t="e">
        <f>VLOOKUP(I176,Sheet1!A:D,4,FALSE)</f>
        <v>#N/A</v>
      </c>
    </row>
    <row r="177" spans="1:40" s="62" customFormat="1" ht="14.25" x14ac:dyDescent="0.2">
      <c r="A177" s="61"/>
      <c r="G177" s="63"/>
      <c r="K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AN177" s="62" t="e">
        <f>VLOOKUP(I177,Sheet1!A:D,4,FALSE)</f>
        <v>#N/A</v>
      </c>
    </row>
    <row r="178" spans="1:40" s="62" customFormat="1" ht="14.25" x14ac:dyDescent="0.2">
      <c r="A178" s="61"/>
      <c r="G178" s="63"/>
      <c r="K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AN178" s="62" t="e">
        <f>VLOOKUP(I178,Sheet1!A:D,4,FALSE)</f>
        <v>#N/A</v>
      </c>
    </row>
    <row r="179" spans="1:40" s="62" customFormat="1" ht="14.25" x14ac:dyDescent="0.2">
      <c r="A179" s="61"/>
      <c r="G179" s="63"/>
      <c r="K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AN179" s="62" t="e">
        <f>VLOOKUP(I179,Sheet1!A:D,4,FALSE)</f>
        <v>#N/A</v>
      </c>
    </row>
    <row r="180" spans="1:40" s="62" customFormat="1" ht="14.25" x14ac:dyDescent="0.2">
      <c r="A180" s="61"/>
      <c r="G180" s="63"/>
      <c r="K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AN180" s="62" t="e">
        <f>VLOOKUP(I180,Sheet1!A:D,4,FALSE)</f>
        <v>#N/A</v>
      </c>
    </row>
    <row r="181" spans="1:40" s="62" customFormat="1" ht="14.25" x14ac:dyDescent="0.2">
      <c r="A181" s="61"/>
      <c r="G181" s="63"/>
      <c r="K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AN181" s="62" t="e">
        <f>VLOOKUP(I181,Sheet1!A:D,4,FALSE)</f>
        <v>#N/A</v>
      </c>
    </row>
    <row r="182" spans="1:40" s="62" customFormat="1" ht="14.25" x14ac:dyDescent="0.2">
      <c r="A182" s="61"/>
      <c r="G182" s="63"/>
      <c r="K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AN182" s="62" t="e">
        <f>VLOOKUP(I182,Sheet1!A:D,4,FALSE)</f>
        <v>#N/A</v>
      </c>
    </row>
    <row r="183" spans="1:40" s="62" customFormat="1" ht="14.25" x14ac:dyDescent="0.2">
      <c r="A183" s="61"/>
      <c r="G183" s="63"/>
      <c r="K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AN183" s="62" t="e">
        <f>VLOOKUP(I183,Sheet1!A:D,4,FALSE)</f>
        <v>#N/A</v>
      </c>
    </row>
    <row r="184" spans="1:40" s="62" customFormat="1" ht="14.25" x14ac:dyDescent="0.2">
      <c r="A184" s="61"/>
      <c r="G184" s="63"/>
      <c r="K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AN184" s="62" t="e">
        <f>VLOOKUP(I184,Sheet1!A:D,4,FALSE)</f>
        <v>#N/A</v>
      </c>
    </row>
    <row r="185" spans="1:40" s="62" customFormat="1" ht="14.25" x14ac:dyDescent="0.2">
      <c r="A185" s="61"/>
      <c r="G185" s="63"/>
      <c r="K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AN185" s="62" t="e">
        <f>VLOOKUP(I185,Sheet1!A:D,4,FALSE)</f>
        <v>#N/A</v>
      </c>
    </row>
    <row r="186" spans="1:40" s="62" customFormat="1" ht="14.25" x14ac:dyDescent="0.2">
      <c r="A186" s="61"/>
      <c r="G186" s="63"/>
      <c r="K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AN186" s="62" t="e">
        <f>VLOOKUP(I186,Sheet1!A:D,4,FALSE)</f>
        <v>#N/A</v>
      </c>
    </row>
    <row r="187" spans="1:40" s="62" customFormat="1" ht="14.25" x14ac:dyDescent="0.2">
      <c r="A187" s="61"/>
      <c r="G187" s="63"/>
      <c r="K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AN187" s="62" t="e">
        <f>VLOOKUP(I187,Sheet1!A:D,4,FALSE)</f>
        <v>#N/A</v>
      </c>
    </row>
    <row r="188" spans="1:40" s="62" customFormat="1" ht="14.25" x14ac:dyDescent="0.2">
      <c r="A188" s="61"/>
      <c r="G188" s="63"/>
      <c r="K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AN188" s="62" t="e">
        <f>VLOOKUP(I188,Sheet1!A:D,4,FALSE)</f>
        <v>#N/A</v>
      </c>
    </row>
    <row r="189" spans="1:40" s="62" customFormat="1" ht="14.25" x14ac:dyDescent="0.2">
      <c r="A189" s="61"/>
      <c r="G189" s="63"/>
      <c r="K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AN189" s="62" t="e">
        <f>VLOOKUP(I189,Sheet1!A:D,4,FALSE)</f>
        <v>#N/A</v>
      </c>
    </row>
    <row r="190" spans="1:40" s="62" customFormat="1" ht="14.25" x14ac:dyDescent="0.2">
      <c r="A190" s="61"/>
      <c r="G190" s="63"/>
      <c r="K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AN190" s="62" t="e">
        <f>VLOOKUP(I190,Sheet1!A:D,4,FALSE)</f>
        <v>#N/A</v>
      </c>
    </row>
    <row r="191" spans="1:40" s="62" customFormat="1" ht="14.25" x14ac:dyDescent="0.2">
      <c r="A191" s="61"/>
      <c r="G191" s="63"/>
      <c r="K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AN191" s="62" t="e">
        <f>VLOOKUP(I191,Sheet1!A:D,4,FALSE)</f>
        <v>#N/A</v>
      </c>
    </row>
    <row r="192" spans="1:40" s="62" customFormat="1" ht="14.25" x14ac:dyDescent="0.2">
      <c r="A192" s="61"/>
      <c r="G192" s="63"/>
      <c r="K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AN192" s="62" t="e">
        <f>VLOOKUP(I192,Sheet1!A:D,4,FALSE)</f>
        <v>#N/A</v>
      </c>
    </row>
    <row r="193" spans="1:40" s="62" customFormat="1" ht="14.25" x14ac:dyDescent="0.2">
      <c r="A193" s="61"/>
      <c r="G193" s="63"/>
      <c r="K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AN193" s="62" t="e">
        <f>VLOOKUP(I193,Sheet1!A:D,4,FALSE)</f>
        <v>#N/A</v>
      </c>
    </row>
    <row r="194" spans="1:40" s="62" customFormat="1" ht="14.25" x14ac:dyDescent="0.2">
      <c r="A194" s="61"/>
      <c r="G194" s="63"/>
      <c r="K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AN194" s="62" t="e">
        <f>VLOOKUP(I194,Sheet1!A:D,4,FALSE)</f>
        <v>#N/A</v>
      </c>
    </row>
    <row r="195" spans="1:40" s="62" customFormat="1" ht="14.25" x14ac:dyDescent="0.2">
      <c r="A195" s="61"/>
      <c r="G195" s="63"/>
      <c r="K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AN195" s="62" t="e">
        <f>VLOOKUP(I195,Sheet1!A:D,4,FALSE)</f>
        <v>#N/A</v>
      </c>
    </row>
    <row r="196" spans="1:40" s="62" customFormat="1" ht="14.25" x14ac:dyDescent="0.2">
      <c r="A196" s="61"/>
      <c r="G196" s="63"/>
      <c r="K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AN196" s="62" t="e">
        <f>VLOOKUP(I196,Sheet1!A:D,4,FALSE)</f>
        <v>#N/A</v>
      </c>
    </row>
    <row r="197" spans="1:40" s="62" customFormat="1" ht="14.25" x14ac:dyDescent="0.2">
      <c r="A197" s="61"/>
      <c r="G197" s="63"/>
      <c r="K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AN197" s="62" t="e">
        <f>VLOOKUP(I197,Sheet1!A:D,4,FALSE)</f>
        <v>#N/A</v>
      </c>
    </row>
    <row r="198" spans="1:40" s="62" customFormat="1" ht="14.25" x14ac:dyDescent="0.2">
      <c r="A198" s="61"/>
      <c r="G198" s="63"/>
      <c r="K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AN198" s="62" t="e">
        <f>VLOOKUP(I198,Sheet1!A:D,4,FALSE)</f>
        <v>#N/A</v>
      </c>
    </row>
    <row r="199" spans="1:40" s="62" customFormat="1" ht="14.25" x14ac:dyDescent="0.2">
      <c r="A199" s="61"/>
      <c r="G199" s="63"/>
      <c r="K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AN199" s="62" t="e">
        <f>VLOOKUP(I199,Sheet1!A:D,4,FALSE)</f>
        <v>#N/A</v>
      </c>
    </row>
    <row r="200" spans="1:40" s="62" customFormat="1" ht="14.25" x14ac:dyDescent="0.2">
      <c r="A200" s="61"/>
      <c r="G200" s="63"/>
      <c r="K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AN200" s="62" t="e">
        <f>VLOOKUP(I200,Sheet1!A:D,4,FALSE)</f>
        <v>#N/A</v>
      </c>
    </row>
    <row r="201" spans="1:40" s="62" customFormat="1" ht="14.25" x14ac:dyDescent="0.2">
      <c r="A201" s="61"/>
      <c r="G201" s="63"/>
      <c r="K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AN201" s="62" t="e">
        <f>VLOOKUP(I201,Sheet1!A:D,4,FALSE)</f>
        <v>#N/A</v>
      </c>
    </row>
    <row r="202" spans="1:40" s="62" customFormat="1" ht="14.25" x14ac:dyDescent="0.2">
      <c r="A202" s="61"/>
      <c r="G202" s="63"/>
      <c r="K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AN202" s="62" t="e">
        <f>VLOOKUP(I202,Sheet1!A:D,4,FALSE)</f>
        <v>#N/A</v>
      </c>
    </row>
    <row r="203" spans="1:40" s="62" customFormat="1" ht="14.25" x14ac:dyDescent="0.2">
      <c r="A203" s="61"/>
      <c r="G203" s="63"/>
      <c r="K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AN203" s="62" t="e">
        <f>VLOOKUP(I203,Sheet1!A:D,4,FALSE)</f>
        <v>#N/A</v>
      </c>
    </row>
    <row r="204" spans="1:40" s="62" customFormat="1" ht="14.25" x14ac:dyDescent="0.2">
      <c r="A204" s="61"/>
      <c r="G204" s="63"/>
      <c r="K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AN204" s="62" t="e">
        <f>VLOOKUP(I204,Sheet1!A:D,4,FALSE)</f>
        <v>#N/A</v>
      </c>
    </row>
    <row r="205" spans="1:40" s="62" customFormat="1" ht="14.25" x14ac:dyDescent="0.2">
      <c r="A205" s="61"/>
      <c r="G205" s="63"/>
      <c r="K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AN205" s="62" t="e">
        <f>VLOOKUP(I205,Sheet1!A:D,4,FALSE)</f>
        <v>#N/A</v>
      </c>
    </row>
    <row r="206" spans="1:40" s="62" customFormat="1" ht="14.25" x14ac:dyDescent="0.2">
      <c r="A206" s="61"/>
      <c r="G206" s="63"/>
      <c r="K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AN206" s="62" t="e">
        <f>VLOOKUP(I206,Sheet1!A:D,4,FALSE)</f>
        <v>#N/A</v>
      </c>
    </row>
    <row r="207" spans="1:40" s="62" customFormat="1" ht="14.25" x14ac:dyDescent="0.2">
      <c r="A207" s="61"/>
      <c r="G207" s="63"/>
      <c r="K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AN207" s="62" t="e">
        <f>VLOOKUP(I207,Sheet1!A:D,4,FALSE)</f>
        <v>#N/A</v>
      </c>
    </row>
    <row r="208" spans="1:40" s="62" customFormat="1" ht="14.25" x14ac:dyDescent="0.2">
      <c r="A208" s="61"/>
      <c r="G208" s="63"/>
      <c r="K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AN208" s="62" t="e">
        <f>VLOOKUP(I208,Sheet1!A:D,4,FALSE)</f>
        <v>#N/A</v>
      </c>
    </row>
    <row r="209" spans="1:40" s="62" customFormat="1" ht="14.25" x14ac:dyDescent="0.2">
      <c r="A209" s="61"/>
      <c r="G209" s="63"/>
      <c r="K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AN209" s="62" t="e">
        <f>VLOOKUP(I209,Sheet1!A:D,4,FALSE)</f>
        <v>#N/A</v>
      </c>
    </row>
    <row r="210" spans="1:40" s="62" customFormat="1" ht="14.25" x14ac:dyDescent="0.2">
      <c r="A210" s="61"/>
      <c r="G210" s="63"/>
      <c r="K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AN210" s="62" t="e">
        <f>VLOOKUP(I210,Sheet1!A:D,4,FALSE)</f>
        <v>#N/A</v>
      </c>
    </row>
    <row r="211" spans="1:40" s="62" customFormat="1" ht="14.25" x14ac:dyDescent="0.2">
      <c r="A211" s="61"/>
      <c r="G211" s="63"/>
      <c r="K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AN211" s="62" t="e">
        <f>VLOOKUP(I211,Sheet1!A:D,4,FALSE)</f>
        <v>#N/A</v>
      </c>
    </row>
    <row r="212" spans="1:40" s="62" customFormat="1" ht="14.25" x14ac:dyDescent="0.2">
      <c r="A212" s="61"/>
      <c r="G212" s="63"/>
      <c r="K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AN212" s="62" t="e">
        <f>VLOOKUP(I212,Sheet1!A:D,4,FALSE)</f>
        <v>#N/A</v>
      </c>
    </row>
    <row r="213" spans="1:40" s="62" customFormat="1" ht="14.25" x14ac:dyDescent="0.2">
      <c r="A213" s="61"/>
      <c r="G213" s="63"/>
      <c r="K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AN213" s="62" t="e">
        <f>VLOOKUP(I213,Sheet1!A:D,4,FALSE)</f>
        <v>#N/A</v>
      </c>
    </row>
    <row r="214" spans="1:40" s="62" customFormat="1" ht="14.25" x14ac:dyDescent="0.2">
      <c r="A214" s="61"/>
      <c r="G214" s="63"/>
      <c r="K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</row>
    <row r="215" spans="1:40" s="62" customFormat="1" ht="14.25" x14ac:dyDescent="0.2">
      <c r="A215" s="61"/>
      <c r="G215" s="63"/>
      <c r="K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</row>
    <row r="216" spans="1:40" s="62" customFormat="1" ht="14.25" x14ac:dyDescent="0.2">
      <c r="A216" s="61"/>
      <c r="G216" s="63"/>
      <c r="K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</row>
    <row r="217" spans="1:40" s="62" customFormat="1" ht="14.25" x14ac:dyDescent="0.2">
      <c r="A217" s="61"/>
      <c r="G217" s="63"/>
      <c r="K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</row>
    <row r="218" spans="1:40" s="62" customFormat="1" ht="14.25" x14ac:dyDescent="0.2">
      <c r="A218" s="61"/>
      <c r="G218" s="63"/>
      <c r="K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</row>
    <row r="219" spans="1:40" s="62" customFormat="1" ht="14.25" x14ac:dyDescent="0.2">
      <c r="A219" s="61"/>
      <c r="G219" s="63"/>
      <c r="K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</row>
    <row r="220" spans="1:40" s="62" customFormat="1" ht="14.25" x14ac:dyDescent="0.2">
      <c r="A220" s="61"/>
      <c r="G220" s="63"/>
      <c r="K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</row>
    <row r="221" spans="1:40" s="62" customFormat="1" ht="14.25" x14ac:dyDescent="0.2">
      <c r="A221" s="61"/>
      <c r="G221" s="63"/>
      <c r="K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</row>
    <row r="222" spans="1:40" s="62" customFormat="1" ht="14.25" x14ac:dyDescent="0.2">
      <c r="A222" s="61"/>
      <c r="G222" s="63"/>
      <c r="K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</row>
    <row r="223" spans="1:40" s="62" customFormat="1" ht="14.25" x14ac:dyDescent="0.2">
      <c r="A223" s="61"/>
      <c r="G223" s="63"/>
      <c r="K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</row>
    <row r="224" spans="1:40" s="62" customFormat="1" ht="14.25" x14ac:dyDescent="0.2">
      <c r="A224" s="61"/>
      <c r="G224" s="63"/>
      <c r="K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</row>
    <row r="225" spans="1:24" s="62" customFormat="1" ht="14.25" x14ac:dyDescent="0.2">
      <c r="A225" s="61"/>
      <c r="G225" s="63"/>
      <c r="K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</row>
    <row r="226" spans="1:24" s="62" customFormat="1" ht="14.25" x14ac:dyDescent="0.2">
      <c r="A226" s="61"/>
      <c r="G226" s="63"/>
      <c r="K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</row>
    <row r="227" spans="1:24" s="62" customFormat="1" ht="14.25" x14ac:dyDescent="0.2">
      <c r="A227" s="61"/>
      <c r="G227" s="63"/>
      <c r="K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</row>
    <row r="228" spans="1:24" s="62" customFormat="1" ht="14.25" x14ac:dyDescent="0.2">
      <c r="A228" s="61"/>
      <c r="G228" s="63"/>
      <c r="K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</row>
    <row r="229" spans="1:24" s="62" customFormat="1" ht="14.25" x14ac:dyDescent="0.2">
      <c r="A229" s="61"/>
      <c r="G229" s="63"/>
      <c r="K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</row>
    <row r="230" spans="1:24" s="62" customFormat="1" ht="14.25" x14ac:dyDescent="0.2">
      <c r="A230" s="61"/>
      <c r="G230" s="63"/>
      <c r="K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</row>
    <row r="231" spans="1:24" s="62" customFormat="1" ht="14.25" x14ac:dyDescent="0.2">
      <c r="A231" s="61"/>
      <c r="G231" s="63"/>
      <c r="K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</row>
    <row r="232" spans="1:24" s="62" customFormat="1" ht="14.25" x14ac:dyDescent="0.2">
      <c r="A232" s="61"/>
      <c r="G232" s="63"/>
      <c r="K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</row>
    <row r="233" spans="1:24" s="62" customFormat="1" ht="14.25" x14ac:dyDescent="0.2">
      <c r="A233" s="61"/>
      <c r="G233" s="63"/>
      <c r="K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</row>
    <row r="234" spans="1:24" s="62" customFormat="1" ht="14.25" x14ac:dyDescent="0.2">
      <c r="A234" s="61"/>
      <c r="G234" s="63"/>
      <c r="K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</row>
    <row r="235" spans="1:24" s="62" customFormat="1" ht="14.25" x14ac:dyDescent="0.2">
      <c r="A235" s="61"/>
      <c r="G235" s="63"/>
      <c r="K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</row>
  </sheetData>
  <autoFilter ref="A6:AR6" xr:uid="{B81481A4-378F-4C6B-98F2-764BDD1B0273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E487-69B9-4BE1-9C78-FB44E2CE4C62}">
  <dimension ref="A1:AU236"/>
  <sheetViews>
    <sheetView topLeftCell="T1" workbookViewId="0">
      <selection activeCell="AN6" sqref="AN6"/>
    </sheetView>
  </sheetViews>
  <sheetFormatPr defaultRowHeight="15" x14ac:dyDescent="0.25"/>
  <cols>
    <col min="1" max="1" width="14.7109375" style="23" bestFit="1" customWidth="1"/>
    <col min="7" max="7" width="10.7109375" style="30" bestFit="1" customWidth="1"/>
    <col min="11" max="13" width="9.140625" style="25"/>
    <col min="14" max="16" width="11.5703125" style="25" bestFit="1" customWidth="1"/>
    <col min="17" max="18" width="9.28515625" style="25" bestFit="1" customWidth="1"/>
    <col min="19" max="19" width="9.140625" style="25"/>
    <col min="20" max="22" width="10.5703125" style="25" bestFit="1" customWidth="1"/>
    <col min="23" max="23" width="9.28515625" style="25" bestFit="1" customWidth="1"/>
    <col min="24" max="24" width="10.5703125" style="25" bestFit="1" customWidth="1"/>
    <col min="45" max="45" width="56.85546875" hidden="1" customWidth="1"/>
  </cols>
  <sheetData>
    <row r="1" spans="1:47" s="74" customFormat="1" x14ac:dyDescent="0.25">
      <c r="A1" s="89"/>
      <c r="G1" s="90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</row>
    <row r="2" spans="1:47" s="74" customFormat="1" x14ac:dyDescent="0.25">
      <c r="A2" s="89"/>
      <c r="G2" s="90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1:47" s="74" customFormat="1" x14ac:dyDescent="0.25">
      <c r="A3" s="89"/>
      <c r="G3" s="90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</row>
    <row r="4" spans="1:47" s="74" customFormat="1" x14ac:dyDescent="0.25">
      <c r="A4" s="89"/>
      <c r="G4" s="90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</row>
    <row r="5" spans="1:47" s="74" customFormat="1" x14ac:dyDescent="0.25">
      <c r="A5" s="89" t="s">
        <v>230</v>
      </c>
      <c r="G5" s="90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</row>
    <row r="6" spans="1:47" s="118" customFormat="1" ht="15" customHeight="1" x14ac:dyDescent="0.25">
      <c r="A6" s="112" t="s">
        <v>0</v>
      </c>
      <c r="B6" s="113" t="s">
        <v>1</v>
      </c>
      <c r="C6" s="113" t="s">
        <v>2</v>
      </c>
      <c r="D6" s="113" t="s">
        <v>4</v>
      </c>
      <c r="E6" s="113" t="s">
        <v>3</v>
      </c>
      <c r="F6" s="113" t="s">
        <v>5</v>
      </c>
      <c r="G6" s="114" t="s">
        <v>6</v>
      </c>
      <c r="H6" s="113" t="s">
        <v>7</v>
      </c>
      <c r="I6" s="113" t="s">
        <v>8</v>
      </c>
      <c r="J6" s="113" t="s">
        <v>9</v>
      </c>
      <c r="K6" s="115" t="s">
        <v>10</v>
      </c>
      <c r="L6" s="115" t="s">
        <v>11</v>
      </c>
      <c r="M6" s="115" t="s">
        <v>12</v>
      </c>
      <c r="N6" s="115" t="s">
        <v>13</v>
      </c>
      <c r="O6" s="115" t="s">
        <v>14</v>
      </c>
      <c r="P6" s="115" t="s">
        <v>15</v>
      </c>
      <c r="Q6" s="115" t="s">
        <v>16</v>
      </c>
      <c r="R6" s="115" t="s">
        <v>17</v>
      </c>
      <c r="S6" s="115" t="s">
        <v>18</v>
      </c>
      <c r="T6" s="115" t="s">
        <v>19</v>
      </c>
      <c r="U6" s="115" t="s">
        <v>20</v>
      </c>
      <c r="V6" s="115" t="s">
        <v>21</v>
      </c>
      <c r="W6" s="115" t="s">
        <v>22</v>
      </c>
      <c r="X6" s="115" t="s">
        <v>23</v>
      </c>
      <c r="Y6" s="113" t="s">
        <v>24</v>
      </c>
      <c r="Z6" s="113" t="s">
        <v>25</v>
      </c>
      <c r="AA6" s="113" t="s">
        <v>26</v>
      </c>
      <c r="AB6" s="113" t="s">
        <v>27</v>
      </c>
      <c r="AC6" s="113" t="s">
        <v>28</v>
      </c>
      <c r="AD6" s="113" t="s">
        <v>29</v>
      </c>
      <c r="AE6" s="113" t="s">
        <v>30</v>
      </c>
      <c r="AF6" s="113" t="s">
        <v>31</v>
      </c>
      <c r="AG6" s="113" t="s">
        <v>32</v>
      </c>
      <c r="AH6" s="113" t="s">
        <v>33</v>
      </c>
      <c r="AI6" s="113" t="s">
        <v>34</v>
      </c>
      <c r="AJ6" s="113" t="s">
        <v>35</v>
      </c>
      <c r="AK6" s="113" t="s">
        <v>36</v>
      </c>
      <c r="AL6" s="113" t="s">
        <v>37</v>
      </c>
      <c r="AM6" s="113" t="s">
        <v>38</v>
      </c>
      <c r="AN6" s="84" t="s">
        <v>696</v>
      </c>
      <c r="AO6" s="119" t="s">
        <v>59</v>
      </c>
      <c r="AP6" s="113"/>
      <c r="AQ6" s="113"/>
      <c r="AR6" s="113"/>
      <c r="AS6" s="126" t="s">
        <v>39</v>
      </c>
      <c r="AT6" s="127"/>
      <c r="AU6" s="128"/>
    </row>
    <row r="7" spans="1:47" s="36" customFormat="1" ht="14.25" x14ac:dyDescent="0.2">
      <c r="A7" s="57"/>
      <c r="G7" s="58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AN7" s="36" t="e">
        <f>VLOOKUP(I7,Sheet1!A:D,K4,FALSE)</f>
        <v>#N/A</v>
      </c>
    </row>
    <row r="8" spans="1:47" s="36" customFormat="1" ht="14.25" x14ac:dyDescent="0.2">
      <c r="A8" s="57"/>
      <c r="G8" s="58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AN8" s="36" t="e">
        <f>VLOOKUP(I8,Sheet1!A:D,K5,FALSE)</f>
        <v>#N/A</v>
      </c>
    </row>
    <row r="9" spans="1:47" s="36" customFormat="1" ht="14.25" x14ac:dyDescent="0.2">
      <c r="A9" s="57"/>
      <c r="G9" s="58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AN9" s="36" t="e">
        <f>VLOOKUP(I9,Sheet1!A:D,K6,FALSE)</f>
        <v>#N/A</v>
      </c>
    </row>
    <row r="10" spans="1:47" s="36" customFormat="1" ht="14.25" x14ac:dyDescent="0.2">
      <c r="A10" s="57"/>
      <c r="G10" s="58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AN10" s="36" t="e">
        <f>VLOOKUP(I10,Sheet1!A:D,K7,FALSE)</f>
        <v>#N/A</v>
      </c>
    </row>
    <row r="11" spans="1:47" s="36" customFormat="1" ht="14.25" x14ac:dyDescent="0.2">
      <c r="A11" s="57"/>
      <c r="G11" s="58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AN11" s="36" t="e">
        <f>VLOOKUP(I11,Sheet1!A:D,K8,FALSE)</f>
        <v>#N/A</v>
      </c>
    </row>
    <row r="12" spans="1:47" s="36" customFormat="1" ht="14.25" x14ac:dyDescent="0.2">
      <c r="A12" s="57"/>
      <c r="G12" s="58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AN12" s="36" t="e">
        <f>VLOOKUP(I12,Sheet1!A:D,K9,FALSE)</f>
        <v>#N/A</v>
      </c>
    </row>
    <row r="13" spans="1:47" s="36" customFormat="1" ht="14.25" x14ac:dyDescent="0.2">
      <c r="A13" s="57"/>
      <c r="G13" s="58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AN13" s="36" t="e">
        <f>VLOOKUP(I13,Sheet1!A:D,K10,FALSE)</f>
        <v>#N/A</v>
      </c>
    </row>
    <row r="14" spans="1:47" s="36" customFormat="1" ht="14.25" x14ac:dyDescent="0.2">
      <c r="A14" s="57"/>
      <c r="G14" s="58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AN14" s="36" t="e">
        <f>VLOOKUP(I14,Sheet1!A:D,K11,FALSE)</f>
        <v>#N/A</v>
      </c>
    </row>
    <row r="15" spans="1:47" s="36" customFormat="1" ht="14.25" x14ac:dyDescent="0.2">
      <c r="A15" s="57"/>
      <c r="G15" s="58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AN15" s="36" t="e">
        <f>VLOOKUP(I15,Sheet1!A:D,K12,FALSE)</f>
        <v>#N/A</v>
      </c>
    </row>
    <row r="16" spans="1:47" s="36" customFormat="1" ht="14.25" x14ac:dyDescent="0.2">
      <c r="A16" s="57"/>
      <c r="G16" s="58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AN16" s="36" t="e">
        <f>VLOOKUP(I16,Sheet1!A:D,K13,FALSE)</f>
        <v>#N/A</v>
      </c>
    </row>
    <row r="17" spans="1:40" s="36" customFormat="1" ht="14.25" x14ac:dyDescent="0.2">
      <c r="A17" s="57"/>
      <c r="G17" s="58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AN17" s="36" t="e">
        <f>VLOOKUP(I17,Sheet1!A:D,K14,FALSE)</f>
        <v>#N/A</v>
      </c>
    </row>
    <row r="18" spans="1:40" s="36" customFormat="1" ht="14.25" x14ac:dyDescent="0.2">
      <c r="A18" s="57"/>
      <c r="G18" s="58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AN18" s="36" t="e">
        <f>VLOOKUP(I18,Sheet1!A:D,K15,FALSE)</f>
        <v>#N/A</v>
      </c>
    </row>
    <row r="19" spans="1:40" s="36" customFormat="1" ht="14.25" x14ac:dyDescent="0.2">
      <c r="A19" s="57"/>
      <c r="G19" s="58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AN19" s="36" t="e">
        <f>VLOOKUP(I19,Sheet1!A:D,K16,FALSE)</f>
        <v>#N/A</v>
      </c>
    </row>
    <row r="20" spans="1:40" s="36" customFormat="1" ht="14.25" x14ac:dyDescent="0.2">
      <c r="A20" s="57"/>
      <c r="G20" s="58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AN20" s="36" t="e">
        <f>VLOOKUP(I20,Sheet1!A:D,K17,FALSE)</f>
        <v>#N/A</v>
      </c>
    </row>
    <row r="21" spans="1:40" s="36" customFormat="1" ht="14.25" x14ac:dyDescent="0.2">
      <c r="A21" s="57"/>
      <c r="G21" s="58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AN21" s="36" t="e">
        <f>VLOOKUP(I21,Sheet1!A:D,K18,FALSE)</f>
        <v>#N/A</v>
      </c>
    </row>
    <row r="22" spans="1:40" s="36" customFormat="1" ht="14.25" x14ac:dyDescent="0.2">
      <c r="A22" s="57"/>
      <c r="G22" s="58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AN22" s="36" t="e">
        <f>VLOOKUP(I22,Sheet1!A:D,K19,FALSE)</f>
        <v>#N/A</v>
      </c>
    </row>
    <row r="23" spans="1:40" s="36" customFormat="1" ht="14.25" x14ac:dyDescent="0.2">
      <c r="A23" s="57"/>
      <c r="G23" s="58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AN23" s="36" t="e">
        <f>VLOOKUP(I23,Sheet1!A:D,K20,FALSE)</f>
        <v>#N/A</v>
      </c>
    </row>
    <row r="24" spans="1:40" s="36" customFormat="1" ht="14.25" x14ac:dyDescent="0.2">
      <c r="A24" s="57"/>
      <c r="G24" s="58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AN24" s="36" t="e">
        <f>VLOOKUP(I24,Sheet1!A:D,K21,FALSE)</f>
        <v>#N/A</v>
      </c>
    </row>
    <row r="25" spans="1:40" s="36" customFormat="1" ht="14.25" x14ac:dyDescent="0.2">
      <c r="A25" s="57"/>
      <c r="G25" s="58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AN25" s="36" t="e">
        <f>VLOOKUP(I25,Sheet1!A:D,K22,FALSE)</f>
        <v>#N/A</v>
      </c>
    </row>
    <row r="26" spans="1:40" s="36" customFormat="1" ht="14.25" x14ac:dyDescent="0.2">
      <c r="A26" s="57"/>
      <c r="G26" s="58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AN26" s="36" t="e">
        <f>VLOOKUP(I26,Sheet1!A:D,K23,FALSE)</f>
        <v>#N/A</v>
      </c>
    </row>
    <row r="27" spans="1:40" s="36" customFormat="1" ht="14.25" x14ac:dyDescent="0.2">
      <c r="A27" s="57"/>
      <c r="G27" s="58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AN27" s="36" t="e">
        <f>VLOOKUP(I27,Sheet1!A:D,K24,FALSE)</f>
        <v>#N/A</v>
      </c>
    </row>
    <row r="28" spans="1:40" s="36" customFormat="1" ht="14.25" x14ac:dyDescent="0.2">
      <c r="A28" s="57"/>
      <c r="G28" s="58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AN28" s="36" t="e">
        <f>VLOOKUP(I28,Sheet1!A:D,K25,FALSE)</f>
        <v>#N/A</v>
      </c>
    </row>
    <row r="29" spans="1:40" s="36" customFormat="1" ht="14.25" x14ac:dyDescent="0.2">
      <c r="A29" s="57"/>
      <c r="G29" s="58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AN29" s="36" t="e">
        <f>VLOOKUP(I29,Sheet1!A:D,K26,FALSE)</f>
        <v>#N/A</v>
      </c>
    </row>
    <row r="30" spans="1:40" s="36" customFormat="1" ht="14.25" x14ac:dyDescent="0.2">
      <c r="A30" s="57"/>
      <c r="G30" s="58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AN30" s="36" t="e">
        <f>VLOOKUP(I30,Sheet1!A:D,K27,FALSE)</f>
        <v>#N/A</v>
      </c>
    </row>
    <row r="31" spans="1:40" s="36" customFormat="1" ht="14.25" x14ac:dyDescent="0.2">
      <c r="A31" s="57"/>
      <c r="G31" s="58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AN31" s="36" t="e">
        <f>VLOOKUP(I31,Sheet1!A:D,K28,FALSE)</f>
        <v>#N/A</v>
      </c>
    </row>
    <row r="32" spans="1:40" s="36" customFormat="1" ht="14.25" x14ac:dyDescent="0.2">
      <c r="A32" s="57"/>
      <c r="G32" s="58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AN32" s="36" t="e">
        <f>VLOOKUP(I32,Sheet1!A:D,K29,FALSE)</f>
        <v>#N/A</v>
      </c>
    </row>
    <row r="33" spans="1:40" s="36" customFormat="1" ht="14.25" x14ac:dyDescent="0.2">
      <c r="A33" s="57"/>
      <c r="G33" s="58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AN33" s="36" t="e">
        <f>VLOOKUP(I33,Sheet1!A:D,K30,FALSE)</f>
        <v>#N/A</v>
      </c>
    </row>
    <row r="34" spans="1:40" s="36" customFormat="1" ht="14.25" x14ac:dyDescent="0.2">
      <c r="A34" s="57"/>
      <c r="G34" s="58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AN34" s="36" t="e">
        <f>VLOOKUP(I34,Sheet1!A:D,K31,FALSE)</f>
        <v>#N/A</v>
      </c>
    </row>
    <row r="35" spans="1:40" s="36" customFormat="1" ht="14.25" x14ac:dyDescent="0.2">
      <c r="A35" s="57"/>
      <c r="G35" s="58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AN35" s="36" t="e">
        <f>VLOOKUP(I35,Sheet1!A:D,K32,FALSE)</f>
        <v>#N/A</v>
      </c>
    </row>
    <row r="36" spans="1:40" s="36" customFormat="1" ht="14.25" x14ac:dyDescent="0.2">
      <c r="A36" s="57"/>
      <c r="G36" s="58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AN36" s="36" t="e">
        <f>VLOOKUP(I36,Sheet1!A:D,K33,FALSE)</f>
        <v>#N/A</v>
      </c>
    </row>
    <row r="37" spans="1:40" s="36" customFormat="1" ht="14.25" x14ac:dyDescent="0.2">
      <c r="A37" s="57"/>
      <c r="G37" s="58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AN37" s="36" t="e">
        <f>VLOOKUP(I37,Sheet1!A:D,K34,FALSE)</f>
        <v>#N/A</v>
      </c>
    </row>
    <row r="38" spans="1:40" s="36" customFormat="1" ht="14.25" x14ac:dyDescent="0.2">
      <c r="A38" s="57"/>
      <c r="G38" s="58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AN38" s="36" t="e">
        <f>VLOOKUP(I38,Sheet1!A:D,K35,FALSE)</f>
        <v>#N/A</v>
      </c>
    </row>
    <row r="39" spans="1:40" s="36" customFormat="1" ht="14.25" x14ac:dyDescent="0.2">
      <c r="A39" s="57"/>
      <c r="G39" s="58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AN39" s="36" t="e">
        <f>VLOOKUP(I39,Sheet1!A:D,K36,FALSE)</f>
        <v>#N/A</v>
      </c>
    </row>
    <row r="40" spans="1:40" s="36" customFormat="1" ht="14.25" x14ac:dyDescent="0.2">
      <c r="A40" s="57"/>
      <c r="G40" s="5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AN40" s="36" t="e">
        <f>VLOOKUP(I40,Sheet1!A:D,K37,FALSE)</f>
        <v>#N/A</v>
      </c>
    </row>
    <row r="41" spans="1:40" s="36" customFormat="1" ht="14.25" x14ac:dyDescent="0.2">
      <c r="A41" s="57"/>
      <c r="G41" s="5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AN41" s="36" t="e">
        <f>VLOOKUP(I41,Sheet1!A:D,K38,FALSE)</f>
        <v>#N/A</v>
      </c>
    </row>
    <row r="42" spans="1:40" s="36" customFormat="1" ht="14.25" x14ac:dyDescent="0.2">
      <c r="A42" s="57"/>
      <c r="G42" s="5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AN42" s="36" t="e">
        <f>VLOOKUP(I42,Sheet1!A:D,K39,FALSE)</f>
        <v>#N/A</v>
      </c>
    </row>
    <row r="43" spans="1:40" s="36" customFormat="1" ht="14.25" x14ac:dyDescent="0.2">
      <c r="A43" s="57"/>
      <c r="G43" s="5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AN43" s="36" t="e">
        <f>VLOOKUP(I43,Sheet1!A:D,K40,FALSE)</f>
        <v>#N/A</v>
      </c>
    </row>
    <row r="44" spans="1:40" s="36" customFormat="1" ht="14.25" x14ac:dyDescent="0.2">
      <c r="A44" s="57"/>
      <c r="G44" s="5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AN44" s="36" t="e">
        <f>VLOOKUP(I44,Sheet1!A:D,K41,FALSE)</f>
        <v>#N/A</v>
      </c>
    </row>
    <row r="45" spans="1:40" s="36" customFormat="1" ht="14.25" x14ac:dyDescent="0.2">
      <c r="A45" s="57"/>
      <c r="G45" s="5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AN45" s="36" t="e">
        <f>VLOOKUP(I45,Sheet1!A:D,K42,FALSE)</f>
        <v>#N/A</v>
      </c>
    </row>
    <row r="46" spans="1:40" s="36" customFormat="1" ht="14.25" x14ac:dyDescent="0.2">
      <c r="A46" s="57"/>
      <c r="G46" s="5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AN46" s="36" t="e">
        <f>VLOOKUP(I46,Sheet1!A:D,K43,FALSE)</f>
        <v>#N/A</v>
      </c>
    </row>
    <row r="47" spans="1:40" s="36" customFormat="1" ht="14.25" x14ac:dyDescent="0.2">
      <c r="A47" s="57"/>
      <c r="G47" s="5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AN47" s="36" t="e">
        <f>VLOOKUP(I47,Sheet1!A:D,K44,FALSE)</f>
        <v>#N/A</v>
      </c>
    </row>
    <row r="48" spans="1:40" s="36" customFormat="1" ht="14.25" x14ac:dyDescent="0.2">
      <c r="A48" s="57"/>
      <c r="G48" s="5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AN48" s="36" t="e">
        <f>VLOOKUP(I48,Sheet1!A:D,K45,FALSE)</f>
        <v>#N/A</v>
      </c>
    </row>
    <row r="49" spans="1:40" s="36" customFormat="1" ht="14.25" x14ac:dyDescent="0.2">
      <c r="A49" s="57"/>
      <c r="G49" s="5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AN49" s="36" t="e">
        <f>VLOOKUP(I49,Sheet1!A:D,K46,FALSE)</f>
        <v>#N/A</v>
      </c>
    </row>
    <row r="50" spans="1:40" s="36" customFormat="1" ht="14.25" x14ac:dyDescent="0.2">
      <c r="A50" s="57"/>
      <c r="G50" s="5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AN50" s="36" t="e">
        <f>VLOOKUP(I50,Sheet1!A:D,K47,FALSE)</f>
        <v>#N/A</v>
      </c>
    </row>
    <row r="51" spans="1:40" s="36" customFormat="1" ht="14.25" x14ac:dyDescent="0.2">
      <c r="A51" s="57"/>
      <c r="G51" s="5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AN51" s="36" t="e">
        <f>VLOOKUP(I51,Sheet1!A:D,K48,FALSE)</f>
        <v>#N/A</v>
      </c>
    </row>
    <row r="52" spans="1:40" s="36" customFormat="1" ht="14.25" x14ac:dyDescent="0.2">
      <c r="A52" s="57"/>
      <c r="G52" s="5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AN52" s="36" t="e">
        <f>VLOOKUP(I52,Sheet1!A:D,K49,FALSE)</f>
        <v>#N/A</v>
      </c>
    </row>
    <row r="53" spans="1:40" s="36" customFormat="1" ht="14.25" x14ac:dyDescent="0.2">
      <c r="A53" s="57"/>
      <c r="G53" s="5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AN53" s="36" t="e">
        <f>VLOOKUP(I53,Sheet1!A:D,K50,FALSE)</f>
        <v>#N/A</v>
      </c>
    </row>
    <row r="54" spans="1:40" s="36" customFormat="1" ht="14.25" x14ac:dyDescent="0.2">
      <c r="A54" s="57"/>
      <c r="G54" s="5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AN54" s="36" t="e">
        <f>VLOOKUP(I54,Sheet1!A:D,K51,FALSE)</f>
        <v>#N/A</v>
      </c>
    </row>
    <row r="55" spans="1:40" s="36" customFormat="1" ht="14.25" x14ac:dyDescent="0.2">
      <c r="A55" s="57"/>
      <c r="G55" s="5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AN55" s="36" t="e">
        <f>VLOOKUP(I55,Sheet1!A:D,K52,FALSE)</f>
        <v>#N/A</v>
      </c>
    </row>
    <row r="56" spans="1:40" s="36" customFormat="1" ht="14.25" x14ac:dyDescent="0.2">
      <c r="A56" s="57"/>
      <c r="G56" s="5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AN56" s="36" t="e">
        <f>VLOOKUP(I56,Sheet1!A:D,K53,FALSE)</f>
        <v>#N/A</v>
      </c>
    </row>
    <row r="57" spans="1:40" s="36" customFormat="1" ht="14.25" x14ac:dyDescent="0.2">
      <c r="A57" s="57"/>
      <c r="G57" s="5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AN57" s="36" t="e">
        <f>VLOOKUP(I57,Sheet1!A:D,K54,FALSE)</f>
        <v>#N/A</v>
      </c>
    </row>
    <row r="58" spans="1:40" s="36" customFormat="1" ht="14.25" x14ac:dyDescent="0.2">
      <c r="A58" s="57"/>
      <c r="G58" s="5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AN58" s="36" t="e">
        <f>VLOOKUP(I58,Sheet1!A:D,K55,FALSE)</f>
        <v>#N/A</v>
      </c>
    </row>
    <row r="59" spans="1:40" s="36" customFormat="1" ht="14.25" x14ac:dyDescent="0.2">
      <c r="A59" s="57"/>
      <c r="G59" s="58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AN59" s="36" t="e">
        <f>VLOOKUP(I59,Sheet1!A:D,K56,FALSE)</f>
        <v>#N/A</v>
      </c>
    </row>
    <row r="60" spans="1:40" s="36" customFormat="1" ht="14.25" x14ac:dyDescent="0.2">
      <c r="A60" s="57"/>
      <c r="G60" s="58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AN60" s="36" t="e">
        <f>VLOOKUP(I60,Sheet1!A:D,K57,FALSE)</f>
        <v>#N/A</v>
      </c>
    </row>
    <row r="61" spans="1:40" s="36" customFormat="1" ht="14.25" x14ac:dyDescent="0.2">
      <c r="A61" s="57"/>
      <c r="G61" s="58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AN61" s="36" t="e">
        <f>VLOOKUP(I61,Sheet1!A:D,K58,FALSE)</f>
        <v>#N/A</v>
      </c>
    </row>
    <row r="62" spans="1:40" s="36" customFormat="1" ht="14.25" x14ac:dyDescent="0.2">
      <c r="A62" s="57"/>
      <c r="G62" s="58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AN62" s="36" t="e">
        <f>VLOOKUP(I62,Sheet1!A:D,K59,FALSE)</f>
        <v>#N/A</v>
      </c>
    </row>
    <row r="63" spans="1:40" s="36" customFormat="1" ht="14.25" x14ac:dyDescent="0.2">
      <c r="A63" s="57"/>
      <c r="G63" s="58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AN63" s="36" t="e">
        <f>VLOOKUP(I63,Sheet1!A:D,K60,FALSE)</f>
        <v>#N/A</v>
      </c>
    </row>
    <row r="64" spans="1:40" s="36" customFormat="1" ht="14.25" x14ac:dyDescent="0.2">
      <c r="A64" s="57"/>
      <c r="G64" s="58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AN64" s="36" t="e">
        <f>VLOOKUP(I64,Sheet1!A:D,K61,FALSE)</f>
        <v>#N/A</v>
      </c>
    </row>
    <row r="65" spans="1:40" s="36" customFormat="1" ht="14.25" x14ac:dyDescent="0.2">
      <c r="A65" s="57"/>
      <c r="G65" s="58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AN65" s="36" t="e">
        <f>VLOOKUP(I65,Sheet1!A:D,K62,FALSE)</f>
        <v>#N/A</v>
      </c>
    </row>
    <row r="66" spans="1:40" s="36" customFormat="1" ht="14.25" x14ac:dyDescent="0.2">
      <c r="A66" s="57"/>
      <c r="G66" s="58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AN66" s="36" t="e">
        <f>VLOOKUP(I66,Sheet1!A:D,K63,FALSE)</f>
        <v>#N/A</v>
      </c>
    </row>
    <row r="67" spans="1:40" s="36" customFormat="1" ht="14.25" x14ac:dyDescent="0.2">
      <c r="A67" s="57"/>
      <c r="G67" s="58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AN67" s="36" t="e">
        <f>VLOOKUP(I67,Sheet1!A:D,K64,FALSE)</f>
        <v>#N/A</v>
      </c>
    </row>
    <row r="68" spans="1:40" s="36" customFormat="1" ht="14.25" x14ac:dyDescent="0.2">
      <c r="A68" s="57"/>
      <c r="G68" s="58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AN68" s="36" t="e">
        <f>VLOOKUP(I68,Sheet1!A:D,K65,FALSE)</f>
        <v>#N/A</v>
      </c>
    </row>
    <row r="69" spans="1:40" s="36" customFormat="1" ht="14.25" x14ac:dyDescent="0.2">
      <c r="A69" s="57"/>
      <c r="G69" s="58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AN69" s="36" t="e">
        <f>VLOOKUP(I69,Sheet1!A:D,K66,FALSE)</f>
        <v>#N/A</v>
      </c>
    </row>
    <row r="70" spans="1:40" s="36" customFormat="1" ht="14.25" x14ac:dyDescent="0.2">
      <c r="A70" s="57"/>
      <c r="G70" s="58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AN70" s="36" t="e">
        <f>VLOOKUP(I70,Sheet1!A:D,K67,FALSE)</f>
        <v>#N/A</v>
      </c>
    </row>
    <row r="71" spans="1:40" s="36" customFormat="1" ht="14.25" x14ac:dyDescent="0.2">
      <c r="A71" s="57"/>
      <c r="G71" s="58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AN71" s="36" t="e">
        <f>VLOOKUP(I71,Sheet1!A:D,K68,FALSE)</f>
        <v>#N/A</v>
      </c>
    </row>
    <row r="72" spans="1:40" s="36" customFormat="1" ht="14.25" x14ac:dyDescent="0.2">
      <c r="A72" s="57"/>
      <c r="G72" s="58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AN72" s="36" t="e">
        <f>VLOOKUP(I72,Sheet1!A:D,K69,FALSE)</f>
        <v>#N/A</v>
      </c>
    </row>
    <row r="73" spans="1:40" s="36" customFormat="1" ht="14.25" x14ac:dyDescent="0.2">
      <c r="A73" s="57"/>
      <c r="G73" s="58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AN73" s="36" t="e">
        <f>VLOOKUP(I73,Sheet1!A:D,K70,FALSE)</f>
        <v>#N/A</v>
      </c>
    </row>
    <row r="74" spans="1:40" s="36" customFormat="1" ht="14.25" x14ac:dyDescent="0.2">
      <c r="A74" s="57"/>
      <c r="G74" s="58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AN74" s="36" t="e">
        <f>VLOOKUP(I74,Sheet1!A:D,K71,FALSE)</f>
        <v>#N/A</v>
      </c>
    </row>
    <row r="75" spans="1:40" s="36" customFormat="1" ht="14.25" x14ac:dyDescent="0.2">
      <c r="A75" s="57"/>
      <c r="G75" s="58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AN75" s="36" t="e">
        <f>VLOOKUP(I75,Sheet1!A:D,K72,FALSE)</f>
        <v>#N/A</v>
      </c>
    </row>
    <row r="76" spans="1:40" s="36" customFormat="1" ht="14.25" x14ac:dyDescent="0.2">
      <c r="A76" s="57"/>
      <c r="G76" s="58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AN76" s="36" t="e">
        <f>VLOOKUP(I76,Sheet1!A:D,K73,FALSE)</f>
        <v>#N/A</v>
      </c>
    </row>
    <row r="77" spans="1:40" s="36" customFormat="1" ht="14.25" x14ac:dyDescent="0.2">
      <c r="A77" s="57"/>
      <c r="G77" s="58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AN77" s="36" t="e">
        <f>VLOOKUP(I77,Sheet1!A:D,K74,FALSE)</f>
        <v>#N/A</v>
      </c>
    </row>
    <row r="78" spans="1:40" s="36" customFormat="1" ht="14.25" x14ac:dyDescent="0.2">
      <c r="A78" s="57"/>
      <c r="G78" s="58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AN78" s="36" t="e">
        <f>VLOOKUP(I78,Sheet1!A:D,K75,FALSE)</f>
        <v>#N/A</v>
      </c>
    </row>
    <row r="79" spans="1:40" s="36" customFormat="1" ht="14.25" x14ac:dyDescent="0.2">
      <c r="A79" s="57"/>
      <c r="G79" s="58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AN79" s="36" t="e">
        <f>VLOOKUP(I79,Sheet1!A:D,K76,FALSE)</f>
        <v>#N/A</v>
      </c>
    </row>
    <row r="80" spans="1:40" s="36" customFormat="1" ht="14.25" x14ac:dyDescent="0.2">
      <c r="A80" s="57"/>
      <c r="G80" s="58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AN80" s="36" t="e">
        <f>VLOOKUP(I80,Sheet1!A:D,K77,FALSE)</f>
        <v>#N/A</v>
      </c>
    </row>
    <row r="81" spans="1:40" s="36" customFormat="1" ht="14.25" x14ac:dyDescent="0.2">
      <c r="A81" s="57"/>
      <c r="G81" s="58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AN81" s="36" t="e">
        <f>VLOOKUP(I81,Sheet1!A:D,K78,FALSE)</f>
        <v>#N/A</v>
      </c>
    </row>
    <row r="82" spans="1:40" s="36" customFormat="1" ht="14.25" x14ac:dyDescent="0.2">
      <c r="A82" s="57"/>
      <c r="G82" s="58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AN82" s="36" t="e">
        <f>VLOOKUP(I82,Sheet1!A:D,K79,FALSE)</f>
        <v>#N/A</v>
      </c>
    </row>
    <row r="83" spans="1:40" s="36" customFormat="1" ht="14.25" x14ac:dyDescent="0.2">
      <c r="A83" s="57"/>
      <c r="G83" s="58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AN83" s="36" t="e">
        <f>VLOOKUP(I83,Sheet1!A:D,K80,FALSE)</f>
        <v>#N/A</v>
      </c>
    </row>
    <row r="84" spans="1:40" s="36" customFormat="1" ht="14.25" x14ac:dyDescent="0.2">
      <c r="A84" s="57"/>
      <c r="G84" s="58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AN84" s="36" t="e">
        <f>VLOOKUP(I84,Sheet1!A:D,K81,FALSE)</f>
        <v>#N/A</v>
      </c>
    </row>
    <row r="85" spans="1:40" s="62" customFormat="1" ht="14.25" x14ac:dyDescent="0.2">
      <c r="A85" s="61"/>
      <c r="G85" s="63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AN85" s="62" t="e">
        <f>VLOOKUP(I85,Sheet1!A:D,K82,FALSE)</f>
        <v>#N/A</v>
      </c>
    </row>
    <row r="86" spans="1:40" s="62" customFormat="1" ht="14.25" x14ac:dyDescent="0.2">
      <c r="A86" s="61"/>
      <c r="G86" s="63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AN86" s="62" t="e">
        <f>VLOOKUP(I86,Sheet1!A:D,K83,FALSE)</f>
        <v>#N/A</v>
      </c>
    </row>
    <row r="87" spans="1:40" s="62" customFormat="1" ht="14.25" x14ac:dyDescent="0.2">
      <c r="A87" s="61"/>
      <c r="G87" s="63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AN87" s="62" t="e">
        <f>VLOOKUP(I87,Sheet1!A:D,K84,FALSE)</f>
        <v>#N/A</v>
      </c>
    </row>
    <row r="88" spans="1:40" s="62" customFormat="1" ht="14.25" x14ac:dyDescent="0.2">
      <c r="A88" s="61"/>
      <c r="G88" s="63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AN88" s="62" t="e">
        <f>VLOOKUP(I88,Sheet1!A:D,K85,FALSE)</f>
        <v>#N/A</v>
      </c>
    </row>
    <row r="89" spans="1:40" s="62" customFormat="1" ht="14.25" x14ac:dyDescent="0.2">
      <c r="A89" s="61"/>
      <c r="G89" s="63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AN89" s="62" t="e">
        <f>VLOOKUP(I89,Sheet1!A:D,K86,FALSE)</f>
        <v>#N/A</v>
      </c>
    </row>
    <row r="90" spans="1:40" s="62" customFormat="1" ht="14.25" x14ac:dyDescent="0.2">
      <c r="A90" s="61"/>
      <c r="G90" s="63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AN90" s="62" t="e">
        <f>VLOOKUP(I90,Sheet1!A:D,K87,FALSE)</f>
        <v>#N/A</v>
      </c>
    </row>
    <row r="91" spans="1:40" s="62" customFormat="1" ht="14.25" x14ac:dyDescent="0.2">
      <c r="A91" s="61"/>
      <c r="G91" s="63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AN91" s="62" t="e">
        <f>VLOOKUP(I91,Sheet1!A:D,K88,FALSE)</f>
        <v>#N/A</v>
      </c>
    </row>
    <row r="92" spans="1:40" s="62" customFormat="1" ht="14.25" x14ac:dyDescent="0.2">
      <c r="A92" s="61"/>
      <c r="G92" s="63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AN92" s="62" t="e">
        <f>VLOOKUP(I92,Sheet1!A:D,K89,FALSE)</f>
        <v>#N/A</v>
      </c>
    </row>
    <row r="93" spans="1:40" s="62" customFormat="1" ht="14.25" x14ac:dyDescent="0.2">
      <c r="A93" s="61"/>
      <c r="G93" s="63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AN93" s="62" t="e">
        <f>VLOOKUP(I93,Sheet1!A:D,K90,FALSE)</f>
        <v>#N/A</v>
      </c>
    </row>
    <row r="94" spans="1:40" s="62" customFormat="1" ht="14.25" x14ac:dyDescent="0.2">
      <c r="A94" s="61"/>
      <c r="G94" s="63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AN94" s="62" t="e">
        <f>VLOOKUP(I94,Sheet1!A:D,K91,FALSE)</f>
        <v>#N/A</v>
      </c>
    </row>
    <row r="95" spans="1:40" s="62" customFormat="1" ht="14.25" x14ac:dyDescent="0.2">
      <c r="A95" s="61"/>
      <c r="G95" s="63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AN95" s="62" t="e">
        <f>VLOOKUP(I95,Sheet1!A:D,K92,FALSE)</f>
        <v>#N/A</v>
      </c>
    </row>
    <row r="96" spans="1:40" s="62" customFormat="1" ht="14.25" x14ac:dyDescent="0.2">
      <c r="A96" s="61"/>
      <c r="G96" s="63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AN96" s="62" t="e">
        <f>VLOOKUP(I96,Sheet1!A:D,K93,FALSE)</f>
        <v>#N/A</v>
      </c>
    </row>
    <row r="97" spans="1:40" s="62" customFormat="1" ht="14.25" x14ac:dyDescent="0.2">
      <c r="A97" s="61"/>
      <c r="G97" s="63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AN97" s="62" t="e">
        <f>VLOOKUP(I97,Sheet1!A:D,K94,FALSE)</f>
        <v>#N/A</v>
      </c>
    </row>
    <row r="98" spans="1:40" s="62" customFormat="1" ht="14.25" x14ac:dyDescent="0.2">
      <c r="A98" s="61"/>
      <c r="G98" s="63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AN98" s="62" t="e">
        <f>VLOOKUP(I98,Sheet1!A:D,K95,FALSE)</f>
        <v>#N/A</v>
      </c>
    </row>
    <row r="99" spans="1:40" s="62" customFormat="1" ht="14.25" x14ac:dyDescent="0.2">
      <c r="A99" s="61"/>
      <c r="G99" s="63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AN99" s="62" t="e">
        <f>VLOOKUP(I99,Sheet1!A:D,K96,FALSE)</f>
        <v>#N/A</v>
      </c>
    </row>
    <row r="100" spans="1:40" s="62" customFormat="1" ht="14.25" x14ac:dyDescent="0.2">
      <c r="A100" s="61"/>
      <c r="G100" s="63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AN100" s="62" t="e">
        <f>VLOOKUP(I100,Sheet1!A:D,K97,FALSE)</f>
        <v>#N/A</v>
      </c>
    </row>
    <row r="101" spans="1:40" s="62" customFormat="1" ht="14.25" x14ac:dyDescent="0.2">
      <c r="A101" s="61"/>
      <c r="G101" s="63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AN101" s="62" t="e">
        <f>VLOOKUP(I101,Sheet1!A:D,K98,FALSE)</f>
        <v>#N/A</v>
      </c>
    </row>
    <row r="102" spans="1:40" s="62" customFormat="1" ht="14.25" x14ac:dyDescent="0.2">
      <c r="A102" s="61"/>
      <c r="G102" s="63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AN102" s="62" t="e">
        <f>VLOOKUP(I102,Sheet1!A:D,K99,FALSE)</f>
        <v>#N/A</v>
      </c>
    </row>
    <row r="103" spans="1:40" s="62" customFormat="1" ht="14.25" x14ac:dyDescent="0.2">
      <c r="A103" s="61"/>
      <c r="G103" s="63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AN103" s="62" t="e">
        <f>VLOOKUP(I103,Sheet1!A:D,K100,FALSE)</f>
        <v>#N/A</v>
      </c>
    </row>
    <row r="104" spans="1:40" s="62" customFormat="1" ht="14.25" x14ac:dyDescent="0.2">
      <c r="A104" s="61"/>
      <c r="G104" s="63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AN104" s="62" t="e">
        <f>VLOOKUP(I104,Sheet1!A:D,K101,FALSE)</f>
        <v>#N/A</v>
      </c>
    </row>
    <row r="105" spans="1:40" s="62" customFormat="1" ht="14.25" x14ac:dyDescent="0.2">
      <c r="A105" s="61"/>
      <c r="G105" s="63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AN105" s="62" t="e">
        <f>VLOOKUP(I105,Sheet1!A:D,K102,FALSE)</f>
        <v>#N/A</v>
      </c>
    </row>
    <row r="106" spans="1:40" s="62" customFormat="1" ht="14.25" x14ac:dyDescent="0.2">
      <c r="A106" s="61"/>
      <c r="G106" s="63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AN106" s="62" t="e">
        <f>VLOOKUP(I106,Sheet1!A:D,K103,FALSE)</f>
        <v>#N/A</v>
      </c>
    </row>
    <row r="107" spans="1:40" s="62" customFormat="1" ht="14.25" x14ac:dyDescent="0.2">
      <c r="A107" s="61"/>
      <c r="G107" s="63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AN107" s="62" t="e">
        <f>VLOOKUP(I107,Sheet1!A:D,K104,FALSE)</f>
        <v>#N/A</v>
      </c>
    </row>
    <row r="108" spans="1:40" s="62" customFormat="1" ht="14.25" x14ac:dyDescent="0.2">
      <c r="A108" s="61"/>
      <c r="G108" s="63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AN108" s="62" t="e">
        <f>VLOOKUP(I108,Sheet1!A:D,K105,FALSE)</f>
        <v>#N/A</v>
      </c>
    </row>
    <row r="109" spans="1:40" s="62" customFormat="1" ht="14.25" x14ac:dyDescent="0.2">
      <c r="A109" s="61"/>
      <c r="G109" s="63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AN109" s="62" t="e">
        <f>VLOOKUP(I109,Sheet1!A:D,K106,FALSE)</f>
        <v>#N/A</v>
      </c>
    </row>
    <row r="110" spans="1:40" s="62" customFormat="1" ht="14.25" x14ac:dyDescent="0.2">
      <c r="A110" s="61"/>
      <c r="G110" s="63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AN110" s="62" t="e">
        <f>VLOOKUP(I110,Sheet1!A:D,K107,FALSE)</f>
        <v>#N/A</v>
      </c>
    </row>
    <row r="111" spans="1:40" s="62" customFormat="1" ht="14.25" x14ac:dyDescent="0.2">
      <c r="A111" s="61"/>
      <c r="G111" s="63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AN111" s="62" t="e">
        <f>VLOOKUP(I111,Sheet1!A:D,K108,FALSE)</f>
        <v>#N/A</v>
      </c>
    </row>
    <row r="112" spans="1:40" s="62" customFormat="1" ht="14.25" x14ac:dyDescent="0.2">
      <c r="A112" s="61"/>
      <c r="G112" s="63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AN112" s="62" t="e">
        <f>VLOOKUP(I112,Sheet1!A:D,K109,FALSE)</f>
        <v>#N/A</v>
      </c>
    </row>
    <row r="113" spans="1:40" s="62" customFormat="1" ht="14.25" x14ac:dyDescent="0.2">
      <c r="A113" s="61"/>
      <c r="G113" s="63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AN113" s="62" t="e">
        <f>VLOOKUP(I113,Sheet1!A:D,K110,FALSE)</f>
        <v>#N/A</v>
      </c>
    </row>
    <row r="114" spans="1:40" s="62" customFormat="1" ht="14.25" x14ac:dyDescent="0.2">
      <c r="A114" s="61"/>
      <c r="G114" s="63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AN114" s="62" t="e">
        <f>VLOOKUP(I114,Sheet1!A:D,K111,FALSE)</f>
        <v>#N/A</v>
      </c>
    </row>
    <row r="115" spans="1:40" s="62" customFormat="1" ht="14.25" x14ac:dyDescent="0.2">
      <c r="A115" s="61"/>
      <c r="G115" s="63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AN115" s="62" t="e">
        <f>VLOOKUP(I115,Sheet1!A:D,K112,FALSE)</f>
        <v>#N/A</v>
      </c>
    </row>
    <row r="116" spans="1:40" s="62" customFormat="1" ht="14.25" x14ac:dyDescent="0.2">
      <c r="A116" s="61"/>
      <c r="G116" s="63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AN116" s="62" t="e">
        <f>VLOOKUP(I116,Sheet1!A:D,K113,FALSE)</f>
        <v>#N/A</v>
      </c>
    </row>
    <row r="117" spans="1:40" s="62" customFormat="1" ht="14.25" x14ac:dyDescent="0.2">
      <c r="A117" s="61"/>
      <c r="G117" s="63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AN117" s="62" t="e">
        <f>VLOOKUP(I117,Sheet1!A:D,K114,FALSE)</f>
        <v>#N/A</v>
      </c>
    </row>
    <row r="118" spans="1:40" s="62" customFormat="1" ht="14.25" x14ac:dyDescent="0.2">
      <c r="A118" s="61"/>
      <c r="G118" s="63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AN118" s="62" t="e">
        <f>VLOOKUP(I118,Sheet1!A:D,K115,FALSE)</f>
        <v>#N/A</v>
      </c>
    </row>
    <row r="119" spans="1:40" s="62" customFormat="1" ht="14.25" x14ac:dyDescent="0.2">
      <c r="A119" s="61"/>
      <c r="G119" s="63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AN119" s="62" t="e">
        <f>VLOOKUP(I119,Sheet1!A:D,K116,FALSE)</f>
        <v>#N/A</v>
      </c>
    </row>
    <row r="120" spans="1:40" s="62" customFormat="1" ht="14.25" x14ac:dyDescent="0.2">
      <c r="A120" s="61"/>
      <c r="G120" s="63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AN120" s="62" t="e">
        <f>VLOOKUP(I120,Sheet1!A:D,K117,FALSE)</f>
        <v>#N/A</v>
      </c>
    </row>
    <row r="121" spans="1:40" s="62" customFormat="1" ht="14.25" x14ac:dyDescent="0.2">
      <c r="A121" s="61"/>
      <c r="G121" s="63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AN121" s="62" t="e">
        <f>VLOOKUP(I121,Sheet1!A:D,K118,FALSE)</f>
        <v>#N/A</v>
      </c>
    </row>
    <row r="122" spans="1:40" s="62" customFormat="1" ht="14.25" x14ac:dyDescent="0.2">
      <c r="A122" s="61"/>
      <c r="G122" s="63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AN122" s="62" t="e">
        <f>VLOOKUP(I122,Sheet1!A:D,K119,FALSE)</f>
        <v>#N/A</v>
      </c>
    </row>
    <row r="123" spans="1:40" s="62" customFormat="1" ht="14.25" x14ac:dyDescent="0.2">
      <c r="A123" s="61"/>
      <c r="G123" s="63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AN123" s="62" t="e">
        <f>VLOOKUP(I123,Sheet1!A:D,K120,FALSE)</f>
        <v>#N/A</v>
      </c>
    </row>
    <row r="124" spans="1:40" s="62" customFormat="1" ht="14.25" x14ac:dyDescent="0.2">
      <c r="A124" s="61"/>
      <c r="G124" s="63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AN124" s="62" t="e">
        <f>VLOOKUP(I124,Sheet1!A:D,K121,FALSE)</f>
        <v>#N/A</v>
      </c>
    </row>
    <row r="125" spans="1:40" s="62" customFormat="1" ht="14.25" x14ac:dyDescent="0.2">
      <c r="A125" s="61"/>
      <c r="G125" s="63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AN125" s="62" t="e">
        <f>VLOOKUP(I125,Sheet1!A:D,K122,FALSE)</f>
        <v>#N/A</v>
      </c>
    </row>
    <row r="126" spans="1:40" s="62" customFormat="1" ht="14.25" x14ac:dyDescent="0.2">
      <c r="A126" s="61"/>
      <c r="G126" s="63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AN126" s="62" t="e">
        <f>VLOOKUP(I126,Sheet1!A:D,K123,FALSE)</f>
        <v>#N/A</v>
      </c>
    </row>
    <row r="127" spans="1:40" s="62" customFormat="1" ht="14.25" x14ac:dyDescent="0.2">
      <c r="A127" s="61"/>
      <c r="G127" s="63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AN127" s="62" t="e">
        <f>VLOOKUP(I127,Sheet1!A:D,K124,FALSE)</f>
        <v>#N/A</v>
      </c>
    </row>
    <row r="128" spans="1:40" s="62" customFormat="1" ht="14.25" x14ac:dyDescent="0.2">
      <c r="A128" s="61"/>
      <c r="G128" s="63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AN128" s="62" t="e">
        <f>VLOOKUP(I128,Sheet1!A:D,K125,FALSE)</f>
        <v>#N/A</v>
      </c>
    </row>
    <row r="129" spans="1:40" s="62" customFormat="1" ht="14.25" x14ac:dyDescent="0.2">
      <c r="A129" s="61"/>
      <c r="G129" s="63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AN129" s="62" t="e">
        <f>VLOOKUP(I129,Sheet1!A:D,K126,FALSE)</f>
        <v>#N/A</v>
      </c>
    </row>
    <row r="130" spans="1:40" s="62" customFormat="1" ht="14.25" x14ac:dyDescent="0.2">
      <c r="A130" s="61"/>
      <c r="G130" s="63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AN130" s="62" t="e">
        <f>VLOOKUP(I130,Sheet1!A:D,K127,FALSE)</f>
        <v>#N/A</v>
      </c>
    </row>
    <row r="131" spans="1:40" s="62" customFormat="1" ht="14.25" x14ac:dyDescent="0.2">
      <c r="A131" s="61"/>
      <c r="G131" s="63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AN131" s="62" t="e">
        <f>VLOOKUP(I131,Sheet1!A:D,K128,FALSE)</f>
        <v>#N/A</v>
      </c>
    </row>
    <row r="132" spans="1:40" s="62" customFormat="1" ht="14.25" x14ac:dyDescent="0.2">
      <c r="A132" s="61"/>
      <c r="G132" s="63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AN132" s="62" t="e">
        <f>VLOOKUP(I132,Sheet1!A:D,K129,FALSE)</f>
        <v>#N/A</v>
      </c>
    </row>
    <row r="133" spans="1:40" s="62" customFormat="1" ht="14.25" x14ac:dyDescent="0.2">
      <c r="A133" s="61"/>
      <c r="G133" s="63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AN133" s="62" t="e">
        <f>VLOOKUP(I133,Sheet1!A:D,K130,FALSE)</f>
        <v>#N/A</v>
      </c>
    </row>
    <row r="134" spans="1:40" s="62" customFormat="1" ht="14.25" x14ac:dyDescent="0.2">
      <c r="A134" s="61"/>
      <c r="G134" s="63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AN134" s="62" t="e">
        <f>VLOOKUP(I134,Sheet1!A:D,K131,FALSE)</f>
        <v>#N/A</v>
      </c>
    </row>
    <row r="135" spans="1:40" s="62" customFormat="1" ht="14.25" x14ac:dyDescent="0.2">
      <c r="A135" s="61"/>
      <c r="G135" s="63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AN135" s="62" t="e">
        <f>VLOOKUP(I135,Sheet1!A:D,K132,FALSE)</f>
        <v>#N/A</v>
      </c>
    </row>
    <row r="136" spans="1:40" s="62" customFormat="1" ht="14.25" x14ac:dyDescent="0.2">
      <c r="A136" s="61"/>
      <c r="G136" s="63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AN136" s="62" t="e">
        <f>VLOOKUP(I136,Sheet1!A:D,K133,FALSE)</f>
        <v>#N/A</v>
      </c>
    </row>
    <row r="137" spans="1:40" s="62" customFormat="1" ht="14.25" x14ac:dyDescent="0.2">
      <c r="A137" s="61"/>
      <c r="G137" s="63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AN137" s="62" t="e">
        <f>VLOOKUP(I137,Sheet1!A:D,K134,FALSE)</f>
        <v>#N/A</v>
      </c>
    </row>
    <row r="138" spans="1:40" s="62" customFormat="1" ht="14.25" x14ac:dyDescent="0.2">
      <c r="A138" s="61"/>
      <c r="G138" s="63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AN138" s="62" t="e">
        <f>VLOOKUP(I138,Sheet1!A:D,K135,FALSE)</f>
        <v>#N/A</v>
      </c>
    </row>
    <row r="139" spans="1:40" s="62" customFormat="1" ht="14.25" x14ac:dyDescent="0.2">
      <c r="A139" s="61"/>
      <c r="G139" s="63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AN139" s="62" t="e">
        <f>VLOOKUP(I139,Sheet1!A:D,K136,FALSE)</f>
        <v>#N/A</v>
      </c>
    </row>
    <row r="140" spans="1:40" s="62" customFormat="1" ht="14.25" x14ac:dyDescent="0.2">
      <c r="A140" s="61"/>
      <c r="G140" s="63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AN140" s="62" t="e">
        <f>VLOOKUP(I140,Sheet1!A:D,K137,FALSE)</f>
        <v>#N/A</v>
      </c>
    </row>
    <row r="141" spans="1:40" s="62" customFormat="1" ht="14.25" x14ac:dyDescent="0.2">
      <c r="A141" s="61"/>
      <c r="G141" s="63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AN141" s="62" t="e">
        <f>VLOOKUP(I141,Sheet1!A:D,K138,FALSE)</f>
        <v>#N/A</v>
      </c>
    </row>
    <row r="142" spans="1:40" s="62" customFormat="1" ht="14.25" x14ac:dyDescent="0.2">
      <c r="A142" s="61"/>
      <c r="G142" s="63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AN142" s="62" t="e">
        <f>VLOOKUP(I142,Sheet1!A:D,K139,FALSE)</f>
        <v>#N/A</v>
      </c>
    </row>
    <row r="143" spans="1:40" s="62" customFormat="1" ht="14.25" x14ac:dyDescent="0.2">
      <c r="A143" s="61"/>
      <c r="G143" s="63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AN143" s="62" t="e">
        <f>VLOOKUP(I143,Sheet1!A:D,K140,FALSE)</f>
        <v>#N/A</v>
      </c>
    </row>
    <row r="144" spans="1:40" s="62" customFormat="1" ht="14.25" x14ac:dyDescent="0.2">
      <c r="A144" s="61"/>
      <c r="G144" s="63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AN144" s="62" t="e">
        <f>VLOOKUP(I144,Sheet1!A:D,K141,FALSE)</f>
        <v>#N/A</v>
      </c>
    </row>
    <row r="145" spans="1:40" s="62" customFormat="1" ht="14.25" x14ac:dyDescent="0.2">
      <c r="A145" s="61"/>
      <c r="G145" s="63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AN145" s="62" t="e">
        <f>VLOOKUP(I145,Sheet1!A:D,K142,FALSE)</f>
        <v>#N/A</v>
      </c>
    </row>
    <row r="146" spans="1:40" s="62" customFormat="1" ht="14.25" x14ac:dyDescent="0.2">
      <c r="A146" s="61"/>
      <c r="G146" s="63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AN146" s="62" t="e">
        <f>VLOOKUP(I146,Sheet1!A:D,K143,FALSE)</f>
        <v>#N/A</v>
      </c>
    </row>
    <row r="147" spans="1:40" s="62" customFormat="1" ht="14.25" x14ac:dyDescent="0.2">
      <c r="A147" s="61"/>
      <c r="G147" s="63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AN147" s="62" t="e">
        <f>VLOOKUP(I147,Sheet1!A:D,K144,FALSE)</f>
        <v>#N/A</v>
      </c>
    </row>
    <row r="148" spans="1:40" s="62" customFormat="1" ht="14.25" x14ac:dyDescent="0.2">
      <c r="A148" s="61"/>
      <c r="G148" s="63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AN148" s="62" t="e">
        <f>VLOOKUP(I148,Sheet1!A:D,K145,FALSE)</f>
        <v>#N/A</v>
      </c>
    </row>
    <row r="149" spans="1:40" s="62" customFormat="1" ht="14.25" x14ac:dyDescent="0.2">
      <c r="A149" s="61"/>
      <c r="G149" s="63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AN149" s="62" t="e">
        <f>VLOOKUP(I149,Sheet1!A:D,K146,FALSE)</f>
        <v>#N/A</v>
      </c>
    </row>
    <row r="150" spans="1:40" s="62" customFormat="1" ht="14.25" x14ac:dyDescent="0.2">
      <c r="A150" s="61"/>
      <c r="G150" s="63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AN150" s="62" t="e">
        <f>VLOOKUP(I150,Sheet1!A:D,K147,FALSE)</f>
        <v>#N/A</v>
      </c>
    </row>
    <row r="151" spans="1:40" s="62" customFormat="1" ht="14.25" x14ac:dyDescent="0.2">
      <c r="A151" s="61"/>
      <c r="G151" s="63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AN151" s="62" t="e">
        <f>VLOOKUP(I151,Sheet1!A:D,K148,FALSE)</f>
        <v>#N/A</v>
      </c>
    </row>
    <row r="152" spans="1:40" s="62" customFormat="1" ht="14.25" x14ac:dyDescent="0.2">
      <c r="A152" s="61"/>
      <c r="G152" s="63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AN152" s="62" t="e">
        <f>VLOOKUP(I152,Sheet1!A:D,K149,FALSE)</f>
        <v>#N/A</v>
      </c>
    </row>
    <row r="153" spans="1:40" s="62" customFormat="1" ht="14.25" x14ac:dyDescent="0.2">
      <c r="A153" s="61"/>
      <c r="G153" s="63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AN153" s="62" t="e">
        <f>VLOOKUP(I153,Sheet1!A:D,K150,FALSE)</f>
        <v>#N/A</v>
      </c>
    </row>
    <row r="154" spans="1:40" s="62" customFormat="1" ht="14.25" x14ac:dyDescent="0.2">
      <c r="A154" s="61"/>
      <c r="G154" s="63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AN154" s="62" t="e">
        <f>VLOOKUP(I154,Sheet1!A:D,K151,FALSE)</f>
        <v>#N/A</v>
      </c>
    </row>
    <row r="155" spans="1:40" s="62" customFormat="1" ht="14.25" x14ac:dyDescent="0.2">
      <c r="A155" s="61"/>
      <c r="G155" s="63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AN155" s="62" t="e">
        <f>VLOOKUP(I155,Sheet1!A:D,K152,FALSE)</f>
        <v>#N/A</v>
      </c>
    </row>
    <row r="156" spans="1:40" s="62" customFormat="1" ht="14.25" x14ac:dyDescent="0.2">
      <c r="A156" s="61"/>
      <c r="G156" s="63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AN156" s="62" t="e">
        <f>VLOOKUP(I156,Sheet1!A:D,K153,FALSE)</f>
        <v>#N/A</v>
      </c>
    </row>
    <row r="157" spans="1:40" s="62" customFormat="1" ht="14.25" x14ac:dyDescent="0.2">
      <c r="A157" s="61"/>
      <c r="G157" s="63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AN157" s="62" t="e">
        <f>VLOOKUP(I157,Sheet1!A:D,K154,FALSE)</f>
        <v>#N/A</v>
      </c>
    </row>
    <row r="158" spans="1:40" s="62" customFormat="1" ht="14.25" x14ac:dyDescent="0.2">
      <c r="A158" s="61"/>
      <c r="G158" s="63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AN158" s="62" t="e">
        <f>VLOOKUP(I158,Sheet1!A:D,K155,FALSE)</f>
        <v>#N/A</v>
      </c>
    </row>
    <row r="159" spans="1:40" s="62" customFormat="1" ht="14.25" x14ac:dyDescent="0.2">
      <c r="A159" s="61"/>
      <c r="G159" s="63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AN159" s="62" t="e">
        <f>VLOOKUP(I159,Sheet1!A:D,K156,FALSE)</f>
        <v>#N/A</v>
      </c>
    </row>
    <row r="160" spans="1:40" x14ac:dyDescent="0.25">
      <c r="AN160" t="e">
        <f>VLOOKUP(I160,Sheet1!A:D,K157,FALSE)</f>
        <v>#N/A</v>
      </c>
    </row>
    <row r="161" spans="40:40" x14ac:dyDescent="0.25">
      <c r="AN161" t="e">
        <f>VLOOKUP(I161,Sheet1!A:D,K158,FALSE)</f>
        <v>#N/A</v>
      </c>
    </row>
    <row r="162" spans="40:40" x14ac:dyDescent="0.25">
      <c r="AN162" t="e">
        <f>VLOOKUP(I162,Sheet1!A:D,K159,FALSE)</f>
        <v>#N/A</v>
      </c>
    </row>
    <row r="163" spans="40:40" x14ac:dyDescent="0.25">
      <c r="AN163" t="e">
        <f>VLOOKUP(I163,Sheet1!A:D,K160,FALSE)</f>
        <v>#N/A</v>
      </c>
    </row>
    <row r="164" spans="40:40" x14ac:dyDescent="0.25">
      <c r="AN164" t="e">
        <f>VLOOKUP(I164,Sheet1!A:D,K161,FALSE)</f>
        <v>#N/A</v>
      </c>
    </row>
    <row r="165" spans="40:40" x14ac:dyDescent="0.25">
      <c r="AN165" t="e">
        <f>VLOOKUP(I165,Sheet1!A:D,K162,FALSE)</f>
        <v>#N/A</v>
      </c>
    </row>
    <row r="166" spans="40:40" x14ac:dyDescent="0.25">
      <c r="AN166" t="e">
        <f>VLOOKUP(I166,Sheet1!A:D,K163,FALSE)</f>
        <v>#N/A</v>
      </c>
    </row>
    <row r="167" spans="40:40" x14ac:dyDescent="0.25">
      <c r="AN167" t="e">
        <f>VLOOKUP(I167,Sheet1!A:D,K164,FALSE)</f>
        <v>#N/A</v>
      </c>
    </row>
    <row r="168" spans="40:40" x14ac:dyDescent="0.25">
      <c r="AN168" t="e">
        <f>VLOOKUP(I168,Sheet1!A:D,K165,FALSE)</f>
        <v>#N/A</v>
      </c>
    </row>
    <row r="169" spans="40:40" x14ac:dyDescent="0.25">
      <c r="AN169" t="e">
        <f>VLOOKUP(I169,Sheet1!A:D,K166,FALSE)</f>
        <v>#N/A</v>
      </c>
    </row>
    <row r="170" spans="40:40" x14ac:dyDescent="0.25">
      <c r="AN170" t="e">
        <f>VLOOKUP(I170,Sheet1!A:D,K167,FALSE)</f>
        <v>#N/A</v>
      </c>
    </row>
    <row r="171" spans="40:40" x14ac:dyDescent="0.25">
      <c r="AN171" t="e">
        <f>VLOOKUP(I171,Sheet1!A:D,K168,FALSE)</f>
        <v>#N/A</v>
      </c>
    </row>
    <row r="172" spans="40:40" x14ac:dyDescent="0.25">
      <c r="AN172" t="e">
        <f>VLOOKUP(I172,Sheet1!A:D,K169,FALSE)</f>
        <v>#N/A</v>
      </c>
    </row>
    <row r="173" spans="40:40" x14ac:dyDescent="0.25">
      <c r="AN173" t="e">
        <f>VLOOKUP(I173,Sheet1!A:D,K170,FALSE)</f>
        <v>#N/A</v>
      </c>
    </row>
    <row r="174" spans="40:40" x14ac:dyDescent="0.25">
      <c r="AN174" t="e">
        <f>VLOOKUP(I174,Sheet1!A:D,K171,FALSE)</f>
        <v>#N/A</v>
      </c>
    </row>
    <row r="175" spans="40:40" x14ac:dyDescent="0.25">
      <c r="AN175" t="e">
        <f>VLOOKUP(I175,Sheet1!A:D,K172,FALSE)</f>
        <v>#N/A</v>
      </c>
    </row>
    <row r="176" spans="40:40" x14ac:dyDescent="0.25">
      <c r="AN176" t="e">
        <f>VLOOKUP(I176,Sheet1!A:D,K173,FALSE)</f>
        <v>#N/A</v>
      </c>
    </row>
    <row r="177" spans="40:40" x14ac:dyDescent="0.25">
      <c r="AN177" t="e">
        <f>VLOOKUP(I177,Sheet1!A:D,K174,FALSE)</f>
        <v>#N/A</v>
      </c>
    </row>
    <row r="178" spans="40:40" x14ac:dyDescent="0.25">
      <c r="AN178" t="e">
        <f>VLOOKUP(I178,Sheet1!A:D,K175,FALSE)</f>
        <v>#N/A</v>
      </c>
    </row>
    <row r="179" spans="40:40" x14ac:dyDescent="0.25">
      <c r="AN179" t="e">
        <f>VLOOKUP(I179,Sheet1!A:D,K176,FALSE)</f>
        <v>#N/A</v>
      </c>
    </row>
    <row r="180" spans="40:40" x14ac:dyDescent="0.25">
      <c r="AN180" t="e">
        <f>VLOOKUP(I180,Sheet1!A:D,K177,FALSE)</f>
        <v>#N/A</v>
      </c>
    </row>
    <row r="181" spans="40:40" x14ac:dyDescent="0.25">
      <c r="AN181" t="e">
        <f>VLOOKUP(I181,Sheet1!A:D,K178,FALSE)</f>
        <v>#N/A</v>
      </c>
    </row>
    <row r="182" spans="40:40" x14ac:dyDescent="0.25">
      <c r="AN182" t="e">
        <f>VLOOKUP(I182,Sheet1!A:D,K179,FALSE)</f>
        <v>#N/A</v>
      </c>
    </row>
    <row r="183" spans="40:40" x14ac:dyDescent="0.25">
      <c r="AN183" t="e">
        <f>VLOOKUP(I183,Sheet1!A:D,K180,FALSE)</f>
        <v>#N/A</v>
      </c>
    </row>
    <row r="184" spans="40:40" x14ac:dyDescent="0.25">
      <c r="AN184" t="e">
        <f>VLOOKUP(I184,Sheet1!A:D,K181,FALSE)</f>
        <v>#N/A</v>
      </c>
    </row>
    <row r="185" spans="40:40" x14ac:dyDescent="0.25">
      <c r="AN185" t="e">
        <f>VLOOKUP(I185,Sheet1!A:D,K182,FALSE)</f>
        <v>#N/A</v>
      </c>
    </row>
    <row r="186" spans="40:40" x14ac:dyDescent="0.25">
      <c r="AN186" t="e">
        <f>VLOOKUP(I186,Sheet1!A:D,K183,FALSE)</f>
        <v>#N/A</v>
      </c>
    </row>
    <row r="187" spans="40:40" x14ac:dyDescent="0.25">
      <c r="AN187" t="e">
        <f>VLOOKUP(I187,Sheet1!A:D,K184,FALSE)</f>
        <v>#N/A</v>
      </c>
    </row>
    <row r="188" spans="40:40" x14ac:dyDescent="0.25">
      <c r="AN188" t="e">
        <f>VLOOKUP(I188,Sheet1!A:D,K185,FALSE)</f>
        <v>#N/A</v>
      </c>
    </row>
    <row r="189" spans="40:40" x14ac:dyDescent="0.25">
      <c r="AN189" t="e">
        <f>VLOOKUP(I189,Sheet1!A:D,K186,FALSE)</f>
        <v>#N/A</v>
      </c>
    </row>
    <row r="190" spans="40:40" x14ac:dyDescent="0.25">
      <c r="AN190" t="e">
        <f>VLOOKUP(I190,Sheet1!A:D,K187,FALSE)</f>
        <v>#N/A</v>
      </c>
    </row>
    <row r="191" spans="40:40" x14ac:dyDescent="0.25">
      <c r="AN191" t="e">
        <f>VLOOKUP(I191,Sheet1!A:D,K188,FALSE)</f>
        <v>#N/A</v>
      </c>
    </row>
    <row r="192" spans="40:40" x14ac:dyDescent="0.25">
      <c r="AN192" t="e">
        <f>VLOOKUP(I192,Sheet1!A:D,K189,FALSE)</f>
        <v>#N/A</v>
      </c>
    </row>
    <row r="193" spans="40:40" x14ac:dyDescent="0.25">
      <c r="AN193" t="e">
        <f>VLOOKUP(I193,Sheet1!A:D,K190,FALSE)</f>
        <v>#N/A</v>
      </c>
    </row>
    <row r="194" spans="40:40" x14ac:dyDescent="0.25">
      <c r="AN194" t="e">
        <f>VLOOKUP(I194,Sheet1!A:D,K191,FALSE)</f>
        <v>#N/A</v>
      </c>
    </row>
    <row r="195" spans="40:40" x14ac:dyDescent="0.25">
      <c r="AN195" t="e">
        <f>VLOOKUP(I195,Sheet1!A:D,K192,FALSE)</f>
        <v>#N/A</v>
      </c>
    </row>
    <row r="196" spans="40:40" x14ac:dyDescent="0.25">
      <c r="AN196" t="e">
        <f>VLOOKUP(I196,Sheet1!A:D,K193,FALSE)</f>
        <v>#N/A</v>
      </c>
    </row>
    <row r="197" spans="40:40" x14ac:dyDescent="0.25">
      <c r="AN197" t="e">
        <f>VLOOKUP(I197,Sheet1!A:D,K194,FALSE)</f>
        <v>#N/A</v>
      </c>
    </row>
    <row r="198" spans="40:40" x14ac:dyDescent="0.25">
      <c r="AN198" t="e">
        <f>VLOOKUP(I198,Sheet1!A:D,K195,FALSE)</f>
        <v>#N/A</v>
      </c>
    </row>
    <row r="199" spans="40:40" x14ac:dyDescent="0.25">
      <c r="AN199" t="e">
        <f>VLOOKUP(I199,Sheet1!A:D,K196,FALSE)</f>
        <v>#N/A</v>
      </c>
    </row>
    <row r="200" spans="40:40" x14ac:dyDescent="0.25">
      <c r="AN200" t="e">
        <f>VLOOKUP(I200,Sheet1!A:D,K197,FALSE)</f>
        <v>#N/A</v>
      </c>
    </row>
    <row r="201" spans="40:40" x14ac:dyDescent="0.25">
      <c r="AN201" t="e">
        <f>VLOOKUP(I201,Sheet1!A:D,K198,FALSE)</f>
        <v>#N/A</v>
      </c>
    </row>
    <row r="202" spans="40:40" x14ac:dyDescent="0.25">
      <c r="AN202" t="e">
        <f>VLOOKUP(I202,Sheet1!A:D,K199,FALSE)</f>
        <v>#N/A</v>
      </c>
    </row>
    <row r="203" spans="40:40" x14ac:dyDescent="0.25">
      <c r="AN203" t="e">
        <f>VLOOKUP(I203,Sheet1!A:D,K200,FALSE)</f>
        <v>#N/A</v>
      </c>
    </row>
    <row r="204" spans="40:40" x14ac:dyDescent="0.25">
      <c r="AN204" t="e">
        <f>VLOOKUP(I204,Sheet1!A:D,K201,FALSE)</f>
        <v>#N/A</v>
      </c>
    </row>
    <row r="205" spans="40:40" x14ac:dyDescent="0.25">
      <c r="AN205" t="e">
        <f>VLOOKUP(I205,Sheet1!A:D,K202,FALSE)</f>
        <v>#N/A</v>
      </c>
    </row>
    <row r="206" spans="40:40" x14ac:dyDescent="0.25">
      <c r="AN206" t="e">
        <f>VLOOKUP(I206,Sheet1!A:D,K203,FALSE)</f>
        <v>#N/A</v>
      </c>
    </row>
    <row r="207" spans="40:40" x14ac:dyDescent="0.25">
      <c r="AN207" t="e">
        <f>VLOOKUP(I207,Sheet1!A:D,K204,FALSE)</f>
        <v>#N/A</v>
      </c>
    </row>
    <row r="208" spans="40:40" x14ac:dyDescent="0.25">
      <c r="AN208" t="e">
        <f>VLOOKUP(I208,Sheet1!A:D,K205,FALSE)</f>
        <v>#N/A</v>
      </c>
    </row>
    <row r="209" spans="40:40" x14ac:dyDescent="0.25">
      <c r="AN209" t="e">
        <f>VLOOKUP(I209,Sheet1!A:D,K206,FALSE)</f>
        <v>#N/A</v>
      </c>
    </row>
    <row r="210" spans="40:40" x14ac:dyDescent="0.25">
      <c r="AN210" t="e">
        <f>VLOOKUP(I210,Sheet1!A:D,K207,FALSE)</f>
        <v>#N/A</v>
      </c>
    </row>
    <row r="211" spans="40:40" x14ac:dyDescent="0.25">
      <c r="AN211" t="e">
        <f>VLOOKUP(I211,Sheet1!A:D,K208,FALSE)</f>
        <v>#N/A</v>
      </c>
    </row>
    <row r="212" spans="40:40" x14ac:dyDescent="0.25">
      <c r="AN212" t="e">
        <f>VLOOKUP(I212,Sheet1!A:D,K209,FALSE)</f>
        <v>#N/A</v>
      </c>
    </row>
    <row r="213" spans="40:40" x14ac:dyDescent="0.25">
      <c r="AN213" t="e">
        <f>VLOOKUP(I213,Sheet1!A:D,K210,FALSE)</f>
        <v>#N/A</v>
      </c>
    </row>
    <row r="214" spans="40:40" x14ac:dyDescent="0.25">
      <c r="AN214" t="e">
        <f>VLOOKUP(I214,Sheet1!A:D,K211,FALSE)</f>
        <v>#N/A</v>
      </c>
    </row>
    <row r="215" spans="40:40" x14ac:dyDescent="0.25">
      <c r="AN215" t="e">
        <f>VLOOKUP(I215,Sheet1!A:D,K212,FALSE)</f>
        <v>#N/A</v>
      </c>
    </row>
    <row r="216" spans="40:40" x14ac:dyDescent="0.25">
      <c r="AN216" t="e">
        <f>VLOOKUP(I216,Sheet1!A:D,K213,FALSE)</f>
        <v>#N/A</v>
      </c>
    </row>
    <row r="217" spans="40:40" x14ac:dyDescent="0.25">
      <c r="AN217" t="e">
        <f>VLOOKUP(I217,Sheet1!A:D,K214,FALSE)</f>
        <v>#N/A</v>
      </c>
    </row>
    <row r="218" spans="40:40" x14ac:dyDescent="0.25">
      <c r="AN218" t="e">
        <f>VLOOKUP(I218,Sheet1!A:D,K215,FALSE)</f>
        <v>#N/A</v>
      </c>
    </row>
    <row r="219" spans="40:40" x14ac:dyDescent="0.25">
      <c r="AN219" t="e">
        <f>VLOOKUP(I219,Sheet1!A:D,K216,FALSE)</f>
        <v>#N/A</v>
      </c>
    </row>
    <row r="220" spans="40:40" x14ac:dyDescent="0.25">
      <c r="AN220" t="e">
        <f>VLOOKUP(I220,Sheet1!A:D,K217,FALSE)</f>
        <v>#N/A</v>
      </c>
    </row>
    <row r="221" spans="40:40" x14ac:dyDescent="0.25">
      <c r="AN221" t="e">
        <f>VLOOKUP(I221,Sheet1!A:D,K218,FALSE)</f>
        <v>#N/A</v>
      </c>
    </row>
    <row r="222" spans="40:40" x14ac:dyDescent="0.25">
      <c r="AN222" t="e">
        <f>VLOOKUP(I222,Sheet1!A:D,K219,FALSE)</f>
        <v>#N/A</v>
      </c>
    </row>
    <row r="223" spans="40:40" x14ac:dyDescent="0.25">
      <c r="AN223" t="e">
        <f>VLOOKUP(I223,Sheet1!A:D,K220,FALSE)</f>
        <v>#N/A</v>
      </c>
    </row>
    <row r="224" spans="40:40" x14ac:dyDescent="0.25">
      <c r="AN224" t="e">
        <f>VLOOKUP(I224,Sheet1!A:D,K221,FALSE)</f>
        <v>#N/A</v>
      </c>
    </row>
    <row r="225" spans="40:40" x14ac:dyDescent="0.25">
      <c r="AN225" t="e">
        <f>VLOOKUP(I225,Sheet1!A:D,K222,FALSE)</f>
        <v>#N/A</v>
      </c>
    </row>
    <row r="226" spans="40:40" x14ac:dyDescent="0.25">
      <c r="AN226" t="e">
        <f>VLOOKUP(I226,Sheet1!A:D,K223,FALSE)</f>
        <v>#N/A</v>
      </c>
    </row>
    <row r="227" spans="40:40" x14ac:dyDescent="0.25">
      <c r="AN227" t="e">
        <f>VLOOKUP(I227,Sheet1!A:D,K224,FALSE)</f>
        <v>#N/A</v>
      </c>
    </row>
    <row r="228" spans="40:40" x14ac:dyDescent="0.25">
      <c r="AN228" t="e">
        <f>VLOOKUP(I228,Sheet1!A:D,K225,FALSE)</f>
        <v>#N/A</v>
      </c>
    </row>
    <row r="229" spans="40:40" x14ac:dyDescent="0.25">
      <c r="AN229" t="e">
        <f>VLOOKUP(I229,Sheet1!A:D,K226,FALSE)</f>
        <v>#N/A</v>
      </c>
    </row>
    <row r="230" spans="40:40" x14ac:dyDescent="0.25">
      <c r="AN230" t="e">
        <f>VLOOKUP(I230,Sheet1!A:D,K227,FALSE)</f>
        <v>#N/A</v>
      </c>
    </row>
    <row r="231" spans="40:40" x14ac:dyDescent="0.25">
      <c r="AN231" t="e">
        <f>VLOOKUP(I231,Sheet1!A:D,K228,FALSE)</f>
        <v>#N/A</v>
      </c>
    </row>
    <row r="232" spans="40:40" x14ac:dyDescent="0.25">
      <c r="AN232" t="e">
        <f>VLOOKUP(I232,Sheet1!A:D,K229,FALSE)</f>
        <v>#N/A</v>
      </c>
    </row>
    <row r="233" spans="40:40" x14ac:dyDescent="0.25">
      <c r="AN233" t="e">
        <f>VLOOKUP(I233,Sheet1!A:D,K230,FALSE)</f>
        <v>#N/A</v>
      </c>
    </row>
    <row r="234" spans="40:40" x14ac:dyDescent="0.25">
      <c r="AN234" t="e">
        <f>VLOOKUP(I234,Sheet1!A:D,K231,FALSE)</f>
        <v>#N/A</v>
      </c>
    </row>
    <row r="235" spans="40:40" x14ac:dyDescent="0.25">
      <c r="AN235" t="e">
        <f>VLOOKUP(I235,Sheet1!A:D,K232,FALSE)</f>
        <v>#N/A</v>
      </c>
    </row>
    <row r="236" spans="40:40" x14ac:dyDescent="0.25">
      <c r="AN236" t="e">
        <f>VLOOKUP(I236,Sheet1!A:D,K233,FALSE)</f>
        <v>#N/A</v>
      </c>
    </row>
  </sheetData>
  <autoFilter ref="A6:AU6" xr:uid="{DA4BE487-69B9-4BE1-9C78-FB44E2CE4C62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75FC-D5D6-4773-A691-BB1FA491341E}">
  <dimension ref="A1:AP197"/>
  <sheetViews>
    <sheetView workbookViewId="0">
      <selection activeCell="I17" sqref="I17"/>
    </sheetView>
  </sheetViews>
  <sheetFormatPr defaultRowHeight="15" x14ac:dyDescent="0.25"/>
  <cols>
    <col min="1" max="1" width="10.7109375" style="30" bestFit="1" customWidth="1"/>
    <col min="7" max="7" width="12.140625" style="23" bestFit="1" customWidth="1"/>
    <col min="11" max="11" width="9.28515625" style="25" bestFit="1" customWidth="1"/>
    <col min="12" max="12" width="9.140625" style="25"/>
    <col min="13" max="13" width="9.28515625" style="25" bestFit="1" customWidth="1"/>
    <col min="14" max="16" width="10.5703125" style="25" bestFit="1" customWidth="1"/>
    <col min="17" max="18" width="9.28515625" style="25" bestFit="1" customWidth="1"/>
    <col min="20" max="22" width="10.5703125" style="25" bestFit="1" customWidth="1"/>
    <col min="23" max="23" width="9.28515625" style="25" bestFit="1" customWidth="1"/>
    <col min="24" max="24" width="10.5703125" style="25" bestFit="1" customWidth="1"/>
    <col min="25" max="26" width="9.140625" style="25"/>
    <col min="27" max="27" width="10.5703125" style="25" bestFit="1" customWidth="1"/>
    <col min="42" max="42" width="96.85546875" hidden="1" customWidth="1"/>
  </cols>
  <sheetData>
    <row r="1" spans="1:42" s="74" customFormat="1" x14ac:dyDescent="0.25">
      <c r="A1" s="90"/>
      <c r="G1" s="89"/>
      <c r="K1" s="79"/>
      <c r="L1" s="79"/>
      <c r="M1" s="79"/>
      <c r="N1" s="79"/>
      <c r="O1" s="79"/>
      <c r="P1" s="79"/>
      <c r="Q1" s="79"/>
      <c r="R1" s="79"/>
      <c r="T1" s="79"/>
      <c r="U1" s="79"/>
      <c r="V1" s="79"/>
      <c r="W1" s="79"/>
      <c r="X1" s="79"/>
      <c r="Y1" s="79"/>
      <c r="Z1" s="79"/>
      <c r="AA1" s="79"/>
    </row>
    <row r="2" spans="1:42" s="74" customFormat="1" x14ac:dyDescent="0.25">
      <c r="A2" s="90"/>
      <c r="G2" s="89"/>
      <c r="K2" s="79"/>
      <c r="L2" s="79"/>
      <c r="M2" s="79"/>
      <c r="N2" s="79"/>
      <c r="O2" s="79"/>
      <c r="P2" s="79"/>
      <c r="Q2" s="79"/>
      <c r="R2" s="79"/>
      <c r="T2" s="79"/>
      <c r="U2" s="79"/>
      <c r="V2" s="79"/>
      <c r="W2" s="79"/>
      <c r="X2" s="79"/>
      <c r="Y2" s="79"/>
      <c r="Z2" s="79"/>
      <c r="AA2" s="79"/>
    </row>
    <row r="3" spans="1:42" s="74" customFormat="1" x14ac:dyDescent="0.25">
      <c r="A3" s="90"/>
      <c r="G3" s="89"/>
      <c r="K3" s="79"/>
      <c r="L3" s="79"/>
      <c r="M3" s="79"/>
      <c r="N3" s="79"/>
      <c r="O3" s="79"/>
      <c r="P3" s="79"/>
      <c r="Q3" s="79"/>
      <c r="R3" s="79"/>
      <c r="T3" s="79"/>
      <c r="U3" s="79"/>
      <c r="V3" s="79"/>
      <c r="W3" s="79"/>
      <c r="X3" s="79"/>
      <c r="Y3" s="79"/>
      <c r="Z3" s="79"/>
      <c r="AA3" s="79"/>
    </row>
    <row r="4" spans="1:42" s="74" customFormat="1" x14ac:dyDescent="0.25">
      <c r="A4" s="90"/>
      <c r="G4" s="89"/>
      <c r="K4" s="79"/>
      <c r="L4" s="79"/>
      <c r="M4" s="79"/>
      <c r="N4" s="79"/>
      <c r="O4" s="79"/>
      <c r="P4" s="79"/>
      <c r="Q4" s="79"/>
      <c r="R4" s="79"/>
      <c r="T4" s="79"/>
      <c r="U4" s="79"/>
      <c r="V4" s="79"/>
      <c r="W4" s="79"/>
      <c r="X4" s="79"/>
      <c r="Y4" s="79"/>
      <c r="Z4" s="79"/>
      <c r="AA4" s="79"/>
    </row>
    <row r="5" spans="1:42" s="74" customFormat="1" x14ac:dyDescent="0.25">
      <c r="A5" s="90" t="s">
        <v>230</v>
      </c>
      <c r="G5" s="89"/>
      <c r="K5" s="79"/>
      <c r="L5" s="79"/>
      <c r="M5" s="79"/>
      <c r="N5" s="79"/>
      <c r="O5" s="79"/>
      <c r="P5" s="79"/>
      <c r="Q5" s="79"/>
      <c r="R5" s="79"/>
      <c r="T5" s="79"/>
      <c r="U5" s="79"/>
      <c r="V5" s="79"/>
      <c r="W5" s="79"/>
      <c r="X5" s="79"/>
      <c r="Y5" s="79"/>
      <c r="Z5" s="79"/>
      <c r="AA5" s="79"/>
    </row>
    <row r="6" spans="1:42" s="48" customFormat="1" x14ac:dyDescent="0.25">
      <c r="A6" s="129" t="s">
        <v>0</v>
      </c>
      <c r="B6" s="84" t="s">
        <v>1</v>
      </c>
      <c r="C6" s="84" t="s">
        <v>2</v>
      </c>
      <c r="D6" s="84" t="s">
        <v>4</v>
      </c>
      <c r="E6" s="84" t="s">
        <v>3</v>
      </c>
      <c r="F6" s="84" t="s">
        <v>5</v>
      </c>
      <c r="G6" s="130" t="s">
        <v>6</v>
      </c>
      <c r="H6" s="84" t="s">
        <v>7</v>
      </c>
      <c r="I6" s="84" t="s">
        <v>8</v>
      </c>
      <c r="J6" s="84" t="s">
        <v>9</v>
      </c>
      <c r="K6" s="86" t="s">
        <v>10</v>
      </c>
      <c r="L6" s="86" t="s">
        <v>11</v>
      </c>
      <c r="M6" s="86" t="s">
        <v>12</v>
      </c>
      <c r="N6" s="86" t="s">
        <v>13</v>
      </c>
      <c r="O6" s="86" t="s">
        <v>14</v>
      </c>
      <c r="P6" s="86" t="s">
        <v>15</v>
      </c>
      <c r="Q6" s="86" t="s">
        <v>16</v>
      </c>
      <c r="R6" s="86" t="s">
        <v>17</v>
      </c>
      <c r="S6" s="84" t="s">
        <v>18</v>
      </c>
      <c r="T6" s="86" t="s">
        <v>19</v>
      </c>
      <c r="U6" s="86" t="s">
        <v>20</v>
      </c>
      <c r="V6" s="86" t="s">
        <v>21</v>
      </c>
      <c r="W6" s="86" t="s">
        <v>22</v>
      </c>
      <c r="X6" s="86" t="s">
        <v>23</v>
      </c>
      <c r="Y6" s="86" t="s">
        <v>24</v>
      </c>
      <c r="Z6" s="86" t="s">
        <v>25</v>
      </c>
      <c r="AA6" s="86" t="s">
        <v>26</v>
      </c>
      <c r="AB6" s="84" t="s">
        <v>27</v>
      </c>
      <c r="AC6" s="84" t="s">
        <v>28</v>
      </c>
      <c r="AD6" s="84" t="s">
        <v>29</v>
      </c>
      <c r="AE6" s="84" t="s">
        <v>30</v>
      </c>
      <c r="AF6" s="84" t="s">
        <v>31</v>
      </c>
      <c r="AG6" s="84" t="s">
        <v>32</v>
      </c>
      <c r="AH6" s="84" t="s">
        <v>33</v>
      </c>
      <c r="AI6" s="84" t="s">
        <v>34</v>
      </c>
      <c r="AJ6" s="84" t="s">
        <v>35</v>
      </c>
      <c r="AK6" s="84" t="s">
        <v>36</v>
      </c>
      <c r="AL6" s="84" t="s">
        <v>37</v>
      </c>
      <c r="AM6" s="84" t="s">
        <v>38</v>
      </c>
      <c r="AN6" s="84"/>
      <c r="AO6" s="84"/>
      <c r="AP6" s="84" t="s">
        <v>39</v>
      </c>
    </row>
    <row r="7" spans="1:42" s="36" customFormat="1" ht="14.25" x14ac:dyDescent="0.2">
      <c r="A7" s="58"/>
      <c r="G7" s="57"/>
      <c r="K7" s="52"/>
      <c r="L7" s="52"/>
      <c r="M7" s="52"/>
      <c r="N7" s="52"/>
      <c r="O7" s="52"/>
      <c r="P7" s="52"/>
      <c r="Q7" s="52"/>
      <c r="R7" s="52"/>
      <c r="T7" s="52"/>
      <c r="U7" s="52"/>
      <c r="V7" s="52"/>
      <c r="W7" s="52"/>
      <c r="X7" s="52"/>
      <c r="Y7" s="52"/>
      <c r="Z7" s="52"/>
      <c r="AA7" s="52"/>
    </row>
    <row r="8" spans="1:42" s="36" customFormat="1" ht="14.25" x14ac:dyDescent="0.2">
      <c r="A8" s="58"/>
      <c r="G8" s="57"/>
      <c r="K8" s="42"/>
      <c r="L8" s="42"/>
      <c r="M8" s="42"/>
      <c r="N8" s="42"/>
      <c r="O8" s="42"/>
      <c r="P8" s="42"/>
      <c r="Q8" s="42"/>
      <c r="R8" s="42"/>
      <c r="T8" s="42"/>
      <c r="U8" s="42"/>
      <c r="V8" s="42"/>
      <c r="W8" s="42"/>
      <c r="X8" s="42"/>
      <c r="Y8" s="42"/>
      <c r="Z8" s="42"/>
      <c r="AA8" s="42"/>
    </row>
    <row r="9" spans="1:42" s="36" customFormat="1" ht="14.25" x14ac:dyDescent="0.2">
      <c r="A9" s="58"/>
      <c r="G9" s="57"/>
      <c r="K9" s="42"/>
      <c r="L9" s="42"/>
      <c r="M9" s="42"/>
      <c r="N9" s="42"/>
      <c r="O9" s="42"/>
      <c r="P9" s="42"/>
      <c r="Q9" s="42"/>
      <c r="R9" s="42"/>
      <c r="T9" s="42"/>
      <c r="U9" s="42"/>
      <c r="V9" s="42"/>
      <c r="W9" s="42"/>
      <c r="X9" s="42"/>
      <c r="Y9" s="42"/>
      <c r="Z9" s="42"/>
      <c r="AA9" s="42"/>
    </row>
    <row r="10" spans="1:42" s="36" customFormat="1" ht="14.25" x14ac:dyDescent="0.2">
      <c r="A10" s="58"/>
      <c r="G10" s="57"/>
      <c r="K10" s="42"/>
      <c r="L10" s="42"/>
      <c r="M10" s="42"/>
      <c r="N10" s="42"/>
      <c r="O10" s="42"/>
      <c r="P10" s="42"/>
      <c r="Q10" s="42"/>
      <c r="R10" s="42"/>
      <c r="T10" s="42"/>
      <c r="U10" s="42"/>
      <c r="V10" s="42"/>
      <c r="W10" s="42"/>
      <c r="X10" s="42"/>
      <c r="Y10" s="42"/>
      <c r="Z10" s="42"/>
      <c r="AA10" s="42"/>
    </row>
    <row r="11" spans="1:42" s="36" customFormat="1" ht="14.25" x14ac:dyDescent="0.2">
      <c r="A11" s="58"/>
      <c r="G11" s="57"/>
      <c r="K11" s="42"/>
      <c r="L11" s="42"/>
      <c r="M11" s="42"/>
      <c r="N11" s="42"/>
      <c r="O11" s="42"/>
      <c r="P11" s="42"/>
      <c r="Q11" s="42"/>
      <c r="R11" s="42"/>
      <c r="T11" s="42"/>
      <c r="U11" s="42"/>
      <c r="V11" s="42"/>
      <c r="W11" s="42"/>
      <c r="X11" s="42"/>
      <c r="Y11" s="42"/>
      <c r="Z11" s="42"/>
      <c r="AA11" s="42"/>
    </row>
    <row r="12" spans="1:42" s="36" customFormat="1" ht="14.25" x14ac:dyDescent="0.2">
      <c r="A12" s="58"/>
      <c r="G12" s="57"/>
      <c r="K12" s="42"/>
      <c r="L12" s="42"/>
      <c r="M12" s="42"/>
      <c r="N12" s="42"/>
      <c r="O12" s="42"/>
      <c r="P12" s="42"/>
      <c r="Q12" s="42"/>
      <c r="R12" s="42"/>
      <c r="T12" s="42"/>
      <c r="U12" s="42"/>
      <c r="V12" s="42"/>
      <c r="W12" s="42"/>
      <c r="X12" s="42"/>
      <c r="Y12" s="42"/>
      <c r="Z12" s="42"/>
      <c r="AA12" s="42"/>
    </row>
    <row r="13" spans="1:42" s="36" customFormat="1" ht="14.25" x14ac:dyDescent="0.2">
      <c r="A13" s="58"/>
      <c r="G13" s="57"/>
      <c r="K13" s="42"/>
      <c r="L13" s="42"/>
      <c r="M13" s="42"/>
      <c r="N13" s="42"/>
      <c r="O13" s="42"/>
      <c r="P13" s="42"/>
      <c r="Q13" s="42"/>
      <c r="R13" s="42"/>
      <c r="T13" s="42"/>
      <c r="U13" s="42"/>
      <c r="V13" s="42"/>
      <c r="W13" s="42"/>
      <c r="X13" s="42"/>
      <c r="Y13" s="42"/>
      <c r="Z13" s="42"/>
      <c r="AA13" s="42"/>
    </row>
    <row r="14" spans="1:42" s="36" customFormat="1" ht="14.25" x14ac:dyDescent="0.2">
      <c r="A14" s="58"/>
      <c r="G14" s="57"/>
      <c r="K14" s="42"/>
      <c r="L14" s="42"/>
      <c r="M14" s="42"/>
      <c r="N14" s="42"/>
      <c r="O14" s="42"/>
      <c r="P14" s="42"/>
      <c r="Q14" s="42"/>
      <c r="R14" s="42"/>
      <c r="T14" s="42"/>
      <c r="U14" s="42"/>
      <c r="V14" s="42"/>
      <c r="W14" s="42"/>
      <c r="X14" s="42"/>
      <c r="Y14" s="42"/>
      <c r="Z14" s="42"/>
      <c r="AA14" s="42"/>
    </row>
    <row r="15" spans="1:42" s="36" customFormat="1" ht="14.25" x14ac:dyDescent="0.2">
      <c r="A15" s="58"/>
      <c r="G15" s="57"/>
      <c r="K15" s="42"/>
      <c r="L15" s="42"/>
      <c r="M15" s="42"/>
      <c r="N15" s="42"/>
      <c r="O15" s="42"/>
      <c r="P15" s="42"/>
      <c r="Q15" s="42"/>
      <c r="R15" s="42"/>
      <c r="T15" s="42"/>
      <c r="U15" s="42"/>
      <c r="V15" s="42"/>
      <c r="W15" s="42"/>
      <c r="X15" s="42"/>
      <c r="Y15" s="42"/>
      <c r="Z15" s="42"/>
      <c r="AA15" s="42"/>
    </row>
    <row r="16" spans="1:42" s="36" customFormat="1" ht="14.25" x14ac:dyDescent="0.2">
      <c r="A16" s="58"/>
      <c r="G16" s="57"/>
      <c r="K16" s="42"/>
      <c r="L16" s="42"/>
      <c r="M16" s="42"/>
      <c r="N16" s="42"/>
      <c r="O16" s="42"/>
      <c r="P16" s="42"/>
      <c r="Q16" s="42"/>
      <c r="R16" s="42"/>
      <c r="T16" s="42"/>
      <c r="U16" s="42"/>
      <c r="V16" s="42"/>
      <c r="W16" s="42"/>
      <c r="X16" s="42"/>
      <c r="Y16" s="42"/>
      <c r="Z16" s="42"/>
      <c r="AA16" s="42"/>
    </row>
    <row r="17" spans="1:27" s="36" customFormat="1" ht="14.25" x14ac:dyDescent="0.2">
      <c r="A17" s="58"/>
      <c r="G17" s="57"/>
      <c r="K17" s="42"/>
      <c r="L17" s="42"/>
      <c r="M17" s="42"/>
      <c r="N17" s="42"/>
      <c r="O17" s="42"/>
      <c r="P17" s="42"/>
      <c r="Q17" s="42"/>
      <c r="R17" s="42"/>
      <c r="T17" s="42"/>
      <c r="U17" s="42"/>
      <c r="V17" s="42"/>
      <c r="W17" s="42"/>
      <c r="X17" s="42"/>
      <c r="Y17" s="42"/>
      <c r="Z17" s="42"/>
      <c r="AA17" s="42"/>
    </row>
    <row r="18" spans="1:27" s="36" customFormat="1" ht="14.25" x14ac:dyDescent="0.2">
      <c r="A18" s="58"/>
      <c r="G18" s="57"/>
      <c r="K18" s="42"/>
      <c r="L18" s="42"/>
      <c r="M18" s="42"/>
      <c r="N18" s="42"/>
      <c r="O18" s="42"/>
      <c r="P18" s="42"/>
      <c r="Q18" s="42"/>
      <c r="R18" s="42"/>
      <c r="T18" s="42"/>
      <c r="U18" s="42"/>
      <c r="V18" s="42"/>
      <c r="W18" s="42"/>
      <c r="X18" s="42"/>
      <c r="Y18" s="42"/>
      <c r="Z18" s="42"/>
      <c r="AA18" s="42"/>
    </row>
    <row r="19" spans="1:27" s="36" customFormat="1" ht="14.25" x14ac:dyDescent="0.2">
      <c r="A19" s="58"/>
      <c r="G19" s="57"/>
      <c r="K19" s="42"/>
      <c r="L19" s="42"/>
      <c r="M19" s="42"/>
      <c r="N19" s="42"/>
      <c r="O19" s="42"/>
      <c r="P19" s="42"/>
      <c r="Q19" s="42"/>
      <c r="R19" s="42"/>
      <c r="T19" s="42"/>
      <c r="U19" s="42"/>
      <c r="V19" s="42"/>
      <c r="W19" s="42"/>
      <c r="X19" s="42"/>
      <c r="Y19" s="42"/>
      <c r="Z19" s="42"/>
      <c r="AA19" s="42"/>
    </row>
    <row r="20" spans="1:27" s="36" customFormat="1" ht="14.25" x14ac:dyDescent="0.2">
      <c r="A20" s="58"/>
      <c r="G20" s="57"/>
      <c r="K20" s="42"/>
      <c r="L20" s="42"/>
      <c r="M20" s="42"/>
      <c r="N20" s="42"/>
      <c r="O20" s="42"/>
      <c r="P20" s="42"/>
      <c r="Q20" s="42"/>
      <c r="R20" s="42"/>
      <c r="T20" s="42"/>
      <c r="U20" s="42"/>
      <c r="V20" s="42"/>
      <c r="W20" s="42"/>
      <c r="X20" s="42"/>
      <c r="Y20" s="42"/>
      <c r="Z20" s="42"/>
      <c r="AA20" s="42"/>
    </row>
    <row r="21" spans="1:27" s="36" customFormat="1" ht="14.25" x14ac:dyDescent="0.2">
      <c r="A21" s="58"/>
      <c r="G21" s="57"/>
      <c r="K21" s="42"/>
      <c r="L21" s="42"/>
      <c r="M21" s="42"/>
      <c r="N21" s="42"/>
      <c r="O21" s="42"/>
      <c r="P21" s="42"/>
      <c r="Q21" s="42"/>
      <c r="R21" s="42"/>
      <c r="T21" s="42"/>
      <c r="U21" s="42"/>
      <c r="V21" s="42"/>
      <c r="W21" s="42"/>
      <c r="X21" s="42"/>
      <c r="Y21" s="42"/>
      <c r="Z21" s="42"/>
      <c r="AA21" s="42"/>
    </row>
    <row r="22" spans="1:27" s="36" customFormat="1" ht="14.25" x14ac:dyDescent="0.2">
      <c r="A22" s="58"/>
      <c r="G22" s="57"/>
      <c r="K22" s="42"/>
      <c r="L22" s="42"/>
      <c r="M22" s="42"/>
      <c r="N22" s="42"/>
      <c r="O22" s="42"/>
      <c r="P22" s="42"/>
      <c r="Q22" s="42"/>
      <c r="R22" s="42"/>
      <c r="T22" s="42"/>
      <c r="U22" s="42"/>
      <c r="V22" s="42"/>
      <c r="W22" s="42"/>
      <c r="X22" s="42"/>
      <c r="Y22" s="42"/>
      <c r="Z22" s="42"/>
      <c r="AA22" s="42"/>
    </row>
    <row r="23" spans="1:27" s="36" customFormat="1" ht="14.25" x14ac:dyDescent="0.2">
      <c r="A23" s="58"/>
      <c r="G23" s="57"/>
      <c r="K23" s="42"/>
      <c r="L23" s="42"/>
      <c r="M23" s="42"/>
      <c r="N23" s="42"/>
      <c r="O23" s="42"/>
      <c r="P23" s="42"/>
      <c r="Q23" s="42"/>
      <c r="R23" s="42"/>
      <c r="T23" s="42"/>
      <c r="U23" s="42"/>
      <c r="V23" s="42"/>
      <c r="W23" s="42"/>
      <c r="X23" s="42"/>
      <c r="Y23" s="42"/>
      <c r="Z23" s="42"/>
      <c r="AA23" s="42"/>
    </row>
    <row r="24" spans="1:27" s="36" customFormat="1" ht="14.25" x14ac:dyDescent="0.2">
      <c r="A24" s="58"/>
      <c r="G24" s="57"/>
      <c r="K24" s="42"/>
      <c r="L24" s="42"/>
      <c r="M24" s="42"/>
      <c r="N24" s="42"/>
      <c r="O24" s="42"/>
      <c r="P24" s="42"/>
      <c r="Q24" s="42"/>
      <c r="R24" s="42"/>
      <c r="T24" s="42"/>
      <c r="U24" s="42"/>
      <c r="V24" s="42"/>
      <c r="W24" s="42"/>
      <c r="X24" s="42"/>
      <c r="Y24" s="42"/>
      <c r="Z24" s="42"/>
      <c r="AA24" s="42"/>
    </row>
    <row r="25" spans="1:27" s="36" customFormat="1" ht="14.25" x14ac:dyDescent="0.2">
      <c r="A25" s="58"/>
      <c r="G25" s="57"/>
      <c r="K25" s="42"/>
      <c r="L25" s="42"/>
      <c r="M25" s="42"/>
      <c r="N25" s="42"/>
      <c r="O25" s="42"/>
      <c r="P25" s="42"/>
      <c r="Q25" s="42"/>
      <c r="R25" s="42"/>
      <c r="T25" s="42"/>
      <c r="U25" s="42"/>
      <c r="V25" s="42"/>
      <c r="W25" s="42"/>
      <c r="X25" s="42"/>
      <c r="Y25" s="42"/>
      <c r="Z25" s="42"/>
      <c r="AA25" s="42"/>
    </row>
    <row r="26" spans="1:27" s="36" customFormat="1" ht="14.25" x14ac:dyDescent="0.2">
      <c r="A26" s="58"/>
      <c r="G26" s="57"/>
      <c r="K26" s="42"/>
      <c r="L26" s="42"/>
      <c r="M26" s="42"/>
      <c r="N26" s="42"/>
      <c r="O26" s="42"/>
      <c r="P26" s="42"/>
      <c r="Q26" s="42"/>
      <c r="R26" s="42"/>
      <c r="T26" s="42"/>
      <c r="U26" s="42"/>
      <c r="V26" s="42"/>
      <c r="W26" s="42"/>
      <c r="X26" s="42"/>
      <c r="Y26" s="42"/>
      <c r="Z26" s="42"/>
      <c r="AA26" s="42"/>
    </row>
    <row r="27" spans="1:27" s="36" customFormat="1" ht="14.25" x14ac:dyDescent="0.2">
      <c r="A27" s="58"/>
      <c r="G27" s="57"/>
      <c r="K27" s="42"/>
      <c r="L27" s="42"/>
      <c r="M27" s="42"/>
      <c r="N27" s="42"/>
      <c r="O27" s="42"/>
      <c r="P27" s="42"/>
      <c r="Q27" s="42"/>
      <c r="R27" s="42"/>
      <c r="T27" s="42"/>
      <c r="U27" s="42"/>
      <c r="V27" s="42"/>
      <c r="W27" s="42"/>
      <c r="X27" s="42"/>
      <c r="Y27" s="42"/>
      <c r="Z27" s="42"/>
      <c r="AA27" s="42"/>
    </row>
    <row r="28" spans="1:27" s="36" customFormat="1" ht="14.25" x14ac:dyDescent="0.2">
      <c r="A28" s="58"/>
      <c r="G28" s="57"/>
      <c r="K28" s="42"/>
      <c r="L28" s="42"/>
      <c r="M28" s="42"/>
      <c r="N28" s="42"/>
      <c r="O28" s="42"/>
      <c r="P28" s="42"/>
      <c r="Q28" s="42"/>
      <c r="R28" s="42"/>
      <c r="T28" s="42"/>
      <c r="U28" s="42"/>
      <c r="V28" s="42"/>
      <c r="W28" s="42"/>
      <c r="X28" s="42"/>
      <c r="Y28" s="42"/>
      <c r="Z28" s="42"/>
      <c r="AA28" s="42"/>
    </row>
    <row r="29" spans="1:27" s="36" customFormat="1" ht="14.25" x14ac:dyDescent="0.2">
      <c r="A29" s="58"/>
      <c r="G29" s="57"/>
      <c r="K29" s="42"/>
      <c r="L29" s="42"/>
      <c r="M29" s="42"/>
      <c r="N29" s="42"/>
      <c r="O29" s="42"/>
      <c r="P29" s="42"/>
      <c r="Q29" s="42"/>
      <c r="R29" s="42"/>
      <c r="T29" s="42"/>
      <c r="U29" s="42"/>
      <c r="V29" s="42"/>
      <c r="W29" s="42"/>
      <c r="X29" s="42"/>
      <c r="Y29" s="42"/>
      <c r="Z29" s="42"/>
      <c r="AA29" s="42"/>
    </row>
    <row r="30" spans="1:27" s="36" customFormat="1" ht="14.25" x14ac:dyDescent="0.2">
      <c r="A30" s="58"/>
      <c r="G30" s="57"/>
      <c r="K30" s="42"/>
      <c r="L30" s="42"/>
      <c r="M30" s="42"/>
      <c r="N30" s="42"/>
      <c r="O30" s="42"/>
      <c r="P30" s="42"/>
      <c r="Q30" s="42"/>
      <c r="R30" s="42"/>
      <c r="T30" s="42"/>
      <c r="U30" s="42"/>
      <c r="V30" s="42"/>
      <c r="W30" s="42"/>
      <c r="X30" s="42"/>
      <c r="Y30" s="42"/>
      <c r="Z30" s="42"/>
      <c r="AA30" s="42"/>
    </row>
    <row r="31" spans="1:27" s="36" customFormat="1" ht="14.25" x14ac:dyDescent="0.2">
      <c r="A31" s="58"/>
      <c r="G31" s="57"/>
      <c r="K31" s="42"/>
      <c r="L31" s="42"/>
      <c r="M31" s="42"/>
      <c r="N31" s="42"/>
      <c r="O31" s="42"/>
      <c r="P31" s="42"/>
      <c r="Q31" s="42"/>
      <c r="R31" s="42"/>
      <c r="T31" s="42"/>
      <c r="U31" s="42"/>
      <c r="V31" s="42"/>
      <c r="W31" s="42"/>
      <c r="X31" s="42"/>
      <c r="Y31" s="42"/>
      <c r="Z31" s="42"/>
      <c r="AA31" s="42"/>
    </row>
    <row r="32" spans="1:27" s="36" customFormat="1" ht="14.25" x14ac:dyDescent="0.2">
      <c r="A32" s="58"/>
      <c r="G32" s="57"/>
      <c r="K32" s="42"/>
      <c r="L32" s="42"/>
      <c r="M32" s="42"/>
      <c r="N32" s="42"/>
      <c r="O32" s="42"/>
      <c r="P32" s="42"/>
      <c r="Q32" s="42"/>
      <c r="R32" s="42"/>
      <c r="T32" s="42"/>
      <c r="U32" s="42"/>
      <c r="V32" s="42"/>
      <c r="W32" s="42"/>
      <c r="X32" s="42"/>
      <c r="Y32" s="42"/>
      <c r="Z32" s="42"/>
      <c r="AA32" s="42"/>
    </row>
    <row r="33" spans="1:27" s="36" customFormat="1" ht="14.25" x14ac:dyDescent="0.2">
      <c r="A33" s="58"/>
      <c r="G33" s="57"/>
      <c r="K33" s="42"/>
      <c r="L33" s="42"/>
      <c r="M33" s="42"/>
      <c r="N33" s="42"/>
      <c r="O33" s="42"/>
      <c r="P33" s="42"/>
      <c r="Q33" s="42"/>
      <c r="R33" s="42"/>
      <c r="T33" s="42"/>
      <c r="U33" s="42"/>
      <c r="V33" s="42"/>
      <c r="W33" s="42"/>
      <c r="X33" s="42"/>
      <c r="Y33" s="42"/>
      <c r="Z33" s="42"/>
      <c r="AA33" s="42"/>
    </row>
    <row r="34" spans="1:27" s="36" customFormat="1" ht="14.25" x14ac:dyDescent="0.2">
      <c r="A34" s="58"/>
      <c r="G34" s="57"/>
      <c r="K34" s="42"/>
      <c r="L34" s="42"/>
      <c r="M34" s="42"/>
      <c r="N34" s="42"/>
      <c r="O34" s="42"/>
      <c r="P34" s="42"/>
      <c r="Q34" s="42"/>
      <c r="R34" s="42"/>
      <c r="T34" s="42"/>
      <c r="U34" s="42"/>
      <c r="V34" s="42"/>
      <c r="W34" s="42"/>
      <c r="X34" s="42"/>
      <c r="Y34" s="42"/>
      <c r="Z34" s="42"/>
      <c r="AA34" s="42"/>
    </row>
    <row r="35" spans="1:27" s="36" customFormat="1" ht="14.25" x14ac:dyDescent="0.2">
      <c r="A35" s="58"/>
      <c r="G35" s="57"/>
      <c r="K35" s="42"/>
      <c r="L35" s="42"/>
      <c r="M35" s="42"/>
      <c r="N35" s="42"/>
      <c r="O35" s="42"/>
      <c r="P35" s="42"/>
      <c r="Q35" s="42"/>
      <c r="R35" s="42"/>
      <c r="T35" s="42"/>
      <c r="U35" s="42"/>
      <c r="V35" s="42"/>
      <c r="W35" s="42"/>
      <c r="X35" s="42"/>
      <c r="Y35" s="42"/>
      <c r="Z35" s="42"/>
      <c r="AA35" s="42"/>
    </row>
    <row r="36" spans="1:27" s="36" customFormat="1" ht="14.25" x14ac:dyDescent="0.2">
      <c r="A36" s="58"/>
      <c r="G36" s="57"/>
      <c r="K36" s="42"/>
      <c r="L36" s="42"/>
      <c r="M36" s="42"/>
      <c r="N36" s="42"/>
      <c r="O36" s="42"/>
      <c r="P36" s="42"/>
      <c r="Q36" s="42"/>
      <c r="R36" s="42"/>
      <c r="T36" s="42"/>
      <c r="U36" s="42"/>
      <c r="V36" s="42"/>
      <c r="W36" s="42"/>
      <c r="X36" s="42"/>
      <c r="Y36" s="42"/>
      <c r="Z36" s="42"/>
      <c r="AA36" s="42"/>
    </row>
    <row r="37" spans="1:27" s="36" customFormat="1" ht="14.25" x14ac:dyDescent="0.2">
      <c r="A37" s="58"/>
      <c r="G37" s="57"/>
      <c r="K37" s="42"/>
      <c r="L37" s="42"/>
      <c r="M37" s="42"/>
      <c r="N37" s="42"/>
      <c r="O37" s="42"/>
      <c r="P37" s="42"/>
      <c r="Q37" s="42"/>
      <c r="R37" s="42"/>
      <c r="T37" s="42"/>
      <c r="U37" s="42"/>
      <c r="V37" s="42"/>
      <c r="W37" s="42"/>
      <c r="X37" s="42"/>
      <c r="Y37" s="42"/>
      <c r="Z37" s="42"/>
      <c r="AA37" s="42"/>
    </row>
    <row r="38" spans="1:27" s="36" customFormat="1" ht="14.25" x14ac:dyDescent="0.2">
      <c r="A38" s="58"/>
      <c r="G38" s="57"/>
      <c r="K38" s="42"/>
      <c r="L38" s="42"/>
      <c r="M38" s="42"/>
      <c r="N38" s="42"/>
      <c r="O38" s="42"/>
      <c r="P38" s="42"/>
      <c r="Q38" s="42"/>
      <c r="R38" s="42"/>
      <c r="T38" s="42"/>
      <c r="U38" s="42"/>
      <c r="V38" s="42"/>
      <c r="W38" s="42"/>
      <c r="X38" s="42"/>
      <c r="Y38" s="42"/>
      <c r="Z38" s="42"/>
      <c r="AA38" s="42"/>
    </row>
    <row r="39" spans="1:27" s="36" customFormat="1" ht="14.25" x14ac:dyDescent="0.2">
      <c r="A39" s="58"/>
      <c r="G39" s="57"/>
      <c r="K39" s="42"/>
      <c r="L39" s="42"/>
      <c r="M39" s="42"/>
      <c r="N39" s="42"/>
      <c r="O39" s="42"/>
      <c r="P39" s="42"/>
      <c r="Q39" s="42"/>
      <c r="R39" s="42"/>
      <c r="T39" s="42"/>
      <c r="U39" s="42"/>
      <c r="V39" s="42"/>
      <c r="W39" s="42"/>
      <c r="X39" s="42"/>
      <c r="Y39" s="42"/>
      <c r="Z39" s="42"/>
      <c r="AA39" s="42"/>
    </row>
    <row r="40" spans="1:27" s="36" customFormat="1" ht="14.25" x14ac:dyDescent="0.2">
      <c r="A40" s="58"/>
      <c r="G40" s="57"/>
      <c r="K40" s="42"/>
      <c r="L40" s="42"/>
      <c r="M40" s="42"/>
      <c r="N40" s="42"/>
      <c r="O40" s="42"/>
      <c r="P40" s="42"/>
      <c r="Q40" s="42"/>
      <c r="R40" s="42"/>
      <c r="T40" s="42"/>
      <c r="U40" s="42"/>
      <c r="V40" s="42"/>
      <c r="W40" s="42"/>
      <c r="X40" s="42"/>
      <c r="Y40" s="42"/>
      <c r="Z40" s="42"/>
      <c r="AA40" s="42"/>
    </row>
    <row r="41" spans="1:27" s="36" customFormat="1" ht="14.25" x14ac:dyDescent="0.2">
      <c r="A41" s="58"/>
      <c r="G41" s="57"/>
      <c r="K41" s="42"/>
      <c r="L41" s="42"/>
      <c r="M41" s="42"/>
      <c r="N41" s="42"/>
      <c r="O41" s="42"/>
      <c r="P41" s="42"/>
      <c r="Q41" s="42"/>
      <c r="R41" s="42"/>
      <c r="T41" s="42"/>
      <c r="U41" s="42"/>
      <c r="V41" s="42"/>
      <c r="W41" s="42"/>
      <c r="X41" s="42"/>
      <c r="Y41" s="42"/>
      <c r="Z41" s="42"/>
      <c r="AA41" s="42"/>
    </row>
    <row r="42" spans="1:27" s="36" customFormat="1" ht="14.25" x14ac:dyDescent="0.2">
      <c r="A42" s="58"/>
      <c r="G42" s="57"/>
      <c r="K42" s="42"/>
      <c r="L42" s="42"/>
      <c r="M42" s="42"/>
      <c r="N42" s="42"/>
      <c r="O42" s="42"/>
      <c r="P42" s="42"/>
      <c r="Q42" s="42"/>
      <c r="R42" s="42"/>
      <c r="T42" s="42"/>
      <c r="U42" s="42"/>
      <c r="V42" s="42"/>
      <c r="W42" s="42"/>
      <c r="X42" s="42"/>
      <c r="Y42" s="42"/>
      <c r="Z42" s="42"/>
      <c r="AA42" s="42"/>
    </row>
    <row r="43" spans="1:27" s="36" customFormat="1" ht="14.25" x14ac:dyDescent="0.2">
      <c r="A43" s="58"/>
      <c r="G43" s="57"/>
      <c r="K43" s="42"/>
      <c r="L43" s="42"/>
      <c r="M43" s="42"/>
      <c r="N43" s="42"/>
      <c r="O43" s="42"/>
      <c r="P43" s="42"/>
      <c r="Q43" s="42"/>
      <c r="R43" s="42"/>
      <c r="T43" s="42"/>
      <c r="U43" s="42"/>
      <c r="V43" s="42"/>
      <c r="W43" s="42"/>
      <c r="X43" s="42"/>
      <c r="Y43" s="42"/>
      <c r="Z43" s="42"/>
      <c r="AA43" s="42"/>
    </row>
    <row r="44" spans="1:27" s="36" customFormat="1" ht="14.25" x14ac:dyDescent="0.2">
      <c r="A44" s="58"/>
      <c r="G44" s="57"/>
      <c r="K44" s="42"/>
      <c r="L44" s="42"/>
      <c r="M44" s="42"/>
      <c r="N44" s="42"/>
      <c r="O44" s="42"/>
      <c r="P44" s="42"/>
      <c r="Q44" s="42"/>
      <c r="R44" s="42"/>
      <c r="T44" s="42"/>
      <c r="U44" s="42"/>
      <c r="V44" s="42"/>
      <c r="W44" s="42"/>
      <c r="X44" s="42"/>
      <c r="Y44" s="42"/>
      <c r="Z44" s="42"/>
      <c r="AA44" s="42"/>
    </row>
    <row r="45" spans="1:27" s="36" customFormat="1" ht="14.25" x14ac:dyDescent="0.2">
      <c r="A45" s="58"/>
      <c r="G45" s="57"/>
      <c r="K45" s="42"/>
      <c r="L45" s="42"/>
      <c r="M45" s="42"/>
      <c r="N45" s="42"/>
      <c r="O45" s="42"/>
      <c r="P45" s="42"/>
      <c r="Q45" s="42"/>
      <c r="R45" s="42"/>
      <c r="T45" s="42"/>
      <c r="U45" s="42"/>
      <c r="V45" s="42"/>
      <c r="W45" s="42"/>
      <c r="X45" s="42"/>
      <c r="Y45" s="42"/>
      <c r="Z45" s="42"/>
      <c r="AA45" s="42"/>
    </row>
    <row r="46" spans="1:27" s="36" customFormat="1" ht="14.25" x14ac:dyDescent="0.2">
      <c r="A46" s="58"/>
      <c r="G46" s="57"/>
      <c r="K46" s="42"/>
      <c r="L46" s="42"/>
      <c r="M46" s="42"/>
      <c r="N46" s="42"/>
      <c r="O46" s="42"/>
      <c r="P46" s="42"/>
      <c r="Q46" s="42"/>
      <c r="R46" s="42"/>
      <c r="T46" s="42"/>
      <c r="U46" s="42"/>
      <c r="V46" s="42"/>
      <c r="W46" s="42"/>
      <c r="X46" s="42"/>
      <c r="Y46" s="42"/>
      <c r="Z46" s="42"/>
      <c r="AA46" s="42"/>
    </row>
    <row r="47" spans="1:27" s="36" customFormat="1" ht="14.25" x14ac:dyDescent="0.2">
      <c r="A47" s="58"/>
      <c r="G47" s="57"/>
      <c r="K47" s="42"/>
      <c r="L47" s="42"/>
      <c r="M47" s="42"/>
      <c r="N47" s="42"/>
      <c r="O47" s="42"/>
      <c r="P47" s="42"/>
      <c r="Q47" s="42"/>
      <c r="R47" s="42"/>
      <c r="T47" s="42"/>
      <c r="U47" s="42"/>
      <c r="V47" s="42"/>
      <c r="W47" s="42"/>
      <c r="X47" s="42"/>
      <c r="Y47" s="42"/>
      <c r="Z47" s="42"/>
      <c r="AA47" s="42"/>
    </row>
    <row r="48" spans="1:27" s="36" customFormat="1" ht="14.25" x14ac:dyDescent="0.2">
      <c r="A48" s="58"/>
      <c r="G48" s="57"/>
      <c r="K48" s="42"/>
      <c r="L48" s="42"/>
      <c r="M48" s="42"/>
      <c r="N48" s="42"/>
      <c r="O48" s="42"/>
      <c r="P48" s="42"/>
      <c r="Q48" s="42"/>
      <c r="R48" s="42"/>
      <c r="T48" s="42"/>
      <c r="U48" s="42"/>
      <c r="V48" s="42"/>
      <c r="W48" s="42"/>
      <c r="X48" s="42"/>
      <c r="Y48" s="42"/>
      <c r="Z48" s="42"/>
      <c r="AA48" s="42"/>
    </row>
    <row r="49" spans="1:27" s="36" customFormat="1" ht="14.25" x14ac:dyDescent="0.2">
      <c r="A49" s="58"/>
      <c r="G49" s="57"/>
      <c r="K49" s="42"/>
      <c r="L49" s="42"/>
      <c r="M49" s="42"/>
      <c r="N49" s="42"/>
      <c r="O49" s="42"/>
      <c r="P49" s="42"/>
      <c r="Q49" s="42"/>
      <c r="R49" s="42"/>
      <c r="T49" s="42"/>
      <c r="U49" s="42"/>
      <c r="V49" s="42"/>
      <c r="W49" s="42"/>
      <c r="X49" s="42"/>
      <c r="Y49" s="42"/>
      <c r="Z49" s="42"/>
      <c r="AA49" s="42"/>
    </row>
    <row r="50" spans="1:27" s="36" customFormat="1" ht="14.25" x14ac:dyDescent="0.2">
      <c r="A50" s="58"/>
      <c r="G50" s="57"/>
      <c r="K50" s="42"/>
      <c r="L50" s="42"/>
      <c r="M50" s="42"/>
      <c r="N50" s="42"/>
      <c r="O50" s="42"/>
      <c r="P50" s="42"/>
      <c r="Q50" s="42"/>
      <c r="R50" s="42"/>
      <c r="T50" s="42"/>
      <c r="U50" s="42"/>
      <c r="V50" s="42"/>
      <c r="W50" s="42"/>
      <c r="X50" s="42"/>
      <c r="Y50" s="42"/>
      <c r="Z50" s="42"/>
      <c r="AA50" s="42"/>
    </row>
    <row r="51" spans="1:27" s="36" customFormat="1" ht="14.25" x14ac:dyDescent="0.2">
      <c r="A51" s="58"/>
      <c r="G51" s="57"/>
      <c r="K51" s="42"/>
      <c r="L51" s="42"/>
      <c r="M51" s="42"/>
      <c r="N51" s="42"/>
      <c r="O51" s="42"/>
      <c r="P51" s="42"/>
      <c r="Q51" s="42"/>
      <c r="R51" s="42"/>
      <c r="T51" s="42"/>
      <c r="U51" s="42"/>
      <c r="V51" s="42"/>
      <c r="W51" s="42"/>
      <c r="X51" s="42"/>
      <c r="Y51" s="42"/>
      <c r="Z51" s="42"/>
      <c r="AA51" s="42"/>
    </row>
    <row r="52" spans="1:27" s="36" customFormat="1" ht="14.25" x14ac:dyDescent="0.2">
      <c r="A52" s="58"/>
      <c r="G52" s="57"/>
      <c r="K52" s="42"/>
      <c r="L52" s="42"/>
      <c r="M52" s="42"/>
      <c r="N52" s="42"/>
      <c r="O52" s="42"/>
      <c r="P52" s="42"/>
      <c r="Q52" s="42"/>
      <c r="R52" s="42"/>
      <c r="T52" s="42"/>
      <c r="U52" s="42"/>
      <c r="V52" s="42"/>
      <c r="W52" s="42"/>
      <c r="X52" s="42"/>
      <c r="Y52" s="42"/>
      <c r="Z52" s="42"/>
      <c r="AA52" s="42"/>
    </row>
    <row r="53" spans="1:27" s="36" customFormat="1" ht="14.25" x14ac:dyDescent="0.2">
      <c r="A53" s="58"/>
      <c r="G53" s="57"/>
      <c r="K53" s="42"/>
      <c r="L53" s="42"/>
      <c r="M53" s="42"/>
      <c r="N53" s="42"/>
      <c r="O53" s="42"/>
      <c r="P53" s="42"/>
      <c r="Q53" s="42"/>
      <c r="R53" s="42"/>
      <c r="T53" s="42"/>
      <c r="U53" s="42"/>
      <c r="V53" s="42"/>
      <c r="W53" s="42"/>
      <c r="X53" s="42"/>
      <c r="Y53" s="42"/>
      <c r="Z53" s="42"/>
      <c r="AA53" s="42"/>
    </row>
    <row r="54" spans="1:27" s="36" customFormat="1" ht="14.25" x14ac:dyDescent="0.2">
      <c r="A54" s="58"/>
      <c r="G54" s="57"/>
      <c r="K54" s="42"/>
      <c r="L54" s="42"/>
      <c r="M54" s="42"/>
      <c r="N54" s="42"/>
      <c r="O54" s="42"/>
      <c r="P54" s="42"/>
      <c r="Q54" s="42"/>
      <c r="R54" s="42"/>
      <c r="T54" s="42"/>
      <c r="U54" s="42"/>
      <c r="V54" s="42"/>
      <c r="W54" s="42"/>
      <c r="X54" s="42"/>
      <c r="Y54" s="42"/>
      <c r="Z54" s="42"/>
      <c r="AA54" s="42"/>
    </row>
    <row r="55" spans="1:27" s="36" customFormat="1" ht="14.25" x14ac:dyDescent="0.2">
      <c r="A55" s="58"/>
      <c r="G55" s="57"/>
      <c r="K55" s="42"/>
      <c r="L55" s="42"/>
      <c r="M55" s="42"/>
      <c r="N55" s="42"/>
      <c r="O55" s="42"/>
      <c r="P55" s="42"/>
      <c r="Q55" s="42"/>
      <c r="R55" s="42"/>
      <c r="T55" s="42"/>
      <c r="U55" s="42"/>
      <c r="V55" s="42"/>
      <c r="W55" s="42"/>
      <c r="X55" s="42"/>
      <c r="Y55" s="42"/>
      <c r="Z55" s="42"/>
      <c r="AA55" s="42"/>
    </row>
    <row r="56" spans="1:27" s="36" customFormat="1" ht="14.25" x14ac:dyDescent="0.2">
      <c r="A56" s="58"/>
      <c r="G56" s="57"/>
      <c r="K56" s="42"/>
      <c r="L56" s="42"/>
      <c r="M56" s="42"/>
      <c r="N56" s="42"/>
      <c r="O56" s="42"/>
      <c r="P56" s="42"/>
      <c r="Q56" s="42"/>
      <c r="R56" s="42"/>
      <c r="T56" s="42"/>
      <c r="U56" s="42"/>
      <c r="V56" s="42"/>
      <c r="W56" s="42"/>
      <c r="X56" s="42"/>
      <c r="Y56" s="42"/>
      <c r="Z56" s="42"/>
      <c r="AA56" s="42"/>
    </row>
    <row r="57" spans="1:27" s="36" customFormat="1" ht="14.25" x14ac:dyDescent="0.2">
      <c r="A57" s="58"/>
      <c r="G57" s="57"/>
      <c r="K57" s="42"/>
      <c r="L57" s="42"/>
      <c r="M57" s="42"/>
      <c r="N57" s="42"/>
      <c r="O57" s="42"/>
      <c r="P57" s="42"/>
      <c r="Q57" s="42"/>
      <c r="R57" s="42"/>
      <c r="T57" s="42"/>
      <c r="U57" s="42"/>
      <c r="V57" s="42"/>
      <c r="W57" s="42"/>
      <c r="X57" s="42"/>
      <c r="Y57" s="42"/>
      <c r="Z57" s="42"/>
      <c r="AA57" s="42"/>
    </row>
    <row r="58" spans="1:27" s="36" customFormat="1" ht="14.25" x14ac:dyDescent="0.2">
      <c r="A58" s="58"/>
      <c r="G58" s="57"/>
      <c r="K58" s="42"/>
      <c r="L58" s="42"/>
      <c r="M58" s="42"/>
      <c r="N58" s="42"/>
      <c r="O58" s="42"/>
      <c r="P58" s="42"/>
      <c r="Q58" s="42"/>
      <c r="R58" s="42"/>
      <c r="T58" s="42"/>
      <c r="U58" s="42"/>
      <c r="V58" s="42"/>
      <c r="W58" s="42"/>
      <c r="X58" s="42"/>
      <c r="Y58" s="42"/>
      <c r="Z58" s="42"/>
      <c r="AA58" s="42"/>
    </row>
    <row r="59" spans="1:27" s="36" customFormat="1" ht="14.25" x14ac:dyDescent="0.2">
      <c r="A59" s="58"/>
      <c r="G59" s="57"/>
      <c r="K59" s="42"/>
      <c r="L59" s="42"/>
      <c r="M59" s="42"/>
      <c r="N59" s="42"/>
      <c r="O59" s="42"/>
      <c r="P59" s="42"/>
      <c r="Q59" s="42"/>
      <c r="R59" s="42"/>
      <c r="T59" s="42"/>
      <c r="U59" s="42"/>
      <c r="V59" s="42"/>
      <c r="W59" s="42"/>
      <c r="X59" s="42"/>
      <c r="Y59" s="42"/>
      <c r="Z59" s="42"/>
      <c r="AA59" s="42"/>
    </row>
    <row r="60" spans="1:27" s="36" customFormat="1" ht="14.25" x14ac:dyDescent="0.2">
      <c r="A60" s="58"/>
      <c r="G60" s="57"/>
      <c r="K60" s="42"/>
      <c r="L60" s="42"/>
      <c r="M60" s="42"/>
      <c r="N60" s="42"/>
      <c r="O60" s="42"/>
      <c r="P60" s="42"/>
      <c r="Q60" s="42"/>
      <c r="R60" s="42"/>
      <c r="T60" s="42"/>
      <c r="U60" s="42"/>
      <c r="V60" s="42"/>
      <c r="W60" s="42"/>
      <c r="X60" s="42"/>
      <c r="Y60" s="42"/>
      <c r="Z60" s="42"/>
      <c r="AA60" s="42"/>
    </row>
    <row r="61" spans="1:27" s="36" customFormat="1" ht="14.25" x14ac:dyDescent="0.2">
      <c r="A61" s="58"/>
      <c r="G61" s="57"/>
      <c r="K61" s="42"/>
      <c r="L61" s="42"/>
      <c r="M61" s="42"/>
      <c r="N61" s="42"/>
      <c r="O61" s="42"/>
      <c r="P61" s="42"/>
      <c r="Q61" s="42"/>
      <c r="R61" s="42"/>
      <c r="T61" s="42"/>
      <c r="U61" s="42"/>
      <c r="V61" s="42"/>
      <c r="W61" s="42"/>
      <c r="X61" s="42"/>
      <c r="Y61" s="42"/>
      <c r="Z61" s="42"/>
      <c r="AA61" s="42"/>
    </row>
    <row r="62" spans="1:27" s="36" customFormat="1" ht="14.25" x14ac:dyDescent="0.2">
      <c r="A62" s="58"/>
      <c r="G62" s="57"/>
      <c r="K62" s="42"/>
      <c r="L62" s="42"/>
      <c r="M62" s="42"/>
      <c r="N62" s="42"/>
      <c r="O62" s="42"/>
      <c r="P62" s="42"/>
      <c r="Q62" s="42"/>
      <c r="R62" s="42"/>
      <c r="T62" s="42"/>
      <c r="U62" s="42"/>
      <c r="V62" s="42"/>
      <c r="W62" s="42"/>
      <c r="X62" s="42"/>
      <c r="Y62" s="42"/>
      <c r="Z62" s="42"/>
      <c r="AA62" s="42"/>
    </row>
    <row r="63" spans="1:27" s="36" customFormat="1" ht="14.25" x14ac:dyDescent="0.2">
      <c r="A63" s="58"/>
      <c r="G63" s="57"/>
      <c r="K63" s="42"/>
      <c r="L63" s="42"/>
      <c r="M63" s="42"/>
      <c r="N63" s="42"/>
      <c r="O63" s="42"/>
      <c r="P63" s="42"/>
      <c r="Q63" s="42"/>
      <c r="R63" s="42"/>
      <c r="T63" s="42"/>
      <c r="U63" s="42"/>
      <c r="V63" s="42"/>
      <c r="W63" s="42"/>
      <c r="X63" s="42"/>
      <c r="Y63" s="42"/>
      <c r="Z63" s="42"/>
      <c r="AA63" s="42"/>
    </row>
    <row r="64" spans="1:27" s="36" customFormat="1" ht="14.25" x14ac:dyDescent="0.2">
      <c r="A64" s="58"/>
      <c r="G64" s="57"/>
      <c r="K64" s="42"/>
      <c r="L64" s="42"/>
      <c r="M64" s="42"/>
      <c r="N64" s="42"/>
      <c r="O64" s="42"/>
      <c r="P64" s="42"/>
      <c r="Q64" s="42"/>
      <c r="R64" s="42"/>
      <c r="T64" s="42"/>
      <c r="U64" s="42"/>
      <c r="V64" s="42"/>
      <c r="W64" s="42"/>
      <c r="X64" s="42"/>
      <c r="Y64" s="42"/>
      <c r="Z64" s="42"/>
      <c r="AA64" s="42"/>
    </row>
    <row r="65" spans="1:27" s="36" customFormat="1" ht="14.25" x14ac:dyDescent="0.2">
      <c r="A65" s="58"/>
      <c r="G65" s="57"/>
      <c r="K65" s="42"/>
      <c r="L65" s="42"/>
      <c r="M65" s="42"/>
      <c r="N65" s="42"/>
      <c r="O65" s="42"/>
      <c r="P65" s="42"/>
      <c r="Q65" s="42"/>
      <c r="R65" s="42"/>
      <c r="T65" s="42"/>
      <c r="U65" s="42"/>
      <c r="V65" s="42"/>
      <c r="W65" s="42"/>
      <c r="X65" s="42"/>
      <c r="Y65" s="42"/>
      <c r="Z65" s="42"/>
      <c r="AA65" s="42"/>
    </row>
    <row r="66" spans="1:27" s="36" customFormat="1" ht="14.25" x14ac:dyDescent="0.2">
      <c r="A66" s="58"/>
      <c r="G66" s="57"/>
      <c r="K66" s="42"/>
      <c r="L66" s="42"/>
      <c r="M66" s="42"/>
      <c r="N66" s="42"/>
      <c r="O66" s="42"/>
      <c r="P66" s="42"/>
      <c r="Q66" s="42"/>
      <c r="R66" s="42"/>
      <c r="T66" s="42"/>
      <c r="U66" s="42"/>
      <c r="V66" s="42"/>
      <c r="W66" s="42"/>
      <c r="X66" s="42"/>
      <c r="Y66" s="42"/>
      <c r="Z66" s="42"/>
      <c r="AA66" s="42"/>
    </row>
    <row r="67" spans="1:27" s="36" customFormat="1" ht="14.25" x14ac:dyDescent="0.2">
      <c r="A67" s="58"/>
      <c r="G67" s="57"/>
      <c r="K67" s="42"/>
      <c r="L67" s="42"/>
      <c r="M67" s="42"/>
      <c r="N67" s="42"/>
      <c r="O67" s="42"/>
      <c r="P67" s="42"/>
      <c r="Q67" s="42"/>
      <c r="R67" s="42"/>
      <c r="T67" s="42"/>
      <c r="U67" s="42"/>
      <c r="V67" s="42"/>
      <c r="W67" s="42"/>
      <c r="X67" s="42"/>
      <c r="Y67" s="42"/>
      <c r="Z67" s="42"/>
      <c r="AA67" s="42"/>
    </row>
    <row r="68" spans="1:27" s="36" customFormat="1" ht="14.25" x14ac:dyDescent="0.2">
      <c r="A68" s="58"/>
      <c r="G68" s="57"/>
      <c r="K68" s="42"/>
      <c r="L68" s="42"/>
      <c r="M68" s="42"/>
      <c r="N68" s="42"/>
      <c r="O68" s="42"/>
      <c r="P68" s="42"/>
      <c r="Q68" s="42"/>
      <c r="R68" s="42"/>
      <c r="T68" s="42"/>
      <c r="U68" s="42"/>
      <c r="V68" s="42"/>
      <c r="W68" s="42"/>
      <c r="X68" s="42"/>
      <c r="Y68" s="42"/>
      <c r="Z68" s="42"/>
      <c r="AA68" s="42"/>
    </row>
    <row r="69" spans="1:27" s="36" customFormat="1" ht="14.25" x14ac:dyDescent="0.2">
      <c r="A69" s="58"/>
      <c r="G69" s="57"/>
      <c r="K69" s="42"/>
      <c r="L69" s="42"/>
      <c r="M69" s="42"/>
      <c r="N69" s="42"/>
      <c r="O69" s="42"/>
      <c r="P69" s="42"/>
      <c r="Q69" s="42"/>
      <c r="R69" s="42"/>
      <c r="T69" s="42"/>
      <c r="U69" s="42"/>
      <c r="V69" s="42"/>
      <c r="W69" s="42"/>
      <c r="X69" s="42"/>
      <c r="Y69" s="42"/>
      <c r="Z69" s="42"/>
      <c r="AA69" s="42"/>
    </row>
    <row r="70" spans="1:27" s="36" customFormat="1" ht="14.25" x14ac:dyDescent="0.2">
      <c r="A70" s="58"/>
      <c r="G70" s="57"/>
      <c r="K70" s="42"/>
      <c r="L70" s="42"/>
      <c r="M70" s="42"/>
      <c r="N70" s="42"/>
      <c r="O70" s="42"/>
      <c r="P70" s="42"/>
      <c r="Q70" s="42"/>
      <c r="R70" s="42"/>
      <c r="T70" s="42"/>
      <c r="U70" s="42"/>
      <c r="V70" s="42"/>
      <c r="W70" s="42"/>
      <c r="X70" s="42"/>
      <c r="Y70" s="42"/>
      <c r="Z70" s="42"/>
      <c r="AA70" s="42"/>
    </row>
    <row r="71" spans="1:27" s="36" customFormat="1" ht="14.25" x14ac:dyDescent="0.2">
      <c r="A71" s="58"/>
      <c r="G71" s="57"/>
      <c r="K71" s="42"/>
      <c r="L71" s="42"/>
      <c r="M71" s="42"/>
      <c r="N71" s="42"/>
      <c r="O71" s="42"/>
      <c r="P71" s="42"/>
      <c r="Q71" s="42"/>
      <c r="R71" s="42"/>
      <c r="T71" s="42"/>
      <c r="U71" s="42"/>
      <c r="V71" s="42"/>
      <c r="W71" s="42"/>
      <c r="X71" s="42"/>
      <c r="Y71" s="42"/>
      <c r="Z71" s="42"/>
      <c r="AA71" s="42"/>
    </row>
    <row r="72" spans="1:27" s="36" customFormat="1" ht="14.25" x14ac:dyDescent="0.2">
      <c r="A72" s="58"/>
      <c r="G72" s="57"/>
      <c r="K72" s="42"/>
      <c r="L72" s="42"/>
      <c r="M72" s="42"/>
      <c r="N72" s="42"/>
      <c r="O72" s="42"/>
      <c r="P72" s="42"/>
      <c r="Q72" s="42"/>
      <c r="R72" s="42"/>
      <c r="T72" s="42"/>
      <c r="U72" s="42"/>
      <c r="V72" s="42"/>
      <c r="W72" s="42"/>
      <c r="X72" s="42"/>
      <c r="Y72" s="42"/>
      <c r="Z72" s="42"/>
      <c r="AA72" s="42"/>
    </row>
    <row r="73" spans="1:27" s="36" customFormat="1" ht="14.25" x14ac:dyDescent="0.2">
      <c r="A73" s="58"/>
      <c r="G73" s="57"/>
      <c r="K73" s="42"/>
      <c r="L73" s="42"/>
      <c r="M73" s="42"/>
      <c r="N73" s="42"/>
      <c r="O73" s="42"/>
      <c r="P73" s="42"/>
      <c r="Q73" s="42"/>
      <c r="R73" s="42"/>
      <c r="T73" s="42"/>
      <c r="U73" s="42"/>
      <c r="V73" s="42"/>
      <c r="W73" s="42"/>
      <c r="X73" s="42"/>
      <c r="Y73" s="42"/>
      <c r="Z73" s="42"/>
      <c r="AA73" s="42"/>
    </row>
    <row r="74" spans="1:27" s="36" customFormat="1" ht="14.25" x14ac:dyDescent="0.2">
      <c r="A74" s="58"/>
      <c r="G74" s="57"/>
      <c r="K74" s="42"/>
      <c r="L74" s="42"/>
      <c r="M74" s="42"/>
      <c r="N74" s="42"/>
      <c r="O74" s="42"/>
      <c r="P74" s="42"/>
      <c r="Q74" s="42"/>
      <c r="R74" s="42"/>
      <c r="T74" s="42"/>
      <c r="U74" s="42"/>
      <c r="V74" s="42"/>
      <c r="W74" s="42"/>
      <c r="X74" s="42"/>
      <c r="Y74" s="42"/>
      <c r="Z74" s="42"/>
      <c r="AA74" s="42"/>
    </row>
    <row r="75" spans="1:27" s="36" customFormat="1" ht="14.25" x14ac:dyDescent="0.2">
      <c r="A75" s="58"/>
      <c r="G75" s="57"/>
      <c r="K75" s="42"/>
      <c r="L75" s="42"/>
      <c r="M75" s="42"/>
      <c r="N75" s="42"/>
      <c r="O75" s="42"/>
      <c r="P75" s="42"/>
      <c r="Q75" s="42"/>
      <c r="R75" s="42"/>
      <c r="T75" s="42"/>
      <c r="U75" s="42"/>
      <c r="V75" s="42"/>
      <c r="W75" s="42"/>
      <c r="X75" s="42"/>
      <c r="Y75" s="42"/>
      <c r="Z75" s="42"/>
      <c r="AA75" s="42"/>
    </row>
    <row r="76" spans="1:27" s="36" customFormat="1" ht="14.25" x14ac:dyDescent="0.2">
      <c r="A76" s="58"/>
      <c r="G76" s="57"/>
      <c r="K76" s="42"/>
      <c r="L76" s="42"/>
      <c r="M76" s="42"/>
      <c r="N76" s="42"/>
      <c r="O76" s="42"/>
      <c r="P76" s="42"/>
      <c r="Q76" s="42"/>
      <c r="R76" s="42"/>
      <c r="T76" s="42"/>
      <c r="U76" s="42"/>
      <c r="V76" s="42"/>
      <c r="W76" s="42"/>
      <c r="X76" s="42"/>
      <c r="Y76" s="42"/>
      <c r="Z76" s="42"/>
      <c r="AA76" s="42"/>
    </row>
    <row r="77" spans="1:27" s="36" customFormat="1" ht="14.25" x14ac:dyDescent="0.2">
      <c r="A77" s="58"/>
      <c r="G77" s="57"/>
      <c r="K77" s="42"/>
      <c r="L77" s="42"/>
      <c r="M77" s="42"/>
      <c r="N77" s="42"/>
      <c r="O77" s="42"/>
      <c r="P77" s="42"/>
      <c r="Q77" s="42"/>
      <c r="R77" s="42"/>
      <c r="T77" s="42"/>
      <c r="U77" s="42"/>
      <c r="V77" s="42"/>
      <c r="W77" s="42"/>
      <c r="X77" s="42"/>
      <c r="Y77" s="42"/>
      <c r="Z77" s="42"/>
      <c r="AA77" s="42"/>
    </row>
    <row r="78" spans="1:27" s="36" customFormat="1" ht="14.25" x14ac:dyDescent="0.2">
      <c r="A78" s="58"/>
      <c r="G78" s="57"/>
      <c r="K78" s="42"/>
      <c r="L78" s="42"/>
      <c r="M78" s="42"/>
      <c r="N78" s="42"/>
      <c r="O78" s="42"/>
      <c r="P78" s="42"/>
      <c r="Q78" s="42"/>
      <c r="R78" s="42"/>
      <c r="T78" s="42"/>
      <c r="U78" s="42"/>
      <c r="V78" s="42"/>
      <c r="W78" s="42"/>
      <c r="X78" s="42"/>
      <c r="Y78" s="42"/>
      <c r="Z78" s="42"/>
      <c r="AA78" s="42"/>
    </row>
    <row r="79" spans="1:27" s="36" customFormat="1" ht="14.25" x14ac:dyDescent="0.2">
      <c r="A79" s="58"/>
      <c r="G79" s="57"/>
      <c r="K79" s="42"/>
      <c r="L79" s="42"/>
      <c r="M79" s="42"/>
      <c r="N79" s="42"/>
      <c r="O79" s="42"/>
      <c r="P79" s="42"/>
      <c r="Q79" s="42"/>
      <c r="R79" s="42"/>
      <c r="T79" s="42"/>
      <c r="U79" s="42"/>
      <c r="V79" s="42"/>
      <c r="W79" s="42"/>
      <c r="X79" s="42"/>
      <c r="Y79" s="42"/>
      <c r="Z79" s="42"/>
      <c r="AA79" s="42"/>
    </row>
    <row r="80" spans="1:27" s="36" customFormat="1" ht="14.25" x14ac:dyDescent="0.2">
      <c r="A80" s="58"/>
      <c r="G80" s="57"/>
      <c r="K80" s="42"/>
      <c r="L80" s="42"/>
      <c r="M80" s="42"/>
      <c r="N80" s="42"/>
      <c r="O80" s="42"/>
      <c r="P80" s="42"/>
      <c r="Q80" s="42"/>
      <c r="R80" s="42"/>
      <c r="T80" s="42"/>
      <c r="U80" s="42"/>
      <c r="V80" s="42"/>
      <c r="W80" s="42"/>
      <c r="X80" s="42"/>
      <c r="Y80" s="42"/>
      <c r="Z80" s="42"/>
      <c r="AA80" s="42"/>
    </row>
    <row r="81" spans="1:27" s="36" customFormat="1" ht="14.25" x14ac:dyDescent="0.2">
      <c r="A81" s="58"/>
      <c r="G81" s="57"/>
      <c r="K81" s="42"/>
      <c r="L81" s="42"/>
      <c r="M81" s="42"/>
      <c r="N81" s="42"/>
      <c r="O81" s="42"/>
      <c r="P81" s="42"/>
      <c r="Q81" s="42"/>
      <c r="R81" s="42"/>
      <c r="T81" s="42"/>
      <c r="U81" s="42"/>
      <c r="V81" s="42"/>
      <c r="W81" s="42"/>
      <c r="X81" s="42"/>
      <c r="Y81" s="42"/>
      <c r="Z81" s="42"/>
      <c r="AA81" s="42"/>
    </row>
    <row r="82" spans="1:27" s="36" customFormat="1" ht="14.25" x14ac:dyDescent="0.2">
      <c r="A82" s="58"/>
      <c r="G82" s="57"/>
      <c r="K82" s="42"/>
      <c r="L82" s="42"/>
      <c r="M82" s="42"/>
      <c r="N82" s="42"/>
      <c r="O82" s="42"/>
      <c r="P82" s="42"/>
      <c r="Q82" s="42"/>
      <c r="R82" s="42"/>
      <c r="T82" s="42"/>
      <c r="U82" s="42"/>
      <c r="V82" s="42"/>
      <c r="W82" s="42"/>
      <c r="X82" s="42"/>
      <c r="Y82" s="42"/>
      <c r="Z82" s="42"/>
      <c r="AA82" s="42"/>
    </row>
    <row r="83" spans="1:27" s="36" customFormat="1" ht="14.25" x14ac:dyDescent="0.2">
      <c r="A83" s="58"/>
      <c r="G83" s="57"/>
      <c r="K83" s="42"/>
      <c r="L83" s="42"/>
      <c r="M83" s="42"/>
      <c r="N83" s="42"/>
      <c r="O83" s="42"/>
      <c r="P83" s="42"/>
      <c r="Q83" s="42"/>
      <c r="R83" s="42"/>
      <c r="T83" s="42"/>
      <c r="U83" s="42"/>
      <c r="V83" s="42"/>
      <c r="W83" s="42"/>
      <c r="X83" s="42"/>
      <c r="Y83" s="42"/>
      <c r="Z83" s="42"/>
      <c r="AA83" s="42"/>
    </row>
    <row r="84" spans="1:27" s="36" customFormat="1" ht="14.25" x14ac:dyDescent="0.2">
      <c r="A84" s="58"/>
      <c r="G84" s="57"/>
      <c r="K84" s="42"/>
      <c r="L84" s="42"/>
      <c r="M84" s="42"/>
      <c r="N84" s="42"/>
      <c r="O84" s="42"/>
      <c r="P84" s="42"/>
      <c r="Q84" s="42"/>
      <c r="R84" s="42"/>
      <c r="T84" s="42"/>
      <c r="U84" s="42"/>
      <c r="V84" s="42"/>
      <c r="W84" s="42"/>
      <c r="X84" s="42"/>
      <c r="Y84" s="42"/>
      <c r="Z84" s="42"/>
      <c r="AA84" s="42"/>
    </row>
    <row r="85" spans="1:27" s="36" customFormat="1" ht="14.25" x14ac:dyDescent="0.2">
      <c r="A85" s="58"/>
      <c r="G85" s="57"/>
      <c r="K85" s="42"/>
      <c r="L85" s="42"/>
      <c r="M85" s="42"/>
      <c r="N85" s="42"/>
      <c r="O85" s="42"/>
      <c r="P85" s="42"/>
      <c r="Q85" s="42"/>
      <c r="R85" s="42"/>
      <c r="T85" s="42"/>
      <c r="U85" s="42"/>
      <c r="V85" s="42"/>
      <c r="W85" s="42"/>
      <c r="X85" s="42"/>
      <c r="Y85" s="42"/>
      <c r="Z85" s="42"/>
      <c r="AA85" s="42"/>
    </row>
    <row r="86" spans="1:27" s="36" customFormat="1" ht="14.25" x14ac:dyDescent="0.2">
      <c r="A86" s="58"/>
      <c r="G86" s="57"/>
      <c r="K86" s="42"/>
      <c r="L86" s="42"/>
      <c r="M86" s="42"/>
      <c r="N86" s="42"/>
      <c r="O86" s="42"/>
      <c r="P86" s="42"/>
      <c r="Q86" s="42"/>
      <c r="R86" s="42"/>
      <c r="T86" s="42"/>
      <c r="U86" s="42"/>
      <c r="V86" s="42"/>
      <c r="W86" s="42"/>
      <c r="X86" s="42"/>
      <c r="Y86" s="42"/>
      <c r="Z86" s="42"/>
      <c r="AA86" s="42"/>
    </row>
    <row r="87" spans="1:27" s="36" customFormat="1" ht="14.25" x14ac:dyDescent="0.2">
      <c r="A87" s="58"/>
      <c r="G87" s="57"/>
      <c r="K87" s="42"/>
      <c r="L87" s="42"/>
      <c r="M87" s="42"/>
      <c r="N87" s="42"/>
      <c r="O87" s="42"/>
      <c r="P87" s="42"/>
      <c r="Q87" s="42"/>
      <c r="R87" s="42"/>
      <c r="T87" s="42"/>
      <c r="U87" s="42"/>
      <c r="V87" s="42"/>
      <c r="W87" s="42"/>
      <c r="X87" s="42"/>
      <c r="Y87" s="42"/>
      <c r="Z87" s="42"/>
      <c r="AA87" s="42"/>
    </row>
    <row r="88" spans="1:27" s="36" customFormat="1" ht="14.25" x14ac:dyDescent="0.2">
      <c r="A88" s="58"/>
      <c r="G88" s="57"/>
      <c r="K88" s="42"/>
      <c r="L88" s="42"/>
      <c r="M88" s="42"/>
      <c r="N88" s="42"/>
      <c r="O88" s="42"/>
      <c r="P88" s="42"/>
      <c r="Q88" s="42"/>
      <c r="R88" s="42"/>
      <c r="T88" s="42"/>
      <c r="U88" s="42"/>
      <c r="V88" s="42"/>
      <c r="W88" s="42"/>
      <c r="X88" s="42"/>
      <c r="Y88" s="42"/>
      <c r="Z88" s="42"/>
      <c r="AA88" s="42"/>
    </row>
    <row r="89" spans="1:27" s="36" customFormat="1" ht="14.25" x14ac:dyDescent="0.2">
      <c r="A89" s="58"/>
      <c r="G89" s="57"/>
      <c r="K89" s="42"/>
      <c r="L89" s="42"/>
      <c r="M89" s="42"/>
      <c r="N89" s="42"/>
      <c r="O89" s="42"/>
      <c r="P89" s="42"/>
      <c r="Q89" s="42"/>
      <c r="R89" s="42"/>
      <c r="T89" s="42"/>
      <c r="U89" s="42"/>
      <c r="V89" s="42"/>
      <c r="W89" s="42"/>
      <c r="X89" s="42"/>
      <c r="Y89" s="42"/>
      <c r="Z89" s="42"/>
      <c r="AA89" s="42"/>
    </row>
    <row r="90" spans="1:27" s="36" customFormat="1" ht="14.25" x14ac:dyDescent="0.2">
      <c r="A90" s="58"/>
      <c r="G90" s="57"/>
      <c r="K90" s="42"/>
      <c r="L90" s="42"/>
      <c r="M90" s="42"/>
      <c r="N90" s="42"/>
      <c r="O90" s="42"/>
      <c r="P90" s="42"/>
      <c r="Q90" s="42"/>
      <c r="R90" s="42"/>
      <c r="T90" s="42"/>
      <c r="U90" s="42"/>
      <c r="V90" s="42"/>
      <c r="W90" s="42"/>
      <c r="X90" s="42"/>
      <c r="Y90" s="42"/>
      <c r="Z90" s="42"/>
      <c r="AA90" s="42"/>
    </row>
    <row r="91" spans="1:27" s="36" customFormat="1" ht="14.25" x14ac:dyDescent="0.2">
      <c r="A91" s="58"/>
      <c r="G91" s="57"/>
      <c r="K91" s="42"/>
      <c r="L91" s="42"/>
      <c r="M91" s="42"/>
      <c r="N91" s="42"/>
      <c r="O91" s="42"/>
      <c r="P91" s="42"/>
      <c r="Q91" s="42"/>
      <c r="R91" s="42"/>
      <c r="T91" s="42"/>
      <c r="U91" s="42"/>
      <c r="V91" s="42"/>
      <c r="W91" s="42"/>
      <c r="X91" s="42"/>
      <c r="Y91" s="42"/>
      <c r="Z91" s="42"/>
      <c r="AA91" s="42"/>
    </row>
    <row r="92" spans="1:27" s="36" customFormat="1" ht="14.25" x14ac:dyDescent="0.2">
      <c r="A92" s="58"/>
      <c r="G92" s="57"/>
      <c r="K92" s="42"/>
      <c r="L92" s="42"/>
      <c r="M92" s="42"/>
      <c r="N92" s="42"/>
      <c r="O92" s="42"/>
      <c r="P92" s="42"/>
      <c r="Q92" s="42"/>
      <c r="R92" s="42"/>
      <c r="T92" s="42"/>
      <c r="U92" s="42"/>
      <c r="V92" s="42"/>
      <c r="W92" s="42"/>
      <c r="X92" s="42"/>
      <c r="Y92" s="42"/>
      <c r="Z92" s="42"/>
      <c r="AA92" s="42"/>
    </row>
    <row r="93" spans="1:27" s="36" customFormat="1" ht="14.25" x14ac:dyDescent="0.2">
      <c r="A93" s="58"/>
      <c r="G93" s="57"/>
      <c r="K93" s="42"/>
      <c r="L93" s="42"/>
      <c r="M93" s="42"/>
      <c r="N93" s="42"/>
      <c r="O93" s="42"/>
      <c r="P93" s="42"/>
      <c r="Q93" s="42"/>
      <c r="R93" s="42"/>
      <c r="T93" s="42"/>
      <c r="U93" s="42"/>
      <c r="V93" s="42"/>
      <c r="W93" s="42"/>
      <c r="X93" s="42"/>
      <c r="Y93" s="42"/>
      <c r="Z93" s="42"/>
      <c r="AA93" s="42"/>
    </row>
    <row r="94" spans="1:27" s="36" customFormat="1" ht="14.25" x14ac:dyDescent="0.2">
      <c r="A94" s="58"/>
      <c r="G94" s="57"/>
      <c r="K94" s="42"/>
      <c r="L94" s="42"/>
      <c r="M94" s="42"/>
      <c r="N94" s="42"/>
      <c r="O94" s="42"/>
      <c r="P94" s="42"/>
      <c r="Q94" s="42"/>
      <c r="R94" s="42"/>
      <c r="T94" s="42"/>
      <c r="U94" s="42"/>
      <c r="V94" s="42"/>
      <c r="W94" s="42"/>
      <c r="X94" s="42"/>
      <c r="Y94" s="42"/>
      <c r="Z94" s="42"/>
      <c r="AA94" s="42"/>
    </row>
    <row r="95" spans="1:27" s="36" customFormat="1" ht="14.25" x14ac:dyDescent="0.2">
      <c r="A95" s="58"/>
      <c r="G95" s="57"/>
      <c r="K95" s="42"/>
      <c r="L95" s="42"/>
      <c r="M95" s="42"/>
      <c r="N95" s="42"/>
      <c r="O95" s="42"/>
      <c r="P95" s="42"/>
      <c r="Q95" s="42"/>
      <c r="R95" s="42"/>
      <c r="T95" s="42"/>
      <c r="U95" s="42"/>
      <c r="V95" s="42"/>
      <c r="W95" s="42"/>
      <c r="X95" s="42"/>
      <c r="Y95" s="42"/>
      <c r="Z95" s="42"/>
      <c r="AA95" s="42"/>
    </row>
    <row r="96" spans="1:27" s="36" customFormat="1" ht="14.25" x14ac:dyDescent="0.2">
      <c r="A96" s="58"/>
      <c r="G96" s="57"/>
      <c r="K96" s="42"/>
      <c r="L96" s="42"/>
      <c r="M96" s="42"/>
      <c r="N96" s="42"/>
      <c r="O96" s="42"/>
      <c r="P96" s="42"/>
      <c r="Q96" s="42"/>
      <c r="R96" s="42"/>
      <c r="T96" s="42"/>
      <c r="U96" s="42"/>
      <c r="V96" s="42"/>
      <c r="W96" s="42"/>
      <c r="X96" s="42"/>
      <c r="Y96" s="42"/>
      <c r="Z96" s="42"/>
      <c r="AA96" s="42"/>
    </row>
    <row r="97" spans="1:27" s="36" customFormat="1" ht="14.25" x14ac:dyDescent="0.2">
      <c r="A97" s="58"/>
      <c r="G97" s="57"/>
      <c r="K97" s="42"/>
      <c r="L97" s="42"/>
      <c r="M97" s="42"/>
      <c r="N97" s="42"/>
      <c r="O97" s="42"/>
      <c r="P97" s="42"/>
      <c r="Q97" s="42"/>
      <c r="R97" s="42"/>
      <c r="T97" s="42"/>
      <c r="U97" s="42"/>
      <c r="V97" s="42"/>
      <c r="W97" s="42"/>
      <c r="X97" s="42"/>
      <c r="Y97" s="42"/>
      <c r="Z97" s="42"/>
      <c r="AA97" s="42"/>
    </row>
    <row r="98" spans="1:27" s="36" customFormat="1" ht="14.25" x14ac:dyDescent="0.2">
      <c r="A98" s="58"/>
      <c r="G98" s="57"/>
      <c r="K98" s="42"/>
      <c r="L98" s="42"/>
      <c r="M98" s="42"/>
      <c r="N98" s="42"/>
      <c r="O98" s="42"/>
      <c r="P98" s="42"/>
      <c r="Q98" s="42"/>
      <c r="R98" s="42"/>
      <c r="T98" s="42"/>
      <c r="U98" s="42"/>
      <c r="V98" s="42"/>
      <c r="W98" s="42"/>
      <c r="X98" s="42"/>
      <c r="Y98" s="42"/>
      <c r="Z98" s="42"/>
      <c r="AA98" s="42"/>
    </row>
    <row r="99" spans="1:27" s="36" customFormat="1" ht="14.25" x14ac:dyDescent="0.2">
      <c r="A99" s="58"/>
      <c r="G99" s="57"/>
      <c r="K99" s="42"/>
      <c r="L99" s="42"/>
      <c r="M99" s="42"/>
      <c r="N99" s="42"/>
      <c r="O99" s="42"/>
      <c r="P99" s="42"/>
      <c r="Q99" s="42"/>
      <c r="R99" s="42"/>
      <c r="T99" s="42"/>
      <c r="U99" s="42"/>
      <c r="V99" s="42"/>
      <c r="W99" s="42"/>
      <c r="X99" s="42"/>
      <c r="Y99" s="42"/>
      <c r="Z99" s="42"/>
      <c r="AA99" s="42"/>
    </row>
    <row r="100" spans="1:27" s="36" customFormat="1" ht="14.25" x14ac:dyDescent="0.2">
      <c r="A100" s="58"/>
      <c r="G100" s="57"/>
      <c r="K100" s="42"/>
      <c r="L100" s="42"/>
      <c r="M100" s="42"/>
      <c r="N100" s="42"/>
      <c r="O100" s="42"/>
      <c r="P100" s="42"/>
      <c r="Q100" s="42"/>
      <c r="R100" s="42"/>
      <c r="T100" s="42"/>
      <c r="U100" s="42"/>
      <c r="V100" s="42"/>
      <c r="W100" s="42"/>
      <c r="X100" s="42"/>
      <c r="Y100" s="42"/>
      <c r="Z100" s="42"/>
      <c r="AA100" s="42"/>
    </row>
    <row r="101" spans="1:27" s="36" customFormat="1" ht="14.25" x14ac:dyDescent="0.2">
      <c r="A101" s="58"/>
      <c r="G101" s="57"/>
      <c r="K101" s="42"/>
      <c r="L101" s="42"/>
      <c r="M101" s="42"/>
      <c r="N101" s="42"/>
      <c r="O101" s="42"/>
      <c r="P101" s="42"/>
      <c r="Q101" s="42"/>
      <c r="R101" s="42"/>
      <c r="T101" s="42"/>
      <c r="U101" s="42"/>
      <c r="V101" s="42"/>
      <c r="W101" s="42"/>
      <c r="X101" s="42"/>
      <c r="Y101" s="42"/>
      <c r="Z101" s="42"/>
      <c r="AA101" s="42"/>
    </row>
    <row r="102" spans="1:27" s="36" customFormat="1" ht="14.25" x14ac:dyDescent="0.2">
      <c r="A102" s="58"/>
      <c r="G102" s="57"/>
      <c r="K102" s="42"/>
      <c r="L102" s="42"/>
      <c r="M102" s="42"/>
      <c r="N102" s="42"/>
      <c r="O102" s="42"/>
      <c r="P102" s="42"/>
      <c r="Q102" s="42"/>
      <c r="R102" s="42"/>
      <c r="T102" s="42"/>
      <c r="U102" s="42"/>
      <c r="V102" s="42"/>
      <c r="W102" s="42"/>
      <c r="X102" s="42"/>
      <c r="Y102" s="42"/>
      <c r="Z102" s="42"/>
      <c r="AA102" s="42"/>
    </row>
    <row r="103" spans="1:27" s="36" customFormat="1" ht="14.25" x14ac:dyDescent="0.2">
      <c r="A103" s="58"/>
      <c r="G103" s="57"/>
      <c r="K103" s="42"/>
      <c r="L103" s="42"/>
      <c r="M103" s="42"/>
      <c r="N103" s="42"/>
      <c r="O103" s="42"/>
      <c r="P103" s="42"/>
      <c r="Q103" s="42"/>
      <c r="R103" s="42"/>
      <c r="T103" s="42"/>
      <c r="U103" s="42"/>
      <c r="V103" s="42"/>
      <c r="W103" s="42"/>
      <c r="X103" s="42"/>
      <c r="Y103" s="42"/>
      <c r="Z103" s="42"/>
      <c r="AA103" s="42"/>
    </row>
    <row r="104" spans="1:27" s="36" customFormat="1" ht="14.25" x14ac:dyDescent="0.2">
      <c r="A104" s="58"/>
      <c r="G104" s="57"/>
      <c r="K104" s="42"/>
      <c r="L104" s="42"/>
      <c r="M104" s="42"/>
      <c r="N104" s="42"/>
      <c r="O104" s="42"/>
      <c r="P104" s="42"/>
      <c r="Q104" s="42"/>
      <c r="R104" s="42"/>
      <c r="T104" s="42"/>
      <c r="U104" s="42"/>
      <c r="V104" s="42"/>
      <c r="W104" s="42"/>
      <c r="X104" s="42"/>
      <c r="Y104" s="42"/>
      <c r="Z104" s="42"/>
      <c r="AA104" s="42"/>
    </row>
    <row r="105" spans="1:27" s="36" customFormat="1" ht="14.25" x14ac:dyDescent="0.2">
      <c r="A105" s="58"/>
      <c r="G105" s="57"/>
      <c r="K105" s="42"/>
      <c r="L105" s="42"/>
      <c r="M105" s="42"/>
      <c r="N105" s="42"/>
      <c r="O105" s="42"/>
      <c r="P105" s="42"/>
      <c r="Q105" s="42"/>
      <c r="R105" s="42"/>
      <c r="T105" s="42"/>
      <c r="U105" s="42"/>
      <c r="V105" s="42"/>
      <c r="W105" s="42"/>
      <c r="X105" s="42"/>
      <c r="Y105" s="42"/>
      <c r="Z105" s="42"/>
      <c r="AA105" s="42"/>
    </row>
    <row r="106" spans="1:27" s="36" customFormat="1" ht="14.25" x14ac:dyDescent="0.2">
      <c r="A106" s="58"/>
      <c r="G106" s="57"/>
      <c r="K106" s="42"/>
      <c r="L106" s="42"/>
      <c r="M106" s="42"/>
      <c r="N106" s="42"/>
      <c r="O106" s="42"/>
      <c r="P106" s="42"/>
      <c r="Q106" s="42"/>
      <c r="R106" s="42"/>
      <c r="T106" s="42"/>
      <c r="U106" s="42"/>
      <c r="V106" s="42"/>
      <c r="W106" s="42"/>
      <c r="X106" s="42"/>
      <c r="Y106" s="42"/>
      <c r="Z106" s="42"/>
      <c r="AA106" s="42"/>
    </row>
    <row r="107" spans="1:27" s="36" customFormat="1" ht="14.25" x14ac:dyDescent="0.2">
      <c r="A107" s="58"/>
      <c r="G107" s="57"/>
      <c r="K107" s="42"/>
      <c r="L107" s="42"/>
      <c r="M107" s="42"/>
      <c r="N107" s="42"/>
      <c r="O107" s="42"/>
      <c r="P107" s="42"/>
      <c r="Q107" s="42"/>
      <c r="R107" s="42"/>
      <c r="T107" s="42"/>
      <c r="U107" s="42"/>
      <c r="V107" s="42"/>
      <c r="W107" s="42"/>
      <c r="X107" s="42"/>
      <c r="Y107" s="42"/>
      <c r="Z107" s="42"/>
      <c r="AA107" s="42"/>
    </row>
    <row r="108" spans="1:27" s="36" customFormat="1" ht="14.25" x14ac:dyDescent="0.2">
      <c r="A108" s="58"/>
      <c r="G108" s="57"/>
      <c r="K108" s="42"/>
      <c r="L108" s="42"/>
      <c r="M108" s="42"/>
      <c r="N108" s="42"/>
      <c r="O108" s="42"/>
      <c r="P108" s="42"/>
      <c r="Q108" s="42"/>
      <c r="R108" s="42"/>
      <c r="T108" s="42"/>
      <c r="U108" s="42"/>
      <c r="V108" s="42"/>
      <c r="W108" s="42"/>
      <c r="X108" s="42"/>
      <c r="Y108" s="42"/>
      <c r="Z108" s="42"/>
      <c r="AA108" s="42"/>
    </row>
    <row r="109" spans="1:27" s="36" customFormat="1" ht="14.25" x14ac:dyDescent="0.2">
      <c r="A109" s="58"/>
      <c r="G109" s="57"/>
      <c r="K109" s="42"/>
      <c r="L109" s="42"/>
      <c r="M109" s="42"/>
      <c r="N109" s="42"/>
      <c r="O109" s="42"/>
      <c r="P109" s="42"/>
      <c r="Q109" s="42"/>
      <c r="R109" s="42"/>
      <c r="T109" s="42"/>
      <c r="U109" s="42"/>
      <c r="V109" s="42"/>
      <c r="W109" s="42"/>
      <c r="X109" s="42"/>
      <c r="Y109" s="42"/>
      <c r="Z109" s="42"/>
      <c r="AA109" s="42"/>
    </row>
    <row r="110" spans="1:27" s="36" customFormat="1" ht="14.25" x14ac:dyDescent="0.2">
      <c r="A110" s="58"/>
      <c r="G110" s="57"/>
      <c r="K110" s="42"/>
      <c r="L110" s="42"/>
      <c r="M110" s="42"/>
      <c r="N110" s="42"/>
      <c r="O110" s="42"/>
      <c r="P110" s="42"/>
      <c r="Q110" s="42"/>
      <c r="R110" s="42"/>
      <c r="T110" s="42"/>
      <c r="U110" s="42"/>
      <c r="V110" s="42"/>
      <c r="W110" s="42"/>
      <c r="X110" s="42"/>
      <c r="Y110" s="42"/>
      <c r="Z110" s="42"/>
      <c r="AA110" s="42"/>
    </row>
    <row r="111" spans="1:27" s="36" customFormat="1" ht="14.25" x14ac:dyDescent="0.2">
      <c r="A111" s="58"/>
      <c r="G111" s="57"/>
      <c r="K111" s="42"/>
      <c r="L111" s="42"/>
      <c r="M111" s="42"/>
      <c r="N111" s="42"/>
      <c r="O111" s="42"/>
      <c r="P111" s="42"/>
      <c r="Q111" s="42"/>
      <c r="R111" s="42"/>
      <c r="T111" s="42"/>
      <c r="U111" s="42"/>
      <c r="V111" s="42"/>
      <c r="W111" s="42"/>
      <c r="X111" s="42"/>
      <c r="Y111" s="42"/>
      <c r="Z111" s="42"/>
      <c r="AA111" s="42"/>
    </row>
    <row r="112" spans="1:27" s="36" customFormat="1" ht="14.25" x14ac:dyDescent="0.2">
      <c r="A112" s="58"/>
      <c r="G112" s="57"/>
      <c r="K112" s="42"/>
      <c r="L112" s="42"/>
      <c r="M112" s="42"/>
      <c r="N112" s="42"/>
      <c r="O112" s="42"/>
      <c r="P112" s="42"/>
      <c r="Q112" s="42"/>
      <c r="R112" s="42"/>
      <c r="T112" s="42"/>
      <c r="U112" s="42"/>
      <c r="V112" s="42"/>
      <c r="W112" s="42"/>
      <c r="X112" s="42"/>
      <c r="Y112" s="42"/>
      <c r="Z112" s="42"/>
      <c r="AA112" s="42"/>
    </row>
    <row r="113" spans="1:27" s="36" customFormat="1" ht="14.25" x14ac:dyDescent="0.2">
      <c r="A113" s="58"/>
      <c r="G113" s="57"/>
      <c r="K113" s="42"/>
      <c r="L113" s="42"/>
      <c r="M113" s="42"/>
      <c r="N113" s="42"/>
      <c r="O113" s="42"/>
      <c r="P113" s="42"/>
      <c r="Q113" s="42"/>
      <c r="R113" s="42"/>
      <c r="T113" s="42"/>
      <c r="U113" s="42"/>
      <c r="V113" s="42"/>
      <c r="W113" s="42"/>
      <c r="X113" s="42"/>
      <c r="Y113" s="42"/>
      <c r="Z113" s="42"/>
      <c r="AA113" s="42"/>
    </row>
    <row r="114" spans="1:27" s="36" customFormat="1" ht="14.25" x14ac:dyDescent="0.2">
      <c r="A114" s="58"/>
      <c r="G114" s="57"/>
      <c r="K114" s="42"/>
      <c r="L114" s="42"/>
      <c r="M114" s="42"/>
      <c r="N114" s="42"/>
      <c r="O114" s="42"/>
      <c r="P114" s="42"/>
      <c r="Q114" s="42"/>
      <c r="R114" s="42"/>
      <c r="T114" s="42"/>
      <c r="U114" s="42"/>
      <c r="V114" s="42"/>
      <c r="W114" s="42"/>
      <c r="X114" s="42"/>
      <c r="Y114" s="42"/>
      <c r="Z114" s="42"/>
      <c r="AA114" s="42"/>
    </row>
    <row r="115" spans="1:27" s="36" customFormat="1" ht="14.25" x14ac:dyDescent="0.2">
      <c r="A115" s="58"/>
      <c r="G115" s="57"/>
      <c r="K115" s="42"/>
      <c r="L115" s="42"/>
      <c r="M115" s="42"/>
      <c r="N115" s="42"/>
      <c r="O115" s="42"/>
      <c r="P115" s="42"/>
      <c r="Q115" s="42"/>
      <c r="R115" s="42"/>
      <c r="T115" s="42"/>
      <c r="U115" s="42"/>
      <c r="V115" s="42"/>
      <c r="W115" s="42"/>
      <c r="X115" s="42"/>
      <c r="Y115" s="42"/>
      <c r="Z115" s="42"/>
      <c r="AA115" s="42"/>
    </row>
    <row r="116" spans="1:27" s="36" customFormat="1" ht="14.25" x14ac:dyDescent="0.2">
      <c r="A116" s="58"/>
      <c r="G116" s="57"/>
      <c r="K116" s="42"/>
      <c r="L116" s="42"/>
      <c r="M116" s="42"/>
      <c r="N116" s="42"/>
      <c r="O116" s="42"/>
      <c r="P116" s="42"/>
      <c r="Q116" s="42"/>
      <c r="R116" s="42"/>
      <c r="T116" s="42"/>
      <c r="U116" s="42"/>
      <c r="V116" s="42"/>
      <c r="W116" s="42"/>
      <c r="X116" s="42"/>
      <c r="Y116" s="42"/>
      <c r="Z116" s="42"/>
      <c r="AA116" s="42"/>
    </row>
    <row r="117" spans="1:27" s="36" customFormat="1" ht="14.25" x14ac:dyDescent="0.2">
      <c r="A117" s="58"/>
      <c r="G117" s="57"/>
      <c r="K117" s="42"/>
      <c r="L117" s="42"/>
      <c r="M117" s="42"/>
      <c r="N117" s="42"/>
      <c r="O117" s="42"/>
      <c r="P117" s="42"/>
      <c r="Q117" s="42"/>
      <c r="R117" s="42"/>
      <c r="T117" s="42"/>
      <c r="U117" s="42"/>
      <c r="V117" s="42"/>
      <c r="W117" s="42"/>
      <c r="X117" s="42"/>
      <c r="Y117" s="42"/>
      <c r="Z117" s="42"/>
      <c r="AA117" s="42"/>
    </row>
    <row r="118" spans="1:27" s="36" customFormat="1" ht="14.25" x14ac:dyDescent="0.2">
      <c r="A118" s="58"/>
      <c r="G118" s="57"/>
      <c r="K118" s="42"/>
      <c r="L118" s="42"/>
      <c r="M118" s="42"/>
      <c r="N118" s="42"/>
      <c r="O118" s="42"/>
      <c r="P118" s="42"/>
      <c r="Q118" s="42"/>
      <c r="R118" s="42"/>
      <c r="T118" s="42"/>
      <c r="U118" s="42"/>
      <c r="V118" s="42"/>
      <c r="W118" s="42"/>
      <c r="X118" s="42"/>
      <c r="Y118" s="42"/>
      <c r="Z118" s="42"/>
      <c r="AA118" s="42"/>
    </row>
    <row r="119" spans="1:27" s="36" customFormat="1" ht="14.25" x14ac:dyDescent="0.2">
      <c r="A119" s="58"/>
      <c r="G119" s="57"/>
      <c r="K119" s="42"/>
      <c r="L119" s="42"/>
      <c r="M119" s="42"/>
      <c r="N119" s="42"/>
      <c r="O119" s="42"/>
      <c r="P119" s="42"/>
      <c r="Q119" s="42"/>
      <c r="R119" s="42"/>
      <c r="T119" s="42"/>
      <c r="U119" s="42"/>
      <c r="V119" s="42"/>
      <c r="W119" s="42"/>
      <c r="X119" s="42"/>
      <c r="Y119" s="42"/>
      <c r="Z119" s="42"/>
      <c r="AA119" s="42"/>
    </row>
    <row r="120" spans="1:27" s="36" customFormat="1" ht="14.25" x14ac:dyDescent="0.2">
      <c r="A120" s="58"/>
      <c r="G120" s="57"/>
      <c r="K120" s="42"/>
      <c r="L120" s="42"/>
      <c r="M120" s="42"/>
      <c r="N120" s="42"/>
      <c r="O120" s="42"/>
      <c r="P120" s="42"/>
      <c r="Q120" s="42"/>
      <c r="R120" s="42"/>
      <c r="T120" s="42"/>
      <c r="U120" s="42"/>
      <c r="V120" s="42"/>
      <c r="W120" s="42"/>
      <c r="X120" s="42"/>
      <c r="Y120" s="42"/>
      <c r="Z120" s="42"/>
      <c r="AA120" s="42"/>
    </row>
    <row r="121" spans="1:27" s="36" customFormat="1" ht="14.25" x14ac:dyDescent="0.2">
      <c r="A121" s="58"/>
      <c r="G121" s="57"/>
      <c r="K121" s="42"/>
      <c r="L121" s="42"/>
      <c r="M121" s="42"/>
      <c r="N121" s="42"/>
      <c r="O121" s="42"/>
      <c r="P121" s="42"/>
      <c r="Q121" s="42"/>
      <c r="R121" s="42"/>
      <c r="T121" s="42"/>
      <c r="U121" s="42"/>
      <c r="V121" s="42"/>
      <c r="W121" s="42"/>
      <c r="X121" s="42"/>
      <c r="Y121" s="42"/>
      <c r="Z121" s="42"/>
      <c r="AA121" s="42"/>
    </row>
    <row r="122" spans="1:27" s="36" customFormat="1" ht="14.25" x14ac:dyDescent="0.2">
      <c r="A122" s="58"/>
      <c r="G122" s="57"/>
      <c r="K122" s="42"/>
      <c r="L122" s="42"/>
      <c r="M122" s="42"/>
      <c r="N122" s="42"/>
      <c r="O122" s="42"/>
      <c r="P122" s="42"/>
      <c r="Q122" s="42"/>
      <c r="R122" s="42"/>
      <c r="T122" s="42"/>
      <c r="U122" s="42"/>
      <c r="V122" s="42"/>
      <c r="W122" s="42"/>
      <c r="X122" s="42"/>
      <c r="Y122" s="42"/>
      <c r="Z122" s="42"/>
      <c r="AA122" s="42"/>
    </row>
    <row r="123" spans="1:27" s="36" customFormat="1" ht="14.25" x14ac:dyDescent="0.2">
      <c r="A123" s="58"/>
      <c r="G123" s="57"/>
      <c r="K123" s="42"/>
      <c r="L123" s="42"/>
      <c r="M123" s="42"/>
      <c r="N123" s="42"/>
      <c r="O123" s="42"/>
      <c r="P123" s="42"/>
      <c r="Q123" s="42"/>
      <c r="R123" s="42"/>
      <c r="T123" s="42"/>
      <c r="U123" s="42"/>
      <c r="V123" s="42"/>
      <c r="W123" s="42"/>
      <c r="X123" s="42"/>
      <c r="Y123" s="42"/>
      <c r="Z123" s="42"/>
      <c r="AA123" s="42"/>
    </row>
    <row r="124" spans="1:27" s="36" customFormat="1" ht="14.25" x14ac:dyDescent="0.2">
      <c r="A124" s="58"/>
      <c r="G124" s="57"/>
      <c r="K124" s="42"/>
      <c r="L124" s="42"/>
      <c r="M124" s="42"/>
      <c r="N124" s="42"/>
      <c r="O124" s="42"/>
      <c r="P124" s="42"/>
      <c r="Q124" s="42"/>
      <c r="R124" s="42"/>
      <c r="T124" s="42"/>
      <c r="U124" s="42"/>
      <c r="V124" s="42"/>
      <c r="W124" s="42"/>
      <c r="X124" s="42"/>
      <c r="Y124" s="42"/>
      <c r="Z124" s="42"/>
      <c r="AA124" s="42"/>
    </row>
    <row r="125" spans="1:27" s="36" customFormat="1" ht="14.25" x14ac:dyDescent="0.2">
      <c r="A125" s="58"/>
      <c r="G125" s="57"/>
      <c r="K125" s="42"/>
      <c r="L125" s="42"/>
      <c r="M125" s="42"/>
      <c r="N125" s="42"/>
      <c r="O125" s="42"/>
      <c r="P125" s="42"/>
      <c r="Q125" s="42"/>
      <c r="R125" s="42"/>
      <c r="T125" s="42"/>
      <c r="U125" s="42"/>
      <c r="V125" s="42"/>
      <c r="W125" s="42"/>
      <c r="X125" s="42"/>
      <c r="Y125" s="42"/>
      <c r="Z125" s="42"/>
      <c r="AA125" s="42"/>
    </row>
    <row r="126" spans="1:27" s="36" customFormat="1" ht="14.25" x14ac:dyDescent="0.2">
      <c r="A126" s="58"/>
      <c r="G126" s="57"/>
      <c r="K126" s="42"/>
      <c r="L126" s="42"/>
      <c r="M126" s="42"/>
      <c r="N126" s="42"/>
      <c r="O126" s="42"/>
      <c r="P126" s="42"/>
      <c r="Q126" s="42"/>
      <c r="R126" s="42"/>
      <c r="T126" s="42"/>
      <c r="U126" s="42"/>
      <c r="V126" s="42"/>
      <c r="W126" s="42"/>
      <c r="X126" s="42"/>
      <c r="Y126" s="42"/>
      <c r="Z126" s="42"/>
      <c r="AA126" s="42"/>
    </row>
    <row r="127" spans="1:27" s="36" customFormat="1" ht="14.25" x14ac:dyDescent="0.2">
      <c r="A127" s="58"/>
      <c r="G127" s="57"/>
      <c r="K127" s="42"/>
      <c r="L127" s="42"/>
      <c r="M127" s="42"/>
      <c r="N127" s="42"/>
      <c r="O127" s="42"/>
      <c r="P127" s="42"/>
      <c r="Q127" s="42"/>
      <c r="R127" s="42"/>
      <c r="T127" s="42"/>
      <c r="U127" s="42"/>
      <c r="V127" s="42"/>
      <c r="W127" s="42"/>
      <c r="X127" s="42"/>
      <c r="Y127" s="42"/>
      <c r="Z127" s="42"/>
      <c r="AA127" s="42"/>
    </row>
    <row r="128" spans="1:27" s="36" customFormat="1" ht="14.25" x14ac:dyDescent="0.2">
      <c r="A128" s="58"/>
      <c r="G128" s="57"/>
      <c r="K128" s="42"/>
      <c r="L128" s="42"/>
      <c r="M128" s="42"/>
      <c r="N128" s="42"/>
      <c r="O128" s="42"/>
      <c r="P128" s="42"/>
      <c r="Q128" s="42"/>
      <c r="R128" s="42"/>
      <c r="T128" s="42"/>
      <c r="U128" s="42"/>
      <c r="V128" s="42"/>
      <c r="W128" s="42"/>
      <c r="X128" s="42"/>
      <c r="Y128" s="42"/>
      <c r="Z128" s="42"/>
      <c r="AA128" s="42"/>
    </row>
    <row r="129" spans="1:27" s="36" customFormat="1" ht="14.25" x14ac:dyDescent="0.2">
      <c r="A129" s="58"/>
      <c r="G129" s="57"/>
      <c r="K129" s="42"/>
      <c r="L129" s="42"/>
      <c r="M129" s="42"/>
      <c r="N129" s="42"/>
      <c r="O129" s="42"/>
      <c r="P129" s="42"/>
      <c r="Q129" s="42"/>
      <c r="R129" s="42"/>
      <c r="T129" s="42"/>
      <c r="U129" s="42"/>
      <c r="V129" s="42"/>
      <c r="W129" s="42"/>
      <c r="X129" s="42"/>
      <c r="Y129" s="42"/>
      <c r="Z129" s="42"/>
      <c r="AA129" s="42"/>
    </row>
    <row r="130" spans="1:27" s="36" customFormat="1" ht="14.25" x14ac:dyDescent="0.2">
      <c r="A130" s="58"/>
      <c r="G130" s="57"/>
      <c r="K130" s="42"/>
      <c r="L130" s="42"/>
      <c r="M130" s="42"/>
      <c r="N130" s="42"/>
      <c r="O130" s="42"/>
      <c r="P130" s="42"/>
      <c r="Q130" s="42"/>
      <c r="R130" s="42"/>
      <c r="T130" s="42"/>
      <c r="U130" s="42"/>
      <c r="V130" s="42"/>
      <c r="W130" s="42"/>
      <c r="X130" s="42"/>
      <c r="Y130" s="42"/>
      <c r="Z130" s="42"/>
      <c r="AA130" s="42"/>
    </row>
    <row r="131" spans="1:27" s="36" customFormat="1" ht="14.25" x14ac:dyDescent="0.2">
      <c r="A131" s="58"/>
      <c r="G131" s="57"/>
      <c r="K131" s="42"/>
      <c r="L131" s="42"/>
      <c r="M131" s="42"/>
      <c r="N131" s="42"/>
      <c r="O131" s="42"/>
      <c r="P131" s="42"/>
      <c r="Q131" s="42"/>
      <c r="R131" s="42"/>
      <c r="T131" s="42"/>
      <c r="U131" s="42"/>
      <c r="V131" s="42"/>
      <c r="W131" s="42"/>
      <c r="X131" s="42"/>
      <c r="Y131" s="42"/>
      <c r="Z131" s="42"/>
      <c r="AA131" s="42"/>
    </row>
    <row r="132" spans="1:27" s="36" customFormat="1" ht="14.25" x14ac:dyDescent="0.2">
      <c r="A132" s="58"/>
      <c r="G132" s="57"/>
      <c r="K132" s="42"/>
      <c r="L132" s="42"/>
      <c r="M132" s="42"/>
      <c r="N132" s="42"/>
      <c r="O132" s="42"/>
      <c r="P132" s="42"/>
      <c r="Q132" s="42"/>
      <c r="R132" s="42"/>
      <c r="T132" s="42"/>
      <c r="U132" s="42"/>
      <c r="V132" s="42"/>
      <c r="W132" s="42"/>
      <c r="X132" s="42"/>
      <c r="Y132" s="42"/>
      <c r="Z132" s="42"/>
      <c r="AA132" s="42"/>
    </row>
    <row r="133" spans="1:27" s="36" customFormat="1" ht="14.25" x14ac:dyDescent="0.2">
      <c r="A133" s="58"/>
      <c r="G133" s="57"/>
      <c r="K133" s="42"/>
      <c r="L133" s="42"/>
      <c r="M133" s="42"/>
      <c r="N133" s="42"/>
      <c r="O133" s="42"/>
      <c r="P133" s="42"/>
      <c r="Q133" s="42"/>
      <c r="R133" s="42"/>
      <c r="T133" s="42"/>
      <c r="U133" s="42"/>
      <c r="V133" s="42"/>
      <c r="W133" s="42"/>
      <c r="X133" s="42"/>
      <c r="Y133" s="42"/>
      <c r="Z133" s="42"/>
      <c r="AA133" s="42"/>
    </row>
    <row r="134" spans="1:27" s="36" customFormat="1" ht="14.25" x14ac:dyDescent="0.2">
      <c r="A134" s="58"/>
      <c r="G134" s="57"/>
      <c r="K134" s="42"/>
      <c r="L134" s="42"/>
      <c r="M134" s="42"/>
      <c r="N134" s="42"/>
      <c r="O134" s="42"/>
      <c r="P134" s="42"/>
      <c r="Q134" s="42"/>
      <c r="R134" s="42"/>
      <c r="T134" s="42"/>
      <c r="U134" s="42"/>
      <c r="V134" s="42"/>
      <c r="W134" s="42"/>
      <c r="X134" s="42"/>
      <c r="Y134" s="42"/>
      <c r="Z134" s="42"/>
      <c r="AA134" s="42"/>
    </row>
    <row r="135" spans="1:27" s="36" customFormat="1" ht="14.25" x14ac:dyDescent="0.2">
      <c r="A135" s="58"/>
      <c r="G135" s="57"/>
      <c r="K135" s="42"/>
      <c r="L135" s="42"/>
      <c r="M135" s="42"/>
      <c r="N135" s="42"/>
      <c r="O135" s="42"/>
      <c r="P135" s="42"/>
      <c r="Q135" s="42"/>
      <c r="R135" s="42"/>
      <c r="T135" s="42"/>
      <c r="U135" s="42"/>
      <c r="V135" s="42"/>
      <c r="W135" s="42"/>
      <c r="X135" s="42"/>
      <c r="Y135" s="42"/>
      <c r="Z135" s="42"/>
      <c r="AA135" s="42"/>
    </row>
    <row r="136" spans="1:27" s="36" customFormat="1" ht="14.25" x14ac:dyDescent="0.2">
      <c r="A136" s="58"/>
      <c r="G136" s="57"/>
      <c r="K136" s="42"/>
      <c r="L136" s="42"/>
      <c r="M136" s="42"/>
      <c r="N136" s="42"/>
      <c r="O136" s="42"/>
      <c r="P136" s="42"/>
      <c r="Q136" s="42"/>
      <c r="R136" s="42"/>
      <c r="T136" s="42"/>
      <c r="U136" s="42"/>
      <c r="V136" s="42"/>
      <c r="W136" s="42"/>
      <c r="X136" s="42"/>
      <c r="Y136" s="42"/>
      <c r="Z136" s="42"/>
      <c r="AA136" s="42"/>
    </row>
    <row r="137" spans="1:27" s="36" customFormat="1" ht="14.25" x14ac:dyDescent="0.2">
      <c r="A137" s="58"/>
      <c r="G137" s="57"/>
      <c r="K137" s="42"/>
      <c r="L137" s="42"/>
      <c r="M137" s="42"/>
      <c r="N137" s="42"/>
      <c r="O137" s="42"/>
      <c r="P137" s="42"/>
      <c r="Q137" s="42"/>
      <c r="R137" s="42"/>
      <c r="T137" s="42"/>
      <c r="U137" s="42"/>
      <c r="V137" s="42"/>
      <c r="W137" s="42"/>
      <c r="X137" s="42"/>
      <c r="Y137" s="42"/>
      <c r="Z137" s="42"/>
      <c r="AA137" s="42"/>
    </row>
    <row r="138" spans="1:27" s="36" customFormat="1" ht="14.25" x14ac:dyDescent="0.2">
      <c r="A138" s="58"/>
      <c r="G138" s="57"/>
      <c r="K138" s="42"/>
      <c r="L138" s="42"/>
      <c r="M138" s="42"/>
      <c r="N138" s="42"/>
      <c r="O138" s="42"/>
      <c r="P138" s="42"/>
      <c r="Q138" s="42"/>
      <c r="R138" s="42"/>
      <c r="T138" s="42"/>
      <c r="U138" s="42"/>
      <c r="V138" s="42"/>
      <c r="W138" s="42"/>
      <c r="X138" s="42"/>
      <c r="Y138" s="42"/>
      <c r="Z138" s="42"/>
      <c r="AA138" s="42"/>
    </row>
    <row r="139" spans="1:27" s="36" customFormat="1" ht="14.25" x14ac:dyDescent="0.2">
      <c r="A139" s="58"/>
      <c r="G139" s="57"/>
      <c r="K139" s="42"/>
      <c r="L139" s="42"/>
      <c r="M139" s="42"/>
      <c r="N139" s="42"/>
      <c r="O139" s="42"/>
      <c r="P139" s="42"/>
      <c r="Q139" s="42"/>
      <c r="R139" s="42"/>
      <c r="T139" s="42"/>
      <c r="U139" s="42"/>
      <c r="V139" s="42"/>
      <c r="W139" s="42"/>
      <c r="X139" s="42"/>
      <c r="Y139" s="42"/>
      <c r="Z139" s="42"/>
      <c r="AA139" s="42"/>
    </row>
    <row r="140" spans="1:27" s="36" customFormat="1" ht="14.25" x14ac:dyDescent="0.2">
      <c r="A140" s="58"/>
      <c r="G140" s="57"/>
      <c r="K140" s="42"/>
      <c r="L140" s="42"/>
      <c r="M140" s="42"/>
      <c r="N140" s="42"/>
      <c r="O140" s="42"/>
      <c r="P140" s="42"/>
      <c r="Q140" s="42"/>
      <c r="R140" s="42"/>
      <c r="T140" s="42"/>
      <c r="U140" s="42"/>
      <c r="V140" s="42"/>
      <c r="W140" s="42"/>
      <c r="X140" s="42"/>
      <c r="Y140" s="42"/>
      <c r="Z140" s="42"/>
      <c r="AA140" s="42"/>
    </row>
    <row r="141" spans="1:27" s="36" customFormat="1" ht="14.25" x14ac:dyDescent="0.2">
      <c r="A141" s="58"/>
      <c r="G141" s="57"/>
      <c r="K141" s="42"/>
      <c r="L141" s="42"/>
      <c r="M141" s="42"/>
      <c r="N141" s="42"/>
      <c r="O141" s="42"/>
      <c r="P141" s="42"/>
      <c r="Q141" s="42"/>
      <c r="R141" s="42"/>
      <c r="T141" s="42"/>
      <c r="U141" s="42"/>
      <c r="V141" s="42"/>
      <c r="W141" s="42"/>
      <c r="X141" s="42"/>
      <c r="Y141" s="42"/>
      <c r="Z141" s="42"/>
      <c r="AA141" s="42"/>
    </row>
    <row r="142" spans="1:27" s="36" customFormat="1" ht="14.25" x14ac:dyDescent="0.2">
      <c r="A142" s="58"/>
      <c r="G142" s="57"/>
      <c r="K142" s="42"/>
      <c r="L142" s="42"/>
      <c r="M142" s="42"/>
      <c r="N142" s="42"/>
      <c r="O142" s="42"/>
      <c r="P142" s="42"/>
      <c r="Q142" s="42"/>
      <c r="R142" s="42"/>
      <c r="T142" s="42"/>
      <c r="U142" s="42"/>
      <c r="V142" s="42"/>
      <c r="W142" s="42"/>
      <c r="X142" s="42"/>
      <c r="Y142" s="42"/>
      <c r="Z142" s="42"/>
      <c r="AA142" s="42"/>
    </row>
    <row r="143" spans="1:27" s="36" customFormat="1" ht="14.25" x14ac:dyDescent="0.2">
      <c r="A143" s="58"/>
      <c r="G143" s="57"/>
      <c r="K143" s="42"/>
      <c r="L143" s="42"/>
      <c r="M143" s="42"/>
      <c r="N143" s="42"/>
      <c r="O143" s="42"/>
      <c r="P143" s="42"/>
      <c r="Q143" s="42"/>
      <c r="R143" s="42"/>
      <c r="T143" s="42"/>
      <c r="U143" s="42"/>
      <c r="V143" s="42"/>
      <c r="W143" s="42"/>
      <c r="X143" s="42"/>
      <c r="Y143" s="42"/>
      <c r="Z143" s="42"/>
      <c r="AA143" s="42"/>
    </row>
    <row r="144" spans="1:27" s="36" customFormat="1" ht="14.25" x14ac:dyDescent="0.2">
      <c r="A144" s="58"/>
      <c r="G144" s="57"/>
      <c r="K144" s="42"/>
      <c r="L144" s="42"/>
      <c r="M144" s="42"/>
      <c r="N144" s="42"/>
      <c r="O144" s="42"/>
      <c r="P144" s="42"/>
      <c r="Q144" s="42"/>
      <c r="R144" s="42"/>
      <c r="T144" s="42"/>
      <c r="U144" s="42"/>
      <c r="V144" s="42"/>
      <c r="W144" s="42"/>
      <c r="X144" s="42"/>
      <c r="Y144" s="42"/>
      <c r="Z144" s="42"/>
      <c r="AA144" s="42"/>
    </row>
    <row r="145" spans="1:27" s="36" customFormat="1" ht="14.25" x14ac:dyDescent="0.2">
      <c r="A145" s="58"/>
      <c r="G145" s="57"/>
      <c r="K145" s="42"/>
      <c r="L145" s="42"/>
      <c r="M145" s="42"/>
      <c r="N145" s="42"/>
      <c r="O145" s="42"/>
      <c r="P145" s="42"/>
      <c r="Q145" s="42"/>
      <c r="R145" s="42"/>
      <c r="T145" s="42"/>
      <c r="U145" s="42"/>
      <c r="V145" s="42"/>
      <c r="W145" s="42"/>
      <c r="X145" s="42"/>
      <c r="Y145" s="42"/>
      <c r="Z145" s="42"/>
      <c r="AA145" s="42"/>
    </row>
    <row r="146" spans="1:27" s="36" customFormat="1" ht="14.25" x14ac:dyDescent="0.2">
      <c r="A146" s="58"/>
      <c r="G146" s="57"/>
      <c r="K146" s="42"/>
      <c r="L146" s="42"/>
      <c r="M146" s="42"/>
      <c r="N146" s="42"/>
      <c r="O146" s="42"/>
      <c r="P146" s="42"/>
      <c r="Q146" s="42"/>
      <c r="R146" s="42"/>
      <c r="T146" s="42"/>
      <c r="U146" s="42"/>
      <c r="V146" s="42"/>
      <c r="W146" s="42"/>
      <c r="X146" s="42"/>
      <c r="Y146" s="42"/>
      <c r="Z146" s="42"/>
      <c r="AA146" s="42"/>
    </row>
    <row r="147" spans="1:27" s="36" customFormat="1" ht="14.25" x14ac:dyDescent="0.2">
      <c r="A147" s="58"/>
      <c r="G147" s="57"/>
      <c r="K147" s="42"/>
      <c r="L147" s="42"/>
      <c r="M147" s="42"/>
      <c r="N147" s="42"/>
      <c r="O147" s="42"/>
      <c r="P147" s="42"/>
      <c r="Q147" s="42"/>
      <c r="R147" s="42"/>
      <c r="T147" s="42"/>
      <c r="U147" s="42"/>
      <c r="V147" s="42"/>
      <c r="W147" s="42"/>
      <c r="X147" s="42"/>
      <c r="Y147" s="42"/>
      <c r="Z147" s="42"/>
      <c r="AA147" s="42"/>
    </row>
    <row r="148" spans="1:27" s="36" customFormat="1" ht="14.25" x14ac:dyDescent="0.2">
      <c r="A148" s="58"/>
      <c r="G148" s="57"/>
      <c r="K148" s="42"/>
      <c r="L148" s="42"/>
      <c r="M148" s="42"/>
      <c r="N148" s="42"/>
      <c r="O148" s="42"/>
      <c r="P148" s="42"/>
      <c r="Q148" s="42"/>
      <c r="R148" s="42"/>
      <c r="T148" s="42"/>
      <c r="U148" s="42"/>
      <c r="V148" s="42"/>
      <c r="W148" s="42"/>
      <c r="X148" s="42"/>
      <c r="Y148" s="42"/>
      <c r="Z148" s="42"/>
      <c r="AA148" s="42"/>
    </row>
    <row r="149" spans="1:27" s="36" customFormat="1" ht="14.25" x14ac:dyDescent="0.2">
      <c r="A149" s="58"/>
      <c r="G149" s="57"/>
      <c r="K149" s="42"/>
      <c r="L149" s="42"/>
      <c r="M149" s="42"/>
      <c r="N149" s="42"/>
      <c r="O149" s="42"/>
      <c r="P149" s="42"/>
      <c r="Q149" s="42"/>
      <c r="R149" s="42"/>
      <c r="T149" s="42"/>
      <c r="U149" s="42"/>
      <c r="V149" s="42"/>
      <c r="W149" s="42"/>
      <c r="X149" s="42"/>
      <c r="Y149" s="42"/>
      <c r="Z149" s="42"/>
      <c r="AA149" s="42"/>
    </row>
    <row r="150" spans="1:27" s="36" customFormat="1" ht="14.25" x14ac:dyDescent="0.2">
      <c r="A150" s="58"/>
      <c r="G150" s="57"/>
      <c r="K150" s="42"/>
      <c r="L150" s="42"/>
      <c r="M150" s="42"/>
      <c r="N150" s="42"/>
      <c r="O150" s="42"/>
      <c r="P150" s="42"/>
      <c r="Q150" s="42"/>
      <c r="R150" s="42"/>
      <c r="T150" s="42"/>
      <c r="U150" s="42"/>
      <c r="V150" s="42"/>
      <c r="W150" s="42"/>
      <c r="X150" s="42"/>
      <c r="Y150" s="42"/>
      <c r="Z150" s="42"/>
      <c r="AA150" s="42"/>
    </row>
    <row r="151" spans="1:27" s="36" customFormat="1" ht="14.25" x14ac:dyDescent="0.2">
      <c r="A151" s="58"/>
      <c r="G151" s="57"/>
      <c r="K151" s="42"/>
      <c r="L151" s="42"/>
      <c r="M151" s="42"/>
      <c r="N151" s="42"/>
      <c r="O151" s="42"/>
      <c r="P151" s="42"/>
      <c r="Q151" s="42"/>
      <c r="R151" s="42"/>
      <c r="T151" s="42"/>
      <c r="U151" s="42"/>
      <c r="V151" s="42"/>
      <c r="W151" s="42"/>
      <c r="X151" s="42"/>
      <c r="Y151" s="42"/>
      <c r="Z151" s="42"/>
      <c r="AA151" s="42"/>
    </row>
    <row r="152" spans="1:27" s="36" customFormat="1" ht="14.25" x14ac:dyDescent="0.2">
      <c r="A152" s="58"/>
      <c r="G152" s="57"/>
      <c r="K152" s="42"/>
      <c r="L152" s="42"/>
      <c r="M152" s="42"/>
      <c r="N152" s="42"/>
      <c r="O152" s="42"/>
      <c r="P152" s="42"/>
      <c r="Q152" s="42"/>
      <c r="R152" s="42"/>
      <c r="T152" s="42"/>
      <c r="U152" s="42"/>
      <c r="V152" s="42"/>
      <c r="W152" s="42"/>
      <c r="X152" s="42"/>
      <c r="Y152" s="42"/>
      <c r="Z152" s="42"/>
      <c r="AA152" s="42"/>
    </row>
    <row r="153" spans="1:27" s="36" customFormat="1" ht="14.25" x14ac:dyDescent="0.2">
      <c r="A153" s="58"/>
      <c r="G153" s="57"/>
      <c r="K153" s="42"/>
      <c r="L153" s="42"/>
      <c r="M153" s="42"/>
      <c r="N153" s="42"/>
      <c r="O153" s="42"/>
      <c r="P153" s="42"/>
      <c r="Q153" s="42"/>
      <c r="R153" s="42"/>
      <c r="T153" s="42"/>
      <c r="U153" s="42"/>
      <c r="V153" s="42"/>
      <c r="W153" s="42"/>
      <c r="X153" s="42"/>
      <c r="Y153" s="42"/>
      <c r="Z153" s="42"/>
      <c r="AA153" s="42"/>
    </row>
    <row r="154" spans="1:27" s="36" customFormat="1" ht="14.25" x14ac:dyDescent="0.2">
      <c r="A154" s="58"/>
      <c r="G154" s="57"/>
      <c r="K154" s="42"/>
      <c r="L154" s="42"/>
      <c r="M154" s="42"/>
      <c r="N154" s="42"/>
      <c r="O154" s="42"/>
      <c r="P154" s="42"/>
      <c r="Q154" s="42"/>
      <c r="R154" s="42"/>
      <c r="T154" s="42"/>
      <c r="U154" s="42"/>
      <c r="V154" s="42"/>
      <c r="W154" s="42"/>
      <c r="X154" s="42"/>
      <c r="Y154" s="42"/>
      <c r="Z154" s="42"/>
      <c r="AA154" s="42"/>
    </row>
    <row r="155" spans="1:27" s="36" customFormat="1" ht="14.25" x14ac:dyDescent="0.2">
      <c r="A155" s="58"/>
      <c r="G155" s="57"/>
      <c r="K155" s="42"/>
      <c r="L155" s="42"/>
      <c r="M155" s="42"/>
      <c r="N155" s="42"/>
      <c r="O155" s="42"/>
      <c r="P155" s="42"/>
      <c r="Q155" s="42"/>
      <c r="R155" s="42"/>
      <c r="T155" s="42"/>
      <c r="U155" s="42"/>
      <c r="V155" s="42"/>
      <c r="W155" s="42"/>
      <c r="X155" s="42"/>
      <c r="Y155" s="42"/>
      <c r="Z155" s="42"/>
      <c r="AA155" s="42"/>
    </row>
    <row r="156" spans="1:27" s="36" customFormat="1" ht="14.25" x14ac:dyDescent="0.2">
      <c r="A156" s="58"/>
      <c r="G156" s="57"/>
      <c r="K156" s="42"/>
      <c r="L156" s="42"/>
      <c r="M156" s="42"/>
      <c r="N156" s="42"/>
      <c r="O156" s="42"/>
      <c r="P156" s="42"/>
      <c r="Q156" s="42"/>
      <c r="R156" s="42"/>
      <c r="T156" s="42"/>
      <c r="U156" s="42"/>
      <c r="V156" s="42"/>
      <c r="W156" s="42"/>
      <c r="X156" s="42"/>
      <c r="Y156" s="42"/>
      <c r="Z156" s="42"/>
      <c r="AA156" s="42"/>
    </row>
    <row r="157" spans="1:27" s="36" customFormat="1" ht="14.25" x14ac:dyDescent="0.2">
      <c r="A157" s="58"/>
      <c r="G157" s="57"/>
      <c r="K157" s="42"/>
      <c r="L157" s="42"/>
      <c r="M157" s="42"/>
      <c r="N157" s="42"/>
      <c r="O157" s="42"/>
      <c r="P157" s="42"/>
      <c r="Q157" s="42"/>
      <c r="R157" s="42"/>
      <c r="T157" s="42"/>
      <c r="U157" s="42"/>
      <c r="V157" s="42"/>
      <c r="W157" s="42"/>
      <c r="X157" s="42"/>
      <c r="Y157" s="42"/>
      <c r="Z157" s="42"/>
      <c r="AA157" s="42"/>
    </row>
    <row r="158" spans="1:27" s="36" customFormat="1" ht="14.25" x14ac:dyDescent="0.2">
      <c r="A158" s="58"/>
      <c r="G158" s="57"/>
      <c r="K158" s="42"/>
      <c r="L158" s="42"/>
      <c r="M158" s="42"/>
      <c r="N158" s="42"/>
      <c r="O158" s="42"/>
      <c r="P158" s="42"/>
      <c r="Q158" s="42"/>
      <c r="R158" s="42"/>
      <c r="T158" s="42"/>
      <c r="U158" s="42"/>
      <c r="V158" s="42"/>
      <c r="W158" s="42"/>
      <c r="X158" s="42"/>
      <c r="Y158" s="42"/>
      <c r="Z158" s="42"/>
      <c r="AA158" s="42"/>
    </row>
    <row r="159" spans="1:27" s="36" customFormat="1" ht="14.25" x14ac:dyDescent="0.2">
      <c r="A159" s="58"/>
      <c r="G159" s="57"/>
      <c r="K159" s="42"/>
      <c r="L159" s="42"/>
      <c r="M159" s="42"/>
      <c r="N159" s="42"/>
      <c r="O159" s="42"/>
      <c r="P159" s="42"/>
      <c r="Q159" s="42"/>
      <c r="R159" s="42"/>
      <c r="T159" s="42"/>
      <c r="U159" s="42"/>
      <c r="V159" s="42"/>
      <c r="W159" s="42"/>
      <c r="X159" s="42"/>
      <c r="Y159" s="42"/>
      <c r="Z159" s="42"/>
      <c r="AA159" s="42"/>
    </row>
    <row r="160" spans="1:27" s="36" customFormat="1" ht="14.25" x14ac:dyDescent="0.2">
      <c r="A160" s="58"/>
      <c r="G160" s="57"/>
      <c r="K160" s="42"/>
      <c r="L160" s="42"/>
      <c r="M160" s="42"/>
      <c r="N160" s="42"/>
      <c r="O160" s="42"/>
      <c r="P160" s="42"/>
      <c r="Q160" s="42"/>
      <c r="R160" s="42"/>
      <c r="T160" s="42"/>
      <c r="U160" s="42"/>
      <c r="V160" s="42"/>
      <c r="W160" s="42"/>
      <c r="X160" s="42"/>
      <c r="Y160" s="42"/>
      <c r="Z160" s="42"/>
      <c r="AA160" s="42"/>
    </row>
    <row r="161" spans="1:27" s="36" customFormat="1" ht="14.25" x14ac:dyDescent="0.2">
      <c r="A161" s="58"/>
      <c r="G161" s="57"/>
      <c r="K161" s="42"/>
      <c r="L161" s="42"/>
      <c r="M161" s="42"/>
      <c r="N161" s="42"/>
      <c r="O161" s="42"/>
      <c r="P161" s="42"/>
      <c r="Q161" s="42"/>
      <c r="R161" s="42"/>
      <c r="T161" s="42"/>
      <c r="U161" s="42"/>
      <c r="V161" s="42"/>
      <c r="W161" s="42"/>
      <c r="X161" s="42"/>
      <c r="Y161" s="42"/>
      <c r="Z161" s="42"/>
      <c r="AA161" s="42"/>
    </row>
    <row r="162" spans="1:27" s="36" customFormat="1" ht="14.25" x14ac:dyDescent="0.2">
      <c r="A162" s="58"/>
      <c r="G162" s="57"/>
      <c r="K162" s="42"/>
      <c r="L162" s="42"/>
      <c r="M162" s="42"/>
      <c r="N162" s="42"/>
      <c r="O162" s="42"/>
      <c r="P162" s="42"/>
      <c r="Q162" s="42"/>
      <c r="R162" s="42"/>
      <c r="T162" s="42"/>
      <c r="U162" s="42"/>
      <c r="V162" s="42"/>
      <c r="W162" s="42"/>
      <c r="X162" s="42"/>
      <c r="Y162" s="42"/>
      <c r="Z162" s="42"/>
      <c r="AA162" s="42"/>
    </row>
    <row r="163" spans="1:27" s="36" customFormat="1" ht="14.25" x14ac:dyDescent="0.2">
      <c r="A163" s="58"/>
      <c r="G163" s="57"/>
      <c r="K163" s="42"/>
      <c r="L163" s="42"/>
      <c r="M163" s="42"/>
      <c r="N163" s="42"/>
      <c r="O163" s="42"/>
      <c r="P163" s="42"/>
      <c r="Q163" s="42"/>
      <c r="R163" s="42"/>
      <c r="T163" s="42"/>
      <c r="U163" s="42"/>
      <c r="V163" s="42"/>
      <c r="W163" s="42"/>
      <c r="X163" s="42"/>
      <c r="Y163" s="42"/>
      <c r="Z163" s="42"/>
      <c r="AA163" s="42"/>
    </row>
    <row r="164" spans="1:27" s="36" customFormat="1" ht="14.25" x14ac:dyDescent="0.2">
      <c r="A164" s="58"/>
      <c r="G164" s="57"/>
      <c r="K164" s="42"/>
      <c r="L164" s="42"/>
      <c r="M164" s="42"/>
      <c r="N164" s="42"/>
      <c r="O164" s="42"/>
      <c r="P164" s="42"/>
      <c r="Q164" s="42"/>
      <c r="R164" s="42"/>
      <c r="T164" s="42"/>
      <c r="U164" s="42"/>
      <c r="V164" s="42"/>
      <c r="W164" s="42"/>
      <c r="X164" s="42"/>
      <c r="Y164" s="42"/>
      <c r="Z164" s="42"/>
      <c r="AA164" s="42"/>
    </row>
    <row r="165" spans="1:27" s="36" customFormat="1" ht="14.25" x14ac:dyDescent="0.2">
      <c r="A165" s="58"/>
      <c r="G165" s="57"/>
      <c r="K165" s="42"/>
      <c r="L165" s="42"/>
      <c r="M165" s="42"/>
      <c r="N165" s="42"/>
      <c r="O165" s="42"/>
      <c r="P165" s="42"/>
      <c r="Q165" s="42"/>
      <c r="R165" s="42"/>
      <c r="T165" s="42"/>
      <c r="U165" s="42"/>
      <c r="V165" s="42"/>
      <c r="W165" s="42"/>
      <c r="X165" s="42"/>
      <c r="Y165" s="42"/>
      <c r="Z165" s="42"/>
      <c r="AA165" s="42"/>
    </row>
    <row r="166" spans="1:27" s="36" customFormat="1" ht="14.25" x14ac:dyDescent="0.2">
      <c r="A166" s="58"/>
      <c r="G166" s="57"/>
      <c r="K166" s="42"/>
      <c r="L166" s="42"/>
      <c r="M166" s="42"/>
      <c r="N166" s="42"/>
      <c r="O166" s="42"/>
      <c r="P166" s="42"/>
      <c r="Q166" s="42"/>
      <c r="R166" s="42"/>
      <c r="T166" s="42"/>
      <c r="U166" s="42"/>
      <c r="V166" s="42"/>
      <c r="W166" s="42"/>
      <c r="X166" s="42"/>
      <c r="Y166" s="42"/>
      <c r="Z166" s="42"/>
      <c r="AA166" s="42"/>
    </row>
    <row r="167" spans="1:27" s="36" customFormat="1" ht="14.25" x14ac:dyDescent="0.2">
      <c r="A167" s="58"/>
      <c r="G167" s="57"/>
      <c r="K167" s="42"/>
      <c r="L167" s="42"/>
      <c r="M167" s="42"/>
      <c r="N167" s="42"/>
      <c r="O167" s="42"/>
      <c r="P167" s="42"/>
      <c r="Q167" s="42"/>
      <c r="R167" s="42"/>
      <c r="T167" s="42"/>
      <c r="U167" s="42"/>
      <c r="V167" s="42"/>
      <c r="W167" s="42"/>
      <c r="X167" s="42"/>
      <c r="Y167" s="42"/>
      <c r="Z167" s="42"/>
      <c r="AA167" s="42"/>
    </row>
    <row r="168" spans="1:27" s="36" customFormat="1" ht="14.25" x14ac:dyDescent="0.2">
      <c r="A168" s="58"/>
      <c r="G168" s="57"/>
      <c r="K168" s="42"/>
      <c r="L168" s="42"/>
      <c r="M168" s="42"/>
      <c r="N168" s="42"/>
      <c r="O168" s="42"/>
      <c r="P168" s="42"/>
      <c r="Q168" s="42"/>
      <c r="R168" s="42"/>
      <c r="T168" s="42"/>
      <c r="U168" s="42"/>
      <c r="V168" s="42"/>
      <c r="W168" s="42"/>
      <c r="X168" s="42"/>
      <c r="Y168" s="42"/>
      <c r="Z168" s="42"/>
      <c r="AA168" s="42"/>
    </row>
    <row r="169" spans="1:27" s="36" customFormat="1" ht="14.25" x14ac:dyDescent="0.2">
      <c r="A169" s="58"/>
      <c r="G169" s="57"/>
      <c r="K169" s="42"/>
      <c r="L169" s="42"/>
      <c r="M169" s="42"/>
      <c r="N169" s="42"/>
      <c r="O169" s="42"/>
      <c r="P169" s="42"/>
      <c r="Q169" s="42"/>
      <c r="R169" s="42"/>
      <c r="T169" s="42"/>
      <c r="U169" s="42"/>
      <c r="V169" s="42"/>
      <c r="W169" s="42"/>
      <c r="X169" s="42"/>
      <c r="Y169" s="42"/>
      <c r="Z169" s="42"/>
      <c r="AA169" s="42"/>
    </row>
    <row r="170" spans="1:27" s="36" customFormat="1" ht="14.25" x14ac:dyDescent="0.2">
      <c r="A170" s="58"/>
      <c r="G170" s="57"/>
      <c r="K170" s="42"/>
      <c r="L170" s="42"/>
      <c r="M170" s="42"/>
      <c r="N170" s="42"/>
      <c r="O170" s="42"/>
      <c r="P170" s="42"/>
      <c r="Q170" s="42"/>
      <c r="R170" s="42"/>
      <c r="T170" s="42"/>
      <c r="U170" s="42"/>
      <c r="V170" s="42"/>
      <c r="W170" s="42"/>
      <c r="X170" s="42"/>
      <c r="Y170" s="42"/>
      <c r="Z170" s="42"/>
      <c r="AA170" s="42"/>
    </row>
    <row r="171" spans="1:27" s="36" customFormat="1" ht="14.25" x14ac:dyDescent="0.2">
      <c r="A171" s="58"/>
      <c r="G171" s="57"/>
      <c r="K171" s="42"/>
      <c r="L171" s="42"/>
      <c r="M171" s="42"/>
      <c r="N171" s="42"/>
      <c r="O171" s="42"/>
      <c r="P171" s="42"/>
      <c r="Q171" s="42"/>
      <c r="R171" s="42"/>
      <c r="T171" s="42"/>
      <c r="U171" s="42"/>
      <c r="V171" s="42"/>
      <c r="W171" s="42"/>
      <c r="X171" s="42"/>
      <c r="Y171" s="42"/>
      <c r="Z171" s="42"/>
      <c r="AA171" s="42"/>
    </row>
    <row r="172" spans="1:27" s="36" customFormat="1" ht="14.25" x14ac:dyDescent="0.2">
      <c r="A172" s="58"/>
      <c r="G172" s="57"/>
      <c r="K172" s="42"/>
      <c r="L172" s="42"/>
      <c r="M172" s="42"/>
      <c r="N172" s="42"/>
      <c r="O172" s="42"/>
      <c r="P172" s="42"/>
      <c r="Q172" s="42"/>
      <c r="R172" s="42"/>
      <c r="T172" s="42"/>
      <c r="U172" s="42"/>
      <c r="V172" s="42"/>
      <c r="W172" s="42"/>
      <c r="X172" s="42"/>
      <c r="Y172" s="42"/>
      <c r="Z172" s="42"/>
      <c r="AA172" s="42"/>
    </row>
    <row r="173" spans="1:27" s="36" customFormat="1" ht="14.25" x14ac:dyDescent="0.2">
      <c r="A173" s="58"/>
      <c r="G173" s="57"/>
      <c r="K173" s="42"/>
      <c r="L173" s="42"/>
      <c r="M173" s="42"/>
      <c r="N173" s="42"/>
      <c r="O173" s="42"/>
      <c r="P173" s="42"/>
      <c r="Q173" s="42"/>
      <c r="R173" s="42"/>
      <c r="T173" s="42"/>
      <c r="U173" s="42"/>
      <c r="V173" s="42"/>
      <c r="W173" s="42"/>
      <c r="X173" s="42"/>
      <c r="Y173" s="42"/>
      <c r="Z173" s="42"/>
      <c r="AA173" s="42"/>
    </row>
    <row r="174" spans="1:27" s="36" customFormat="1" ht="14.25" x14ac:dyDescent="0.2">
      <c r="A174" s="58"/>
      <c r="G174" s="57"/>
      <c r="K174" s="42"/>
      <c r="L174" s="42"/>
      <c r="M174" s="42"/>
      <c r="N174" s="42"/>
      <c r="O174" s="42"/>
      <c r="P174" s="42"/>
      <c r="Q174" s="42"/>
      <c r="R174" s="42"/>
      <c r="T174" s="42"/>
      <c r="U174" s="42"/>
      <c r="V174" s="42"/>
      <c r="W174" s="42"/>
      <c r="X174" s="42"/>
      <c r="Y174" s="42"/>
      <c r="Z174" s="42"/>
      <c r="AA174" s="42"/>
    </row>
    <row r="175" spans="1:27" s="36" customFormat="1" ht="14.25" x14ac:dyDescent="0.2">
      <c r="A175" s="58"/>
      <c r="G175" s="57"/>
      <c r="K175" s="42"/>
      <c r="L175" s="42"/>
      <c r="M175" s="42"/>
      <c r="N175" s="42"/>
      <c r="O175" s="42"/>
      <c r="P175" s="42"/>
      <c r="Q175" s="42"/>
      <c r="R175" s="42"/>
      <c r="T175" s="42"/>
      <c r="U175" s="42"/>
      <c r="V175" s="42"/>
      <c r="W175" s="42"/>
      <c r="X175" s="42"/>
      <c r="Y175" s="42"/>
      <c r="Z175" s="42"/>
      <c r="AA175" s="42"/>
    </row>
    <row r="176" spans="1:27" s="36" customFormat="1" ht="14.25" x14ac:dyDescent="0.2">
      <c r="A176" s="58"/>
      <c r="G176" s="57"/>
      <c r="K176" s="42"/>
      <c r="L176" s="42"/>
      <c r="M176" s="42"/>
      <c r="N176" s="42"/>
      <c r="O176" s="42"/>
      <c r="P176" s="42"/>
      <c r="Q176" s="42"/>
      <c r="R176" s="42"/>
      <c r="T176" s="42"/>
      <c r="U176" s="42"/>
      <c r="V176" s="42"/>
      <c r="W176" s="42"/>
      <c r="X176" s="42"/>
      <c r="Y176" s="42"/>
      <c r="Z176" s="42"/>
      <c r="AA176" s="42"/>
    </row>
    <row r="177" spans="1:27" s="36" customFormat="1" ht="14.25" x14ac:dyDescent="0.2">
      <c r="A177" s="58"/>
      <c r="G177" s="57"/>
      <c r="K177" s="42"/>
      <c r="L177" s="42"/>
      <c r="M177" s="42"/>
      <c r="N177" s="42"/>
      <c r="O177" s="42"/>
      <c r="P177" s="42"/>
      <c r="Q177" s="42"/>
      <c r="R177" s="42"/>
      <c r="T177" s="42"/>
      <c r="U177" s="42"/>
      <c r="V177" s="42"/>
      <c r="W177" s="42"/>
      <c r="X177" s="42"/>
      <c r="Y177" s="42"/>
      <c r="Z177" s="42"/>
      <c r="AA177" s="42"/>
    </row>
    <row r="178" spans="1:27" s="36" customFormat="1" ht="14.25" x14ac:dyDescent="0.2">
      <c r="A178" s="58"/>
      <c r="G178" s="57"/>
      <c r="K178" s="42"/>
      <c r="L178" s="42"/>
      <c r="M178" s="42"/>
      <c r="N178" s="42"/>
      <c r="O178" s="42"/>
      <c r="P178" s="42"/>
      <c r="Q178" s="42"/>
      <c r="R178" s="42"/>
      <c r="T178" s="42"/>
      <c r="U178" s="42"/>
      <c r="V178" s="42"/>
      <c r="W178" s="42"/>
      <c r="X178" s="42"/>
      <c r="Y178" s="42"/>
      <c r="Z178" s="42"/>
      <c r="AA178" s="42"/>
    </row>
    <row r="179" spans="1:27" s="36" customFormat="1" ht="14.25" x14ac:dyDescent="0.2">
      <c r="A179" s="58"/>
      <c r="G179" s="57"/>
      <c r="K179" s="42"/>
      <c r="L179" s="42"/>
      <c r="M179" s="42"/>
      <c r="N179" s="42"/>
      <c r="O179" s="42"/>
      <c r="P179" s="42"/>
      <c r="Q179" s="42"/>
      <c r="R179" s="42"/>
      <c r="T179" s="42"/>
      <c r="U179" s="42"/>
      <c r="V179" s="42"/>
      <c r="W179" s="42"/>
      <c r="X179" s="42"/>
      <c r="Y179" s="42"/>
      <c r="Z179" s="42"/>
      <c r="AA179" s="42"/>
    </row>
    <row r="180" spans="1:27" s="36" customFormat="1" ht="14.25" x14ac:dyDescent="0.2">
      <c r="A180" s="58"/>
      <c r="G180" s="57"/>
      <c r="K180" s="42"/>
      <c r="L180" s="42"/>
      <c r="M180" s="42"/>
      <c r="N180" s="42"/>
      <c r="O180" s="42"/>
      <c r="P180" s="42"/>
      <c r="Q180" s="42"/>
      <c r="R180" s="42"/>
      <c r="T180" s="42"/>
      <c r="U180" s="42"/>
      <c r="V180" s="42"/>
      <c r="W180" s="42"/>
      <c r="X180" s="42"/>
      <c r="Y180" s="42"/>
      <c r="Z180" s="42"/>
      <c r="AA180" s="42"/>
    </row>
    <row r="181" spans="1:27" s="36" customFormat="1" ht="14.25" x14ac:dyDescent="0.2">
      <c r="A181" s="58"/>
      <c r="G181" s="57"/>
      <c r="K181" s="42"/>
      <c r="L181" s="42"/>
      <c r="M181" s="42"/>
      <c r="N181" s="42"/>
      <c r="O181" s="42"/>
      <c r="P181" s="42"/>
      <c r="Q181" s="42"/>
      <c r="R181" s="42"/>
      <c r="T181" s="42"/>
      <c r="U181" s="42"/>
      <c r="V181" s="42"/>
      <c r="W181" s="42"/>
      <c r="X181" s="42"/>
      <c r="Y181" s="42"/>
      <c r="Z181" s="42"/>
      <c r="AA181" s="42"/>
    </row>
    <row r="182" spans="1:27" s="36" customFormat="1" ht="14.25" x14ac:dyDescent="0.2">
      <c r="A182" s="58"/>
      <c r="G182" s="57"/>
      <c r="K182" s="42"/>
      <c r="L182" s="42"/>
      <c r="M182" s="42"/>
      <c r="N182" s="42"/>
      <c r="O182" s="42"/>
      <c r="P182" s="42"/>
      <c r="Q182" s="42"/>
      <c r="R182" s="42"/>
      <c r="T182" s="42"/>
      <c r="U182" s="42"/>
      <c r="V182" s="42"/>
      <c r="W182" s="42"/>
      <c r="X182" s="42"/>
      <c r="Y182" s="42"/>
      <c r="Z182" s="42"/>
      <c r="AA182" s="42"/>
    </row>
    <row r="183" spans="1:27" s="36" customFormat="1" ht="14.25" x14ac:dyDescent="0.2">
      <c r="A183" s="58"/>
      <c r="G183" s="57"/>
      <c r="K183" s="42"/>
      <c r="L183" s="42"/>
      <c r="M183" s="42"/>
      <c r="N183" s="42"/>
      <c r="O183" s="42"/>
      <c r="P183" s="42"/>
      <c r="Q183" s="42"/>
      <c r="R183" s="42"/>
      <c r="T183" s="42"/>
      <c r="U183" s="42"/>
      <c r="V183" s="42"/>
      <c r="W183" s="42"/>
      <c r="X183" s="42"/>
      <c r="Y183" s="42"/>
      <c r="Z183" s="42"/>
      <c r="AA183" s="42"/>
    </row>
    <row r="184" spans="1:27" s="36" customFormat="1" ht="14.25" x14ac:dyDescent="0.2">
      <c r="A184" s="58"/>
      <c r="G184" s="57"/>
      <c r="K184" s="42"/>
      <c r="L184" s="42"/>
      <c r="M184" s="42"/>
      <c r="N184" s="42"/>
      <c r="O184" s="42"/>
      <c r="P184" s="42"/>
      <c r="Q184" s="42"/>
      <c r="R184" s="42"/>
      <c r="T184" s="42"/>
      <c r="U184" s="42"/>
      <c r="V184" s="42"/>
      <c r="W184" s="42"/>
      <c r="X184" s="42"/>
      <c r="Y184" s="42"/>
      <c r="Z184" s="42"/>
      <c r="AA184" s="42"/>
    </row>
    <row r="185" spans="1:27" s="36" customFormat="1" ht="14.25" x14ac:dyDescent="0.2">
      <c r="A185" s="58"/>
      <c r="G185" s="57"/>
      <c r="K185" s="42"/>
      <c r="L185" s="42"/>
      <c r="M185" s="42"/>
      <c r="N185" s="42"/>
      <c r="O185" s="42"/>
      <c r="P185" s="42"/>
      <c r="Q185" s="42"/>
      <c r="R185" s="42"/>
      <c r="T185" s="42"/>
      <c r="U185" s="42"/>
      <c r="V185" s="42"/>
      <c r="W185" s="42"/>
      <c r="X185" s="42"/>
      <c r="Y185" s="42"/>
      <c r="Z185" s="42"/>
      <c r="AA185" s="42"/>
    </row>
    <row r="186" spans="1:27" s="36" customFormat="1" ht="14.25" x14ac:dyDescent="0.2">
      <c r="A186" s="58"/>
      <c r="G186" s="57"/>
      <c r="K186" s="42"/>
      <c r="L186" s="42"/>
      <c r="M186" s="42"/>
      <c r="N186" s="42"/>
      <c r="O186" s="42"/>
      <c r="P186" s="42"/>
      <c r="Q186" s="42"/>
      <c r="R186" s="42"/>
      <c r="T186" s="42"/>
      <c r="U186" s="42"/>
      <c r="V186" s="42"/>
      <c r="W186" s="42"/>
      <c r="X186" s="42"/>
      <c r="Y186" s="42"/>
      <c r="Z186" s="42"/>
      <c r="AA186" s="42"/>
    </row>
    <row r="187" spans="1:27" s="36" customFormat="1" ht="14.25" x14ac:dyDescent="0.2">
      <c r="A187" s="58"/>
      <c r="G187" s="57"/>
      <c r="K187" s="42"/>
      <c r="L187" s="42"/>
      <c r="M187" s="42"/>
      <c r="N187" s="42"/>
      <c r="O187" s="42"/>
      <c r="P187" s="42"/>
      <c r="Q187" s="42"/>
      <c r="R187" s="42"/>
      <c r="T187" s="42"/>
      <c r="U187" s="42"/>
      <c r="V187" s="42"/>
      <c r="W187" s="42"/>
      <c r="X187" s="42"/>
      <c r="Y187" s="42"/>
      <c r="Z187" s="42"/>
      <c r="AA187" s="42"/>
    </row>
    <row r="188" spans="1:27" s="36" customFormat="1" ht="14.25" x14ac:dyDescent="0.2">
      <c r="A188" s="58"/>
      <c r="G188" s="57"/>
      <c r="K188" s="42"/>
      <c r="L188" s="42"/>
      <c r="M188" s="42"/>
      <c r="N188" s="42"/>
      <c r="O188" s="42"/>
      <c r="P188" s="42"/>
      <c r="Q188" s="42"/>
      <c r="R188" s="42"/>
      <c r="T188" s="42"/>
      <c r="U188" s="42"/>
      <c r="V188" s="42"/>
      <c r="W188" s="42"/>
      <c r="X188" s="42"/>
      <c r="Y188" s="42"/>
      <c r="Z188" s="42"/>
      <c r="AA188" s="42"/>
    </row>
    <row r="189" spans="1:27" s="36" customFormat="1" ht="14.25" x14ac:dyDescent="0.2">
      <c r="A189" s="58"/>
      <c r="G189" s="57"/>
      <c r="K189" s="42"/>
      <c r="L189" s="42"/>
      <c r="M189" s="42"/>
      <c r="N189" s="42"/>
      <c r="O189" s="42"/>
      <c r="P189" s="42"/>
      <c r="Q189" s="42"/>
      <c r="R189" s="42"/>
      <c r="T189" s="42"/>
      <c r="U189" s="42"/>
      <c r="V189" s="42"/>
      <c r="W189" s="42"/>
      <c r="X189" s="42"/>
      <c r="Y189" s="42"/>
      <c r="Z189" s="42"/>
      <c r="AA189" s="42"/>
    </row>
    <row r="190" spans="1:27" s="36" customFormat="1" ht="14.25" x14ac:dyDescent="0.2">
      <c r="A190" s="58"/>
      <c r="G190" s="57"/>
      <c r="K190" s="42"/>
      <c r="L190" s="42"/>
      <c r="M190" s="42"/>
      <c r="N190" s="42"/>
      <c r="O190" s="42"/>
      <c r="P190" s="42"/>
      <c r="Q190" s="42"/>
      <c r="R190" s="42"/>
      <c r="T190" s="42"/>
      <c r="U190" s="42"/>
      <c r="V190" s="42"/>
      <c r="W190" s="42"/>
      <c r="X190" s="42"/>
      <c r="Y190" s="42"/>
      <c r="Z190" s="42"/>
      <c r="AA190" s="42"/>
    </row>
    <row r="191" spans="1:27" s="36" customFormat="1" ht="14.25" x14ac:dyDescent="0.2">
      <c r="A191" s="58"/>
      <c r="G191" s="57"/>
      <c r="K191" s="42"/>
      <c r="L191" s="42"/>
      <c r="M191" s="42"/>
      <c r="N191" s="42"/>
      <c r="O191" s="42"/>
      <c r="P191" s="42"/>
      <c r="Q191" s="42"/>
      <c r="R191" s="42"/>
      <c r="T191" s="42"/>
      <c r="U191" s="42"/>
      <c r="V191" s="42"/>
      <c r="W191" s="42"/>
      <c r="X191" s="42"/>
      <c r="Y191" s="42"/>
      <c r="Z191" s="42"/>
      <c r="AA191" s="42"/>
    </row>
    <row r="192" spans="1:27" s="36" customFormat="1" ht="14.25" x14ac:dyDescent="0.2">
      <c r="A192" s="58"/>
      <c r="G192" s="57"/>
      <c r="K192" s="42"/>
      <c r="L192" s="42"/>
      <c r="M192" s="42"/>
      <c r="N192" s="42"/>
      <c r="O192" s="42"/>
      <c r="P192" s="42"/>
      <c r="Q192" s="42"/>
      <c r="R192" s="42"/>
      <c r="T192" s="42"/>
      <c r="U192" s="42"/>
      <c r="V192" s="42"/>
      <c r="W192" s="42"/>
      <c r="X192" s="42"/>
      <c r="Y192" s="42"/>
      <c r="Z192" s="42"/>
      <c r="AA192" s="42"/>
    </row>
    <row r="193" spans="1:27" s="36" customFormat="1" ht="14.25" x14ac:dyDescent="0.2">
      <c r="A193" s="58"/>
      <c r="G193" s="57"/>
      <c r="K193" s="42"/>
      <c r="L193" s="42"/>
      <c r="M193" s="42"/>
      <c r="N193" s="42"/>
      <c r="O193" s="42"/>
      <c r="P193" s="42"/>
      <c r="Q193" s="42"/>
      <c r="R193" s="42"/>
      <c r="T193" s="42"/>
      <c r="U193" s="42"/>
      <c r="V193" s="42"/>
      <c r="W193" s="42"/>
      <c r="X193" s="42"/>
      <c r="Y193" s="42"/>
      <c r="Z193" s="42"/>
      <c r="AA193" s="42"/>
    </row>
    <row r="194" spans="1:27" s="36" customFormat="1" ht="14.25" x14ac:dyDescent="0.2">
      <c r="A194" s="58"/>
      <c r="G194" s="57"/>
      <c r="K194" s="42"/>
      <c r="L194" s="42"/>
      <c r="M194" s="42"/>
      <c r="N194" s="42"/>
      <c r="O194" s="42"/>
      <c r="P194" s="42"/>
      <c r="Q194" s="42"/>
      <c r="R194" s="42"/>
      <c r="T194" s="42"/>
      <c r="U194" s="42"/>
      <c r="V194" s="42"/>
      <c r="W194" s="42"/>
      <c r="X194" s="42"/>
      <c r="Y194" s="42"/>
      <c r="Z194" s="42"/>
      <c r="AA194" s="42"/>
    </row>
    <row r="195" spans="1:27" s="36" customFormat="1" ht="14.25" x14ac:dyDescent="0.2">
      <c r="A195" s="58"/>
      <c r="G195" s="57"/>
      <c r="K195" s="42"/>
      <c r="L195" s="42"/>
      <c r="M195" s="42"/>
      <c r="N195" s="42"/>
      <c r="O195" s="42"/>
      <c r="P195" s="42"/>
      <c r="Q195" s="42"/>
      <c r="R195" s="42"/>
      <c r="T195" s="42"/>
      <c r="U195" s="42"/>
      <c r="V195" s="42"/>
      <c r="W195" s="42"/>
      <c r="X195" s="42"/>
      <c r="Y195" s="42"/>
      <c r="Z195" s="42"/>
      <c r="AA195" s="42"/>
    </row>
    <row r="196" spans="1:27" s="36" customFormat="1" ht="14.25" x14ac:dyDescent="0.2">
      <c r="A196" s="58"/>
      <c r="G196" s="57"/>
      <c r="K196" s="42"/>
      <c r="L196" s="42"/>
      <c r="M196" s="42"/>
      <c r="N196" s="42"/>
      <c r="O196" s="42"/>
      <c r="P196" s="42"/>
      <c r="Q196" s="42"/>
      <c r="R196" s="42"/>
      <c r="T196" s="42"/>
      <c r="U196" s="42"/>
      <c r="V196" s="42"/>
      <c r="W196" s="42"/>
      <c r="X196" s="42"/>
      <c r="Y196" s="42"/>
      <c r="Z196" s="42"/>
      <c r="AA196" s="42"/>
    </row>
    <row r="197" spans="1:27" s="36" customFormat="1" ht="14.25" x14ac:dyDescent="0.2">
      <c r="A197" s="58"/>
      <c r="G197" s="57"/>
      <c r="K197" s="42"/>
      <c r="L197" s="42"/>
      <c r="M197" s="42"/>
      <c r="N197" s="42"/>
      <c r="O197" s="42"/>
      <c r="P197" s="42"/>
      <c r="Q197" s="42"/>
      <c r="R197" s="42"/>
      <c r="T197" s="42"/>
      <c r="U197" s="42"/>
      <c r="V197" s="42"/>
      <c r="W197" s="42"/>
      <c r="X197" s="42"/>
      <c r="Y197" s="42"/>
      <c r="Z197" s="42"/>
      <c r="AA197" s="42"/>
    </row>
  </sheetData>
  <autoFilter ref="A6:AR6" xr:uid="{2F4B75FC-D5D6-4773-A691-BB1FA491341E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A550-2C11-443B-8B40-9C662C082985}">
  <dimension ref="A1:AU154"/>
  <sheetViews>
    <sheetView workbookViewId="0">
      <selection activeCell="A2" sqref="A2:XFD154"/>
    </sheetView>
  </sheetViews>
  <sheetFormatPr defaultRowHeight="15" x14ac:dyDescent="0.25"/>
  <cols>
    <col min="1" max="1" width="15.85546875" style="23" bestFit="1" customWidth="1"/>
    <col min="7" max="7" width="10.7109375" style="32" bestFit="1" customWidth="1"/>
    <col min="8" max="8" width="42.140625" bestFit="1" customWidth="1"/>
    <col min="11" max="11" width="9.28515625" style="25" bestFit="1" customWidth="1"/>
    <col min="12" max="12" width="9.140625" style="25"/>
    <col min="13" max="14" width="9.28515625" style="25" bestFit="1" customWidth="1"/>
    <col min="15" max="16" width="11.5703125" style="25" bestFit="1" customWidth="1"/>
    <col min="17" max="18" width="9.28515625" style="25" bestFit="1" customWidth="1"/>
    <col min="20" max="22" width="11.5703125" style="25" bestFit="1" customWidth="1"/>
    <col min="23" max="23" width="9.28515625" style="25" bestFit="1" customWidth="1"/>
    <col min="24" max="24" width="11.5703125" style="25" bestFit="1" customWidth="1"/>
    <col min="27" max="27" width="10.5703125" style="25" bestFit="1" customWidth="1"/>
    <col min="30" max="32" width="9.140625" style="25"/>
    <col min="41" max="41" width="89.7109375" bestFit="1" customWidth="1"/>
    <col min="47" max="47" width="113.85546875" hidden="1" customWidth="1"/>
  </cols>
  <sheetData>
    <row r="1" spans="1:47" s="4" customFormat="1" x14ac:dyDescent="0.25">
      <c r="A1" s="5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7" t="s">
        <v>63</v>
      </c>
      <c r="AP1" s="1"/>
      <c r="AQ1" s="1"/>
      <c r="AR1" s="1"/>
      <c r="AS1" s="1"/>
      <c r="AU1" s="33" t="s">
        <v>39</v>
      </c>
    </row>
    <row r="2" spans="1:47" s="36" customFormat="1" ht="14.25" x14ac:dyDescent="0.2">
      <c r="A2" s="57"/>
      <c r="G2" s="66"/>
      <c r="K2" s="52"/>
      <c r="L2" s="52"/>
      <c r="M2" s="52"/>
      <c r="N2" s="52"/>
      <c r="O2" s="52"/>
      <c r="P2" s="52"/>
      <c r="Q2" s="52"/>
      <c r="R2" s="52"/>
      <c r="T2" s="52"/>
      <c r="U2" s="52"/>
      <c r="V2" s="52"/>
      <c r="W2" s="52"/>
      <c r="X2" s="52"/>
      <c r="AA2" s="52"/>
      <c r="AD2" s="52"/>
      <c r="AE2" s="52"/>
      <c r="AF2" s="52"/>
      <c r="AO2" s="37"/>
    </row>
    <row r="3" spans="1:47" s="36" customFormat="1" ht="14.25" x14ac:dyDescent="0.2">
      <c r="A3" s="57"/>
      <c r="G3" s="66"/>
      <c r="K3" s="52"/>
      <c r="L3" s="52"/>
      <c r="M3" s="52"/>
      <c r="N3" s="52"/>
      <c r="O3" s="52"/>
      <c r="P3" s="52"/>
      <c r="Q3" s="52"/>
      <c r="R3" s="52"/>
      <c r="T3" s="52"/>
      <c r="U3" s="52"/>
      <c r="V3" s="52"/>
      <c r="W3" s="52"/>
      <c r="X3" s="52"/>
      <c r="AA3" s="52"/>
      <c r="AD3" s="52"/>
      <c r="AE3" s="52"/>
      <c r="AF3" s="52"/>
      <c r="AO3" s="37"/>
    </row>
    <row r="4" spans="1:47" s="36" customFormat="1" ht="14.25" x14ac:dyDescent="0.2">
      <c r="A4" s="57"/>
      <c r="G4" s="66"/>
      <c r="K4" s="52"/>
      <c r="L4" s="52"/>
      <c r="M4" s="52"/>
      <c r="N4" s="52"/>
      <c r="O4" s="52"/>
      <c r="P4" s="52"/>
      <c r="Q4" s="52"/>
      <c r="R4" s="52"/>
      <c r="T4" s="52"/>
      <c r="U4" s="52"/>
      <c r="V4" s="52"/>
      <c r="W4" s="52"/>
      <c r="X4" s="52"/>
      <c r="AA4" s="52"/>
      <c r="AD4" s="52"/>
      <c r="AE4" s="52"/>
      <c r="AF4" s="52"/>
      <c r="AO4" s="37"/>
      <c r="AU4" s="49"/>
    </row>
    <row r="5" spans="1:47" s="36" customFormat="1" ht="14.25" x14ac:dyDescent="0.2">
      <c r="A5" s="57"/>
      <c r="G5" s="66"/>
      <c r="K5" s="42"/>
      <c r="L5" s="42"/>
      <c r="M5" s="42"/>
      <c r="N5" s="42"/>
      <c r="O5" s="42"/>
      <c r="P5" s="42"/>
      <c r="Q5" s="42"/>
      <c r="R5" s="42"/>
      <c r="T5" s="42"/>
      <c r="U5" s="42"/>
      <c r="V5" s="42"/>
      <c r="W5" s="42"/>
      <c r="X5" s="42"/>
      <c r="AA5" s="42"/>
      <c r="AD5" s="42"/>
      <c r="AE5" s="42"/>
      <c r="AF5" s="42"/>
    </row>
    <row r="6" spans="1:47" s="36" customFormat="1" ht="14.25" x14ac:dyDescent="0.2">
      <c r="A6" s="57"/>
      <c r="G6" s="66"/>
      <c r="K6" s="42"/>
      <c r="L6" s="42"/>
      <c r="M6" s="42"/>
      <c r="N6" s="42"/>
      <c r="O6" s="42"/>
      <c r="P6" s="42"/>
      <c r="Q6" s="42"/>
      <c r="R6" s="42"/>
      <c r="T6" s="42"/>
      <c r="U6" s="42"/>
      <c r="V6" s="42"/>
      <c r="W6" s="42"/>
      <c r="X6" s="42"/>
      <c r="AA6" s="42"/>
      <c r="AD6" s="42"/>
      <c r="AE6" s="42"/>
      <c r="AF6" s="42"/>
    </row>
    <row r="7" spans="1:47" s="36" customFormat="1" ht="14.25" x14ac:dyDescent="0.2">
      <c r="A7" s="57"/>
      <c r="G7" s="66"/>
      <c r="K7" s="42"/>
      <c r="L7" s="42"/>
      <c r="M7" s="42"/>
      <c r="N7" s="42"/>
      <c r="O7" s="42"/>
      <c r="P7" s="42"/>
      <c r="Q7" s="42"/>
      <c r="R7" s="42"/>
      <c r="T7" s="42"/>
      <c r="U7" s="42"/>
      <c r="V7" s="42"/>
      <c r="W7" s="42"/>
      <c r="X7" s="42"/>
      <c r="AA7" s="42"/>
      <c r="AD7" s="42"/>
      <c r="AE7" s="42"/>
      <c r="AF7" s="42"/>
    </row>
    <row r="8" spans="1:47" s="36" customFormat="1" ht="14.25" x14ac:dyDescent="0.2">
      <c r="A8" s="57"/>
      <c r="G8" s="66"/>
      <c r="K8" s="42"/>
      <c r="L8" s="42"/>
      <c r="M8" s="42"/>
      <c r="N8" s="42"/>
      <c r="O8" s="42"/>
      <c r="P8" s="42"/>
      <c r="Q8" s="42"/>
      <c r="R8" s="42"/>
      <c r="T8" s="42"/>
      <c r="U8" s="42"/>
      <c r="V8" s="42"/>
      <c r="W8" s="42"/>
      <c r="X8" s="42"/>
      <c r="AA8" s="42"/>
      <c r="AD8" s="42"/>
      <c r="AE8" s="42"/>
      <c r="AF8" s="42"/>
    </row>
    <row r="9" spans="1:47" s="36" customFormat="1" ht="14.25" x14ac:dyDescent="0.2">
      <c r="A9" s="57"/>
      <c r="G9" s="66"/>
      <c r="K9" s="42"/>
      <c r="L9" s="42"/>
      <c r="M9" s="42"/>
      <c r="N9" s="42"/>
      <c r="O9" s="42"/>
      <c r="P9" s="42"/>
      <c r="Q9" s="42"/>
      <c r="R9" s="42"/>
      <c r="T9" s="42"/>
      <c r="U9" s="42"/>
      <c r="V9" s="42"/>
      <c r="W9" s="42"/>
      <c r="X9" s="42"/>
      <c r="AA9" s="42"/>
      <c r="AD9" s="42"/>
      <c r="AE9" s="42"/>
      <c r="AF9" s="42"/>
    </row>
    <row r="10" spans="1:47" s="36" customFormat="1" ht="14.25" x14ac:dyDescent="0.2">
      <c r="A10" s="57"/>
      <c r="G10" s="66"/>
      <c r="K10" s="42"/>
      <c r="L10" s="42"/>
      <c r="M10" s="42"/>
      <c r="N10" s="42"/>
      <c r="O10" s="42"/>
      <c r="P10" s="42"/>
      <c r="Q10" s="42"/>
      <c r="R10" s="42"/>
      <c r="T10" s="42"/>
      <c r="U10" s="42"/>
      <c r="V10" s="42"/>
      <c r="W10" s="42"/>
      <c r="X10" s="42"/>
      <c r="AA10" s="42"/>
      <c r="AD10" s="42"/>
      <c r="AE10" s="42"/>
      <c r="AF10" s="42"/>
    </row>
    <row r="11" spans="1:47" s="36" customFormat="1" ht="14.25" x14ac:dyDescent="0.2">
      <c r="A11" s="57"/>
      <c r="G11" s="66"/>
      <c r="K11" s="42"/>
      <c r="L11" s="42"/>
      <c r="M11" s="42"/>
      <c r="N11" s="42"/>
      <c r="O11" s="42"/>
      <c r="P11" s="42"/>
      <c r="Q11" s="42"/>
      <c r="R11" s="42"/>
      <c r="T11" s="42"/>
      <c r="U11" s="42"/>
      <c r="V11" s="42"/>
      <c r="W11" s="42"/>
      <c r="X11" s="42"/>
      <c r="AA11" s="42"/>
      <c r="AD11" s="42"/>
      <c r="AE11" s="42"/>
      <c r="AF11" s="42"/>
    </row>
    <row r="12" spans="1:47" s="36" customFormat="1" ht="14.25" x14ac:dyDescent="0.2">
      <c r="A12" s="57"/>
      <c r="G12" s="66"/>
      <c r="K12" s="42"/>
      <c r="L12" s="42"/>
      <c r="M12" s="42"/>
      <c r="N12" s="42"/>
      <c r="O12" s="42"/>
      <c r="P12" s="42"/>
      <c r="Q12" s="42"/>
      <c r="R12" s="42"/>
      <c r="T12" s="42"/>
      <c r="U12" s="42"/>
      <c r="V12" s="42"/>
      <c r="W12" s="42"/>
      <c r="X12" s="42"/>
      <c r="AA12" s="42"/>
      <c r="AD12" s="42"/>
      <c r="AE12" s="42"/>
      <c r="AF12" s="42"/>
    </row>
    <row r="13" spans="1:47" s="36" customFormat="1" ht="14.25" x14ac:dyDescent="0.2">
      <c r="A13" s="57"/>
      <c r="G13" s="66"/>
      <c r="K13" s="42"/>
      <c r="L13" s="42"/>
      <c r="M13" s="42"/>
      <c r="N13" s="42"/>
      <c r="O13" s="42"/>
      <c r="P13" s="42"/>
      <c r="Q13" s="42"/>
      <c r="R13" s="42"/>
      <c r="T13" s="42"/>
      <c r="U13" s="42"/>
      <c r="V13" s="42"/>
      <c r="W13" s="42"/>
      <c r="X13" s="42"/>
      <c r="AA13" s="42"/>
      <c r="AD13" s="42"/>
      <c r="AE13" s="42"/>
      <c r="AF13" s="42"/>
    </row>
    <row r="14" spans="1:47" s="36" customFormat="1" ht="14.25" x14ac:dyDescent="0.2">
      <c r="A14" s="57"/>
      <c r="G14" s="66"/>
      <c r="K14" s="42"/>
      <c r="L14" s="42"/>
      <c r="M14" s="42"/>
      <c r="N14" s="42"/>
      <c r="O14" s="42"/>
      <c r="P14" s="42"/>
      <c r="Q14" s="42"/>
      <c r="R14" s="42"/>
      <c r="T14" s="42"/>
      <c r="U14" s="42"/>
      <c r="V14" s="42"/>
      <c r="W14" s="42"/>
      <c r="X14" s="42"/>
      <c r="AA14" s="42"/>
      <c r="AD14" s="42"/>
      <c r="AE14" s="42"/>
      <c r="AF14" s="42"/>
    </row>
    <row r="15" spans="1:47" s="36" customFormat="1" ht="14.25" x14ac:dyDescent="0.2">
      <c r="A15" s="57"/>
      <c r="G15" s="66"/>
      <c r="K15" s="42"/>
      <c r="L15" s="42"/>
      <c r="M15" s="42"/>
      <c r="N15" s="42"/>
      <c r="O15" s="42"/>
      <c r="P15" s="42"/>
      <c r="Q15" s="42"/>
      <c r="R15" s="42"/>
      <c r="T15" s="42"/>
      <c r="U15" s="42"/>
      <c r="V15" s="42"/>
      <c r="W15" s="42"/>
      <c r="X15" s="42"/>
      <c r="AA15" s="42"/>
      <c r="AD15" s="42"/>
      <c r="AE15" s="42"/>
      <c r="AF15" s="42"/>
    </row>
    <row r="16" spans="1:47" s="36" customFormat="1" ht="14.25" x14ac:dyDescent="0.2">
      <c r="A16" s="57"/>
      <c r="G16" s="66"/>
      <c r="K16" s="42"/>
      <c r="L16" s="42"/>
      <c r="M16" s="42"/>
      <c r="N16" s="42"/>
      <c r="O16" s="42"/>
      <c r="P16" s="42"/>
      <c r="Q16" s="42"/>
      <c r="R16" s="42"/>
      <c r="T16" s="42"/>
      <c r="U16" s="42"/>
      <c r="V16" s="42"/>
      <c r="W16" s="42"/>
      <c r="X16" s="42"/>
      <c r="AA16" s="42"/>
      <c r="AD16" s="42"/>
      <c r="AE16" s="42"/>
      <c r="AF16" s="42"/>
    </row>
    <row r="17" spans="1:32" s="36" customFormat="1" ht="14.25" x14ac:dyDescent="0.2">
      <c r="A17" s="57"/>
      <c r="G17" s="66"/>
      <c r="K17" s="42"/>
      <c r="L17" s="42"/>
      <c r="M17" s="42"/>
      <c r="N17" s="42"/>
      <c r="O17" s="42"/>
      <c r="P17" s="42"/>
      <c r="Q17" s="42"/>
      <c r="R17" s="42"/>
      <c r="T17" s="42"/>
      <c r="U17" s="42"/>
      <c r="V17" s="42"/>
      <c r="W17" s="42"/>
      <c r="X17" s="42"/>
      <c r="AA17" s="42"/>
      <c r="AD17" s="42"/>
      <c r="AE17" s="42"/>
      <c r="AF17" s="42"/>
    </row>
    <row r="18" spans="1:32" s="36" customFormat="1" ht="14.25" x14ac:dyDescent="0.2">
      <c r="A18" s="57"/>
      <c r="G18" s="66"/>
      <c r="K18" s="42"/>
      <c r="L18" s="42"/>
      <c r="M18" s="42"/>
      <c r="N18" s="42"/>
      <c r="O18" s="42"/>
      <c r="P18" s="42"/>
      <c r="Q18" s="42"/>
      <c r="R18" s="42"/>
      <c r="T18" s="42"/>
      <c r="U18" s="42"/>
      <c r="V18" s="42"/>
      <c r="W18" s="42"/>
      <c r="X18" s="42"/>
      <c r="AA18" s="42"/>
      <c r="AD18" s="42"/>
      <c r="AE18" s="42"/>
      <c r="AF18" s="42"/>
    </row>
    <row r="19" spans="1:32" s="36" customFormat="1" ht="14.25" x14ac:dyDescent="0.2">
      <c r="A19" s="57"/>
      <c r="G19" s="66"/>
      <c r="K19" s="42"/>
      <c r="L19" s="42"/>
      <c r="M19" s="42"/>
      <c r="N19" s="42"/>
      <c r="O19" s="42"/>
      <c r="P19" s="42"/>
      <c r="Q19" s="42"/>
      <c r="R19" s="42"/>
      <c r="T19" s="42"/>
      <c r="U19" s="42"/>
      <c r="V19" s="42"/>
      <c r="W19" s="42"/>
      <c r="X19" s="42"/>
      <c r="AA19" s="42"/>
      <c r="AD19" s="42"/>
      <c r="AE19" s="42"/>
      <c r="AF19" s="42"/>
    </row>
    <row r="20" spans="1:32" s="36" customFormat="1" ht="14.25" x14ac:dyDescent="0.2">
      <c r="A20" s="57"/>
      <c r="G20" s="66"/>
      <c r="K20" s="42"/>
      <c r="L20" s="42"/>
      <c r="M20" s="42"/>
      <c r="N20" s="42"/>
      <c r="O20" s="42"/>
      <c r="P20" s="42"/>
      <c r="Q20" s="42"/>
      <c r="R20" s="42"/>
      <c r="T20" s="42"/>
      <c r="U20" s="42"/>
      <c r="V20" s="42"/>
      <c r="W20" s="42"/>
      <c r="X20" s="42"/>
      <c r="AA20" s="42"/>
      <c r="AD20" s="42"/>
      <c r="AE20" s="42"/>
      <c r="AF20" s="42"/>
    </row>
    <row r="21" spans="1:32" s="36" customFormat="1" ht="14.25" x14ac:dyDescent="0.2">
      <c r="A21" s="57"/>
      <c r="G21" s="66"/>
      <c r="K21" s="42"/>
      <c r="L21" s="42"/>
      <c r="M21" s="42"/>
      <c r="N21" s="42"/>
      <c r="O21" s="42"/>
      <c r="P21" s="42"/>
      <c r="Q21" s="42"/>
      <c r="R21" s="42"/>
      <c r="T21" s="42"/>
      <c r="U21" s="42"/>
      <c r="V21" s="42"/>
      <c r="W21" s="42"/>
      <c r="X21" s="42"/>
      <c r="AA21" s="42"/>
      <c r="AD21" s="42"/>
      <c r="AE21" s="42"/>
      <c r="AF21" s="42"/>
    </row>
    <row r="22" spans="1:32" s="36" customFormat="1" ht="14.25" x14ac:dyDescent="0.2">
      <c r="A22" s="57"/>
      <c r="G22" s="66"/>
      <c r="K22" s="42"/>
      <c r="L22" s="42"/>
      <c r="M22" s="42"/>
      <c r="N22" s="42"/>
      <c r="O22" s="42"/>
      <c r="P22" s="42"/>
      <c r="Q22" s="42"/>
      <c r="R22" s="42"/>
      <c r="T22" s="42"/>
      <c r="U22" s="42"/>
      <c r="V22" s="42"/>
      <c r="W22" s="42"/>
      <c r="X22" s="42"/>
      <c r="AA22" s="42"/>
      <c r="AD22" s="42"/>
      <c r="AE22" s="42"/>
      <c r="AF22" s="42"/>
    </row>
    <row r="23" spans="1:32" s="36" customFormat="1" ht="14.25" x14ac:dyDescent="0.2">
      <c r="A23" s="57"/>
      <c r="G23" s="66"/>
      <c r="K23" s="42"/>
      <c r="L23" s="42"/>
      <c r="M23" s="42"/>
      <c r="N23" s="42"/>
      <c r="O23" s="42"/>
      <c r="P23" s="42"/>
      <c r="Q23" s="42"/>
      <c r="R23" s="42"/>
      <c r="T23" s="42"/>
      <c r="U23" s="42"/>
      <c r="V23" s="42"/>
      <c r="W23" s="42"/>
      <c r="X23" s="42"/>
      <c r="AA23" s="42"/>
      <c r="AD23" s="42"/>
      <c r="AE23" s="42"/>
      <c r="AF23" s="42"/>
    </row>
    <row r="24" spans="1:32" s="36" customFormat="1" ht="14.25" x14ac:dyDescent="0.2">
      <c r="A24" s="57"/>
      <c r="G24" s="66"/>
      <c r="K24" s="42"/>
      <c r="L24" s="42"/>
      <c r="M24" s="42"/>
      <c r="N24" s="42"/>
      <c r="O24" s="42"/>
      <c r="P24" s="42"/>
      <c r="Q24" s="42"/>
      <c r="R24" s="42"/>
      <c r="T24" s="42"/>
      <c r="U24" s="42"/>
      <c r="V24" s="42"/>
      <c r="W24" s="42"/>
      <c r="X24" s="42"/>
      <c r="AA24" s="42"/>
      <c r="AD24" s="42"/>
      <c r="AE24" s="42"/>
      <c r="AF24" s="42"/>
    </row>
    <row r="25" spans="1:32" s="36" customFormat="1" ht="14.25" x14ac:dyDescent="0.2">
      <c r="A25" s="57"/>
      <c r="G25" s="66"/>
      <c r="K25" s="42"/>
      <c r="L25" s="42"/>
      <c r="M25" s="42"/>
      <c r="N25" s="42"/>
      <c r="O25" s="42"/>
      <c r="P25" s="42"/>
      <c r="Q25" s="42"/>
      <c r="R25" s="42"/>
      <c r="T25" s="42"/>
      <c r="U25" s="42"/>
      <c r="V25" s="42"/>
      <c r="W25" s="42"/>
      <c r="X25" s="42"/>
      <c r="AA25" s="42"/>
      <c r="AD25" s="42"/>
      <c r="AE25" s="42"/>
      <c r="AF25" s="42"/>
    </row>
    <row r="26" spans="1:32" s="36" customFormat="1" ht="14.25" x14ac:dyDescent="0.2">
      <c r="A26" s="57"/>
      <c r="G26" s="66"/>
      <c r="K26" s="42"/>
      <c r="L26" s="42"/>
      <c r="M26" s="42"/>
      <c r="N26" s="42"/>
      <c r="O26" s="42"/>
      <c r="P26" s="42"/>
      <c r="Q26" s="42"/>
      <c r="R26" s="42"/>
      <c r="T26" s="42"/>
      <c r="U26" s="42"/>
      <c r="V26" s="42"/>
      <c r="W26" s="42"/>
      <c r="X26" s="42"/>
      <c r="AA26" s="42"/>
      <c r="AD26" s="42"/>
      <c r="AE26" s="42"/>
      <c r="AF26" s="42"/>
    </row>
    <row r="27" spans="1:32" s="36" customFormat="1" ht="14.25" x14ac:dyDescent="0.2">
      <c r="A27" s="57"/>
      <c r="G27" s="66"/>
      <c r="K27" s="42"/>
      <c r="L27" s="42"/>
      <c r="M27" s="42"/>
      <c r="N27" s="42"/>
      <c r="O27" s="42"/>
      <c r="P27" s="42"/>
      <c r="Q27" s="42"/>
      <c r="R27" s="42"/>
      <c r="T27" s="42"/>
      <c r="U27" s="42"/>
      <c r="V27" s="42"/>
      <c r="W27" s="42"/>
      <c r="X27" s="42"/>
      <c r="AA27" s="42"/>
      <c r="AD27" s="42"/>
      <c r="AE27" s="42"/>
      <c r="AF27" s="42"/>
    </row>
    <row r="28" spans="1:32" s="36" customFormat="1" ht="14.25" x14ac:dyDescent="0.2">
      <c r="A28" s="57"/>
      <c r="G28" s="66"/>
      <c r="K28" s="42"/>
      <c r="L28" s="42"/>
      <c r="M28" s="42"/>
      <c r="N28" s="42"/>
      <c r="O28" s="42"/>
      <c r="P28" s="42"/>
      <c r="Q28" s="42"/>
      <c r="R28" s="42"/>
      <c r="T28" s="42"/>
      <c r="U28" s="42"/>
      <c r="V28" s="42"/>
      <c r="W28" s="42"/>
      <c r="X28" s="42"/>
      <c r="AA28" s="42"/>
      <c r="AD28" s="42"/>
      <c r="AE28" s="42"/>
      <c r="AF28" s="42"/>
    </row>
    <row r="29" spans="1:32" s="36" customFormat="1" ht="14.25" x14ac:dyDescent="0.2">
      <c r="A29" s="57"/>
      <c r="G29" s="66"/>
      <c r="K29" s="42"/>
      <c r="L29" s="42"/>
      <c r="M29" s="42"/>
      <c r="N29" s="42"/>
      <c r="O29" s="42"/>
      <c r="P29" s="42"/>
      <c r="Q29" s="42"/>
      <c r="R29" s="42"/>
      <c r="T29" s="42"/>
      <c r="U29" s="42"/>
      <c r="V29" s="42"/>
      <c r="W29" s="42"/>
      <c r="X29" s="42"/>
      <c r="AA29" s="42"/>
      <c r="AD29" s="42"/>
      <c r="AE29" s="42"/>
      <c r="AF29" s="42"/>
    </row>
    <row r="30" spans="1:32" s="36" customFormat="1" ht="14.25" x14ac:dyDescent="0.2">
      <c r="A30" s="57"/>
      <c r="G30" s="66"/>
      <c r="K30" s="42"/>
      <c r="L30" s="42"/>
      <c r="M30" s="42"/>
      <c r="N30" s="42"/>
      <c r="O30" s="42"/>
      <c r="P30" s="42"/>
      <c r="Q30" s="42"/>
      <c r="R30" s="42"/>
      <c r="T30" s="42"/>
      <c r="U30" s="42"/>
      <c r="V30" s="42"/>
      <c r="W30" s="42"/>
      <c r="X30" s="42"/>
      <c r="AA30" s="42"/>
      <c r="AD30" s="42"/>
      <c r="AE30" s="42"/>
      <c r="AF30" s="42"/>
    </row>
    <row r="31" spans="1:32" s="36" customFormat="1" ht="14.25" x14ac:dyDescent="0.2">
      <c r="A31" s="57"/>
      <c r="G31" s="66"/>
      <c r="K31" s="42"/>
      <c r="L31" s="42"/>
      <c r="M31" s="42"/>
      <c r="N31" s="42"/>
      <c r="O31" s="42"/>
      <c r="P31" s="42"/>
      <c r="Q31" s="42"/>
      <c r="R31" s="42"/>
      <c r="T31" s="42"/>
      <c r="U31" s="42"/>
      <c r="V31" s="42"/>
      <c r="W31" s="42"/>
      <c r="X31" s="42"/>
      <c r="AA31" s="42"/>
      <c r="AD31" s="42"/>
      <c r="AE31" s="42"/>
      <c r="AF31" s="42"/>
    </row>
    <row r="32" spans="1:32" s="36" customFormat="1" ht="14.25" x14ac:dyDescent="0.2">
      <c r="A32" s="57"/>
      <c r="G32" s="66"/>
      <c r="K32" s="42"/>
      <c r="L32" s="42"/>
      <c r="M32" s="42"/>
      <c r="N32" s="42"/>
      <c r="O32" s="42"/>
      <c r="P32" s="42"/>
      <c r="Q32" s="42"/>
      <c r="R32" s="42"/>
      <c r="T32" s="42"/>
      <c r="U32" s="42"/>
      <c r="V32" s="42"/>
      <c r="W32" s="42"/>
      <c r="X32" s="42"/>
      <c r="AA32" s="42"/>
      <c r="AD32" s="42"/>
      <c r="AE32" s="42"/>
      <c r="AF32" s="42"/>
    </row>
    <row r="33" spans="1:32" s="36" customFormat="1" ht="14.25" x14ac:dyDescent="0.2">
      <c r="A33" s="57"/>
      <c r="G33" s="66"/>
      <c r="K33" s="42"/>
      <c r="L33" s="42"/>
      <c r="M33" s="42"/>
      <c r="N33" s="42"/>
      <c r="O33" s="42"/>
      <c r="P33" s="42"/>
      <c r="Q33" s="42"/>
      <c r="R33" s="42"/>
      <c r="T33" s="42"/>
      <c r="U33" s="42"/>
      <c r="V33" s="42"/>
      <c r="W33" s="42"/>
      <c r="X33" s="42"/>
      <c r="AA33" s="42"/>
      <c r="AD33" s="42"/>
      <c r="AE33" s="42"/>
      <c r="AF33" s="42"/>
    </row>
    <row r="34" spans="1:32" s="36" customFormat="1" ht="14.25" x14ac:dyDescent="0.2">
      <c r="A34" s="57"/>
      <c r="G34" s="66"/>
      <c r="K34" s="42"/>
      <c r="L34" s="42"/>
      <c r="M34" s="42"/>
      <c r="N34" s="42"/>
      <c r="O34" s="42"/>
      <c r="P34" s="42"/>
      <c r="Q34" s="42"/>
      <c r="R34" s="42"/>
      <c r="T34" s="42"/>
      <c r="U34" s="42"/>
      <c r="V34" s="42"/>
      <c r="W34" s="42"/>
      <c r="X34" s="42"/>
      <c r="AA34" s="42"/>
      <c r="AD34" s="42"/>
      <c r="AE34" s="42"/>
      <c r="AF34" s="42"/>
    </row>
    <row r="35" spans="1:32" s="36" customFormat="1" ht="14.25" x14ac:dyDescent="0.2">
      <c r="A35" s="57"/>
      <c r="G35" s="66"/>
      <c r="K35" s="42"/>
      <c r="L35" s="42"/>
      <c r="M35" s="42"/>
      <c r="N35" s="42"/>
      <c r="O35" s="42"/>
      <c r="P35" s="42"/>
      <c r="Q35" s="42"/>
      <c r="R35" s="42"/>
      <c r="T35" s="42"/>
      <c r="U35" s="42"/>
      <c r="V35" s="42"/>
      <c r="W35" s="42"/>
      <c r="X35" s="42"/>
      <c r="AA35" s="42"/>
      <c r="AD35" s="42"/>
      <c r="AE35" s="42"/>
      <c r="AF35" s="42"/>
    </row>
    <row r="36" spans="1:32" s="36" customFormat="1" ht="14.25" x14ac:dyDescent="0.2">
      <c r="A36" s="57"/>
      <c r="G36" s="66"/>
      <c r="K36" s="42"/>
      <c r="L36" s="42"/>
      <c r="M36" s="42"/>
      <c r="N36" s="42"/>
      <c r="O36" s="42"/>
      <c r="P36" s="42"/>
      <c r="Q36" s="42"/>
      <c r="R36" s="42"/>
      <c r="T36" s="42"/>
      <c r="U36" s="42"/>
      <c r="V36" s="42"/>
      <c r="W36" s="42"/>
      <c r="X36" s="42"/>
      <c r="AA36" s="42"/>
      <c r="AD36" s="42"/>
      <c r="AE36" s="42"/>
      <c r="AF36" s="42"/>
    </row>
    <row r="37" spans="1:32" s="36" customFormat="1" ht="14.25" x14ac:dyDescent="0.2">
      <c r="A37" s="57"/>
      <c r="G37" s="66"/>
      <c r="K37" s="42"/>
      <c r="L37" s="42"/>
      <c r="M37" s="42"/>
      <c r="N37" s="42"/>
      <c r="O37" s="42"/>
      <c r="P37" s="42"/>
      <c r="Q37" s="42"/>
      <c r="R37" s="42"/>
      <c r="T37" s="42"/>
      <c r="U37" s="42"/>
      <c r="V37" s="42"/>
      <c r="W37" s="42"/>
      <c r="X37" s="42"/>
      <c r="AA37" s="42"/>
      <c r="AD37" s="42"/>
      <c r="AE37" s="42"/>
      <c r="AF37" s="42"/>
    </row>
    <row r="38" spans="1:32" s="36" customFormat="1" ht="14.25" x14ac:dyDescent="0.2">
      <c r="A38" s="57"/>
      <c r="G38" s="66"/>
      <c r="K38" s="42"/>
      <c r="L38" s="42"/>
      <c r="M38" s="42"/>
      <c r="N38" s="42"/>
      <c r="O38" s="42"/>
      <c r="P38" s="42"/>
      <c r="Q38" s="42"/>
      <c r="R38" s="42"/>
      <c r="T38" s="42"/>
      <c r="U38" s="42"/>
      <c r="V38" s="42"/>
      <c r="W38" s="42"/>
      <c r="X38" s="42"/>
      <c r="AA38" s="42"/>
      <c r="AD38" s="42"/>
      <c r="AE38" s="42"/>
      <c r="AF38" s="42"/>
    </row>
    <row r="39" spans="1:32" s="36" customFormat="1" ht="14.25" x14ac:dyDescent="0.2">
      <c r="A39" s="57"/>
      <c r="G39" s="66"/>
      <c r="K39" s="42"/>
      <c r="L39" s="42"/>
      <c r="M39" s="42"/>
      <c r="N39" s="42"/>
      <c r="O39" s="42"/>
      <c r="P39" s="42"/>
      <c r="Q39" s="42"/>
      <c r="R39" s="42"/>
      <c r="T39" s="42"/>
      <c r="U39" s="42"/>
      <c r="V39" s="42"/>
      <c r="W39" s="42"/>
      <c r="X39" s="42"/>
      <c r="AA39" s="42"/>
      <c r="AD39" s="42"/>
      <c r="AE39" s="42"/>
      <c r="AF39" s="42"/>
    </row>
    <row r="40" spans="1:32" s="36" customFormat="1" ht="14.25" x14ac:dyDescent="0.2">
      <c r="A40" s="57"/>
      <c r="G40" s="66"/>
      <c r="K40" s="42"/>
      <c r="L40" s="42"/>
      <c r="M40" s="42"/>
      <c r="N40" s="42"/>
      <c r="O40" s="42"/>
      <c r="P40" s="42"/>
      <c r="Q40" s="42"/>
      <c r="R40" s="42"/>
      <c r="T40" s="42"/>
      <c r="U40" s="42"/>
      <c r="V40" s="42"/>
      <c r="W40" s="42"/>
      <c r="X40" s="42"/>
      <c r="AA40" s="42"/>
      <c r="AD40" s="42"/>
      <c r="AE40" s="42"/>
      <c r="AF40" s="42"/>
    </row>
    <row r="41" spans="1:32" s="36" customFormat="1" ht="14.25" x14ac:dyDescent="0.2">
      <c r="A41" s="57"/>
      <c r="G41" s="66"/>
      <c r="K41" s="42"/>
      <c r="L41" s="42"/>
      <c r="M41" s="42"/>
      <c r="N41" s="42"/>
      <c r="O41" s="42"/>
      <c r="P41" s="42"/>
      <c r="Q41" s="42"/>
      <c r="R41" s="42"/>
      <c r="T41" s="42"/>
      <c r="U41" s="42"/>
      <c r="V41" s="42"/>
      <c r="W41" s="42"/>
      <c r="X41" s="42"/>
      <c r="AA41" s="42"/>
      <c r="AD41" s="42"/>
      <c r="AE41" s="42"/>
      <c r="AF41" s="42"/>
    </row>
    <row r="42" spans="1:32" s="62" customFormat="1" ht="14.25" x14ac:dyDescent="0.2">
      <c r="A42" s="61"/>
      <c r="G42" s="67"/>
      <c r="K42" s="64"/>
      <c r="L42" s="64"/>
      <c r="M42" s="64"/>
      <c r="N42" s="64"/>
      <c r="O42" s="64"/>
      <c r="P42" s="64"/>
      <c r="Q42" s="64"/>
      <c r="R42" s="64"/>
      <c r="T42" s="64"/>
      <c r="U42" s="64"/>
      <c r="V42" s="64"/>
      <c r="W42" s="64"/>
      <c r="X42" s="64"/>
      <c r="AA42" s="64"/>
      <c r="AD42" s="64"/>
      <c r="AE42" s="64"/>
      <c r="AF42" s="64"/>
    </row>
    <row r="43" spans="1:32" s="62" customFormat="1" ht="14.25" x14ac:dyDescent="0.2">
      <c r="A43" s="61"/>
      <c r="G43" s="67"/>
      <c r="K43" s="64"/>
      <c r="L43" s="64"/>
      <c r="M43" s="64"/>
      <c r="N43" s="64"/>
      <c r="O43" s="64"/>
      <c r="P43" s="64"/>
      <c r="Q43" s="64"/>
      <c r="R43" s="64"/>
      <c r="T43" s="64"/>
      <c r="U43" s="64"/>
      <c r="V43" s="64"/>
      <c r="W43" s="64"/>
      <c r="X43" s="64"/>
      <c r="AA43" s="64"/>
      <c r="AD43" s="64"/>
      <c r="AE43" s="64"/>
      <c r="AF43" s="64"/>
    </row>
    <row r="44" spans="1:32" s="62" customFormat="1" ht="14.25" x14ac:dyDescent="0.2">
      <c r="A44" s="61"/>
      <c r="G44" s="67"/>
      <c r="K44" s="64"/>
      <c r="L44" s="64"/>
      <c r="M44" s="64"/>
      <c r="N44" s="64"/>
      <c r="O44" s="64"/>
      <c r="P44" s="64"/>
      <c r="Q44" s="64"/>
      <c r="R44" s="64"/>
      <c r="T44" s="64"/>
      <c r="U44" s="64"/>
      <c r="V44" s="64"/>
      <c r="W44" s="64"/>
      <c r="X44" s="64"/>
      <c r="AA44" s="64"/>
      <c r="AD44" s="64"/>
      <c r="AE44" s="64"/>
      <c r="AF44" s="64"/>
    </row>
    <row r="45" spans="1:32" s="62" customFormat="1" ht="14.25" x14ac:dyDescent="0.2">
      <c r="A45" s="61"/>
      <c r="G45" s="67"/>
      <c r="K45" s="64"/>
      <c r="L45" s="64"/>
      <c r="M45" s="64"/>
      <c r="N45" s="64"/>
      <c r="O45" s="64"/>
      <c r="P45" s="64"/>
      <c r="Q45" s="64"/>
      <c r="R45" s="64"/>
      <c r="T45" s="64"/>
      <c r="U45" s="64"/>
      <c r="V45" s="64"/>
      <c r="W45" s="64"/>
      <c r="X45" s="64"/>
      <c r="AA45" s="64"/>
      <c r="AD45" s="64"/>
      <c r="AE45" s="64"/>
      <c r="AF45" s="64"/>
    </row>
    <row r="46" spans="1:32" s="62" customFormat="1" ht="14.25" x14ac:dyDescent="0.2">
      <c r="A46" s="61"/>
      <c r="G46" s="67"/>
      <c r="K46" s="64"/>
      <c r="L46" s="64"/>
      <c r="M46" s="64"/>
      <c r="N46" s="64"/>
      <c r="O46" s="64"/>
      <c r="P46" s="64"/>
      <c r="Q46" s="64"/>
      <c r="R46" s="64"/>
      <c r="T46" s="64"/>
      <c r="U46" s="64"/>
      <c r="V46" s="64"/>
      <c r="W46" s="64"/>
      <c r="X46" s="64"/>
      <c r="AA46" s="64"/>
      <c r="AD46" s="64"/>
      <c r="AE46" s="64"/>
      <c r="AF46" s="64"/>
    </row>
    <row r="47" spans="1:32" s="62" customFormat="1" ht="14.25" x14ac:dyDescent="0.2">
      <c r="A47" s="61"/>
      <c r="G47" s="67"/>
      <c r="K47" s="64"/>
      <c r="L47" s="64"/>
      <c r="M47" s="64"/>
      <c r="N47" s="64"/>
      <c r="O47" s="64"/>
      <c r="P47" s="64"/>
      <c r="Q47" s="64"/>
      <c r="R47" s="64"/>
      <c r="T47" s="64"/>
      <c r="U47" s="64"/>
      <c r="V47" s="64"/>
      <c r="W47" s="64"/>
      <c r="X47" s="64"/>
      <c r="AA47" s="64"/>
      <c r="AD47" s="64"/>
      <c r="AE47" s="64"/>
      <c r="AF47" s="64"/>
    </row>
    <row r="48" spans="1:32" s="62" customFormat="1" ht="14.25" x14ac:dyDescent="0.2">
      <c r="A48" s="61"/>
      <c r="G48" s="67"/>
      <c r="K48" s="64"/>
      <c r="L48" s="64"/>
      <c r="M48" s="64"/>
      <c r="N48" s="64"/>
      <c r="O48" s="64"/>
      <c r="P48" s="64"/>
      <c r="Q48" s="64"/>
      <c r="R48" s="64"/>
      <c r="T48" s="64"/>
      <c r="U48" s="64"/>
      <c r="V48" s="64"/>
      <c r="W48" s="64"/>
      <c r="X48" s="64"/>
      <c r="AA48" s="64"/>
      <c r="AD48" s="64"/>
      <c r="AE48" s="64"/>
      <c r="AF48" s="64"/>
    </row>
    <row r="49" spans="1:32" s="62" customFormat="1" ht="14.25" x14ac:dyDescent="0.2">
      <c r="A49" s="61"/>
      <c r="G49" s="67"/>
      <c r="K49" s="64"/>
      <c r="L49" s="64"/>
      <c r="M49" s="64"/>
      <c r="N49" s="64"/>
      <c r="O49" s="64"/>
      <c r="P49" s="64"/>
      <c r="Q49" s="64"/>
      <c r="R49" s="64"/>
      <c r="T49" s="64"/>
      <c r="U49" s="64"/>
      <c r="V49" s="64"/>
      <c r="W49" s="64"/>
      <c r="X49" s="64"/>
      <c r="AA49" s="64"/>
      <c r="AD49" s="64"/>
      <c r="AE49" s="64"/>
      <c r="AF49" s="64"/>
    </row>
    <row r="50" spans="1:32" s="62" customFormat="1" ht="14.25" x14ac:dyDescent="0.2">
      <c r="A50" s="61"/>
      <c r="G50" s="67"/>
      <c r="K50" s="64"/>
      <c r="L50" s="64"/>
      <c r="M50" s="64"/>
      <c r="N50" s="64"/>
      <c r="O50" s="64"/>
      <c r="P50" s="64"/>
      <c r="Q50" s="64"/>
      <c r="R50" s="64"/>
      <c r="T50" s="64"/>
      <c r="U50" s="64"/>
      <c r="V50" s="64"/>
      <c r="W50" s="64"/>
      <c r="X50" s="64"/>
      <c r="AA50" s="64"/>
      <c r="AD50" s="64"/>
      <c r="AE50" s="64"/>
      <c r="AF50" s="64"/>
    </row>
    <row r="51" spans="1:32" s="62" customFormat="1" ht="14.25" x14ac:dyDescent="0.2">
      <c r="A51" s="61"/>
      <c r="G51" s="67"/>
      <c r="K51" s="64"/>
      <c r="L51" s="64"/>
      <c r="M51" s="64"/>
      <c r="N51" s="64"/>
      <c r="O51" s="64"/>
      <c r="P51" s="64"/>
      <c r="Q51" s="64"/>
      <c r="R51" s="64"/>
      <c r="T51" s="64"/>
      <c r="U51" s="64"/>
      <c r="V51" s="64"/>
      <c r="W51" s="64"/>
      <c r="X51" s="64"/>
      <c r="AA51" s="64"/>
      <c r="AD51" s="64"/>
      <c r="AE51" s="64"/>
      <c r="AF51" s="64"/>
    </row>
    <row r="52" spans="1:32" s="62" customFormat="1" ht="14.25" x14ac:dyDescent="0.2">
      <c r="A52" s="61"/>
      <c r="G52" s="67"/>
      <c r="K52" s="64"/>
      <c r="L52" s="64"/>
      <c r="M52" s="64"/>
      <c r="N52" s="64"/>
      <c r="O52" s="64"/>
      <c r="P52" s="64"/>
      <c r="Q52" s="64"/>
      <c r="R52" s="64"/>
      <c r="T52" s="64"/>
      <c r="U52" s="64"/>
      <c r="V52" s="64"/>
      <c r="W52" s="64"/>
      <c r="X52" s="64"/>
      <c r="AA52" s="64"/>
      <c r="AD52" s="64"/>
      <c r="AE52" s="64"/>
      <c r="AF52" s="64"/>
    </row>
    <row r="53" spans="1:32" s="62" customFormat="1" ht="14.25" x14ac:dyDescent="0.2">
      <c r="A53" s="61"/>
      <c r="G53" s="67"/>
      <c r="K53" s="64"/>
      <c r="L53" s="64"/>
      <c r="M53" s="64"/>
      <c r="N53" s="64"/>
      <c r="O53" s="64"/>
      <c r="P53" s="64"/>
      <c r="Q53" s="64"/>
      <c r="R53" s="64"/>
      <c r="T53" s="64"/>
      <c r="U53" s="64"/>
      <c r="V53" s="64"/>
      <c r="W53" s="64"/>
      <c r="X53" s="64"/>
      <c r="AA53" s="64"/>
      <c r="AD53" s="64"/>
      <c r="AE53" s="64"/>
      <c r="AF53" s="64"/>
    </row>
    <row r="54" spans="1:32" s="62" customFormat="1" ht="14.25" x14ac:dyDescent="0.2">
      <c r="A54" s="61"/>
      <c r="G54" s="67"/>
      <c r="K54" s="64"/>
      <c r="L54" s="64"/>
      <c r="M54" s="64"/>
      <c r="N54" s="64"/>
      <c r="O54" s="64"/>
      <c r="P54" s="64"/>
      <c r="Q54" s="64"/>
      <c r="R54" s="64"/>
      <c r="T54" s="64"/>
      <c r="U54" s="64"/>
      <c r="V54" s="64"/>
      <c r="W54" s="64"/>
      <c r="X54" s="64"/>
      <c r="AA54" s="64"/>
      <c r="AD54" s="64"/>
      <c r="AE54" s="64"/>
      <c r="AF54" s="64"/>
    </row>
    <row r="55" spans="1:32" s="62" customFormat="1" ht="14.25" x14ac:dyDescent="0.2">
      <c r="A55" s="61"/>
      <c r="G55" s="67"/>
      <c r="K55" s="64"/>
      <c r="L55" s="64"/>
      <c r="M55" s="64"/>
      <c r="N55" s="64"/>
      <c r="O55" s="64"/>
      <c r="P55" s="64"/>
      <c r="Q55" s="64"/>
      <c r="R55" s="64"/>
      <c r="T55" s="64"/>
      <c r="U55" s="64"/>
      <c r="V55" s="64"/>
      <c r="W55" s="64"/>
      <c r="X55" s="64"/>
      <c r="AA55" s="64"/>
      <c r="AD55" s="64"/>
      <c r="AE55" s="64"/>
      <c r="AF55" s="64"/>
    </row>
    <row r="56" spans="1:32" s="62" customFormat="1" ht="14.25" x14ac:dyDescent="0.2">
      <c r="A56" s="61"/>
      <c r="G56" s="67"/>
      <c r="K56" s="64"/>
      <c r="L56" s="64"/>
      <c r="M56" s="64"/>
      <c r="N56" s="64"/>
      <c r="O56" s="64"/>
      <c r="P56" s="64"/>
      <c r="Q56" s="64"/>
      <c r="R56" s="64"/>
      <c r="T56" s="64"/>
      <c r="U56" s="64"/>
      <c r="V56" s="64"/>
      <c r="W56" s="64"/>
      <c r="X56" s="64"/>
      <c r="AA56" s="64"/>
      <c r="AD56" s="64"/>
      <c r="AE56" s="64"/>
      <c r="AF56" s="64"/>
    </row>
    <row r="57" spans="1:32" s="62" customFormat="1" ht="14.25" x14ac:dyDescent="0.2">
      <c r="A57" s="61"/>
      <c r="G57" s="67"/>
      <c r="K57" s="64"/>
      <c r="L57" s="64"/>
      <c r="M57" s="64"/>
      <c r="N57" s="64"/>
      <c r="O57" s="64"/>
      <c r="P57" s="64"/>
      <c r="Q57" s="64"/>
      <c r="R57" s="64"/>
      <c r="T57" s="64"/>
      <c r="U57" s="64"/>
      <c r="V57" s="64"/>
      <c r="W57" s="64"/>
      <c r="X57" s="64"/>
      <c r="AA57" s="64"/>
      <c r="AD57" s="64"/>
      <c r="AE57" s="64"/>
      <c r="AF57" s="64"/>
    </row>
    <row r="58" spans="1:32" s="62" customFormat="1" ht="14.25" x14ac:dyDescent="0.2">
      <c r="A58" s="61"/>
      <c r="G58" s="67"/>
      <c r="K58" s="64"/>
      <c r="L58" s="64"/>
      <c r="M58" s="64"/>
      <c r="N58" s="64"/>
      <c r="O58" s="64"/>
      <c r="P58" s="64"/>
      <c r="Q58" s="64"/>
      <c r="R58" s="64"/>
      <c r="T58" s="64"/>
      <c r="U58" s="64"/>
      <c r="V58" s="64"/>
      <c r="W58" s="64"/>
      <c r="X58" s="64"/>
      <c r="AA58" s="64"/>
      <c r="AD58" s="64"/>
      <c r="AE58" s="64"/>
      <c r="AF58" s="64"/>
    </row>
    <row r="59" spans="1:32" s="62" customFormat="1" ht="14.25" x14ac:dyDescent="0.2">
      <c r="A59" s="61"/>
      <c r="G59" s="67"/>
      <c r="K59" s="64"/>
      <c r="L59" s="64"/>
      <c r="M59" s="64"/>
      <c r="N59" s="64"/>
      <c r="O59" s="64"/>
      <c r="P59" s="64"/>
      <c r="Q59" s="64"/>
      <c r="R59" s="64"/>
      <c r="T59" s="64"/>
      <c r="U59" s="64"/>
      <c r="V59" s="64"/>
      <c r="W59" s="64"/>
      <c r="X59" s="64"/>
      <c r="AA59" s="64"/>
      <c r="AD59" s="64"/>
      <c r="AE59" s="64"/>
      <c r="AF59" s="64"/>
    </row>
    <row r="60" spans="1:32" s="62" customFormat="1" ht="14.25" x14ac:dyDescent="0.2">
      <c r="A60" s="61"/>
      <c r="G60" s="67"/>
      <c r="K60" s="64"/>
      <c r="L60" s="64"/>
      <c r="M60" s="64"/>
      <c r="N60" s="64"/>
      <c r="O60" s="64"/>
      <c r="P60" s="64"/>
      <c r="Q60" s="64"/>
      <c r="R60" s="64"/>
      <c r="T60" s="64"/>
      <c r="U60" s="64"/>
      <c r="V60" s="64"/>
      <c r="W60" s="64"/>
      <c r="X60" s="64"/>
      <c r="AA60" s="64"/>
      <c r="AD60" s="64"/>
      <c r="AE60" s="64"/>
      <c r="AF60" s="64"/>
    </row>
    <row r="61" spans="1:32" s="62" customFormat="1" ht="14.25" x14ac:dyDescent="0.2">
      <c r="A61" s="61"/>
      <c r="G61" s="67"/>
      <c r="K61" s="64"/>
      <c r="L61" s="64"/>
      <c r="M61" s="64"/>
      <c r="N61" s="64"/>
      <c r="O61" s="64"/>
      <c r="P61" s="64"/>
      <c r="Q61" s="64"/>
      <c r="R61" s="64"/>
      <c r="T61" s="64"/>
      <c r="U61" s="64"/>
      <c r="V61" s="64"/>
      <c r="W61" s="64"/>
      <c r="X61" s="64"/>
      <c r="AA61" s="64"/>
      <c r="AD61" s="64"/>
      <c r="AE61" s="64"/>
      <c r="AF61" s="64"/>
    </row>
    <row r="62" spans="1:32" s="62" customFormat="1" ht="14.25" x14ac:dyDescent="0.2">
      <c r="A62" s="61"/>
      <c r="G62" s="67"/>
      <c r="K62" s="64"/>
      <c r="L62" s="64"/>
      <c r="M62" s="64"/>
      <c r="N62" s="64"/>
      <c r="O62" s="64"/>
      <c r="P62" s="64"/>
      <c r="Q62" s="64"/>
      <c r="R62" s="64"/>
      <c r="T62" s="64"/>
      <c r="U62" s="64"/>
      <c r="V62" s="64"/>
      <c r="W62" s="64"/>
      <c r="X62" s="64"/>
      <c r="AA62" s="64"/>
      <c r="AD62" s="64"/>
      <c r="AE62" s="64"/>
      <c r="AF62" s="64"/>
    </row>
    <row r="63" spans="1:32" s="62" customFormat="1" ht="14.25" x14ac:dyDescent="0.2">
      <c r="A63" s="61"/>
      <c r="G63" s="67"/>
      <c r="K63" s="64"/>
      <c r="L63" s="64"/>
      <c r="M63" s="64"/>
      <c r="N63" s="64"/>
      <c r="O63" s="64"/>
      <c r="P63" s="64"/>
      <c r="Q63" s="64"/>
      <c r="R63" s="64"/>
      <c r="T63" s="64"/>
      <c r="U63" s="64"/>
      <c r="V63" s="64"/>
      <c r="W63" s="64"/>
      <c r="X63" s="64"/>
      <c r="AA63" s="64"/>
      <c r="AD63" s="64"/>
      <c r="AE63" s="64"/>
      <c r="AF63" s="64"/>
    </row>
    <row r="64" spans="1:32" s="62" customFormat="1" ht="14.25" x14ac:dyDescent="0.2">
      <c r="A64" s="61"/>
      <c r="G64" s="67"/>
      <c r="K64" s="64"/>
      <c r="L64" s="64"/>
      <c r="M64" s="64"/>
      <c r="N64" s="64"/>
      <c r="O64" s="64"/>
      <c r="P64" s="64"/>
      <c r="Q64" s="64"/>
      <c r="R64" s="64"/>
      <c r="T64" s="64"/>
      <c r="U64" s="64"/>
      <c r="V64" s="64"/>
      <c r="W64" s="64"/>
      <c r="X64" s="64"/>
      <c r="AA64" s="64"/>
      <c r="AD64" s="64"/>
      <c r="AE64" s="64"/>
      <c r="AF64" s="64"/>
    </row>
    <row r="65" spans="1:32" s="62" customFormat="1" ht="14.25" x14ac:dyDescent="0.2">
      <c r="A65" s="61"/>
      <c r="G65" s="67"/>
      <c r="K65" s="64"/>
      <c r="L65" s="64"/>
      <c r="M65" s="64"/>
      <c r="N65" s="64"/>
      <c r="O65" s="64"/>
      <c r="P65" s="64"/>
      <c r="Q65" s="64"/>
      <c r="R65" s="64"/>
      <c r="T65" s="64"/>
      <c r="U65" s="64"/>
      <c r="V65" s="64"/>
      <c r="W65" s="64"/>
      <c r="X65" s="64"/>
      <c r="AA65" s="64"/>
      <c r="AD65" s="64"/>
      <c r="AE65" s="64"/>
      <c r="AF65" s="64"/>
    </row>
    <row r="66" spans="1:32" s="62" customFormat="1" ht="14.25" x14ac:dyDescent="0.2">
      <c r="A66" s="61"/>
      <c r="G66" s="67"/>
      <c r="K66" s="64"/>
      <c r="L66" s="64"/>
      <c r="M66" s="64"/>
      <c r="N66" s="64"/>
      <c r="O66" s="64"/>
      <c r="P66" s="64"/>
      <c r="Q66" s="64"/>
      <c r="R66" s="64"/>
      <c r="T66" s="64"/>
      <c r="U66" s="64"/>
      <c r="V66" s="64"/>
      <c r="W66" s="64"/>
      <c r="X66" s="64"/>
      <c r="AA66" s="64"/>
      <c r="AD66" s="64"/>
      <c r="AE66" s="64"/>
      <c r="AF66" s="64"/>
    </row>
    <row r="67" spans="1:32" s="62" customFormat="1" ht="14.25" x14ac:dyDescent="0.2">
      <c r="A67" s="61"/>
      <c r="G67" s="67"/>
      <c r="K67" s="64"/>
      <c r="L67" s="64"/>
      <c r="M67" s="64"/>
      <c r="N67" s="64"/>
      <c r="O67" s="64"/>
      <c r="P67" s="64"/>
      <c r="Q67" s="64"/>
      <c r="R67" s="64"/>
      <c r="T67" s="64"/>
      <c r="U67" s="64"/>
      <c r="V67" s="64"/>
      <c r="W67" s="64"/>
      <c r="X67" s="64"/>
      <c r="AA67" s="64"/>
      <c r="AD67" s="64"/>
      <c r="AE67" s="64"/>
      <c r="AF67" s="64"/>
    </row>
    <row r="68" spans="1:32" s="62" customFormat="1" ht="14.25" x14ac:dyDescent="0.2">
      <c r="A68" s="61"/>
      <c r="G68" s="67"/>
      <c r="K68" s="64"/>
      <c r="L68" s="64"/>
      <c r="M68" s="64"/>
      <c r="N68" s="64"/>
      <c r="O68" s="64"/>
      <c r="P68" s="64"/>
      <c r="Q68" s="64"/>
      <c r="R68" s="64"/>
      <c r="T68" s="64"/>
      <c r="U68" s="64"/>
      <c r="V68" s="64"/>
      <c r="W68" s="64"/>
      <c r="X68" s="64"/>
      <c r="AA68" s="64"/>
      <c r="AD68" s="64"/>
      <c r="AE68" s="64"/>
      <c r="AF68" s="64"/>
    </row>
    <row r="69" spans="1:32" s="62" customFormat="1" ht="14.25" x14ac:dyDescent="0.2">
      <c r="A69" s="61"/>
      <c r="G69" s="67"/>
      <c r="K69" s="64"/>
      <c r="L69" s="64"/>
      <c r="M69" s="64"/>
      <c r="N69" s="64"/>
      <c r="O69" s="64"/>
      <c r="P69" s="64"/>
      <c r="Q69" s="64"/>
      <c r="R69" s="64"/>
      <c r="T69" s="64"/>
      <c r="U69" s="64"/>
      <c r="V69" s="64"/>
      <c r="W69" s="64"/>
      <c r="X69" s="64"/>
      <c r="AA69" s="64"/>
      <c r="AD69" s="64"/>
      <c r="AE69" s="64"/>
      <c r="AF69" s="64"/>
    </row>
    <row r="70" spans="1:32" s="62" customFormat="1" ht="14.25" x14ac:dyDescent="0.2">
      <c r="A70" s="61"/>
      <c r="G70" s="67"/>
      <c r="K70" s="64"/>
      <c r="L70" s="64"/>
      <c r="M70" s="64"/>
      <c r="N70" s="64"/>
      <c r="O70" s="64"/>
      <c r="P70" s="64"/>
      <c r="Q70" s="64"/>
      <c r="R70" s="64"/>
      <c r="T70" s="64"/>
      <c r="U70" s="64"/>
      <c r="V70" s="64"/>
      <c r="W70" s="64"/>
      <c r="X70" s="64"/>
      <c r="AA70" s="64"/>
      <c r="AD70" s="64"/>
      <c r="AE70" s="64"/>
      <c r="AF70" s="64"/>
    </row>
    <row r="71" spans="1:32" s="62" customFormat="1" ht="14.25" x14ac:dyDescent="0.2">
      <c r="A71" s="61"/>
      <c r="G71" s="67"/>
      <c r="K71" s="64"/>
      <c r="L71" s="64"/>
      <c r="M71" s="64"/>
      <c r="N71" s="64"/>
      <c r="O71" s="64"/>
      <c r="P71" s="64"/>
      <c r="Q71" s="64"/>
      <c r="R71" s="64"/>
      <c r="T71" s="64"/>
      <c r="U71" s="64"/>
      <c r="V71" s="64"/>
      <c r="W71" s="64"/>
      <c r="X71" s="64"/>
      <c r="AA71" s="64"/>
      <c r="AD71" s="64"/>
      <c r="AE71" s="64"/>
      <c r="AF71" s="64"/>
    </row>
    <row r="72" spans="1:32" s="62" customFormat="1" ht="14.25" x14ac:dyDescent="0.2">
      <c r="A72" s="61"/>
      <c r="G72" s="67"/>
      <c r="K72" s="64"/>
      <c r="L72" s="64"/>
      <c r="M72" s="64"/>
      <c r="N72" s="64"/>
      <c r="O72" s="64"/>
      <c r="P72" s="64"/>
      <c r="Q72" s="64"/>
      <c r="R72" s="64"/>
      <c r="T72" s="64"/>
      <c r="U72" s="64"/>
      <c r="V72" s="64"/>
      <c r="W72" s="64"/>
      <c r="X72" s="64"/>
      <c r="AA72" s="64"/>
      <c r="AD72" s="64"/>
      <c r="AE72" s="64"/>
      <c r="AF72" s="64"/>
    </row>
    <row r="73" spans="1:32" s="62" customFormat="1" ht="14.25" x14ac:dyDescent="0.2">
      <c r="A73" s="61"/>
      <c r="G73" s="67"/>
      <c r="K73" s="64"/>
      <c r="L73" s="64"/>
      <c r="M73" s="64"/>
      <c r="N73" s="64"/>
      <c r="O73" s="64"/>
      <c r="P73" s="64"/>
      <c r="Q73" s="64"/>
      <c r="R73" s="64"/>
      <c r="T73" s="64"/>
      <c r="U73" s="64"/>
      <c r="V73" s="64"/>
      <c r="W73" s="64"/>
      <c r="X73" s="64"/>
      <c r="AA73" s="64"/>
      <c r="AD73" s="64"/>
      <c r="AE73" s="64"/>
      <c r="AF73" s="64"/>
    </row>
    <row r="74" spans="1:32" s="62" customFormat="1" ht="14.25" x14ac:dyDescent="0.2">
      <c r="A74" s="61"/>
      <c r="G74" s="67"/>
      <c r="K74" s="64"/>
      <c r="L74" s="64"/>
      <c r="M74" s="64"/>
      <c r="N74" s="64"/>
      <c r="O74" s="64"/>
      <c r="P74" s="64"/>
      <c r="Q74" s="64"/>
      <c r="R74" s="64"/>
      <c r="T74" s="64"/>
      <c r="U74" s="64"/>
      <c r="V74" s="64"/>
      <c r="W74" s="64"/>
      <c r="X74" s="64"/>
      <c r="AA74" s="64"/>
      <c r="AD74" s="64"/>
      <c r="AE74" s="64"/>
      <c r="AF74" s="64"/>
    </row>
    <row r="75" spans="1:32" s="62" customFormat="1" ht="14.25" x14ac:dyDescent="0.2">
      <c r="A75" s="61"/>
      <c r="G75" s="67"/>
      <c r="K75" s="64"/>
      <c r="L75" s="64"/>
      <c r="M75" s="64"/>
      <c r="N75" s="64"/>
      <c r="O75" s="64"/>
      <c r="P75" s="64"/>
      <c r="Q75" s="64"/>
      <c r="R75" s="64"/>
      <c r="T75" s="64"/>
      <c r="U75" s="64"/>
      <c r="V75" s="64"/>
      <c r="W75" s="64"/>
      <c r="X75" s="64"/>
      <c r="AA75" s="64"/>
      <c r="AD75" s="64"/>
      <c r="AE75" s="64"/>
      <c r="AF75" s="64"/>
    </row>
    <row r="76" spans="1:32" s="62" customFormat="1" ht="14.25" x14ac:dyDescent="0.2">
      <c r="A76" s="61"/>
      <c r="G76" s="67"/>
      <c r="K76" s="64"/>
      <c r="L76" s="64"/>
      <c r="M76" s="64"/>
      <c r="N76" s="64"/>
      <c r="O76" s="64"/>
      <c r="P76" s="64"/>
      <c r="Q76" s="64"/>
      <c r="R76" s="64"/>
      <c r="T76" s="64"/>
      <c r="U76" s="64"/>
      <c r="V76" s="64"/>
      <c r="W76" s="64"/>
      <c r="X76" s="64"/>
      <c r="AA76" s="64"/>
      <c r="AD76" s="64"/>
      <c r="AE76" s="64"/>
      <c r="AF76" s="64"/>
    </row>
    <row r="77" spans="1:32" s="62" customFormat="1" ht="14.25" x14ac:dyDescent="0.2">
      <c r="A77" s="61"/>
      <c r="G77" s="67"/>
      <c r="K77" s="64"/>
      <c r="L77" s="64"/>
      <c r="M77" s="64"/>
      <c r="N77" s="64"/>
      <c r="O77" s="64"/>
      <c r="P77" s="64"/>
      <c r="Q77" s="64"/>
      <c r="R77" s="64"/>
      <c r="T77" s="64"/>
      <c r="U77" s="64"/>
      <c r="V77" s="64"/>
      <c r="W77" s="64"/>
      <c r="X77" s="64"/>
      <c r="AA77" s="64"/>
      <c r="AD77" s="64"/>
      <c r="AE77" s="64"/>
      <c r="AF77" s="64"/>
    </row>
    <row r="78" spans="1:32" s="62" customFormat="1" ht="14.25" x14ac:dyDescent="0.2">
      <c r="A78" s="61"/>
      <c r="G78" s="67"/>
      <c r="K78" s="64"/>
      <c r="L78" s="64"/>
      <c r="M78" s="64"/>
      <c r="N78" s="64"/>
      <c r="O78" s="64"/>
      <c r="P78" s="64"/>
      <c r="Q78" s="64"/>
      <c r="R78" s="64"/>
      <c r="T78" s="64"/>
      <c r="U78" s="64"/>
      <c r="V78" s="64"/>
      <c r="W78" s="64"/>
      <c r="X78" s="64"/>
      <c r="AA78" s="64"/>
      <c r="AD78" s="64"/>
      <c r="AE78" s="64"/>
      <c r="AF78" s="64"/>
    </row>
    <row r="79" spans="1:32" s="62" customFormat="1" ht="14.25" x14ac:dyDescent="0.2">
      <c r="A79" s="61"/>
      <c r="G79" s="67"/>
      <c r="K79" s="64"/>
      <c r="L79" s="64"/>
      <c r="M79" s="64"/>
      <c r="N79" s="64"/>
      <c r="O79" s="64"/>
      <c r="P79" s="64"/>
      <c r="Q79" s="64"/>
      <c r="R79" s="64"/>
      <c r="T79" s="64"/>
      <c r="U79" s="64"/>
      <c r="V79" s="64"/>
      <c r="W79" s="64"/>
      <c r="X79" s="64"/>
      <c r="AA79" s="64"/>
      <c r="AD79" s="64"/>
      <c r="AE79" s="64"/>
      <c r="AF79" s="64"/>
    </row>
    <row r="80" spans="1:32" s="62" customFormat="1" ht="14.25" x14ac:dyDescent="0.2">
      <c r="A80" s="61"/>
      <c r="G80" s="67"/>
      <c r="K80" s="64"/>
      <c r="L80" s="64"/>
      <c r="M80" s="64"/>
      <c r="N80" s="64"/>
      <c r="O80" s="64"/>
      <c r="P80" s="64"/>
      <c r="Q80" s="64"/>
      <c r="R80" s="64"/>
      <c r="T80" s="64"/>
      <c r="U80" s="64"/>
      <c r="V80" s="64"/>
      <c r="W80" s="64"/>
      <c r="X80" s="64"/>
      <c r="AA80" s="64"/>
      <c r="AD80" s="64"/>
      <c r="AE80" s="64"/>
      <c r="AF80" s="64"/>
    </row>
    <row r="81" spans="1:32" s="62" customFormat="1" ht="14.25" x14ac:dyDescent="0.2">
      <c r="A81" s="61"/>
      <c r="G81" s="67"/>
      <c r="K81" s="64"/>
      <c r="L81" s="64"/>
      <c r="M81" s="64"/>
      <c r="N81" s="64"/>
      <c r="O81" s="64"/>
      <c r="P81" s="64"/>
      <c r="Q81" s="64"/>
      <c r="R81" s="64"/>
      <c r="T81" s="64"/>
      <c r="U81" s="64"/>
      <c r="V81" s="64"/>
      <c r="W81" s="64"/>
      <c r="X81" s="64"/>
      <c r="AA81" s="64"/>
      <c r="AD81" s="64"/>
      <c r="AE81" s="64"/>
      <c r="AF81" s="64"/>
    </row>
    <row r="82" spans="1:32" s="62" customFormat="1" ht="14.25" x14ac:dyDescent="0.2">
      <c r="A82" s="61"/>
      <c r="G82" s="67"/>
      <c r="K82" s="64"/>
      <c r="L82" s="64"/>
      <c r="M82" s="64"/>
      <c r="N82" s="64"/>
      <c r="O82" s="64"/>
      <c r="P82" s="64"/>
      <c r="Q82" s="64"/>
      <c r="R82" s="64"/>
      <c r="T82" s="64"/>
      <c r="U82" s="64"/>
      <c r="V82" s="64"/>
      <c r="W82" s="64"/>
      <c r="X82" s="64"/>
      <c r="AA82" s="64"/>
      <c r="AD82" s="64"/>
      <c r="AE82" s="64"/>
      <c r="AF82" s="64"/>
    </row>
    <row r="83" spans="1:32" s="62" customFormat="1" ht="14.25" x14ac:dyDescent="0.2">
      <c r="A83" s="61"/>
      <c r="G83" s="67"/>
      <c r="K83" s="64"/>
      <c r="L83" s="64"/>
      <c r="M83" s="64"/>
      <c r="N83" s="64"/>
      <c r="O83" s="64"/>
      <c r="P83" s="64"/>
      <c r="Q83" s="64"/>
      <c r="R83" s="64"/>
      <c r="T83" s="64"/>
      <c r="U83" s="64"/>
      <c r="V83" s="64"/>
      <c r="W83" s="64"/>
      <c r="X83" s="64"/>
      <c r="AA83" s="64"/>
      <c r="AD83" s="64"/>
      <c r="AE83" s="64"/>
      <c r="AF83" s="64"/>
    </row>
    <row r="84" spans="1:32" s="62" customFormat="1" ht="14.25" x14ac:dyDescent="0.2">
      <c r="A84" s="61"/>
      <c r="G84" s="67"/>
      <c r="K84" s="64"/>
      <c r="L84" s="64"/>
      <c r="M84" s="64"/>
      <c r="N84" s="64"/>
      <c r="O84" s="64"/>
      <c r="P84" s="64"/>
      <c r="Q84" s="64"/>
      <c r="R84" s="64"/>
      <c r="T84" s="64"/>
      <c r="U84" s="64"/>
      <c r="V84" s="64"/>
      <c r="W84" s="64"/>
      <c r="X84" s="64"/>
      <c r="AA84" s="64"/>
      <c r="AD84" s="64"/>
      <c r="AE84" s="64"/>
      <c r="AF84" s="64"/>
    </row>
    <row r="85" spans="1:32" s="62" customFormat="1" ht="14.25" x14ac:dyDescent="0.2">
      <c r="A85" s="61"/>
      <c r="G85" s="67"/>
      <c r="K85" s="64"/>
      <c r="L85" s="64"/>
      <c r="M85" s="64"/>
      <c r="N85" s="64"/>
      <c r="O85" s="64"/>
      <c r="P85" s="64"/>
      <c r="Q85" s="64"/>
      <c r="R85" s="64"/>
      <c r="T85" s="64"/>
      <c r="U85" s="64"/>
      <c r="V85" s="64"/>
      <c r="W85" s="64"/>
      <c r="X85" s="64"/>
      <c r="AA85" s="64"/>
      <c r="AD85" s="64"/>
      <c r="AE85" s="64"/>
      <c r="AF85" s="64"/>
    </row>
    <row r="86" spans="1:32" s="62" customFormat="1" ht="14.25" x14ac:dyDescent="0.2">
      <c r="A86" s="61"/>
      <c r="G86" s="67"/>
      <c r="K86" s="64"/>
      <c r="L86" s="64"/>
      <c r="M86" s="64"/>
      <c r="N86" s="64"/>
      <c r="O86" s="64"/>
      <c r="P86" s="64"/>
      <c r="Q86" s="64"/>
      <c r="R86" s="64"/>
      <c r="T86" s="64"/>
      <c r="U86" s="64"/>
      <c r="V86" s="64"/>
      <c r="W86" s="64"/>
      <c r="X86" s="64"/>
      <c r="AA86" s="64"/>
      <c r="AD86" s="64"/>
      <c r="AE86" s="64"/>
      <c r="AF86" s="64"/>
    </row>
    <row r="87" spans="1:32" s="62" customFormat="1" ht="14.25" x14ac:dyDescent="0.2">
      <c r="A87" s="61"/>
      <c r="G87" s="67"/>
      <c r="K87" s="64"/>
      <c r="L87" s="64"/>
      <c r="M87" s="64"/>
      <c r="N87" s="64"/>
      <c r="O87" s="64"/>
      <c r="P87" s="64"/>
      <c r="Q87" s="64"/>
      <c r="R87" s="64"/>
      <c r="T87" s="64"/>
      <c r="U87" s="64"/>
      <c r="V87" s="64"/>
      <c r="W87" s="64"/>
      <c r="X87" s="64"/>
      <c r="AA87" s="64"/>
      <c r="AD87" s="64"/>
      <c r="AE87" s="64"/>
      <c r="AF87" s="64"/>
    </row>
    <row r="88" spans="1:32" s="62" customFormat="1" ht="14.25" x14ac:dyDescent="0.2">
      <c r="A88" s="61"/>
      <c r="G88" s="67"/>
      <c r="K88" s="64"/>
      <c r="L88" s="64"/>
      <c r="M88" s="64"/>
      <c r="N88" s="64"/>
      <c r="O88" s="64"/>
      <c r="P88" s="64"/>
      <c r="Q88" s="64"/>
      <c r="R88" s="64"/>
      <c r="T88" s="64"/>
      <c r="U88" s="64"/>
      <c r="V88" s="64"/>
      <c r="W88" s="64"/>
      <c r="X88" s="64"/>
      <c r="AA88" s="64"/>
      <c r="AD88" s="64"/>
      <c r="AE88" s="64"/>
      <c r="AF88" s="64"/>
    </row>
    <row r="89" spans="1:32" s="62" customFormat="1" ht="14.25" x14ac:dyDescent="0.2">
      <c r="A89" s="61"/>
      <c r="G89" s="67"/>
      <c r="K89" s="64"/>
      <c r="L89" s="64"/>
      <c r="M89" s="64"/>
      <c r="N89" s="64"/>
      <c r="O89" s="64"/>
      <c r="P89" s="64"/>
      <c r="Q89" s="64"/>
      <c r="R89" s="64"/>
      <c r="T89" s="64"/>
      <c r="U89" s="64"/>
      <c r="V89" s="64"/>
      <c r="W89" s="64"/>
      <c r="X89" s="64"/>
      <c r="AA89" s="64"/>
      <c r="AD89" s="64"/>
      <c r="AE89" s="64"/>
      <c r="AF89" s="64"/>
    </row>
    <row r="90" spans="1:32" s="62" customFormat="1" ht="14.25" x14ac:dyDescent="0.2">
      <c r="A90" s="61"/>
      <c r="G90" s="67"/>
      <c r="K90" s="64"/>
      <c r="L90" s="64"/>
      <c r="M90" s="64"/>
      <c r="N90" s="64"/>
      <c r="O90" s="64"/>
      <c r="P90" s="64"/>
      <c r="Q90" s="64"/>
      <c r="R90" s="64"/>
      <c r="T90" s="64"/>
      <c r="U90" s="64"/>
      <c r="V90" s="64"/>
      <c r="W90" s="64"/>
      <c r="X90" s="64"/>
      <c r="AA90" s="64"/>
      <c r="AD90" s="64"/>
      <c r="AE90" s="64"/>
      <c r="AF90" s="64"/>
    </row>
    <row r="91" spans="1:32" s="62" customFormat="1" ht="14.25" x14ac:dyDescent="0.2">
      <c r="A91" s="61"/>
      <c r="G91" s="67"/>
      <c r="K91" s="64"/>
      <c r="L91" s="64"/>
      <c r="M91" s="64"/>
      <c r="N91" s="64"/>
      <c r="O91" s="64"/>
      <c r="P91" s="64"/>
      <c r="Q91" s="64"/>
      <c r="R91" s="64"/>
      <c r="T91" s="64"/>
      <c r="U91" s="64"/>
      <c r="V91" s="64"/>
      <c r="W91" s="64"/>
      <c r="X91" s="64"/>
      <c r="AA91" s="64"/>
      <c r="AD91" s="64"/>
      <c r="AE91" s="64"/>
      <c r="AF91" s="64"/>
    </row>
    <row r="92" spans="1:32" s="62" customFormat="1" ht="14.25" x14ac:dyDescent="0.2">
      <c r="A92" s="61"/>
      <c r="G92" s="67"/>
      <c r="K92" s="64"/>
      <c r="L92" s="64"/>
      <c r="M92" s="64"/>
      <c r="N92" s="64"/>
      <c r="O92" s="64"/>
      <c r="P92" s="64"/>
      <c r="Q92" s="64"/>
      <c r="R92" s="64"/>
      <c r="T92" s="64"/>
      <c r="U92" s="64"/>
      <c r="V92" s="64"/>
      <c r="W92" s="64"/>
      <c r="X92" s="64"/>
      <c r="AA92" s="64"/>
      <c r="AD92" s="64"/>
      <c r="AE92" s="64"/>
      <c r="AF92" s="64"/>
    </row>
    <row r="93" spans="1:32" s="62" customFormat="1" ht="14.25" x14ac:dyDescent="0.2">
      <c r="A93" s="61"/>
      <c r="G93" s="67"/>
      <c r="K93" s="64"/>
      <c r="L93" s="64"/>
      <c r="M93" s="64"/>
      <c r="N93" s="64"/>
      <c r="O93" s="64"/>
      <c r="P93" s="64"/>
      <c r="Q93" s="64"/>
      <c r="R93" s="64"/>
      <c r="T93" s="64"/>
      <c r="U93" s="64"/>
      <c r="V93" s="64"/>
      <c r="W93" s="64"/>
      <c r="X93" s="64"/>
      <c r="AA93" s="64"/>
      <c r="AD93" s="64"/>
      <c r="AE93" s="64"/>
      <c r="AF93" s="64"/>
    </row>
    <row r="94" spans="1:32" s="62" customFormat="1" ht="14.25" x14ac:dyDescent="0.2">
      <c r="A94" s="61"/>
      <c r="G94" s="67"/>
      <c r="K94" s="64"/>
      <c r="L94" s="64"/>
      <c r="M94" s="64"/>
      <c r="N94" s="64"/>
      <c r="O94" s="64"/>
      <c r="P94" s="64"/>
      <c r="Q94" s="64"/>
      <c r="R94" s="64"/>
      <c r="T94" s="64"/>
      <c r="U94" s="64"/>
      <c r="V94" s="64"/>
      <c r="W94" s="64"/>
      <c r="X94" s="64"/>
      <c r="AA94" s="64"/>
      <c r="AD94" s="64"/>
      <c r="AE94" s="64"/>
      <c r="AF94" s="64"/>
    </row>
    <row r="95" spans="1:32" s="62" customFormat="1" ht="14.25" x14ac:dyDescent="0.2">
      <c r="A95" s="61"/>
      <c r="G95" s="67"/>
      <c r="K95" s="64"/>
      <c r="L95" s="64"/>
      <c r="M95" s="64"/>
      <c r="N95" s="64"/>
      <c r="O95" s="64"/>
      <c r="P95" s="64"/>
      <c r="Q95" s="64"/>
      <c r="R95" s="64"/>
      <c r="T95" s="64"/>
      <c r="U95" s="64"/>
      <c r="V95" s="64"/>
      <c r="W95" s="64"/>
      <c r="X95" s="64"/>
      <c r="AA95" s="64"/>
      <c r="AD95" s="64"/>
      <c r="AE95" s="64"/>
      <c r="AF95" s="64"/>
    </row>
    <row r="96" spans="1:32" s="62" customFormat="1" ht="14.25" x14ac:dyDescent="0.2">
      <c r="A96" s="61"/>
      <c r="G96" s="67"/>
      <c r="K96" s="64"/>
      <c r="L96" s="64"/>
      <c r="M96" s="64"/>
      <c r="N96" s="64"/>
      <c r="O96" s="64"/>
      <c r="P96" s="64"/>
      <c r="Q96" s="64"/>
      <c r="R96" s="64"/>
      <c r="T96" s="64"/>
      <c r="U96" s="64"/>
      <c r="V96" s="64"/>
      <c r="W96" s="64"/>
      <c r="X96" s="64"/>
      <c r="AA96" s="64"/>
      <c r="AD96" s="64"/>
      <c r="AE96" s="64"/>
      <c r="AF96" s="64"/>
    </row>
    <row r="97" spans="1:32" s="62" customFormat="1" ht="14.25" x14ac:dyDescent="0.2">
      <c r="A97" s="61"/>
      <c r="G97" s="67"/>
      <c r="K97" s="64"/>
      <c r="L97" s="64"/>
      <c r="M97" s="64"/>
      <c r="N97" s="64"/>
      <c r="O97" s="64"/>
      <c r="P97" s="64"/>
      <c r="Q97" s="64"/>
      <c r="R97" s="64"/>
      <c r="T97" s="64"/>
      <c r="U97" s="64"/>
      <c r="V97" s="64"/>
      <c r="W97" s="64"/>
      <c r="X97" s="64"/>
      <c r="AA97" s="64"/>
      <c r="AD97" s="64"/>
      <c r="AE97" s="64"/>
      <c r="AF97" s="64"/>
    </row>
    <row r="98" spans="1:32" s="62" customFormat="1" ht="14.25" x14ac:dyDescent="0.2">
      <c r="A98" s="61"/>
      <c r="G98" s="67"/>
      <c r="K98" s="64"/>
      <c r="L98" s="64"/>
      <c r="M98" s="64"/>
      <c r="N98" s="64"/>
      <c r="O98" s="64"/>
      <c r="P98" s="64"/>
      <c r="Q98" s="64"/>
      <c r="R98" s="64"/>
      <c r="T98" s="64"/>
      <c r="U98" s="64"/>
      <c r="V98" s="64"/>
      <c r="W98" s="64"/>
      <c r="X98" s="64"/>
      <c r="AA98" s="64"/>
      <c r="AD98" s="64"/>
      <c r="AE98" s="64"/>
      <c r="AF98" s="64"/>
    </row>
    <row r="99" spans="1:32" s="62" customFormat="1" ht="14.25" x14ac:dyDescent="0.2">
      <c r="A99" s="61"/>
      <c r="G99" s="67"/>
      <c r="K99" s="64"/>
      <c r="L99" s="64"/>
      <c r="M99" s="64"/>
      <c r="N99" s="64"/>
      <c r="O99" s="64"/>
      <c r="P99" s="64"/>
      <c r="Q99" s="64"/>
      <c r="R99" s="64"/>
      <c r="T99" s="64"/>
      <c r="U99" s="64"/>
      <c r="V99" s="64"/>
      <c r="W99" s="64"/>
      <c r="X99" s="64"/>
      <c r="AA99" s="64"/>
      <c r="AD99" s="64"/>
      <c r="AE99" s="64"/>
      <c r="AF99" s="64"/>
    </row>
    <row r="100" spans="1:32" s="62" customFormat="1" ht="14.25" x14ac:dyDescent="0.2">
      <c r="A100" s="61"/>
      <c r="G100" s="67"/>
      <c r="K100" s="64"/>
      <c r="L100" s="64"/>
      <c r="M100" s="64"/>
      <c r="N100" s="64"/>
      <c r="O100" s="64"/>
      <c r="P100" s="64"/>
      <c r="Q100" s="64"/>
      <c r="R100" s="64"/>
      <c r="T100" s="64"/>
      <c r="U100" s="64"/>
      <c r="V100" s="64"/>
      <c r="W100" s="64"/>
      <c r="X100" s="64"/>
      <c r="AA100" s="64"/>
      <c r="AD100" s="64"/>
      <c r="AE100" s="64"/>
      <c r="AF100" s="64"/>
    </row>
    <row r="101" spans="1:32" s="62" customFormat="1" ht="14.25" x14ac:dyDescent="0.2">
      <c r="A101" s="61"/>
      <c r="G101" s="67"/>
      <c r="K101" s="64"/>
      <c r="L101" s="64"/>
      <c r="M101" s="64"/>
      <c r="N101" s="64"/>
      <c r="O101" s="64"/>
      <c r="P101" s="64"/>
      <c r="Q101" s="64"/>
      <c r="R101" s="64"/>
      <c r="T101" s="64"/>
      <c r="U101" s="64"/>
      <c r="V101" s="64"/>
      <c r="W101" s="64"/>
      <c r="X101" s="64"/>
      <c r="AA101" s="64"/>
      <c r="AD101" s="64"/>
      <c r="AE101" s="64"/>
      <c r="AF101" s="64"/>
    </row>
    <row r="102" spans="1:32" s="62" customFormat="1" ht="14.25" x14ac:dyDescent="0.2">
      <c r="A102" s="61"/>
      <c r="G102" s="67"/>
      <c r="K102" s="64"/>
      <c r="L102" s="64"/>
      <c r="M102" s="64"/>
      <c r="N102" s="64"/>
      <c r="O102" s="64"/>
      <c r="P102" s="64"/>
      <c r="Q102" s="64"/>
      <c r="R102" s="64"/>
      <c r="T102" s="64"/>
      <c r="U102" s="64"/>
      <c r="V102" s="64"/>
      <c r="W102" s="64"/>
      <c r="X102" s="64"/>
      <c r="AA102" s="64"/>
      <c r="AD102" s="64"/>
      <c r="AE102" s="64"/>
      <c r="AF102" s="64"/>
    </row>
    <row r="103" spans="1:32" s="62" customFormat="1" ht="14.25" x14ac:dyDescent="0.2">
      <c r="A103" s="61"/>
      <c r="G103" s="67"/>
      <c r="K103" s="64"/>
      <c r="L103" s="64"/>
      <c r="M103" s="64"/>
      <c r="N103" s="64"/>
      <c r="O103" s="64"/>
      <c r="P103" s="64"/>
      <c r="Q103" s="64"/>
      <c r="R103" s="64"/>
      <c r="T103" s="64"/>
      <c r="U103" s="64"/>
      <c r="V103" s="64"/>
      <c r="W103" s="64"/>
      <c r="X103" s="64"/>
      <c r="AA103" s="64"/>
      <c r="AD103" s="64"/>
      <c r="AE103" s="64"/>
      <c r="AF103" s="64"/>
    </row>
    <row r="104" spans="1:32" s="62" customFormat="1" ht="14.25" x14ac:dyDescent="0.2">
      <c r="A104" s="61"/>
      <c r="G104" s="67"/>
      <c r="K104" s="64"/>
      <c r="L104" s="64"/>
      <c r="M104" s="64"/>
      <c r="N104" s="64"/>
      <c r="O104" s="64"/>
      <c r="P104" s="64"/>
      <c r="Q104" s="64"/>
      <c r="R104" s="64"/>
      <c r="T104" s="64"/>
      <c r="U104" s="64"/>
      <c r="V104" s="64"/>
      <c r="W104" s="64"/>
      <c r="X104" s="64"/>
      <c r="AA104" s="64"/>
      <c r="AD104" s="64"/>
      <c r="AE104" s="64"/>
      <c r="AF104" s="64"/>
    </row>
    <row r="105" spans="1:32" s="62" customFormat="1" ht="14.25" x14ac:dyDescent="0.2">
      <c r="A105" s="61"/>
      <c r="G105" s="67"/>
      <c r="K105" s="64"/>
      <c r="L105" s="64"/>
      <c r="M105" s="64"/>
      <c r="N105" s="64"/>
      <c r="O105" s="64"/>
      <c r="P105" s="64"/>
      <c r="Q105" s="64"/>
      <c r="R105" s="64"/>
      <c r="T105" s="64"/>
      <c r="U105" s="64"/>
      <c r="V105" s="64"/>
      <c r="W105" s="64"/>
      <c r="X105" s="64"/>
      <c r="AA105" s="64"/>
      <c r="AD105" s="64"/>
      <c r="AE105" s="64"/>
      <c r="AF105" s="64"/>
    </row>
    <row r="106" spans="1:32" s="62" customFormat="1" ht="14.25" x14ac:dyDescent="0.2">
      <c r="A106" s="61"/>
      <c r="G106" s="67"/>
      <c r="K106" s="64"/>
      <c r="L106" s="64"/>
      <c r="M106" s="64"/>
      <c r="N106" s="64"/>
      <c r="O106" s="64"/>
      <c r="P106" s="64"/>
      <c r="Q106" s="64"/>
      <c r="R106" s="64"/>
      <c r="T106" s="64"/>
      <c r="U106" s="64"/>
      <c r="V106" s="64"/>
      <c r="W106" s="64"/>
      <c r="X106" s="64"/>
      <c r="AA106" s="64"/>
      <c r="AD106" s="64"/>
      <c r="AE106" s="64"/>
      <c r="AF106" s="64"/>
    </row>
    <row r="107" spans="1:32" s="62" customFormat="1" ht="14.25" x14ac:dyDescent="0.2">
      <c r="A107" s="61"/>
      <c r="G107" s="67"/>
      <c r="K107" s="64"/>
      <c r="L107" s="64"/>
      <c r="M107" s="64"/>
      <c r="N107" s="64"/>
      <c r="O107" s="64"/>
      <c r="P107" s="64"/>
      <c r="Q107" s="64"/>
      <c r="R107" s="64"/>
      <c r="T107" s="64"/>
      <c r="U107" s="64"/>
      <c r="V107" s="64"/>
      <c r="W107" s="64"/>
      <c r="X107" s="64"/>
      <c r="AA107" s="64"/>
      <c r="AD107" s="64"/>
      <c r="AE107" s="64"/>
      <c r="AF107" s="64"/>
    </row>
    <row r="108" spans="1:32" s="62" customFormat="1" ht="14.25" x14ac:dyDescent="0.2">
      <c r="A108" s="61"/>
      <c r="G108" s="67"/>
      <c r="K108" s="64"/>
      <c r="L108" s="64"/>
      <c r="M108" s="64"/>
      <c r="N108" s="64"/>
      <c r="O108" s="64"/>
      <c r="P108" s="64"/>
      <c r="Q108" s="64"/>
      <c r="R108" s="64"/>
      <c r="T108" s="64"/>
      <c r="U108" s="64"/>
      <c r="V108" s="64"/>
      <c r="W108" s="64"/>
      <c r="X108" s="64"/>
      <c r="AA108" s="64"/>
      <c r="AD108" s="64"/>
      <c r="AE108" s="64"/>
      <c r="AF108" s="64"/>
    </row>
    <row r="109" spans="1:32" s="62" customFormat="1" ht="14.25" x14ac:dyDescent="0.2">
      <c r="A109" s="61"/>
      <c r="G109" s="67"/>
      <c r="K109" s="64"/>
      <c r="L109" s="64"/>
      <c r="M109" s="64"/>
      <c r="N109" s="64"/>
      <c r="O109" s="64"/>
      <c r="P109" s="64"/>
      <c r="Q109" s="64"/>
      <c r="R109" s="64"/>
      <c r="T109" s="64"/>
      <c r="U109" s="64"/>
      <c r="V109" s="64"/>
      <c r="W109" s="64"/>
      <c r="X109" s="64"/>
      <c r="AA109" s="64"/>
      <c r="AD109" s="64"/>
      <c r="AE109" s="64"/>
      <c r="AF109" s="64"/>
    </row>
    <row r="110" spans="1:32" s="62" customFormat="1" ht="14.25" x14ac:dyDescent="0.2">
      <c r="A110" s="61"/>
      <c r="G110" s="67"/>
      <c r="K110" s="64"/>
      <c r="L110" s="64"/>
      <c r="M110" s="64"/>
      <c r="N110" s="64"/>
      <c r="O110" s="64"/>
      <c r="P110" s="64"/>
      <c r="Q110" s="64"/>
      <c r="R110" s="64"/>
      <c r="T110" s="64"/>
      <c r="U110" s="64"/>
      <c r="V110" s="64"/>
      <c r="W110" s="64"/>
      <c r="X110" s="64"/>
      <c r="AA110" s="64"/>
      <c r="AD110" s="64"/>
      <c r="AE110" s="64"/>
      <c r="AF110" s="64"/>
    </row>
    <row r="111" spans="1:32" s="62" customFormat="1" ht="14.25" x14ac:dyDescent="0.2">
      <c r="A111" s="61"/>
      <c r="G111" s="67"/>
      <c r="K111" s="64"/>
      <c r="L111" s="64"/>
      <c r="M111" s="64"/>
      <c r="N111" s="64"/>
      <c r="O111" s="64"/>
      <c r="P111" s="64"/>
      <c r="Q111" s="64"/>
      <c r="R111" s="64"/>
      <c r="T111" s="64"/>
      <c r="U111" s="64"/>
      <c r="V111" s="64"/>
      <c r="W111" s="64"/>
      <c r="X111" s="64"/>
      <c r="AA111" s="64"/>
      <c r="AD111" s="64"/>
      <c r="AE111" s="64"/>
      <c r="AF111" s="64"/>
    </row>
    <row r="112" spans="1:32" s="62" customFormat="1" ht="14.25" x14ac:dyDescent="0.2">
      <c r="A112" s="61"/>
      <c r="G112" s="67"/>
      <c r="K112" s="64"/>
      <c r="L112" s="64"/>
      <c r="M112" s="64"/>
      <c r="N112" s="64"/>
      <c r="O112" s="64"/>
      <c r="P112" s="64"/>
      <c r="Q112" s="64"/>
      <c r="R112" s="64"/>
      <c r="T112" s="64"/>
      <c r="U112" s="64"/>
      <c r="V112" s="64"/>
      <c r="W112" s="64"/>
      <c r="X112" s="64"/>
      <c r="AA112" s="64"/>
      <c r="AD112" s="64"/>
      <c r="AE112" s="64"/>
      <c r="AF112" s="64"/>
    </row>
    <row r="113" spans="1:32" s="62" customFormat="1" ht="14.25" x14ac:dyDescent="0.2">
      <c r="A113" s="61"/>
      <c r="G113" s="67"/>
      <c r="K113" s="64"/>
      <c r="L113" s="64"/>
      <c r="M113" s="64"/>
      <c r="N113" s="64"/>
      <c r="O113" s="64"/>
      <c r="P113" s="64"/>
      <c r="Q113" s="64"/>
      <c r="R113" s="64"/>
      <c r="T113" s="64"/>
      <c r="U113" s="64"/>
      <c r="V113" s="64"/>
      <c r="W113" s="64"/>
      <c r="X113" s="64"/>
      <c r="AA113" s="64"/>
      <c r="AD113" s="64"/>
      <c r="AE113" s="64"/>
      <c r="AF113" s="64"/>
    </row>
    <row r="114" spans="1:32" s="62" customFormat="1" ht="14.25" x14ac:dyDescent="0.2">
      <c r="A114" s="61"/>
      <c r="G114" s="67"/>
      <c r="K114" s="64"/>
      <c r="L114" s="64"/>
      <c r="M114" s="64"/>
      <c r="N114" s="64"/>
      <c r="O114" s="64"/>
      <c r="P114" s="64"/>
      <c r="Q114" s="64"/>
      <c r="R114" s="64"/>
      <c r="T114" s="64"/>
      <c r="U114" s="64"/>
      <c r="V114" s="64"/>
      <c r="W114" s="64"/>
      <c r="X114" s="64"/>
      <c r="AA114" s="64"/>
      <c r="AD114" s="64"/>
      <c r="AE114" s="64"/>
      <c r="AF114" s="64"/>
    </row>
    <row r="115" spans="1:32" s="62" customFormat="1" ht="14.25" x14ac:dyDescent="0.2">
      <c r="A115" s="61"/>
      <c r="G115" s="67"/>
      <c r="K115" s="64"/>
      <c r="L115" s="64"/>
      <c r="M115" s="64"/>
      <c r="N115" s="64"/>
      <c r="O115" s="64"/>
      <c r="P115" s="64"/>
      <c r="Q115" s="64"/>
      <c r="R115" s="64"/>
      <c r="T115" s="64"/>
      <c r="U115" s="64"/>
      <c r="V115" s="64"/>
      <c r="W115" s="64"/>
      <c r="X115" s="64"/>
      <c r="AA115" s="64"/>
      <c r="AD115" s="64"/>
      <c r="AE115" s="64"/>
      <c r="AF115" s="64"/>
    </row>
    <row r="116" spans="1:32" s="62" customFormat="1" ht="14.25" x14ac:dyDescent="0.2">
      <c r="A116" s="61"/>
      <c r="G116" s="67"/>
      <c r="K116" s="64"/>
      <c r="L116" s="64"/>
      <c r="M116" s="64"/>
      <c r="N116" s="64"/>
      <c r="O116" s="64"/>
      <c r="P116" s="64"/>
      <c r="Q116" s="64"/>
      <c r="R116" s="64"/>
      <c r="T116" s="64"/>
      <c r="U116" s="64"/>
      <c r="V116" s="64"/>
      <c r="W116" s="64"/>
      <c r="X116" s="64"/>
      <c r="AA116" s="64"/>
      <c r="AD116" s="64"/>
      <c r="AE116" s="64"/>
      <c r="AF116" s="64"/>
    </row>
    <row r="117" spans="1:32" s="62" customFormat="1" ht="14.25" x14ac:dyDescent="0.2">
      <c r="A117" s="61"/>
      <c r="G117" s="67"/>
      <c r="K117" s="64"/>
      <c r="L117" s="64"/>
      <c r="M117" s="64"/>
      <c r="N117" s="64"/>
      <c r="O117" s="64"/>
      <c r="P117" s="64"/>
      <c r="Q117" s="64"/>
      <c r="R117" s="64"/>
      <c r="T117" s="64"/>
      <c r="U117" s="64"/>
      <c r="V117" s="64"/>
      <c r="W117" s="64"/>
      <c r="X117" s="64"/>
      <c r="AA117" s="64"/>
      <c r="AD117" s="64"/>
      <c r="AE117" s="64"/>
      <c r="AF117" s="64"/>
    </row>
    <row r="118" spans="1:32" s="62" customFormat="1" ht="14.25" x14ac:dyDescent="0.2">
      <c r="A118" s="61"/>
      <c r="G118" s="67"/>
      <c r="K118" s="64"/>
      <c r="L118" s="64"/>
      <c r="M118" s="64"/>
      <c r="N118" s="64"/>
      <c r="O118" s="64"/>
      <c r="P118" s="64"/>
      <c r="Q118" s="64"/>
      <c r="R118" s="64"/>
      <c r="T118" s="64"/>
      <c r="U118" s="64"/>
      <c r="V118" s="64"/>
      <c r="W118" s="64"/>
      <c r="X118" s="64"/>
      <c r="AA118" s="64"/>
      <c r="AD118" s="64"/>
      <c r="AE118" s="64"/>
      <c r="AF118" s="64"/>
    </row>
    <row r="119" spans="1:32" s="62" customFormat="1" ht="14.25" x14ac:dyDescent="0.2">
      <c r="A119" s="61"/>
      <c r="G119" s="67"/>
      <c r="K119" s="64"/>
      <c r="L119" s="64"/>
      <c r="M119" s="64"/>
      <c r="N119" s="64"/>
      <c r="O119" s="64"/>
      <c r="P119" s="64"/>
      <c r="Q119" s="64"/>
      <c r="R119" s="64"/>
      <c r="T119" s="64"/>
      <c r="U119" s="64"/>
      <c r="V119" s="64"/>
      <c r="W119" s="64"/>
      <c r="X119" s="64"/>
      <c r="AA119" s="64"/>
      <c r="AD119" s="64"/>
      <c r="AE119" s="64"/>
      <c r="AF119" s="64"/>
    </row>
    <row r="120" spans="1:32" s="62" customFormat="1" ht="14.25" x14ac:dyDescent="0.2">
      <c r="A120" s="61"/>
      <c r="G120" s="67"/>
      <c r="K120" s="64"/>
      <c r="L120" s="64"/>
      <c r="M120" s="64"/>
      <c r="N120" s="64"/>
      <c r="O120" s="64"/>
      <c r="P120" s="64"/>
      <c r="Q120" s="64"/>
      <c r="R120" s="64"/>
      <c r="T120" s="64"/>
      <c r="U120" s="64"/>
      <c r="V120" s="64"/>
      <c r="W120" s="64"/>
      <c r="X120" s="64"/>
      <c r="AA120" s="64"/>
      <c r="AD120" s="64"/>
      <c r="AE120" s="64"/>
      <c r="AF120" s="64"/>
    </row>
    <row r="121" spans="1:32" s="62" customFormat="1" ht="14.25" x14ac:dyDescent="0.2">
      <c r="A121" s="61"/>
      <c r="G121" s="67"/>
      <c r="K121" s="64"/>
      <c r="L121" s="64"/>
      <c r="M121" s="64"/>
      <c r="N121" s="64"/>
      <c r="O121" s="64"/>
      <c r="P121" s="64"/>
      <c r="Q121" s="64"/>
      <c r="R121" s="64"/>
      <c r="T121" s="64"/>
      <c r="U121" s="64"/>
      <c r="V121" s="64"/>
      <c r="W121" s="64"/>
      <c r="X121" s="64"/>
      <c r="AA121" s="64"/>
      <c r="AD121" s="64"/>
      <c r="AE121" s="64"/>
      <c r="AF121" s="64"/>
    </row>
    <row r="122" spans="1:32" s="62" customFormat="1" ht="14.25" x14ac:dyDescent="0.2">
      <c r="A122" s="61"/>
      <c r="G122" s="67"/>
      <c r="K122" s="64"/>
      <c r="L122" s="64"/>
      <c r="M122" s="64"/>
      <c r="N122" s="64"/>
      <c r="O122" s="64"/>
      <c r="P122" s="64"/>
      <c r="Q122" s="64"/>
      <c r="R122" s="64"/>
      <c r="T122" s="64"/>
      <c r="U122" s="64"/>
      <c r="V122" s="64"/>
      <c r="W122" s="64"/>
      <c r="X122" s="64"/>
      <c r="AA122" s="64"/>
      <c r="AD122" s="64"/>
      <c r="AE122" s="64"/>
      <c r="AF122" s="64"/>
    </row>
    <row r="123" spans="1:32" s="62" customFormat="1" ht="14.25" x14ac:dyDescent="0.2">
      <c r="A123" s="61"/>
      <c r="G123" s="67"/>
      <c r="K123" s="64"/>
      <c r="L123" s="64"/>
      <c r="M123" s="64"/>
      <c r="N123" s="64"/>
      <c r="O123" s="64"/>
      <c r="P123" s="64"/>
      <c r="Q123" s="64"/>
      <c r="R123" s="64"/>
      <c r="T123" s="64"/>
      <c r="U123" s="64"/>
      <c r="V123" s="64"/>
      <c r="W123" s="64"/>
      <c r="X123" s="64"/>
      <c r="AA123" s="64"/>
      <c r="AD123" s="64"/>
      <c r="AE123" s="64"/>
      <c r="AF123" s="64"/>
    </row>
    <row r="124" spans="1:32" s="62" customFormat="1" ht="14.25" x14ac:dyDescent="0.2">
      <c r="A124" s="61"/>
      <c r="G124" s="67"/>
      <c r="K124" s="64"/>
      <c r="L124" s="64"/>
      <c r="M124" s="64"/>
      <c r="N124" s="64"/>
      <c r="O124" s="64"/>
      <c r="P124" s="64"/>
      <c r="Q124" s="64"/>
      <c r="R124" s="64"/>
      <c r="T124" s="64"/>
      <c r="U124" s="64"/>
      <c r="V124" s="64"/>
      <c r="W124" s="64"/>
      <c r="X124" s="64"/>
      <c r="AA124" s="64"/>
      <c r="AD124" s="64"/>
      <c r="AE124" s="64"/>
      <c r="AF124" s="64"/>
    </row>
    <row r="125" spans="1:32" s="62" customFormat="1" ht="14.25" x14ac:dyDescent="0.2">
      <c r="A125" s="61"/>
      <c r="G125" s="67"/>
      <c r="K125" s="64"/>
      <c r="L125" s="64"/>
      <c r="M125" s="64"/>
      <c r="N125" s="64"/>
      <c r="O125" s="64"/>
      <c r="P125" s="64"/>
      <c r="Q125" s="64"/>
      <c r="R125" s="64"/>
      <c r="T125" s="64"/>
      <c r="U125" s="64"/>
      <c r="V125" s="64"/>
      <c r="W125" s="64"/>
      <c r="X125" s="64"/>
      <c r="AA125" s="64"/>
      <c r="AD125" s="64"/>
      <c r="AE125" s="64"/>
      <c r="AF125" s="64"/>
    </row>
    <row r="126" spans="1:32" s="62" customFormat="1" ht="14.25" x14ac:dyDescent="0.2">
      <c r="A126" s="61"/>
      <c r="G126" s="67"/>
      <c r="K126" s="64"/>
      <c r="L126" s="64"/>
      <c r="M126" s="64"/>
      <c r="N126" s="64"/>
      <c r="O126" s="64"/>
      <c r="P126" s="64"/>
      <c r="Q126" s="64"/>
      <c r="R126" s="64"/>
      <c r="T126" s="64"/>
      <c r="U126" s="64"/>
      <c r="V126" s="64"/>
      <c r="W126" s="64"/>
      <c r="X126" s="64"/>
      <c r="AA126" s="64"/>
      <c r="AD126" s="64"/>
      <c r="AE126" s="64"/>
      <c r="AF126" s="64"/>
    </row>
    <row r="127" spans="1:32" s="62" customFormat="1" ht="14.25" x14ac:dyDescent="0.2">
      <c r="A127" s="61"/>
      <c r="G127" s="67"/>
      <c r="K127" s="64"/>
      <c r="L127" s="64"/>
      <c r="M127" s="64"/>
      <c r="N127" s="64"/>
      <c r="O127" s="64"/>
      <c r="P127" s="64"/>
      <c r="Q127" s="64"/>
      <c r="R127" s="64"/>
      <c r="T127" s="64"/>
      <c r="U127" s="64"/>
      <c r="V127" s="64"/>
      <c r="W127" s="64"/>
      <c r="X127" s="64"/>
      <c r="AA127" s="64"/>
      <c r="AD127" s="64"/>
      <c r="AE127" s="64"/>
      <c r="AF127" s="64"/>
    </row>
    <row r="128" spans="1:32" s="62" customFormat="1" ht="14.25" x14ac:dyDescent="0.2">
      <c r="A128" s="61"/>
      <c r="G128" s="67"/>
      <c r="K128" s="64"/>
      <c r="L128" s="64"/>
      <c r="M128" s="64"/>
      <c r="N128" s="64"/>
      <c r="O128" s="64"/>
      <c r="P128" s="64"/>
      <c r="Q128" s="64"/>
      <c r="R128" s="64"/>
      <c r="T128" s="64"/>
      <c r="U128" s="64"/>
      <c r="V128" s="64"/>
      <c r="W128" s="64"/>
      <c r="X128" s="64"/>
      <c r="AA128" s="64"/>
      <c r="AD128" s="64"/>
      <c r="AE128" s="64"/>
      <c r="AF128" s="64"/>
    </row>
    <row r="129" spans="1:32" s="62" customFormat="1" ht="14.25" x14ac:dyDescent="0.2">
      <c r="A129" s="61"/>
      <c r="G129" s="67"/>
      <c r="K129" s="64"/>
      <c r="L129" s="64"/>
      <c r="M129" s="64"/>
      <c r="N129" s="64"/>
      <c r="O129" s="64"/>
      <c r="P129" s="64"/>
      <c r="Q129" s="64"/>
      <c r="R129" s="64"/>
      <c r="T129" s="64"/>
      <c r="U129" s="64"/>
      <c r="V129" s="64"/>
      <c r="W129" s="64"/>
      <c r="X129" s="64"/>
      <c r="AA129" s="64"/>
      <c r="AD129" s="64"/>
      <c r="AE129" s="64"/>
      <c r="AF129" s="64"/>
    </row>
    <row r="130" spans="1:32" s="62" customFormat="1" ht="14.25" x14ac:dyDescent="0.2">
      <c r="A130" s="61"/>
      <c r="G130" s="67"/>
      <c r="K130" s="64"/>
      <c r="L130" s="64"/>
      <c r="M130" s="64"/>
      <c r="N130" s="64"/>
      <c r="O130" s="64"/>
      <c r="P130" s="64"/>
      <c r="Q130" s="64"/>
      <c r="R130" s="64"/>
      <c r="T130" s="64"/>
      <c r="U130" s="64"/>
      <c r="V130" s="64"/>
      <c r="W130" s="64"/>
      <c r="X130" s="64"/>
      <c r="AA130" s="64"/>
      <c r="AD130" s="64"/>
      <c r="AE130" s="64"/>
      <c r="AF130" s="64"/>
    </row>
    <row r="131" spans="1:32" s="62" customFormat="1" ht="14.25" x14ac:dyDescent="0.2">
      <c r="A131" s="61"/>
      <c r="G131" s="67"/>
      <c r="K131" s="64"/>
      <c r="L131" s="64"/>
      <c r="M131" s="64"/>
      <c r="N131" s="64"/>
      <c r="O131" s="64"/>
      <c r="P131" s="64"/>
      <c r="Q131" s="64"/>
      <c r="R131" s="64"/>
      <c r="T131" s="64"/>
      <c r="U131" s="64"/>
      <c r="V131" s="64"/>
      <c r="W131" s="64"/>
      <c r="X131" s="64"/>
      <c r="AA131" s="64"/>
      <c r="AD131" s="64"/>
      <c r="AE131" s="64"/>
      <c r="AF131" s="64"/>
    </row>
    <row r="132" spans="1:32" s="62" customFormat="1" ht="14.25" x14ac:dyDescent="0.2">
      <c r="A132" s="61"/>
      <c r="G132" s="67"/>
      <c r="K132" s="64"/>
      <c r="L132" s="64"/>
      <c r="M132" s="64"/>
      <c r="N132" s="64"/>
      <c r="O132" s="64"/>
      <c r="P132" s="64"/>
      <c r="Q132" s="64"/>
      <c r="R132" s="64"/>
      <c r="T132" s="64"/>
      <c r="U132" s="64"/>
      <c r="V132" s="64"/>
      <c r="W132" s="64"/>
      <c r="X132" s="64"/>
      <c r="AA132" s="64"/>
      <c r="AD132" s="64"/>
      <c r="AE132" s="64"/>
      <c r="AF132" s="64"/>
    </row>
    <row r="133" spans="1:32" s="62" customFormat="1" ht="14.25" x14ac:dyDescent="0.2">
      <c r="A133" s="61"/>
      <c r="G133" s="67"/>
      <c r="K133" s="64"/>
      <c r="L133" s="64"/>
      <c r="M133" s="64"/>
      <c r="N133" s="64"/>
      <c r="O133" s="64"/>
      <c r="P133" s="64"/>
      <c r="Q133" s="64"/>
      <c r="R133" s="64"/>
      <c r="T133" s="64"/>
      <c r="U133" s="64"/>
      <c r="V133" s="64"/>
      <c r="W133" s="64"/>
      <c r="X133" s="64"/>
      <c r="AA133" s="64"/>
      <c r="AD133" s="64"/>
      <c r="AE133" s="64"/>
      <c r="AF133" s="64"/>
    </row>
    <row r="134" spans="1:32" s="62" customFormat="1" ht="14.25" x14ac:dyDescent="0.2">
      <c r="A134" s="61"/>
      <c r="G134" s="67"/>
      <c r="K134" s="64"/>
      <c r="L134" s="64"/>
      <c r="M134" s="64"/>
      <c r="N134" s="64"/>
      <c r="O134" s="64"/>
      <c r="P134" s="64"/>
      <c r="Q134" s="64"/>
      <c r="R134" s="64"/>
      <c r="T134" s="64"/>
      <c r="U134" s="64"/>
      <c r="V134" s="64"/>
      <c r="W134" s="64"/>
      <c r="X134" s="64"/>
      <c r="AA134" s="64"/>
      <c r="AD134" s="64"/>
      <c r="AE134" s="64"/>
      <c r="AF134" s="64"/>
    </row>
    <row r="135" spans="1:32" s="62" customFormat="1" ht="14.25" x14ac:dyDescent="0.2">
      <c r="A135" s="61"/>
      <c r="G135" s="67"/>
      <c r="K135" s="64"/>
      <c r="L135" s="64"/>
      <c r="M135" s="64"/>
      <c r="N135" s="64"/>
      <c r="O135" s="64"/>
      <c r="P135" s="64"/>
      <c r="Q135" s="64"/>
      <c r="R135" s="64"/>
      <c r="T135" s="64"/>
      <c r="U135" s="64"/>
      <c r="V135" s="64"/>
      <c r="W135" s="64"/>
      <c r="X135" s="64"/>
      <c r="AA135" s="64"/>
      <c r="AD135" s="64"/>
      <c r="AE135" s="64"/>
      <c r="AF135" s="64"/>
    </row>
    <row r="136" spans="1:32" s="62" customFormat="1" ht="14.25" x14ac:dyDescent="0.2">
      <c r="A136" s="61"/>
      <c r="G136" s="67"/>
      <c r="K136" s="64"/>
      <c r="L136" s="64"/>
      <c r="M136" s="64"/>
      <c r="N136" s="64"/>
      <c r="O136" s="64"/>
      <c r="P136" s="64"/>
      <c r="Q136" s="64"/>
      <c r="R136" s="64"/>
      <c r="T136" s="64"/>
      <c r="U136" s="64"/>
      <c r="V136" s="64"/>
      <c r="W136" s="64"/>
      <c r="X136" s="64"/>
      <c r="AA136" s="64"/>
      <c r="AD136" s="64"/>
      <c r="AE136" s="64"/>
      <c r="AF136" s="64"/>
    </row>
    <row r="137" spans="1:32" s="62" customFormat="1" ht="14.25" x14ac:dyDescent="0.2">
      <c r="A137" s="61"/>
      <c r="G137" s="67"/>
      <c r="K137" s="64"/>
      <c r="L137" s="64"/>
      <c r="M137" s="64"/>
      <c r="N137" s="64"/>
      <c r="O137" s="64"/>
      <c r="P137" s="64"/>
      <c r="Q137" s="64"/>
      <c r="R137" s="64"/>
      <c r="T137" s="64"/>
      <c r="U137" s="64"/>
      <c r="V137" s="64"/>
      <c r="W137" s="64"/>
      <c r="X137" s="64"/>
      <c r="AA137" s="64"/>
      <c r="AD137" s="64"/>
      <c r="AE137" s="64"/>
      <c r="AF137" s="64"/>
    </row>
    <row r="138" spans="1:32" s="62" customFormat="1" ht="14.25" x14ac:dyDescent="0.2">
      <c r="A138" s="61"/>
      <c r="G138" s="67"/>
      <c r="K138" s="64"/>
      <c r="L138" s="64"/>
      <c r="M138" s="64"/>
      <c r="N138" s="64"/>
      <c r="O138" s="64"/>
      <c r="P138" s="64"/>
      <c r="Q138" s="64"/>
      <c r="R138" s="64"/>
      <c r="T138" s="64"/>
      <c r="U138" s="64"/>
      <c r="V138" s="64"/>
      <c r="W138" s="64"/>
      <c r="X138" s="64"/>
      <c r="AA138" s="64"/>
      <c r="AD138" s="64"/>
      <c r="AE138" s="64"/>
      <c r="AF138" s="64"/>
    </row>
    <row r="139" spans="1:32" s="62" customFormat="1" ht="14.25" x14ac:dyDescent="0.2">
      <c r="A139" s="61"/>
      <c r="G139" s="67"/>
      <c r="K139" s="64"/>
      <c r="L139" s="64"/>
      <c r="M139" s="64"/>
      <c r="N139" s="64"/>
      <c r="O139" s="64"/>
      <c r="P139" s="64"/>
      <c r="Q139" s="64"/>
      <c r="R139" s="64"/>
      <c r="T139" s="64"/>
      <c r="U139" s="64"/>
      <c r="V139" s="64"/>
      <c r="W139" s="64"/>
      <c r="X139" s="64"/>
      <c r="AA139" s="64"/>
      <c r="AD139" s="64"/>
      <c r="AE139" s="64"/>
      <c r="AF139" s="64"/>
    </row>
    <row r="140" spans="1:32" s="62" customFormat="1" ht="14.25" x14ac:dyDescent="0.2">
      <c r="A140" s="61"/>
      <c r="G140" s="67"/>
      <c r="K140" s="64"/>
      <c r="L140" s="64"/>
      <c r="M140" s="64"/>
      <c r="N140" s="64"/>
      <c r="O140" s="64"/>
      <c r="P140" s="64"/>
      <c r="Q140" s="64"/>
      <c r="R140" s="64"/>
      <c r="T140" s="64"/>
      <c r="U140" s="64"/>
      <c r="V140" s="64"/>
      <c r="W140" s="64"/>
      <c r="X140" s="64"/>
      <c r="AA140" s="64"/>
      <c r="AD140" s="64"/>
      <c r="AE140" s="64"/>
      <c r="AF140" s="64"/>
    </row>
    <row r="141" spans="1:32" s="62" customFormat="1" ht="14.25" x14ac:dyDescent="0.2">
      <c r="A141" s="61"/>
      <c r="G141" s="67"/>
      <c r="K141" s="64"/>
      <c r="L141" s="64"/>
      <c r="M141" s="64"/>
      <c r="N141" s="64"/>
      <c r="O141" s="64"/>
      <c r="P141" s="64"/>
      <c r="Q141" s="64"/>
      <c r="R141" s="64"/>
      <c r="T141" s="64"/>
      <c r="U141" s="64"/>
      <c r="V141" s="64"/>
      <c r="W141" s="64"/>
      <c r="X141" s="64"/>
      <c r="AA141" s="64"/>
      <c r="AD141" s="64"/>
      <c r="AE141" s="64"/>
      <c r="AF141" s="64"/>
    </row>
    <row r="142" spans="1:32" s="62" customFormat="1" ht="14.25" x14ac:dyDescent="0.2">
      <c r="A142" s="61"/>
      <c r="G142" s="67"/>
      <c r="K142" s="64"/>
      <c r="L142" s="64"/>
      <c r="M142" s="64"/>
      <c r="N142" s="64"/>
      <c r="O142" s="64"/>
      <c r="P142" s="64"/>
      <c r="Q142" s="64"/>
      <c r="R142" s="64"/>
      <c r="T142" s="64"/>
      <c r="U142" s="64"/>
      <c r="V142" s="64"/>
      <c r="W142" s="64"/>
      <c r="X142" s="64"/>
      <c r="AA142" s="64"/>
      <c r="AD142" s="64"/>
      <c r="AE142" s="64"/>
      <c r="AF142" s="64"/>
    </row>
    <row r="143" spans="1:32" s="62" customFormat="1" ht="14.25" x14ac:dyDescent="0.2">
      <c r="A143" s="61"/>
      <c r="G143" s="67"/>
      <c r="K143" s="64"/>
      <c r="L143" s="64"/>
      <c r="M143" s="64"/>
      <c r="N143" s="64"/>
      <c r="O143" s="64"/>
      <c r="P143" s="64"/>
      <c r="Q143" s="64"/>
      <c r="R143" s="64"/>
      <c r="T143" s="64"/>
      <c r="U143" s="64"/>
      <c r="V143" s="64"/>
      <c r="W143" s="64"/>
      <c r="X143" s="64"/>
      <c r="AA143" s="64"/>
      <c r="AD143" s="64"/>
      <c r="AE143" s="64"/>
      <c r="AF143" s="64"/>
    </row>
    <row r="144" spans="1:32" s="62" customFormat="1" ht="14.25" x14ac:dyDescent="0.2">
      <c r="A144" s="61"/>
      <c r="G144" s="67"/>
      <c r="K144" s="64"/>
      <c r="L144" s="64"/>
      <c r="M144" s="64"/>
      <c r="N144" s="64"/>
      <c r="O144" s="64"/>
      <c r="P144" s="64"/>
      <c r="Q144" s="64"/>
      <c r="R144" s="64"/>
      <c r="T144" s="64"/>
      <c r="U144" s="64"/>
      <c r="V144" s="64"/>
      <c r="W144" s="64"/>
      <c r="X144" s="64"/>
      <c r="AA144" s="64"/>
      <c r="AD144" s="64"/>
      <c r="AE144" s="64"/>
      <c r="AF144" s="64"/>
    </row>
    <row r="145" spans="1:32" s="62" customFormat="1" ht="14.25" x14ac:dyDescent="0.2">
      <c r="A145" s="61"/>
      <c r="G145" s="67"/>
      <c r="K145" s="64"/>
      <c r="L145" s="64"/>
      <c r="M145" s="64"/>
      <c r="N145" s="64"/>
      <c r="O145" s="64"/>
      <c r="P145" s="64"/>
      <c r="Q145" s="64"/>
      <c r="R145" s="64"/>
      <c r="T145" s="64"/>
      <c r="U145" s="64"/>
      <c r="V145" s="64"/>
      <c r="W145" s="64"/>
      <c r="X145" s="64"/>
      <c r="AA145" s="64"/>
      <c r="AD145" s="64"/>
      <c r="AE145" s="64"/>
      <c r="AF145" s="64"/>
    </row>
    <row r="146" spans="1:32" s="62" customFormat="1" ht="14.25" x14ac:dyDescent="0.2">
      <c r="A146" s="61"/>
      <c r="G146" s="67"/>
      <c r="K146" s="64"/>
      <c r="L146" s="64"/>
      <c r="M146" s="64"/>
      <c r="N146" s="64"/>
      <c r="O146" s="64"/>
      <c r="P146" s="64"/>
      <c r="Q146" s="64"/>
      <c r="R146" s="64"/>
      <c r="T146" s="64"/>
      <c r="U146" s="64"/>
      <c r="V146" s="64"/>
      <c r="W146" s="64"/>
      <c r="X146" s="64"/>
      <c r="AA146" s="64"/>
      <c r="AD146" s="64"/>
      <c r="AE146" s="64"/>
      <c r="AF146" s="64"/>
    </row>
    <row r="147" spans="1:32" s="62" customFormat="1" ht="14.25" x14ac:dyDescent="0.2">
      <c r="A147" s="61"/>
      <c r="G147" s="67"/>
      <c r="K147" s="64"/>
      <c r="L147" s="64"/>
      <c r="M147" s="64"/>
      <c r="N147" s="64"/>
      <c r="O147" s="64"/>
      <c r="P147" s="64"/>
      <c r="Q147" s="64"/>
      <c r="R147" s="64"/>
      <c r="T147" s="64"/>
      <c r="U147" s="64"/>
      <c r="V147" s="64"/>
      <c r="W147" s="64"/>
      <c r="X147" s="64"/>
      <c r="AA147" s="64"/>
      <c r="AD147" s="64"/>
      <c r="AE147" s="64"/>
      <c r="AF147" s="64"/>
    </row>
    <row r="148" spans="1:32" s="62" customFormat="1" ht="14.25" x14ac:dyDescent="0.2">
      <c r="A148" s="61"/>
      <c r="G148" s="67"/>
      <c r="K148" s="64"/>
      <c r="L148" s="64"/>
      <c r="M148" s="64"/>
      <c r="N148" s="64"/>
      <c r="O148" s="64"/>
      <c r="P148" s="64"/>
      <c r="Q148" s="64"/>
      <c r="R148" s="64"/>
      <c r="T148" s="64"/>
      <c r="U148" s="64"/>
      <c r="V148" s="64"/>
      <c r="W148" s="64"/>
      <c r="X148" s="64"/>
      <c r="AA148" s="64"/>
      <c r="AD148" s="64"/>
      <c r="AE148" s="64"/>
      <c r="AF148" s="64"/>
    </row>
    <row r="149" spans="1:32" s="62" customFormat="1" ht="14.25" x14ac:dyDescent="0.2">
      <c r="A149" s="61"/>
      <c r="G149" s="67"/>
      <c r="K149" s="64"/>
      <c r="L149" s="64"/>
      <c r="M149" s="64"/>
      <c r="N149" s="64"/>
      <c r="O149" s="64"/>
      <c r="P149" s="64"/>
      <c r="Q149" s="64"/>
      <c r="R149" s="64"/>
      <c r="T149" s="64"/>
      <c r="U149" s="64"/>
      <c r="V149" s="64"/>
      <c r="W149" s="64"/>
      <c r="X149" s="64"/>
      <c r="AA149" s="64"/>
      <c r="AD149" s="64"/>
      <c r="AE149" s="64"/>
      <c r="AF149" s="64"/>
    </row>
    <row r="150" spans="1:32" s="62" customFormat="1" ht="14.25" x14ac:dyDescent="0.2">
      <c r="A150" s="61"/>
      <c r="G150" s="67"/>
      <c r="K150" s="64"/>
      <c r="L150" s="64"/>
      <c r="M150" s="64"/>
      <c r="N150" s="64"/>
      <c r="O150" s="64"/>
      <c r="P150" s="64"/>
      <c r="Q150" s="64"/>
      <c r="R150" s="64"/>
      <c r="T150" s="64"/>
      <c r="U150" s="64"/>
      <c r="V150" s="64"/>
      <c r="W150" s="64"/>
      <c r="X150" s="64"/>
      <c r="AA150" s="64"/>
      <c r="AD150" s="64"/>
      <c r="AE150" s="64"/>
      <c r="AF150" s="64"/>
    </row>
    <row r="151" spans="1:32" s="62" customFormat="1" ht="14.25" x14ac:dyDescent="0.2">
      <c r="A151" s="61"/>
      <c r="G151" s="67"/>
      <c r="K151" s="64"/>
      <c r="L151" s="64"/>
      <c r="M151" s="64"/>
      <c r="N151" s="64"/>
      <c r="O151" s="64"/>
      <c r="P151" s="64"/>
      <c r="Q151" s="64"/>
      <c r="R151" s="64"/>
      <c r="T151" s="64"/>
      <c r="U151" s="64"/>
      <c r="V151" s="64"/>
      <c r="W151" s="64"/>
      <c r="X151" s="64"/>
      <c r="AA151" s="64"/>
      <c r="AD151" s="64"/>
      <c r="AE151" s="64"/>
      <c r="AF151" s="64"/>
    </row>
    <row r="152" spans="1:32" s="62" customFormat="1" ht="14.25" x14ac:dyDescent="0.2">
      <c r="A152" s="61"/>
      <c r="G152" s="67"/>
      <c r="K152" s="64"/>
      <c r="L152" s="64"/>
      <c r="M152" s="64"/>
      <c r="N152" s="64"/>
      <c r="O152" s="64"/>
      <c r="P152" s="64"/>
      <c r="Q152" s="64"/>
      <c r="R152" s="64"/>
      <c r="T152" s="64"/>
      <c r="U152" s="64"/>
      <c r="V152" s="64"/>
      <c r="W152" s="64"/>
      <c r="X152" s="64"/>
      <c r="AA152" s="64"/>
      <c r="AD152" s="64"/>
      <c r="AE152" s="64"/>
      <c r="AF152" s="64"/>
    </row>
    <row r="153" spans="1:32" s="62" customFormat="1" ht="14.25" x14ac:dyDescent="0.2">
      <c r="A153" s="61"/>
      <c r="G153" s="67"/>
      <c r="K153" s="64"/>
      <c r="L153" s="64"/>
      <c r="M153" s="64"/>
      <c r="N153" s="64"/>
      <c r="O153" s="64"/>
      <c r="P153" s="64"/>
      <c r="Q153" s="64"/>
      <c r="R153" s="64"/>
      <c r="T153" s="64"/>
      <c r="U153" s="64"/>
      <c r="V153" s="64"/>
      <c r="W153" s="64"/>
      <c r="X153" s="64"/>
      <c r="AA153" s="64"/>
      <c r="AD153" s="64"/>
      <c r="AE153" s="64"/>
      <c r="AF153" s="64"/>
    </row>
    <row r="154" spans="1:32" s="62" customFormat="1" ht="14.25" x14ac:dyDescent="0.2">
      <c r="A154" s="61"/>
      <c r="G154" s="67"/>
      <c r="K154" s="64"/>
      <c r="L154" s="64"/>
      <c r="M154" s="64"/>
      <c r="N154" s="64"/>
      <c r="O154" s="64"/>
      <c r="P154" s="64"/>
      <c r="Q154" s="64"/>
      <c r="R154" s="64"/>
      <c r="T154" s="64"/>
      <c r="U154" s="64"/>
      <c r="V154" s="64"/>
      <c r="W154" s="64"/>
      <c r="X154" s="64"/>
      <c r="AA154" s="64"/>
      <c r="AD154" s="64"/>
      <c r="AE154" s="64"/>
      <c r="AF154" s="64"/>
    </row>
  </sheetData>
  <autoFilter ref="A1:AW1" xr:uid="{C19BA550-2C11-443B-8B40-9C662C082985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2C00-462C-4D33-9223-98D17EFAD1A1}">
  <dimension ref="A1:AU154"/>
  <sheetViews>
    <sheetView workbookViewId="0">
      <selection activeCell="A2" sqref="A2:XFD154"/>
    </sheetView>
  </sheetViews>
  <sheetFormatPr defaultRowHeight="15" x14ac:dyDescent="0.25"/>
  <cols>
    <col min="1" max="1" width="14.7109375" style="23" bestFit="1" customWidth="1"/>
    <col min="7" max="7" width="14.7109375" style="23" bestFit="1" customWidth="1"/>
    <col min="14" max="14" width="11.5703125" style="26" bestFit="1" customWidth="1"/>
    <col min="15" max="16" width="15.28515625" style="26" bestFit="1" customWidth="1"/>
    <col min="17" max="17" width="9.7109375" style="28" bestFit="1" customWidth="1"/>
    <col min="18" max="18" width="12.5703125" style="28" bestFit="1" customWidth="1"/>
    <col min="20" max="21" width="12.5703125" style="25" bestFit="1" customWidth="1"/>
    <col min="22" max="22" width="11.5703125" style="25" bestFit="1" customWidth="1"/>
    <col min="23" max="23" width="9.28515625" style="25" bestFit="1" customWidth="1"/>
    <col min="24" max="24" width="11.5703125" style="25" bestFit="1" customWidth="1"/>
    <col min="41" max="41" width="158.28515625" bestFit="1" customWidth="1"/>
    <col min="46" max="46" width="70" hidden="1" customWidth="1"/>
  </cols>
  <sheetData>
    <row r="1" spans="1:47" s="4" customFormat="1" ht="15" customHeight="1" x14ac:dyDescent="0.25">
      <c r="A1" s="5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2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13</v>
      </c>
      <c r="O1" s="9" t="s">
        <v>14</v>
      </c>
      <c r="P1" s="9" t="s">
        <v>15</v>
      </c>
      <c r="Q1" s="27" t="s">
        <v>16</v>
      </c>
      <c r="R1" s="27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7" t="s">
        <v>59</v>
      </c>
      <c r="AP1" s="1"/>
      <c r="AQ1" s="1"/>
      <c r="AR1" s="1"/>
      <c r="AT1" s="17" t="s">
        <v>39</v>
      </c>
      <c r="AU1" s="16"/>
    </row>
    <row r="2" spans="1:47" s="36" customFormat="1" ht="14.25" x14ac:dyDescent="0.2">
      <c r="A2" s="57"/>
      <c r="G2" s="57"/>
      <c r="N2" s="50"/>
      <c r="O2" s="50"/>
      <c r="P2" s="50"/>
      <c r="Q2" s="51"/>
      <c r="R2" s="51"/>
      <c r="T2" s="52"/>
      <c r="U2" s="52"/>
      <c r="V2" s="52"/>
      <c r="W2" s="52"/>
      <c r="X2" s="52"/>
    </row>
    <row r="3" spans="1:47" s="36" customFormat="1" ht="14.25" x14ac:dyDescent="0.2">
      <c r="A3" s="57"/>
      <c r="G3" s="57"/>
      <c r="N3" s="50"/>
      <c r="O3" s="50"/>
      <c r="P3" s="50"/>
      <c r="Q3" s="51"/>
      <c r="R3" s="51"/>
      <c r="T3" s="52"/>
      <c r="U3" s="52"/>
      <c r="V3" s="52"/>
      <c r="W3" s="52"/>
      <c r="X3" s="52"/>
    </row>
    <row r="4" spans="1:47" s="36" customFormat="1" ht="14.25" x14ac:dyDescent="0.2">
      <c r="A4" s="57"/>
      <c r="G4" s="57"/>
      <c r="N4" s="50"/>
      <c r="O4" s="50"/>
      <c r="P4" s="50"/>
      <c r="Q4" s="51"/>
      <c r="R4" s="51"/>
      <c r="T4" s="52"/>
      <c r="U4" s="52"/>
      <c r="V4" s="52"/>
      <c r="W4" s="52"/>
      <c r="X4" s="52"/>
    </row>
    <row r="5" spans="1:47" s="36" customFormat="1" ht="14.25" x14ac:dyDescent="0.2">
      <c r="A5" s="57"/>
      <c r="G5" s="57"/>
      <c r="N5" s="50"/>
      <c r="O5" s="50"/>
      <c r="P5" s="50"/>
      <c r="Q5" s="51"/>
      <c r="R5" s="51"/>
      <c r="T5" s="52"/>
      <c r="U5" s="52"/>
      <c r="V5" s="52"/>
      <c r="W5" s="52"/>
      <c r="X5" s="52"/>
    </row>
    <row r="6" spans="1:47" s="62" customFormat="1" ht="14.25" x14ac:dyDescent="0.2">
      <c r="A6" s="61"/>
      <c r="G6" s="61"/>
      <c r="N6" s="68"/>
      <c r="O6" s="68"/>
      <c r="P6" s="68"/>
      <c r="Q6" s="69"/>
      <c r="R6" s="69"/>
      <c r="T6" s="70"/>
      <c r="U6" s="70"/>
      <c r="V6" s="70"/>
      <c r="W6" s="70"/>
      <c r="X6" s="70"/>
    </row>
    <row r="7" spans="1:47" s="62" customFormat="1" ht="14.25" x14ac:dyDescent="0.2">
      <c r="A7" s="61"/>
      <c r="G7" s="61"/>
      <c r="N7" s="71"/>
      <c r="O7" s="71"/>
      <c r="P7" s="71"/>
      <c r="Q7" s="72"/>
      <c r="R7" s="72"/>
      <c r="T7" s="64"/>
      <c r="U7" s="64"/>
      <c r="V7" s="64"/>
      <c r="W7" s="64"/>
      <c r="X7" s="64"/>
    </row>
    <row r="8" spans="1:47" s="62" customFormat="1" ht="14.25" x14ac:dyDescent="0.2">
      <c r="A8" s="61"/>
      <c r="G8" s="61"/>
      <c r="N8" s="71"/>
      <c r="O8" s="71"/>
      <c r="P8" s="71"/>
      <c r="Q8" s="72"/>
      <c r="R8" s="72"/>
      <c r="T8" s="64"/>
      <c r="U8" s="64"/>
      <c r="V8" s="64"/>
      <c r="W8" s="64"/>
      <c r="X8" s="64"/>
    </row>
    <row r="9" spans="1:47" s="62" customFormat="1" ht="14.25" x14ac:dyDescent="0.2">
      <c r="A9" s="61"/>
      <c r="G9" s="61"/>
      <c r="N9" s="71"/>
      <c r="O9" s="71"/>
      <c r="P9" s="71"/>
      <c r="Q9" s="72"/>
      <c r="R9" s="72"/>
      <c r="T9" s="64"/>
      <c r="U9" s="64"/>
      <c r="V9" s="64"/>
      <c r="W9" s="64"/>
      <c r="X9" s="64"/>
    </row>
    <row r="10" spans="1:47" s="62" customFormat="1" ht="14.25" x14ac:dyDescent="0.2">
      <c r="A10" s="61"/>
      <c r="G10" s="61"/>
      <c r="N10" s="71"/>
      <c r="O10" s="71"/>
      <c r="P10" s="71"/>
      <c r="Q10" s="72"/>
      <c r="R10" s="72"/>
      <c r="T10" s="64"/>
      <c r="U10" s="64"/>
      <c r="V10" s="64"/>
      <c r="W10" s="64"/>
      <c r="X10" s="64"/>
    </row>
    <row r="11" spans="1:47" s="62" customFormat="1" ht="14.25" x14ac:dyDescent="0.2">
      <c r="A11" s="61"/>
      <c r="G11" s="61"/>
      <c r="N11" s="71"/>
      <c r="O11" s="71"/>
      <c r="P11" s="71"/>
      <c r="Q11" s="72"/>
      <c r="R11" s="72"/>
      <c r="T11" s="64"/>
      <c r="U11" s="64"/>
      <c r="V11" s="64"/>
      <c r="W11" s="64"/>
      <c r="X11" s="64"/>
    </row>
    <row r="12" spans="1:47" s="62" customFormat="1" ht="14.25" x14ac:dyDescent="0.2">
      <c r="A12" s="61"/>
      <c r="G12" s="61"/>
      <c r="N12" s="71"/>
      <c r="O12" s="71"/>
      <c r="P12" s="71"/>
      <c r="Q12" s="72"/>
      <c r="R12" s="72"/>
      <c r="T12" s="64"/>
      <c r="U12" s="64"/>
      <c r="V12" s="64"/>
      <c r="W12" s="64"/>
      <c r="X12" s="64"/>
    </row>
    <row r="13" spans="1:47" s="62" customFormat="1" ht="14.25" x14ac:dyDescent="0.2">
      <c r="A13" s="61"/>
      <c r="G13" s="61"/>
      <c r="N13" s="71"/>
      <c r="O13" s="71"/>
      <c r="P13" s="71"/>
      <c r="Q13" s="72"/>
      <c r="R13" s="72"/>
      <c r="T13" s="64"/>
      <c r="U13" s="64"/>
      <c r="V13" s="64"/>
      <c r="W13" s="64"/>
      <c r="X13" s="64"/>
    </row>
    <row r="14" spans="1:47" s="62" customFormat="1" ht="14.25" x14ac:dyDescent="0.2">
      <c r="A14" s="61"/>
      <c r="G14" s="61"/>
      <c r="N14" s="71"/>
      <c r="O14" s="71"/>
      <c r="P14" s="71"/>
      <c r="Q14" s="72"/>
      <c r="R14" s="72"/>
      <c r="T14" s="64"/>
      <c r="U14" s="64"/>
      <c r="V14" s="64"/>
      <c r="W14" s="64"/>
      <c r="X14" s="64"/>
    </row>
    <row r="15" spans="1:47" s="62" customFormat="1" ht="14.25" x14ac:dyDescent="0.2">
      <c r="A15" s="61"/>
      <c r="G15" s="61"/>
      <c r="N15" s="71"/>
      <c r="O15" s="71"/>
      <c r="P15" s="71"/>
      <c r="Q15" s="72"/>
      <c r="R15" s="72"/>
      <c r="T15" s="64"/>
      <c r="U15" s="64"/>
      <c r="V15" s="64"/>
      <c r="W15" s="64"/>
      <c r="X15" s="64"/>
    </row>
    <row r="16" spans="1:47" s="62" customFormat="1" ht="14.25" x14ac:dyDescent="0.2">
      <c r="A16" s="61"/>
      <c r="G16" s="61"/>
      <c r="N16" s="71"/>
      <c r="O16" s="71"/>
      <c r="P16" s="71"/>
      <c r="Q16" s="72"/>
      <c r="R16" s="72"/>
      <c r="T16" s="64"/>
      <c r="U16" s="64"/>
      <c r="V16" s="64"/>
      <c r="W16" s="64"/>
      <c r="X16" s="64"/>
    </row>
    <row r="17" spans="1:24" s="62" customFormat="1" ht="14.25" x14ac:dyDescent="0.2">
      <c r="A17" s="61"/>
      <c r="G17" s="61"/>
      <c r="N17" s="71"/>
      <c r="O17" s="71"/>
      <c r="P17" s="71"/>
      <c r="Q17" s="72"/>
      <c r="R17" s="72"/>
      <c r="T17" s="64"/>
      <c r="U17" s="64"/>
      <c r="V17" s="64"/>
      <c r="W17" s="64"/>
      <c r="X17" s="64"/>
    </row>
    <row r="18" spans="1:24" s="62" customFormat="1" ht="14.25" x14ac:dyDescent="0.2">
      <c r="A18" s="61"/>
      <c r="G18" s="61"/>
      <c r="N18" s="71"/>
      <c r="O18" s="71"/>
      <c r="P18" s="71"/>
      <c r="Q18" s="72"/>
      <c r="R18" s="72"/>
      <c r="T18" s="64"/>
      <c r="U18" s="64"/>
      <c r="V18" s="64"/>
      <c r="W18" s="64"/>
      <c r="X18" s="64"/>
    </row>
    <row r="19" spans="1:24" s="62" customFormat="1" ht="14.25" x14ac:dyDescent="0.2">
      <c r="A19" s="61"/>
      <c r="G19" s="61"/>
      <c r="N19" s="71"/>
      <c r="O19" s="71"/>
      <c r="P19" s="71"/>
      <c r="Q19" s="72"/>
      <c r="R19" s="72"/>
      <c r="T19" s="64"/>
      <c r="U19" s="64"/>
      <c r="V19" s="64"/>
      <c r="W19" s="64"/>
      <c r="X19" s="64"/>
    </row>
    <row r="20" spans="1:24" s="62" customFormat="1" ht="14.25" x14ac:dyDescent="0.2">
      <c r="A20" s="61"/>
      <c r="G20" s="61"/>
      <c r="N20" s="71"/>
      <c r="O20" s="71"/>
      <c r="P20" s="71"/>
      <c r="Q20" s="72"/>
      <c r="R20" s="72"/>
      <c r="T20" s="64"/>
      <c r="U20" s="64"/>
      <c r="V20" s="64"/>
      <c r="W20" s="64"/>
      <c r="X20" s="64"/>
    </row>
    <row r="21" spans="1:24" s="62" customFormat="1" ht="14.25" x14ac:dyDescent="0.2">
      <c r="A21" s="61"/>
      <c r="G21" s="61"/>
      <c r="N21" s="71"/>
      <c r="O21" s="71"/>
      <c r="P21" s="71"/>
      <c r="Q21" s="72"/>
      <c r="R21" s="72"/>
      <c r="T21" s="64"/>
      <c r="U21" s="64"/>
      <c r="V21" s="64"/>
      <c r="W21" s="64"/>
      <c r="X21" s="64"/>
    </row>
    <row r="22" spans="1:24" s="62" customFormat="1" ht="14.25" x14ac:dyDescent="0.2">
      <c r="A22" s="61"/>
      <c r="G22" s="61"/>
      <c r="N22" s="71"/>
      <c r="O22" s="71"/>
      <c r="P22" s="71"/>
      <c r="Q22" s="72"/>
      <c r="R22" s="72"/>
      <c r="T22" s="64"/>
      <c r="U22" s="64"/>
      <c r="V22" s="64"/>
      <c r="W22" s="64"/>
      <c r="X22" s="64"/>
    </row>
    <row r="23" spans="1:24" s="62" customFormat="1" ht="14.25" x14ac:dyDescent="0.2">
      <c r="A23" s="61"/>
      <c r="G23" s="61"/>
      <c r="N23" s="71"/>
      <c r="O23" s="71"/>
      <c r="P23" s="71"/>
      <c r="Q23" s="72"/>
      <c r="R23" s="72"/>
      <c r="T23" s="64"/>
      <c r="U23" s="64"/>
      <c r="V23" s="64"/>
      <c r="W23" s="64"/>
      <c r="X23" s="64"/>
    </row>
    <row r="24" spans="1:24" s="62" customFormat="1" ht="14.25" x14ac:dyDescent="0.2">
      <c r="A24" s="61"/>
      <c r="G24" s="61"/>
      <c r="N24" s="71"/>
      <c r="O24" s="71"/>
      <c r="P24" s="71"/>
      <c r="Q24" s="72"/>
      <c r="R24" s="72"/>
      <c r="T24" s="64"/>
      <c r="U24" s="64"/>
      <c r="V24" s="64"/>
      <c r="W24" s="64"/>
      <c r="X24" s="64"/>
    </row>
    <row r="25" spans="1:24" s="62" customFormat="1" ht="14.25" x14ac:dyDescent="0.2">
      <c r="A25" s="61"/>
      <c r="G25" s="61"/>
      <c r="N25" s="71"/>
      <c r="O25" s="71"/>
      <c r="P25" s="71"/>
      <c r="Q25" s="72"/>
      <c r="R25" s="72"/>
      <c r="T25" s="64"/>
      <c r="U25" s="64"/>
      <c r="V25" s="64"/>
      <c r="W25" s="64"/>
      <c r="X25" s="64"/>
    </row>
    <row r="26" spans="1:24" s="62" customFormat="1" ht="14.25" x14ac:dyDescent="0.2">
      <c r="A26" s="61"/>
      <c r="G26" s="61"/>
      <c r="N26" s="71"/>
      <c r="O26" s="71"/>
      <c r="P26" s="71"/>
      <c r="Q26" s="72"/>
      <c r="R26" s="72"/>
      <c r="T26" s="64"/>
      <c r="U26" s="64"/>
      <c r="V26" s="64"/>
      <c r="W26" s="64"/>
      <c r="X26" s="64"/>
    </row>
    <row r="27" spans="1:24" s="62" customFormat="1" ht="14.25" x14ac:dyDescent="0.2">
      <c r="A27" s="61"/>
      <c r="G27" s="61"/>
      <c r="N27" s="71"/>
      <c r="O27" s="71"/>
      <c r="P27" s="71"/>
      <c r="Q27" s="72"/>
      <c r="R27" s="72"/>
      <c r="T27" s="64"/>
      <c r="U27" s="64"/>
      <c r="V27" s="64"/>
      <c r="W27" s="64"/>
      <c r="X27" s="64"/>
    </row>
    <row r="28" spans="1:24" s="62" customFormat="1" ht="14.25" x14ac:dyDescent="0.2">
      <c r="A28" s="61"/>
      <c r="G28" s="61"/>
      <c r="N28" s="71"/>
      <c r="O28" s="71"/>
      <c r="P28" s="71"/>
      <c r="Q28" s="72"/>
      <c r="R28" s="72"/>
      <c r="T28" s="64"/>
      <c r="U28" s="64"/>
      <c r="V28" s="64"/>
      <c r="W28" s="64"/>
      <c r="X28" s="64"/>
    </row>
    <row r="29" spans="1:24" s="62" customFormat="1" ht="14.25" x14ac:dyDescent="0.2">
      <c r="A29" s="61"/>
      <c r="G29" s="61"/>
      <c r="N29" s="71"/>
      <c r="O29" s="71"/>
      <c r="P29" s="71"/>
      <c r="Q29" s="72"/>
      <c r="R29" s="72"/>
      <c r="T29" s="64"/>
      <c r="U29" s="64"/>
      <c r="V29" s="64"/>
      <c r="W29" s="64"/>
      <c r="X29" s="64"/>
    </row>
    <row r="30" spans="1:24" s="62" customFormat="1" ht="14.25" x14ac:dyDescent="0.2">
      <c r="A30" s="61"/>
      <c r="G30" s="61"/>
      <c r="N30" s="71"/>
      <c r="O30" s="71"/>
      <c r="P30" s="71"/>
      <c r="Q30" s="72"/>
      <c r="R30" s="72"/>
      <c r="T30" s="64"/>
      <c r="U30" s="64"/>
      <c r="V30" s="64"/>
      <c r="W30" s="64"/>
      <c r="X30" s="64"/>
    </row>
    <row r="31" spans="1:24" s="62" customFormat="1" ht="14.25" x14ac:dyDescent="0.2">
      <c r="A31" s="61"/>
      <c r="G31" s="61"/>
      <c r="N31" s="71"/>
      <c r="O31" s="71"/>
      <c r="P31" s="71"/>
      <c r="Q31" s="72"/>
      <c r="R31" s="72"/>
      <c r="T31" s="64"/>
      <c r="U31" s="64"/>
      <c r="V31" s="64"/>
      <c r="W31" s="64"/>
      <c r="X31" s="64"/>
    </row>
    <row r="32" spans="1:24" s="62" customFormat="1" ht="14.25" x14ac:dyDescent="0.2">
      <c r="A32" s="61"/>
      <c r="G32" s="61"/>
      <c r="N32" s="71"/>
      <c r="O32" s="71"/>
      <c r="P32" s="71"/>
      <c r="Q32" s="72"/>
      <c r="R32" s="72"/>
      <c r="T32" s="64"/>
      <c r="U32" s="64"/>
      <c r="V32" s="64"/>
      <c r="W32" s="64"/>
      <c r="X32" s="64"/>
    </row>
    <row r="33" spans="1:24" s="62" customFormat="1" ht="14.25" x14ac:dyDescent="0.2">
      <c r="A33" s="61"/>
      <c r="G33" s="61"/>
      <c r="N33" s="71"/>
      <c r="O33" s="71"/>
      <c r="P33" s="71"/>
      <c r="Q33" s="72"/>
      <c r="R33" s="72"/>
      <c r="T33" s="64"/>
      <c r="U33" s="64"/>
      <c r="V33" s="64"/>
      <c r="W33" s="64"/>
      <c r="X33" s="64"/>
    </row>
    <row r="34" spans="1:24" s="62" customFormat="1" ht="14.25" x14ac:dyDescent="0.2">
      <c r="A34" s="61"/>
      <c r="G34" s="61"/>
      <c r="N34" s="71"/>
      <c r="O34" s="71"/>
      <c r="P34" s="71"/>
      <c r="Q34" s="72"/>
      <c r="R34" s="72"/>
      <c r="T34" s="64"/>
      <c r="U34" s="64"/>
      <c r="V34" s="64"/>
      <c r="W34" s="64"/>
      <c r="X34" s="64"/>
    </row>
    <row r="35" spans="1:24" s="62" customFormat="1" ht="14.25" x14ac:dyDescent="0.2">
      <c r="A35" s="61"/>
      <c r="G35" s="61"/>
      <c r="N35" s="71"/>
      <c r="O35" s="71"/>
      <c r="P35" s="71"/>
      <c r="Q35" s="72"/>
      <c r="R35" s="72"/>
      <c r="T35" s="64"/>
      <c r="U35" s="64"/>
      <c r="V35" s="64"/>
      <c r="W35" s="64"/>
      <c r="X35" s="64"/>
    </row>
    <row r="36" spans="1:24" s="62" customFormat="1" ht="14.25" x14ac:dyDescent="0.2">
      <c r="A36" s="61"/>
      <c r="G36" s="61"/>
      <c r="N36" s="71"/>
      <c r="O36" s="71"/>
      <c r="P36" s="71"/>
      <c r="Q36" s="72"/>
      <c r="R36" s="72"/>
      <c r="T36" s="64"/>
      <c r="U36" s="64"/>
      <c r="V36" s="64"/>
      <c r="W36" s="64"/>
      <c r="X36" s="64"/>
    </row>
    <row r="37" spans="1:24" s="62" customFormat="1" ht="14.25" x14ac:dyDescent="0.2">
      <c r="A37" s="61"/>
      <c r="G37" s="61"/>
      <c r="N37" s="71"/>
      <c r="O37" s="71"/>
      <c r="P37" s="71"/>
      <c r="Q37" s="72"/>
      <c r="R37" s="72"/>
      <c r="T37" s="64"/>
      <c r="U37" s="64"/>
      <c r="V37" s="64"/>
      <c r="W37" s="64"/>
      <c r="X37" s="64"/>
    </row>
    <row r="38" spans="1:24" s="62" customFormat="1" ht="14.25" x14ac:dyDescent="0.2">
      <c r="A38" s="61"/>
      <c r="G38" s="61"/>
      <c r="N38" s="71"/>
      <c r="O38" s="71"/>
      <c r="P38" s="71"/>
      <c r="Q38" s="72"/>
      <c r="R38" s="72"/>
      <c r="T38" s="64"/>
      <c r="U38" s="64"/>
      <c r="V38" s="64"/>
      <c r="W38" s="64"/>
      <c r="X38" s="64"/>
    </row>
    <row r="39" spans="1:24" s="62" customFormat="1" ht="14.25" x14ac:dyDescent="0.2">
      <c r="A39" s="61"/>
      <c r="G39" s="61"/>
      <c r="N39" s="71"/>
      <c r="O39" s="71"/>
      <c r="P39" s="71"/>
      <c r="Q39" s="72"/>
      <c r="R39" s="72"/>
      <c r="T39" s="64"/>
      <c r="U39" s="64"/>
      <c r="V39" s="64"/>
      <c r="W39" s="64"/>
      <c r="X39" s="64"/>
    </row>
    <row r="40" spans="1:24" s="62" customFormat="1" ht="14.25" x14ac:dyDescent="0.2">
      <c r="A40" s="61"/>
      <c r="G40" s="61"/>
      <c r="N40" s="71"/>
      <c r="O40" s="71"/>
      <c r="P40" s="71"/>
      <c r="Q40" s="72"/>
      <c r="R40" s="72"/>
      <c r="T40" s="64"/>
      <c r="U40" s="64"/>
      <c r="V40" s="64"/>
      <c r="W40" s="64"/>
      <c r="X40" s="64"/>
    </row>
    <row r="41" spans="1:24" s="62" customFormat="1" ht="14.25" x14ac:dyDescent="0.2">
      <c r="A41" s="61"/>
      <c r="G41" s="61"/>
      <c r="N41" s="71"/>
      <c r="O41" s="71"/>
      <c r="P41" s="71"/>
      <c r="Q41" s="72"/>
      <c r="R41" s="72"/>
      <c r="T41" s="64"/>
      <c r="U41" s="64"/>
      <c r="V41" s="64"/>
      <c r="W41" s="64"/>
      <c r="X41" s="64"/>
    </row>
    <row r="42" spans="1:24" s="62" customFormat="1" ht="14.25" x14ac:dyDescent="0.2">
      <c r="A42" s="61"/>
      <c r="G42" s="61"/>
      <c r="N42" s="71"/>
      <c r="O42" s="71"/>
      <c r="P42" s="71"/>
      <c r="Q42" s="72"/>
      <c r="R42" s="72"/>
      <c r="T42" s="64"/>
      <c r="U42" s="64"/>
      <c r="V42" s="64"/>
      <c r="W42" s="64"/>
      <c r="X42" s="64"/>
    </row>
    <row r="43" spans="1:24" s="62" customFormat="1" ht="14.25" x14ac:dyDescent="0.2">
      <c r="A43" s="61"/>
      <c r="G43" s="61"/>
      <c r="N43" s="71"/>
      <c r="O43" s="71"/>
      <c r="P43" s="71"/>
      <c r="Q43" s="72"/>
      <c r="R43" s="72"/>
      <c r="T43" s="64"/>
      <c r="U43" s="64"/>
      <c r="V43" s="64"/>
      <c r="W43" s="64"/>
      <c r="X43" s="64"/>
    </row>
    <row r="44" spans="1:24" s="62" customFormat="1" ht="14.25" x14ac:dyDescent="0.2">
      <c r="A44" s="61"/>
      <c r="G44" s="61"/>
      <c r="N44" s="71"/>
      <c r="O44" s="71"/>
      <c r="P44" s="71"/>
      <c r="Q44" s="72"/>
      <c r="R44" s="72"/>
      <c r="T44" s="64"/>
      <c r="U44" s="64"/>
      <c r="V44" s="64"/>
      <c r="W44" s="64"/>
      <c r="X44" s="64"/>
    </row>
    <row r="45" spans="1:24" s="62" customFormat="1" ht="14.25" x14ac:dyDescent="0.2">
      <c r="A45" s="61"/>
      <c r="G45" s="61"/>
      <c r="N45" s="71"/>
      <c r="O45" s="71"/>
      <c r="P45" s="71"/>
      <c r="Q45" s="72"/>
      <c r="R45" s="72"/>
      <c r="T45" s="64"/>
      <c r="U45" s="64"/>
      <c r="V45" s="64"/>
      <c r="W45" s="64"/>
      <c r="X45" s="64"/>
    </row>
    <row r="46" spans="1:24" s="62" customFormat="1" ht="14.25" x14ac:dyDescent="0.2">
      <c r="A46" s="61"/>
      <c r="G46" s="61"/>
      <c r="N46" s="71"/>
      <c r="O46" s="71"/>
      <c r="P46" s="71"/>
      <c r="Q46" s="72"/>
      <c r="R46" s="72"/>
      <c r="T46" s="64"/>
      <c r="U46" s="64"/>
      <c r="V46" s="64"/>
      <c r="W46" s="64"/>
      <c r="X46" s="64"/>
    </row>
    <row r="47" spans="1:24" s="62" customFormat="1" ht="14.25" x14ac:dyDescent="0.2">
      <c r="A47" s="61"/>
      <c r="G47" s="61"/>
      <c r="N47" s="71"/>
      <c r="O47" s="71"/>
      <c r="P47" s="71"/>
      <c r="Q47" s="72"/>
      <c r="R47" s="72"/>
      <c r="T47" s="64"/>
      <c r="U47" s="64"/>
      <c r="V47" s="64"/>
      <c r="W47" s="64"/>
      <c r="X47" s="64"/>
    </row>
    <row r="48" spans="1:24" s="62" customFormat="1" ht="14.25" x14ac:dyDescent="0.2">
      <c r="A48" s="61"/>
      <c r="G48" s="61"/>
      <c r="N48" s="71"/>
      <c r="O48" s="71"/>
      <c r="P48" s="71"/>
      <c r="Q48" s="72"/>
      <c r="R48" s="72"/>
      <c r="T48" s="64"/>
      <c r="U48" s="64"/>
      <c r="V48" s="64"/>
      <c r="W48" s="64"/>
      <c r="X48" s="64"/>
    </row>
    <row r="49" spans="1:24" s="62" customFormat="1" ht="14.25" x14ac:dyDescent="0.2">
      <c r="A49" s="61"/>
      <c r="G49" s="61"/>
      <c r="N49" s="71"/>
      <c r="O49" s="71"/>
      <c r="P49" s="71"/>
      <c r="Q49" s="72"/>
      <c r="R49" s="72"/>
      <c r="T49" s="64"/>
      <c r="U49" s="64"/>
      <c r="V49" s="64"/>
      <c r="W49" s="64"/>
      <c r="X49" s="64"/>
    </row>
    <row r="50" spans="1:24" s="62" customFormat="1" ht="14.25" x14ac:dyDescent="0.2">
      <c r="A50" s="61"/>
      <c r="G50" s="61"/>
      <c r="N50" s="71"/>
      <c r="O50" s="71"/>
      <c r="P50" s="71"/>
      <c r="Q50" s="72"/>
      <c r="R50" s="72"/>
      <c r="T50" s="64"/>
      <c r="U50" s="64"/>
      <c r="V50" s="64"/>
      <c r="W50" s="64"/>
      <c r="X50" s="64"/>
    </row>
    <row r="51" spans="1:24" s="62" customFormat="1" ht="14.25" x14ac:dyDescent="0.2">
      <c r="A51" s="61"/>
      <c r="G51" s="61"/>
      <c r="N51" s="71"/>
      <c r="O51" s="71"/>
      <c r="P51" s="71"/>
      <c r="Q51" s="72"/>
      <c r="R51" s="72"/>
      <c r="T51" s="64"/>
      <c r="U51" s="64"/>
      <c r="V51" s="64"/>
      <c r="W51" s="64"/>
      <c r="X51" s="64"/>
    </row>
    <row r="52" spans="1:24" s="62" customFormat="1" ht="14.25" x14ac:dyDescent="0.2">
      <c r="A52" s="61"/>
      <c r="G52" s="61"/>
      <c r="N52" s="71"/>
      <c r="O52" s="71"/>
      <c r="P52" s="71"/>
      <c r="Q52" s="72"/>
      <c r="R52" s="72"/>
      <c r="T52" s="64"/>
      <c r="U52" s="64"/>
      <c r="V52" s="64"/>
      <c r="W52" s="64"/>
      <c r="X52" s="64"/>
    </row>
    <row r="53" spans="1:24" s="62" customFormat="1" ht="14.25" x14ac:dyDescent="0.2">
      <c r="A53" s="61"/>
      <c r="G53" s="61"/>
      <c r="N53" s="71"/>
      <c r="O53" s="71"/>
      <c r="P53" s="71"/>
      <c r="Q53" s="72"/>
      <c r="R53" s="72"/>
      <c r="T53" s="64"/>
      <c r="U53" s="64"/>
      <c r="V53" s="64"/>
      <c r="W53" s="64"/>
      <c r="X53" s="64"/>
    </row>
    <row r="54" spans="1:24" s="62" customFormat="1" ht="14.25" x14ac:dyDescent="0.2">
      <c r="A54" s="61"/>
      <c r="G54" s="61"/>
      <c r="N54" s="71"/>
      <c r="O54" s="71"/>
      <c r="P54" s="71"/>
      <c r="Q54" s="72"/>
      <c r="R54" s="72"/>
      <c r="T54" s="64"/>
      <c r="U54" s="64"/>
      <c r="V54" s="64"/>
      <c r="W54" s="64"/>
      <c r="X54" s="64"/>
    </row>
    <row r="55" spans="1:24" s="62" customFormat="1" ht="14.25" x14ac:dyDescent="0.2">
      <c r="A55" s="61"/>
      <c r="G55" s="61"/>
      <c r="N55" s="71"/>
      <c r="O55" s="71"/>
      <c r="P55" s="71"/>
      <c r="Q55" s="72"/>
      <c r="R55" s="72"/>
      <c r="T55" s="64"/>
      <c r="U55" s="64"/>
      <c r="V55" s="64"/>
      <c r="W55" s="64"/>
      <c r="X55" s="64"/>
    </row>
    <row r="56" spans="1:24" s="62" customFormat="1" ht="14.25" x14ac:dyDescent="0.2">
      <c r="A56" s="61"/>
      <c r="G56" s="61"/>
      <c r="N56" s="71"/>
      <c r="O56" s="71"/>
      <c r="P56" s="71"/>
      <c r="Q56" s="72"/>
      <c r="R56" s="72"/>
      <c r="T56" s="64"/>
      <c r="U56" s="64"/>
      <c r="V56" s="64"/>
      <c r="W56" s="64"/>
      <c r="X56" s="64"/>
    </row>
    <row r="57" spans="1:24" s="62" customFormat="1" ht="14.25" x14ac:dyDescent="0.2">
      <c r="A57" s="61"/>
      <c r="G57" s="61"/>
      <c r="N57" s="71"/>
      <c r="O57" s="71"/>
      <c r="P57" s="71"/>
      <c r="Q57" s="72"/>
      <c r="R57" s="72"/>
      <c r="T57" s="64"/>
      <c r="U57" s="64"/>
      <c r="V57" s="64"/>
      <c r="W57" s="64"/>
      <c r="X57" s="64"/>
    </row>
    <row r="58" spans="1:24" s="62" customFormat="1" ht="14.25" x14ac:dyDescent="0.2">
      <c r="A58" s="61"/>
      <c r="G58" s="61"/>
      <c r="N58" s="71"/>
      <c r="O58" s="71"/>
      <c r="P58" s="71"/>
      <c r="Q58" s="72"/>
      <c r="R58" s="72"/>
      <c r="T58" s="64"/>
      <c r="U58" s="64"/>
      <c r="V58" s="64"/>
      <c r="W58" s="64"/>
      <c r="X58" s="64"/>
    </row>
    <row r="59" spans="1:24" s="62" customFormat="1" ht="14.25" x14ac:dyDescent="0.2">
      <c r="A59" s="61"/>
      <c r="G59" s="61"/>
      <c r="N59" s="71"/>
      <c r="O59" s="71"/>
      <c r="P59" s="71"/>
      <c r="Q59" s="72"/>
      <c r="R59" s="72"/>
      <c r="T59" s="64"/>
      <c r="U59" s="64"/>
      <c r="V59" s="64"/>
      <c r="W59" s="64"/>
      <c r="X59" s="64"/>
    </row>
    <row r="60" spans="1:24" s="62" customFormat="1" ht="14.25" x14ac:dyDescent="0.2">
      <c r="A60" s="61"/>
      <c r="G60" s="61"/>
      <c r="N60" s="71"/>
      <c r="O60" s="71"/>
      <c r="P60" s="71"/>
      <c r="Q60" s="72"/>
      <c r="R60" s="72"/>
      <c r="T60" s="64"/>
      <c r="U60" s="64"/>
      <c r="V60" s="64"/>
      <c r="W60" s="64"/>
      <c r="X60" s="64"/>
    </row>
    <row r="61" spans="1:24" s="62" customFormat="1" ht="14.25" x14ac:dyDescent="0.2">
      <c r="A61" s="61"/>
      <c r="G61" s="61"/>
      <c r="N61" s="71"/>
      <c r="O61" s="71"/>
      <c r="P61" s="71"/>
      <c r="Q61" s="72"/>
      <c r="R61" s="72"/>
      <c r="T61" s="64"/>
      <c r="U61" s="64"/>
      <c r="V61" s="64"/>
      <c r="W61" s="64"/>
      <c r="X61" s="64"/>
    </row>
    <row r="62" spans="1:24" s="62" customFormat="1" ht="14.25" x14ac:dyDescent="0.2">
      <c r="A62" s="61"/>
      <c r="G62" s="61"/>
      <c r="N62" s="71"/>
      <c r="O62" s="71"/>
      <c r="P62" s="71"/>
      <c r="Q62" s="72"/>
      <c r="R62" s="72"/>
      <c r="T62" s="64"/>
      <c r="U62" s="64"/>
      <c r="V62" s="64"/>
      <c r="W62" s="64"/>
      <c r="X62" s="64"/>
    </row>
    <row r="63" spans="1:24" s="62" customFormat="1" ht="14.25" x14ac:dyDescent="0.2">
      <c r="A63" s="61"/>
      <c r="G63" s="61"/>
      <c r="N63" s="71"/>
      <c r="O63" s="71"/>
      <c r="P63" s="71"/>
      <c r="Q63" s="72"/>
      <c r="R63" s="72"/>
      <c r="T63" s="64"/>
      <c r="U63" s="64"/>
      <c r="V63" s="64"/>
      <c r="W63" s="64"/>
      <c r="X63" s="64"/>
    </row>
    <row r="64" spans="1:24" s="62" customFormat="1" ht="14.25" x14ac:dyDescent="0.2">
      <c r="A64" s="61"/>
      <c r="G64" s="61"/>
      <c r="N64" s="71"/>
      <c r="O64" s="71"/>
      <c r="P64" s="71"/>
      <c r="Q64" s="72"/>
      <c r="R64" s="72"/>
      <c r="T64" s="64"/>
      <c r="U64" s="64"/>
      <c r="V64" s="64"/>
      <c r="W64" s="64"/>
      <c r="X64" s="64"/>
    </row>
    <row r="65" spans="1:24" s="62" customFormat="1" ht="14.25" x14ac:dyDescent="0.2">
      <c r="A65" s="61"/>
      <c r="G65" s="61"/>
      <c r="N65" s="71"/>
      <c r="O65" s="71"/>
      <c r="P65" s="71"/>
      <c r="Q65" s="72"/>
      <c r="R65" s="72"/>
      <c r="T65" s="64"/>
      <c r="U65" s="64"/>
      <c r="V65" s="64"/>
      <c r="W65" s="64"/>
      <c r="X65" s="64"/>
    </row>
    <row r="66" spans="1:24" s="62" customFormat="1" ht="14.25" x14ac:dyDescent="0.2">
      <c r="A66" s="61"/>
      <c r="G66" s="61"/>
      <c r="N66" s="71"/>
      <c r="O66" s="71"/>
      <c r="P66" s="71"/>
      <c r="Q66" s="72"/>
      <c r="R66" s="72"/>
      <c r="T66" s="64"/>
      <c r="U66" s="64"/>
      <c r="V66" s="64"/>
      <c r="W66" s="64"/>
      <c r="X66" s="64"/>
    </row>
    <row r="67" spans="1:24" s="62" customFormat="1" ht="14.25" x14ac:dyDescent="0.2">
      <c r="A67" s="61"/>
      <c r="G67" s="61"/>
      <c r="N67" s="71"/>
      <c r="O67" s="71"/>
      <c r="P67" s="71"/>
      <c r="Q67" s="72"/>
      <c r="R67" s="72"/>
      <c r="T67" s="64"/>
      <c r="U67" s="64"/>
      <c r="V67" s="64"/>
      <c r="W67" s="64"/>
      <c r="X67" s="64"/>
    </row>
    <row r="68" spans="1:24" s="62" customFormat="1" ht="14.25" x14ac:dyDescent="0.2">
      <c r="A68" s="61"/>
      <c r="G68" s="61"/>
      <c r="N68" s="71"/>
      <c r="O68" s="71"/>
      <c r="P68" s="71"/>
      <c r="Q68" s="72"/>
      <c r="R68" s="72"/>
      <c r="T68" s="64"/>
      <c r="U68" s="64"/>
      <c r="V68" s="64"/>
      <c r="W68" s="64"/>
      <c r="X68" s="64"/>
    </row>
    <row r="69" spans="1:24" s="62" customFormat="1" ht="14.25" x14ac:dyDescent="0.2">
      <c r="A69" s="61"/>
      <c r="G69" s="61"/>
      <c r="N69" s="71"/>
      <c r="O69" s="71"/>
      <c r="P69" s="71"/>
      <c r="Q69" s="72"/>
      <c r="R69" s="72"/>
      <c r="T69" s="64"/>
      <c r="U69" s="64"/>
      <c r="V69" s="64"/>
      <c r="W69" s="64"/>
      <c r="X69" s="64"/>
    </row>
    <row r="70" spans="1:24" s="62" customFormat="1" ht="14.25" x14ac:dyDescent="0.2">
      <c r="A70" s="61"/>
      <c r="G70" s="61"/>
      <c r="N70" s="71"/>
      <c r="O70" s="71"/>
      <c r="P70" s="71"/>
      <c r="Q70" s="72"/>
      <c r="R70" s="72"/>
      <c r="T70" s="64"/>
      <c r="U70" s="64"/>
      <c r="V70" s="64"/>
      <c r="W70" s="64"/>
      <c r="X70" s="64"/>
    </row>
    <row r="71" spans="1:24" s="62" customFormat="1" ht="14.25" x14ac:dyDescent="0.2">
      <c r="A71" s="61"/>
      <c r="G71" s="61"/>
      <c r="N71" s="71"/>
      <c r="O71" s="71"/>
      <c r="P71" s="71"/>
      <c r="Q71" s="72"/>
      <c r="R71" s="72"/>
      <c r="T71" s="64"/>
      <c r="U71" s="64"/>
      <c r="V71" s="64"/>
      <c r="W71" s="64"/>
      <c r="X71" s="64"/>
    </row>
    <row r="72" spans="1:24" s="62" customFormat="1" ht="14.25" x14ac:dyDescent="0.2">
      <c r="A72" s="61"/>
      <c r="G72" s="61"/>
      <c r="N72" s="71"/>
      <c r="O72" s="71"/>
      <c r="P72" s="71"/>
      <c r="Q72" s="72"/>
      <c r="R72" s="72"/>
      <c r="T72" s="64"/>
      <c r="U72" s="64"/>
      <c r="V72" s="64"/>
      <c r="W72" s="64"/>
      <c r="X72" s="64"/>
    </row>
    <row r="73" spans="1:24" s="62" customFormat="1" ht="14.25" x14ac:dyDescent="0.2">
      <c r="A73" s="61"/>
      <c r="G73" s="61"/>
      <c r="N73" s="71"/>
      <c r="O73" s="71"/>
      <c r="P73" s="71"/>
      <c r="Q73" s="72"/>
      <c r="R73" s="72"/>
      <c r="T73" s="64"/>
      <c r="U73" s="64"/>
      <c r="V73" s="64"/>
      <c r="W73" s="64"/>
      <c r="X73" s="64"/>
    </row>
    <row r="74" spans="1:24" s="62" customFormat="1" ht="14.25" x14ac:dyDescent="0.2">
      <c r="A74" s="61"/>
      <c r="G74" s="61"/>
      <c r="N74" s="71"/>
      <c r="O74" s="71"/>
      <c r="P74" s="71"/>
      <c r="Q74" s="72"/>
      <c r="R74" s="72"/>
      <c r="T74" s="64"/>
      <c r="U74" s="64"/>
      <c r="V74" s="64"/>
      <c r="W74" s="64"/>
      <c r="X74" s="64"/>
    </row>
    <row r="75" spans="1:24" s="62" customFormat="1" ht="14.25" x14ac:dyDescent="0.2">
      <c r="A75" s="61"/>
      <c r="G75" s="61"/>
      <c r="N75" s="71"/>
      <c r="O75" s="71"/>
      <c r="P75" s="71"/>
      <c r="Q75" s="72"/>
      <c r="R75" s="72"/>
      <c r="T75" s="64"/>
      <c r="U75" s="64"/>
      <c r="V75" s="64"/>
      <c r="W75" s="64"/>
      <c r="X75" s="64"/>
    </row>
    <row r="76" spans="1:24" s="62" customFormat="1" ht="14.25" x14ac:dyDescent="0.2">
      <c r="A76" s="61"/>
      <c r="G76" s="61"/>
      <c r="N76" s="71"/>
      <c r="O76" s="71"/>
      <c r="P76" s="71"/>
      <c r="Q76" s="72"/>
      <c r="R76" s="72"/>
      <c r="T76" s="64"/>
      <c r="U76" s="64"/>
      <c r="V76" s="64"/>
      <c r="W76" s="64"/>
      <c r="X76" s="64"/>
    </row>
    <row r="77" spans="1:24" s="62" customFormat="1" ht="14.25" x14ac:dyDescent="0.2">
      <c r="A77" s="61"/>
      <c r="G77" s="61"/>
      <c r="N77" s="71"/>
      <c r="O77" s="71"/>
      <c r="P77" s="71"/>
      <c r="Q77" s="72"/>
      <c r="R77" s="72"/>
      <c r="T77" s="64"/>
      <c r="U77" s="64"/>
      <c r="V77" s="64"/>
      <c r="W77" s="64"/>
      <c r="X77" s="64"/>
    </row>
    <row r="78" spans="1:24" s="62" customFormat="1" ht="14.25" x14ac:dyDescent="0.2">
      <c r="A78" s="61"/>
      <c r="G78" s="61"/>
      <c r="N78" s="71"/>
      <c r="O78" s="71"/>
      <c r="P78" s="71"/>
      <c r="Q78" s="72"/>
      <c r="R78" s="72"/>
      <c r="T78" s="64"/>
      <c r="U78" s="64"/>
      <c r="V78" s="64"/>
      <c r="W78" s="64"/>
      <c r="X78" s="64"/>
    </row>
    <row r="79" spans="1:24" s="62" customFormat="1" ht="14.25" x14ac:dyDescent="0.2">
      <c r="A79" s="61"/>
      <c r="G79" s="61"/>
      <c r="N79" s="71"/>
      <c r="O79" s="71"/>
      <c r="P79" s="71"/>
      <c r="Q79" s="72"/>
      <c r="R79" s="72"/>
      <c r="T79" s="64"/>
      <c r="U79" s="64"/>
      <c r="V79" s="64"/>
      <c r="W79" s="64"/>
      <c r="X79" s="64"/>
    </row>
    <row r="80" spans="1:24" s="62" customFormat="1" ht="14.25" x14ac:dyDescent="0.2">
      <c r="A80" s="61"/>
      <c r="G80" s="61"/>
      <c r="N80" s="71"/>
      <c r="O80" s="71"/>
      <c r="P80" s="71"/>
      <c r="Q80" s="72"/>
      <c r="R80" s="72"/>
      <c r="T80" s="64"/>
      <c r="U80" s="64"/>
      <c r="V80" s="64"/>
      <c r="W80" s="64"/>
      <c r="X80" s="64"/>
    </row>
    <row r="81" spans="1:24" s="62" customFormat="1" ht="14.25" x14ac:dyDescent="0.2">
      <c r="A81" s="61"/>
      <c r="G81" s="61"/>
      <c r="N81" s="71"/>
      <c r="O81" s="71"/>
      <c r="P81" s="71"/>
      <c r="Q81" s="72"/>
      <c r="R81" s="72"/>
      <c r="T81" s="64"/>
      <c r="U81" s="64"/>
      <c r="V81" s="64"/>
      <c r="W81" s="64"/>
      <c r="X81" s="64"/>
    </row>
    <row r="82" spans="1:24" s="62" customFormat="1" ht="14.25" x14ac:dyDescent="0.2">
      <c r="A82" s="61"/>
      <c r="G82" s="61"/>
      <c r="N82" s="71"/>
      <c r="O82" s="71"/>
      <c r="P82" s="71"/>
      <c r="Q82" s="72"/>
      <c r="R82" s="72"/>
      <c r="T82" s="64"/>
      <c r="U82" s="64"/>
      <c r="V82" s="64"/>
      <c r="W82" s="64"/>
      <c r="X82" s="64"/>
    </row>
    <row r="83" spans="1:24" s="62" customFormat="1" ht="14.25" x14ac:dyDescent="0.2">
      <c r="A83" s="61"/>
      <c r="G83" s="61"/>
      <c r="N83" s="71"/>
      <c r="O83" s="71"/>
      <c r="P83" s="71"/>
      <c r="Q83" s="72"/>
      <c r="R83" s="72"/>
      <c r="T83" s="64"/>
      <c r="U83" s="64"/>
      <c r="V83" s="64"/>
      <c r="W83" s="64"/>
      <c r="X83" s="64"/>
    </row>
    <row r="84" spans="1:24" s="62" customFormat="1" ht="14.25" x14ac:dyDescent="0.2">
      <c r="A84" s="61"/>
      <c r="G84" s="61"/>
      <c r="N84" s="71"/>
      <c r="O84" s="71"/>
      <c r="P84" s="71"/>
      <c r="Q84" s="72"/>
      <c r="R84" s="72"/>
      <c r="T84" s="64"/>
      <c r="U84" s="64"/>
      <c r="V84" s="64"/>
      <c r="W84" s="64"/>
      <c r="X84" s="64"/>
    </row>
    <row r="85" spans="1:24" s="62" customFormat="1" ht="14.25" x14ac:dyDescent="0.2">
      <c r="A85" s="61"/>
      <c r="G85" s="61"/>
      <c r="N85" s="71"/>
      <c r="O85" s="71"/>
      <c r="P85" s="71"/>
      <c r="Q85" s="72"/>
      <c r="R85" s="72"/>
      <c r="T85" s="64"/>
      <c r="U85" s="64"/>
      <c r="V85" s="64"/>
      <c r="W85" s="64"/>
      <c r="X85" s="64"/>
    </row>
    <row r="86" spans="1:24" s="62" customFormat="1" ht="14.25" x14ac:dyDescent="0.2">
      <c r="A86" s="61"/>
      <c r="G86" s="61"/>
      <c r="N86" s="71"/>
      <c r="O86" s="71"/>
      <c r="P86" s="71"/>
      <c r="Q86" s="72"/>
      <c r="R86" s="72"/>
      <c r="T86" s="64"/>
      <c r="U86" s="64"/>
      <c r="V86" s="64"/>
      <c r="W86" s="64"/>
      <c r="X86" s="64"/>
    </row>
    <row r="87" spans="1:24" s="62" customFormat="1" ht="14.25" x14ac:dyDescent="0.2">
      <c r="A87" s="61"/>
      <c r="G87" s="61"/>
      <c r="N87" s="71"/>
      <c r="O87" s="71"/>
      <c r="P87" s="71"/>
      <c r="Q87" s="72"/>
      <c r="R87" s="72"/>
      <c r="T87" s="64"/>
      <c r="U87" s="64"/>
      <c r="V87" s="64"/>
      <c r="W87" s="64"/>
      <c r="X87" s="64"/>
    </row>
    <row r="88" spans="1:24" s="62" customFormat="1" ht="14.25" x14ac:dyDescent="0.2">
      <c r="A88" s="61"/>
      <c r="G88" s="61"/>
      <c r="N88" s="71"/>
      <c r="O88" s="71"/>
      <c r="P88" s="71"/>
      <c r="Q88" s="72"/>
      <c r="R88" s="72"/>
      <c r="T88" s="64"/>
      <c r="U88" s="64"/>
      <c r="V88" s="64"/>
      <c r="W88" s="64"/>
      <c r="X88" s="64"/>
    </row>
    <row r="89" spans="1:24" s="62" customFormat="1" ht="14.25" x14ac:dyDescent="0.2">
      <c r="A89" s="61"/>
      <c r="G89" s="61"/>
      <c r="N89" s="71"/>
      <c r="O89" s="71"/>
      <c r="P89" s="71"/>
      <c r="Q89" s="72"/>
      <c r="R89" s="72"/>
      <c r="T89" s="64"/>
      <c r="U89" s="64"/>
      <c r="V89" s="64"/>
      <c r="W89" s="64"/>
      <c r="X89" s="64"/>
    </row>
    <row r="90" spans="1:24" s="62" customFormat="1" ht="14.25" x14ac:dyDescent="0.2">
      <c r="A90" s="61"/>
      <c r="G90" s="61"/>
      <c r="N90" s="71"/>
      <c r="O90" s="71"/>
      <c r="P90" s="71"/>
      <c r="Q90" s="72"/>
      <c r="R90" s="72"/>
      <c r="T90" s="64"/>
      <c r="U90" s="64"/>
      <c r="V90" s="64"/>
      <c r="W90" s="64"/>
      <c r="X90" s="64"/>
    </row>
    <row r="91" spans="1:24" s="62" customFormat="1" ht="14.25" x14ac:dyDescent="0.2">
      <c r="A91" s="61"/>
      <c r="G91" s="61"/>
      <c r="N91" s="71"/>
      <c r="O91" s="71"/>
      <c r="P91" s="71"/>
      <c r="Q91" s="72"/>
      <c r="R91" s="72"/>
      <c r="T91" s="64"/>
      <c r="U91" s="64"/>
      <c r="V91" s="64"/>
      <c r="W91" s="64"/>
      <c r="X91" s="64"/>
    </row>
    <row r="92" spans="1:24" s="62" customFormat="1" ht="14.25" x14ac:dyDescent="0.2">
      <c r="A92" s="61"/>
      <c r="G92" s="61"/>
      <c r="N92" s="71"/>
      <c r="O92" s="71"/>
      <c r="P92" s="71"/>
      <c r="Q92" s="72"/>
      <c r="R92" s="72"/>
      <c r="T92" s="64"/>
      <c r="U92" s="64"/>
      <c r="V92" s="64"/>
      <c r="W92" s="64"/>
      <c r="X92" s="64"/>
    </row>
    <row r="93" spans="1:24" s="62" customFormat="1" ht="14.25" x14ac:dyDescent="0.2">
      <c r="A93" s="61"/>
      <c r="G93" s="61"/>
      <c r="N93" s="71"/>
      <c r="O93" s="71"/>
      <c r="P93" s="71"/>
      <c r="Q93" s="72"/>
      <c r="R93" s="72"/>
      <c r="T93" s="64"/>
      <c r="U93" s="64"/>
      <c r="V93" s="64"/>
      <c r="W93" s="64"/>
      <c r="X93" s="64"/>
    </row>
    <row r="94" spans="1:24" s="62" customFormat="1" ht="14.25" x14ac:dyDescent="0.2">
      <c r="A94" s="61"/>
      <c r="G94" s="61"/>
      <c r="N94" s="71"/>
      <c r="O94" s="71"/>
      <c r="P94" s="71"/>
      <c r="Q94" s="72"/>
      <c r="R94" s="72"/>
      <c r="T94" s="64"/>
      <c r="U94" s="64"/>
      <c r="V94" s="64"/>
      <c r="W94" s="64"/>
      <c r="X94" s="64"/>
    </row>
    <row r="95" spans="1:24" s="62" customFormat="1" ht="14.25" x14ac:dyDescent="0.2">
      <c r="A95" s="61"/>
      <c r="G95" s="61"/>
      <c r="N95" s="71"/>
      <c r="O95" s="71"/>
      <c r="P95" s="71"/>
      <c r="Q95" s="72"/>
      <c r="R95" s="72"/>
      <c r="T95" s="64"/>
      <c r="U95" s="64"/>
      <c r="V95" s="64"/>
      <c r="W95" s="64"/>
      <c r="X95" s="64"/>
    </row>
    <row r="96" spans="1:24" s="62" customFormat="1" ht="14.25" x14ac:dyDescent="0.2">
      <c r="A96" s="61"/>
      <c r="G96" s="61"/>
      <c r="N96" s="71"/>
      <c r="O96" s="71"/>
      <c r="P96" s="71"/>
      <c r="Q96" s="72"/>
      <c r="R96" s="72"/>
      <c r="T96" s="64"/>
      <c r="U96" s="64"/>
      <c r="V96" s="64"/>
      <c r="W96" s="64"/>
      <c r="X96" s="64"/>
    </row>
    <row r="97" spans="1:24" s="62" customFormat="1" ht="14.25" x14ac:dyDescent="0.2">
      <c r="A97" s="61"/>
      <c r="G97" s="61"/>
      <c r="N97" s="71"/>
      <c r="O97" s="71"/>
      <c r="P97" s="71"/>
      <c r="Q97" s="72"/>
      <c r="R97" s="72"/>
      <c r="T97" s="64"/>
      <c r="U97" s="64"/>
      <c r="V97" s="64"/>
      <c r="W97" s="64"/>
      <c r="X97" s="64"/>
    </row>
    <row r="98" spans="1:24" s="62" customFormat="1" ht="14.25" x14ac:dyDescent="0.2">
      <c r="A98" s="61"/>
      <c r="G98" s="61"/>
      <c r="N98" s="71"/>
      <c r="O98" s="71"/>
      <c r="P98" s="71"/>
      <c r="Q98" s="72"/>
      <c r="R98" s="72"/>
      <c r="T98" s="64"/>
      <c r="U98" s="64"/>
      <c r="V98" s="64"/>
      <c r="W98" s="64"/>
      <c r="X98" s="64"/>
    </row>
    <row r="99" spans="1:24" s="62" customFormat="1" ht="14.25" x14ac:dyDescent="0.2">
      <c r="A99" s="61"/>
      <c r="G99" s="61"/>
      <c r="N99" s="71"/>
      <c r="O99" s="71"/>
      <c r="P99" s="71"/>
      <c r="Q99" s="72"/>
      <c r="R99" s="72"/>
      <c r="T99" s="64"/>
      <c r="U99" s="64"/>
      <c r="V99" s="64"/>
      <c r="W99" s="64"/>
      <c r="X99" s="64"/>
    </row>
    <row r="100" spans="1:24" s="62" customFormat="1" ht="14.25" x14ac:dyDescent="0.2">
      <c r="A100" s="61"/>
      <c r="G100" s="61"/>
      <c r="N100" s="71"/>
      <c r="O100" s="71"/>
      <c r="P100" s="71"/>
      <c r="Q100" s="72"/>
      <c r="R100" s="72"/>
      <c r="T100" s="64"/>
      <c r="U100" s="64"/>
      <c r="V100" s="64"/>
      <c r="W100" s="64"/>
      <c r="X100" s="64"/>
    </row>
    <row r="101" spans="1:24" s="62" customFormat="1" ht="14.25" x14ac:dyDescent="0.2">
      <c r="A101" s="61"/>
      <c r="G101" s="61"/>
      <c r="N101" s="71"/>
      <c r="O101" s="71"/>
      <c r="P101" s="71"/>
      <c r="Q101" s="72"/>
      <c r="R101" s="72"/>
      <c r="T101" s="64"/>
      <c r="U101" s="64"/>
      <c r="V101" s="64"/>
      <c r="W101" s="64"/>
      <c r="X101" s="64"/>
    </row>
    <row r="102" spans="1:24" s="62" customFormat="1" ht="14.25" x14ac:dyDescent="0.2">
      <c r="A102" s="61"/>
      <c r="G102" s="61"/>
      <c r="N102" s="71"/>
      <c r="O102" s="71"/>
      <c r="P102" s="71"/>
      <c r="Q102" s="72"/>
      <c r="R102" s="72"/>
      <c r="T102" s="64"/>
      <c r="U102" s="64"/>
      <c r="V102" s="64"/>
      <c r="W102" s="64"/>
      <c r="X102" s="64"/>
    </row>
    <row r="103" spans="1:24" s="62" customFormat="1" ht="14.25" x14ac:dyDescent="0.2">
      <c r="A103" s="61"/>
      <c r="G103" s="61"/>
      <c r="N103" s="71"/>
      <c r="O103" s="71"/>
      <c r="P103" s="71"/>
      <c r="Q103" s="72"/>
      <c r="R103" s="72"/>
      <c r="T103" s="64"/>
      <c r="U103" s="64"/>
      <c r="V103" s="64"/>
      <c r="W103" s="64"/>
      <c r="X103" s="64"/>
    </row>
    <row r="104" spans="1:24" s="62" customFormat="1" ht="14.25" x14ac:dyDescent="0.2">
      <c r="A104" s="61"/>
      <c r="G104" s="61"/>
      <c r="N104" s="71"/>
      <c r="O104" s="71"/>
      <c r="P104" s="71"/>
      <c r="Q104" s="72"/>
      <c r="R104" s="72"/>
      <c r="T104" s="64"/>
      <c r="U104" s="64"/>
      <c r="V104" s="64"/>
      <c r="W104" s="64"/>
      <c r="X104" s="64"/>
    </row>
    <row r="105" spans="1:24" s="62" customFormat="1" ht="14.25" x14ac:dyDescent="0.2">
      <c r="A105" s="61"/>
      <c r="G105" s="61"/>
      <c r="N105" s="71"/>
      <c r="O105" s="71"/>
      <c r="P105" s="71"/>
      <c r="Q105" s="72"/>
      <c r="R105" s="72"/>
      <c r="T105" s="64"/>
      <c r="U105" s="64"/>
      <c r="V105" s="64"/>
      <c r="W105" s="64"/>
      <c r="X105" s="64"/>
    </row>
    <row r="106" spans="1:24" s="62" customFormat="1" ht="14.25" x14ac:dyDescent="0.2">
      <c r="A106" s="61"/>
      <c r="G106" s="61"/>
      <c r="N106" s="71"/>
      <c r="O106" s="71"/>
      <c r="P106" s="71"/>
      <c r="Q106" s="72"/>
      <c r="R106" s="72"/>
      <c r="T106" s="64"/>
      <c r="U106" s="64"/>
      <c r="V106" s="64"/>
      <c r="W106" s="64"/>
      <c r="X106" s="64"/>
    </row>
    <row r="107" spans="1:24" s="62" customFormat="1" ht="14.25" x14ac:dyDescent="0.2">
      <c r="A107" s="61"/>
      <c r="G107" s="61"/>
      <c r="N107" s="71"/>
      <c r="O107" s="71"/>
      <c r="P107" s="71"/>
      <c r="Q107" s="72"/>
      <c r="R107" s="72"/>
      <c r="T107" s="64"/>
      <c r="U107" s="64"/>
      <c r="V107" s="64"/>
      <c r="W107" s="64"/>
      <c r="X107" s="64"/>
    </row>
    <row r="108" spans="1:24" s="62" customFormat="1" ht="14.25" x14ac:dyDescent="0.2">
      <c r="A108" s="61"/>
      <c r="G108" s="61"/>
      <c r="N108" s="71"/>
      <c r="O108" s="71"/>
      <c r="P108" s="71"/>
      <c r="Q108" s="72"/>
      <c r="R108" s="72"/>
      <c r="T108" s="64"/>
      <c r="U108" s="64"/>
      <c r="V108" s="64"/>
      <c r="W108" s="64"/>
      <c r="X108" s="64"/>
    </row>
    <row r="109" spans="1:24" s="62" customFormat="1" ht="14.25" x14ac:dyDescent="0.2">
      <c r="A109" s="61"/>
      <c r="G109" s="61"/>
      <c r="N109" s="71"/>
      <c r="O109" s="71"/>
      <c r="P109" s="71"/>
      <c r="Q109" s="72"/>
      <c r="R109" s="72"/>
      <c r="T109" s="64"/>
      <c r="U109" s="64"/>
      <c r="V109" s="64"/>
      <c r="W109" s="64"/>
      <c r="X109" s="64"/>
    </row>
    <row r="110" spans="1:24" s="62" customFormat="1" ht="14.25" x14ac:dyDescent="0.2">
      <c r="A110" s="61"/>
      <c r="G110" s="61"/>
      <c r="N110" s="71"/>
      <c r="O110" s="71"/>
      <c r="P110" s="71"/>
      <c r="Q110" s="72"/>
      <c r="R110" s="72"/>
      <c r="T110" s="64"/>
      <c r="U110" s="64"/>
      <c r="V110" s="64"/>
      <c r="W110" s="64"/>
      <c r="X110" s="64"/>
    </row>
    <row r="111" spans="1:24" s="62" customFormat="1" ht="14.25" x14ac:dyDescent="0.2">
      <c r="A111" s="61"/>
      <c r="G111" s="61"/>
      <c r="N111" s="71"/>
      <c r="O111" s="71"/>
      <c r="P111" s="71"/>
      <c r="Q111" s="72"/>
      <c r="R111" s="72"/>
      <c r="T111" s="64"/>
      <c r="U111" s="64"/>
      <c r="V111" s="64"/>
      <c r="W111" s="64"/>
      <c r="X111" s="64"/>
    </row>
    <row r="112" spans="1:24" s="62" customFormat="1" ht="14.25" x14ac:dyDescent="0.2">
      <c r="A112" s="61"/>
      <c r="G112" s="61"/>
      <c r="N112" s="71"/>
      <c r="O112" s="71"/>
      <c r="P112" s="71"/>
      <c r="Q112" s="72"/>
      <c r="R112" s="72"/>
      <c r="T112" s="64"/>
      <c r="U112" s="64"/>
      <c r="V112" s="64"/>
      <c r="W112" s="64"/>
      <c r="X112" s="64"/>
    </row>
    <row r="113" spans="1:24" s="62" customFormat="1" ht="14.25" x14ac:dyDescent="0.2">
      <c r="A113" s="61"/>
      <c r="G113" s="61"/>
      <c r="N113" s="71"/>
      <c r="O113" s="71"/>
      <c r="P113" s="71"/>
      <c r="Q113" s="72"/>
      <c r="R113" s="72"/>
      <c r="T113" s="64"/>
      <c r="U113" s="64"/>
      <c r="V113" s="64"/>
      <c r="W113" s="64"/>
      <c r="X113" s="64"/>
    </row>
    <row r="114" spans="1:24" s="62" customFormat="1" ht="14.25" x14ac:dyDescent="0.2">
      <c r="A114" s="61"/>
      <c r="G114" s="61"/>
      <c r="N114" s="71"/>
      <c r="O114" s="71"/>
      <c r="P114" s="71"/>
      <c r="Q114" s="72"/>
      <c r="R114" s="72"/>
      <c r="T114" s="64"/>
      <c r="U114" s="64"/>
      <c r="V114" s="64"/>
      <c r="W114" s="64"/>
      <c r="X114" s="64"/>
    </row>
    <row r="115" spans="1:24" s="62" customFormat="1" ht="14.25" x14ac:dyDescent="0.2">
      <c r="A115" s="61"/>
      <c r="G115" s="61"/>
      <c r="N115" s="71"/>
      <c r="O115" s="71"/>
      <c r="P115" s="71"/>
      <c r="Q115" s="72"/>
      <c r="R115" s="72"/>
      <c r="T115" s="64"/>
      <c r="U115" s="64"/>
      <c r="V115" s="64"/>
      <c r="W115" s="64"/>
      <c r="X115" s="64"/>
    </row>
    <row r="116" spans="1:24" s="62" customFormat="1" ht="14.25" x14ac:dyDescent="0.2">
      <c r="A116" s="61"/>
      <c r="G116" s="61"/>
      <c r="N116" s="71"/>
      <c r="O116" s="71"/>
      <c r="P116" s="71"/>
      <c r="Q116" s="72"/>
      <c r="R116" s="72"/>
      <c r="T116" s="64"/>
      <c r="U116" s="64"/>
      <c r="V116" s="64"/>
      <c r="W116" s="64"/>
      <c r="X116" s="64"/>
    </row>
    <row r="117" spans="1:24" s="62" customFormat="1" ht="14.25" x14ac:dyDescent="0.2">
      <c r="A117" s="61"/>
      <c r="G117" s="61"/>
      <c r="N117" s="71"/>
      <c r="O117" s="71"/>
      <c r="P117" s="71"/>
      <c r="Q117" s="72"/>
      <c r="R117" s="72"/>
      <c r="T117" s="64"/>
      <c r="U117" s="64"/>
      <c r="V117" s="64"/>
      <c r="W117" s="64"/>
      <c r="X117" s="64"/>
    </row>
    <row r="118" spans="1:24" s="62" customFormat="1" ht="14.25" x14ac:dyDescent="0.2">
      <c r="A118" s="61"/>
      <c r="G118" s="61"/>
      <c r="N118" s="71"/>
      <c r="O118" s="71"/>
      <c r="P118" s="71"/>
      <c r="Q118" s="72"/>
      <c r="R118" s="72"/>
      <c r="T118" s="64"/>
      <c r="U118" s="64"/>
      <c r="V118" s="64"/>
      <c r="W118" s="64"/>
      <c r="X118" s="64"/>
    </row>
    <row r="119" spans="1:24" s="62" customFormat="1" ht="14.25" x14ac:dyDescent="0.2">
      <c r="A119" s="61"/>
      <c r="G119" s="61"/>
      <c r="N119" s="71"/>
      <c r="O119" s="71"/>
      <c r="P119" s="71"/>
      <c r="Q119" s="72"/>
      <c r="R119" s="72"/>
      <c r="T119" s="64"/>
      <c r="U119" s="64"/>
      <c r="V119" s="64"/>
      <c r="W119" s="64"/>
      <c r="X119" s="64"/>
    </row>
    <row r="120" spans="1:24" s="62" customFormat="1" ht="14.25" x14ac:dyDescent="0.2">
      <c r="A120" s="61"/>
      <c r="G120" s="61"/>
      <c r="N120" s="71"/>
      <c r="O120" s="71"/>
      <c r="P120" s="71"/>
      <c r="Q120" s="72"/>
      <c r="R120" s="72"/>
      <c r="T120" s="64"/>
      <c r="U120" s="64"/>
      <c r="V120" s="64"/>
      <c r="W120" s="64"/>
      <c r="X120" s="64"/>
    </row>
    <row r="121" spans="1:24" s="62" customFormat="1" ht="14.25" x14ac:dyDescent="0.2">
      <c r="A121" s="61"/>
      <c r="G121" s="61"/>
      <c r="N121" s="71"/>
      <c r="O121" s="71"/>
      <c r="P121" s="71"/>
      <c r="Q121" s="72"/>
      <c r="R121" s="72"/>
      <c r="T121" s="64"/>
      <c r="U121" s="64"/>
      <c r="V121" s="64"/>
      <c r="W121" s="64"/>
      <c r="X121" s="64"/>
    </row>
    <row r="122" spans="1:24" s="62" customFormat="1" ht="14.25" x14ac:dyDescent="0.2">
      <c r="A122" s="61"/>
      <c r="G122" s="61"/>
      <c r="N122" s="71"/>
      <c r="O122" s="71"/>
      <c r="P122" s="71"/>
      <c r="Q122" s="72"/>
      <c r="R122" s="72"/>
      <c r="T122" s="64"/>
      <c r="U122" s="64"/>
      <c r="V122" s="64"/>
      <c r="W122" s="64"/>
      <c r="X122" s="64"/>
    </row>
    <row r="123" spans="1:24" s="62" customFormat="1" ht="14.25" x14ac:dyDescent="0.2">
      <c r="A123" s="61"/>
      <c r="G123" s="61"/>
      <c r="N123" s="71"/>
      <c r="O123" s="71"/>
      <c r="P123" s="71"/>
      <c r="Q123" s="72"/>
      <c r="R123" s="72"/>
      <c r="T123" s="64"/>
      <c r="U123" s="64"/>
      <c r="V123" s="64"/>
      <c r="W123" s="64"/>
      <c r="X123" s="64"/>
    </row>
    <row r="124" spans="1:24" s="62" customFormat="1" ht="14.25" x14ac:dyDescent="0.2">
      <c r="A124" s="61"/>
      <c r="G124" s="61"/>
      <c r="N124" s="71"/>
      <c r="O124" s="71"/>
      <c r="P124" s="71"/>
      <c r="Q124" s="72"/>
      <c r="R124" s="72"/>
      <c r="T124" s="64"/>
      <c r="U124" s="64"/>
      <c r="V124" s="64"/>
      <c r="W124" s="64"/>
      <c r="X124" s="64"/>
    </row>
    <row r="125" spans="1:24" s="62" customFormat="1" ht="14.25" x14ac:dyDescent="0.2">
      <c r="A125" s="61"/>
      <c r="G125" s="61"/>
      <c r="N125" s="71"/>
      <c r="O125" s="71"/>
      <c r="P125" s="71"/>
      <c r="Q125" s="72"/>
      <c r="R125" s="72"/>
      <c r="T125" s="64"/>
      <c r="U125" s="64"/>
      <c r="V125" s="64"/>
      <c r="W125" s="64"/>
      <c r="X125" s="64"/>
    </row>
    <row r="126" spans="1:24" s="62" customFormat="1" ht="14.25" x14ac:dyDescent="0.2">
      <c r="A126" s="61"/>
      <c r="G126" s="61"/>
      <c r="N126" s="71"/>
      <c r="O126" s="71"/>
      <c r="P126" s="71"/>
      <c r="Q126" s="72"/>
      <c r="R126" s="72"/>
      <c r="T126" s="64"/>
      <c r="U126" s="64"/>
      <c r="V126" s="64"/>
      <c r="W126" s="64"/>
      <c r="X126" s="64"/>
    </row>
    <row r="127" spans="1:24" s="62" customFormat="1" ht="14.25" x14ac:dyDescent="0.2">
      <c r="A127" s="61"/>
      <c r="G127" s="61"/>
      <c r="N127" s="71"/>
      <c r="O127" s="71"/>
      <c r="P127" s="71"/>
      <c r="Q127" s="72"/>
      <c r="R127" s="72"/>
      <c r="T127" s="64"/>
      <c r="U127" s="64"/>
      <c r="V127" s="64"/>
      <c r="W127" s="64"/>
      <c r="X127" s="64"/>
    </row>
    <row r="128" spans="1:24" s="62" customFormat="1" ht="14.25" x14ac:dyDescent="0.2">
      <c r="A128" s="61"/>
      <c r="G128" s="61"/>
      <c r="N128" s="71"/>
      <c r="O128" s="71"/>
      <c r="P128" s="71"/>
      <c r="Q128" s="72"/>
      <c r="R128" s="72"/>
      <c r="T128" s="64"/>
      <c r="U128" s="64"/>
      <c r="V128" s="64"/>
      <c r="W128" s="64"/>
      <c r="X128" s="64"/>
    </row>
    <row r="129" spans="1:24" s="62" customFormat="1" ht="14.25" x14ac:dyDescent="0.2">
      <c r="A129" s="61"/>
      <c r="G129" s="61"/>
      <c r="N129" s="71"/>
      <c r="O129" s="71"/>
      <c r="P129" s="71"/>
      <c r="Q129" s="72"/>
      <c r="R129" s="72"/>
      <c r="T129" s="64"/>
      <c r="U129" s="64"/>
      <c r="V129" s="64"/>
      <c r="W129" s="64"/>
      <c r="X129" s="64"/>
    </row>
    <row r="130" spans="1:24" s="62" customFormat="1" ht="14.25" x14ac:dyDescent="0.2">
      <c r="A130" s="61"/>
      <c r="G130" s="61"/>
      <c r="N130" s="71"/>
      <c r="O130" s="71"/>
      <c r="P130" s="71"/>
      <c r="Q130" s="72"/>
      <c r="R130" s="72"/>
      <c r="T130" s="64"/>
      <c r="U130" s="64"/>
      <c r="V130" s="64"/>
      <c r="W130" s="64"/>
      <c r="X130" s="64"/>
    </row>
    <row r="131" spans="1:24" s="62" customFormat="1" ht="14.25" x14ac:dyDescent="0.2">
      <c r="A131" s="61"/>
      <c r="G131" s="61"/>
      <c r="N131" s="71"/>
      <c r="O131" s="71"/>
      <c r="P131" s="71"/>
      <c r="Q131" s="72"/>
      <c r="R131" s="72"/>
      <c r="T131" s="64"/>
      <c r="U131" s="64"/>
      <c r="V131" s="64"/>
      <c r="W131" s="64"/>
      <c r="X131" s="64"/>
    </row>
    <row r="132" spans="1:24" s="62" customFormat="1" ht="14.25" x14ac:dyDescent="0.2">
      <c r="A132" s="61"/>
      <c r="G132" s="61"/>
      <c r="N132" s="71"/>
      <c r="O132" s="71"/>
      <c r="P132" s="71"/>
      <c r="Q132" s="72"/>
      <c r="R132" s="72"/>
      <c r="T132" s="64"/>
      <c r="U132" s="64"/>
      <c r="V132" s="64"/>
      <c r="W132" s="64"/>
      <c r="X132" s="64"/>
    </row>
    <row r="133" spans="1:24" s="62" customFormat="1" ht="14.25" x14ac:dyDescent="0.2">
      <c r="A133" s="61"/>
      <c r="G133" s="61"/>
      <c r="N133" s="71"/>
      <c r="O133" s="71"/>
      <c r="P133" s="71"/>
      <c r="Q133" s="72"/>
      <c r="R133" s="72"/>
      <c r="T133" s="64"/>
      <c r="U133" s="64"/>
      <c r="V133" s="64"/>
      <c r="W133" s="64"/>
      <c r="X133" s="64"/>
    </row>
    <row r="134" spans="1:24" s="62" customFormat="1" ht="14.25" x14ac:dyDescent="0.2">
      <c r="A134" s="61"/>
      <c r="G134" s="61"/>
      <c r="N134" s="71"/>
      <c r="O134" s="71"/>
      <c r="P134" s="71"/>
      <c r="Q134" s="72"/>
      <c r="R134" s="72"/>
      <c r="T134" s="64"/>
      <c r="U134" s="64"/>
      <c r="V134" s="64"/>
      <c r="W134" s="64"/>
      <c r="X134" s="64"/>
    </row>
    <row r="135" spans="1:24" s="62" customFormat="1" ht="14.25" x14ac:dyDescent="0.2">
      <c r="A135" s="61"/>
      <c r="G135" s="61"/>
      <c r="N135" s="71"/>
      <c r="O135" s="71"/>
      <c r="P135" s="71"/>
      <c r="Q135" s="72"/>
      <c r="R135" s="72"/>
      <c r="T135" s="64"/>
      <c r="U135" s="64"/>
      <c r="V135" s="64"/>
      <c r="W135" s="64"/>
      <c r="X135" s="64"/>
    </row>
    <row r="136" spans="1:24" s="62" customFormat="1" ht="14.25" x14ac:dyDescent="0.2">
      <c r="A136" s="61"/>
      <c r="G136" s="61"/>
      <c r="N136" s="71"/>
      <c r="O136" s="71"/>
      <c r="P136" s="71"/>
      <c r="Q136" s="72"/>
      <c r="R136" s="72"/>
      <c r="T136" s="64"/>
      <c r="U136" s="64"/>
      <c r="V136" s="64"/>
      <c r="W136" s="64"/>
      <c r="X136" s="64"/>
    </row>
    <row r="137" spans="1:24" s="62" customFormat="1" ht="14.25" x14ac:dyDescent="0.2">
      <c r="A137" s="61"/>
      <c r="G137" s="61"/>
      <c r="N137" s="71"/>
      <c r="O137" s="71"/>
      <c r="P137" s="71"/>
      <c r="Q137" s="72"/>
      <c r="R137" s="72"/>
      <c r="T137" s="64"/>
      <c r="U137" s="64"/>
      <c r="V137" s="64"/>
      <c r="W137" s="64"/>
      <c r="X137" s="64"/>
    </row>
    <row r="138" spans="1:24" s="62" customFormat="1" ht="14.25" x14ac:dyDescent="0.2">
      <c r="A138" s="61"/>
      <c r="G138" s="61"/>
      <c r="N138" s="71"/>
      <c r="O138" s="71"/>
      <c r="P138" s="71"/>
      <c r="Q138" s="72"/>
      <c r="R138" s="72"/>
      <c r="T138" s="64"/>
      <c r="U138" s="64"/>
      <c r="V138" s="64"/>
      <c r="W138" s="64"/>
      <c r="X138" s="64"/>
    </row>
    <row r="139" spans="1:24" s="62" customFormat="1" ht="14.25" x14ac:dyDescent="0.2">
      <c r="A139" s="61"/>
      <c r="G139" s="61"/>
      <c r="N139" s="71"/>
      <c r="O139" s="71"/>
      <c r="P139" s="71"/>
      <c r="Q139" s="72"/>
      <c r="R139" s="72"/>
      <c r="T139" s="64"/>
      <c r="U139" s="64"/>
      <c r="V139" s="64"/>
      <c r="W139" s="64"/>
      <c r="X139" s="64"/>
    </row>
    <row r="140" spans="1:24" s="62" customFormat="1" ht="14.25" x14ac:dyDescent="0.2">
      <c r="A140" s="61"/>
      <c r="G140" s="61"/>
      <c r="N140" s="71"/>
      <c r="O140" s="71"/>
      <c r="P140" s="71"/>
      <c r="Q140" s="72"/>
      <c r="R140" s="72"/>
      <c r="T140" s="64"/>
      <c r="U140" s="64"/>
      <c r="V140" s="64"/>
      <c r="W140" s="64"/>
      <c r="X140" s="64"/>
    </row>
    <row r="141" spans="1:24" s="62" customFormat="1" ht="14.25" x14ac:dyDescent="0.2">
      <c r="A141" s="61"/>
      <c r="G141" s="61"/>
      <c r="N141" s="71"/>
      <c r="O141" s="71"/>
      <c r="P141" s="71"/>
      <c r="Q141" s="72"/>
      <c r="R141" s="72"/>
      <c r="T141" s="64"/>
      <c r="U141" s="64"/>
      <c r="V141" s="64"/>
      <c r="W141" s="64"/>
      <c r="X141" s="64"/>
    </row>
    <row r="142" spans="1:24" s="62" customFormat="1" ht="14.25" x14ac:dyDescent="0.2">
      <c r="A142" s="61"/>
      <c r="G142" s="61"/>
      <c r="N142" s="71"/>
      <c r="O142" s="71"/>
      <c r="P142" s="71"/>
      <c r="Q142" s="72"/>
      <c r="R142" s="72"/>
      <c r="T142" s="64"/>
      <c r="U142" s="64"/>
      <c r="V142" s="64"/>
      <c r="W142" s="64"/>
      <c r="X142" s="64"/>
    </row>
    <row r="143" spans="1:24" s="62" customFormat="1" ht="14.25" x14ac:dyDescent="0.2">
      <c r="A143" s="61"/>
      <c r="G143" s="61"/>
      <c r="N143" s="71"/>
      <c r="O143" s="71"/>
      <c r="P143" s="71"/>
      <c r="Q143" s="72"/>
      <c r="R143" s="72"/>
      <c r="T143" s="64"/>
      <c r="U143" s="64"/>
      <c r="V143" s="64"/>
      <c r="W143" s="64"/>
      <c r="X143" s="64"/>
    </row>
    <row r="144" spans="1:24" s="62" customFormat="1" ht="14.25" x14ac:dyDescent="0.2">
      <c r="A144" s="61"/>
      <c r="G144" s="61"/>
      <c r="N144" s="71"/>
      <c r="O144" s="71"/>
      <c r="P144" s="71"/>
      <c r="Q144" s="72"/>
      <c r="R144" s="72"/>
      <c r="T144" s="64"/>
      <c r="U144" s="64"/>
      <c r="V144" s="64"/>
      <c r="W144" s="64"/>
      <c r="X144" s="64"/>
    </row>
    <row r="145" spans="1:24" s="62" customFormat="1" ht="14.25" x14ac:dyDescent="0.2">
      <c r="A145" s="61"/>
      <c r="G145" s="61"/>
      <c r="N145" s="71"/>
      <c r="O145" s="71"/>
      <c r="P145" s="71"/>
      <c r="Q145" s="72"/>
      <c r="R145" s="72"/>
      <c r="T145" s="64"/>
      <c r="U145" s="64"/>
      <c r="V145" s="64"/>
      <c r="W145" s="64"/>
      <c r="X145" s="64"/>
    </row>
    <row r="146" spans="1:24" s="62" customFormat="1" ht="14.25" x14ac:dyDescent="0.2">
      <c r="A146" s="61"/>
      <c r="G146" s="61"/>
      <c r="N146" s="71"/>
      <c r="O146" s="71"/>
      <c r="P146" s="71"/>
      <c r="Q146" s="72"/>
      <c r="R146" s="72"/>
      <c r="T146" s="64"/>
      <c r="U146" s="64"/>
      <c r="V146" s="64"/>
      <c r="W146" s="64"/>
      <c r="X146" s="64"/>
    </row>
    <row r="147" spans="1:24" s="62" customFormat="1" ht="14.25" x14ac:dyDescent="0.2">
      <c r="A147" s="61"/>
      <c r="G147" s="61"/>
      <c r="N147" s="71"/>
      <c r="O147" s="71"/>
      <c r="P147" s="71"/>
      <c r="Q147" s="72"/>
      <c r="R147" s="72"/>
      <c r="T147" s="64"/>
      <c r="U147" s="64"/>
      <c r="V147" s="64"/>
      <c r="W147" s="64"/>
      <c r="X147" s="64"/>
    </row>
    <row r="148" spans="1:24" s="62" customFormat="1" ht="14.25" x14ac:dyDescent="0.2">
      <c r="A148" s="61"/>
      <c r="G148" s="61"/>
      <c r="N148" s="71"/>
      <c r="O148" s="71"/>
      <c r="P148" s="71"/>
      <c r="Q148" s="72"/>
      <c r="R148" s="72"/>
      <c r="T148" s="64"/>
      <c r="U148" s="64"/>
      <c r="V148" s="64"/>
      <c r="W148" s="64"/>
      <c r="X148" s="64"/>
    </row>
    <row r="149" spans="1:24" s="62" customFormat="1" ht="14.25" x14ac:dyDescent="0.2">
      <c r="A149" s="61"/>
      <c r="G149" s="61"/>
      <c r="N149" s="71"/>
      <c r="O149" s="71"/>
      <c r="P149" s="71"/>
      <c r="Q149" s="72"/>
      <c r="R149" s="72"/>
      <c r="T149" s="64"/>
      <c r="U149" s="64"/>
      <c r="V149" s="64"/>
      <c r="W149" s="64"/>
      <c r="X149" s="64"/>
    </row>
    <row r="150" spans="1:24" s="62" customFormat="1" ht="14.25" x14ac:dyDescent="0.2">
      <c r="A150" s="61"/>
      <c r="G150" s="61"/>
      <c r="N150" s="71"/>
      <c r="O150" s="71"/>
      <c r="P150" s="71"/>
      <c r="Q150" s="72"/>
      <c r="R150" s="72"/>
      <c r="T150" s="64"/>
      <c r="U150" s="64"/>
      <c r="V150" s="64"/>
      <c r="W150" s="64"/>
      <c r="X150" s="64"/>
    </row>
    <row r="151" spans="1:24" s="62" customFormat="1" ht="14.25" x14ac:dyDescent="0.2">
      <c r="A151" s="61"/>
      <c r="G151" s="61"/>
      <c r="N151" s="71"/>
      <c r="O151" s="71"/>
      <c r="P151" s="71"/>
      <c r="Q151" s="72"/>
      <c r="R151" s="72"/>
      <c r="T151" s="64"/>
      <c r="U151" s="64"/>
      <c r="V151" s="64"/>
      <c r="W151" s="64"/>
      <c r="X151" s="64"/>
    </row>
    <row r="152" spans="1:24" s="62" customFormat="1" ht="14.25" x14ac:dyDescent="0.2">
      <c r="A152" s="61"/>
      <c r="G152" s="61"/>
      <c r="N152" s="71"/>
      <c r="O152" s="71"/>
      <c r="P152" s="71"/>
      <c r="Q152" s="72"/>
      <c r="R152" s="72"/>
      <c r="T152" s="64"/>
      <c r="U152" s="64"/>
      <c r="V152" s="64"/>
      <c r="W152" s="64"/>
      <c r="X152" s="64"/>
    </row>
    <row r="153" spans="1:24" s="62" customFormat="1" ht="14.25" x14ac:dyDescent="0.2">
      <c r="A153" s="61"/>
      <c r="G153" s="61"/>
      <c r="N153" s="71"/>
      <c r="O153" s="71"/>
      <c r="P153" s="71"/>
      <c r="Q153" s="72"/>
      <c r="R153" s="72"/>
      <c r="T153" s="64"/>
      <c r="U153" s="64"/>
      <c r="V153" s="64"/>
      <c r="W153" s="64"/>
      <c r="X153" s="64"/>
    </row>
    <row r="154" spans="1:24" s="62" customFormat="1" ht="14.25" x14ac:dyDescent="0.2">
      <c r="A154" s="61"/>
      <c r="G154" s="61"/>
      <c r="N154" s="71"/>
      <c r="O154" s="71"/>
      <c r="P154" s="71"/>
      <c r="Q154" s="72"/>
      <c r="R154" s="72"/>
      <c r="T154" s="64"/>
      <c r="U154" s="64"/>
      <c r="V154" s="64"/>
      <c r="W154" s="64"/>
      <c r="X154" s="64"/>
    </row>
  </sheetData>
  <autoFilter ref="A1:AV1" xr:uid="{3E252C00-462C-4D33-9223-98D17EFAD1A1}"/>
  <pageMargins left="0.7" right="0.7" top="0.75" bottom="0.75" header="0.3" footer="0.3"/>
  <pageSetup paperSize="9" orientation="portrait" horizontalDpi="300" verticalDpi="300" r:id="rId1"/>
  <headerFooter>
    <oddFooter>&amp;C&amp;1#&amp;"Calibri"&amp;10&amp;K000000Sensient Technologies: Level 4 External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Sheet1</vt:lpstr>
      <vt:lpstr>TDP</vt:lpstr>
      <vt:lpstr>OGAWA</vt:lpstr>
      <vt:lpstr>GMC</vt:lpstr>
      <vt:lpstr>COCA-COLA</vt:lpstr>
      <vt:lpstr>KIANTAKA</vt:lpstr>
      <vt:lpstr>PEPSICO</vt:lpstr>
      <vt:lpstr>Nutrifood</vt:lpstr>
      <vt:lpstr>PT. FORISA</vt:lpstr>
      <vt:lpstr>PT. TRIDAYA</vt:lpstr>
      <vt:lpstr>PT.TTS</vt:lpstr>
      <vt:lpstr>GLICO WINGS</vt:lpstr>
      <vt:lpstr>SARI INCOFOOD</vt:lpstr>
      <vt:lpstr>ADORE REMPAH INDONESIA</vt:lpstr>
      <vt:lpstr>GMI</vt:lpstr>
      <vt:lpstr>PT. RICH INDONESIA</vt:lpstr>
      <vt:lpstr>CIPTA SELERA SEMESTA</vt:lpstr>
      <vt:lpstr>RasaKita</vt:lpstr>
      <vt:lpstr>BRIGHT</vt:lpstr>
      <vt:lpstr>CALBEE WINGS</vt:lpstr>
      <vt:lpstr>PT. FRISIAN FLAG INDONESIA</vt:lpstr>
      <vt:lpstr>PITALA</vt:lpstr>
      <vt:lpstr>SXT AUSTRALIA</vt:lpstr>
      <vt:lpstr>SXT HONGKONG</vt:lpstr>
    </vt:vector>
  </TitlesOfParts>
  <Company>Sensient Technologies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Bowo Mukli</dc:creator>
  <cp:lastModifiedBy>Bowo, Mukli</cp:lastModifiedBy>
  <dcterms:created xsi:type="dcterms:W3CDTF">2024-01-11T03:36:03Z</dcterms:created>
  <dcterms:modified xsi:type="dcterms:W3CDTF">2025-09-30T03:22:26Z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d00f59-5f30-493d-afc6-b52f16497b7b_Enabled">
    <vt:lpwstr>true</vt:lpwstr>
  </property>
  <property fmtid="{D5CDD505-2E9C-101B-9397-08002B2CF9AE}" pid="3" name="MSIP_Label_f8d00f59-5f30-493d-afc6-b52f16497b7b_SetDate">
    <vt:lpwstr>2025-05-26T03:00:04Z</vt:lpwstr>
  </property>
  <property fmtid="{D5CDD505-2E9C-101B-9397-08002B2CF9AE}" pid="4" name="MSIP_Label_f8d00f59-5f30-493d-afc6-b52f16497b7b_Method">
    <vt:lpwstr>Privileged</vt:lpwstr>
  </property>
  <property fmtid="{D5CDD505-2E9C-101B-9397-08002B2CF9AE}" pid="5" name="MSIP_Label_f8d00f59-5f30-493d-afc6-b52f16497b7b_Name">
    <vt:lpwstr>Level 4 General Use</vt:lpwstr>
  </property>
  <property fmtid="{D5CDD505-2E9C-101B-9397-08002B2CF9AE}" pid="6" name="MSIP_Label_f8d00f59-5f30-493d-afc6-b52f16497b7b_SiteId">
    <vt:lpwstr>17c2a9c6-024a-44d9-9ef8-3ca2c6f99a79</vt:lpwstr>
  </property>
  <property fmtid="{D5CDD505-2E9C-101B-9397-08002B2CF9AE}" pid="7" name="MSIP_Label_f8d00f59-5f30-493d-afc6-b52f16497b7b_ActionId">
    <vt:lpwstr>cced38b8-7b13-4dae-a89c-7a15c9a19dda</vt:lpwstr>
  </property>
  <property fmtid="{D5CDD505-2E9C-101B-9397-08002B2CF9AE}" pid="8" name="MSIP_Label_f8d00f59-5f30-493d-afc6-b52f16497b7b_ContentBits">
    <vt:lpwstr>2</vt:lpwstr>
  </property>
</Properties>
</file>